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akar appa\desktop\Report HLP 2020\HLP 2022\"/>
    </mc:Choice>
  </mc:AlternateContent>
  <xr:revisionPtr revIDLastSave="0" documentId="13_ncr:1_{98BDAC58-F137-4622-9E98-F3CA6F3C2D4A}" xr6:coauthVersionLast="47" xr6:coauthVersionMax="47" xr10:uidLastSave="{00000000-0000-0000-0000-000000000000}"/>
  <bookViews>
    <workbookView xWindow="-120" yWindow="-120" windowWidth="20730" windowHeight="11160" tabRatio="960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'14'!$A$1:$J$190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'6'!$A$1:$J$199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48" l="1"/>
  <c r="E16" i="48"/>
  <c r="B16" i="48"/>
  <c r="F87" i="43"/>
  <c r="F173" i="31"/>
  <c r="E184" i="31"/>
  <c r="E183" i="31"/>
  <c r="E182" i="31"/>
  <c r="E181" i="31"/>
  <c r="E180" i="31"/>
  <c r="E179" i="31"/>
  <c r="E178" i="31"/>
  <c r="E177" i="31"/>
  <c r="E176" i="31"/>
  <c r="E175" i="31"/>
  <c r="E174" i="31"/>
  <c r="E173" i="31"/>
  <c r="E165" i="31"/>
  <c r="E164" i="31"/>
  <c r="E163" i="31"/>
  <c r="E162" i="31"/>
  <c r="E161" i="31"/>
  <c r="E158" i="31"/>
  <c r="E157" i="31"/>
  <c r="E156" i="31"/>
  <c r="E155" i="31"/>
  <c r="E152" i="31"/>
  <c r="E151" i="31"/>
  <c r="E150" i="31"/>
  <c r="E149" i="31"/>
  <c r="E148" i="31"/>
  <c r="E147" i="31"/>
  <c r="E146" i="31"/>
  <c r="E145" i="31"/>
  <c r="E144" i="31"/>
  <c r="E143" i="31"/>
  <c r="E142" i="31"/>
  <c r="E141" i="31"/>
  <c r="E140" i="31"/>
  <c r="E139" i="31"/>
  <c r="E138" i="31"/>
  <c r="E134" i="31"/>
  <c r="E133" i="31"/>
  <c r="E132" i="31"/>
  <c r="E131" i="31"/>
  <c r="E130" i="31"/>
  <c r="E129" i="31"/>
  <c r="E128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90" i="31"/>
  <c r="E89" i="31"/>
  <c r="E88" i="31"/>
  <c r="E87" i="31"/>
  <c r="E86" i="31"/>
  <c r="E85" i="31"/>
  <c r="E84" i="31"/>
  <c r="E83" i="31"/>
  <c r="E82" i="31"/>
  <c r="E78" i="31"/>
  <c r="E77" i="31"/>
  <c r="E76" i="31"/>
  <c r="E75" i="31"/>
  <c r="E74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5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19" i="31"/>
  <c r="E18" i="31"/>
  <c r="E15" i="31"/>
  <c r="E8" i="31"/>
  <c r="E9" i="31"/>
  <c r="E10" i="31"/>
  <c r="E11" i="31"/>
  <c r="E12" i="31"/>
  <c r="E7" i="31"/>
  <c r="F156" i="28"/>
  <c r="F155" i="28"/>
  <c r="E161" i="28"/>
  <c r="E185" i="24"/>
  <c r="G185" i="24" s="1"/>
  <c r="E7" i="27"/>
  <c r="E156" i="23"/>
  <c r="E157" i="23"/>
  <c r="E158" i="23"/>
  <c r="E83" i="22"/>
  <c r="E84" i="22"/>
  <c r="E85" i="22"/>
  <c r="E86" i="22"/>
  <c r="E87" i="22"/>
  <c r="E88" i="22"/>
  <c r="E89" i="22"/>
  <c r="E90" i="22"/>
  <c r="E91" i="22"/>
  <c r="E92" i="22"/>
  <c r="E112" i="21"/>
  <c r="E7" i="20"/>
  <c r="E70" i="16"/>
  <c r="E18" i="15"/>
  <c r="G185" i="15"/>
  <c r="F63" i="13" l="1"/>
  <c r="F85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38" i="13"/>
  <c r="E133" i="11"/>
  <c r="E24" i="10"/>
  <c r="E140" i="10"/>
  <c r="E8" i="8"/>
  <c r="E9" i="8"/>
  <c r="E10" i="8"/>
  <c r="E11" i="8"/>
  <c r="E12" i="8"/>
  <c r="E129" i="8"/>
  <c r="E130" i="8"/>
  <c r="E131" i="8"/>
  <c r="E132" i="8"/>
  <c r="E133" i="8"/>
  <c r="E134" i="8"/>
  <c r="E83" i="7"/>
  <c r="E84" i="7"/>
  <c r="E85" i="7"/>
  <c r="E86" i="7"/>
  <c r="E87" i="7"/>
  <c r="E88" i="7"/>
  <c r="E89" i="7"/>
  <c r="E90" i="7"/>
  <c r="E91" i="7"/>
  <c r="E92" i="7"/>
  <c r="E178" i="33" l="1"/>
  <c r="E179" i="33"/>
  <c r="E180" i="33"/>
  <c r="E139" i="33"/>
  <c r="E140" i="33"/>
  <c r="E141" i="33"/>
  <c r="E142" i="33"/>
  <c r="E143" i="33"/>
  <c r="E144" i="33"/>
  <c r="E145" i="33"/>
  <c r="E146" i="33"/>
  <c r="E147" i="33"/>
  <c r="E148" i="33"/>
  <c r="E149" i="33"/>
  <c r="E150" i="33"/>
  <c r="E151" i="33"/>
  <c r="E152" i="33"/>
  <c r="E36" i="33"/>
  <c r="E37" i="33"/>
  <c r="E38" i="33"/>
  <c r="E39" i="33"/>
  <c r="E40" i="33"/>
  <c r="E41" i="33"/>
  <c r="E42" i="33"/>
  <c r="E43" i="33"/>
  <c r="E44" i="33"/>
  <c r="E45" i="33"/>
  <c r="E46" i="33"/>
  <c r="E29" i="31"/>
  <c r="E184" i="43"/>
  <c r="E185" i="43"/>
  <c r="E183" i="43"/>
  <c r="E86" i="43"/>
  <c r="E19" i="40" l="1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83" i="21"/>
  <c r="E84" i="21"/>
  <c r="E85" i="21"/>
  <c r="E86" i="21"/>
  <c r="E87" i="21"/>
  <c r="E88" i="21"/>
  <c r="E89" i="21"/>
  <c r="E90" i="21"/>
  <c r="E91" i="21"/>
  <c r="E92" i="21"/>
  <c r="E162" i="21"/>
  <c r="E163" i="21"/>
  <c r="E164" i="21"/>
  <c r="E165" i="21"/>
  <c r="E166" i="21"/>
  <c r="E167" i="21"/>
  <c r="E168" i="21"/>
  <c r="E113" i="21"/>
  <c r="E114" i="21"/>
  <c r="E115" i="21"/>
  <c r="E116" i="21"/>
  <c r="E117" i="21"/>
  <c r="E118" i="21"/>
  <c r="E119" i="21"/>
  <c r="E120" i="21"/>
  <c r="E121" i="21"/>
  <c r="E122" i="21"/>
  <c r="E123" i="21"/>
  <c r="E50" i="21"/>
  <c r="G50" i="21" s="1"/>
  <c r="E51" i="21"/>
  <c r="E52" i="21"/>
  <c r="E53" i="21"/>
  <c r="E54" i="21"/>
  <c r="E55" i="21"/>
  <c r="E56" i="21"/>
  <c r="E57" i="21"/>
  <c r="E58" i="21"/>
  <c r="E18" i="21"/>
  <c r="E115" i="18"/>
  <c r="E115" i="17"/>
  <c r="E138" i="16" l="1"/>
  <c r="E9" i="16"/>
  <c r="E178" i="15"/>
  <c r="E140" i="14"/>
  <c r="E140" i="13"/>
  <c r="G140" i="13" s="1"/>
  <c r="E58" i="10"/>
  <c r="E130" i="10"/>
  <c r="E115" i="10"/>
  <c r="E78" i="10"/>
  <c r="E38" i="10"/>
  <c r="E39" i="10"/>
  <c r="E40" i="10"/>
  <c r="E41" i="10"/>
  <c r="E42" i="10"/>
  <c r="E43" i="10"/>
  <c r="E35" i="10"/>
  <c r="E10" i="10"/>
  <c r="E8" i="10"/>
  <c r="E9" i="10"/>
  <c r="E7" i="10"/>
  <c r="E83" i="9"/>
  <c r="E84" i="9"/>
  <c r="E85" i="9"/>
  <c r="E86" i="9"/>
  <c r="E87" i="9"/>
  <c r="E88" i="9"/>
  <c r="E89" i="9"/>
  <c r="E90" i="9"/>
  <c r="E91" i="9"/>
  <c r="E92" i="9"/>
  <c r="E57" i="3"/>
  <c r="E149" i="43"/>
  <c r="E140" i="29"/>
  <c r="E9" i="25"/>
  <c r="E10" i="25"/>
  <c r="E11" i="25"/>
  <c r="E12" i="25"/>
  <c r="E132" i="24"/>
  <c r="E133" i="24"/>
  <c r="E134" i="24"/>
  <c r="E129" i="24"/>
  <c r="E128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12" i="24"/>
  <c r="E55" i="24"/>
  <c r="E54" i="24"/>
  <c r="E50" i="24"/>
  <c r="E49" i="24"/>
  <c r="E42" i="24"/>
  <c r="E40" i="24"/>
  <c r="E39" i="24"/>
  <c r="E38" i="24"/>
  <c r="E37" i="24"/>
  <c r="E36" i="24"/>
  <c r="E9" i="24"/>
  <c r="E10" i="24"/>
  <c r="E161" i="22" l="1"/>
  <c r="E36" i="21"/>
  <c r="E37" i="21"/>
  <c r="E38" i="21"/>
  <c r="E39" i="21"/>
  <c r="E40" i="21"/>
  <c r="E41" i="21"/>
  <c r="E42" i="21"/>
  <c r="E43" i="21"/>
  <c r="E44" i="21"/>
  <c r="E45" i="21"/>
  <c r="E46" i="21"/>
  <c r="E9" i="21"/>
  <c r="E10" i="21"/>
  <c r="E11" i="21"/>
  <c r="E12" i="21"/>
  <c r="E50" i="20"/>
  <c r="E51" i="20"/>
  <c r="E52" i="20"/>
  <c r="E53" i="20"/>
  <c r="E54" i="20"/>
  <c r="E55" i="20"/>
  <c r="E56" i="20"/>
  <c r="E57" i="20"/>
  <c r="E58" i="20"/>
  <c r="E9" i="20"/>
  <c r="E10" i="20"/>
  <c r="E11" i="20"/>
  <c r="E12" i="20"/>
  <c r="E162" i="19"/>
  <c r="E163" i="19"/>
  <c r="E164" i="19"/>
  <c r="E165" i="19"/>
  <c r="E166" i="19"/>
  <c r="G166" i="19" s="1"/>
  <c r="E167" i="19"/>
  <c r="E168" i="19"/>
  <c r="E36" i="19"/>
  <c r="E37" i="19"/>
  <c r="E38" i="19"/>
  <c r="E39" i="19"/>
  <c r="E40" i="19"/>
  <c r="E41" i="19"/>
  <c r="E42" i="19"/>
  <c r="E43" i="19"/>
  <c r="E44" i="19"/>
  <c r="E45" i="19"/>
  <c r="E46" i="19"/>
  <c r="E35" i="19"/>
  <c r="E9" i="19"/>
  <c r="E10" i="19"/>
  <c r="E11" i="19"/>
  <c r="E12" i="19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66" i="17"/>
  <c r="E67" i="17"/>
  <c r="E68" i="17"/>
  <c r="E69" i="17"/>
  <c r="E70" i="17"/>
  <c r="E130" i="11" l="1"/>
  <c r="E115" i="11"/>
  <c r="E62" i="10"/>
  <c r="E49" i="10"/>
  <c r="E138" i="10"/>
  <c r="E8" i="9"/>
  <c r="G8" i="9" s="1"/>
  <c r="O9" i="9" s="1"/>
  <c r="E7" i="9"/>
  <c r="G7" i="9" s="1"/>
  <c r="E146" i="7" l="1"/>
  <c r="E115" i="7"/>
  <c r="F195" i="7"/>
  <c r="E195" i="7"/>
  <c r="E174" i="5"/>
  <c r="E175" i="5"/>
  <c r="E129" i="33"/>
  <c r="E130" i="33"/>
  <c r="E131" i="33"/>
  <c r="E132" i="33"/>
  <c r="E133" i="33"/>
  <c r="E134" i="33"/>
  <c r="E8" i="33"/>
  <c r="E9" i="33"/>
  <c r="E10" i="33"/>
  <c r="E11" i="33"/>
  <c r="E12" i="33"/>
  <c r="E8" i="5"/>
  <c r="E9" i="5"/>
  <c r="E10" i="5"/>
  <c r="E11" i="5"/>
  <c r="E12" i="5"/>
  <c r="E8" i="4"/>
  <c r="E9" i="4"/>
  <c r="E10" i="4"/>
  <c r="E11" i="4"/>
  <c r="E12" i="4"/>
  <c r="J16" i="31" l="1"/>
  <c r="E123" i="29"/>
  <c r="E112" i="29"/>
  <c r="E113" i="29"/>
  <c r="E114" i="29"/>
  <c r="E115" i="29"/>
  <c r="E9" i="29"/>
  <c r="E10" i="29"/>
  <c r="E11" i="29"/>
  <c r="F191" i="27" l="1"/>
  <c r="E68" i="27"/>
  <c r="G68" i="27" s="1"/>
  <c r="E113" i="19"/>
  <c r="E114" i="19"/>
  <c r="E115" i="19"/>
  <c r="E116" i="19"/>
  <c r="E117" i="19"/>
  <c r="E118" i="19"/>
  <c r="E119" i="19"/>
  <c r="E120" i="19"/>
  <c r="E121" i="19"/>
  <c r="E122" i="19"/>
  <c r="E123" i="19"/>
  <c r="E66" i="19"/>
  <c r="E67" i="19"/>
  <c r="E68" i="19"/>
  <c r="E69" i="19"/>
  <c r="E70" i="19"/>
  <c r="E50" i="19"/>
  <c r="E51" i="19"/>
  <c r="E52" i="19"/>
  <c r="E53" i="19"/>
  <c r="E54" i="19"/>
  <c r="E55" i="19"/>
  <c r="E56" i="19"/>
  <c r="E57" i="19"/>
  <c r="E58" i="19"/>
  <c r="E29" i="18"/>
  <c r="E115" i="16"/>
  <c r="E139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39" i="15"/>
  <c r="E140" i="15"/>
  <c r="E141" i="15"/>
  <c r="E142" i="15"/>
  <c r="E143" i="15"/>
  <c r="E145" i="15"/>
  <c r="E146" i="15"/>
  <c r="E147" i="15"/>
  <c r="E148" i="15"/>
  <c r="E149" i="15"/>
  <c r="E150" i="15"/>
  <c r="E151" i="15"/>
  <c r="E152" i="15"/>
  <c r="E179" i="15"/>
  <c r="E180" i="15"/>
  <c r="E174" i="15"/>
  <c r="E175" i="15"/>
  <c r="E162" i="15"/>
  <c r="E163" i="15"/>
  <c r="E164" i="15"/>
  <c r="E165" i="15"/>
  <c r="E161" i="15"/>
  <c r="E113" i="15"/>
  <c r="E114" i="15"/>
  <c r="E115" i="15"/>
  <c r="E116" i="15"/>
  <c r="E117" i="15"/>
  <c r="E118" i="15"/>
  <c r="E119" i="15"/>
  <c r="E120" i="15"/>
  <c r="E121" i="15"/>
  <c r="E122" i="15"/>
  <c r="E123" i="15"/>
  <c r="E83" i="15"/>
  <c r="E84" i="15"/>
  <c r="E85" i="15"/>
  <c r="E86" i="15"/>
  <c r="E87" i="15"/>
  <c r="E88" i="15"/>
  <c r="E89" i="15"/>
  <c r="E90" i="15"/>
  <c r="E91" i="15"/>
  <c r="E92" i="15"/>
  <c r="E63" i="15"/>
  <c r="E36" i="15"/>
  <c r="E37" i="15"/>
  <c r="E38" i="15"/>
  <c r="E39" i="15"/>
  <c r="E40" i="15"/>
  <c r="E41" i="15"/>
  <c r="E42" i="15"/>
  <c r="E43" i="15"/>
  <c r="E44" i="15"/>
  <c r="E45" i="15"/>
  <c r="E46" i="15"/>
  <c r="E174" i="13"/>
  <c r="E175" i="13"/>
  <c r="E173" i="13"/>
  <c r="E174" i="14"/>
  <c r="E175" i="14"/>
  <c r="E156" i="14"/>
  <c r="F156" i="14" s="1"/>
  <c r="E156" i="15" s="1"/>
  <c r="E157" i="14"/>
  <c r="F157" i="14" s="1"/>
  <c r="E157" i="15" s="1"/>
  <c r="E158" i="14"/>
  <c r="F158" i="14" s="1"/>
  <c r="E158" i="15" s="1"/>
  <c r="E155" i="14"/>
  <c r="F155" i="14" s="1"/>
  <c r="E155" i="15" s="1"/>
  <c r="E134" i="14"/>
  <c r="E10" i="14"/>
  <c r="E158" i="13"/>
  <c r="E157" i="13"/>
  <c r="E134" i="13"/>
  <c r="E50" i="13"/>
  <c r="E43" i="13"/>
  <c r="E118" i="12" l="1"/>
  <c r="E54" i="12"/>
  <c r="O8" i="12"/>
  <c r="P8" i="12" s="1"/>
  <c r="H159" i="10"/>
  <c r="J159" i="10" s="1"/>
  <c r="E7" i="8" l="1"/>
  <c r="G7" i="8" s="1"/>
  <c r="E7" i="7"/>
  <c r="E7" i="3" l="1"/>
  <c r="E129" i="30"/>
  <c r="E130" i="30"/>
  <c r="E131" i="30"/>
  <c r="E132" i="30"/>
  <c r="E133" i="30"/>
  <c r="E134" i="30"/>
  <c r="E9" i="30"/>
  <c r="E10" i="30"/>
  <c r="E11" i="30"/>
  <c r="E12" i="30"/>
  <c r="E41" i="27" l="1"/>
  <c r="E151" i="25"/>
  <c r="E112" i="23"/>
  <c r="E113" i="23"/>
  <c r="E114" i="23"/>
  <c r="E115" i="23"/>
  <c r="E123" i="23"/>
  <c r="E36" i="20"/>
  <c r="E37" i="20"/>
  <c r="E38" i="20"/>
  <c r="E39" i="20"/>
  <c r="E40" i="20"/>
  <c r="E41" i="20"/>
  <c r="E42" i="20"/>
  <c r="E43" i="20"/>
  <c r="E44" i="20"/>
  <c r="E45" i="20"/>
  <c r="E46" i="20"/>
  <c r="E118" i="20"/>
  <c r="E113" i="20"/>
  <c r="E114" i="20"/>
  <c r="E115" i="20"/>
  <c r="E116" i="20"/>
  <c r="E117" i="20"/>
  <c r="E119" i="20"/>
  <c r="E120" i="20"/>
  <c r="E121" i="20"/>
  <c r="E122" i="20"/>
  <c r="E123" i="20"/>
  <c r="E83" i="19"/>
  <c r="E84" i="19"/>
  <c r="E85" i="19"/>
  <c r="E86" i="19"/>
  <c r="E87" i="19"/>
  <c r="E88" i="19"/>
  <c r="E89" i="19"/>
  <c r="E90" i="19"/>
  <c r="E91" i="19"/>
  <c r="E92" i="19"/>
  <c r="E83" i="18"/>
  <c r="E85" i="18"/>
  <c r="E86" i="18"/>
  <c r="E87" i="18"/>
  <c r="E88" i="18"/>
  <c r="E89" i="18"/>
  <c r="E90" i="18"/>
  <c r="E91" i="18"/>
  <c r="E92" i="18"/>
  <c r="E50" i="18"/>
  <c r="E51" i="18"/>
  <c r="E52" i="18"/>
  <c r="E53" i="18"/>
  <c r="E54" i="18"/>
  <c r="E55" i="18"/>
  <c r="E56" i="18"/>
  <c r="E57" i="18"/>
  <c r="E58" i="18"/>
  <c r="E36" i="18"/>
  <c r="E37" i="18"/>
  <c r="E38" i="18"/>
  <c r="E39" i="18"/>
  <c r="E40" i="18"/>
  <c r="E41" i="18"/>
  <c r="E42" i="18"/>
  <c r="E43" i="18"/>
  <c r="E44" i="18"/>
  <c r="E45" i="18"/>
  <c r="E46" i="18"/>
  <c r="E11" i="18"/>
  <c r="E12" i="18"/>
  <c r="E50" i="17"/>
  <c r="E51" i="17"/>
  <c r="E52" i="17"/>
  <c r="E53" i="17"/>
  <c r="E54" i="17"/>
  <c r="E55" i="17"/>
  <c r="E56" i="17"/>
  <c r="E57" i="17"/>
  <c r="E58" i="17"/>
  <c r="E36" i="17"/>
  <c r="E37" i="17"/>
  <c r="E38" i="17"/>
  <c r="E39" i="17"/>
  <c r="E40" i="17"/>
  <c r="E41" i="17"/>
  <c r="E42" i="17"/>
  <c r="E43" i="17"/>
  <c r="E44" i="17"/>
  <c r="E45" i="17"/>
  <c r="E46" i="17"/>
  <c r="E113" i="17"/>
  <c r="E114" i="17"/>
  <c r="E116" i="17"/>
  <c r="E117" i="17"/>
  <c r="E118" i="17"/>
  <c r="E119" i="17"/>
  <c r="E120" i="17"/>
  <c r="E121" i="17"/>
  <c r="E122" i="17"/>
  <c r="E123" i="17"/>
  <c r="E178" i="12"/>
  <c r="E158" i="12"/>
  <c r="E157" i="12"/>
  <c r="E158" i="11" l="1"/>
  <c r="G158" i="11" s="1"/>
  <c r="E157" i="11"/>
  <c r="G157" i="11" s="1"/>
  <c r="E158" i="10"/>
  <c r="E157" i="10"/>
  <c r="E118" i="10"/>
  <c r="E50" i="10"/>
  <c r="E51" i="10"/>
  <c r="E52" i="10"/>
  <c r="E53" i="10"/>
  <c r="E54" i="10"/>
  <c r="E55" i="10"/>
  <c r="E56" i="10"/>
  <c r="E57" i="10"/>
  <c r="E36" i="10"/>
  <c r="E37" i="10"/>
  <c r="E44" i="10"/>
  <c r="E45" i="10"/>
  <c r="E46" i="10"/>
  <c r="G8" i="10"/>
  <c r="N9" i="10" l="1"/>
  <c r="E3" i="48"/>
  <c r="E4" i="48"/>
  <c r="E5" i="48"/>
  <c r="E6" i="48"/>
  <c r="E7" i="48"/>
  <c r="E8" i="48"/>
  <c r="E9" i="48"/>
  <c r="E10" i="48"/>
  <c r="E11" i="48"/>
  <c r="E12" i="48"/>
  <c r="E13" i="48"/>
  <c r="E14" i="48"/>
  <c r="E15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E157" i="8" l="1"/>
  <c r="G157" i="8" s="1"/>
  <c r="E158" i="8"/>
  <c r="G158" i="8" s="1"/>
  <c r="E157" i="9"/>
  <c r="G157" i="9" s="1"/>
  <c r="E158" i="9"/>
  <c r="G158" i="9" s="1"/>
  <c r="E157" i="7" l="1"/>
  <c r="G157" i="7" s="1"/>
  <c r="E158" i="7"/>
  <c r="G158" i="7" s="1"/>
  <c r="E113" i="5"/>
  <c r="E114" i="5"/>
  <c r="E115" i="5"/>
  <c r="E116" i="5"/>
  <c r="E117" i="5"/>
  <c r="E118" i="5"/>
  <c r="E119" i="5"/>
  <c r="E120" i="5"/>
  <c r="E121" i="5"/>
  <c r="E122" i="5"/>
  <c r="E123" i="5"/>
  <c r="E50" i="5"/>
  <c r="E51" i="5"/>
  <c r="E52" i="5"/>
  <c r="E53" i="5"/>
  <c r="E54" i="5"/>
  <c r="E55" i="5"/>
  <c r="E56" i="5"/>
  <c r="E57" i="5"/>
  <c r="E58" i="5"/>
  <c r="E36" i="5"/>
  <c r="E37" i="5"/>
  <c r="E38" i="5"/>
  <c r="E39" i="5"/>
  <c r="E40" i="5"/>
  <c r="E41" i="5"/>
  <c r="E42" i="5"/>
  <c r="E43" i="5"/>
  <c r="E44" i="5"/>
  <c r="E45" i="5"/>
  <c r="E46" i="5"/>
  <c r="E156" i="43"/>
  <c r="E157" i="43"/>
  <c r="E158" i="43"/>
  <c r="E152" i="43"/>
  <c r="E132" i="43"/>
  <c r="E68" i="43"/>
  <c r="E56" i="43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13" i="30"/>
  <c r="E114" i="30"/>
  <c r="E115" i="30"/>
  <c r="E116" i="30"/>
  <c r="E117" i="30"/>
  <c r="E118" i="30"/>
  <c r="E119" i="30"/>
  <c r="E120" i="30"/>
  <c r="E121" i="30"/>
  <c r="E122" i="30"/>
  <c r="E123" i="30"/>
  <c r="E112" i="30"/>
  <c r="E116" i="29"/>
  <c r="E117" i="29"/>
  <c r="E118" i="29"/>
  <c r="E119" i="29"/>
  <c r="E120" i="29"/>
  <c r="E121" i="29"/>
  <c r="E122" i="29"/>
  <c r="E19" i="28"/>
  <c r="E11" i="28"/>
  <c r="E12" i="28"/>
  <c r="E50" i="27"/>
  <c r="E51" i="27"/>
  <c r="E52" i="27"/>
  <c r="E53" i="27"/>
  <c r="E54" i="27"/>
  <c r="E55" i="27"/>
  <c r="E56" i="27"/>
  <c r="E57" i="27"/>
  <c r="E5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66" i="27"/>
  <c r="E67" i="27"/>
  <c r="E69" i="27"/>
  <c r="E70" i="27"/>
  <c r="G152" i="30" l="1"/>
  <c r="G159" i="12" l="1"/>
  <c r="H159" i="12" s="1"/>
  <c r="J159" i="12" s="1"/>
  <c r="G157" i="12"/>
  <c r="G158" i="12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6" i="10"/>
  <c r="E117" i="10"/>
  <c r="E119" i="10"/>
  <c r="E120" i="10"/>
  <c r="E121" i="10"/>
  <c r="E122" i="10"/>
  <c r="E123" i="10"/>
  <c r="E75" i="9"/>
  <c r="E76" i="9"/>
  <c r="E77" i="9"/>
  <c r="E78" i="9"/>
  <c r="E85" i="5"/>
  <c r="E85" i="33"/>
  <c r="E90" i="3" l="1"/>
  <c r="E90" i="4"/>
  <c r="E40" i="4"/>
  <c r="G91" i="2"/>
  <c r="E40" i="3"/>
  <c r="E157" i="29" l="1"/>
  <c r="E158" i="29"/>
  <c r="E66" i="40" l="1"/>
  <c r="E67" i="40"/>
  <c r="E68" i="40"/>
  <c r="G68" i="40" s="1"/>
  <c r="E69" i="40"/>
  <c r="E70" i="40"/>
  <c r="E50" i="22"/>
  <c r="E50" i="12"/>
  <c r="E51" i="12"/>
  <c r="E52" i="12"/>
  <c r="E53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1" i="11"/>
  <c r="E132" i="11"/>
  <c r="E134" i="11"/>
  <c r="E156" i="10"/>
  <c r="G156" i="10" s="1"/>
  <c r="G157" i="10"/>
  <c r="G158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2" i="4"/>
  <c r="O86" i="3"/>
  <c r="G157" i="43" l="1"/>
  <c r="G158" i="43"/>
  <c r="G112" i="30" l="1"/>
  <c r="E66" i="28" l="1"/>
  <c r="E67" i="28"/>
  <c r="E68" i="28"/>
  <c r="E69" i="28"/>
  <c r="E70" i="28"/>
  <c r="E11" i="27" l="1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11" i="40"/>
  <c r="E12" i="40"/>
  <c r="E156" i="25"/>
  <c r="E157" i="25"/>
  <c r="E158" i="25"/>
  <c r="G157" i="23"/>
  <c r="G158" i="23"/>
  <c r="E157" i="24"/>
  <c r="E158" i="24"/>
  <c r="E132" i="22"/>
  <c r="E75" i="21" l="1"/>
  <c r="E149" i="20" l="1"/>
  <c r="G9" i="50"/>
  <c r="G11" i="19" l="1"/>
  <c r="E132" i="18"/>
  <c r="E158" i="19"/>
  <c r="G158" i="19" s="1"/>
  <c r="E157" i="16" l="1"/>
  <c r="E158" i="16"/>
  <c r="E150" i="16"/>
  <c r="G157" i="15" l="1"/>
  <c r="G158" i="15"/>
  <c r="G157" i="14" l="1"/>
  <c r="G158" i="14"/>
  <c r="G158" i="13" l="1"/>
  <c r="G157" i="13"/>
  <c r="E36" i="12" l="1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E158" i="5"/>
  <c r="G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H158" i="2" s="1"/>
  <c r="G157" i="2"/>
  <c r="H157" i="2" s="1"/>
  <c r="H157" i="3" l="1"/>
  <c r="H157" i="4" s="1"/>
  <c r="H157" i="5" s="1"/>
  <c r="H158" i="3"/>
  <c r="H158" i="4" s="1"/>
  <c r="H158" i="5" s="1"/>
  <c r="J158" i="5" s="1"/>
  <c r="G156" i="31"/>
  <c r="G157" i="31"/>
  <c r="G158" i="31"/>
  <c r="E139" i="43"/>
  <c r="E140" i="43"/>
  <c r="E141" i="43"/>
  <c r="E142" i="43"/>
  <c r="E143" i="43"/>
  <c r="E144" i="43"/>
  <c r="E145" i="43"/>
  <c r="E146" i="43"/>
  <c r="E147" i="43"/>
  <c r="E148" i="43"/>
  <c r="E150" i="43"/>
  <c r="E151" i="43"/>
  <c r="E36" i="43"/>
  <c r="E37" i="43"/>
  <c r="E38" i="43"/>
  <c r="E39" i="43"/>
  <c r="E40" i="43"/>
  <c r="E41" i="43"/>
  <c r="E42" i="43"/>
  <c r="E43" i="43"/>
  <c r="E44" i="43"/>
  <c r="E45" i="43"/>
  <c r="E46" i="43"/>
  <c r="J157" i="5" l="1"/>
  <c r="H157" i="33"/>
  <c r="J157" i="33" s="1"/>
  <c r="H158" i="33"/>
  <c r="J158" i="33" s="1"/>
  <c r="E157" i="30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E157" i="18"/>
  <c r="G157" i="18" s="1"/>
  <c r="E158" i="18"/>
  <c r="G158" i="18" s="1"/>
  <c r="E156" i="17"/>
  <c r="E157" i="17"/>
  <c r="G157" i="17" s="1"/>
  <c r="E158" i="17"/>
  <c r="G158" i="17" s="1"/>
  <c r="H157" i="7" l="1"/>
  <c r="H157" i="8" s="1"/>
  <c r="H158" i="7"/>
  <c r="J158" i="7" s="1"/>
  <c r="H158" i="43"/>
  <c r="J158" i="30"/>
  <c r="H157" i="43"/>
  <c r="J157" i="30"/>
  <c r="H158" i="22"/>
  <c r="H157" i="22"/>
  <c r="G158" i="16"/>
  <c r="G157" i="16"/>
  <c r="J157" i="7" l="1"/>
  <c r="H158" i="8"/>
  <c r="J158" i="8" s="1"/>
  <c r="J157" i="8"/>
  <c r="H157" i="9"/>
  <c r="J157" i="43"/>
  <c r="H157" i="31"/>
  <c r="J158" i="43"/>
  <c r="H158" i="31"/>
  <c r="J157" i="22"/>
  <c r="H157" i="23"/>
  <c r="J158" i="22"/>
  <c r="H158" i="23"/>
  <c r="E139" i="13"/>
  <c r="G139" i="13" s="1"/>
  <c r="E141" i="13"/>
  <c r="G141" i="13" s="1"/>
  <c r="E142" i="13"/>
  <c r="G142" i="13" s="1"/>
  <c r="E143" i="13"/>
  <c r="G143" i="13" s="1"/>
  <c r="E144" i="13"/>
  <c r="G144" i="13" s="1"/>
  <c r="E145" i="13"/>
  <c r="G145" i="13" s="1"/>
  <c r="E146" i="13"/>
  <c r="G146" i="13" s="1"/>
  <c r="E147" i="13"/>
  <c r="G147" i="13" s="1"/>
  <c r="E148" i="13"/>
  <c r="G148" i="13" s="1"/>
  <c r="E149" i="13"/>
  <c r="G149" i="13" s="1"/>
  <c r="E150" i="13"/>
  <c r="G150" i="13" s="1"/>
  <c r="E151" i="13"/>
  <c r="G151" i="13" s="1"/>
  <c r="E152" i="13"/>
  <c r="G152" i="13" s="1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7" i="9" l="1"/>
  <c r="H157" i="10"/>
  <c r="H158" i="9"/>
  <c r="J158" i="23"/>
  <c r="H158" i="24"/>
  <c r="J157" i="23"/>
  <c r="H157" i="24"/>
  <c r="E121" i="33"/>
  <c r="E49" i="33"/>
  <c r="E134" i="4"/>
  <c r="G190" i="2"/>
  <c r="I7" i="30"/>
  <c r="E180" i="24"/>
  <c r="E56" i="24"/>
  <c r="E35" i="24"/>
  <c r="E130" i="24"/>
  <c r="E130" i="23"/>
  <c r="G130" i="23" s="1"/>
  <c r="E120" i="23"/>
  <c r="E63" i="23"/>
  <c r="E55" i="23"/>
  <c r="E56" i="23"/>
  <c r="E57" i="23"/>
  <c r="E58" i="23"/>
  <c r="E49" i="23"/>
  <c r="E178" i="21"/>
  <c r="K191" i="18"/>
  <c r="E114" i="18"/>
  <c r="K191" i="17"/>
  <c r="P15" i="17"/>
  <c r="J158" i="9" l="1"/>
  <c r="H158" i="10"/>
  <c r="J157" i="10"/>
  <c r="H157" i="11"/>
  <c r="J157" i="24"/>
  <c r="H157" i="25"/>
  <c r="H157" i="40" s="1"/>
  <c r="H157" i="27" s="1"/>
  <c r="J158" i="24"/>
  <c r="H158" i="25"/>
  <c r="H158" i="40" s="1"/>
  <c r="H158" i="27" s="1"/>
  <c r="K190" i="20"/>
  <c r="K190" i="19"/>
  <c r="J157" i="11" l="1"/>
  <c r="H157" i="12"/>
  <c r="J158" i="10"/>
  <c r="H158" i="11"/>
  <c r="H158" i="28"/>
  <c r="J158" i="28" s="1"/>
  <c r="J158" i="27"/>
  <c r="H157" i="28"/>
  <c r="J157" i="28" s="1"/>
  <c r="J157" i="27"/>
  <c r="E134" i="10"/>
  <c r="J158" i="11" l="1"/>
  <c r="H158" i="12"/>
  <c r="J157" i="12"/>
  <c r="H157" i="13"/>
  <c r="E155" i="5"/>
  <c r="E149" i="4"/>
  <c r="E150" i="4"/>
  <c r="E151" i="4"/>
  <c r="E152" i="4"/>
  <c r="E69" i="3"/>
  <c r="E155" i="3"/>
  <c r="G134" i="2"/>
  <c r="G37" i="2"/>
  <c r="G18" i="2"/>
  <c r="E31" i="2" s="1"/>
  <c r="J157" i="13" l="1"/>
  <c r="H157" i="14"/>
  <c r="J158" i="12"/>
  <c r="H158" i="13"/>
  <c r="G90" i="31"/>
  <c r="I90" i="31" s="1"/>
  <c r="B30" i="48"/>
  <c r="H30" i="48"/>
  <c r="B22" i="48"/>
  <c r="G56" i="23"/>
  <c r="E155" i="23"/>
  <c r="J158" i="13" l="1"/>
  <c r="H158" i="14"/>
  <c r="J157" i="14"/>
  <c r="H157" i="15"/>
  <c r="E39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184" i="20"/>
  <c r="E185" i="20"/>
  <c r="E183" i="20"/>
  <c r="E179" i="20"/>
  <c r="E180" i="20"/>
  <c r="E178" i="20"/>
  <c r="E174" i="20"/>
  <c r="G174" i="20" s="1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49" i="20"/>
  <c r="E35" i="20"/>
  <c r="E23" i="20"/>
  <c r="E24" i="20"/>
  <c r="E22" i="20"/>
  <c r="J158" i="14" l="1"/>
  <c r="H158" i="15"/>
  <c r="J157" i="15"/>
  <c r="H157" i="16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J157" i="16" l="1"/>
  <c r="H157" i="17"/>
  <c r="J158" i="15"/>
  <c r="H158" i="16"/>
  <c r="G2" i="48"/>
  <c r="E155" i="4"/>
  <c r="J158" i="16" l="1"/>
  <c r="H158" i="17"/>
  <c r="J157" i="17"/>
  <c r="H157" i="18"/>
  <c r="J157" i="18" l="1"/>
  <c r="H157" i="19"/>
  <c r="J157" i="19" s="1"/>
  <c r="H158" i="18"/>
  <c r="J158" i="17"/>
  <c r="E79" i="25"/>
  <c r="G155" i="3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G156" i="24"/>
  <c r="E155" i="24"/>
  <c r="G155" i="24" s="1"/>
  <c r="G156" i="23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G155" i="15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G155" i="3"/>
  <c r="G156" i="2"/>
  <c r="H156" i="2" s="1"/>
  <c r="J156" i="2" s="1"/>
  <c r="G155" i="2"/>
  <c r="H155" i="2" s="1"/>
  <c r="J155" i="2" s="1"/>
  <c r="J158" i="18" l="1"/>
  <c r="H158" i="19"/>
  <c r="J158" i="19" s="1"/>
  <c r="H155" i="3"/>
  <c r="J155" i="3" s="1"/>
  <c r="H156" i="3"/>
  <c r="J156" i="3" s="1"/>
  <c r="G159" i="14"/>
  <c r="G159" i="13"/>
  <c r="G159" i="16"/>
  <c r="G159" i="15"/>
  <c r="G159" i="17"/>
  <c r="H159" i="17" s="1"/>
  <c r="J159" i="17" s="1"/>
  <c r="G155" i="20"/>
  <c r="V5" i="1"/>
  <c r="G152" i="31"/>
  <c r="G151" i="31"/>
  <c r="Z35" i="44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 s="1"/>
  <c r="G143" i="31"/>
  <c r="X35" i="44" s="1"/>
  <c r="E134" i="43"/>
  <c r="G134" i="43" s="1"/>
  <c r="G134" i="3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G151" i="30"/>
  <c r="Z33" i="44" s="1"/>
  <c r="G150" i="30"/>
  <c r="G149" i="30"/>
  <c r="G148" i="30"/>
  <c r="W33" i="44" s="1"/>
  <c r="G147" i="30"/>
  <c r="V33" i="44" s="1"/>
  <c r="G146" i="30"/>
  <c r="T33" i="44" s="1"/>
  <c r="G145" i="30"/>
  <c r="S33" i="44" s="1"/>
  <c r="G144" i="30"/>
  <c r="U33" i="44" s="1"/>
  <c r="G143" i="30"/>
  <c r="X33" i="44" s="1"/>
  <c r="G134" i="30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G152" i="27"/>
  <c r="G151" i="27"/>
  <c r="Z30" i="44" s="1"/>
  <c r="G150" i="27"/>
  <c r="G149" i="27"/>
  <c r="G148" i="27"/>
  <c r="W30" i="44" s="1"/>
  <c r="G147" i="27"/>
  <c r="V30" i="44" s="1"/>
  <c r="G146" i="27"/>
  <c r="T30" i="44" s="1"/>
  <c r="G145" i="27"/>
  <c r="S30" i="44" s="1"/>
  <c r="G144" i="27"/>
  <c r="U30" i="44" s="1"/>
  <c r="G143" i="27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G151" i="25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G152" i="24"/>
  <c r="G151" i="24"/>
  <c r="Z27" i="44" s="1"/>
  <c r="G150" i="24"/>
  <c r="G149" i="24"/>
  <c r="G148" i="24"/>
  <c r="W27" i="44" s="1"/>
  <c r="G147" i="24"/>
  <c r="V27" i="44" s="1"/>
  <c r="G146" i="24"/>
  <c r="T27" i="44" s="1"/>
  <c r="G145" i="24"/>
  <c r="S27" i="44" s="1"/>
  <c r="G144" i="24"/>
  <c r="U27" i="44" s="1"/>
  <c r="G143" i="24"/>
  <c r="X27" i="44" s="1"/>
  <c r="G141" i="24"/>
  <c r="Q27" i="44" s="1"/>
  <c r="G142" i="24"/>
  <c r="R27" i="44" s="1"/>
  <c r="G134" i="24"/>
  <c r="H155" i="4" l="1"/>
  <c r="H155" i="5" s="1"/>
  <c r="H155" i="33" s="1"/>
  <c r="J155" i="33" s="1"/>
  <c r="H156" i="4"/>
  <c r="H156" i="5" s="1"/>
  <c r="H156" i="33" s="1"/>
  <c r="J156" i="33" s="1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G152" i="18"/>
  <c r="G151" i="18"/>
  <c r="Z21" i="44" s="1"/>
  <c r="G150" i="18"/>
  <c r="G149" i="18"/>
  <c r="G148" i="18"/>
  <c r="W21" i="44" s="1"/>
  <c r="G147" i="18"/>
  <c r="V21" i="44" s="1"/>
  <c r="G146" i="18"/>
  <c r="T21" i="44" s="1"/>
  <c r="G145" i="18"/>
  <c r="S21" i="44" s="1"/>
  <c r="G144" i="18"/>
  <c r="U21" i="44" s="1"/>
  <c r="G143" i="18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G152" i="15"/>
  <c r="G151" i="15"/>
  <c r="Z18" i="44" s="1"/>
  <c r="G150" i="15"/>
  <c r="G149" i="15"/>
  <c r="G148" i="15"/>
  <c r="W18" i="44" s="1"/>
  <c r="G147" i="15"/>
  <c r="V18" i="44" s="1"/>
  <c r="G146" i="15"/>
  <c r="T18" i="44" s="1"/>
  <c r="G145" i="15"/>
  <c r="S18" i="44" s="1"/>
  <c r="G144" i="15"/>
  <c r="U18" i="44" s="1"/>
  <c r="G143" i="15"/>
  <c r="X18" i="44" s="1"/>
  <c r="E134" i="15"/>
  <c r="G134" i="15" s="1"/>
  <c r="G152" i="14"/>
  <c r="G151" i="14"/>
  <c r="Z17" i="44" s="1"/>
  <c r="G150" i="14"/>
  <c r="G149" i="14"/>
  <c r="G148" i="14"/>
  <c r="W17" i="44" s="1"/>
  <c r="G147" i="14"/>
  <c r="V17" i="44" s="1"/>
  <c r="G146" i="14"/>
  <c r="T17" i="44" s="1"/>
  <c r="G145" i="14"/>
  <c r="S17" i="44" s="1"/>
  <c r="G144" i="14"/>
  <c r="U17" i="44" s="1"/>
  <c r="G143" i="14"/>
  <c r="X17" i="44" s="1"/>
  <c r="G134" i="14"/>
  <c r="Z16" i="44"/>
  <c r="W16" i="44"/>
  <c r="V16" i="44"/>
  <c r="T16" i="44"/>
  <c r="S16" i="44"/>
  <c r="U16" i="44"/>
  <c r="X16" i="44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G146" i="7"/>
  <c r="T10" i="44" s="1"/>
  <c r="E145" i="7"/>
  <c r="G145" i="7" s="1"/>
  <c r="S10" i="44" s="1"/>
  <c r="E144" i="7"/>
  <c r="G144" i="7" s="1"/>
  <c r="U10" i="44" s="1"/>
  <c r="E143" i="7"/>
  <c r="G143" i="7" s="1"/>
  <c r="X10" i="44" s="1"/>
  <c r="G134" i="8"/>
  <c r="E134" i="7"/>
  <c r="G134" i="7" s="1"/>
  <c r="G152" i="33"/>
  <c r="G151" i="33"/>
  <c r="Z9" i="44" s="1"/>
  <c r="G150" i="33"/>
  <c r="G149" i="33"/>
  <c r="G148" i="33"/>
  <c r="W9" i="44" s="1"/>
  <c r="G147" i="33"/>
  <c r="V9" i="44" s="1"/>
  <c r="G146" i="33"/>
  <c r="T9" i="44" s="1"/>
  <c r="G145" i="33"/>
  <c r="S9" i="44" s="1"/>
  <c r="G144" i="33"/>
  <c r="U9" i="44" s="1"/>
  <c r="G143" i="33"/>
  <c r="X9" i="44" s="1"/>
  <c r="G134" i="33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38" i="30"/>
  <c r="E128" i="30"/>
  <c r="E124" i="30"/>
  <c r="G113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39" i="29"/>
  <c r="E138" i="29"/>
  <c r="E133" i="29"/>
  <c r="E132" i="29"/>
  <c r="E131" i="29"/>
  <c r="E130" i="29"/>
  <c r="E129" i="29"/>
  <c r="E128" i="29"/>
  <c r="E124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2" i="29"/>
  <c r="E12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68" i="28"/>
  <c r="E167" i="28"/>
  <c r="E166" i="28"/>
  <c r="E165" i="28"/>
  <c r="E164" i="28"/>
  <c r="E163" i="28"/>
  <c r="E162" i="28"/>
  <c r="G162" i="28" s="1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89" i="27"/>
  <c r="E188" i="27"/>
  <c r="E187" i="27"/>
  <c r="E185" i="27"/>
  <c r="E184" i="27"/>
  <c r="E183" i="27"/>
  <c r="E180" i="27"/>
  <c r="G180" i="27" s="1"/>
  <c r="E179" i="27"/>
  <c r="G179" i="27" s="1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65" i="27"/>
  <c r="E64" i="27"/>
  <c r="E63" i="27"/>
  <c r="E62" i="27"/>
  <c r="E49" i="27"/>
  <c r="E46" i="27"/>
  <c r="E45" i="27"/>
  <c r="E44" i="27"/>
  <c r="E43" i="27"/>
  <c r="E42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75" i="24"/>
  <c r="E184" i="24"/>
  <c r="E183" i="24"/>
  <c r="E179" i="24"/>
  <c r="E178" i="24"/>
  <c r="E174" i="24"/>
  <c r="E168" i="24"/>
  <c r="E167" i="24"/>
  <c r="E166" i="24"/>
  <c r="E165" i="24"/>
  <c r="E164" i="24"/>
  <c r="E163" i="24"/>
  <c r="E162" i="24"/>
  <c r="E161" i="24"/>
  <c r="E138" i="24"/>
  <c r="E131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3" i="24"/>
  <c r="E52" i="24"/>
  <c r="E51" i="24"/>
  <c r="E46" i="24"/>
  <c r="E45" i="24"/>
  <c r="E44" i="24"/>
  <c r="E43" i="24"/>
  <c r="E41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2" i="23"/>
  <c r="E121" i="23"/>
  <c r="E119" i="23"/>
  <c r="E118" i="23"/>
  <c r="E117" i="23"/>
  <c r="E116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38" i="22"/>
  <c r="E133" i="22"/>
  <c r="E131" i="22"/>
  <c r="E130" i="22"/>
  <c r="E129" i="22"/>
  <c r="E128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G166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G55" i="21"/>
  <c r="E49" i="21"/>
  <c r="E35" i="21"/>
  <c r="E24" i="21"/>
  <c r="E23" i="21"/>
  <c r="E22" i="21"/>
  <c r="E185" i="19"/>
  <c r="E184" i="19"/>
  <c r="E183" i="19"/>
  <c r="E180" i="19"/>
  <c r="E179" i="19"/>
  <c r="E178" i="19"/>
  <c r="E175" i="19"/>
  <c r="E174" i="19"/>
  <c r="E173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12" i="19"/>
  <c r="G88" i="19"/>
  <c r="G84" i="19"/>
  <c r="E82" i="19"/>
  <c r="E79" i="19"/>
  <c r="E78" i="19"/>
  <c r="E77" i="19"/>
  <c r="E76" i="19"/>
  <c r="G76" i="19" s="1"/>
  <c r="E75" i="19"/>
  <c r="E74" i="19"/>
  <c r="G74" i="19" s="1"/>
  <c r="G67" i="19"/>
  <c r="E65" i="19"/>
  <c r="E64" i="19"/>
  <c r="E63" i="19"/>
  <c r="E62" i="19"/>
  <c r="E49" i="19"/>
  <c r="E23" i="19"/>
  <c r="G23" i="19" s="1"/>
  <c r="E22" i="19"/>
  <c r="H124" i="18"/>
  <c r="H124" i="19" s="1"/>
  <c r="E174" i="18"/>
  <c r="E185" i="18"/>
  <c r="E184" i="18"/>
  <c r="E183" i="18"/>
  <c r="E179" i="18"/>
  <c r="E178" i="18"/>
  <c r="E175" i="18"/>
  <c r="E173" i="18"/>
  <c r="E165" i="18"/>
  <c r="E164" i="18"/>
  <c r="E163" i="18"/>
  <c r="E162" i="18"/>
  <c r="E161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3" i="18"/>
  <c r="E112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49" i="18"/>
  <c r="E35" i="18"/>
  <c r="E24" i="18"/>
  <c r="E23" i="18"/>
  <c r="E22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39" i="17"/>
  <c r="E138" i="17"/>
  <c r="E133" i="17"/>
  <c r="E132" i="17"/>
  <c r="E131" i="17"/>
  <c r="E130" i="17"/>
  <c r="E129" i="17"/>
  <c r="E128" i="17"/>
  <c r="G114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65" i="17"/>
  <c r="E63" i="17"/>
  <c r="E62" i="17"/>
  <c r="E49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69" i="16"/>
  <c r="E68" i="16"/>
  <c r="E67" i="16"/>
  <c r="E66" i="16"/>
  <c r="E65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2" i="16"/>
  <c r="E12" i="16"/>
  <c r="E11" i="16"/>
  <c r="E184" i="15"/>
  <c r="E183" i="15"/>
  <c r="E173" i="15"/>
  <c r="E168" i="15"/>
  <c r="E167" i="15"/>
  <c r="E166" i="15"/>
  <c r="E138" i="15"/>
  <c r="E133" i="15"/>
  <c r="E132" i="15"/>
  <c r="E131" i="15"/>
  <c r="E130" i="15"/>
  <c r="E129" i="15"/>
  <c r="E128" i="15"/>
  <c r="E112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3" i="14"/>
  <c r="E168" i="14"/>
  <c r="E167" i="14"/>
  <c r="E166" i="14"/>
  <c r="E165" i="14"/>
  <c r="E164" i="14"/>
  <c r="E163" i="14"/>
  <c r="E162" i="14"/>
  <c r="E161" i="14"/>
  <c r="E138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G78" i="14" s="1"/>
  <c r="E77" i="14"/>
  <c r="G77" i="14" s="1"/>
  <c r="E76" i="14"/>
  <c r="G76" i="14" s="1"/>
  <c r="E75" i="14"/>
  <c r="G75" i="14" s="1"/>
  <c r="E74" i="14"/>
  <c r="G74" i="14" s="1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2" i="12"/>
  <c r="E161" i="12"/>
  <c r="G161" i="12" s="1"/>
  <c r="E142" i="12"/>
  <c r="E141" i="12"/>
  <c r="E140" i="12"/>
  <c r="E139" i="12"/>
  <c r="E138" i="12"/>
  <c r="E128" i="12"/>
  <c r="E123" i="12"/>
  <c r="E122" i="12"/>
  <c r="E121" i="12"/>
  <c r="E120" i="12"/>
  <c r="E119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G74" i="12" s="1"/>
  <c r="E70" i="12"/>
  <c r="E69" i="12"/>
  <c r="E68" i="12"/>
  <c r="E67" i="12"/>
  <c r="E66" i="12"/>
  <c r="E65" i="12"/>
  <c r="E64" i="12"/>
  <c r="E63" i="12"/>
  <c r="E62" i="12"/>
  <c r="E49" i="12"/>
  <c r="E35" i="12"/>
  <c r="G35" i="12" s="1"/>
  <c r="E23" i="12"/>
  <c r="E22" i="12"/>
  <c r="E12" i="12"/>
  <c r="E11" i="12"/>
  <c r="H124" i="11"/>
  <c r="H26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3" i="11"/>
  <c r="E22" i="11"/>
  <c r="E12" i="11"/>
  <c r="E11" i="11"/>
  <c r="E185" i="10"/>
  <c r="E184" i="10"/>
  <c r="E183" i="10"/>
  <c r="E180" i="10"/>
  <c r="E179" i="10"/>
  <c r="E178" i="10"/>
  <c r="G178" i="10" s="1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3" i="10"/>
  <c r="E132" i="10"/>
  <c r="E131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23" i="10"/>
  <c r="E22" i="10"/>
  <c r="E185" i="9"/>
  <c r="E184" i="9"/>
  <c r="E183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82" i="9"/>
  <c r="E79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4" i="7"/>
  <c r="E113" i="7"/>
  <c r="E112" i="7"/>
  <c r="E82" i="7"/>
  <c r="E78" i="7"/>
  <c r="E77" i="7"/>
  <c r="E76" i="7"/>
  <c r="E75" i="7"/>
  <c r="E74" i="7"/>
  <c r="E70" i="7"/>
  <c r="E69" i="7"/>
  <c r="E68" i="7"/>
  <c r="E67" i="7"/>
  <c r="E66" i="7"/>
  <c r="E65" i="7"/>
  <c r="G65" i="7" s="1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2" i="7"/>
  <c r="E12" i="7"/>
  <c r="E11" i="7"/>
  <c r="E185" i="33"/>
  <c r="E184" i="33"/>
  <c r="E183" i="33"/>
  <c r="E182" i="33"/>
  <c r="E181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38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35" i="33"/>
  <c r="E24" i="33"/>
  <c r="E23" i="33"/>
  <c r="E22" i="33"/>
  <c r="H124" i="5"/>
  <c r="E185" i="5"/>
  <c r="E184" i="5"/>
  <c r="E183" i="5"/>
  <c r="E180" i="5"/>
  <c r="E179" i="5"/>
  <c r="E178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49" i="5"/>
  <c r="E35" i="5"/>
  <c r="E24" i="5"/>
  <c r="E23" i="5"/>
  <c r="E22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39" i="4"/>
  <c r="E38" i="4"/>
  <c r="E37" i="4"/>
  <c r="E36" i="4"/>
  <c r="E35" i="4"/>
  <c r="E24" i="4"/>
  <c r="E23" i="4"/>
  <c r="E22" i="4"/>
  <c r="E133" i="3"/>
  <c r="E132" i="3"/>
  <c r="E131" i="3"/>
  <c r="E130" i="3"/>
  <c r="E129" i="3"/>
  <c r="E128" i="3"/>
  <c r="E74" i="3"/>
  <c r="G74" i="3" s="1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6" s="1"/>
  <c r="E18" i="17" s="1"/>
  <c r="E18" i="18" s="1"/>
  <c r="E18" i="19" s="1"/>
  <c r="E18" i="20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H13" i="2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7" i="2"/>
  <c r="I18" i="3"/>
  <c r="I7" i="3"/>
  <c r="J155" i="5" l="1"/>
  <c r="J155" i="4"/>
  <c r="H155" i="7"/>
  <c r="H155" i="8" s="1"/>
  <c r="J156" i="5"/>
  <c r="J156" i="4"/>
  <c r="I92" i="17"/>
  <c r="G27" i="2"/>
  <c r="G22" i="19"/>
  <c r="G24" i="19" s="1"/>
  <c r="E29" i="19" s="1"/>
  <c r="E24" i="19"/>
  <c r="G8" i="3"/>
  <c r="E27" i="3" s="1"/>
  <c r="G27" i="3" s="1"/>
  <c r="E15" i="4"/>
  <c r="E15" i="5" s="1"/>
  <c r="E15" i="33" s="1"/>
  <c r="E7" i="4"/>
  <c r="E7" i="5" s="1"/>
  <c r="E7" i="33" s="1"/>
  <c r="E10" i="7"/>
  <c r="E10" i="9" s="1"/>
  <c r="E10" i="11" s="1"/>
  <c r="E10" i="12" s="1"/>
  <c r="E10" i="13" s="1"/>
  <c r="G9" i="3"/>
  <c r="G19" i="3"/>
  <c r="E19" i="4"/>
  <c r="E19" i="5" s="1"/>
  <c r="G18" i="3"/>
  <c r="E10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H18" i="2"/>
  <c r="J18" i="2" s="1"/>
  <c r="H19" i="2"/>
  <c r="J19" i="2" s="1"/>
  <c r="H8" i="2"/>
  <c r="J8" i="2" s="1"/>
  <c r="I9" i="2" s="1"/>
  <c r="H15" i="2"/>
  <c r="J15" i="2" s="1"/>
  <c r="I16" i="2" s="1"/>
  <c r="I16" i="31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G10" i="16" l="1"/>
  <c r="J155" i="7"/>
  <c r="H20" i="2"/>
  <c r="J20" i="2" s="1"/>
  <c r="I20" i="2" s="1"/>
  <c r="G20" i="3"/>
  <c r="H9" i="3"/>
  <c r="J9" i="3" s="1"/>
  <c r="G7" i="3"/>
  <c r="H7" i="3" s="1"/>
  <c r="J7" i="3" s="1"/>
  <c r="G10" i="3"/>
  <c r="H10" i="3" s="1"/>
  <c r="J10" i="3" s="1"/>
  <c r="G15" i="3"/>
  <c r="H15" i="3" s="1"/>
  <c r="J15" i="3" s="1"/>
  <c r="I16" i="3" s="1"/>
  <c r="E19" i="33"/>
  <c r="E15" i="7"/>
  <c r="E9" i="7"/>
  <c r="E8" i="7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I34" i="1"/>
  <c r="G89" i="31"/>
  <c r="G88" i="31"/>
  <c r="G87" i="31"/>
  <c r="AC34" i="1" s="1"/>
  <c r="G86" i="31"/>
  <c r="AB34" i="1" s="1"/>
  <c r="G85" i="31"/>
  <c r="AA34" i="1" s="1"/>
  <c r="G84" i="3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29" i="31"/>
  <c r="G22" i="31"/>
  <c r="G18" i="31"/>
  <c r="E31" i="31" s="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I90" i="43" s="1"/>
  <c r="G89" i="43"/>
  <c r="G88" i="43"/>
  <c r="G87" i="43"/>
  <c r="AC33" i="1" s="1"/>
  <c r="G86" i="43"/>
  <c r="AB33" i="1" s="1"/>
  <c r="G85" i="43"/>
  <c r="AA33" i="1" s="1"/>
  <c r="G84" i="43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I90" i="30" s="1"/>
  <c r="G89" i="30"/>
  <c r="G88" i="30"/>
  <c r="G87" i="30"/>
  <c r="AC32" i="1" s="1"/>
  <c r="G86" i="30"/>
  <c r="AB32" i="1" s="1"/>
  <c r="G85" i="30"/>
  <c r="AA32" i="1" s="1"/>
  <c r="G84" i="30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G90" i="29"/>
  <c r="I90" i="29" s="1"/>
  <c r="G89" i="29"/>
  <c r="G88" i="29"/>
  <c r="G87" i="29"/>
  <c r="AC31" i="1" s="1"/>
  <c r="G86" i="29"/>
  <c r="AB31" i="1" s="1"/>
  <c r="G85" i="29"/>
  <c r="AA31" i="1" s="1"/>
  <c r="G84" i="29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AB31" i="44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I90" i="28" s="1"/>
  <c r="G89" i="28"/>
  <c r="G88" i="28"/>
  <c r="G87" i="28"/>
  <c r="AC30" i="1" s="1"/>
  <c r="G86" i="28"/>
  <c r="AB30" i="1" s="1"/>
  <c r="G85" i="28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AC23" i="45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I90" i="27" s="1"/>
  <c r="G89" i="27"/>
  <c r="G88" i="27"/>
  <c r="G87" i="27"/>
  <c r="AC29" i="1" s="1"/>
  <c r="G86" i="27"/>
  <c r="AB29" i="1" s="1"/>
  <c r="G85" i="27"/>
  <c r="AA29" i="1" s="1"/>
  <c r="G84" i="27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AC13" i="45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I90" i="40" s="1"/>
  <c r="G89" i="40"/>
  <c r="G88" i="40"/>
  <c r="G87" i="40"/>
  <c r="AC28" i="1" s="1"/>
  <c r="G86" i="40"/>
  <c r="AB28" i="1" s="1"/>
  <c r="G85" i="40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I90" i="25" s="1"/>
  <c r="G89" i="25"/>
  <c r="G88" i="25"/>
  <c r="G87" i="25"/>
  <c r="AC27" i="1" s="1"/>
  <c r="G86" i="25"/>
  <c r="AB27" i="1" s="1"/>
  <c r="G85" i="25"/>
  <c r="AA27" i="1" s="1"/>
  <c r="G84" i="25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I90" i="24" s="1"/>
  <c r="G89" i="24"/>
  <c r="G88" i="24"/>
  <c r="G87" i="24"/>
  <c r="AC26" i="1" s="1"/>
  <c r="G86" i="24"/>
  <c r="AB26" i="1" s="1"/>
  <c r="G85" i="24"/>
  <c r="AA26" i="1" s="1"/>
  <c r="G84" i="24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I90" i="23" s="1"/>
  <c r="G89" i="23"/>
  <c r="G88" i="23"/>
  <c r="G87" i="23"/>
  <c r="AC25" i="1" s="1"/>
  <c r="G86" i="23"/>
  <c r="AB25" i="1" s="1"/>
  <c r="G85" i="23"/>
  <c r="AA25" i="1" s="1"/>
  <c r="G84" i="23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I90" i="22" s="1"/>
  <c r="G89" i="22"/>
  <c r="G88" i="22"/>
  <c r="G87" i="22"/>
  <c r="AC24" i="1" s="1"/>
  <c r="G86" i="22"/>
  <c r="AB24" i="1" s="1"/>
  <c r="G85" i="22"/>
  <c r="AA24" i="1" s="1"/>
  <c r="G84" i="22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I90" i="21" s="1"/>
  <c r="G89" i="21"/>
  <c r="G88" i="21"/>
  <c r="G87" i="21"/>
  <c r="AC23" i="1" s="1"/>
  <c r="G86" i="21"/>
  <c r="AB23" i="1" s="1"/>
  <c r="G85" i="21"/>
  <c r="AA23" i="1" s="1"/>
  <c r="G84" i="2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V18" i="45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I90" i="20" s="1"/>
  <c r="G89" i="20"/>
  <c r="G88" i="20"/>
  <c r="G87" i="20"/>
  <c r="AC22" i="1" s="1"/>
  <c r="G86" i="20"/>
  <c r="AB22" i="1" s="1"/>
  <c r="G85" i="20"/>
  <c r="AA22" i="1" s="1"/>
  <c r="G84" i="20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I90" i="19" s="1"/>
  <c r="G89" i="19"/>
  <c r="I89" i="19" s="1"/>
  <c r="G87" i="19"/>
  <c r="AC21" i="1" s="1"/>
  <c r="G86" i="19"/>
  <c r="AB21" i="1" s="1"/>
  <c r="G85" i="19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I90" i="18" s="1"/>
  <c r="G89" i="18"/>
  <c r="G88" i="18"/>
  <c r="G87" i="18"/>
  <c r="AC20" i="1" s="1"/>
  <c r="G86" i="18"/>
  <c r="AB20" i="1" s="1"/>
  <c r="G85" i="18"/>
  <c r="AA20" i="1" s="1"/>
  <c r="G84" i="18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29" i="18"/>
  <c r="G22" i="18"/>
  <c r="G18" i="18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I90" i="17" s="1"/>
  <c r="G89" i="17"/>
  <c r="G88" i="17"/>
  <c r="G87" i="17"/>
  <c r="AC19" i="1" s="1"/>
  <c r="G86" i="17"/>
  <c r="AB19" i="1" s="1"/>
  <c r="G85" i="17"/>
  <c r="AA19" i="1" s="1"/>
  <c r="G84" i="17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I90" i="16" s="1"/>
  <c r="G89" i="16"/>
  <c r="G88" i="16"/>
  <c r="G87" i="16"/>
  <c r="AC18" i="1" s="1"/>
  <c r="G86" i="16"/>
  <c r="AB18" i="1" s="1"/>
  <c r="G85" i="16"/>
  <c r="AA18" i="1" s="1"/>
  <c r="G84" i="16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4" i="15"/>
  <c r="G183" i="15"/>
  <c r="G186" i="15" s="1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I90" i="15" s="1"/>
  <c r="G89" i="15"/>
  <c r="G88" i="15"/>
  <c r="G87" i="15"/>
  <c r="AC17" i="1" s="1"/>
  <c r="G86" i="15"/>
  <c r="AB17" i="1" s="1"/>
  <c r="G85" i="15"/>
  <c r="AA17" i="1" s="1"/>
  <c r="G84" i="15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188" i="15" s="1"/>
  <c r="G63" i="15"/>
  <c r="Q8" i="45" s="1"/>
  <c r="G62" i="15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I90" i="14" s="1"/>
  <c r="G89" i="14"/>
  <c r="G88" i="14"/>
  <c r="G87" i="14"/>
  <c r="AC16" i="1" s="1"/>
  <c r="G86" i="14"/>
  <c r="AB16" i="1" s="1"/>
  <c r="G85" i="14"/>
  <c r="G84" i="14"/>
  <c r="G83" i="14"/>
  <c r="G82" i="14"/>
  <c r="AS17" i="44"/>
  <c r="AR17" i="44"/>
  <c r="AQ17" i="44"/>
  <c r="AP17" i="4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R16" i="44"/>
  <c r="Q16" i="44"/>
  <c r="P16" i="44"/>
  <c r="O16" i="44"/>
  <c r="G138" i="13"/>
  <c r="G153" i="13" s="1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I90" i="13" s="1"/>
  <c r="G89" i="13"/>
  <c r="G88" i="13"/>
  <c r="G87" i="13"/>
  <c r="AC15" i="1" s="1"/>
  <c r="G86" i="13"/>
  <c r="AB15" i="1" s="1"/>
  <c r="G85" i="13"/>
  <c r="AA15" i="1" s="1"/>
  <c r="G84" i="13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AA15" i="44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I90" i="12" s="1"/>
  <c r="G89" i="12"/>
  <c r="G88" i="12"/>
  <c r="G87" i="12"/>
  <c r="AC14" i="1" s="1"/>
  <c r="G86" i="12"/>
  <c r="AB14" i="1" s="1"/>
  <c r="G85" i="12"/>
  <c r="AA14" i="1" s="1"/>
  <c r="G84" i="12"/>
  <c r="G83" i="12"/>
  <c r="G82" i="12"/>
  <c r="G78" i="12"/>
  <c r="AS15" i="44" s="1"/>
  <c r="G77" i="12"/>
  <c r="AR15" i="44" s="1"/>
  <c r="G76" i="12"/>
  <c r="AQ15" i="44" s="1"/>
  <c r="G75" i="12"/>
  <c r="AP15" i="44" s="1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I90" i="11" s="1"/>
  <c r="G89" i="11"/>
  <c r="G88" i="11"/>
  <c r="G87" i="11"/>
  <c r="AC13" i="1" s="1"/>
  <c r="G86" i="11"/>
  <c r="AB13" i="1" s="1"/>
  <c r="G85" i="11"/>
  <c r="AA13" i="1" s="1"/>
  <c r="G84" i="1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L21" i="45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I90" i="10" s="1"/>
  <c r="G89" i="10"/>
  <c r="G88" i="10"/>
  <c r="G87" i="10"/>
  <c r="AC12" i="1" s="1"/>
  <c r="G86" i="10"/>
  <c r="AB12" i="1" s="1"/>
  <c r="G85" i="10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I90" i="9" s="1"/>
  <c r="G89" i="9"/>
  <c r="G88" i="9"/>
  <c r="G87" i="9"/>
  <c r="AC11" i="1" s="1"/>
  <c r="G86" i="9"/>
  <c r="AB11" i="1" s="1"/>
  <c r="G85" i="9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186" i="25" l="1"/>
  <c r="Q7" i="45"/>
  <c r="AA16" i="1"/>
  <c r="G47" i="10"/>
  <c r="AB23" i="45"/>
  <c r="G181" i="40"/>
  <c r="G189" i="40" s="1"/>
  <c r="E31" i="18"/>
  <c r="G31" i="18" s="1"/>
  <c r="E10" i="17"/>
  <c r="E10" i="18" s="1"/>
  <c r="I92" i="10"/>
  <c r="E31" i="40"/>
  <c r="G31" i="40" s="1"/>
  <c r="I89" i="27"/>
  <c r="G188" i="25"/>
  <c r="I89" i="40"/>
  <c r="I89" i="24"/>
  <c r="I89" i="20"/>
  <c r="I92" i="24"/>
  <c r="I89" i="18"/>
  <c r="I92" i="28"/>
  <c r="I89" i="14"/>
  <c r="I92" i="14"/>
  <c r="I89" i="13"/>
  <c r="I92" i="15"/>
  <c r="I92" i="16"/>
  <c r="I92" i="23"/>
  <c r="I89" i="30"/>
  <c r="I92" i="9"/>
  <c r="I89" i="12"/>
  <c r="I92" i="19"/>
  <c r="I92" i="20"/>
  <c r="I89" i="25"/>
  <c r="I92" i="11"/>
  <c r="I89" i="10"/>
  <c r="Z20" i="1"/>
  <c r="I87" i="18"/>
  <c r="Z16" i="1"/>
  <c r="I87" i="14"/>
  <c r="I89" i="11"/>
  <c r="Z17" i="1"/>
  <c r="I87" i="15"/>
  <c r="Z18" i="1"/>
  <c r="I87" i="16"/>
  <c r="Z19" i="1"/>
  <c r="I87" i="17"/>
  <c r="I92" i="21"/>
  <c r="I92" i="22"/>
  <c r="Z25" i="1"/>
  <c r="I87" i="23"/>
  <c r="I89" i="28"/>
  <c r="I89" i="29"/>
  <c r="I92" i="43"/>
  <c r="AK34" i="1"/>
  <c r="I92" i="31"/>
  <c r="Z26" i="1"/>
  <c r="I87" i="24"/>
  <c r="Z23" i="1"/>
  <c r="I87" i="21"/>
  <c r="Z24" i="1"/>
  <c r="I87" i="22"/>
  <c r="Z33" i="1"/>
  <c r="I87" i="43"/>
  <c r="Z34" i="1"/>
  <c r="I87" i="31"/>
  <c r="AA28" i="1"/>
  <c r="I87" i="40"/>
  <c r="Z22" i="1"/>
  <c r="I87" i="20"/>
  <c r="I92" i="30"/>
  <c r="AL31" i="1"/>
  <c r="I92" i="29"/>
  <c r="Z32" i="1"/>
  <c r="I87" i="30"/>
  <c r="Z15" i="1"/>
  <c r="I87" i="13"/>
  <c r="Z13" i="1"/>
  <c r="I87" i="11"/>
  <c r="I92" i="12"/>
  <c r="I89" i="15"/>
  <c r="I89" i="16"/>
  <c r="I89" i="17"/>
  <c r="AA21" i="1"/>
  <c r="I87" i="19"/>
  <c r="I89" i="23"/>
  <c r="I92" i="25"/>
  <c r="I92" i="40"/>
  <c r="I92" i="27"/>
  <c r="Z31" i="1"/>
  <c r="I87" i="29"/>
  <c r="Z14" i="1"/>
  <c r="I87" i="12"/>
  <c r="I92" i="13"/>
  <c r="I92" i="18"/>
  <c r="I89" i="21"/>
  <c r="I89" i="22"/>
  <c r="Z27" i="1"/>
  <c r="I87" i="25"/>
  <c r="Z29" i="1"/>
  <c r="I87" i="27"/>
  <c r="AA30" i="1"/>
  <c r="I87" i="28"/>
  <c r="I89" i="43"/>
  <c r="I89" i="31"/>
  <c r="I89" i="9"/>
  <c r="AA12" i="1"/>
  <c r="I87" i="10"/>
  <c r="AA11" i="1"/>
  <c r="I87" i="9"/>
  <c r="G59" i="43"/>
  <c r="H20" i="3"/>
  <c r="J20" i="3" s="1"/>
  <c r="I20" i="3" s="1"/>
  <c r="AO18" i="44"/>
  <c r="G125" i="17"/>
  <c r="I125" i="17" s="1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I153" i="13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O7" i="45"/>
  <c r="G188" i="10"/>
  <c r="G188" i="19"/>
  <c r="G188" i="18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G186" i="27"/>
  <c r="G186" i="40"/>
  <c r="G47" i="40"/>
  <c r="G186" i="22"/>
  <c r="G186" i="21"/>
  <c r="G186" i="11"/>
  <c r="G186" i="9"/>
  <c r="H168" i="10"/>
  <c r="J168" i="9"/>
  <c r="H167" i="10"/>
  <c r="J167" i="9"/>
  <c r="H182" i="7"/>
  <c r="J182" i="33"/>
  <c r="H177" i="7"/>
  <c r="J177" i="33"/>
  <c r="G104" i="31"/>
  <c r="G186" i="31"/>
  <c r="G102" i="31"/>
  <c r="G31" i="31"/>
  <c r="G94" i="31"/>
  <c r="G98" i="31"/>
  <c r="G100" i="31"/>
  <c r="G71" i="31"/>
  <c r="G71" i="43"/>
  <c r="G96" i="43"/>
  <c r="G71" i="30"/>
  <c r="G100" i="30"/>
  <c r="G47" i="30"/>
  <c r="G100" i="29"/>
  <c r="G181" i="28"/>
  <c r="G189" i="28" s="1"/>
  <c r="G47" i="27"/>
  <c r="G71" i="40"/>
  <c r="G96" i="40"/>
  <c r="G176" i="24"/>
  <c r="G181" i="24"/>
  <c r="G189" i="24" s="1"/>
  <c r="G186" i="23"/>
  <c r="G71" i="23"/>
  <c r="G47" i="23"/>
  <c r="G47" i="22"/>
  <c r="G96" i="21"/>
  <c r="G186" i="20"/>
  <c r="G71" i="20"/>
  <c r="G104" i="19"/>
  <c r="G181" i="18"/>
  <c r="G189" i="18" s="1"/>
  <c r="G186" i="16"/>
  <c r="G71" i="16"/>
  <c r="G47" i="16"/>
  <c r="G181" i="14"/>
  <c r="G189" i="14" s="1"/>
  <c r="G176" i="13"/>
  <c r="G181" i="13"/>
  <c r="G189" i="13" s="1"/>
  <c r="G186" i="12"/>
  <c r="G47" i="12"/>
  <c r="G71" i="11"/>
  <c r="G47" i="11"/>
  <c r="G186" i="10"/>
  <c r="G71" i="9"/>
  <c r="G96" i="9"/>
  <c r="G47" i="9"/>
  <c r="G59" i="31"/>
  <c r="G176" i="31"/>
  <c r="G181" i="31"/>
  <c r="G189" i="31" s="1"/>
  <c r="G64" i="31"/>
  <c r="G96" i="31"/>
  <c r="G47" i="31"/>
  <c r="G71" i="10"/>
  <c r="G176" i="14"/>
  <c r="G181" i="15"/>
  <c r="G189" i="15" s="1"/>
  <c r="G71" i="12"/>
  <c r="G176" i="15"/>
  <c r="G181" i="17"/>
  <c r="G189" i="17" s="1"/>
  <c r="G186" i="18"/>
  <c r="G176" i="19"/>
  <c r="G176" i="21"/>
  <c r="G186" i="24"/>
  <c r="G176" i="28"/>
  <c r="G94" i="43"/>
  <c r="G98" i="43"/>
  <c r="G100" i="14"/>
  <c r="G96" i="15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100" i="17"/>
  <c r="G104" i="18"/>
  <c r="G96" i="18"/>
  <c r="G186" i="19"/>
  <c r="G186" i="29"/>
  <c r="G181" i="19"/>
  <c r="G189" i="19" s="1"/>
  <c r="G100" i="15"/>
  <c r="G104" i="17"/>
  <c r="G96" i="17"/>
  <c r="G102" i="18"/>
  <c r="G71" i="25"/>
  <c r="G71" i="27"/>
  <c r="G102" i="24"/>
  <c r="G96" i="25"/>
  <c r="G71" i="22"/>
  <c r="G100" i="24"/>
  <c r="G104" i="28"/>
  <c r="G96" i="28"/>
  <c r="G96" i="29"/>
  <c r="G181" i="21"/>
  <c r="G189" i="21" s="1"/>
  <c r="G96" i="24"/>
  <c r="G94" i="30"/>
  <c r="G59" i="30"/>
  <c r="G98" i="30"/>
  <c r="G176" i="30"/>
  <c r="G96" i="30"/>
  <c r="G104" i="30"/>
  <c r="G64" i="30"/>
  <c r="G59" i="29"/>
  <c r="G176" i="29"/>
  <c r="G181" i="29"/>
  <c r="G189" i="29" s="1"/>
  <c r="G64" i="29"/>
  <c r="G71" i="28"/>
  <c r="G47" i="28"/>
  <c r="G59" i="28"/>
  <c r="G64" i="28"/>
  <c r="G94" i="28"/>
  <c r="G98" i="28"/>
  <c r="G94" i="27"/>
  <c r="G59" i="27"/>
  <c r="G98" i="27"/>
  <c r="G176" i="27"/>
  <c r="G181" i="27"/>
  <c r="G189" i="27" s="1"/>
  <c r="G96" i="27"/>
  <c r="G104" i="27"/>
  <c r="G64" i="27"/>
  <c r="G94" i="40"/>
  <c r="G59" i="40"/>
  <c r="G98" i="40"/>
  <c r="G176" i="40"/>
  <c r="G104" i="40"/>
  <c r="G64" i="40"/>
  <c r="G59" i="25"/>
  <c r="G176" i="25"/>
  <c r="G181" i="25"/>
  <c r="G189" i="25" s="1"/>
  <c r="G64" i="25"/>
  <c r="G47" i="25"/>
  <c r="G71" i="24"/>
  <c r="G47" i="24"/>
  <c r="G59" i="24"/>
  <c r="G64" i="24"/>
  <c r="G94" i="24"/>
  <c r="G98" i="24"/>
  <c r="G94" i="23"/>
  <c r="G59" i="23"/>
  <c r="G98" i="23"/>
  <c r="G176" i="23"/>
  <c r="G181" i="23"/>
  <c r="G189" i="23" s="1"/>
  <c r="G96" i="23"/>
  <c r="G104" i="23"/>
  <c r="G64" i="23"/>
  <c r="G94" i="22"/>
  <c r="G59" i="22"/>
  <c r="G98" i="22"/>
  <c r="G176" i="22"/>
  <c r="G181" i="22"/>
  <c r="G189" i="22" s="1"/>
  <c r="G96" i="22"/>
  <c r="G104" i="22"/>
  <c r="G64" i="22"/>
  <c r="G64" i="21"/>
  <c r="G59" i="21"/>
  <c r="G71" i="21"/>
  <c r="G47" i="21"/>
  <c r="G94" i="21"/>
  <c r="G98" i="21"/>
  <c r="G59" i="20"/>
  <c r="G176" i="20"/>
  <c r="G181" i="20"/>
  <c r="G189" i="20" s="1"/>
  <c r="G96" i="20"/>
  <c r="G64" i="20"/>
  <c r="G47" i="20"/>
  <c r="G64" i="19"/>
  <c r="G96" i="19"/>
  <c r="G59" i="19"/>
  <c r="G71" i="19"/>
  <c r="G94" i="19"/>
  <c r="G98" i="19"/>
  <c r="G71" i="18"/>
  <c r="G47" i="18"/>
  <c r="G59" i="18"/>
  <c r="G64" i="18"/>
  <c r="G94" i="18"/>
  <c r="G98" i="18"/>
  <c r="G71" i="17"/>
  <c r="G186" i="17"/>
  <c r="G59" i="17"/>
  <c r="G64" i="17"/>
  <c r="G94" i="17"/>
  <c r="G98" i="17"/>
  <c r="G94" i="16"/>
  <c r="G59" i="16"/>
  <c r="G98" i="16"/>
  <c r="G176" i="16"/>
  <c r="G181" i="16"/>
  <c r="G189" i="16" s="1"/>
  <c r="G96" i="16"/>
  <c r="G104" i="16"/>
  <c r="G64" i="16"/>
  <c r="G64" i="15"/>
  <c r="G59" i="15"/>
  <c r="G71" i="15"/>
  <c r="G47" i="15"/>
  <c r="G94" i="15"/>
  <c r="G98" i="15"/>
  <c r="G186" i="14"/>
  <c r="G71" i="14"/>
  <c r="G47" i="14"/>
  <c r="G59" i="14"/>
  <c r="G64" i="14"/>
  <c r="G94" i="14"/>
  <c r="G98" i="14"/>
  <c r="G59" i="13"/>
  <c r="G71" i="13"/>
  <c r="G64" i="13"/>
  <c r="G96" i="13"/>
  <c r="G186" i="13"/>
  <c r="G47" i="13"/>
  <c r="G64" i="12"/>
  <c r="G94" i="12"/>
  <c r="G59" i="12"/>
  <c r="G98" i="12"/>
  <c r="G176" i="12"/>
  <c r="G181" i="12"/>
  <c r="G189" i="12" s="1"/>
  <c r="G104" i="12"/>
  <c r="G64" i="11"/>
  <c r="G94" i="11"/>
  <c r="G59" i="11"/>
  <c r="G98" i="11"/>
  <c r="G176" i="11"/>
  <c r="G181" i="11"/>
  <c r="G189" i="11" s="1"/>
  <c r="G104" i="11"/>
  <c r="G104" i="10"/>
  <c r="G64" i="10"/>
  <c r="G94" i="10"/>
  <c r="G59" i="10"/>
  <c r="G98" i="10"/>
  <c r="G100" i="10"/>
  <c r="G102" i="10"/>
  <c r="G176" i="10"/>
  <c r="G181" i="10"/>
  <c r="G189" i="10" s="1"/>
  <c r="G96" i="10"/>
  <c r="G64" i="9"/>
  <c r="G59" i="9"/>
  <c r="G94" i="9"/>
  <c r="G98" i="9"/>
  <c r="G176" i="9"/>
  <c r="G181" i="9"/>
  <c r="G189" i="9" s="1"/>
  <c r="G104" i="9"/>
  <c r="E31" i="9"/>
  <c r="G31" i="9" s="1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I90" i="8" s="1"/>
  <c r="G89" i="8"/>
  <c r="G88" i="8"/>
  <c r="G87" i="8"/>
  <c r="AC10" i="1" s="1"/>
  <c r="G86" i="8"/>
  <c r="AB10" i="1" s="1"/>
  <c r="G85" i="8"/>
  <c r="AA10" i="1" s="1"/>
  <c r="G84" i="8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I90" i="7" s="1"/>
  <c r="G89" i="7"/>
  <c r="AW10" i="44" s="1"/>
  <c r="G88" i="7"/>
  <c r="G87" i="7"/>
  <c r="AC9" i="1" s="1"/>
  <c r="G86" i="7"/>
  <c r="AB9" i="1" s="1"/>
  <c r="G85" i="7"/>
  <c r="AA9" i="1" s="1"/>
  <c r="G84" i="7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I90" i="33" s="1"/>
  <c r="G89" i="33"/>
  <c r="G88" i="33"/>
  <c r="G87" i="33"/>
  <c r="AC8" i="1" s="1"/>
  <c r="G86" i="33"/>
  <c r="AB8" i="1" s="1"/>
  <c r="G85" i="33"/>
  <c r="AA8" i="1" s="1"/>
  <c r="G84" i="33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I90" i="5" s="1"/>
  <c r="G89" i="5"/>
  <c r="G88" i="5"/>
  <c r="G87" i="5"/>
  <c r="AC7" i="1" s="1"/>
  <c r="G86" i="5"/>
  <c r="AB7" i="1" s="1"/>
  <c r="G85" i="5"/>
  <c r="AA7" i="1" s="1"/>
  <c r="G84" i="5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N8" i="5" s="1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I90" i="4" s="1"/>
  <c r="G89" i="4"/>
  <c r="G88" i="4"/>
  <c r="G87" i="4"/>
  <c r="AC6" i="1" s="1"/>
  <c r="G86" i="4"/>
  <c r="AB6" i="1" s="1"/>
  <c r="G85" i="4"/>
  <c r="AA6" i="1" s="1"/>
  <c r="G84" i="4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I90" i="3" s="1"/>
  <c r="G89" i="3"/>
  <c r="G88" i="3"/>
  <c r="G87" i="3"/>
  <c r="AC5" i="1" s="1"/>
  <c r="G86" i="3"/>
  <c r="AB5" i="1" s="1"/>
  <c r="G85" i="3"/>
  <c r="AA5" i="1" s="1"/>
  <c r="G84" i="3"/>
  <c r="G83" i="3"/>
  <c r="G82" i="3"/>
  <c r="G78" i="3"/>
  <c r="AS6" i="44" s="1"/>
  <c r="G77" i="3"/>
  <c r="AR6" i="44" s="1"/>
  <c r="G76" i="3"/>
  <c r="AQ6" i="44" s="1"/>
  <c r="G75" i="3"/>
  <c r="AP6" i="44" s="1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I92" i="2" s="1"/>
  <c r="G90" i="2"/>
  <c r="I90" i="2" s="1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G30" i="2"/>
  <c r="H30" i="2" s="1"/>
  <c r="G31" i="2"/>
  <c r="H31" i="2" s="1"/>
  <c r="K9" i="2"/>
  <c r="M8" i="2"/>
  <c r="H27" i="2"/>
  <c r="H8" i="4" l="1"/>
  <c r="N8" i="4"/>
  <c r="G60" i="10"/>
  <c r="G60" i="11"/>
  <c r="G60" i="40"/>
  <c r="G60" i="13"/>
  <c r="G10" i="17"/>
  <c r="I135" i="29"/>
  <c r="I89" i="8"/>
  <c r="I89" i="3"/>
  <c r="I92" i="8"/>
  <c r="I92" i="3"/>
  <c r="I89" i="5"/>
  <c r="I92" i="7"/>
  <c r="Z9" i="1"/>
  <c r="I87" i="7"/>
  <c r="I87" i="2"/>
  <c r="I92" i="4"/>
  <c r="I89" i="33"/>
  <c r="Z10" i="1"/>
  <c r="I87" i="8"/>
  <c r="Z7" i="1"/>
  <c r="I87" i="5"/>
  <c r="I89" i="2"/>
  <c r="Z5" i="1"/>
  <c r="I87" i="3"/>
  <c r="I92" i="33"/>
  <c r="I89" i="7"/>
  <c r="Z8" i="1"/>
  <c r="I87" i="33"/>
  <c r="Z6" i="1"/>
  <c r="I87" i="4"/>
  <c r="I89" i="4"/>
  <c r="I92" i="5"/>
  <c r="G60" i="16"/>
  <c r="G60" i="17"/>
  <c r="AZ18" i="44"/>
  <c r="G60" i="15"/>
  <c r="H29" i="2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i="2" s="1"/>
  <c r="I13" i="3"/>
  <c r="G19" i="7"/>
  <c r="E30" i="7" s="1"/>
  <c r="G30" i="7" s="1"/>
  <c r="G15" i="8"/>
  <c r="G79" i="8" s="1"/>
  <c r="G9" i="8"/>
  <c r="G8" i="8"/>
  <c r="G9" i="7"/>
  <c r="G60" i="18"/>
  <c r="G60" i="29"/>
  <c r="AD11" i="44"/>
  <c r="AD10" i="44"/>
  <c r="AD9" i="44"/>
  <c r="AD8" i="44"/>
  <c r="AD7" i="44"/>
  <c r="AD6" i="44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J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H15" i="5"/>
  <c r="H15" i="33" s="1"/>
  <c r="H15" i="7" s="1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186" i="8"/>
  <c r="G96" i="8"/>
  <c r="G71" i="7"/>
  <c r="G102" i="7"/>
  <c r="G103" i="7" s="1"/>
  <c r="G79" i="33"/>
  <c r="G80" i="33" s="1"/>
  <c r="G71" i="33"/>
  <c r="G186" i="5"/>
  <c r="G96" i="4"/>
  <c r="G97" i="4" s="1"/>
  <c r="G60" i="31"/>
  <c r="G71" i="3"/>
  <c r="G186" i="33"/>
  <c r="G176" i="4"/>
  <c r="G71" i="8"/>
  <c r="G181" i="2"/>
  <c r="G104" i="2"/>
  <c r="H104" i="2" s="1"/>
  <c r="G96" i="2"/>
  <c r="H96" i="2" s="1"/>
  <c r="G79" i="4"/>
  <c r="G181" i="4"/>
  <c r="G189" i="4" s="1"/>
  <c r="G60" i="28"/>
  <c r="G60" i="24"/>
  <c r="G60" i="21"/>
  <c r="H189" i="20"/>
  <c r="G60" i="20"/>
  <c r="G60" i="14"/>
  <c r="G60" i="9"/>
  <c r="G104" i="8"/>
  <c r="G59" i="8"/>
  <c r="G102" i="8"/>
  <c r="G176" i="8"/>
  <c r="G181" i="8"/>
  <c r="G189" i="8" s="1"/>
  <c r="G64" i="8"/>
  <c r="G47" i="8"/>
  <c r="E27" i="7"/>
  <c r="G27" i="7" s="1"/>
  <c r="G104" i="7"/>
  <c r="G96" i="7"/>
  <c r="G59" i="7"/>
  <c r="G176" i="7"/>
  <c r="G181" i="7"/>
  <c r="G189" i="7" s="1"/>
  <c r="G79" i="7"/>
  <c r="G94" i="7"/>
  <c r="G98" i="7"/>
  <c r="G64" i="7"/>
  <c r="G47" i="7"/>
  <c r="E28" i="7"/>
  <c r="G28" i="7" s="1"/>
  <c r="E27" i="33"/>
  <c r="G27" i="33" s="1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E28" i="33"/>
  <c r="G28" i="33" s="1"/>
  <c r="G64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E28" i="5"/>
  <c r="G28" i="5" s="1"/>
  <c r="G64" i="4"/>
  <c r="E30" i="4"/>
  <c r="G30" i="4" s="1"/>
  <c r="E27" i="4"/>
  <c r="G27" i="4" s="1"/>
  <c r="G59" i="4"/>
  <c r="G71" i="4"/>
  <c r="G186" i="4"/>
  <c r="G47" i="4"/>
  <c r="G20" i="4"/>
  <c r="H20" i="4" s="1"/>
  <c r="G94" i="4"/>
  <c r="G98" i="4"/>
  <c r="E28" i="4"/>
  <c r="G28" i="4" s="1"/>
  <c r="E30" i="3"/>
  <c r="G64" i="3"/>
  <c r="G104" i="3"/>
  <c r="G96" i="3"/>
  <c r="G59" i="3"/>
  <c r="G176" i="3"/>
  <c r="G181" i="3"/>
  <c r="G189" i="3" s="1"/>
  <c r="G79" i="3"/>
  <c r="G94" i="3"/>
  <c r="G98" i="3"/>
  <c r="E31" i="3"/>
  <c r="G47" i="3"/>
  <c r="E28" i="3"/>
  <c r="G28" i="3" s="1"/>
  <c r="G71" i="2"/>
  <c r="H71" i="2" s="1"/>
  <c r="G47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G60" i="7" l="1"/>
  <c r="E27" i="8"/>
  <c r="G27" i="8" s="1"/>
  <c r="O8" i="8"/>
  <c r="H10" i="17"/>
  <c r="G32" i="2"/>
  <c r="H32" i="2" s="1"/>
  <c r="H112" i="3"/>
  <c r="J112" i="3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H8" i="8"/>
  <c r="G187" i="7"/>
  <c r="G20" i="7"/>
  <c r="E19" i="8"/>
  <c r="G99" i="8"/>
  <c r="G97" i="8"/>
  <c r="G101" i="8"/>
  <c r="H7" i="8"/>
  <c r="G95" i="8"/>
  <c r="G10" i="18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10" i="18" l="1"/>
  <c r="G15" i="9"/>
  <c r="H28" i="8"/>
  <c r="H112" i="4"/>
  <c r="J112" i="4" s="1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H20" i="7"/>
  <c r="G19" i="8"/>
  <c r="P9" i="9"/>
  <c r="G9" i="9"/>
  <c r="H9" i="9" s="1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H60" i="40" l="1"/>
  <c r="H60" i="27" s="1"/>
  <c r="H60" i="28" s="1"/>
  <c r="H60" i="29" s="1"/>
  <c r="H60" i="30" s="1"/>
  <c r="H60" i="43" s="1"/>
  <c r="H60" i="31" s="1"/>
  <c r="G10" i="20"/>
  <c r="E15" i="10"/>
  <c r="G79" i="9"/>
  <c r="G80" i="9" s="1"/>
  <c r="E28" i="9"/>
  <c r="G28" i="9" s="1"/>
  <c r="H28" i="9" s="1"/>
  <c r="H15" i="9"/>
  <c r="H112" i="5"/>
  <c r="J112" i="5" s="1"/>
  <c r="J64" i="43"/>
  <c r="H71" i="31"/>
  <c r="J71" i="31" s="1"/>
  <c r="E19" i="9"/>
  <c r="G19" i="9" s="1"/>
  <c r="E27" i="10"/>
  <c r="G27" i="10" s="1"/>
  <c r="G187" i="8"/>
  <c r="E30" i="8"/>
  <c r="G30" i="8" s="1"/>
  <c r="G20" i="8"/>
  <c r="H20" i="8" s="1"/>
  <c r="H19" i="8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5" i="33"/>
  <c r="J115" i="5"/>
  <c r="H119" i="33"/>
  <c r="J119" i="5"/>
  <c r="H117" i="33"/>
  <c r="J117" i="5"/>
  <c r="G15" i="10" l="1"/>
  <c r="H15" i="10" s="1"/>
  <c r="G10" i="19"/>
  <c r="H10" i="19" s="1"/>
  <c r="H10" i="20" s="1"/>
  <c r="H112" i="33"/>
  <c r="H112" i="7" s="1"/>
  <c r="H79" i="9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E8" i="11"/>
  <c r="G9" i="10"/>
  <c r="H9" i="10" s="1"/>
  <c r="G7" i="10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E15" i="11" l="1"/>
  <c r="G15" i="11" s="1"/>
  <c r="H15" i="11" s="1"/>
  <c r="E28" i="10"/>
  <c r="G28" i="10" s="1"/>
  <c r="H28" i="10" s="1"/>
  <c r="G79" i="10"/>
  <c r="G80" i="10" s="1"/>
  <c r="H7" i="10"/>
  <c r="N7" i="10"/>
  <c r="J112" i="33"/>
  <c r="H30" i="9"/>
  <c r="E7" i="11"/>
  <c r="H32" i="9"/>
  <c r="G19" i="10"/>
  <c r="H19" i="10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15" i="12" l="1"/>
  <c r="G15" i="12" s="1"/>
  <c r="H79" i="10"/>
  <c r="G7" i="1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27" i="11"/>
  <c r="G27" i="11" s="1"/>
  <c r="H8" i="11"/>
  <c r="E9" i="12"/>
  <c r="G9" i="11"/>
  <c r="H9" i="11" s="1"/>
  <c r="E10" i="22"/>
  <c r="H135" i="8"/>
  <c r="J135" i="8" s="1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15" i="13" l="1"/>
  <c r="E15" i="14" s="1"/>
  <c r="E7" i="12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32" i="10"/>
  <c r="H32" i="10" s="1"/>
  <c r="H30" i="10"/>
  <c r="G79" i="12"/>
  <c r="G80" i="12" s="1"/>
  <c r="E28" i="12"/>
  <c r="G28" i="12" s="1"/>
  <c r="H28" i="12" s="1"/>
  <c r="H15" i="12"/>
  <c r="H79" i="11"/>
  <c r="H27" i="11"/>
  <c r="E9" i="13"/>
  <c r="G9" i="12"/>
  <c r="H9" i="12" s="1"/>
  <c r="G10" i="22"/>
  <c r="H10" i="22" s="1"/>
  <c r="E8" i="13"/>
  <c r="F8" i="13" s="1"/>
  <c r="E8" i="14" s="1"/>
  <c r="F8" i="14" s="1"/>
  <c r="G8" i="12"/>
  <c r="E27" i="12" s="1"/>
  <c r="G27" i="12" s="1"/>
  <c r="H135" i="9"/>
  <c r="J135" i="9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15" i="13" l="1"/>
  <c r="G79" i="13" s="1"/>
  <c r="G80" i="13" s="1"/>
  <c r="H80" i="13" s="1"/>
  <c r="J80" i="13" s="1"/>
  <c r="E15" i="15"/>
  <c r="G7" i="12"/>
  <c r="I59" i="12" s="1"/>
  <c r="E7" i="13"/>
  <c r="H79" i="12"/>
  <c r="H8" i="12"/>
  <c r="G187" i="11"/>
  <c r="E30" i="11"/>
  <c r="G30" i="11" s="1"/>
  <c r="G32" i="11" s="1"/>
  <c r="H32" i="11" s="1"/>
  <c r="G20" i="11"/>
  <c r="H20" i="11" s="1"/>
  <c r="H19" i="11"/>
  <c r="E19" i="12"/>
  <c r="H27" i="12"/>
  <c r="G8" i="13"/>
  <c r="E27" i="13" s="1"/>
  <c r="G27" i="13" s="1"/>
  <c r="G9" i="13"/>
  <c r="E9" i="14"/>
  <c r="E10" i="23"/>
  <c r="H135" i="10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E28" i="13" l="1"/>
  <c r="G28" i="13" s="1"/>
  <c r="H28" i="13" s="1"/>
  <c r="H15" i="13"/>
  <c r="E15" i="16"/>
  <c r="G15" i="15"/>
  <c r="G15" i="14"/>
  <c r="F7" i="13"/>
  <c r="E7" i="14" s="1"/>
  <c r="F7" i="14" s="1"/>
  <c r="H9" i="13"/>
  <c r="G105" i="12"/>
  <c r="H105" i="12" s="1"/>
  <c r="G99" i="12"/>
  <c r="H99" i="12" s="1"/>
  <c r="H7" i="12"/>
  <c r="G97" i="12"/>
  <c r="H97" i="12" s="1"/>
  <c r="G103" i="12"/>
  <c r="H103" i="12" s="1"/>
  <c r="G95" i="12"/>
  <c r="H95" i="12" s="1"/>
  <c r="G101" i="12"/>
  <c r="H101" i="12" s="1"/>
  <c r="H30" i="11"/>
  <c r="G19" i="12"/>
  <c r="H79" i="13"/>
  <c r="J79" i="13" s="1"/>
  <c r="H27" i="13"/>
  <c r="E9" i="15"/>
  <c r="G9" i="14"/>
  <c r="E8" i="15"/>
  <c r="G8" i="14"/>
  <c r="E27" i="14" s="1"/>
  <c r="G27" i="14" s="1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E28" i="14" l="1"/>
  <c r="G28" i="14" s="1"/>
  <c r="G79" i="14"/>
  <c r="H28" i="14"/>
  <c r="H79" i="14"/>
  <c r="H15" i="14"/>
  <c r="H15" i="15" s="1"/>
  <c r="E28" i="15"/>
  <c r="G28" i="15" s="1"/>
  <c r="G79" i="15"/>
  <c r="G80" i="15" s="1"/>
  <c r="G15" i="16"/>
  <c r="F8" i="15"/>
  <c r="G7" i="13"/>
  <c r="H9" i="14"/>
  <c r="G7" i="14"/>
  <c r="H19" i="12"/>
  <c r="G187" i="12"/>
  <c r="E30" i="12"/>
  <c r="G30" i="12" s="1"/>
  <c r="G32" i="12" s="1"/>
  <c r="G20" i="12"/>
  <c r="H20" i="12" s="1"/>
  <c r="E19" i="13"/>
  <c r="G9" i="15"/>
  <c r="H27" i="14"/>
  <c r="H135" i="22"/>
  <c r="H135" i="23"/>
  <c r="H135" i="18"/>
  <c r="H135" i="19"/>
  <c r="H135" i="24"/>
  <c r="H135" i="20"/>
  <c r="H135" i="16"/>
  <c r="J135" i="16" s="1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G8" i="15" l="1"/>
  <c r="E8" i="16"/>
  <c r="H28" i="15"/>
  <c r="G80" i="14"/>
  <c r="G79" i="16"/>
  <c r="G80" i="16" s="1"/>
  <c r="E28" i="16"/>
  <c r="G28" i="16" s="1"/>
  <c r="E15" i="17"/>
  <c r="H15" i="16"/>
  <c r="I59" i="13"/>
  <c r="G99" i="13"/>
  <c r="H99" i="13" s="1"/>
  <c r="G105" i="13"/>
  <c r="H105" i="13" s="1"/>
  <c r="G95" i="13"/>
  <c r="H95" i="13" s="1"/>
  <c r="G97" i="13"/>
  <c r="H97" i="13" s="1"/>
  <c r="G103" i="13"/>
  <c r="H103" i="13" s="1"/>
  <c r="G101" i="13"/>
  <c r="H101" i="13" s="1"/>
  <c r="H7" i="13"/>
  <c r="H7" i="14" s="1"/>
  <c r="H79" i="15"/>
  <c r="J79" i="15" s="1"/>
  <c r="J79" i="14"/>
  <c r="H9" i="15"/>
  <c r="E8" i="17"/>
  <c r="E10" i="40"/>
  <c r="E10" i="27" s="1"/>
  <c r="E10" i="28" s="1"/>
  <c r="E9" i="17"/>
  <c r="E9" i="18" s="1"/>
  <c r="H135" i="30"/>
  <c r="H135" i="29"/>
  <c r="H135" i="14"/>
  <c r="J135" i="14" s="1"/>
  <c r="J135" i="13"/>
  <c r="E7" i="15"/>
  <c r="I59" i="14"/>
  <c r="G105" i="14"/>
  <c r="G95" i="14"/>
  <c r="G103" i="14"/>
  <c r="G97" i="14"/>
  <c r="G101" i="14"/>
  <c r="G99" i="14"/>
  <c r="H99" i="14" s="1"/>
  <c r="E27" i="15"/>
  <c r="G27" i="15" s="1"/>
  <c r="H27" i="15" s="1"/>
  <c r="G19" i="13"/>
  <c r="G187" i="13" s="1"/>
  <c r="H32" i="12"/>
  <c r="H30" i="12"/>
  <c r="H135" i="43"/>
  <c r="J135" i="43" s="1"/>
  <c r="H135" i="40"/>
  <c r="H135" i="27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G31" i="48"/>
  <c r="H105" i="14" l="1"/>
  <c r="H28" i="16"/>
  <c r="H95" i="14"/>
  <c r="G15" i="17"/>
  <c r="G8" i="17"/>
  <c r="H101" i="14"/>
  <c r="H97" i="14"/>
  <c r="H103" i="14"/>
  <c r="E8" i="18"/>
  <c r="H79" i="16"/>
  <c r="G9" i="16"/>
  <c r="H9" i="16" s="1"/>
  <c r="G10" i="24"/>
  <c r="H10" i="24" s="1"/>
  <c r="E7" i="16"/>
  <c r="G7" i="16" s="1"/>
  <c r="G20" i="13"/>
  <c r="H20" i="13" s="1"/>
  <c r="E30" i="13"/>
  <c r="G30" i="13" s="1"/>
  <c r="G32" i="13" s="1"/>
  <c r="H32" i="13" s="1"/>
  <c r="H19" i="13"/>
  <c r="E19" i="14"/>
  <c r="G9" i="17"/>
  <c r="G10" i="25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E28" i="17" l="1"/>
  <c r="G28" i="17" s="1"/>
  <c r="H28" i="17" s="1"/>
  <c r="G79" i="17"/>
  <c r="G80" i="17" s="1"/>
  <c r="H80" i="17" s="1"/>
  <c r="E15" i="18"/>
  <c r="H15" i="17"/>
  <c r="E8" i="19"/>
  <c r="H10" i="25"/>
  <c r="H9" i="17"/>
  <c r="E7" i="17"/>
  <c r="G103" i="16"/>
  <c r="G7" i="15"/>
  <c r="G105" i="15" s="1"/>
  <c r="H105" i="15" s="1"/>
  <c r="E27" i="16"/>
  <c r="G27" i="16" s="1"/>
  <c r="H27" i="16" s="1"/>
  <c r="H30" i="13"/>
  <c r="G19" i="14"/>
  <c r="H19" i="14" s="1"/>
  <c r="E27" i="17"/>
  <c r="G27" i="17" s="1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H79" i="17" l="1"/>
  <c r="G15" i="18"/>
  <c r="E8" i="20"/>
  <c r="E7" i="18"/>
  <c r="G95" i="16"/>
  <c r="N7" i="15"/>
  <c r="G99" i="15"/>
  <c r="H99" i="15" s="1"/>
  <c r="G101" i="15"/>
  <c r="H101" i="15" s="1"/>
  <c r="G97" i="16"/>
  <c r="I59" i="15"/>
  <c r="H7" i="15"/>
  <c r="H7" i="16" s="1"/>
  <c r="G99" i="16"/>
  <c r="I59" i="16"/>
  <c r="G101" i="16"/>
  <c r="G97" i="15"/>
  <c r="H97" i="15" s="1"/>
  <c r="G105" i="16"/>
  <c r="H105" i="16" s="1"/>
  <c r="G103" i="15"/>
  <c r="H103" i="15" s="1"/>
  <c r="H103" i="16" s="1"/>
  <c r="G95" i="15"/>
  <c r="H95" i="15" s="1"/>
  <c r="E30" i="14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H27" i="17"/>
  <c r="H156" i="40"/>
  <c r="H156" i="27" s="1"/>
  <c r="H156" i="28" s="1"/>
  <c r="J156" i="25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G79" i="18" l="1"/>
  <c r="E28" i="18"/>
  <c r="G28" i="18" s="1"/>
  <c r="H28" i="18" s="1"/>
  <c r="E15" i="19"/>
  <c r="H15" i="18"/>
  <c r="E8" i="21"/>
  <c r="E7" i="19"/>
  <c r="G7" i="17"/>
  <c r="G101" i="17" s="1"/>
  <c r="H95" i="16"/>
  <c r="H99" i="16"/>
  <c r="H101" i="16"/>
  <c r="H97" i="16"/>
  <c r="E27" i="18"/>
  <c r="G27" i="18" s="1"/>
  <c r="H27" i="18" s="1"/>
  <c r="G19" i="15"/>
  <c r="G187" i="15" s="1"/>
  <c r="G32" i="14"/>
  <c r="H32" i="14" s="1"/>
  <c r="H30" i="14"/>
  <c r="G15" i="31"/>
  <c r="E28" i="31" s="1"/>
  <c r="G8" i="19"/>
  <c r="H9" i="19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G7" i="18" l="1"/>
  <c r="G95" i="18" s="1"/>
  <c r="G15" i="19"/>
  <c r="G80" i="18"/>
  <c r="H79" i="18"/>
  <c r="G99" i="17"/>
  <c r="H99" i="17" s="1"/>
  <c r="G103" i="17"/>
  <c r="H103" i="17" s="1"/>
  <c r="H101" i="17"/>
  <c r="G95" i="17"/>
  <c r="H95" i="17" s="1"/>
  <c r="H7" i="17"/>
  <c r="I59" i="17"/>
  <c r="G105" i="17"/>
  <c r="H105" i="17" s="1"/>
  <c r="G97" i="17"/>
  <c r="H97" i="17" s="1"/>
  <c r="G95" i="19"/>
  <c r="E27" i="19"/>
  <c r="G27" i="19" s="1"/>
  <c r="H27" i="19" s="1"/>
  <c r="N8" i="19"/>
  <c r="E19" i="16"/>
  <c r="G19" i="16" s="1"/>
  <c r="E30" i="15"/>
  <c r="G30" i="15" s="1"/>
  <c r="G32" i="15" s="1"/>
  <c r="H32" i="15" s="1"/>
  <c r="H187" i="15"/>
  <c r="J187" i="15" s="1"/>
  <c r="G20" i="15"/>
  <c r="H20" i="15" s="1"/>
  <c r="H19" i="15"/>
  <c r="G79" i="31"/>
  <c r="G80" i="31" s="1"/>
  <c r="G28" i="31"/>
  <c r="G9" i="20"/>
  <c r="H9" i="20" s="1"/>
  <c r="G10" i="27"/>
  <c r="H10" i="27" s="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E15" i="20" l="1"/>
  <c r="E15" i="21" s="1"/>
  <c r="I59" i="18"/>
  <c r="H7" i="18"/>
  <c r="H7" i="19" s="1"/>
  <c r="O8" i="18"/>
  <c r="G99" i="18"/>
  <c r="H99" i="18" s="1"/>
  <c r="G97" i="18"/>
  <c r="H97" i="18" s="1"/>
  <c r="G105" i="18"/>
  <c r="H105" i="18" s="1"/>
  <c r="O11" i="18"/>
  <c r="H95" i="18"/>
  <c r="H95" i="19" s="1"/>
  <c r="G103" i="18"/>
  <c r="H103" i="18" s="1"/>
  <c r="G101" i="18"/>
  <c r="H101" i="18" s="1"/>
  <c r="G79" i="19"/>
  <c r="G80" i="19" s="1"/>
  <c r="H80" i="19" s="1"/>
  <c r="E28" i="19"/>
  <c r="G28" i="19" s="1"/>
  <c r="H28" i="19" s="1"/>
  <c r="H15" i="19"/>
  <c r="G99" i="19"/>
  <c r="G103" i="19"/>
  <c r="O8" i="19"/>
  <c r="G97" i="19"/>
  <c r="I59" i="19"/>
  <c r="G101" i="19"/>
  <c r="G105" i="19"/>
  <c r="E7" i="21"/>
  <c r="G10" i="28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15" i="20" l="1"/>
  <c r="H15" i="20" s="1"/>
  <c r="H97" i="19"/>
  <c r="H105" i="19"/>
  <c r="E15" i="22"/>
  <c r="G15" i="21"/>
  <c r="H79" i="19"/>
  <c r="E7" i="22"/>
  <c r="H101" i="19"/>
  <c r="H99" i="19"/>
  <c r="H103" i="19"/>
  <c r="G7" i="20"/>
  <c r="N7" i="20" s="1"/>
  <c r="H30" i="16"/>
  <c r="G19" i="17"/>
  <c r="E9" i="23"/>
  <c r="G8" i="22"/>
  <c r="E27" i="22" s="1"/>
  <c r="G27" i="22" s="1"/>
  <c r="E8" i="23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K16" i="47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K2" i="47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79" i="20" l="1"/>
  <c r="G80" i="20" s="1"/>
  <c r="E28" i="20"/>
  <c r="G28" i="20" s="1"/>
  <c r="H28" i="20" s="1"/>
  <c r="G79" i="21"/>
  <c r="G80" i="21" s="1"/>
  <c r="E28" i="21"/>
  <c r="G28" i="21" s="1"/>
  <c r="E15" i="23"/>
  <c r="G15" i="22"/>
  <c r="H15" i="21"/>
  <c r="E7" i="23"/>
  <c r="G7" i="21"/>
  <c r="F8" i="21" s="1"/>
  <c r="G8" i="21" s="1"/>
  <c r="E27" i="21" s="1"/>
  <c r="G27" i="21" s="1"/>
  <c r="H27" i="21" s="1"/>
  <c r="G95" i="20"/>
  <c r="H95" i="20" s="1"/>
  <c r="G105" i="20"/>
  <c r="H105" i="20" s="1"/>
  <c r="H7" i="20"/>
  <c r="I59" i="20"/>
  <c r="G103" i="20"/>
  <c r="H103" i="20" s="1"/>
  <c r="G99" i="20"/>
  <c r="H99" i="20" s="1"/>
  <c r="G101" i="20"/>
  <c r="H101" i="20" s="1"/>
  <c r="G97" i="20"/>
  <c r="H97" i="20" s="1"/>
  <c r="E30" i="17"/>
  <c r="G30" i="17" s="1"/>
  <c r="G20" i="17"/>
  <c r="H20" i="17" s="1"/>
  <c r="G187" i="17"/>
  <c r="H187" i="17" s="1"/>
  <c r="J187" i="17" s="1"/>
  <c r="E19" i="18"/>
  <c r="H19" i="17"/>
  <c r="G9" i="23"/>
  <c r="G10" i="29"/>
  <c r="H10" i="29" s="1"/>
  <c r="G8" i="23"/>
  <c r="E27" i="23" s="1"/>
  <c r="G27" i="23" s="1"/>
  <c r="E8" i="24"/>
  <c r="G9" i="22"/>
  <c r="H9" i="22" s="1"/>
  <c r="H27" i="22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79" i="20" l="1"/>
  <c r="H79" i="21" s="1"/>
  <c r="H28" i="21"/>
  <c r="E28" i="22"/>
  <c r="G28" i="22" s="1"/>
  <c r="G79" i="22"/>
  <c r="G80" i="22" s="1"/>
  <c r="H15" i="22"/>
  <c r="E15" i="24"/>
  <c r="G15" i="23"/>
  <c r="E7" i="24"/>
  <c r="E8" i="25"/>
  <c r="G7" i="22"/>
  <c r="G103" i="21"/>
  <c r="H103" i="21" s="1"/>
  <c r="G97" i="21"/>
  <c r="H97" i="21" s="1"/>
  <c r="G99" i="21"/>
  <c r="H99" i="21" s="1"/>
  <c r="G95" i="21"/>
  <c r="H95" i="21" s="1"/>
  <c r="G105" i="21"/>
  <c r="H105" i="21" s="1"/>
  <c r="I59" i="21"/>
  <c r="G101" i="21"/>
  <c r="H101" i="21" s="1"/>
  <c r="H7" i="21"/>
  <c r="H9" i="23"/>
  <c r="G19" i="18"/>
  <c r="E30" i="18" s="1"/>
  <c r="G32" i="17"/>
  <c r="H32" i="17" s="1"/>
  <c r="H30" i="17"/>
  <c r="G9" i="24"/>
  <c r="E9" i="40"/>
  <c r="E9" i="27" s="1"/>
  <c r="E9" i="28" s="1"/>
  <c r="H27" i="23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H185" i="24" s="1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79" i="22" l="1"/>
  <c r="G8" i="24"/>
  <c r="E27" i="24" s="1"/>
  <c r="G27" i="24" s="1"/>
  <c r="H27" i="24" s="1"/>
  <c r="H28" i="22"/>
  <c r="H15" i="23"/>
  <c r="G79" i="23"/>
  <c r="G80" i="23" s="1"/>
  <c r="E28" i="23"/>
  <c r="G28" i="23" s="1"/>
  <c r="E15" i="25"/>
  <c r="G15" i="24"/>
  <c r="H15" i="24" s="1"/>
  <c r="E7" i="25"/>
  <c r="G7" i="23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H7" i="22"/>
  <c r="I59" i="22"/>
  <c r="E8" i="40"/>
  <c r="H9" i="24"/>
  <c r="G20" i="18"/>
  <c r="H20" i="18" s="1"/>
  <c r="G187" i="18"/>
  <c r="H187" i="18" s="1"/>
  <c r="J187" i="18" s="1"/>
  <c r="G30" i="18"/>
  <c r="G32" i="18" s="1"/>
  <c r="H32" i="18" s="1"/>
  <c r="E19" i="19"/>
  <c r="H19" i="18"/>
  <c r="G9" i="25"/>
  <c r="G10" i="30"/>
  <c r="H10" i="30" s="1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28" i="23" l="1"/>
  <c r="G79" i="24"/>
  <c r="G80" i="24" s="1"/>
  <c r="E28" i="24"/>
  <c r="G28" i="24" s="1"/>
  <c r="G15" i="25"/>
  <c r="H15" i="25" s="1"/>
  <c r="H79" i="23"/>
  <c r="G7" i="24"/>
  <c r="G99" i="23"/>
  <c r="H99" i="23" s="1"/>
  <c r="I59" i="23"/>
  <c r="G97" i="23"/>
  <c r="H97" i="23" s="1"/>
  <c r="G105" i="23"/>
  <c r="H105" i="23" s="1"/>
  <c r="G95" i="23"/>
  <c r="H95" i="23" s="1"/>
  <c r="G101" i="23"/>
  <c r="H101" i="23" s="1"/>
  <c r="G103" i="23"/>
  <c r="H103" i="23" s="1"/>
  <c r="H7" i="23"/>
  <c r="E8" i="27"/>
  <c r="G8" i="40"/>
  <c r="E27" i="40" s="1"/>
  <c r="G27" i="40" s="1"/>
  <c r="G8" i="25"/>
  <c r="E27" i="25" s="1"/>
  <c r="G27" i="25" s="1"/>
  <c r="H9" i="25"/>
  <c r="E19" i="20"/>
  <c r="G19" i="19"/>
  <c r="H30" i="18"/>
  <c r="E10" i="43"/>
  <c r="G9" i="40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28" i="24" l="1"/>
  <c r="E15" i="40"/>
  <c r="G15" i="40" s="1"/>
  <c r="H79" i="24"/>
  <c r="G79" i="25"/>
  <c r="G80" i="25" s="1"/>
  <c r="E28" i="25"/>
  <c r="G28" i="25" s="1"/>
  <c r="H28" i="25" s="1"/>
  <c r="E8" i="28"/>
  <c r="G97" i="24"/>
  <c r="H97" i="24" s="1"/>
  <c r="G103" i="24"/>
  <c r="H103" i="24" s="1"/>
  <c r="H7" i="24"/>
  <c r="G99" i="24"/>
  <c r="H99" i="24" s="1"/>
  <c r="G95" i="24"/>
  <c r="H95" i="24" s="1"/>
  <c r="I59" i="24"/>
  <c r="G101" i="24"/>
  <c r="H101" i="24" s="1"/>
  <c r="G105" i="24"/>
  <c r="H105" i="24" s="1"/>
  <c r="E7" i="40"/>
  <c r="G7" i="25"/>
  <c r="H27" i="25"/>
  <c r="H27" i="40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E15" i="27" l="1"/>
  <c r="G15" i="27" s="1"/>
  <c r="E28" i="40"/>
  <c r="G28" i="40" s="1"/>
  <c r="H28" i="40" s="1"/>
  <c r="G79" i="40"/>
  <c r="H79" i="25"/>
  <c r="J79" i="25" s="1"/>
  <c r="H15" i="40"/>
  <c r="E8" i="29"/>
  <c r="G8" i="27"/>
  <c r="G105" i="25"/>
  <c r="H105" i="25" s="1"/>
  <c r="G95" i="25"/>
  <c r="H95" i="25" s="1"/>
  <c r="I59" i="25"/>
  <c r="G99" i="25"/>
  <c r="H99" i="25" s="1"/>
  <c r="G103" i="25"/>
  <c r="H103" i="25" s="1"/>
  <c r="G97" i="25"/>
  <c r="H97" i="25" s="1"/>
  <c r="G101" i="25"/>
  <c r="H101" i="25" s="1"/>
  <c r="H7" i="25"/>
  <c r="G7" i="40"/>
  <c r="H9" i="27"/>
  <c r="H30" i="19"/>
  <c r="H19" i="20"/>
  <c r="G20" i="20"/>
  <c r="H20" i="20" s="1"/>
  <c r="G187" i="20"/>
  <c r="H187" i="20" s="1"/>
  <c r="J187" i="20" s="1"/>
  <c r="E30" i="20"/>
  <c r="G30" i="20" s="1"/>
  <c r="G19" i="21"/>
  <c r="G9" i="28"/>
  <c r="G10" i="43"/>
  <c r="H10" i="43" s="1"/>
  <c r="H10" i="50" s="1"/>
  <c r="G10" i="3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H185" i="28" s="1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E27" i="27" l="1"/>
  <c r="G27" i="27" s="1"/>
  <c r="H27" i="27" s="1"/>
  <c r="E15" i="28"/>
  <c r="G15" i="28" s="1"/>
  <c r="G80" i="40"/>
  <c r="H79" i="40"/>
  <c r="G79" i="27"/>
  <c r="G80" i="27" s="1"/>
  <c r="E28" i="27"/>
  <c r="G28" i="27" s="1"/>
  <c r="H28" i="27" s="1"/>
  <c r="H15" i="27"/>
  <c r="G8" i="28"/>
  <c r="E8" i="30"/>
  <c r="G97" i="40"/>
  <c r="H97" i="40" s="1"/>
  <c r="G95" i="40"/>
  <c r="H95" i="40" s="1"/>
  <c r="H7" i="40"/>
  <c r="G105" i="40"/>
  <c r="H105" i="40" s="1"/>
  <c r="G101" i="40"/>
  <c r="H101" i="40" s="1"/>
  <c r="G103" i="40"/>
  <c r="H103" i="40" s="1"/>
  <c r="G99" i="40"/>
  <c r="H99" i="40" s="1"/>
  <c r="I59" i="40"/>
  <c r="G7" i="27"/>
  <c r="O13" i="27" s="1"/>
  <c r="G32" i="20"/>
  <c r="H32" i="20" s="1"/>
  <c r="H9" i="28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J10" i="31" s="1"/>
  <c r="G9" i="29"/>
  <c r="G9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H186" i="28" s="1"/>
  <c r="J186" i="40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E27" i="28" l="1"/>
  <c r="G27" i="28" s="1"/>
  <c r="H27" i="28" s="1"/>
  <c r="O12" i="28"/>
  <c r="O7" i="28" s="1"/>
  <c r="E15" i="29"/>
  <c r="G15" i="29" s="1"/>
  <c r="G79" i="28"/>
  <c r="G80" i="28" s="1"/>
  <c r="H15" i="28"/>
  <c r="E28" i="28"/>
  <c r="G28" i="28" s="1"/>
  <c r="H28" i="28" s="1"/>
  <c r="H79" i="27"/>
  <c r="E8" i="43"/>
  <c r="G8" i="29"/>
  <c r="E27" i="29" s="1"/>
  <c r="G27" i="29" s="1"/>
  <c r="H27" i="29" s="1"/>
  <c r="G99" i="27"/>
  <c r="H99" i="27" s="1"/>
  <c r="G103" i="27"/>
  <c r="H103" i="27" s="1"/>
  <c r="G101" i="27"/>
  <c r="H101" i="27" s="1"/>
  <c r="G105" i="27"/>
  <c r="H105" i="27" s="1"/>
  <c r="G97" i="27"/>
  <c r="H97" i="27" s="1"/>
  <c r="H7" i="27"/>
  <c r="G95" i="27"/>
  <c r="H95" i="27" s="1"/>
  <c r="I59" i="27"/>
  <c r="H32" i="21"/>
  <c r="H9" i="29"/>
  <c r="H9" i="30" s="1"/>
  <c r="E19" i="23"/>
  <c r="G19" i="23" s="1"/>
  <c r="H19" i="22"/>
  <c r="E9" i="43"/>
  <c r="H30" i="21"/>
  <c r="E30" i="22"/>
  <c r="G30" i="22" s="1"/>
  <c r="G32" i="22" s="1"/>
  <c r="G20" i="22"/>
  <c r="H20" i="22" s="1"/>
  <c r="G187" i="22"/>
  <c r="H187" i="22" s="1"/>
  <c r="J187" i="22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G8" i="30" l="1"/>
  <c r="E27" i="30" s="1"/>
  <c r="G27" i="30" s="1"/>
  <c r="H27" i="30" s="1"/>
  <c r="E15" i="30"/>
  <c r="G15" i="30" s="1"/>
  <c r="H79" i="28"/>
  <c r="G79" i="29"/>
  <c r="G80" i="29" s="1"/>
  <c r="H15" i="29"/>
  <c r="E28" i="29"/>
  <c r="G28" i="29" s="1"/>
  <c r="H28" i="29" s="1"/>
  <c r="O15" i="29"/>
  <c r="O8" i="29"/>
  <c r="E7" i="29"/>
  <c r="G9" i="43"/>
  <c r="H9" i="43" s="1"/>
  <c r="H9" i="50" s="1"/>
  <c r="J9" i="50" s="1"/>
  <c r="G8" i="43"/>
  <c r="H32" i="22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G9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15" i="30" l="1"/>
  <c r="G79" i="30"/>
  <c r="E28" i="30"/>
  <c r="G28" i="30" s="1"/>
  <c r="H28" i="30" s="1"/>
  <c r="E15" i="43"/>
  <c r="G15" i="43" s="1"/>
  <c r="H79" i="29"/>
  <c r="G7" i="28"/>
  <c r="O10" i="29"/>
  <c r="G7" i="29"/>
  <c r="O12" i="29" s="1"/>
  <c r="E7" i="30"/>
  <c r="E27" i="43"/>
  <c r="G27" i="43" s="1"/>
  <c r="H27" i="43" s="1"/>
  <c r="G8" i="31"/>
  <c r="E27" i="31" s="1"/>
  <c r="H32" i="23"/>
  <c r="H9" i="31"/>
  <c r="J9" i="31" s="1"/>
  <c r="H30" i="23"/>
  <c r="G19" i="24"/>
  <c r="AB25" i="49"/>
  <c r="G7" i="31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G105" i="29" l="1"/>
  <c r="I59" i="29"/>
  <c r="E28" i="43"/>
  <c r="G28" i="43" s="1"/>
  <c r="H28" i="43" s="1"/>
  <c r="H28" i="31" s="1"/>
  <c r="G79" i="43"/>
  <c r="G80" i="43" s="1"/>
  <c r="H15" i="43"/>
  <c r="H15" i="31" s="1"/>
  <c r="J15" i="31" s="1"/>
  <c r="H79" i="30"/>
  <c r="G80" i="30"/>
  <c r="G7" i="30"/>
  <c r="G99" i="28"/>
  <c r="H99" i="28" s="1"/>
  <c r="G101" i="29"/>
  <c r="G97" i="29"/>
  <c r="G103" i="29"/>
  <c r="G99" i="29"/>
  <c r="G103" i="28"/>
  <c r="H103" i="28" s="1"/>
  <c r="G95" i="29"/>
  <c r="H7" i="28"/>
  <c r="H7" i="29" s="1"/>
  <c r="G95" i="28"/>
  <c r="H95" i="28" s="1"/>
  <c r="G101" i="28"/>
  <c r="H101" i="28" s="1"/>
  <c r="G97" i="28"/>
  <c r="H97" i="28" s="1"/>
  <c r="G105" i="28"/>
  <c r="H105" i="28" s="1"/>
  <c r="I59" i="28"/>
  <c r="G27" i="31"/>
  <c r="H27" i="31" s="1"/>
  <c r="E19" i="25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105" i="29" l="1"/>
  <c r="E7" i="43"/>
  <c r="G7" i="43" s="1"/>
  <c r="H79" i="43"/>
  <c r="H79" i="31" s="1"/>
  <c r="G105" i="30"/>
  <c r="G97" i="30"/>
  <c r="I59" i="30"/>
  <c r="G95" i="30"/>
  <c r="G103" i="30"/>
  <c r="G101" i="30"/>
  <c r="G99" i="30"/>
  <c r="H7" i="30"/>
  <c r="H99" i="29"/>
  <c r="H101" i="29"/>
  <c r="H97" i="29"/>
  <c r="H95" i="29"/>
  <c r="H103" i="29"/>
  <c r="H30" i="24"/>
  <c r="H19" i="25"/>
  <c r="E30" i="25"/>
  <c r="G30" i="25" s="1"/>
  <c r="G187" i="25"/>
  <c r="H187" i="25" s="1"/>
  <c r="J187" i="25" s="1"/>
  <c r="G20" i="25"/>
  <c r="H20" i="25" s="1"/>
  <c r="AU35" i="44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H97" i="30" l="1"/>
  <c r="H105" i="30"/>
  <c r="H95" i="30"/>
  <c r="H103" i="30"/>
  <c r="G101" i="43"/>
  <c r="G95" i="43"/>
  <c r="H7" i="43"/>
  <c r="G99" i="43"/>
  <c r="I59" i="43"/>
  <c r="G97" i="43"/>
  <c r="G105" i="43"/>
  <c r="G103" i="43"/>
  <c r="H101" i="30"/>
  <c r="H99" i="30"/>
  <c r="G32" i="25"/>
  <c r="H32" i="25" s="1"/>
  <c r="G19" i="40"/>
  <c r="G20" i="40" s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101" i="43" l="1"/>
  <c r="J101" i="43" s="1"/>
  <c r="H105" i="43"/>
  <c r="H105" i="31" s="1"/>
  <c r="J105" i="31" s="1"/>
  <c r="H97" i="43"/>
  <c r="J97" i="43" s="1"/>
  <c r="H95" i="43"/>
  <c r="H95" i="31" s="1"/>
  <c r="J95" i="31" s="1"/>
  <c r="H103" i="43"/>
  <c r="J103" i="43" s="1"/>
  <c r="H99" i="43"/>
  <c r="H99" i="31" s="1"/>
  <c r="J99" i="31" s="1"/>
  <c r="G187" i="40"/>
  <c r="H187" i="40" s="1"/>
  <c r="J187" i="40" s="1"/>
  <c r="H20" i="40"/>
  <c r="E30" i="40"/>
  <c r="G30" i="40" s="1"/>
  <c r="G32" i="40" s="1"/>
  <c r="H32" i="40" s="1"/>
  <c r="H19" i="40"/>
  <c r="E19" i="27"/>
  <c r="AT10" i="49"/>
  <c r="BB10" i="49"/>
  <c r="AS10" i="49"/>
  <c r="BA10" i="49"/>
  <c r="H101" i="31" l="1"/>
  <c r="J101" i="31" s="1"/>
  <c r="J105" i="43"/>
  <c r="H97" i="31"/>
  <c r="J97" i="31" s="1"/>
  <c r="J95" i="43"/>
  <c r="H103" i="31"/>
  <c r="J103" i="31" s="1"/>
  <c r="J99" i="43"/>
  <c r="H30" i="40"/>
  <c r="G19" i="27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H19" i="27" l="1"/>
  <c r="G187" i="27"/>
  <c r="H187" i="27" s="1"/>
  <c r="J187" i="27" s="1"/>
  <c r="G20" i="27"/>
  <c r="H20" i="27" s="1"/>
  <c r="E30" i="27"/>
  <c r="G30" i="27" s="1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G19" i="31"/>
  <c r="E30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G30" i="3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9" l="1"/>
  <c r="N13" i="29" s="1"/>
  <c r="G13" i="16"/>
  <c r="G13" i="20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43"/>
  <c r="G13" i="10"/>
  <c r="G13" i="28"/>
  <c r="G13" i="9"/>
  <c r="G13" i="21"/>
  <c r="G13" i="27"/>
  <c r="N13" i="27" s="1"/>
  <c r="G13" i="33"/>
  <c r="H13" i="33" s="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H7" i="50"/>
  <c r="J7" i="50" s="1"/>
  <c r="J12" i="43"/>
  <c r="J9" i="43"/>
  <c r="J10" i="43"/>
  <c r="J15" i="43"/>
  <c r="I16" i="43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7" i="31" l="1"/>
  <c r="I9" i="31" s="1"/>
  <c r="J11" i="19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H8" i="43" s="1"/>
  <c r="J8" i="30" l="1"/>
  <c r="J8" i="43" l="1"/>
  <c r="H8" i="50"/>
  <c r="J8" i="50" s="1"/>
  <c r="H8" i="31"/>
  <c r="J8" i="31" s="1"/>
  <c r="J135" i="29"/>
</calcChain>
</file>

<file path=xl/sharedStrings.xml><?xml version="1.0" encoding="utf-8"?>
<sst xmlns="http://schemas.openxmlformats.org/spreadsheetml/2006/main" count="10750" uniqueCount="378">
  <si>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</si>
  <si>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</si>
  <si>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</si>
  <si>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</si>
  <si>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</si>
  <si>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</si>
  <si>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</si>
  <si>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</si>
  <si>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</si>
  <si>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</si>
  <si>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</si>
  <si>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</si>
  <si>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</si>
  <si>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</si>
  <si>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</si>
  <si>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</si>
  <si>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</si>
  <si>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</si>
  <si>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</si>
  <si>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</si>
  <si>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</si>
  <si>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</si>
  <si>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</si>
  <si>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</si>
  <si>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</si>
  <si>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</si>
  <si>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</si>
  <si>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</si>
  <si>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</si>
  <si>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</si>
  <si>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</si>
  <si>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</si>
  <si>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</si>
  <si>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</si>
  <si>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</si>
  <si>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</si>
  <si>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</si>
  <si>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</si>
  <si>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</si>
  <si>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</si>
  <si>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</si>
  <si>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</si>
  <si>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</si>
  <si>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</si>
  <si>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</si>
  <si>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</si>
  <si>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</si>
  <si>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</si>
  <si>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</si>
  <si>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</si>
  <si>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</si>
  <si>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</si>
  <si>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</si>
  <si>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</si>
  <si>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</si>
  <si>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</si>
  <si>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</si>
  <si>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</si>
  <si>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</si>
  <si>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</si>
  <si>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</si>
  <si>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</si>
  <si>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</si>
  <si>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</si>
  <si>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</si>
  <si>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</si>
  <si>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</si>
  <si>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</si>
  <si>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</si>
  <si>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</si>
  <si>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</si>
  <si>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</si>
  <si>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</si>
  <si>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</si>
  <si>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</si>
  <si>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</si>
  <si>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</si>
  <si>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</si>
  <si>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</si>
  <si>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</si>
  <si>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</si>
  <si>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</si>
  <si>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</si>
  <si>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</si>
  <si>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</si>
  <si>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</si>
  <si>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</si>
  <si>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</si>
  <si>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</si>
  <si>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</si>
  <si>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</si>
  <si>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</si>
  <si>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</si>
  <si>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</si>
  <si>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</si>
  <si>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</si>
  <si>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</si>
  <si>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</si>
  <si>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</si>
  <si>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</si>
  <si>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</si>
  <si>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</si>
  <si>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</si>
  <si>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</si>
  <si>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</si>
  <si>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</si>
  <si>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</si>
  <si>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</si>
  <si>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</si>
  <si>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</si>
  <si>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</si>
  <si>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</si>
  <si>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</si>
  <si>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</si>
  <si>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</si>
  <si>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</si>
  <si>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</si>
  <si>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</si>
  <si>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</si>
  <si>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</si>
  <si>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</si>
  <si>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</si>
  <si>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</si>
  <si>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</si>
  <si>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</si>
  <si>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</si>
  <si>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</si>
  <si>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</si>
  <si>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</si>
  <si>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</si>
  <si>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</si>
  <si>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</si>
  <si>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</si>
  <si>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</si>
  <si>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</si>
  <si>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</si>
  <si>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</si>
  <si>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</si>
  <si>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</si>
  <si>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</si>
  <si>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</si>
  <si>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</si>
  <si>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</si>
  <si>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</si>
  <si>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</si>
  <si>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</si>
  <si>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</si>
  <si>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</si>
  <si>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</si>
  <si>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</si>
  <si>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</si>
  <si>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</si>
  <si>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</si>
  <si>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</si>
  <si>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</si>
  <si>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</si>
  <si>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</si>
  <si>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</si>
  <si>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</si>
  <si>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</si>
  <si>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</si>
  <si>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</si>
  <si>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</si>
  <si>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</si>
  <si>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</si>
  <si>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</si>
  <si>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</si>
  <si>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</si>
  <si>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</si>
  <si>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</si>
  <si>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</si>
  <si>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</si>
  <si>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</si>
  <si>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</si>
  <si>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</si>
  <si>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</si>
  <si>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</si>
  <si>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</si>
  <si>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</si>
  <si>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</si>
  <si>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</si>
  <si>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</si>
  <si>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</si>
  <si>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</si>
  <si>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</si>
  <si>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</si>
  <si>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</si>
  <si>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</si>
  <si>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</si>
  <si>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</si>
  <si>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</si>
  <si>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</si>
  <si>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</si>
  <si>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</si>
  <si>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</si>
  <si>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</si>
  <si>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</si>
  <si>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</si>
  <si>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</si>
  <si>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</si>
  <si>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</si>
  <si>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</si>
  <si>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</si>
  <si>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</si>
  <si>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</si>
  <si>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</si>
  <si>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</si>
  <si>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</si>
  <si>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</si>
  <si>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</si>
  <si>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</si>
  <si>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</si>
  <si>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</si>
  <si>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</si>
  <si>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</si>
  <si>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</si>
  <si>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</si>
  <si>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</si>
  <si>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</si>
  <si>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</si>
  <si>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</si>
  <si>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</si>
  <si>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</si>
  <si>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</si>
  <si>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</si>
  <si>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</si>
  <si>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</si>
  <si>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</si>
  <si>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</si>
  <si>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</si>
  <si>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</si>
  <si>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</si>
  <si>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</si>
  <si>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</si>
  <si>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</si>
  <si>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</si>
  <si>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</si>
  <si>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</si>
  <si>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</si>
  <si>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</si>
  <si>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</si>
  <si>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</si>
  <si>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</si>
  <si>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</si>
  <si>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</si>
  <si>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</si>
  <si>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</si>
  <si>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</si>
  <si>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</si>
  <si>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</si>
  <si>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</si>
  <si>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</si>
  <si>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</si>
  <si>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</si>
  <si>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</si>
  <si>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</si>
  <si>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</si>
  <si>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</si>
  <si>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</si>
  <si>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</si>
  <si>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</si>
  <si>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</si>
  <si>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</si>
  <si>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</si>
  <si>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</si>
  <si>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</si>
  <si>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</si>
  <si>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</si>
  <si>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</si>
  <si>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</si>
  <si>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</si>
  <si>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</si>
  <si>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</si>
  <si>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</si>
  <si>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</si>
  <si>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</si>
  <si>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</si>
  <si>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</si>
  <si>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</si>
  <si>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</si>
  <si>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</si>
  <si>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</si>
  <si>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</si>
  <si>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</si>
  <si>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</si>
  <si>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</si>
  <si>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</si>
  <si>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</si>
  <si>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</si>
  <si>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</si>
  <si>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</si>
  <si>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</si>
  <si>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</si>
  <si>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</si>
  <si>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</si>
  <si>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</si>
  <si>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</si>
  <si>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</si>
  <si>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</si>
  <si>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</si>
  <si>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</si>
  <si>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</si>
  <si>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</si>
  <si>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</si>
  <si>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</si>
  <si>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</si>
  <si>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</si>
  <si>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</si>
  <si>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</si>
  <si>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</si>
  <si>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</si>
  <si>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</si>
  <si>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</si>
  <si>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</si>
  <si>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</si>
  <si>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</si>
  <si>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</si>
  <si>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</si>
  <si>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</si>
  <si>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</si>
  <si>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</si>
  <si>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</si>
  <si>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</si>
  <si>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</si>
  <si>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</si>
  <si>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</si>
  <si>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</si>
  <si>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</si>
  <si>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</si>
  <si>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</si>
  <si>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</si>
  <si>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</si>
  <si>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</si>
  <si>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</si>
  <si>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</si>
  <si>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</si>
  <si>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</si>
  <si>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</si>
  <si>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</si>
  <si>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</si>
  <si>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</si>
  <si>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</si>
  <si>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</si>
  <si>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</si>
  <si>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</si>
  <si>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</si>
  <si>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</si>
  <si>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</si>
  <si>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</si>
  <si>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</si>
  <si>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</si>
  <si>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</si>
  <si>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</si>
  <si>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</si>
  <si>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</si>
  <si>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</si>
  <si>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</si>
  <si>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</si>
  <si>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</si>
  <si>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</si>
  <si>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</si>
  <si>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</si>
  <si>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</si>
  <si>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</si>
  <si>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</si>
  <si>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</si>
  <si>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</si>
  <si>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</si>
  <si>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Emergency Power Panel ( capacitor bank area) </t>
  </si>
  <si>
    <t xml:space="preserve"> .</t>
  </si>
  <si>
    <t>Prepaired by---Prakash</t>
  </si>
  <si>
    <t xml:space="preserve">            </t>
  </si>
  <si>
    <t>need to check tonight.</t>
  </si>
  <si>
    <t>Meter Reset</t>
  </si>
  <si>
    <t>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</si>
  <si>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</si>
  <si>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</t>
  </si>
  <si>
    <t>Prepaired by---Nilesh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</si>
</sst>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  <numFmt numFmtId="174" formatCode="_ * #,##0_ ;_ * \-#,##0_ ;_ * &quot;-&quot;??_ ;_ @_ "/>
  </numFmts>
  <fonts count="88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b/>
      <sz val="20"/>
      <color indexed="10"/>
      <name val="Calibri"/>
      <family val="2"/>
    </font>
    <font>
      <b/>
      <sz val="20"/>
      <color rgb="FFFF0000"/>
      <name val="Calibri"/>
      <family val="2"/>
    </font>
    <font>
      <b/>
      <sz val="20"/>
      <color indexed="8"/>
      <name val="Calibri"/>
      <family val="2"/>
    </font>
    <font>
      <b/>
      <sz val="20"/>
      <color rgb="FF00B050"/>
      <name val="Calibri"/>
      <family val="2"/>
    </font>
    <font>
      <b/>
      <i/>
      <sz val="20"/>
      <color rgb="FF7030A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2" fillId="0" borderId="0" applyFont="0" applyFill="0" applyBorder="0" applyAlignment="0" applyProtection="0"/>
  </cellStyleXfs>
  <cellXfs count="1006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1" fillId="0" borderId="16" xfId="1" applyFont="1" applyFill="1" applyBorder="1" applyAlignment="1">
      <alignment vertical="top" wrapText="1"/>
    </xf>
    <xf numFmtId="0" fontId="71" fillId="0" borderId="1" xfId="1" applyFont="1" applyFill="1" applyBorder="1" applyAlignment="1">
      <alignment horizontal="center" vertical="top" wrapText="1"/>
    </xf>
    <xf numFmtId="0" fontId="71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3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6" fillId="0" borderId="0" xfId="0" applyFont="1"/>
    <xf numFmtId="168" fontId="77" fillId="9" borderId="16" xfId="3" applyNumberFormat="1" applyFont="1" applyFill="1" applyBorder="1" applyAlignment="1">
      <alignment horizontal="left"/>
    </xf>
    <xf numFmtId="9" fontId="77" fillId="9" borderId="16" xfId="3" applyNumberFormat="1" applyFont="1" applyFill="1" applyBorder="1" applyAlignment="1">
      <alignment horizontal="left"/>
    </xf>
    <xf numFmtId="0" fontId="79" fillId="2" borderId="0" xfId="3" applyFont="1" applyFill="1" applyBorder="1" applyAlignment="1">
      <alignment horizontal="center" vertical="center"/>
    </xf>
    <xf numFmtId="0" fontId="76" fillId="0" borderId="0" xfId="0" applyFont="1" applyBorder="1"/>
    <xf numFmtId="0" fontId="77" fillId="9" borderId="16" xfId="3" applyFont="1" applyFill="1" applyBorder="1"/>
    <xf numFmtId="166" fontId="79" fillId="2" borderId="0" xfId="3" applyNumberFormat="1" applyFont="1" applyFill="1" applyBorder="1" applyAlignment="1">
      <alignment horizontal="center"/>
    </xf>
    <xf numFmtId="0" fontId="77" fillId="8" borderId="16" xfId="3" applyFont="1" applyFill="1" applyBorder="1" applyAlignment="1">
      <alignment horizontal="center" vertical="center"/>
    </xf>
    <xf numFmtId="0" fontId="77" fillId="8" borderId="1" xfId="3" applyFont="1" applyFill="1" applyBorder="1" applyAlignment="1">
      <alignment horizontal="center" vertical="center"/>
    </xf>
    <xf numFmtId="2" fontId="77" fillId="2" borderId="1" xfId="3" applyNumberFormat="1" applyFont="1" applyFill="1" applyBorder="1" applyAlignment="1">
      <alignment horizontal="center"/>
    </xf>
    <xf numFmtId="38" fontId="77" fillId="8" borderId="1" xfId="3" applyNumberFormat="1" applyFont="1" applyFill="1" applyBorder="1" applyAlignment="1">
      <alignment horizontal="center" wrapText="1" shrinkToFit="1"/>
    </xf>
    <xf numFmtId="2" fontId="77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166" fontId="77" fillId="8" borderId="12" xfId="3" applyNumberFormat="1" applyFont="1" applyFill="1" applyBorder="1" applyAlignment="1">
      <alignment horizontal="center" wrapText="1" shrinkToFit="1"/>
    </xf>
    <xf numFmtId="166" fontId="74" fillId="2" borderId="0" xfId="3" applyNumberFormat="1" applyFont="1" applyFill="1" applyBorder="1" applyAlignment="1">
      <alignment horizontal="center" vertical="center" wrapText="1" shrinkToFit="1"/>
    </xf>
    <xf numFmtId="0" fontId="80" fillId="0" borderId="0" xfId="0" applyFont="1" applyBorder="1"/>
    <xf numFmtId="0" fontId="80" fillId="0" borderId="0" xfId="0" applyFont="1"/>
    <xf numFmtId="0" fontId="77" fillId="12" borderId="1" xfId="3" applyFont="1" applyFill="1" applyBorder="1" applyAlignment="1">
      <alignment horizontal="center" vertical="center"/>
    </xf>
    <xf numFmtId="0" fontId="77" fillId="12" borderId="1" xfId="3" applyFont="1" applyFill="1" applyBorder="1" applyAlignment="1">
      <alignment horizontal="center"/>
    </xf>
    <xf numFmtId="38" fontId="77" fillId="12" borderId="1" xfId="3" applyNumberFormat="1" applyFont="1" applyFill="1" applyBorder="1" applyAlignment="1">
      <alignment horizontal="center"/>
    </xf>
    <xf numFmtId="0" fontId="77" fillId="12" borderId="12" xfId="3" applyFont="1" applyFill="1" applyBorder="1" applyAlignment="1">
      <alignment horizontal="center"/>
    </xf>
    <xf numFmtId="0" fontId="74" fillId="2" borderId="0" xfId="3" applyFont="1" applyFill="1" applyBorder="1" applyAlignment="1">
      <alignment horizontal="center" vertical="center"/>
    </xf>
    <xf numFmtId="0" fontId="77" fillId="8" borderId="16" xfId="3" applyFont="1" applyFill="1" applyBorder="1" applyAlignment="1">
      <alignment horizontal="left" vertical="center"/>
    </xf>
    <xf numFmtId="0" fontId="77" fillId="8" borderId="1" xfId="3" applyFont="1" applyFill="1" applyBorder="1" applyAlignment="1">
      <alignment horizontal="center"/>
    </xf>
    <xf numFmtId="2" fontId="78" fillId="8" borderId="9" xfId="3" applyNumberFormat="1" applyFont="1" applyFill="1" applyBorder="1" applyAlignment="1">
      <alignment horizontal="center"/>
    </xf>
    <xf numFmtId="2" fontId="76" fillId="0" borderId="0" xfId="0" applyNumberFormat="1" applyFont="1"/>
    <xf numFmtId="1" fontId="76" fillId="0" borderId="0" xfId="0" applyNumberFormat="1" applyFont="1"/>
    <xf numFmtId="0" fontId="77" fillId="8" borderId="20" xfId="3" applyFont="1" applyFill="1" applyBorder="1" applyAlignment="1">
      <alignment horizontal="left" vertical="center"/>
    </xf>
    <xf numFmtId="0" fontId="77" fillId="8" borderId="7" xfId="3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169" fontId="77" fillId="8" borderId="16" xfId="3" applyNumberFormat="1" applyFont="1" applyFill="1" applyBorder="1" applyAlignment="1">
      <alignment vertical="center"/>
    </xf>
    <xf numFmtId="1" fontId="82" fillId="2" borderId="0" xfId="5" applyNumberFormat="1" applyFont="1" applyFill="1" applyBorder="1" applyAlignment="1" applyProtection="1">
      <alignment horizontal="center"/>
    </xf>
    <xf numFmtId="0" fontId="77" fillId="13" borderId="16" xfId="3" applyFont="1" applyFill="1" applyBorder="1" applyAlignment="1">
      <alignment horizontal="center"/>
    </xf>
    <xf numFmtId="0" fontId="82" fillId="2" borderId="0" xfId="3" applyFont="1" applyFill="1" applyBorder="1" applyAlignment="1">
      <alignment horizontal="center"/>
    </xf>
    <xf numFmtId="0" fontId="77" fillId="8" borderId="16" xfId="3" applyFont="1" applyFill="1" applyBorder="1" applyAlignment="1">
      <alignment horizontal="left"/>
    </xf>
    <xf numFmtId="0" fontId="77" fillId="2" borderId="16" xfId="3" applyFont="1" applyFill="1" applyBorder="1" applyAlignment="1">
      <alignment horizontal="left" vertical="center"/>
    </xf>
    <xf numFmtId="0" fontId="77" fillId="13" borderId="16" xfId="3" applyFont="1" applyFill="1" applyBorder="1" applyAlignment="1">
      <alignment horizontal="center" vertical="center"/>
    </xf>
    <xf numFmtId="0" fontId="83" fillId="2" borderId="13" xfId="3" applyFont="1" applyFill="1" applyBorder="1" applyAlignment="1">
      <alignment horizontal="center"/>
    </xf>
    <xf numFmtId="0" fontId="83" fillId="13" borderId="13" xfId="3" applyFont="1" applyFill="1" applyBorder="1" applyAlignment="1">
      <alignment horizontal="center"/>
    </xf>
    <xf numFmtId="0" fontId="77" fillId="12" borderId="16" xfId="3" applyFont="1" applyFill="1" applyBorder="1" applyAlignment="1">
      <alignment horizontal="left"/>
    </xf>
    <xf numFmtId="1" fontId="75" fillId="2" borderId="0" xfId="0" applyNumberFormat="1" applyFont="1" applyFill="1"/>
    <xf numFmtId="1" fontId="75" fillId="0" borderId="0" xfId="0" applyNumberFormat="1" applyFont="1"/>
    <xf numFmtId="2" fontId="77" fillId="8" borderId="16" xfId="3" applyNumberFormat="1" applyFont="1" applyFill="1" applyBorder="1" applyAlignment="1">
      <alignment horizontal="left" vertical="center"/>
    </xf>
    <xf numFmtId="0" fontId="82" fillId="2" borderId="0" xfId="3" applyFont="1" applyFill="1" applyBorder="1" applyAlignment="1">
      <alignment horizontal="center" vertical="center"/>
    </xf>
    <xf numFmtId="166" fontId="82" fillId="2" borderId="0" xfId="5" applyNumberFormat="1" applyFont="1" applyFill="1" applyBorder="1" applyAlignment="1" applyProtection="1">
      <alignment horizontal="center"/>
    </xf>
    <xf numFmtId="0" fontId="78" fillId="0" borderId="0" xfId="0" applyFont="1" applyBorder="1"/>
    <xf numFmtId="0" fontId="78" fillId="0" borderId="0" xfId="0" applyFont="1"/>
    <xf numFmtId="166" fontId="82" fillId="2" borderId="0" xfId="3" applyNumberFormat="1" applyFont="1" applyFill="1" applyBorder="1" applyAlignment="1">
      <alignment horizontal="center"/>
    </xf>
    <xf numFmtId="0" fontId="76" fillId="0" borderId="1" xfId="0" applyFont="1" applyBorder="1" applyAlignment="1">
      <alignment horizontal="center"/>
    </xf>
    <xf numFmtId="0" fontId="76" fillId="0" borderId="0" xfId="4" applyFont="1"/>
    <xf numFmtId="0" fontId="76" fillId="0" borderId="0" xfId="0" applyFont="1" applyAlignment="1">
      <alignment horizontal="center"/>
    </xf>
    <xf numFmtId="38" fontId="76" fillId="0" borderId="0" xfId="0" applyNumberFormat="1" applyFont="1" applyAlignment="1">
      <alignment horizontal="center"/>
    </xf>
    <xf numFmtId="1" fontId="76" fillId="0" borderId="0" xfId="0" applyNumberFormat="1" applyFont="1" applyAlignment="1">
      <alignment horizontal="center"/>
    </xf>
    <xf numFmtId="0" fontId="80" fillId="0" borderId="1" xfId="0" applyFont="1" applyBorder="1"/>
    <xf numFmtId="38" fontId="76" fillId="0" borderId="1" xfId="0" applyNumberFormat="1" applyFont="1" applyBorder="1" applyAlignment="1">
      <alignment horizontal="center"/>
    </xf>
    <xf numFmtId="1" fontId="80" fillId="0" borderId="1" xfId="0" applyNumberFormat="1" applyFont="1" applyBorder="1" applyAlignment="1">
      <alignment horizontal="center"/>
    </xf>
    <xf numFmtId="0" fontId="80" fillId="0" borderId="2" xfId="0" applyFont="1" applyBorder="1" applyAlignment="1"/>
    <xf numFmtId="1" fontId="76" fillId="0" borderId="0" xfId="0" applyNumberFormat="1" applyFont="1" applyFill="1" applyAlignment="1">
      <alignment horizontal="center"/>
    </xf>
    <xf numFmtId="1" fontId="77" fillId="8" borderId="1" xfId="5" applyNumberFormat="1" applyFont="1" applyFill="1" applyBorder="1" applyAlignment="1">
      <alignment horizontal="center"/>
    </xf>
    <xf numFmtId="0" fontId="84" fillId="0" borderId="16" xfId="4" applyFont="1" applyFill="1" applyBorder="1"/>
    <xf numFmtId="0" fontId="80" fillId="12" borderId="1" xfId="0" applyFont="1" applyFill="1" applyBorder="1" applyAlignment="1">
      <alignment horizontal="left"/>
    </xf>
    <xf numFmtId="0" fontId="80" fillId="12" borderId="1" xfId="0" applyFont="1" applyFill="1" applyBorder="1"/>
    <xf numFmtId="0" fontId="80" fillId="12" borderId="1" xfId="0" applyFont="1" applyFill="1" applyBorder="1" applyAlignment="1">
      <alignment horizontal="center"/>
    </xf>
    <xf numFmtId="1" fontId="80" fillId="12" borderId="1" xfId="0" applyNumberFormat="1" applyFont="1" applyFill="1" applyBorder="1" applyAlignment="1">
      <alignment horizontal="center"/>
    </xf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38" fontId="43" fillId="12" borderId="0" xfId="0" applyNumberFormat="1" applyFont="1" applyFill="1" applyBorder="1"/>
    <xf numFmtId="0" fontId="43" fillId="10" borderId="1" xfId="0" applyFont="1" applyFill="1" applyBorder="1"/>
    <xf numFmtId="0" fontId="80" fillId="0" borderId="1" xfId="0" applyFont="1" applyBorder="1" applyAlignment="1">
      <alignment horizontal="center"/>
    </xf>
    <xf numFmtId="38" fontId="80" fillId="0" borderId="1" xfId="0" applyNumberFormat="1" applyFont="1" applyBorder="1" applyAlignment="1">
      <alignment horizontal="center"/>
    </xf>
    <xf numFmtId="0" fontId="77" fillId="8" borderId="1" xfId="3" applyFont="1" applyFill="1" applyBorder="1" applyAlignment="1">
      <alignment horizontal="left" vertical="center"/>
    </xf>
    <xf numFmtId="1" fontId="77" fillId="0" borderId="1" xfId="5" applyNumberFormat="1" applyFont="1" applyFill="1" applyBorder="1" applyAlignment="1">
      <alignment horizontal="center"/>
    </xf>
    <xf numFmtId="1" fontId="77" fillId="2" borderId="1" xfId="3" applyNumberFormat="1" applyFont="1" applyFill="1" applyBorder="1" applyAlignment="1">
      <alignment horizontal="center"/>
    </xf>
    <xf numFmtId="1" fontId="77" fillId="8" borderId="12" xfId="5" applyNumberFormat="1" applyFont="1" applyFill="1" applyBorder="1" applyAlignment="1" applyProtection="1">
      <alignment horizontal="center"/>
    </xf>
    <xf numFmtId="0" fontId="77" fillId="8" borderId="5" xfId="3" applyFont="1" applyFill="1" applyBorder="1" applyAlignment="1">
      <alignment horizontal="left" vertical="center"/>
    </xf>
    <xf numFmtId="0" fontId="77" fillId="8" borderId="10" xfId="3" applyFont="1" applyFill="1" applyBorder="1" applyAlignment="1">
      <alignment horizontal="left" vertical="center"/>
    </xf>
    <xf numFmtId="1" fontId="77" fillId="2" borderId="7" xfId="3" applyNumberFormat="1" applyFont="1" applyFill="1" applyBorder="1" applyAlignment="1">
      <alignment horizontal="center"/>
    </xf>
    <xf numFmtId="169" fontId="77" fillId="8" borderId="1" xfId="3" applyNumberFormat="1" applyFont="1" applyFill="1" applyBorder="1" applyAlignment="1">
      <alignment vertical="center"/>
    </xf>
    <xf numFmtId="1" fontId="77" fillId="0" borderId="1" xfId="4" applyNumberFormat="1" applyFont="1" applyBorder="1" applyAlignment="1">
      <alignment horizontal="center"/>
    </xf>
    <xf numFmtId="1" fontId="77" fillId="2" borderId="1" xfId="5" applyNumberFormat="1" applyFont="1" applyFill="1" applyBorder="1" applyAlignment="1">
      <alignment horizontal="center"/>
    </xf>
    <xf numFmtId="0" fontId="77" fillId="13" borderId="1" xfId="3" applyFont="1" applyFill="1" applyBorder="1" applyAlignment="1">
      <alignment horizontal="center"/>
    </xf>
    <xf numFmtId="1" fontId="77" fillId="12" borderId="1" xfId="3" applyNumberFormat="1" applyFont="1" applyFill="1" applyBorder="1" applyAlignment="1">
      <alignment horizontal="center"/>
    </xf>
    <xf numFmtId="1" fontId="80" fillId="12" borderId="1" xfId="3" applyNumberFormat="1" applyFont="1" applyFill="1" applyBorder="1" applyAlignment="1">
      <alignment horizontal="center"/>
    </xf>
    <xf numFmtId="1" fontId="77" fillId="12" borderId="12" xfId="3" applyNumberFormat="1" applyFont="1" applyFill="1" applyBorder="1" applyAlignment="1">
      <alignment horizontal="center"/>
    </xf>
    <xf numFmtId="0" fontId="77" fillId="8" borderId="1" xfId="3" applyFont="1" applyFill="1" applyBorder="1" applyAlignment="1">
      <alignment horizontal="left"/>
    </xf>
    <xf numFmtId="1" fontId="85" fillId="2" borderId="1" xfId="4" applyNumberFormat="1" applyFont="1" applyFill="1" applyBorder="1" applyAlignment="1">
      <alignment horizontal="center"/>
    </xf>
    <xf numFmtId="1" fontId="84" fillId="2" borderId="1" xfId="5" applyNumberFormat="1" applyFont="1" applyFill="1" applyBorder="1" applyAlignment="1">
      <alignment horizontal="center"/>
    </xf>
    <xf numFmtId="0" fontId="77" fillId="2" borderId="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center"/>
    </xf>
    <xf numFmtId="1" fontId="77" fillId="2" borderId="1" xfId="4" applyNumberFormat="1" applyFont="1" applyFill="1" applyBorder="1" applyAlignment="1">
      <alignment horizontal="center"/>
    </xf>
    <xf numFmtId="1" fontId="77" fillId="2" borderId="12" xfId="5" applyNumberFormat="1" applyFont="1" applyFill="1" applyBorder="1" applyAlignment="1" applyProtection="1">
      <alignment horizontal="center"/>
    </xf>
    <xf numFmtId="1" fontId="85" fillId="0" borderId="1" xfId="4" applyNumberFormat="1" applyFont="1" applyBorder="1" applyAlignment="1">
      <alignment horizontal="center"/>
    </xf>
    <xf numFmtId="0" fontId="86" fillId="8" borderId="1" xfId="3" applyFont="1" applyFill="1" applyBorder="1" applyAlignment="1">
      <alignment horizontal="center"/>
    </xf>
    <xf numFmtId="1" fontId="86" fillId="8" borderId="1" xfId="3" applyNumberFormat="1" applyFont="1" applyFill="1" applyBorder="1" applyAlignment="1">
      <alignment horizontal="center"/>
    </xf>
    <xf numFmtId="1" fontId="86" fillId="8" borderId="1" xfId="5" applyNumberFormat="1" applyFont="1" applyFill="1" applyBorder="1" applyAlignment="1">
      <alignment horizontal="center"/>
    </xf>
    <xf numFmtId="1" fontId="77" fillId="2" borderId="1" xfId="5" applyNumberFormat="1" applyFont="1" applyFill="1" applyBorder="1" applyAlignment="1" applyProtection="1">
      <alignment horizontal="center"/>
    </xf>
    <xf numFmtId="0" fontId="77" fillId="13" borderId="1" xfId="3" applyFont="1" applyFill="1" applyBorder="1" applyAlignment="1">
      <alignment horizontal="center" vertical="center"/>
    </xf>
    <xf numFmtId="1" fontId="86" fillId="2" borderId="1" xfId="4" applyNumberFormat="1" applyFont="1" applyFill="1" applyBorder="1" applyAlignment="1">
      <alignment horizontal="center"/>
    </xf>
    <xf numFmtId="1" fontId="84" fillId="12" borderId="1" xfId="3" applyNumberFormat="1" applyFont="1" applyFill="1" applyBorder="1" applyAlignment="1">
      <alignment horizontal="center"/>
    </xf>
    <xf numFmtId="0" fontId="83" fillId="2" borderId="3" xfId="3" applyFont="1" applyFill="1" applyBorder="1" applyAlignment="1">
      <alignment horizontal="center"/>
    </xf>
    <xf numFmtId="0" fontId="83" fillId="2" borderId="4" xfId="3" applyFont="1" applyFill="1" applyBorder="1" applyAlignment="1">
      <alignment horizontal="center"/>
    </xf>
    <xf numFmtId="164" fontId="83" fillId="8" borderId="1" xfId="8" applyFont="1" applyFill="1" applyBorder="1" applyAlignment="1">
      <alignment horizontal="center"/>
    </xf>
    <xf numFmtId="1" fontId="83" fillId="8" borderId="1" xfId="3" applyNumberFormat="1" applyFont="1" applyFill="1" applyBorder="1" applyAlignment="1">
      <alignment horizontal="center"/>
    </xf>
    <xf numFmtId="1" fontId="80" fillId="8" borderId="1" xfId="3" applyNumberFormat="1" applyFont="1" applyFill="1" applyBorder="1" applyAlignment="1">
      <alignment horizontal="center"/>
    </xf>
    <xf numFmtId="1" fontId="84" fillId="8" borderId="1" xfId="3" applyNumberFormat="1" applyFont="1" applyFill="1" applyBorder="1" applyAlignment="1">
      <alignment horizontal="center"/>
    </xf>
    <xf numFmtId="0" fontId="83" fillId="8" borderId="1" xfId="3" applyFont="1" applyFill="1" applyBorder="1" applyAlignment="1">
      <alignment horizontal="center"/>
    </xf>
    <xf numFmtId="1" fontId="80" fillId="8" borderId="1" xfId="5" applyNumberFormat="1" applyFont="1" applyFill="1" applyBorder="1" applyAlignment="1" applyProtection="1">
      <alignment horizontal="center"/>
    </xf>
    <xf numFmtId="1" fontId="84" fillId="8" borderId="1" xfId="5" applyNumberFormat="1" applyFont="1" applyFill="1" applyBorder="1" applyAlignment="1" applyProtection="1">
      <alignment horizontal="center"/>
    </xf>
    <xf numFmtId="0" fontId="83" fillId="13" borderId="3" xfId="3" applyFont="1" applyFill="1" applyBorder="1" applyAlignment="1">
      <alignment horizontal="center"/>
    </xf>
    <xf numFmtId="0" fontId="83" fillId="13" borderId="4" xfId="3" applyFont="1" applyFill="1" applyBorder="1" applyAlignment="1">
      <alignment horizontal="center"/>
    </xf>
    <xf numFmtId="0" fontId="86" fillId="2" borderId="1" xfId="3" applyFont="1" applyFill="1" applyBorder="1" applyAlignment="1">
      <alignment horizontal="center"/>
    </xf>
    <xf numFmtId="1" fontId="86" fillId="2" borderId="1" xfId="3" applyNumberFormat="1" applyFont="1" applyFill="1" applyBorder="1" applyAlignment="1">
      <alignment horizontal="center"/>
    </xf>
    <xf numFmtId="43" fontId="77" fillId="8" borderId="1" xfId="19" applyFont="1" applyFill="1" applyBorder="1" applyAlignment="1">
      <alignment horizontal="center"/>
    </xf>
    <xf numFmtId="43" fontId="86" fillId="2" borderId="1" xfId="19" applyFont="1" applyFill="1" applyBorder="1" applyAlignment="1">
      <alignment horizontal="center"/>
    </xf>
    <xf numFmtId="43" fontId="77" fillId="8" borderId="12" xfId="19" applyFont="1" applyFill="1" applyBorder="1" applyAlignment="1" applyProtection="1">
      <alignment horizontal="center"/>
    </xf>
    <xf numFmtId="0" fontId="74" fillId="17" borderId="3" xfId="3" applyFont="1" applyFill="1" applyBorder="1" applyAlignment="1">
      <alignment vertical="justify"/>
    </xf>
    <xf numFmtId="1" fontId="74" fillId="17" borderId="3" xfId="3" applyNumberFormat="1" applyFont="1" applyFill="1" applyBorder="1" applyAlignment="1">
      <alignment horizontal="center"/>
    </xf>
    <xf numFmtId="1" fontId="74" fillId="17" borderId="21" xfId="3" applyNumberFormat="1" applyFont="1" applyFill="1" applyBorder="1" applyAlignment="1">
      <alignment horizontal="center"/>
    </xf>
    <xf numFmtId="0" fontId="77" fillId="12" borderId="1" xfId="3" applyFont="1" applyFill="1" applyBorder="1" applyAlignment="1">
      <alignment horizontal="left"/>
    </xf>
    <xf numFmtId="2" fontId="77" fillId="8" borderId="1" xfId="3" applyNumberFormat="1" applyFont="1" applyFill="1" applyBorder="1" applyAlignment="1">
      <alignment horizontal="left" vertical="center"/>
    </xf>
    <xf numFmtId="1" fontId="77" fillId="8" borderId="1" xfId="3" applyNumberFormat="1" applyFont="1" applyFill="1" applyBorder="1" applyAlignment="1">
      <alignment horizontal="center" vertical="center"/>
    </xf>
    <xf numFmtId="0" fontId="77" fillId="8" borderId="1" xfId="3" applyFont="1" applyFill="1" applyBorder="1" applyAlignment="1">
      <alignment horizontal="left" vertical="justify"/>
    </xf>
    <xf numFmtId="0" fontId="77" fillId="17" borderId="1" xfId="3" applyFont="1" applyFill="1" applyBorder="1" applyAlignment="1">
      <alignment horizontal="center"/>
    </xf>
    <xf numFmtId="1" fontId="77" fillId="17" borderId="1" xfId="3" applyNumberFormat="1" applyFont="1" applyFill="1" applyBorder="1" applyAlignment="1">
      <alignment horizontal="center"/>
    </xf>
    <xf numFmtId="1" fontId="80" fillId="17" borderId="1" xfId="3" applyNumberFormat="1" applyFont="1" applyFill="1" applyBorder="1" applyAlignment="1">
      <alignment horizontal="center"/>
    </xf>
    <xf numFmtId="1" fontId="77" fillId="17" borderId="12" xfId="3" applyNumberFormat="1" applyFont="1" applyFill="1" applyBorder="1" applyAlignment="1">
      <alignment horizontal="center"/>
    </xf>
    <xf numFmtId="0" fontId="85" fillId="0" borderId="1" xfId="4" applyFont="1" applyBorder="1" applyAlignment="1">
      <alignment horizontal="center"/>
    </xf>
    <xf numFmtId="38" fontId="77" fillId="2" borderId="1" xfId="5" applyNumberFormat="1" applyFont="1" applyFill="1" applyBorder="1" applyAlignment="1">
      <alignment horizontal="center"/>
    </xf>
    <xf numFmtId="38" fontId="80" fillId="2" borderId="1" xfId="3" applyNumberFormat="1" applyFont="1" applyFill="1" applyBorder="1" applyAlignment="1">
      <alignment horizontal="center"/>
    </xf>
    <xf numFmtId="165" fontId="77" fillId="8" borderId="1" xfId="7" applyFont="1" applyFill="1" applyBorder="1" applyAlignment="1">
      <alignment horizontal="center" wrapText="1"/>
    </xf>
    <xf numFmtId="0" fontId="80" fillId="0" borderId="1" xfId="0" applyFont="1" applyBorder="1" applyAlignment="1">
      <alignment horizontal="left"/>
    </xf>
    <xf numFmtId="0" fontId="80" fillId="0" borderId="0" xfId="0" applyFont="1" applyBorder="1" applyAlignment="1">
      <alignment horizontal="center"/>
    </xf>
    <xf numFmtId="38" fontId="80" fillId="0" borderId="0" xfId="0" applyNumberFormat="1" applyFont="1" applyBorder="1" applyAlignment="1">
      <alignment horizontal="center"/>
    </xf>
    <xf numFmtId="1" fontId="80" fillId="0" borderId="0" xfId="0" applyNumberFormat="1" applyFont="1" applyBorder="1" applyAlignment="1">
      <alignment horizontal="center"/>
    </xf>
    <xf numFmtId="1" fontId="80" fillId="0" borderId="24" xfId="0" applyNumberFormat="1" applyFont="1" applyBorder="1" applyAlignment="1">
      <alignment horizontal="center"/>
    </xf>
    <xf numFmtId="38" fontId="80" fillId="17" borderId="1" xfId="3" applyNumberFormat="1" applyFont="1" applyFill="1" applyBorder="1" applyAlignment="1">
      <alignment horizontal="center"/>
    </xf>
    <xf numFmtId="0" fontId="80" fillId="17" borderId="1" xfId="3" applyFont="1" applyFill="1" applyBorder="1" applyAlignment="1">
      <alignment horizontal="center"/>
    </xf>
    <xf numFmtId="0" fontId="80" fillId="17" borderId="12" xfId="3" applyFont="1" applyFill="1" applyBorder="1" applyAlignment="1">
      <alignment horizontal="center"/>
    </xf>
    <xf numFmtId="0" fontId="77" fillId="2" borderId="1" xfId="4" applyFont="1" applyFill="1" applyBorder="1" applyAlignment="1">
      <alignment horizontal="center"/>
    </xf>
    <xf numFmtId="0" fontId="77" fillId="0" borderId="1" xfId="4" applyFont="1" applyBorder="1" applyAlignment="1">
      <alignment horizontal="center"/>
    </xf>
    <xf numFmtId="38" fontId="77" fillId="12" borderId="1" xfId="5" applyNumberFormat="1" applyFont="1" applyFill="1" applyBorder="1" applyAlignment="1">
      <alignment horizontal="center"/>
    </xf>
    <xf numFmtId="1" fontId="77" fillId="12" borderId="1" xfId="5" applyNumberFormat="1" applyFont="1" applyFill="1" applyBorder="1" applyAlignment="1">
      <alignment horizontal="center"/>
    </xf>
    <xf numFmtId="1" fontId="77" fillId="12" borderId="12" xfId="5" applyNumberFormat="1" applyFont="1" applyFill="1" applyBorder="1" applyAlignment="1">
      <alignment horizontal="center"/>
    </xf>
    <xf numFmtId="0" fontId="85" fillId="0" borderId="1" xfId="4" applyFont="1" applyFill="1" applyBorder="1" applyAlignment="1">
      <alignment horizontal="center"/>
    </xf>
    <xf numFmtId="38" fontId="77" fillId="0" borderId="1" xfId="5" applyNumberFormat="1" applyFont="1" applyFill="1" applyBorder="1" applyAlignment="1">
      <alignment horizontal="center"/>
    </xf>
    <xf numFmtId="38" fontId="80" fillId="12" borderId="1" xfId="3" applyNumberFormat="1" applyFont="1" applyFill="1" applyBorder="1" applyAlignment="1">
      <alignment horizontal="center"/>
    </xf>
    <xf numFmtId="0" fontId="80" fillId="12" borderId="1" xfId="3" applyFont="1" applyFill="1" applyBorder="1" applyAlignment="1">
      <alignment horizontal="center"/>
    </xf>
    <xf numFmtId="0" fontId="80" fillId="12" borderId="12" xfId="3" applyFont="1" applyFill="1" applyBorder="1" applyAlignment="1">
      <alignment horizontal="center"/>
    </xf>
    <xf numFmtId="38" fontId="77" fillId="8" borderId="1" xfId="3" applyNumberFormat="1" applyFont="1" applyFill="1" applyBorder="1" applyAlignment="1">
      <alignment horizontal="center"/>
    </xf>
    <xf numFmtId="38" fontId="77" fillId="8" borderId="1" xfId="6" applyNumberFormat="1" applyFont="1" applyFill="1" applyBorder="1" applyAlignment="1">
      <alignment horizontal="center"/>
    </xf>
    <xf numFmtId="167" fontId="77" fillId="0" borderId="1" xfId="6" applyNumberFormat="1" applyFont="1" applyFill="1" applyBorder="1" applyAlignment="1">
      <alignment horizontal="center"/>
    </xf>
    <xf numFmtId="0" fontId="77" fillId="8" borderId="6" xfId="3" applyFont="1" applyFill="1" applyBorder="1" applyAlignment="1">
      <alignment horizontal="center"/>
    </xf>
    <xf numFmtId="2" fontId="77" fillId="8" borderId="6" xfId="3" applyNumberFormat="1" applyFont="1" applyFill="1" applyBorder="1" applyAlignment="1">
      <alignment horizontal="center"/>
    </xf>
    <xf numFmtId="38" fontId="77" fillId="8" borderId="6" xfId="6" applyNumberFormat="1" applyFont="1" applyFill="1" applyBorder="1" applyAlignment="1">
      <alignment horizontal="center"/>
    </xf>
    <xf numFmtId="1" fontId="77" fillId="8" borderId="17" xfId="5" applyNumberFormat="1" applyFont="1" applyFill="1" applyBorder="1" applyAlignment="1" applyProtection="1">
      <alignment horizontal="center"/>
    </xf>
    <xf numFmtId="0" fontId="80" fillId="0" borderId="0" xfId="0" applyFont="1" applyAlignment="1">
      <alignment horizontal="center"/>
    </xf>
    <xf numFmtId="38" fontId="80" fillId="0" borderId="0" xfId="0" applyNumberFormat="1" applyFont="1" applyAlignment="1">
      <alignment horizontal="center"/>
    </xf>
    <xf numFmtId="1" fontId="80" fillId="0" borderId="0" xfId="0" applyNumberFormat="1" applyFont="1" applyAlignment="1">
      <alignment horizontal="center"/>
    </xf>
    <xf numFmtId="0" fontId="77" fillId="0" borderId="1" xfId="0" applyFont="1" applyBorder="1" applyAlignment="1">
      <alignment horizontal="center"/>
    </xf>
    <xf numFmtId="1" fontId="77" fillId="8" borderId="1" xfId="5" applyNumberFormat="1" applyFont="1" applyFill="1" applyBorder="1" applyAlignment="1" applyProtection="1">
      <alignment horizontal="center"/>
    </xf>
    <xf numFmtId="0" fontId="77" fillId="0" borderId="1" xfId="0" applyFont="1" applyFill="1" applyBorder="1" applyAlignment="1">
      <alignment horizontal="center"/>
    </xf>
    <xf numFmtId="0" fontId="80" fillId="0" borderId="3" xfId="0" applyFont="1" applyBorder="1" applyAlignment="1"/>
    <xf numFmtId="0" fontId="80" fillId="0" borderId="4" xfId="0" applyFont="1" applyBorder="1" applyAlignment="1"/>
    <xf numFmtId="0" fontId="80" fillId="0" borderId="1" xfId="0" applyFont="1" applyFill="1" applyBorder="1" applyAlignment="1">
      <alignment horizontal="center"/>
    </xf>
    <xf numFmtId="0" fontId="85" fillId="2" borderId="1" xfId="4" applyFont="1" applyFill="1" applyBorder="1" applyAlignment="1">
      <alignment horizontal="center" wrapText="1"/>
    </xf>
    <xf numFmtId="0" fontId="85" fillId="0" borderId="1" xfId="4" applyFont="1" applyFill="1" applyBorder="1" applyAlignment="1">
      <alignment horizontal="center" wrapText="1"/>
    </xf>
    <xf numFmtId="0" fontId="85" fillId="0" borderId="1" xfId="4" applyFont="1" applyBorder="1" applyAlignment="1">
      <alignment horizontal="center" wrapText="1"/>
    </xf>
    <xf numFmtId="0" fontId="77" fillId="0" borderId="1" xfId="3" applyFont="1" applyFill="1" applyBorder="1" applyAlignment="1">
      <alignment horizontal="center"/>
    </xf>
    <xf numFmtId="1" fontId="77" fillId="0" borderId="1" xfId="3" applyNumberFormat="1" applyFont="1" applyFill="1" applyBorder="1" applyAlignment="1">
      <alignment horizontal="center"/>
    </xf>
    <xf numFmtId="2" fontId="77" fillId="0" borderId="1" xfId="3" applyNumberFormat="1" applyFont="1" applyFill="1" applyBorder="1" applyAlignment="1">
      <alignment horizontal="center"/>
    </xf>
    <xf numFmtId="1" fontId="77" fillId="0" borderId="1" xfId="5" applyNumberFormat="1" applyFont="1" applyFill="1" applyBorder="1" applyAlignment="1" applyProtection="1">
      <alignment horizontal="center"/>
    </xf>
    <xf numFmtId="2" fontId="84" fillId="0" borderId="1" xfId="3" applyNumberFormat="1" applyFont="1" applyFill="1" applyBorder="1" applyAlignment="1">
      <alignment horizontal="center"/>
    </xf>
    <xf numFmtId="0" fontId="77" fillId="0" borderId="1" xfId="4" applyFont="1" applyFill="1" applyBorder="1" applyAlignment="1">
      <alignment horizontal="center"/>
    </xf>
    <xf numFmtId="0" fontId="77" fillId="0" borderId="1" xfId="3" applyFont="1" applyFill="1" applyBorder="1" applyAlignment="1">
      <alignment horizontal="center" vertical="center"/>
    </xf>
    <xf numFmtId="0" fontId="77" fillId="0" borderId="0" xfId="4" applyFont="1" applyFill="1" applyBorder="1" applyAlignment="1">
      <alignment horizontal="center"/>
    </xf>
    <xf numFmtId="0" fontId="77" fillId="0" borderId="0" xfId="3" applyFont="1" applyFill="1" applyBorder="1" applyAlignment="1">
      <alignment horizontal="center"/>
    </xf>
    <xf numFmtId="38" fontId="77" fillId="0" borderId="0" xfId="5" applyNumberFormat="1" applyFont="1" applyFill="1" applyBorder="1" applyAlignment="1">
      <alignment horizontal="center"/>
    </xf>
    <xf numFmtId="1" fontId="77" fillId="0" borderId="0" xfId="3" applyNumberFormat="1" applyFont="1" applyFill="1" applyBorder="1" applyAlignment="1">
      <alignment horizontal="center"/>
    </xf>
    <xf numFmtId="1" fontId="77" fillId="0" borderId="2" xfId="5" applyNumberFormat="1" applyFont="1" applyFill="1" applyBorder="1" applyAlignment="1" applyProtection="1">
      <alignment horizontal="center"/>
    </xf>
    <xf numFmtId="0" fontId="80" fillId="0" borderId="1" xfId="0" applyFont="1" applyFill="1" applyBorder="1"/>
    <xf numFmtId="1" fontId="80" fillId="0" borderId="1" xfId="0" applyNumberFormat="1" applyFont="1" applyFill="1" applyBorder="1" applyAlignment="1">
      <alignment horizontal="center"/>
    </xf>
    <xf numFmtId="0" fontId="84" fillId="0" borderId="1" xfId="0" applyFont="1" applyFill="1" applyBorder="1"/>
    <xf numFmtId="0" fontId="77" fillId="0" borderId="1" xfId="4" applyFont="1" applyFill="1" applyBorder="1"/>
    <xf numFmtId="0" fontId="80" fillId="0" borderId="1" xfId="3" applyFont="1" applyFill="1" applyBorder="1" applyAlignment="1">
      <alignment horizontal="center"/>
    </xf>
    <xf numFmtId="38" fontId="77" fillId="0" borderId="1" xfId="3" applyNumberFormat="1" applyFont="1" applyFill="1" applyBorder="1" applyAlignment="1">
      <alignment horizontal="center"/>
    </xf>
    <xf numFmtId="1" fontId="77" fillId="0" borderId="12" xfId="5" applyNumberFormat="1" applyFont="1" applyFill="1" applyBorder="1" applyAlignment="1" applyProtection="1">
      <alignment horizontal="center"/>
    </xf>
    <xf numFmtId="0" fontId="80" fillId="2" borderId="0" xfId="0" applyFont="1" applyFill="1" applyBorder="1"/>
    <xf numFmtId="0" fontId="80" fillId="0" borderId="4" xfId="0" applyFont="1" applyBorder="1" applyAlignment="1">
      <alignment horizontal="center"/>
    </xf>
    <xf numFmtId="1" fontId="80" fillId="0" borderId="12" xfId="0" applyNumberFormat="1" applyFont="1" applyBorder="1" applyAlignment="1">
      <alignment horizontal="center"/>
    </xf>
    <xf numFmtId="0" fontId="80" fillId="2" borderId="1" xfId="0" applyFont="1" applyFill="1" applyBorder="1" applyAlignment="1">
      <alignment horizontal="left"/>
    </xf>
    <xf numFmtId="38" fontId="80" fillId="0" borderId="1" xfId="0" applyNumberFormat="1" applyFont="1" applyFill="1" applyBorder="1" applyAlignment="1">
      <alignment horizontal="center"/>
    </xf>
    <xf numFmtId="1" fontId="80" fillId="0" borderId="12" xfId="0" applyNumberFormat="1" applyFont="1" applyFill="1" applyBorder="1" applyAlignment="1">
      <alignment horizontal="center"/>
    </xf>
    <xf numFmtId="0" fontId="80" fillId="0" borderId="4" xfId="0" applyFont="1" applyFill="1" applyBorder="1"/>
    <xf numFmtId="0" fontId="80" fillId="0" borderId="4" xfId="0" applyFont="1" applyFill="1" applyBorder="1" applyAlignment="1">
      <alignment horizontal="center"/>
    </xf>
    <xf numFmtId="38" fontId="80" fillId="12" borderId="1" xfId="0" applyNumberFormat="1" applyFont="1" applyFill="1" applyBorder="1" applyAlignment="1">
      <alignment horizontal="center"/>
    </xf>
    <xf numFmtId="172" fontId="77" fillId="9" borderId="1" xfId="3" applyNumberFormat="1" applyFont="1" applyFill="1" applyBorder="1" applyAlignment="1">
      <alignment horizontal="center"/>
    </xf>
    <xf numFmtId="0" fontId="77" fillId="9" borderId="1" xfId="3" applyFont="1" applyFill="1" applyBorder="1" applyAlignment="1">
      <alignment horizontal="center"/>
    </xf>
    <xf numFmtId="9" fontId="77" fillId="9" borderId="1" xfId="4" applyNumberFormat="1" applyFont="1" applyFill="1" applyBorder="1"/>
    <xf numFmtId="38" fontId="77" fillId="9" borderId="1" xfId="3" applyNumberFormat="1" applyFont="1" applyFill="1" applyBorder="1" applyAlignment="1">
      <alignment horizontal="center"/>
    </xf>
    <xf numFmtId="1" fontId="77" fillId="9" borderId="12" xfId="3" applyNumberFormat="1" applyFont="1" applyFill="1" applyBorder="1" applyAlignment="1">
      <alignment horizontal="center"/>
    </xf>
    <xf numFmtId="0" fontId="77" fillId="9" borderId="1" xfId="3" applyFont="1" applyFill="1" applyBorder="1" applyAlignment="1">
      <alignment horizontal="left"/>
    </xf>
    <xf numFmtId="0" fontId="77" fillId="9" borderId="1" xfId="3" applyFont="1" applyFill="1" applyBorder="1" applyAlignment="1"/>
    <xf numFmtId="1" fontId="77" fillId="9" borderId="1" xfId="3" applyNumberFormat="1" applyFont="1" applyFill="1" applyBorder="1" applyAlignment="1">
      <alignment horizontal="center"/>
    </xf>
    <xf numFmtId="9" fontId="77" fillId="9" borderId="1" xfId="3" applyNumberFormat="1" applyFont="1" applyFill="1" applyBorder="1" applyAlignment="1">
      <alignment horizontal="left"/>
    </xf>
    <xf numFmtId="2" fontId="77" fillId="9" borderId="1" xfId="3" applyNumberFormat="1" applyFont="1" applyFill="1" applyBorder="1" applyAlignment="1">
      <alignment horizontal="center"/>
    </xf>
    <xf numFmtId="9" fontId="77" fillId="9" borderId="1" xfId="3" applyNumberFormat="1" applyFont="1" applyFill="1" applyBorder="1" applyAlignment="1">
      <alignment horizontal="center"/>
    </xf>
    <xf numFmtId="0" fontId="0" fillId="10" borderId="0" xfId="0" applyFill="1"/>
    <xf numFmtId="2" fontId="37" fillId="0" borderId="1" xfId="0" applyNumberFormat="1" applyFont="1" applyFill="1" applyBorder="1" applyAlignment="1">
      <alignment horizontal="center"/>
    </xf>
    <xf numFmtId="2" fontId="43" fillId="0" borderId="1" xfId="0" applyNumberFormat="1" applyFont="1" applyFill="1" applyBorder="1" applyAlignment="1">
      <alignment horizontal="center"/>
    </xf>
    <xf numFmtId="0" fontId="38" fillId="8" borderId="12" xfId="5" applyNumberFormat="1" applyFont="1" applyFill="1" applyBorder="1" applyAlignment="1" applyProtection="1">
      <alignment horizontal="center"/>
    </xf>
    <xf numFmtId="2" fontId="43" fillId="0" borderId="1" xfId="0" applyNumberFormat="1" applyFont="1" applyBorder="1" applyAlignment="1">
      <alignment horizontal="center"/>
    </xf>
    <xf numFmtId="0" fontId="77" fillId="2" borderId="1" xfId="0" applyFont="1" applyFill="1" applyBorder="1" applyAlignment="1">
      <alignment horizontal="center"/>
    </xf>
    <xf numFmtId="2" fontId="44" fillId="0" borderId="1" xfId="4" applyNumberFormat="1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wrapText="1"/>
    </xf>
    <xf numFmtId="1" fontId="37" fillId="0" borderId="1" xfId="0" applyNumberFormat="1" applyFont="1" applyFill="1" applyBorder="1" applyAlignment="1">
      <alignment horizontal="center"/>
    </xf>
    <xf numFmtId="1" fontId="46" fillId="0" borderId="1" xfId="5" applyNumberFormat="1" applyFont="1" applyFill="1" applyBorder="1" applyAlignment="1">
      <alignment horizontal="center" vertical="center"/>
    </xf>
    <xf numFmtId="174" fontId="86" fillId="8" borderId="1" xfId="19" applyNumberFormat="1" applyFont="1" applyFill="1" applyBorder="1" applyAlignment="1" applyProtection="1">
      <alignment horizontal="center"/>
    </xf>
    <xf numFmtId="2" fontId="38" fillId="0" borderId="1" xfId="0" applyNumberFormat="1" applyFont="1" applyFill="1" applyBorder="1" applyAlignment="1">
      <alignment horizontal="center"/>
    </xf>
    <xf numFmtId="0" fontId="38" fillId="10" borderId="1" xfId="3" applyFont="1" applyFill="1" applyBorder="1" applyAlignment="1">
      <alignment horizontal="center"/>
    </xf>
    <xf numFmtId="0" fontId="43" fillId="10" borderId="1" xfId="3" applyFont="1" applyFill="1" applyBorder="1" applyAlignment="1">
      <alignment horizontal="center"/>
    </xf>
    <xf numFmtId="2" fontId="44" fillId="2" borderId="1" xfId="4" applyNumberFormat="1" applyFont="1" applyFill="1" applyBorder="1" applyAlignment="1">
      <alignment horizontal="center" wrapText="1"/>
    </xf>
    <xf numFmtId="2" fontId="43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 vertical="center"/>
    </xf>
    <xf numFmtId="0" fontId="43" fillId="0" borderId="0" xfId="0" applyFont="1" applyFill="1" applyBorder="1"/>
    <xf numFmtId="1" fontId="43" fillId="0" borderId="1" xfId="5" applyNumberFormat="1" applyFont="1" applyFill="1" applyBorder="1" applyAlignment="1">
      <alignment horizontal="center" vertical="center"/>
    </xf>
    <xf numFmtId="1" fontId="38" fillId="0" borderId="1" xfId="4" applyNumberFormat="1" applyFont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5" fillId="0" borderId="2" xfId="4" applyFont="1" applyBorder="1" applyAlignment="1">
      <alignment horizontal="left"/>
    </xf>
    <xf numFmtId="0" fontId="85" fillId="0" borderId="3" xfId="4" applyFont="1" applyBorder="1" applyAlignment="1">
      <alignment horizontal="left"/>
    </xf>
    <xf numFmtId="0" fontId="85" fillId="0" borderId="4" xfId="4" applyFont="1" applyBorder="1" applyAlignment="1">
      <alignment horizontal="left"/>
    </xf>
    <xf numFmtId="0" fontId="85" fillId="0" borderId="2" xfId="4" applyFont="1" applyFill="1" applyBorder="1" applyAlignment="1">
      <alignment horizontal="center"/>
    </xf>
    <xf numFmtId="0" fontId="85" fillId="0" borderId="3" xfId="4" applyFont="1" applyFill="1" applyBorder="1" applyAlignment="1">
      <alignment horizontal="center"/>
    </xf>
    <xf numFmtId="0" fontId="85" fillId="0" borderId="4" xfId="4" applyFont="1" applyFill="1" applyBorder="1" applyAlignment="1">
      <alignment horizontal="center"/>
    </xf>
    <xf numFmtId="0" fontId="80" fillId="11" borderId="13" xfId="0" applyFont="1" applyFill="1" applyBorder="1" applyAlignment="1">
      <alignment horizontal="left"/>
    </xf>
    <xf numFmtId="0" fontId="80" fillId="11" borderId="4" xfId="0" applyFont="1" applyFill="1" applyBorder="1" applyAlignment="1">
      <alignment horizontal="left"/>
    </xf>
    <xf numFmtId="0" fontId="80" fillId="2" borderId="13" xfId="0" applyFont="1" applyFill="1" applyBorder="1" applyAlignment="1">
      <alignment horizontal="left"/>
    </xf>
    <xf numFmtId="0" fontId="80" fillId="2" borderId="4" xfId="0" applyFont="1" applyFill="1" applyBorder="1" applyAlignment="1">
      <alignment horizontal="left"/>
    </xf>
    <xf numFmtId="0" fontId="76" fillId="2" borderId="13" xfId="0" applyFont="1" applyFill="1" applyBorder="1" applyAlignment="1">
      <alignment horizontal="left"/>
    </xf>
    <xf numFmtId="0" fontId="76" fillId="2" borderId="4" xfId="0" applyFont="1" applyFill="1" applyBorder="1" applyAlignment="1">
      <alignment horizontal="left"/>
    </xf>
    <xf numFmtId="0" fontId="80" fillId="12" borderId="13" xfId="0" applyFont="1" applyFill="1" applyBorder="1" applyAlignment="1">
      <alignment horizontal="left"/>
    </xf>
    <xf numFmtId="0" fontId="80" fillId="12" borderId="4" xfId="0" applyFont="1" applyFill="1" applyBorder="1" applyAlignment="1">
      <alignment horizontal="left"/>
    </xf>
    <xf numFmtId="0" fontId="77" fillId="2" borderId="20" xfId="0" applyFont="1" applyFill="1" applyBorder="1" applyAlignment="1">
      <alignment horizontal="center"/>
    </xf>
    <xf numFmtId="0" fontId="77" fillId="2" borderId="5" xfId="0" applyFont="1" applyFill="1" applyBorder="1" applyAlignment="1">
      <alignment horizontal="center"/>
    </xf>
    <xf numFmtId="0" fontId="80" fillId="12" borderId="1" xfId="0" applyFont="1" applyFill="1" applyBorder="1" applyAlignment="1">
      <alignment horizontal="center"/>
    </xf>
    <xf numFmtId="0" fontId="80" fillId="0" borderId="1" xfId="0" applyFont="1" applyBorder="1" applyAlignment="1">
      <alignment horizontal="left"/>
    </xf>
    <xf numFmtId="0" fontId="77" fillId="12" borderId="23" xfId="3" applyFont="1" applyFill="1" applyBorder="1" applyAlignment="1">
      <alignment horizontal="center" vertical="center"/>
    </xf>
    <xf numFmtId="0" fontId="77" fillId="12" borderId="0" xfId="3" applyFont="1" applyFill="1" applyBorder="1" applyAlignment="1">
      <alignment horizontal="center" vertical="center"/>
    </xf>
    <xf numFmtId="0" fontId="77" fillId="12" borderId="24" xfId="3" applyFont="1" applyFill="1" applyBorder="1" applyAlignment="1">
      <alignment horizontal="center" vertical="center"/>
    </xf>
    <xf numFmtId="0" fontId="80" fillId="2" borderId="3" xfId="0" applyFont="1" applyFill="1" applyBorder="1" applyAlignment="1">
      <alignment horizontal="left"/>
    </xf>
    <xf numFmtId="0" fontId="77" fillId="0" borderId="1" xfId="4" applyFont="1" applyBorder="1" applyAlignment="1">
      <alignment horizontal="left"/>
    </xf>
    <xf numFmtId="0" fontId="76" fillId="0" borderId="2" xfId="0" applyFont="1" applyBorder="1" applyAlignment="1">
      <alignment horizontal="left"/>
    </xf>
    <xf numFmtId="0" fontId="76" fillId="0" borderId="4" xfId="0" applyFont="1" applyBorder="1" applyAlignment="1">
      <alignment horizontal="left"/>
    </xf>
    <xf numFmtId="0" fontId="85" fillId="0" borderId="1" xfId="4" applyFont="1" applyFill="1" applyBorder="1" applyAlignment="1">
      <alignment horizontal="left"/>
    </xf>
    <xf numFmtId="0" fontId="80" fillId="0" borderId="2" xfId="0" applyFont="1" applyBorder="1" applyAlignment="1">
      <alignment horizontal="left"/>
    </xf>
    <xf numFmtId="0" fontId="80" fillId="0" borderId="3" xfId="0" applyFont="1" applyBorder="1" applyAlignment="1">
      <alignment horizontal="left"/>
    </xf>
    <xf numFmtId="0" fontId="80" fillId="0" borderId="4" xfId="0" applyFont="1" applyBorder="1" applyAlignment="1">
      <alignment horizontal="left"/>
    </xf>
    <xf numFmtId="0" fontId="80" fillId="2" borderId="2" xfId="0" applyFont="1" applyFill="1" applyBorder="1" applyAlignment="1">
      <alignment horizontal="left"/>
    </xf>
    <xf numFmtId="0" fontId="77" fillId="13" borderId="13" xfId="3" applyFont="1" applyFill="1" applyBorder="1" applyAlignment="1">
      <alignment horizontal="left"/>
    </xf>
    <xf numFmtId="0" fontId="77" fillId="13" borderId="3" xfId="3" applyFont="1" applyFill="1" applyBorder="1" applyAlignment="1">
      <alignment horizontal="left"/>
    </xf>
    <xf numFmtId="0" fontId="77" fillId="13" borderId="4" xfId="3" applyFont="1" applyFill="1" applyBorder="1" applyAlignment="1">
      <alignment horizontal="left"/>
    </xf>
    <xf numFmtId="0" fontId="80" fillId="0" borderId="2" xfId="0" applyFont="1" applyBorder="1" applyAlignment="1">
      <alignment horizontal="center"/>
    </xf>
    <xf numFmtId="0" fontId="80" fillId="0" borderId="3" xfId="0" applyFont="1" applyBorder="1" applyAlignment="1">
      <alignment horizontal="center"/>
    </xf>
    <xf numFmtId="0" fontId="80" fillId="0" borderId="4" xfId="0" applyFont="1" applyBorder="1" applyAlignment="1">
      <alignment horizontal="center"/>
    </xf>
    <xf numFmtId="0" fontId="77" fillId="8" borderId="13" xfId="3" applyFont="1" applyFill="1" applyBorder="1" applyAlignment="1">
      <alignment horizontal="left"/>
    </xf>
    <xf numFmtId="0" fontId="77" fillId="8" borderId="3" xfId="3" applyFont="1" applyFill="1" applyBorder="1" applyAlignment="1">
      <alignment horizontal="left"/>
    </xf>
    <xf numFmtId="0" fontId="77" fillId="8" borderId="4" xfId="3" applyFont="1" applyFill="1" applyBorder="1" applyAlignment="1">
      <alignment horizontal="left"/>
    </xf>
    <xf numFmtId="0" fontId="77" fillId="8" borderId="0" xfId="3" applyFont="1" applyFill="1" applyBorder="1" applyAlignment="1">
      <alignment vertical="center"/>
    </xf>
    <xf numFmtId="0" fontId="77" fillId="0" borderId="2" xfId="4" applyFont="1" applyBorder="1" applyAlignment="1">
      <alignment horizontal="left" vertical="center"/>
    </xf>
    <xf numFmtId="0" fontId="77" fillId="0" borderId="3" xfId="4" applyFont="1" applyBorder="1" applyAlignment="1">
      <alignment horizontal="left" vertical="center"/>
    </xf>
    <xf numFmtId="0" fontId="77" fillId="0" borderId="4" xfId="4" applyFont="1" applyBorder="1" applyAlignment="1">
      <alignment horizontal="left" vertical="center"/>
    </xf>
    <xf numFmtId="0" fontId="77" fillId="8" borderId="19" xfId="3" applyFont="1" applyFill="1" applyBorder="1" applyAlignment="1">
      <alignment horizontal="left"/>
    </xf>
    <xf numFmtId="0" fontId="77" fillId="8" borderId="8" xfId="3" applyFont="1" applyFill="1" applyBorder="1" applyAlignment="1">
      <alignment horizontal="left"/>
    </xf>
    <xf numFmtId="0" fontId="77" fillId="8" borderId="9" xfId="3" applyFont="1" applyFill="1" applyBorder="1" applyAlignment="1">
      <alignment horizontal="left"/>
    </xf>
    <xf numFmtId="0" fontId="80" fillId="12" borderId="0" xfId="0" applyFont="1" applyFill="1" applyAlignment="1">
      <alignment horizontal="center"/>
    </xf>
    <xf numFmtId="0" fontId="80" fillId="12" borderId="2" xfId="0" applyFont="1" applyFill="1" applyBorder="1" applyAlignment="1">
      <alignment horizontal="center"/>
    </xf>
    <xf numFmtId="0" fontId="80" fillId="12" borderId="3" xfId="0" applyFont="1" applyFill="1" applyBorder="1" applyAlignment="1">
      <alignment horizontal="center"/>
    </xf>
    <xf numFmtId="0" fontId="80" fillId="12" borderId="4" xfId="0" applyFont="1" applyFill="1" applyBorder="1" applyAlignment="1">
      <alignment horizontal="center"/>
    </xf>
    <xf numFmtId="0" fontId="77" fillId="12" borderId="13" xfId="3" applyFont="1" applyFill="1" applyBorder="1" applyAlignment="1">
      <alignment horizontal="center" vertical="center"/>
    </xf>
    <xf numFmtId="0" fontId="77" fillId="12" borderId="3" xfId="3" applyFont="1" applyFill="1" applyBorder="1" applyAlignment="1">
      <alignment horizontal="center" vertical="center"/>
    </xf>
    <xf numFmtId="0" fontId="77" fillId="12" borderId="4" xfId="3" applyFont="1" applyFill="1" applyBorder="1" applyAlignment="1">
      <alignment horizontal="center" vertical="center"/>
    </xf>
    <xf numFmtId="0" fontId="77" fillId="12" borderId="13" xfId="3" applyFont="1" applyFill="1" applyBorder="1" applyAlignment="1">
      <alignment horizontal="center"/>
    </xf>
    <xf numFmtId="0" fontId="77" fillId="12" borderId="3" xfId="3" applyFont="1" applyFill="1" applyBorder="1" applyAlignment="1">
      <alignment horizontal="center"/>
    </xf>
    <xf numFmtId="0" fontId="77" fillId="12" borderId="4" xfId="3" applyFont="1" applyFill="1" applyBorder="1" applyAlignment="1">
      <alignment horizontal="center"/>
    </xf>
    <xf numFmtId="0" fontId="81" fillId="17" borderId="13" xfId="3" applyFont="1" applyFill="1" applyBorder="1" applyAlignment="1">
      <alignment horizontal="center"/>
    </xf>
    <xf numFmtId="0" fontId="81" fillId="17" borderId="3" xfId="3" applyFont="1" applyFill="1" applyBorder="1" applyAlignment="1">
      <alignment horizontal="center"/>
    </xf>
    <xf numFmtId="0" fontId="81" fillId="17" borderId="4" xfId="3" applyFont="1" applyFill="1" applyBorder="1" applyAlignment="1">
      <alignment horizontal="center"/>
    </xf>
    <xf numFmtId="0" fontId="77" fillId="0" borderId="13" xfId="4" applyFont="1" applyBorder="1" applyAlignment="1">
      <alignment horizontal="left"/>
    </xf>
    <xf numFmtId="0" fontId="77" fillId="0" borderId="3" xfId="4" applyFont="1" applyBorder="1" applyAlignment="1">
      <alignment horizontal="left"/>
    </xf>
    <xf numFmtId="0" fontId="77" fillId="0" borderId="4" xfId="4" applyFont="1" applyBorder="1" applyAlignment="1">
      <alignment horizontal="left"/>
    </xf>
    <xf numFmtId="0" fontId="84" fillId="8" borderId="14" xfId="3" applyFont="1" applyFill="1" applyBorder="1" applyAlignment="1">
      <alignment horizontal="center"/>
    </xf>
    <xf numFmtId="0" fontId="84" fillId="8" borderId="11" xfId="3" applyFont="1" applyFill="1" applyBorder="1" applyAlignment="1">
      <alignment horizontal="center"/>
    </xf>
    <xf numFmtId="0" fontId="84" fillId="8" borderId="15" xfId="3" applyFont="1" applyFill="1" applyBorder="1" applyAlignment="1">
      <alignment horizontal="center"/>
    </xf>
    <xf numFmtId="0" fontId="81" fillId="12" borderId="13" xfId="3" applyFont="1" applyFill="1" applyBorder="1" applyAlignment="1">
      <alignment horizontal="center" vertical="center"/>
    </xf>
    <xf numFmtId="0" fontId="81" fillId="12" borderId="3" xfId="3" applyFont="1" applyFill="1" applyBorder="1" applyAlignment="1">
      <alignment horizontal="center" vertical="center"/>
    </xf>
    <xf numFmtId="0" fontId="81" fillId="12" borderId="4" xfId="3" applyFont="1" applyFill="1" applyBorder="1" applyAlignment="1">
      <alignment horizontal="center" vertical="center"/>
    </xf>
    <xf numFmtId="0" fontId="81" fillId="12" borderId="13" xfId="3" applyFont="1" applyFill="1" applyBorder="1" applyAlignment="1">
      <alignment horizontal="center"/>
    </xf>
    <xf numFmtId="0" fontId="81" fillId="12" borderId="3" xfId="3" applyFont="1" applyFill="1" applyBorder="1" applyAlignment="1">
      <alignment horizontal="center"/>
    </xf>
    <xf numFmtId="0" fontId="81" fillId="12" borderId="4" xfId="3" applyFont="1" applyFill="1" applyBorder="1" applyAlignment="1">
      <alignment horizontal="center"/>
    </xf>
    <xf numFmtId="0" fontId="77" fillId="9" borderId="2" xfId="3" applyFont="1" applyFill="1" applyBorder="1" applyAlignment="1">
      <alignment horizontal="center"/>
    </xf>
    <xf numFmtId="0" fontId="77" fillId="9" borderId="4" xfId="3" applyFont="1" applyFill="1" applyBorder="1" applyAlignment="1">
      <alignment horizontal="center"/>
    </xf>
    <xf numFmtId="0" fontId="87" fillId="17" borderId="13" xfId="3" applyFont="1" applyFill="1" applyBorder="1" applyAlignment="1">
      <alignment horizontal="center" vertical="center"/>
    </xf>
    <xf numFmtId="0" fontId="87" fillId="17" borderId="3" xfId="3" applyFont="1" applyFill="1" applyBorder="1" applyAlignment="1">
      <alignment horizontal="center" vertical="center"/>
    </xf>
    <xf numFmtId="0" fontId="80" fillId="0" borderId="13" xfId="0" applyFont="1" applyBorder="1" applyAlignment="1">
      <alignment horizontal="left"/>
    </xf>
    <xf numFmtId="0" fontId="85" fillId="0" borderId="2" xfId="4" applyFont="1" applyFill="1" applyBorder="1" applyAlignment="1">
      <alignment horizontal="left"/>
    </xf>
    <xf numFmtId="0" fontId="85" fillId="0" borderId="3" xfId="4" applyFont="1" applyFill="1" applyBorder="1" applyAlignment="1">
      <alignment horizontal="left"/>
    </xf>
    <xf numFmtId="0" fontId="85" fillId="0" borderId="4" xfId="4" applyFont="1" applyFill="1" applyBorder="1" applyAlignment="1">
      <alignment horizontal="left"/>
    </xf>
    <xf numFmtId="0" fontId="80" fillId="0" borderId="1" xfId="0" applyFont="1" applyFill="1" applyBorder="1" applyAlignment="1">
      <alignment horizontal="center"/>
    </xf>
    <xf numFmtId="0" fontId="77" fillId="0" borderId="1" xfId="4" applyFont="1" applyFill="1" applyBorder="1" applyAlignment="1">
      <alignment horizontal="left"/>
    </xf>
    <xf numFmtId="0" fontId="77" fillId="0" borderId="2" xfId="4" applyFont="1" applyFill="1" applyBorder="1" applyAlignment="1">
      <alignment horizontal="left"/>
    </xf>
    <xf numFmtId="0" fontId="77" fillId="0" borderId="3" xfId="4" applyFont="1" applyFill="1" applyBorder="1" applyAlignment="1">
      <alignment horizontal="left"/>
    </xf>
    <xf numFmtId="0" fontId="77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37.450000000004366</c:v>
                </c:pt>
                <c:pt idx="1">
                  <c:v>35.669999999998254</c:v>
                </c:pt>
                <c:pt idx="2">
                  <c:v>40.529999999997926</c:v>
                </c:pt>
                <c:pt idx="3">
                  <c:v>36.799999999995634</c:v>
                </c:pt>
                <c:pt idx="4">
                  <c:v>38.390000000006694</c:v>
                </c:pt>
                <c:pt idx="5">
                  <c:v>37.44999999999709</c:v>
                </c:pt>
                <c:pt idx="6">
                  <c:v>37.569999999999709</c:v>
                </c:pt>
                <c:pt idx="7">
                  <c:v>38.960000000000036</c:v>
                </c:pt>
                <c:pt idx="8">
                  <c:v>39.190000000002328</c:v>
                </c:pt>
                <c:pt idx="9">
                  <c:v>40.810000000004038</c:v>
                </c:pt>
                <c:pt idx="10">
                  <c:v>35.57999999999447</c:v>
                </c:pt>
                <c:pt idx="11">
                  <c:v>31.979999999999563</c:v>
                </c:pt>
                <c:pt idx="12">
                  <c:v>1.8800000000010186</c:v>
                </c:pt>
                <c:pt idx="13">
                  <c:v>62.119999999998981</c:v>
                </c:pt>
                <c:pt idx="14">
                  <c:v>24</c:v>
                </c:pt>
                <c:pt idx="15">
                  <c:v>43</c:v>
                </c:pt>
                <c:pt idx="16">
                  <c:v>39</c:v>
                </c:pt>
                <c:pt idx="17">
                  <c:v>35.409999999993488</c:v>
                </c:pt>
                <c:pt idx="18">
                  <c:v>37.6200000000008</c:v>
                </c:pt>
                <c:pt idx="19">
                  <c:v>38.93999999999869</c:v>
                </c:pt>
                <c:pt idx="20">
                  <c:v>26.60000000000764</c:v>
                </c:pt>
                <c:pt idx="21">
                  <c:v>30.010000000001128</c:v>
                </c:pt>
                <c:pt idx="22">
                  <c:v>36</c:v>
                </c:pt>
                <c:pt idx="23">
                  <c:v>30.720000000002074</c:v>
                </c:pt>
                <c:pt idx="24">
                  <c:v>38.569999999995161</c:v>
                </c:pt>
                <c:pt idx="25">
                  <c:v>36.430000000000291</c:v>
                </c:pt>
                <c:pt idx="26">
                  <c:v>36.92000000000553</c:v>
                </c:pt>
                <c:pt idx="27">
                  <c:v>23.149999999997817</c:v>
                </c:pt>
                <c:pt idx="28">
                  <c:v>30.139999999999418</c:v>
                </c:pt>
                <c:pt idx="29">
                  <c:v>35.980000000001382</c:v>
                </c:pt>
                <c:pt idx="30">
                  <c:v>33.740000000007058</c:v>
                </c:pt>
                <c:pt idx="31">
                  <c:v>1090.6100000000106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55389312"/>
        <c:axId val="147317888"/>
      </c:lineChart>
      <c:catAx>
        <c:axId val="15538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17888"/>
        <c:crosses val="autoZero"/>
        <c:auto val="1"/>
        <c:lblAlgn val="ctr"/>
        <c:lblOffset val="100"/>
        <c:noMultiLvlLbl val="0"/>
      </c:catAx>
      <c:valAx>
        <c:axId val="147317888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55389312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21.389999999999418</c:v>
                </c:pt>
                <c:pt idx="1">
                  <c:v>19.429999999996653</c:v>
                </c:pt>
                <c:pt idx="2">
                  <c:v>19.279999999995198</c:v>
                </c:pt>
                <c:pt idx="3">
                  <c:v>20.659999999999854</c:v>
                </c:pt>
                <c:pt idx="4">
                  <c:v>21.400000000005093</c:v>
                </c:pt>
                <c:pt idx="5">
                  <c:v>21.569999999999709</c:v>
                </c:pt>
                <c:pt idx="6">
                  <c:v>20.610000000000582</c:v>
                </c:pt>
                <c:pt idx="7">
                  <c:v>19.940000000005966</c:v>
                </c:pt>
                <c:pt idx="8">
                  <c:v>20.579999999987194</c:v>
                </c:pt>
                <c:pt idx="9">
                  <c:v>20.950000000004366</c:v>
                </c:pt>
                <c:pt idx="10">
                  <c:v>19.110000000011496</c:v>
                </c:pt>
                <c:pt idx="11">
                  <c:v>22.449999999989814</c:v>
                </c:pt>
                <c:pt idx="12">
                  <c:v>16.100000000009459</c:v>
                </c:pt>
                <c:pt idx="13">
                  <c:v>18.069999999988795</c:v>
                </c:pt>
                <c:pt idx="14">
                  <c:v>20.55000000000291</c:v>
                </c:pt>
                <c:pt idx="15">
                  <c:v>19.13999999999578</c:v>
                </c:pt>
                <c:pt idx="16">
                  <c:v>18.200000000004366</c:v>
                </c:pt>
                <c:pt idx="17">
                  <c:v>18.25</c:v>
                </c:pt>
                <c:pt idx="18">
                  <c:v>17.32999999999447</c:v>
                </c:pt>
                <c:pt idx="19">
                  <c:v>18.140000000010332</c:v>
                </c:pt>
                <c:pt idx="20">
                  <c:v>17.779999999998836</c:v>
                </c:pt>
                <c:pt idx="21">
                  <c:v>19.75</c:v>
                </c:pt>
                <c:pt idx="22">
                  <c:v>18.69999999999709</c:v>
                </c:pt>
                <c:pt idx="23">
                  <c:v>18.600000000002183</c:v>
                </c:pt>
                <c:pt idx="24">
                  <c:v>18.539999999993597</c:v>
                </c:pt>
                <c:pt idx="25">
                  <c:v>18.830000000009022</c:v>
                </c:pt>
                <c:pt idx="26">
                  <c:v>18.769999999996799</c:v>
                </c:pt>
                <c:pt idx="27">
                  <c:v>16.809999999997672</c:v>
                </c:pt>
                <c:pt idx="28">
                  <c:v>18.450000000000728</c:v>
                </c:pt>
                <c:pt idx="29">
                  <c:v>16.170000000001892</c:v>
                </c:pt>
                <c:pt idx="30">
                  <c:v>15.729999999999563</c:v>
                </c:pt>
                <c:pt idx="31">
                  <c:v>591.27999999999884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44459520"/>
        <c:axId val="44461056"/>
      </c:lineChart>
      <c:catAx>
        <c:axId val="444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1056"/>
        <c:crosses val="autoZero"/>
        <c:auto val="1"/>
        <c:lblAlgn val="ctr"/>
        <c:lblOffset val="100"/>
        <c:noMultiLvlLbl val="0"/>
      </c:catAx>
      <c:valAx>
        <c:axId val="44461056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9520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9725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182</c:v>
                </c:pt>
                <c:pt idx="1">
                  <c:v>231</c:v>
                </c:pt>
                <c:pt idx="2">
                  <c:v>155</c:v>
                </c:pt>
                <c:pt idx="3">
                  <c:v>183</c:v>
                </c:pt>
                <c:pt idx="4">
                  <c:v>192</c:v>
                </c:pt>
                <c:pt idx="5">
                  <c:v>247</c:v>
                </c:pt>
                <c:pt idx="6">
                  <c:v>287</c:v>
                </c:pt>
                <c:pt idx="7">
                  <c:v>212</c:v>
                </c:pt>
                <c:pt idx="8">
                  <c:v>84</c:v>
                </c:pt>
                <c:pt idx="9">
                  <c:v>220</c:v>
                </c:pt>
                <c:pt idx="10">
                  <c:v>180</c:v>
                </c:pt>
                <c:pt idx="11">
                  <c:v>205</c:v>
                </c:pt>
                <c:pt idx="12">
                  <c:v>210</c:v>
                </c:pt>
                <c:pt idx="13">
                  <c:v>248</c:v>
                </c:pt>
                <c:pt idx="14">
                  <c:v>300</c:v>
                </c:pt>
                <c:pt idx="15">
                  <c:v>142</c:v>
                </c:pt>
                <c:pt idx="16">
                  <c:v>289</c:v>
                </c:pt>
                <c:pt idx="17">
                  <c:v>199</c:v>
                </c:pt>
                <c:pt idx="18">
                  <c:v>151</c:v>
                </c:pt>
                <c:pt idx="19">
                  <c:v>241</c:v>
                </c:pt>
                <c:pt idx="20">
                  <c:v>191</c:v>
                </c:pt>
                <c:pt idx="21">
                  <c:v>181</c:v>
                </c:pt>
                <c:pt idx="22">
                  <c:v>209</c:v>
                </c:pt>
                <c:pt idx="23">
                  <c:v>297</c:v>
                </c:pt>
                <c:pt idx="24">
                  <c:v>129</c:v>
                </c:pt>
                <c:pt idx="25">
                  <c:v>270</c:v>
                </c:pt>
                <c:pt idx="26">
                  <c:v>270</c:v>
                </c:pt>
                <c:pt idx="27">
                  <c:v>240</c:v>
                </c:pt>
                <c:pt idx="28">
                  <c:v>220</c:v>
                </c:pt>
                <c:pt idx="29">
                  <c:v>200</c:v>
                </c:pt>
                <c:pt idx="30">
                  <c:v>181</c:v>
                </c:pt>
                <c:pt idx="31">
                  <c:v>6546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47324928"/>
        <c:axId val="147326464"/>
      </c:lineChart>
      <c:catAx>
        <c:axId val="14732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26464"/>
        <c:crosses val="autoZero"/>
        <c:auto val="1"/>
        <c:lblAlgn val="ctr"/>
        <c:lblOffset val="100"/>
        <c:noMultiLvlLbl val="0"/>
      </c:catAx>
      <c:valAx>
        <c:axId val="147326464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24928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684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1063.6000000000931</c:v>
                </c:pt>
                <c:pt idx="1">
                  <c:v>1000.6999999997206</c:v>
                </c:pt>
                <c:pt idx="2">
                  <c:v>979.20000000018626</c:v>
                </c:pt>
                <c:pt idx="3">
                  <c:v>1002.2999999998137</c:v>
                </c:pt>
                <c:pt idx="4">
                  <c:v>1047.2000000001863</c:v>
                </c:pt>
                <c:pt idx="5">
                  <c:v>981</c:v>
                </c:pt>
                <c:pt idx="6">
                  <c:v>1066</c:v>
                </c:pt>
                <c:pt idx="7">
                  <c:v>1037</c:v>
                </c:pt>
                <c:pt idx="8">
                  <c:v>1078.7400000002235</c:v>
                </c:pt>
                <c:pt idx="9">
                  <c:v>1150.339999999851</c:v>
                </c:pt>
                <c:pt idx="10">
                  <c:v>1023.9199999999255</c:v>
                </c:pt>
                <c:pt idx="11">
                  <c:v>1049</c:v>
                </c:pt>
                <c:pt idx="12">
                  <c:v>1094.0789999999106</c:v>
                </c:pt>
                <c:pt idx="13">
                  <c:v>1061.9210000000894</c:v>
                </c:pt>
                <c:pt idx="14">
                  <c:v>1067</c:v>
                </c:pt>
                <c:pt idx="15">
                  <c:v>1000</c:v>
                </c:pt>
                <c:pt idx="16">
                  <c:v>1001</c:v>
                </c:pt>
                <c:pt idx="17">
                  <c:v>980.5</c:v>
                </c:pt>
                <c:pt idx="18">
                  <c:v>945.5</c:v>
                </c:pt>
                <c:pt idx="19">
                  <c:v>983</c:v>
                </c:pt>
                <c:pt idx="20">
                  <c:v>959</c:v>
                </c:pt>
                <c:pt idx="21">
                  <c:v>927</c:v>
                </c:pt>
                <c:pt idx="22">
                  <c:v>951</c:v>
                </c:pt>
                <c:pt idx="23">
                  <c:v>919.81999999983236</c:v>
                </c:pt>
                <c:pt idx="24">
                  <c:v>944.3800000003539</c:v>
                </c:pt>
                <c:pt idx="25">
                  <c:v>978.12999999988824</c:v>
                </c:pt>
                <c:pt idx="26">
                  <c:v>972.77000000001863</c:v>
                </c:pt>
                <c:pt idx="27">
                  <c:v>967.39999999990687</c:v>
                </c:pt>
                <c:pt idx="28">
                  <c:v>954.5</c:v>
                </c:pt>
                <c:pt idx="29">
                  <c:v>905</c:v>
                </c:pt>
                <c:pt idx="30">
                  <c:v>874.60000000009313</c:v>
                </c:pt>
                <c:pt idx="31">
                  <c:v>30965.600000000093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1520"/>
        <c:axId val="147373056"/>
      </c:lineChart>
      <c:catAx>
        <c:axId val="14737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73056"/>
        <c:crosses val="autoZero"/>
        <c:auto val="1"/>
        <c:lblAlgn val="ctr"/>
        <c:lblOffset val="100"/>
        <c:noMultiLvlLbl val="0"/>
      </c:catAx>
      <c:valAx>
        <c:axId val="14737305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71520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5894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0.18999999994412065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-0.18999999994412065</c:v>
                </c:pt>
                <c:pt idx="5">
                  <c:v>0</c:v>
                </c:pt>
                <c:pt idx="6">
                  <c:v>0</c:v>
                </c:pt>
                <c:pt idx="7">
                  <c:v>0.18999999994412065</c:v>
                </c:pt>
                <c:pt idx="8">
                  <c:v>0</c:v>
                </c:pt>
                <c:pt idx="9">
                  <c:v>0</c:v>
                </c:pt>
                <c:pt idx="10">
                  <c:v>-0.18999999994412065</c:v>
                </c:pt>
                <c:pt idx="11">
                  <c:v>0</c:v>
                </c:pt>
                <c:pt idx="12">
                  <c:v>0.18999999994412065</c:v>
                </c:pt>
                <c:pt idx="13">
                  <c:v>-0.18999999994412065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0.18999999994412065</c:v>
                </c:pt>
                <c:pt idx="18">
                  <c:v>0</c:v>
                </c:pt>
                <c:pt idx="19">
                  <c:v>0</c:v>
                </c:pt>
                <c:pt idx="20">
                  <c:v>-0.18999999994412065</c:v>
                </c:pt>
                <c:pt idx="21">
                  <c:v>0</c:v>
                </c:pt>
                <c:pt idx="22">
                  <c:v>0</c:v>
                </c:pt>
                <c:pt idx="23">
                  <c:v>0.18999999994412065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-0.18999999994412065</c:v>
                </c:pt>
                <c:pt idx="29">
                  <c:v>0.18999999994412065</c:v>
                </c:pt>
                <c:pt idx="30">
                  <c:v>0</c:v>
                </c:pt>
                <c:pt idx="31">
                  <c:v>0.18999999994412065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4348.6699999999983</c:v>
                </c:pt>
                <c:pt idx="1">
                  <c:v>4423.6300000000047</c:v>
                </c:pt>
                <c:pt idx="2">
                  <c:v>4283.9599999999991</c:v>
                </c:pt>
                <c:pt idx="3">
                  <c:v>4351.1299999999974</c:v>
                </c:pt>
                <c:pt idx="4">
                  <c:v>4215.6100000000006</c:v>
                </c:pt>
                <c:pt idx="5">
                  <c:v>4247</c:v>
                </c:pt>
                <c:pt idx="6">
                  <c:v>4343</c:v>
                </c:pt>
                <c:pt idx="7">
                  <c:v>4721.9400000000023</c:v>
                </c:pt>
                <c:pt idx="8">
                  <c:v>4573.7299999999959</c:v>
                </c:pt>
                <c:pt idx="9">
                  <c:v>4486.5500000000029</c:v>
                </c:pt>
                <c:pt idx="10">
                  <c:v>4435.7799999999988</c:v>
                </c:pt>
                <c:pt idx="11">
                  <c:v>4490</c:v>
                </c:pt>
                <c:pt idx="12">
                  <c:v>4623.75</c:v>
                </c:pt>
                <c:pt idx="13">
                  <c:v>4402.25</c:v>
                </c:pt>
                <c:pt idx="14">
                  <c:v>4430</c:v>
                </c:pt>
                <c:pt idx="15">
                  <c:v>4282</c:v>
                </c:pt>
                <c:pt idx="16">
                  <c:v>4339</c:v>
                </c:pt>
                <c:pt idx="17">
                  <c:v>4169.1000000000058</c:v>
                </c:pt>
                <c:pt idx="18">
                  <c:v>4284.6499999999942</c:v>
                </c:pt>
                <c:pt idx="19">
                  <c:v>0</c:v>
                </c:pt>
                <c:pt idx="20">
                  <c:v>4378.7400000000052</c:v>
                </c:pt>
                <c:pt idx="21">
                  <c:v>4205</c:v>
                </c:pt>
                <c:pt idx="22">
                  <c:v>3942</c:v>
                </c:pt>
                <c:pt idx="23">
                  <c:v>4084.5</c:v>
                </c:pt>
                <c:pt idx="24">
                  <c:v>4181.6900000000023</c:v>
                </c:pt>
                <c:pt idx="25">
                  <c:v>4291.3399999999965</c:v>
                </c:pt>
                <c:pt idx="26">
                  <c:v>4254.2200000000012</c:v>
                </c:pt>
                <c:pt idx="27">
                  <c:v>3998.0499999999884</c:v>
                </c:pt>
                <c:pt idx="28">
                  <c:v>4216.2000000000116</c:v>
                </c:pt>
                <c:pt idx="29">
                  <c:v>4098.1900000000023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47431808"/>
        <c:axId val="147433344"/>
      </c:lineChart>
      <c:catAx>
        <c:axId val="147431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33344"/>
        <c:crosses val="autoZero"/>
        <c:auto val="1"/>
        <c:lblAlgn val="ctr"/>
        <c:lblOffset val="100"/>
        <c:noMultiLvlLbl val="0"/>
      </c:catAx>
      <c:valAx>
        <c:axId val="147433344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31808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0</c:v>
                </c:pt>
                <c:pt idx="1">
                  <c:v>4.9999999988358468E-2</c:v>
                </c:pt>
                <c:pt idx="2">
                  <c:v>0</c:v>
                </c:pt>
                <c:pt idx="3">
                  <c:v>-4.9999999988358468E-2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4.9999999988358468E-2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-4.9999999988358468E-2</c:v>
                </c:pt>
                <c:pt idx="12">
                  <c:v>4.9999999988358468E-2</c:v>
                </c:pt>
                <c:pt idx="13">
                  <c:v>-4.9999999988358468E-2</c:v>
                </c:pt>
                <c:pt idx="14">
                  <c:v>4.9999999988358468E-2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-4.9999999988358468E-2</c:v>
                </c:pt>
                <c:pt idx="21">
                  <c:v>0</c:v>
                </c:pt>
                <c:pt idx="22">
                  <c:v>0</c:v>
                </c:pt>
                <c:pt idx="23">
                  <c:v>4.9999999988358468E-2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4.9999999988358468E-2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54208"/>
        <c:axId val="149913600"/>
      </c:lineChart>
      <c:catAx>
        <c:axId val="14745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13600"/>
        <c:crosses val="autoZero"/>
        <c:auto val="1"/>
        <c:lblAlgn val="ctr"/>
        <c:lblOffset val="100"/>
        <c:noMultiLvlLbl val="0"/>
      </c:catAx>
      <c:valAx>
        <c:axId val="149913600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5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0.88</c:v>
                </c:pt>
                <c:pt idx="1">
                  <c:v>0.98</c:v>
                </c:pt>
                <c:pt idx="2">
                  <c:v>0.98</c:v>
                </c:pt>
                <c:pt idx="3">
                  <c:v>0.53</c:v>
                </c:pt>
                <c:pt idx="4">
                  <c:v>0.63</c:v>
                </c:pt>
                <c:pt idx="5">
                  <c:v>0.81</c:v>
                </c:pt>
                <c:pt idx="6">
                  <c:v>0.82</c:v>
                </c:pt>
                <c:pt idx="7">
                  <c:v>0.98</c:v>
                </c:pt>
                <c:pt idx="8">
                  <c:v>0.65</c:v>
                </c:pt>
                <c:pt idx="9">
                  <c:v>0.91</c:v>
                </c:pt>
                <c:pt idx="10">
                  <c:v>0.4</c:v>
                </c:pt>
                <c:pt idx="11">
                  <c:v>0.6</c:v>
                </c:pt>
                <c:pt idx="12">
                  <c:v>0.66</c:v>
                </c:pt>
                <c:pt idx="13">
                  <c:v>0.6</c:v>
                </c:pt>
                <c:pt idx="14">
                  <c:v>0.41</c:v>
                </c:pt>
                <c:pt idx="15">
                  <c:v>0.5</c:v>
                </c:pt>
                <c:pt idx="16">
                  <c:v>0.5</c:v>
                </c:pt>
                <c:pt idx="17">
                  <c:v>0.98</c:v>
                </c:pt>
                <c:pt idx="18">
                  <c:v>0.94</c:v>
                </c:pt>
                <c:pt idx="19">
                  <c:v>0.81</c:v>
                </c:pt>
                <c:pt idx="20">
                  <c:v>0.95</c:v>
                </c:pt>
                <c:pt idx="21">
                  <c:v>0.55000000000000004</c:v>
                </c:pt>
                <c:pt idx="22">
                  <c:v>0.48</c:v>
                </c:pt>
                <c:pt idx="23">
                  <c:v>0.43</c:v>
                </c:pt>
                <c:pt idx="24">
                  <c:v>0.98</c:v>
                </c:pt>
                <c:pt idx="25">
                  <c:v>0.54449999999999998</c:v>
                </c:pt>
                <c:pt idx="26">
                  <c:v>0.76</c:v>
                </c:pt>
                <c:pt idx="27">
                  <c:v>0.8</c:v>
                </c:pt>
                <c:pt idx="28">
                  <c:v>0.75</c:v>
                </c:pt>
                <c:pt idx="29">
                  <c:v>0.73</c:v>
                </c:pt>
                <c:pt idx="30">
                  <c:v>31</c:v>
                </c:pt>
                <c:pt idx="31">
                  <c:v>1.6949838709677418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34080"/>
        <c:axId val="149935616"/>
      </c:lineChart>
      <c:catAx>
        <c:axId val="149934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35616"/>
        <c:crosses val="autoZero"/>
        <c:auto val="1"/>
        <c:lblAlgn val="ctr"/>
        <c:lblOffset val="100"/>
        <c:noMultiLvlLbl val="0"/>
      </c:catAx>
      <c:valAx>
        <c:axId val="1499356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499340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25783</c:v>
                </c:pt>
                <c:pt idx="1">
                  <c:v>25845</c:v>
                </c:pt>
                <c:pt idx="2">
                  <c:v>28055</c:v>
                </c:pt>
                <c:pt idx="3">
                  <c:v>25892</c:v>
                </c:pt>
                <c:pt idx="4">
                  <c:v>27118</c:v>
                </c:pt>
                <c:pt idx="5">
                  <c:v>26156</c:v>
                </c:pt>
                <c:pt idx="6">
                  <c:v>25917</c:v>
                </c:pt>
                <c:pt idx="7">
                  <c:v>27220.030000000028</c:v>
                </c:pt>
                <c:pt idx="8">
                  <c:v>27199.280000000028</c:v>
                </c:pt>
                <c:pt idx="9">
                  <c:v>27516.879999999888</c:v>
                </c:pt>
                <c:pt idx="10">
                  <c:v>25770.810000000056</c:v>
                </c:pt>
                <c:pt idx="11">
                  <c:v>26500</c:v>
                </c:pt>
                <c:pt idx="12">
                  <c:v>26500</c:v>
                </c:pt>
                <c:pt idx="13">
                  <c:v>26500</c:v>
                </c:pt>
                <c:pt idx="14">
                  <c:v>22866</c:v>
                </c:pt>
                <c:pt idx="15">
                  <c:v>27629</c:v>
                </c:pt>
                <c:pt idx="16">
                  <c:v>26748</c:v>
                </c:pt>
                <c:pt idx="17">
                  <c:v>24766</c:v>
                </c:pt>
                <c:pt idx="18">
                  <c:v>26615.699999999953</c:v>
                </c:pt>
                <c:pt idx="19">
                  <c:v>25977</c:v>
                </c:pt>
                <c:pt idx="20">
                  <c:v>24430</c:v>
                </c:pt>
                <c:pt idx="21">
                  <c:v>23577</c:v>
                </c:pt>
                <c:pt idx="22">
                  <c:v>23759</c:v>
                </c:pt>
                <c:pt idx="23">
                  <c:v>23812.020000000004</c:v>
                </c:pt>
                <c:pt idx="24">
                  <c:v>27100.749999999985</c:v>
                </c:pt>
                <c:pt idx="25">
                  <c:v>25581.160000000003</c:v>
                </c:pt>
                <c:pt idx="26">
                  <c:v>24717.070000000007</c:v>
                </c:pt>
                <c:pt idx="27">
                  <c:v>21951</c:v>
                </c:pt>
                <c:pt idx="28">
                  <c:v>23725</c:v>
                </c:pt>
                <c:pt idx="29">
                  <c:v>24007</c:v>
                </c:pt>
                <c:pt idx="30">
                  <c:v>24915</c:v>
                </c:pt>
                <c:pt idx="31">
                  <c:v>794149.7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9981056"/>
        <c:axId val="149982592"/>
      </c:lineChart>
      <c:catAx>
        <c:axId val="149981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82592"/>
        <c:crosses val="autoZero"/>
        <c:auto val="1"/>
        <c:lblAlgn val="ctr"/>
        <c:lblOffset val="100"/>
        <c:noMultiLvlLbl val="0"/>
      </c:catAx>
      <c:valAx>
        <c:axId val="149982592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81056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10.859999999999673</c:v>
                </c:pt>
                <c:pt idx="1">
                  <c:v>10.289999999999964</c:v>
                </c:pt>
                <c:pt idx="2">
                  <c:v>10.100000000001273</c:v>
                </c:pt>
                <c:pt idx="3">
                  <c:v>10.519999999999527</c:v>
                </c:pt>
                <c:pt idx="4">
                  <c:v>10.25</c:v>
                </c:pt>
                <c:pt idx="5">
                  <c:v>11.230000000000473</c:v>
                </c:pt>
                <c:pt idx="6">
                  <c:v>12.889999999999418</c:v>
                </c:pt>
                <c:pt idx="7">
                  <c:v>10.449999999999818</c:v>
                </c:pt>
                <c:pt idx="8">
                  <c:v>11.640000000000327</c:v>
                </c:pt>
                <c:pt idx="9">
                  <c:v>12.539999999999964</c:v>
                </c:pt>
                <c:pt idx="10">
                  <c:v>10.659999999999854</c:v>
                </c:pt>
                <c:pt idx="11">
                  <c:v>11.270000000000437</c:v>
                </c:pt>
                <c:pt idx="12">
                  <c:v>11.169999999999163</c:v>
                </c:pt>
                <c:pt idx="13">
                  <c:v>11.289999999999964</c:v>
                </c:pt>
                <c:pt idx="14">
                  <c:v>11.390000000000327</c:v>
                </c:pt>
                <c:pt idx="15">
                  <c:v>11.130000000000109</c:v>
                </c:pt>
                <c:pt idx="16">
                  <c:v>11.269999999999527</c:v>
                </c:pt>
                <c:pt idx="17">
                  <c:v>11.020000000000437</c:v>
                </c:pt>
                <c:pt idx="18">
                  <c:v>11.369999999999891</c:v>
                </c:pt>
                <c:pt idx="19">
                  <c:v>11.119999999999891</c:v>
                </c:pt>
                <c:pt idx="20">
                  <c:v>11.210000000000036</c:v>
                </c:pt>
                <c:pt idx="21">
                  <c:v>11.489999999999782</c:v>
                </c:pt>
                <c:pt idx="22">
                  <c:v>10.960000000000036</c:v>
                </c:pt>
                <c:pt idx="23">
                  <c:v>9.6300000000001091</c:v>
                </c:pt>
                <c:pt idx="24">
                  <c:v>10.5600000000004</c:v>
                </c:pt>
                <c:pt idx="25">
                  <c:v>10.469999999999345</c:v>
                </c:pt>
                <c:pt idx="26">
                  <c:v>10.809999999999491</c:v>
                </c:pt>
                <c:pt idx="27">
                  <c:v>11.170000000000073</c:v>
                </c:pt>
                <c:pt idx="28">
                  <c:v>10.860000000000582</c:v>
                </c:pt>
                <c:pt idx="29">
                  <c:v>10.770000000000437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019072"/>
        <c:axId val="150037248"/>
      </c:lineChart>
      <c:catAx>
        <c:axId val="150019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37248"/>
        <c:crosses val="autoZero"/>
        <c:auto val="1"/>
        <c:lblAlgn val="ctr"/>
        <c:lblOffset val="100"/>
        <c:noMultiLvlLbl val="0"/>
      </c:catAx>
      <c:valAx>
        <c:axId val="150037248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190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292.34999999997672</c:v>
                </c:pt>
                <c:pt idx="1">
                  <c:v>286.14000000001397</c:v>
                </c:pt>
                <c:pt idx="2">
                  <c:v>312</c:v>
                </c:pt>
                <c:pt idx="3">
                  <c:v>359</c:v>
                </c:pt>
                <c:pt idx="4">
                  <c:v>302.81999999994878</c:v>
                </c:pt>
                <c:pt idx="5">
                  <c:v>332.11000000010245</c:v>
                </c:pt>
                <c:pt idx="6">
                  <c:v>365.81999999994878</c:v>
                </c:pt>
                <c:pt idx="7">
                  <c:v>311.25</c:v>
                </c:pt>
                <c:pt idx="8">
                  <c:v>313.25</c:v>
                </c:pt>
                <c:pt idx="9">
                  <c:v>339.75</c:v>
                </c:pt>
                <c:pt idx="10">
                  <c:v>329</c:v>
                </c:pt>
                <c:pt idx="11">
                  <c:v>331</c:v>
                </c:pt>
                <c:pt idx="12">
                  <c:v>314</c:v>
                </c:pt>
                <c:pt idx="13">
                  <c:v>311</c:v>
                </c:pt>
                <c:pt idx="14">
                  <c:v>306.30000000004657</c:v>
                </c:pt>
                <c:pt idx="15">
                  <c:v>315.19999999995343</c:v>
                </c:pt>
                <c:pt idx="16">
                  <c:v>308.63000000000466</c:v>
                </c:pt>
                <c:pt idx="17">
                  <c:v>317.86999999999534</c:v>
                </c:pt>
                <c:pt idx="18">
                  <c:v>316</c:v>
                </c:pt>
                <c:pt idx="19">
                  <c:v>306</c:v>
                </c:pt>
                <c:pt idx="20">
                  <c:v>252.5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559.94999999983702</c:v>
                </c:pt>
                <c:pt idx="1">
                  <c:v>552.06000000017229</c:v>
                </c:pt>
                <c:pt idx="2">
                  <c:v>551.60000000000036</c:v>
                </c:pt>
                <c:pt idx="3">
                  <c:v>549</c:v>
                </c:pt>
                <c:pt idx="4">
                  <c:v>580.01000000005297</c:v>
                </c:pt>
                <c:pt idx="5">
                  <c:v>579.00000000010186</c:v>
                </c:pt>
                <c:pt idx="6">
                  <c:v>606.40999999992346</c:v>
                </c:pt>
                <c:pt idx="7">
                  <c:v>560.17999999991844</c:v>
                </c:pt>
                <c:pt idx="8">
                  <c:v>574.15999999999622</c:v>
                </c:pt>
                <c:pt idx="9">
                  <c:v>553.59899999992194</c:v>
                </c:pt>
                <c:pt idx="10">
                  <c:v>558.24100000008184</c:v>
                </c:pt>
                <c:pt idx="11">
                  <c:v>578</c:v>
                </c:pt>
                <c:pt idx="12">
                  <c:v>536</c:v>
                </c:pt>
                <c:pt idx="13">
                  <c:v>532</c:v>
                </c:pt>
                <c:pt idx="14">
                  <c:v>536.99999999995634</c:v>
                </c:pt>
                <c:pt idx="15">
                  <c:v>488.20000000004075</c:v>
                </c:pt>
                <c:pt idx="16">
                  <c:v>511.66999999999825</c:v>
                </c:pt>
                <c:pt idx="17">
                  <c:v>499.13000000000466</c:v>
                </c:pt>
                <c:pt idx="18">
                  <c:v>470</c:v>
                </c:pt>
                <c:pt idx="19">
                  <c:v>516</c:v>
                </c:pt>
                <c:pt idx="20">
                  <c:v>527.30999999984488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106</c:v>
                </c:pt>
                <c:pt idx="1">
                  <c:v>116</c:v>
                </c:pt>
                <c:pt idx="2">
                  <c:v>114</c:v>
                </c:pt>
                <c:pt idx="3">
                  <c:v>111</c:v>
                </c:pt>
                <c:pt idx="4">
                  <c:v>104.36999999999534</c:v>
                </c:pt>
                <c:pt idx="5">
                  <c:v>115.8300000000163</c:v>
                </c:pt>
                <c:pt idx="6">
                  <c:v>129.50999999998021</c:v>
                </c:pt>
                <c:pt idx="7">
                  <c:v>98.290000000008149</c:v>
                </c:pt>
                <c:pt idx="8">
                  <c:v>102.29000000000815</c:v>
                </c:pt>
                <c:pt idx="9">
                  <c:v>150.72999999998137</c:v>
                </c:pt>
                <c:pt idx="10">
                  <c:v>119.98000000001048</c:v>
                </c:pt>
                <c:pt idx="11">
                  <c:v>104</c:v>
                </c:pt>
                <c:pt idx="12">
                  <c:v>105</c:v>
                </c:pt>
                <c:pt idx="13">
                  <c:v>102</c:v>
                </c:pt>
                <c:pt idx="14">
                  <c:v>95</c:v>
                </c:pt>
                <c:pt idx="15">
                  <c:v>90</c:v>
                </c:pt>
                <c:pt idx="16">
                  <c:v>109</c:v>
                </c:pt>
                <c:pt idx="17">
                  <c:v>95</c:v>
                </c:pt>
                <c:pt idx="18">
                  <c:v>85</c:v>
                </c:pt>
                <c:pt idx="19">
                  <c:v>89</c:v>
                </c:pt>
                <c:pt idx="20">
                  <c:v>100.10999999998603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00000"/>
        <c:axId val="157605888"/>
      </c:lineChart>
      <c:catAx>
        <c:axId val="15760000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7605888"/>
        <c:crosses val="autoZero"/>
        <c:auto val="1"/>
        <c:lblAlgn val="ctr"/>
        <c:lblOffset val="100"/>
        <c:noMultiLvlLbl val="0"/>
      </c:catAx>
      <c:valAx>
        <c:axId val="1576058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76000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40695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0.27217439163423141</c:v>
                </c:pt>
                <c:pt idx="1">
                  <c:v>6103.4199999999837</c:v>
                </c:pt>
                <c:pt idx="2">
                  <c:v>7359.4100000000326</c:v>
                </c:pt>
                <c:pt idx="3">
                  <c:v>6053.679999999993</c:v>
                </c:pt>
                <c:pt idx="4">
                  <c:v>0</c:v>
                </c:pt>
                <c:pt idx="5">
                  <c:v>6391.1700000000419</c:v>
                </c:pt>
                <c:pt idx="6">
                  <c:v>6173</c:v>
                </c:pt>
                <c:pt idx="7">
                  <c:v>6736.2799999999843</c:v>
                </c:pt>
                <c:pt idx="8">
                  <c:v>6983.9000000000233</c:v>
                </c:pt>
                <c:pt idx="9">
                  <c:v>7326.2799999999697</c:v>
                </c:pt>
                <c:pt idx="10">
                  <c:v>6495.5400000000227</c:v>
                </c:pt>
                <c:pt idx="11">
                  <c:v>8888</c:v>
                </c:pt>
                <c:pt idx="12">
                  <c:v>7829.4999999999563</c:v>
                </c:pt>
                <c:pt idx="13">
                  <c:v>7121.3500000000495</c:v>
                </c:pt>
                <c:pt idx="14">
                  <c:v>4094.1499999999942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9582080"/>
        <c:axId val="159583616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514370</c:v>
                </c:pt>
                <c:pt idx="1">
                  <c:v>540215</c:v>
                </c:pt>
                <c:pt idx="2">
                  <c:v>594162</c:v>
                </c:pt>
                <c:pt idx="3">
                  <c:v>568270</c:v>
                </c:pt>
                <c:pt idx="4">
                  <c:v>0</c:v>
                </c:pt>
                <c:pt idx="5">
                  <c:v>647436</c:v>
                </c:pt>
                <c:pt idx="6">
                  <c:v>673353</c:v>
                </c:pt>
                <c:pt idx="7">
                  <c:v>700573.03</c:v>
                </c:pt>
                <c:pt idx="8">
                  <c:v>727772.31</c:v>
                </c:pt>
                <c:pt idx="9">
                  <c:v>755289.19</c:v>
                </c:pt>
                <c:pt idx="10">
                  <c:v>781060</c:v>
                </c:pt>
                <c:pt idx="11">
                  <c:v>807560</c:v>
                </c:pt>
                <c:pt idx="12">
                  <c:v>834060</c:v>
                </c:pt>
                <c:pt idx="13">
                  <c:v>860560</c:v>
                </c:pt>
                <c:pt idx="14">
                  <c:v>883426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593600"/>
        <c:axId val="159595136"/>
      </c:lineChart>
      <c:catAx>
        <c:axId val="159582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83616"/>
        <c:crosses val="autoZero"/>
        <c:auto val="1"/>
        <c:lblAlgn val="ctr"/>
        <c:lblOffset val="100"/>
        <c:noMultiLvlLbl val="0"/>
      </c:catAx>
      <c:valAx>
        <c:axId val="15958361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82080"/>
        <c:crosses val="autoZero"/>
        <c:crossBetween val="between"/>
        <c:minorUnit val="50"/>
      </c:valAx>
      <c:catAx>
        <c:axId val="159593600"/>
        <c:scaling>
          <c:orientation val="minMax"/>
        </c:scaling>
        <c:delete val="1"/>
        <c:axPos val="b"/>
        <c:majorTickMark val="out"/>
        <c:minorTickMark val="none"/>
        <c:tickLblPos val="none"/>
        <c:crossAx val="159595136"/>
        <c:crosses val="autoZero"/>
        <c:auto val="1"/>
        <c:lblAlgn val="ctr"/>
        <c:lblOffset val="100"/>
        <c:noMultiLvlLbl val="0"/>
      </c:catAx>
      <c:valAx>
        <c:axId val="15959513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93600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623808"/>
        <c:axId val="192524672"/>
      </c:lineChart>
      <c:catAx>
        <c:axId val="15962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524672"/>
        <c:crosses val="autoZero"/>
        <c:auto val="1"/>
        <c:lblAlgn val="ctr"/>
        <c:lblOffset val="100"/>
        <c:noMultiLvlLbl val="0"/>
      </c:catAx>
      <c:valAx>
        <c:axId val="192524672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238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514370</c:v>
                </c:pt>
                <c:pt idx="1">
                  <c:v>540215</c:v>
                </c:pt>
                <c:pt idx="2">
                  <c:v>594162</c:v>
                </c:pt>
                <c:pt idx="3">
                  <c:v>568270</c:v>
                </c:pt>
                <c:pt idx="4">
                  <c:v>0</c:v>
                </c:pt>
                <c:pt idx="5">
                  <c:v>647436</c:v>
                </c:pt>
                <c:pt idx="6">
                  <c:v>673353</c:v>
                </c:pt>
                <c:pt idx="7">
                  <c:v>700573.03</c:v>
                </c:pt>
                <c:pt idx="8">
                  <c:v>727772.31</c:v>
                </c:pt>
                <c:pt idx="9">
                  <c:v>755289.19</c:v>
                </c:pt>
                <c:pt idx="10">
                  <c:v>781060</c:v>
                </c:pt>
                <c:pt idx="11">
                  <c:v>807560</c:v>
                </c:pt>
                <c:pt idx="12">
                  <c:v>834060</c:v>
                </c:pt>
                <c:pt idx="13">
                  <c:v>860560</c:v>
                </c:pt>
                <c:pt idx="14">
                  <c:v>883426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92951040"/>
        <c:axId val="192952576"/>
      </c:lineChart>
      <c:catAx>
        <c:axId val="19295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952576"/>
        <c:crosses val="autoZero"/>
        <c:auto val="1"/>
        <c:lblAlgn val="ctr"/>
        <c:lblOffset val="100"/>
        <c:noMultiLvlLbl val="0"/>
      </c:catAx>
      <c:valAx>
        <c:axId val="192952576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9510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5102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151</c:v>
                </c:pt>
                <c:pt idx="1">
                  <c:v>168</c:v>
                </c:pt>
                <c:pt idx="2">
                  <c:v>165</c:v>
                </c:pt>
                <c:pt idx="3">
                  <c:v>150</c:v>
                </c:pt>
                <c:pt idx="4">
                  <c:v>0</c:v>
                </c:pt>
                <c:pt idx="5">
                  <c:v>160</c:v>
                </c:pt>
                <c:pt idx="6">
                  <c:v>181</c:v>
                </c:pt>
                <c:pt idx="7">
                  <c:v>191</c:v>
                </c:pt>
                <c:pt idx="8">
                  <c:v>194</c:v>
                </c:pt>
                <c:pt idx="9">
                  <c:v>176</c:v>
                </c:pt>
                <c:pt idx="10">
                  <c:v>199</c:v>
                </c:pt>
                <c:pt idx="11">
                  <c:v>-192</c:v>
                </c:pt>
                <c:pt idx="12">
                  <c:v>684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91232"/>
        <c:axId val="192992768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514370</c:v>
                </c:pt>
                <c:pt idx="1">
                  <c:v>540215</c:v>
                </c:pt>
                <c:pt idx="2">
                  <c:v>594162</c:v>
                </c:pt>
                <c:pt idx="3">
                  <c:v>568270</c:v>
                </c:pt>
                <c:pt idx="4">
                  <c:v>0</c:v>
                </c:pt>
                <c:pt idx="5">
                  <c:v>647436</c:v>
                </c:pt>
                <c:pt idx="6">
                  <c:v>673353</c:v>
                </c:pt>
                <c:pt idx="7">
                  <c:v>700573.03</c:v>
                </c:pt>
                <c:pt idx="8">
                  <c:v>727772.31</c:v>
                </c:pt>
                <c:pt idx="9">
                  <c:v>755289.19</c:v>
                </c:pt>
                <c:pt idx="10">
                  <c:v>781060</c:v>
                </c:pt>
                <c:pt idx="11">
                  <c:v>807560</c:v>
                </c:pt>
                <c:pt idx="12">
                  <c:v>834060</c:v>
                </c:pt>
                <c:pt idx="13">
                  <c:v>860560</c:v>
                </c:pt>
                <c:pt idx="14">
                  <c:v>883426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94304"/>
        <c:axId val="192996096"/>
      </c:lineChart>
      <c:catAx>
        <c:axId val="19299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992768"/>
        <c:crosses val="autoZero"/>
        <c:auto val="1"/>
        <c:lblAlgn val="ctr"/>
        <c:lblOffset val="100"/>
        <c:noMultiLvlLbl val="0"/>
      </c:catAx>
      <c:valAx>
        <c:axId val="192992768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991232"/>
        <c:crosses val="autoZero"/>
        <c:crossBetween val="between"/>
      </c:valAx>
      <c:catAx>
        <c:axId val="192994304"/>
        <c:scaling>
          <c:orientation val="minMax"/>
        </c:scaling>
        <c:delete val="1"/>
        <c:axPos val="b"/>
        <c:majorTickMark val="out"/>
        <c:minorTickMark val="none"/>
        <c:tickLblPos val="none"/>
        <c:crossAx val="192996096"/>
        <c:crosses val="autoZero"/>
        <c:auto val="1"/>
        <c:lblAlgn val="ctr"/>
        <c:lblOffset val="100"/>
        <c:noMultiLvlLbl val="0"/>
      </c:catAx>
      <c:valAx>
        <c:axId val="19299609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9943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28</c:v>
                </c:pt>
                <c:pt idx="1">
                  <c:v>37</c:v>
                </c:pt>
                <c:pt idx="2">
                  <c:v>21</c:v>
                </c:pt>
                <c:pt idx="3">
                  <c:v>20</c:v>
                </c:pt>
                <c:pt idx="4">
                  <c:v>0</c:v>
                </c:pt>
                <c:pt idx="5">
                  <c:v>25</c:v>
                </c:pt>
                <c:pt idx="6">
                  <c:v>41</c:v>
                </c:pt>
                <c:pt idx="7">
                  <c:v>47</c:v>
                </c:pt>
                <c:pt idx="8">
                  <c:v>48</c:v>
                </c:pt>
                <c:pt idx="9">
                  <c:v>40</c:v>
                </c:pt>
                <c:pt idx="10">
                  <c:v>34</c:v>
                </c:pt>
                <c:pt idx="11">
                  <c:v>38</c:v>
                </c:pt>
                <c:pt idx="12">
                  <c:v>35</c:v>
                </c:pt>
                <c:pt idx="13">
                  <c:v>42</c:v>
                </c:pt>
                <c:pt idx="1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6</c:v>
                </c:pt>
                <c:pt idx="1">
                  <c:v>11</c:v>
                </c:pt>
                <c:pt idx="2">
                  <c:v>14</c:v>
                </c:pt>
                <c:pt idx="3">
                  <c:v>6</c:v>
                </c:pt>
                <c:pt idx="4">
                  <c:v>0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11</c:v>
                </c:pt>
                <c:pt idx="9">
                  <c:v>5</c:v>
                </c:pt>
                <c:pt idx="10">
                  <c:v>6</c:v>
                </c:pt>
                <c:pt idx="11">
                  <c:v>-311</c:v>
                </c:pt>
                <c:pt idx="12">
                  <c:v>331</c:v>
                </c:pt>
                <c:pt idx="13">
                  <c:v>171</c:v>
                </c:pt>
                <c:pt idx="14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55360"/>
        <c:axId val="193061248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514370</c:v>
                </c:pt>
                <c:pt idx="1">
                  <c:v>540215</c:v>
                </c:pt>
                <c:pt idx="2">
                  <c:v>594162</c:v>
                </c:pt>
                <c:pt idx="3">
                  <c:v>568270</c:v>
                </c:pt>
                <c:pt idx="4">
                  <c:v>0</c:v>
                </c:pt>
                <c:pt idx="5">
                  <c:v>647436</c:v>
                </c:pt>
                <c:pt idx="6">
                  <c:v>673353</c:v>
                </c:pt>
                <c:pt idx="7">
                  <c:v>700573.03</c:v>
                </c:pt>
                <c:pt idx="8">
                  <c:v>727772.31</c:v>
                </c:pt>
                <c:pt idx="9">
                  <c:v>755289.19</c:v>
                </c:pt>
                <c:pt idx="10">
                  <c:v>781060</c:v>
                </c:pt>
                <c:pt idx="11">
                  <c:v>807560</c:v>
                </c:pt>
                <c:pt idx="12">
                  <c:v>834060</c:v>
                </c:pt>
                <c:pt idx="13">
                  <c:v>860560</c:v>
                </c:pt>
                <c:pt idx="14">
                  <c:v>883426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62784"/>
        <c:axId val="193064320"/>
      </c:lineChart>
      <c:catAx>
        <c:axId val="19305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061248"/>
        <c:crosses val="autoZero"/>
        <c:auto val="1"/>
        <c:lblAlgn val="ctr"/>
        <c:lblOffset val="100"/>
        <c:noMultiLvlLbl val="0"/>
      </c:catAx>
      <c:valAx>
        <c:axId val="193061248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055360"/>
        <c:crosses val="autoZero"/>
        <c:crossBetween val="between"/>
        <c:majorUnit val="2"/>
      </c:valAx>
      <c:catAx>
        <c:axId val="193062784"/>
        <c:scaling>
          <c:orientation val="minMax"/>
        </c:scaling>
        <c:delete val="1"/>
        <c:axPos val="b"/>
        <c:majorTickMark val="out"/>
        <c:minorTickMark val="none"/>
        <c:tickLblPos val="none"/>
        <c:crossAx val="193064320"/>
        <c:crosses val="autoZero"/>
        <c:auto val="1"/>
        <c:lblAlgn val="ctr"/>
        <c:lblOffset val="100"/>
        <c:noMultiLvlLbl val="0"/>
      </c:catAx>
      <c:valAx>
        <c:axId val="19306432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06278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C2" sqref="C2:C32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8</v>
      </c>
      <c r="D2" s="274">
        <v>2022</v>
      </c>
      <c r="E2" s="275">
        <f>(IF('Daily HLP'!H4&gt;0,'Daily HLP'!H4,0))</f>
        <v>25783</v>
      </c>
      <c r="F2" s="276">
        <v>9</v>
      </c>
      <c r="G2" s="276">
        <f>(IF('Daily HLP'!L4&gt;0,'Daily HLP'!L4,0))</f>
        <v>1063.6000000000931</v>
      </c>
      <c r="H2" s="276">
        <v>75</v>
      </c>
      <c r="I2" s="276">
        <f>(IF('Daily HLP'!O4&gt;0,'Daily HLP'!O4,0))</f>
        <v>182</v>
      </c>
      <c r="J2" s="276">
        <v>100</v>
      </c>
      <c r="K2" s="281">
        <f>Occupancy!G2</f>
        <v>119</v>
      </c>
      <c r="L2" s="275">
        <f>Occupancy!F2</f>
        <v>306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8</v>
      </c>
      <c r="D3" s="274">
        <v>2022</v>
      </c>
      <c r="E3" s="275">
        <f>(IF('Daily HLP'!H5&gt;0,'Daily HLP'!H5,0))</f>
        <v>25845</v>
      </c>
      <c r="F3" s="276">
        <v>9</v>
      </c>
      <c r="G3" s="276">
        <f>(IF('Daily HLP'!L5&gt;0,'Daily HLP'!L5,0))</f>
        <v>1000.6999999997206</v>
      </c>
      <c r="H3" s="276">
        <v>75</v>
      </c>
      <c r="I3" s="276">
        <f>(IF('Daily HLP'!O5&gt;0,'Daily HLP'!O5,0))</f>
        <v>231</v>
      </c>
      <c r="J3" s="276">
        <v>100</v>
      </c>
      <c r="K3" s="281">
        <f>Occupancy!G3</f>
        <v>130</v>
      </c>
      <c r="L3" s="275">
        <f>Occupancy!F3</f>
        <v>406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8</v>
      </c>
      <c r="D4" s="274">
        <v>2022</v>
      </c>
      <c r="E4" s="275">
        <f>(IF('Daily HLP'!H6&gt;0,'Daily HLP'!H6,0))</f>
        <v>28055</v>
      </c>
      <c r="F4" s="276">
        <v>9</v>
      </c>
      <c r="G4" s="276">
        <f>(IF('Daily HLP'!L6&gt;0,'Daily HLP'!L6,0))</f>
        <v>979.20000000018626</v>
      </c>
      <c r="H4" s="276">
        <v>75</v>
      </c>
      <c r="I4" s="276">
        <f>(IF('Daily HLP'!O6&gt;0,'Daily HLP'!O6,0))</f>
        <v>155</v>
      </c>
      <c r="J4" s="276">
        <v>100</v>
      </c>
      <c r="K4" s="281">
        <f>Occupancy!G4</f>
        <v>140</v>
      </c>
      <c r="L4" s="275">
        <f>Occupancy!F4</f>
        <v>744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8</v>
      </c>
      <c r="D5" s="274">
        <v>2022</v>
      </c>
      <c r="E5" s="275">
        <f>(IF('Daily HLP'!H7&gt;0,'Daily HLP'!H7,0))</f>
        <v>25892</v>
      </c>
      <c r="F5" s="276">
        <v>9</v>
      </c>
      <c r="G5" s="276">
        <f>(IF('Daily HLP'!L7&gt;0,'Daily HLP'!L7,0))</f>
        <v>1002.2999999998137</v>
      </c>
      <c r="H5" s="276">
        <v>75</v>
      </c>
      <c r="I5" s="276">
        <f>(IF('Daily HLP'!O7&gt;0,'Daily HLP'!O7,0))</f>
        <v>183</v>
      </c>
      <c r="J5" s="276">
        <v>100</v>
      </c>
      <c r="K5" s="281">
        <f>Occupancy!G5</f>
        <v>147</v>
      </c>
      <c r="L5" s="275">
        <f>Occupancy!F5</f>
        <v>534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8</v>
      </c>
      <c r="D6" s="274">
        <v>2022</v>
      </c>
      <c r="E6" s="275">
        <f>(IF('Daily HLP'!H8&gt;0,'Daily HLP'!H8,0))</f>
        <v>27118</v>
      </c>
      <c r="F6" s="276">
        <v>9</v>
      </c>
      <c r="G6" s="276">
        <f>(IF('Daily HLP'!L8&gt;0,'Daily HLP'!L8,0))</f>
        <v>1047.2000000001863</v>
      </c>
      <c r="H6" s="276">
        <v>75</v>
      </c>
      <c r="I6" s="276">
        <f>(IF('Daily HLP'!O8&gt;0,'Daily HLP'!O8,0))</f>
        <v>192</v>
      </c>
      <c r="J6" s="276">
        <v>100</v>
      </c>
      <c r="K6" s="281">
        <f>Occupancy!G6</f>
        <v>143</v>
      </c>
      <c r="L6" s="275">
        <f>Occupancy!F6</f>
        <v>428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8</v>
      </c>
      <c r="D7" s="274">
        <v>2022</v>
      </c>
      <c r="E7" s="275">
        <f>(IF('Daily HLP'!H9&gt;0,'Daily HLP'!H9,0))</f>
        <v>26156</v>
      </c>
      <c r="F7" s="276">
        <v>9</v>
      </c>
      <c r="G7" s="276">
        <f>(IF('Daily HLP'!L9&gt;0,'Daily HLP'!L9,0))</f>
        <v>981</v>
      </c>
      <c r="H7" s="276">
        <v>75</v>
      </c>
      <c r="I7" s="276">
        <f>(IF('Daily HLP'!O9&gt;0,'Daily HLP'!O9,0))</f>
        <v>247</v>
      </c>
      <c r="J7" s="276">
        <v>100</v>
      </c>
      <c r="K7" s="281">
        <f>Occupancy!G7</f>
        <v>138</v>
      </c>
      <c r="L7" s="275">
        <f>Occupancy!F7</f>
        <v>596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8</v>
      </c>
      <c r="D8" s="274">
        <v>2022</v>
      </c>
      <c r="E8" s="275">
        <f>(IF('Daily HLP'!H10&gt;0,'Daily HLP'!H10,0))</f>
        <v>25917</v>
      </c>
      <c r="F8" s="276">
        <v>9</v>
      </c>
      <c r="G8" s="276">
        <f>(IF('Daily HLP'!L10&gt;0,'Daily HLP'!L10,0))</f>
        <v>1066</v>
      </c>
      <c r="H8" s="276">
        <v>75</v>
      </c>
      <c r="I8" s="276">
        <f>(IF('Daily HLP'!O10&gt;0,'Daily HLP'!O10,0))</f>
        <v>287</v>
      </c>
      <c r="J8" s="276">
        <v>100</v>
      </c>
      <c r="K8" s="281">
        <f>Occupancy!G8</f>
        <v>125</v>
      </c>
      <c r="L8" s="275">
        <f>Occupancy!F8</f>
        <v>315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8</v>
      </c>
      <c r="D9" s="274">
        <v>2022</v>
      </c>
      <c r="E9" s="275">
        <f>(IF('Daily HLP'!H11&gt;0,'Daily HLP'!H11,0))</f>
        <v>27220.030000000028</v>
      </c>
      <c r="F9" s="276">
        <v>9</v>
      </c>
      <c r="G9" s="276">
        <f>(IF('Daily HLP'!L11&gt;0,'Daily HLP'!L11,0))</f>
        <v>1037</v>
      </c>
      <c r="H9" s="276">
        <v>75</v>
      </c>
      <c r="I9" s="276">
        <f>(IF('Daily HLP'!O11&gt;0,'Daily HLP'!O11,0))</f>
        <v>212</v>
      </c>
      <c r="J9" s="276">
        <v>100</v>
      </c>
      <c r="K9" s="281">
        <f>Occupancy!G9</f>
        <v>140</v>
      </c>
      <c r="L9" s="275">
        <f>Occupancy!F9</f>
        <v>361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8</v>
      </c>
      <c r="D10" s="274">
        <v>2022</v>
      </c>
      <c r="E10" s="275">
        <f>(IF('Daily HLP'!H12&gt;0,'Daily HLP'!H12,0))</f>
        <v>27199.280000000028</v>
      </c>
      <c r="F10" s="276">
        <v>9</v>
      </c>
      <c r="G10" s="276">
        <f>(IF('Daily HLP'!L12&gt;0,'Daily HLP'!L12,0))</f>
        <v>1078.7400000002235</v>
      </c>
      <c r="H10" s="276">
        <v>75</v>
      </c>
      <c r="I10" s="276">
        <f>(IF('Daily HLP'!O12&gt;0,'Daily HLP'!O12,0))</f>
        <v>84</v>
      </c>
      <c r="J10" s="276">
        <v>100</v>
      </c>
      <c r="K10" s="281">
        <f>Occupancy!G10</f>
        <v>125</v>
      </c>
      <c r="L10" s="275">
        <f>Occupancy!F10</f>
        <v>667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8</v>
      </c>
      <c r="D11" s="274">
        <v>2022</v>
      </c>
      <c r="E11" s="275">
        <f>(IF('Daily HLP'!H13&gt;0,'Daily HLP'!H13,0))</f>
        <v>27516.879999999888</v>
      </c>
      <c r="F11" s="276">
        <v>9</v>
      </c>
      <c r="G11" s="276">
        <f>(IF('Daily HLP'!L13&gt;0,'Daily HLP'!L13,0))</f>
        <v>1150.339999999851</v>
      </c>
      <c r="H11" s="276">
        <v>75</v>
      </c>
      <c r="I11" s="276">
        <f>(IF('Daily HLP'!O13&gt;0,'Daily HLP'!O13,0))</f>
        <v>220</v>
      </c>
      <c r="J11" s="276">
        <v>100</v>
      </c>
      <c r="K11" s="281">
        <f>Occupancy!G11</f>
        <v>102</v>
      </c>
      <c r="L11" s="275">
        <f>Occupancy!F11</f>
        <v>795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8</v>
      </c>
      <c r="D12" s="274">
        <v>2022</v>
      </c>
      <c r="E12" s="275">
        <f>(IF('Daily HLP'!H14&gt;0,'Daily HLP'!H14,0))</f>
        <v>25770.810000000056</v>
      </c>
      <c r="F12" s="276">
        <v>9</v>
      </c>
      <c r="G12" s="276">
        <f>(IF('Daily HLP'!L14&gt;0,'Daily HLP'!L14,0))</f>
        <v>1023.9199999999255</v>
      </c>
      <c r="H12" s="276">
        <v>75</v>
      </c>
      <c r="I12" s="276">
        <f>(IF('Daily HLP'!O14&gt;0,'Daily HLP'!O14,0))</f>
        <v>180</v>
      </c>
      <c r="J12" s="276">
        <v>100</v>
      </c>
      <c r="K12" s="281">
        <f>Occupancy!G12</f>
        <v>96</v>
      </c>
      <c r="L12" s="275">
        <f>Occupancy!F12</f>
        <v>363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8</v>
      </c>
      <c r="D13" s="274">
        <v>2022</v>
      </c>
      <c r="E13" s="275">
        <f>(IF('Daily HLP'!H15&gt;0,'Daily HLP'!H15,0))</f>
        <v>26500</v>
      </c>
      <c r="F13" s="276">
        <v>9</v>
      </c>
      <c r="G13" s="276">
        <f>(IF('Daily HLP'!L15&gt;0,'Daily HLP'!L15,0))</f>
        <v>1049</v>
      </c>
      <c r="H13" s="276">
        <v>75</v>
      </c>
      <c r="I13" s="276">
        <f>(IF('Daily HLP'!O15&gt;0,'Daily HLP'!O15,0))</f>
        <v>205</v>
      </c>
      <c r="J13" s="276">
        <v>100</v>
      </c>
      <c r="K13" s="281">
        <f>Occupancy!G13</f>
        <v>123</v>
      </c>
      <c r="L13" s="275">
        <f>Occupancy!F13</f>
        <v>0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8</v>
      </c>
      <c r="D14" s="274">
        <v>2022</v>
      </c>
      <c r="E14" s="275">
        <f>(IF('Daily HLP'!H16&gt;0,'Daily HLP'!H16,0))</f>
        <v>26500</v>
      </c>
      <c r="F14" s="276">
        <v>9</v>
      </c>
      <c r="G14" s="276">
        <f>(IF('Daily HLP'!L16&gt;0,'Daily HLP'!L16,0))</f>
        <v>1094.0789999999106</v>
      </c>
      <c r="H14" s="276">
        <v>75</v>
      </c>
      <c r="I14" s="276">
        <f>(IF('Daily HLP'!O16&gt;0,'Daily HLP'!O16,0))</f>
        <v>210</v>
      </c>
      <c r="J14" s="276">
        <v>100</v>
      </c>
      <c r="K14" s="281">
        <f>Occupancy!G14</f>
        <v>124</v>
      </c>
      <c r="L14" s="275">
        <f>Occupancy!F14</f>
        <v>575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8</v>
      </c>
      <c r="D15" s="274">
        <v>2022</v>
      </c>
      <c r="E15" s="275">
        <f>(IF('Daily HLP'!H17&gt;0,'Daily HLP'!H17,0))</f>
        <v>26500</v>
      </c>
      <c r="F15" s="276">
        <v>9</v>
      </c>
      <c r="G15" s="276">
        <f>(IF('Daily HLP'!L17&gt;0,'Daily HLP'!L17,0))</f>
        <v>1061.9210000000894</v>
      </c>
      <c r="H15" s="276">
        <v>75</v>
      </c>
      <c r="I15" s="276">
        <f>(IF('Daily HLP'!O17&gt;0,'Daily HLP'!O17,0))</f>
        <v>248</v>
      </c>
      <c r="J15" s="276">
        <v>100</v>
      </c>
      <c r="K15" s="281">
        <f>Occupancy!G15</f>
        <v>100</v>
      </c>
      <c r="L15" s="275">
        <f>Occupancy!F15</f>
        <v>390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8</v>
      </c>
      <c r="D16" s="274">
        <v>2022</v>
      </c>
      <c r="E16" s="275">
        <f>(IF('Daily HLP'!H18&gt;0,'Daily HLP'!H18,0))</f>
        <v>22866</v>
      </c>
      <c r="F16" s="276">
        <v>9</v>
      </c>
      <c r="G16" s="276">
        <f>(IF('Daily HLP'!L18&gt;0,'Daily HLP'!L18,0))</f>
        <v>1067</v>
      </c>
      <c r="H16" s="276">
        <v>75</v>
      </c>
      <c r="I16" s="276">
        <f>(IF('Daily HLP'!O18&gt;0,'Daily HLP'!O18,0))</f>
        <v>300</v>
      </c>
      <c r="J16" s="276">
        <v>100</v>
      </c>
      <c r="K16" s="281">
        <f>Occupancy!G16</f>
        <v>112</v>
      </c>
      <c r="L16" s="275">
        <f>Occupancy!F16</f>
        <v>326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8</v>
      </c>
      <c r="D17" s="274">
        <v>2022</v>
      </c>
      <c r="E17" s="275">
        <f>(IF('Daily HLP'!H19&gt;0,'Daily HLP'!H19,0))</f>
        <v>27629</v>
      </c>
      <c r="F17" s="276">
        <v>9</v>
      </c>
      <c r="G17" s="276">
        <f>(IF('Daily HLP'!L19&gt;0,'Daily HLP'!L19,0))</f>
        <v>1000</v>
      </c>
      <c r="H17" s="276">
        <v>75</v>
      </c>
      <c r="I17" s="276">
        <f>(IF('Daily HLP'!O19&gt;0,'Daily HLP'!O19,0))</f>
        <v>142</v>
      </c>
      <c r="J17" s="276">
        <v>100</v>
      </c>
      <c r="K17" s="281">
        <f>Occupancy!G17</f>
        <v>112</v>
      </c>
      <c r="L17" s="275">
        <f>Occupancy!F17</f>
        <v>561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8</v>
      </c>
      <c r="D18" s="274">
        <v>2022</v>
      </c>
      <c r="E18" s="275">
        <f>(IF('Daily HLP'!H20&gt;0,'Daily HLP'!H20,0))</f>
        <v>26748</v>
      </c>
      <c r="F18" s="276">
        <v>9</v>
      </c>
      <c r="G18" s="276">
        <f>(IF('Daily HLP'!L20&gt;0,'Daily HLP'!L20,0))</f>
        <v>1001</v>
      </c>
      <c r="H18" s="276">
        <v>75</v>
      </c>
      <c r="I18" s="276">
        <f>(IF('Daily HLP'!O20&gt;0,'Daily HLP'!O20,0))</f>
        <v>289</v>
      </c>
      <c r="J18" s="276">
        <v>100</v>
      </c>
      <c r="K18" s="281">
        <f>Occupancy!G18</f>
        <v>115</v>
      </c>
      <c r="L18" s="275">
        <f>Occupancy!F18</f>
        <v>555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8</v>
      </c>
      <c r="D19" s="274">
        <v>2022</v>
      </c>
      <c r="E19" s="275">
        <f>(IF('Daily HLP'!H21&gt;0,'Daily HLP'!H21,0))</f>
        <v>24766</v>
      </c>
      <c r="F19" s="276">
        <v>9</v>
      </c>
      <c r="G19" s="276">
        <f>(IF('Daily HLP'!L21&gt;0,'Daily HLP'!L21,0))</f>
        <v>980.5</v>
      </c>
      <c r="H19" s="276">
        <v>75</v>
      </c>
      <c r="I19" s="276">
        <f>(IF('Daily HLP'!O21&gt;0,'Daily HLP'!O21,0))</f>
        <v>199</v>
      </c>
      <c r="J19" s="276">
        <v>100</v>
      </c>
      <c r="K19" s="281">
        <f>Occupancy!G19</f>
        <v>109</v>
      </c>
      <c r="L19" s="275">
        <f>Occupancy!F19</f>
        <v>450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8</v>
      </c>
      <c r="D20" s="274">
        <v>2022</v>
      </c>
      <c r="E20" s="275">
        <f>(IF('Daily HLP'!H22&gt;0,'Daily HLP'!H22,0))</f>
        <v>26615.699999999953</v>
      </c>
      <c r="F20" s="276">
        <v>9</v>
      </c>
      <c r="G20" s="276">
        <f>(IF('Daily HLP'!L22&gt;0,'Daily HLP'!L22,0))</f>
        <v>945.5</v>
      </c>
      <c r="H20" s="276">
        <v>75</v>
      </c>
      <c r="I20" s="276">
        <f>(IF('Daily HLP'!O22&gt;0,'Daily HLP'!O22,0))</f>
        <v>151</v>
      </c>
      <c r="J20" s="276">
        <v>100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8</v>
      </c>
      <c r="D21" s="274">
        <v>2022</v>
      </c>
      <c r="E21" s="275">
        <f>(IF('Daily HLP'!H23&gt;0,'Daily HLP'!H23,0))</f>
        <v>25977</v>
      </c>
      <c r="F21" s="276">
        <v>9</v>
      </c>
      <c r="G21" s="276">
        <f>(IF('Daily HLP'!L23&gt;0,'Daily HLP'!L23,0))</f>
        <v>983</v>
      </c>
      <c r="H21" s="276">
        <v>75</v>
      </c>
      <c r="I21" s="276">
        <f>(IF('Daily HLP'!O23&gt;0,'Daily HLP'!O23,0))</f>
        <v>241</v>
      </c>
      <c r="J21" s="276">
        <v>100</v>
      </c>
      <c r="K21" s="281">
        <f>Occupancy!G21</f>
        <v>114</v>
      </c>
      <c r="L21" s="275">
        <f>Occupancy!F21</f>
        <v>408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8</v>
      </c>
      <c r="D22" s="274">
        <v>2022</v>
      </c>
      <c r="E22" s="275">
        <f>(IF('Daily HLP'!H24&gt;0,'Daily HLP'!H24,0))</f>
        <v>24430</v>
      </c>
      <c r="F22" s="276">
        <v>9</v>
      </c>
      <c r="G22" s="276">
        <f>(IF('Daily HLP'!L24&gt;0,'Daily HLP'!L24,0))</f>
        <v>959</v>
      </c>
      <c r="H22" s="276">
        <v>75</v>
      </c>
      <c r="I22" s="276">
        <f>(IF('Daily HLP'!O24&gt;0,'Daily HLP'!O24,0))</f>
        <v>191</v>
      </c>
      <c r="J22" s="276">
        <v>100</v>
      </c>
      <c r="K22" s="281">
        <f>Occupancy!G22</f>
        <v>94</v>
      </c>
      <c r="L22" s="275">
        <f>Occupancy!F22</f>
        <v>238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8</v>
      </c>
      <c r="D23" s="274">
        <v>2022</v>
      </c>
      <c r="E23" s="275">
        <f>(IF('Daily HLP'!H25&gt;0,'Daily HLP'!H25,0))</f>
        <v>23577</v>
      </c>
      <c r="F23" s="276">
        <v>9</v>
      </c>
      <c r="G23" s="276">
        <f>(IF('Daily HLP'!L25&gt;0,'Daily HLP'!L25,0))</f>
        <v>927</v>
      </c>
      <c r="H23" s="276">
        <v>75</v>
      </c>
      <c r="I23" s="276">
        <f>(IF('Daily HLP'!O25&gt;0,'Daily HLP'!O25,0))</f>
        <v>181</v>
      </c>
      <c r="J23" s="276">
        <v>100</v>
      </c>
      <c r="K23" s="281">
        <f>Occupancy!G23</f>
        <v>110</v>
      </c>
      <c r="L23" s="275">
        <f>Occupancy!F23</f>
        <v>325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8</v>
      </c>
      <c r="D24" s="274">
        <v>2022</v>
      </c>
      <c r="E24" s="275">
        <f>(IF('Daily HLP'!H26&gt;0,'Daily HLP'!H26,0))</f>
        <v>23759</v>
      </c>
      <c r="F24" s="276">
        <v>9</v>
      </c>
      <c r="G24" s="276">
        <f>(IF('Daily HLP'!L26&gt;0,'Daily HLP'!L26,0))</f>
        <v>951</v>
      </c>
      <c r="H24" s="276">
        <v>75</v>
      </c>
      <c r="I24" s="276">
        <f>(IF('Daily HLP'!O26&gt;0,'Daily HLP'!O26,0))</f>
        <v>209</v>
      </c>
      <c r="J24" s="276">
        <v>100</v>
      </c>
      <c r="K24" s="281">
        <f>Occupancy!G24</f>
        <v>111</v>
      </c>
      <c r="L24" s="275">
        <f>Occupancy!F24</f>
        <v>329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8</v>
      </c>
      <c r="D25" s="274">
        <v>2022</v>
      </c>
      <c r="E25" s="275">
        <f>(IF('Daily HLP'!H27&gt;0,'Daily HLP'!H27,0))</f>
        <v>23812.020000000004</v>
      </c>
      <c r="F25" s="276">
        <v>9</v>
      </c>
      <c r="G25" s="276">
        <f>(IF('Daily HLP'!L27&gt;0,'Daily HLP'!L27,0))</f>
        <v>919.81999999983236</v>
      </c>
      <c r="H25" s="276">
        <v>75</v>
      </c>
      <c r="I25" s="276">
        <f>(IF('Daily HLP'!O27&gt;0,'Daily HLP'!O27,0))</f>
        <v>297</v>
      </c>
      <c r="J25" s="276">
        <v>100</v>
      </c>
      <c r="K25" s="281">
        <f>Occupancy!G25</f>
        <v>103</v>
      </c>
      <c r="L25" s="275">
        <f>Occupancy!F25</f>
        <v>297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8</v>
      </c>
      <c r="D26" s="274">
        <v>2022</v>
      </c>
      <c r="E26" s="275">
        <f>(IF('Daily HLP'!H28&gt;0,'Daily HLP'!H28,0))</f>
        <v>27100.749999999985</v>
      </c>
      <c r="F26" s="276">
        <v>9</v>
      </c>
      <c r="G26" s="276">
        <f>(IF('Daily HLP'!L28&gt;0,'Daily HLP'!L28,0))</f>
        <v>944.3800000003539</v>
      </c>
      <c r="H26" s="276">
        <v>75</v>
      </c>
      <c r="I26" s="276">
        <f>(IF('Daily HLP'!O28&gt;0,'Daily HLP'!O28,0))</f>
        <v>129</v>
      </c>
      <c r="J26" s="276">
        <v>100</v>
      </c>
      <c r="K26" s="281">
        <f>Occupancy!G26</f>
        <v>111</v>
      </c>
      <c r="L26" s="275">
        <f>Occupancy!F26</f>
        <v>382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8</v>
      </c>
      <c r="D27" s="274">
        <v>2022</v>
      </c>
      <c r="E27" s="275">
        <f>(IF('Daily HLP'!H29&gt;0,'Daily HLP'!H29,0))</f>
        <v>25581.160000000003</v>
      </c>
      <c r="F27" s="276">
        <v>9</v>
      </c>
      <c r="G27" s="276">
        <f>(IF('Daily HLP'!L29&gt;0,'Daily HLP'!L29,0))</f>
        <v>978.12999999988824</v>
      </c>
      <c r="H27" s="276">
        <v>75</v>
      </c>
      <c r="I27" s="276">
        <f>(IF('Daily HLP'!O29&gt;0,'Daily HLP'!O29,0))</f>
        <v>270</v>
      </c>
      <c r="J27" s="276">
        <v>100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8</v>
      </c>
      <c r="D28" s="274">
        <v>2022</v>
      </c>
      <c r="E28" s="275">
        <f>(IF('Daily HLP'!H30&gt;0,'Daily HLP'!H30,0))</f>
        <v>24717.070000000007</v>
      </c>
      <c r="F28" s="276">
        <v>9</v>
      </c>
      <c r="G28" s="276">
        <f>(IF('Daily HLP'!L30&gt;0,'Daily HLP'!L30,0))</f>
        <v>972.77000000001863</v>
      </c>
      <c r="H28" s="276">
        <v>75</v>
      </c>
      <c r="I28" s="276">
        <f>(IF('Daily HLP'!O30&gt;0,'Daily HLP'!O30,0))</f>
        <v>270</v>
      </c>
      <c r="J28" s="276">
        <v>100</v>
      </c>
      <c r="K28" s="281">
        <f>Occupancy!G28</f>
        <v>94</v>
      </c>
      <c r="L28" s="275">
        <f>Occupancy!F28</f>
        <v>337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8</v>
      </c>
      <c r="D29" s="274">
        <v>2022</v>
      </c>
      <c r="E29" s="275">
        <f>(IF('Daily HLP'!H31&gt;0,'Daily HLP'!H31,0))</f>
        <v>21951</v>
      </c>
      <c r="F29" s="276">
        <v>9</v>
      </c>
      <c r="G29" s="276">
        <f>(IF('Daily HLP'!L31&gt;0,'Daily HLP'!L31,0))</f>
        <v>967.39999999990687</v>
      </c>
      <c r="H29" s="276">
        <v>75</v>
      </c>
      <c r="I29" s="276">
        <f>(IF('Daily HLP'!O31&gt;0,'Daily HLP'!O31,0))</f>
        <v>240</v>
      </c>
      <c r="J29" s="276">
        <v>100</v>
      </c>
      <c r="K29" s="281">
        <f>Occupancy!G29</f>
        <v>75</v>
      </c>
      <c r="L29" s="275">
        <f>Occupancy!F29</f>
        <v>254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8</v>
      </c>
      <c r="D30" s="274">
        <v>2022</v>
      </c>
      <c r="E30" s="275">
        <f>(IF('Daily HLP'!H32&gt;0,'Daily HLP'!H32,0))</f>
        <v>23725</v>
      </c>
      <c r="F30" s="276">
        <v>9</v>
      </c>
      <c r="G30" s="276">
        <f>(IF('Daily HLP'!L32&gt;0,'Daily HLP'!L32,0))</f>
        <v>954.5</v>
      </c>
      <c r="H30" s="276">
        <v>75</v>
      </c>
      <c r="I30" s="276">
        <f>(IF('Daily HLP'!O32&gt;0,'Daily HLP'!O32,0))</f>
        <v>220</v>
      </c>
      <c r="J30" s="276">
        <v>100</v>
      </c>
      <c r="K30" s="281">
        <f>Occupancy!G30</f>
        <v>91</v>
      </c>
      <c r="L30" s="275">
        <f>Occupancy!F30</f>
        <v>301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8</v>
      </c>
      <c r="D31" s="274">
        <v>2022</v>
      </c>
      <c r="E31" s="275">
        <f>(IF('Daily HLP'!H33&gt;0,'Daily HLP'!H33,0))</f>
        <v>24007</v>
      </c>
      <c r="F31" s="276">
        <v>9</v>
      </c>
      <c r="G31" s="276">
        <f>(IF('Daily HLP'!L33&gt;0,'Daily HLP'!L33,0))</f>
        <v>905</v>
      </c>
      <c r="H31" s="276">
        <v>75</v>
      </c>
      <c r="I31" s="276">
        <f>(IF('Daily HLP'!O33&gt;0,'Daily HLP'!O33,0))</f>
        <v>200</v>
      </c>
      <c r="J31" s="276">
        <v>100</v>
      </c>
      <c r="K31" s="281">
        <f>Occupancy!G31</f>
        <v>78</v>
      </c>
      <c r="L31" s="275">
        <f>Occupancy!F31</f>
        <v>291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8</v>
      </c>
      <c r="D32" s="274">
        <v>2022</v>
      </c>
      <c r="E32" s="275">
        <f>(IF('Daily HLP'!H34&gt;0,'Daily HLP'!H34,0))</f>
        <v>24915</v>
      </c>
      <c r="F32" s="276">
        <v>9</v>
      </c>
      <c r="G32" s="276">
        <f>(IF('Daily HLP'!L34&gt;0,'Daily HLP'!L34,0))</f>
        <v>874.60000000009313</v>
      </c>
      <c r="H32" s="276">
        <v>75</v>
      </c>
      <c r="I32" s="276">
        <f>(IF('Daily HLP'!O34&gt;0,'Daily HLP'!O34,0))</f>
        <v>181</v>
      </c>
      <c r="J32" s="276">
        <v>100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8</v>
      </c>
      <c r="D2" s="288">
        <v>2022</v>
      </c>
      <c r="E2" s="294">
        <f>(IF('Section Load'!F5&gt;0,'Section Load'!F5,0))</f>
        <v>4229.3499999999767</v>
      </c>
      <c r="F2" s="294">
        <f>(IF('Section Load'!G5&gt;0,'Section Load'!G5,0))</f>
        <v>1127.2000000000007</v>
      </c>
      <c r="G2" s="294">
        <f>(IF('Section Load'!H5&gt;0,'Section Load'!H5,0))</f>
        <v>2260.0599999999886</v>
      </c>
      <c r="H2" s="294">
        <f>(IF('Section Load'!I5&gt;0,'Section Load'!I5,0))</f>
        <v>4348.8599999999424</v>
      </c>
      <c r="I2" s="294">
        <f>(IF('Section Load'!J5&gt;0,'Section Load'!J5,0))</f>
        <v>6923.2999999999447</v>
      </c>
      <c r="J2" s="294">
        <f>(IF('Section Load'!K5&gt;0,'Section Load'!K5,0))</f>
        <v>3125.4500000000116</v>
      </c>
      <c r="K2" s="294">
        <f>(IF('Section Load'!L5&gt;0,'Section Load'!L5,0))</f>
        <v>1020.390000000014</v>
      </c>
      <c r="L2" s="294">
        <f>(IF('Section Load'!M5&gt;0,'Section Load'!M5,0))</f>
        <v>620.19000000000233</v>
      </c>
      <c r="M2" s="294">
        <f>(IF('Section Load'!N5&gt;0,'Section Load'!N5,0))</f>
        <v>168</v>
      </c>
      <c r="N2" s="294">
        <f>(IF('Section Load'!O5&gt;0,'Section Load'!O5,0))</f>
        <v>139</v>
      </c>
      <c r="O2" s="294">
        <f>(IF('Section Load'!P5&gt;0,'Section Load'!P5,0))</f>
        <v>15</v>
      </c>
      <c r="P2" s="294">
        <f>(IF('Section Load'!Q5&gt;0,'Section Load'!Q5,0))</f>
        <v>185.55999999999767</v>
      </c>
      <c r="Q2" s="294">
        <f>(IF('Section Load'!R5&gt;0,'Section Load'!R5,0))</f>
        <v>63.400000000001455</v>
      </c>
      <c r="R2" s="294">
        <f>(IF('Section Load'!S5&gt;0,'Section Load'!S5,0))</f>
        <v>32</v>
      </c>
      <c r="S2" s="294">
        <f>(IF('Section Load'!T5&gt;0,'Section Load'!T5,0))</f>
        <v>139</v>
      </c>
      <c r="T2" s="294">
        <f>(IF('Section Load'!U5&gt;0,'Section Load'!U5,0))</f>
        <v>207</v>
      </c>
      <c r="U2" s="294">
        <f>(IF('Section Load'!V5&gt;0,'Section Load'!V5,0))</f>
        <v>365.31999999994878</v>
      </c>
      <c r="V2" s="294">
        <f>(IF('Section Load'!W5&gt;0,'Section Load'!W5,0))</f>
        <v>323.43999999994412</v>
      </c>
      <c r="W2" s="294">
        <f>(IF('Section Load'!X5&gt;0,'Section Load'!X5,0))</f>
        <v>24.8799999999992</v>
      </c>
      <c r="X2" s="294">
        <f>(IF('Section Load'!Y5&gt;0,'Section Load'!Y5,0))</f>
        <v>277.2699999999968</v>
      </c>
      <c r="Y2" s="294">
        <f>(IF('Section Load'!Z5&gt;0,'Section Load'!Z5,0))</f>
        <v>337</v>
      </c>
      <c r="Z2" s="294">
        <f>(IF('Section Load'!AA5&gt;0,'Section Load'!AA5,0))</f>
        <v>17.64000000001397</v>
      </c>
      <c r="AA2" s="294">
        <f>(IF('Section Load'!AB5&gt;0,'Section Load'!AB5,0))</f>
        <v>41.30000000000291</v>
      </c>
      <c r="AB2" s="294">
        <f>(IF('Section Load'!AC5&gt;0,'Section Load'!AC5,0))</f>
        <v>0</v>
      </c>
      <c r="AC2" s="294">
        <f>(IF('Section Load'!AD5&gt;0,'Section Load'!AD5,0))</f>
        <v>161.10000000000036</v>
      </c>
      <c r="AD2" s="294">
        <f>(IF('Section Load'!AE5&gt;0,'Section Load'!AE5,0))</f>
        <v>418.74000000000524</v>
      </c>
      <c r="AE2" s="294">
        <f>(IF('Section Load'!AF5&gt;0,'Section Load'!AF5,0))</f>
        <v>225.51900000000023</v>
      </c>
      <c r="AF2" s="294">
        <f>(IF('Section Load'!AG5&gt;0,'Section Load'!AG5,0))</f>
        <v>632.98999999999796</v>
      </c>
      <c r="AG2" s="294">
        <f>(IF('Section Load'!AH5&gt;0,'Section Load'!AH5,0))</f>
        <v>224.40000000000146</v>
      </c>
      <c r="AH2" s="294">
        <f>(IF('Section Load'!AI5&gt;0,'Section Load'!AI5,0))</f>
        <v>412.90000000000146</v>
      </c>
      <c r="AI2" s="294">
        <f>(IF('Section Load'!AJ5&gt;0,'Section Load'!AJ5,0))</f>
        <v>477.12000000000262</v>
      </c>
      <c r="AJ2" s="294">
        <f>(IF('Section Load'!AK5&gt;0,'Section Load'!AK5,0))</f>
        <v>270</v>
      </c>
      <c r="AK2" s="294">
        <f>(IF('Section Load'!AL5&gt;0,'Section Load'!AL5,0))</f>
        <v>315.90000000000146</v>
      </c>
      <c r="AL2" s="294">
        <f>(IF('Section Load'!AM5&gt;0,'Section Load'!AM5,0))</f>
        <v>0</v>
      </c>
      <c r="AM2" s="295">
        <f>(IF('Water Report'!$D$7&gt;0,'Water Report'!$D$7,0))</f>
        <v>97</v>
      </c>
      <c r="AN2" s="295">
        <f>(IF('Water Report'!$D$8&gt;0,'Water Report'!$D$8,0))</f>
        <v>177</v>
      </c>
      <c r="AO2" s="295">
        <f>(IF('Water Report'!$D$9&gt;0,'Water Report'!$D$9,0))</f>
        <v>92</v>
      </c>
      <c r="AP2" s="295">
        <f>(IF('Water Report'!$D$10&gt;0,'Water Report'!$D$10,0))</f>
        <v>25</v>
      </c>
      <c r="AQ2" s="295">
        <f>(IF('Water Report'!$D$11&gt;0,'Water Report'!$D$11,0))</f>
        <v>0</v>
      </c>
      <c r="AR2" s="295">
        <f>(IF('Water Report'!$D$13&gt;0,'Water Report'!$D$13,0))</f>
        <v>18</v>
      </c>
      <c r="AS2" s="295">
        <f>(IF('Water Report'!$D$14&gt;0,'Water Report'!$D$14,0))</f>
        <v>10</v>
      </c>
      <c r="AT2" s="295">
        <f>(IF('Water Report'!$D$15&gt;0,'Water Report'!$D$15,0))</f>
        <v>6</v>
      </c>
      <c r="AU2" s="295">
        <f>(IF('Water Report'!$D$17&gt;0,'Water Report'!$D$17,0))</f>
        <v>0</v>
      </c>
      <c r="AV2" s="295">
        <f>(IF('Water Report'!$D$18&gt;0,'Water Report'!$D$18,0))</f>
        <v>13</v>
      </c>
      <c r="AW2" s="295">
        <f>(IF('Water Report'!$D$19&gt;0,'Water Report'!$D$19,0))</f>
        <v>11</v>
      </c>
      <c r="AX2" s="301">
        <f>(IF('Water Report'!$D$21&gt;0,'Water Report'!$D$21,0))</f>
        <v>109</v>
      </c>
      <c r="AY2" s="301">
        <f>(IF('Water Report'!$D$22&gt;0,'Water Report'!$D$22,0))</f>
        <v>0</v>
      </c>
      <c r="AZ2" s="301">
        <f>(IF('Water Report'!$D$23&gt;0,'Water Report'!$D$23,0))</f>
        <v>7</v>
      </c>
      <c r="BA2" s="301">
        <f>(IF('Water Report'!$D$14&gt;0,'Water Report'!$D$14,0))</f>
        <v>10</v>
      </c>
      <c r="BB2" s="301">
        <f>(IF('Water Report'!$D$15&gt;0,'Water Report'!$D$15,0))</f>
        <v>6</v>
      </c>
      <c r="BC2" s="301">
        <f>(IF('Water Report'!$D$13&gt;0,'Water Report'!$D$13,0))</f>
        <v>18</v>
      </c>
      <c r="BD2" s="301">
        <f>(IF('Water Report'!$D$24&gt;0,'Water Report'!$D$24,0))</f>
        <v>182</v>
      </c>
      <c r="BE2" s="301">
        <f>(IF('Water Report'!$D$25&gt;0,'Water Report'!$D$25,0))</f>
        <v>133</v>
      </c>
      <c r="BF2" s="301">
        <f>(IF('Water Report'!$D$27&gt;0,'Water Report'!$D$27,0))</f>
        <v>134</v>
      </c>
      <c r="BG2" s="296">
        <f>(IF('Section Load'!AN5&gt;0,'Section Load'!AN5,0))</f>
        <v>1063.6000000000931</v>
      </c>
      <c r="BH2" s="296">
        <f>(IF('Section Load'!AO5&gt;0,'Section Load'!AO5,0))</f>
        <v>308.04000000003725</v>
      </c>
      <c r="BI2" s="296">
        <f>(IF('Section Load'!AP5&gt;0,'Section Load'!AP5,0))</f>
        <v>0</v>
      </c>
      <c r="BJ2" s="296">
        <f>(IF('Section Load'!AQ5&gt;0,'Section Load'!AQ5,0))</f>
        <v>116.70000000001164</v>
      </c>
      <c r="BK2" s="296">
        <f>(IF('Section Load'!AR5&gt;0,'Section Load'!AR5,0))</f>
        <v>43</v>
      </c>
      <c r="BL2" s="296">
        <f>(IF('Section Load'!AS5&gt;0,'Section Load'!AS5,0))</f>
        <v>0</v>
      </c>
      <c r="BM2" s="296">
        <f>(IF('Section Load'!AT5&gt;0,'Section Load'!AT5,0))</f>
        <v>596.66000000004715</v>
      </c>
    </row>
    <row r="3" spans="1:65">
      <c r="A3" s="287" t="s">
        <v>268</v>
      </c>
      <c r="B3" s="288">
        <f>B2+1</f>
        <v>2</v>
      </c>
      <c r="C3" s="288">
        <v>8</v>
      </c>
      <c r="D3" s="288">
        <v>2022</v>
      </c>
      <c r="E3" s="294">
        <f>(IF('Section Load'!F6&gt;0,'Section Load'!F6,0))</f>
        <v>4402.7000000000116</v>
      </c>
      <c r="F3" s="294">
        <f>(IF('Section Load'!G6&gt;0,'Section Load'!G6,0))</f>
        <v>1083.3100000000013</v>
      </c>
      <c r="G3" s="294">
        <f>(IF('Section Load'!H6&gt;0,'Section Load'!H6,0))</f>
        <v>2221.0499999999884</v>
      </c>
      <c r="H3" s="294">
        <f>(IF('Section Load'!I6&gt;0,'Section Load'!I6,0))</f>
        <v>4423.6300000000047</v>
      </c>
      <c r="I3" s="294">
        <f>(IF('Section Load'!J6&gt;0,'Section Load'!J6,0))</f>
        <v>6103.4199999999837</v>
      </c>
      <c r="J3" s="294">
        <f>(IF('Section Load'!K6&gt;0,'Section Load'!K6,0))</f>
        <v>2942.6199999999953</v>
      </c>
      <c r="K3" s="294">
        <f>(IF('Section Load'!L6&gt;0,'Section Load'!L6,0))</f>
        <v>1053.8399999999674</v>
      </c>
      <c r="L3" s="294">
        <f>(IF('Section Load'!M6&gt;0,'Section Load'!M6,0))</f>
        <v>775.66000000000349</v>
      </c>
      <c r="M3" s="294">
        <f>(IF('Section Load'!N6&gt;0,'Section Load'!N6,0))</f>
        <v>141</v>
      </c>
      <c r="N3" s="294">
        <f>(IF('Section Load'!O6&gt;0,'Section Load'!O6,0))</f>
        <v>140</v>
      </c>
      <c r="O3" s="294">
        <f>(IF('Section Load'!P6&gt;0,'Section Load'!P6,0))</f>
        <v>15.200000000000045</v>
      </c>
      <c r="P3" s="294">
        <f>(IF('Section Load'!Q6&gt;0,'Section Load'!Q6,0))</f>
        <v>190.60000000000582</v>
      </c>
      <c r="Q3" s="294">
        <f>(IF('Section Load'!R6&gt;0,'Section Load'!R6,0))</f>
        <v>64.129999999997381</v>
      </c>
      <c r="R3" s="294">
        <f>(IF('Section Load'!S6&gt;0,'Section Load'!S6,0))</f>
        <v>36.739999999999782</v>
      </c>
      <c r="S3" s="294">
        <f>(IF('Section Load'!T6&gt;0,'Section Load'!T6,0))</f>
        <v>80</v>
      </c>
      <c r="T3" s="294">
        <f>(IF('Section Load'!U6&gt;0,'Section Load'!U6,0))</f>
        <v>213</v>
      </c>
      <c r="U3" s="294">
        <f>(IF('Section Load'!V6&gt;0,'Section Load'!V6,0))</f>
        <v>364.68000000005122</v>
      </c>
      <c r="V3" s="294">
        <f>(IF('Section Load'!W6&gt;0,'Section Load'!W6,0))</f>
        <v>249.52000000001863</v>
      </c>
      <c r="W3" s="294">
        <f>(IF('Section Load'!X6&gt;0,'Section Load'!X6,0))</f>
        <v>29.020000000000437</v>
      </c>
      <c r="X3" s="294">
        <f>(IF('Section Load'!Y6&gt;0,'Section Load'!Y6,0))</f>
        <v>251.67000000000553</v>
      </c>
      <c r="Y3" s="294">
        <f>(IF('Section Load'!Z6&gt;0,'Section Load'!Z6,0))</f>
        <v>331</v>
      </c>
      <c r="Z3" s="294">
        <f>(IF('Section Load'!AA6&gt;0,'Section Load'!AA6,0))</f>
        <v>39.07999999995809</v>
      </c>
      <c r="AA3" s="294">
        <f>(IF('Section Load'!AB6&gt;0,'Section Load'!AB6,0))</f>
        <v>46</v>
      </c>
      <c r="AB3" s="294">
        <f>(IF('Section Load'!AC6&gt;0,'Section Load'!AC6,0))</f>
        <v>0</v>
      </c>
      <c r="AC3" s="294">
        <f>(IF('Section Load'!AD6&gt;0,'Section Load'!AD6,0))</f>
        <v>146.39999999999964</v>
      </c>
      <c r="AD3" s="294">
        <f>(IF('Section Load'!AE6&gt;0,'Section Load'!AE6,0))</f>
        <v>406.83999999999651</v>
      </c>
      <c r="AE3" s="294">
        <f>(IF('Section Load'!AF6&gt;0,'Section Load'!AF6,0))</f>
        <v>262.65099999999802</v>
      </c>
      <c r="AF3" s="294">
        <f>(IF('Section Load'!AG6&gt;0,'Section Load'!AG6,0))</f>
        <v>629.99999999999272</v>
      </c>
      <c r="AG3" s="294">
        <f>(IF('Section Load'!AH6&gt;0,'Section Load'!AH6,0))</f>
        <v>232.15999999999622</v>
      </c>
      <c r="AH3" s="294">
        <f>(IF('Section Load'!AI6&gt;0,'Section Load'!AI6,0))</f>
        <v>395.47000000000116</v>
      </c>
      <c r="AI3" s="294">
        <f>(IF('Section Load'!AJ6&gt;0,'Section Load'!AJ6,0))</f>
        <v>481.5</v>
      </c>
      <c r="AJ3" s="294">
        <f>(IF('Section Load'!AK6&gt;0,'Section Load'!AK6,0))</f>
        <v>278.86000000000058</v>
      </c>
      <c r="AK3" s="294">
        <f>(IF('Section Load'!AL6&gt;0,'Section Load'!AL6,0))</f>
        <v>319.93000000000029</v>
      </c>
      <c r="AL3" s="294">
        <f>(IF('Section Load'!AM6&gt;0,'Section Load'!AM6,0))</f>
        <v>0</v>
      </c>
      <c r="AM3" s="295">
        <f>(IF('Water Report'!$E$7&gt;0,'Water Report'!$E$7,0))</f>
        <v>97</v>
      </c>
      <c r="AN3" s="295">
        <f>(IF('Water Report'!$E$8&gt;0,'Water Report'!$E$8,0))</f>
        <v>147</v>
      </c>
      <c r="AO3" s="295">
        <f>(IF('Water Report'!$E$9&gt;0,'Water Report'!$E$9,0))</f>
        <v>103</v>
      </c>
      <c r="AP3" s="295">
        <f>(IF('Water Report'!$E$10&gt;0,'Water Report'!$E$10,0))</f>
        <v>17</v>
      </c>
      <c r="AQ3" s="295">
        <f>(IF('Water Report'!$E$11&gt;0,'Water Report'!$E$11,0))</f>
        <v>0</v>
      </c>
      <c r="AR3" s="295">
        <f>(IF('Water Report'!$E$13&gt;0,'Water Report'!$E$13,0))</f>
        <v>34</v>
      </c>
      <c r="AS3" s="295">
        <f>(IF('Water Report'!$E$14&gt;0,'Water Report'!$E$14,0))</f>
        <v>3</v>
      </c>
      <c r="AT3" s="295">
        <f>(IF('Water Report'!$E$15&gt;0,'Water Report'!$E$15,0))</f>
        <v>11</v>
      </c>
      <c r="AU3" s="295">
        <f>(IF('Water Report'!$E$17&gt;0,'Water Report'!$E$17,0))</f>
        <v>5</v>
      </c>
      <c r="AV3" s="295">
        <f>(IF('Water Report'!$E$18&gt;0,'Water Report'!$E$18,0))</f>
        <v>13</v>
      </c>
      <c r="AW3" s="295">
        <f>(IF('Water Report'!$E$19&gt;0,'Water Report'!$E$19,0))</f>
        <v>12</v>
      </c>
      <c r="AX3" s="301">
        <f>(IF('Water Report'!$E$21&gt;0,'Water Report'!$E$21,0))</f>
        <v>85</v>
      </c>
      <c r="AY3" s="301">
        <f>(IF('Water Report'!$E$22&gt;0,'Water Report'!$E$22,0))</f>
        <v>0</v>
      </c>
      <c r="AZ3" s="301">
        <f>(IF('Water Report'!$E$23&gt;0,'Water Report'!$E$23,0))</f>
        <v>0</v>
      </c>
      <c r="BA3" s="301">
        <f>(IF('Water Report'!$E$14&gt;0,'Water Report'!$E$14,0))</f>
        <v>3</v>
      </c>
      <c r="BB3" s="301">
        <f>(IF('Water Report'!$E$15&gt;0,'Water Report'!$E$15,0))</f>
        <v>11</v>
      </c>
      <c r="BC3" s="301">
        <f>(IF('Water Report'!$E$13&gt;0,'Water Report'!$E$13,0))</f>
        <v>34</v>
      </c>
      <c r="BD3" s="301">
        <f>(IF('Water Report'!$E$24&gt;0,'Water Report'!$E$24,0))</f>
        <v>231</v>
      </c>
      <c r="BE3" s="301">
        <f>(IF('Water Report'!$E$25&gt;0,'Water Report'!$E$25,0))</f>
        <v>134</v>
      </c>
      <c r="BF3" s="301">
        <f>(IF('Water Report'!$E$27&gt;0,'Water Report'!$E$27,0))</f>
        <v>119</v>
      </c>
      <c r="BG3" s="296">
        <f>(IF('Section Load'!AN6&gt;0,'Section Load'!AN6,0))</f>
        <v>1000.6999999997206</v>
      </c>
      <c r="BH3" s="296">
        <f>(IF('Section Load'!AO6&gt;0,'Section Load'!AO6,0))</f>
        <v>286.32999999995809</v>
      </c>
      <c r="BI3" s="296">
        <f>(IF('Section Load'!AP6&gt;0,'Section Load'!AP6,0))</f>
        <v>0.80000000000291038</v>
      </c>
      <c r="BJ3" s="296">
        <f>(IF('Section Load'!AQ6&gt;0,'Section Load'!AQ6,0))</f>
        <v>112.29999999998836</v>
      </c>
      <c r="BK3" s="296">
        <f>(IF('Section Load'!AR6&gt;0,'Section Load'!AR6,0))</f>
        <v>50.80000000000291</v>
      </c>
      <c r="BL3" s="296">
        <f>(IF('Section Load'!AS6&gt;0,'Section Load'!AS6,0))</f>
        <v>0</v>
      </c>
      <c r="BM3" s="296">
        <f>(IF('Section Load'!AT6&gt;0,'Section Load'!AT6,0))</f>
        <v>550.46999999976833</v>
      </c>
    </row>
    <row r="4" spans="1:65">
      <c r="A4" s="287" t="s">
        <v>268</v>
      </c>
      <c r="B4" s="288">
        <f t="shared" ref="B4:B32" si="0">B3+1</f>
        <v>3</v>
      </c>
      <c r="C4" s="288">
        <v>8</v>
      </c>
      <c r="D4" s="288">
        <v>2022</v>
      </c>
      <c r="E4" s="294">
        <f>(IF('Section Load'!F7&gt;0,'Section Load'!F7,0))</f>
        <v>4074.1900000000023</v>
      </c>
      <c r="F4" s="294">
        <f>(IF('Section Load'!G7&gt;0,'Section Load'!G7,0))</f>
        <v>1091.6900000000005</v>
      </c>
      <c r="G4" s="294">
        <f>(IF('Section Load'!H7&gt;0,'Section Load'!H7,0))</f>
        <v>2247.1199999999953</v>
      </c>
      <c r="H4" s="294">
        <f>(IF('Section Load'!I7&gt;0,'Section Load'!I7,0))</f>
        <v>4283.9599999999991</v>
      </c>
      <c r="I4" s="294">
        <f>(IF('Section Load'!J7&gt;0,'Section Load'!J7,0))</f>
        <v>7359.4100000000326</v>
      </c>
      <c r="J4" s="294">
        <f>(IF('Section Load'!K7&gt;0,'Section Load'!K7,0))</f>
        <v>3175.1199999999953</v>
      </c>
      <c r="K4" s="294">
        <f>(IF('Section Load'!L7&gt;0,'Section Load'!L7,0))</f>
        <v>1586.5400000000373</v>
      </c>
      <c r="L4" s="294">
        <f>(IF('Section Load'!M7&gt;0,'Section Load'!M7,0))</f>
        <v>1174.1199999999953</v>
      </c>
      <c r="M4" s="294">
        <f>(IF('Section Load'!N7&gt;0,'Section Load'!N7,0))</f>
        <v>145</v>
      </c>
      <c r="N4" s="294">
        <f>(IF('Section Load'!O7&gt;0,'Section Load'!O7,0))</f>
        <v>184</v>
      </c>
      <c r="O4" s="294">
        <f>(IF('Section Load'!P7&gt;0,'Section Load'!P7,0))</f>
        <v>13.799999999999955</v>
      </c>
      <c r="P4" s="294">
        <f>(IF('Section Load'!Q7&gt;0,'Section Load'!Q7,0))</f>
        <v>196.26999999998952</v>
      </c>
      <c r="Q4" s="294">
        <f>(IF('Section Load'!R7&gt;0,'Section Load'!R7,0))</f>
        <v>70.169999999998254</v>
      </c>
      <c r="R4" s="294">
        <f>(IF('Section Load'!S7&gt;0,'Section Load'!S7,0))</f>
        <v>36.260000000000218</v>
      </c>
      <c r="S4" s="294">
        <f>(IF('Section Load'!T7&gt;0,'Section Load'!T7,0))</f>
        <v>72</v>
      </c>
      <c r="T4" s="294">
        <f>(IF('Section Load'!U7&gt;0,'Section Load'!U7,0))</f>
        <v>213</v>
      </c>
      <c r="U4" s="294">
        <f>(IF('Section Load'!V7&gt;0,'Section Load'!V7,0))</f>
        <v>395.64000000001397</v>
      </c>
      <c r="V4" s="294">
        <f>(IF('Section Load'!W7&gt;0,'Section Load'!W7,0))</f>
        <v>292.32000000006519</v>
      </c>
      <c r="W4" s="294">
        <f>(IF('Section Load'!X7&gt;0,'Section Load'!X7,0))</f>
        <v>24.530000000000655</v>
      </c>
      <c r="X4" s="294">
        <f>(IF('Section Load'!Y7&gt;0,'Section Load'!Y7,0))</f>
        <v>233.45999999999913</v>
      </c>
      <c r="Y4" s="294">
        <f>(IF('Section Load'!Z7&gt;0,'Section Load'!Z7,0))</f>
        <v>319</v>
      </c>
      <c r="Z4" s="294">
        <f>(IF('Section Load'!AA7&gt;0,'Section Load'!AA7,0))</f>
        <v>30.92000000004191</v>
      </c>
      <c r="AA4" s="294">
        <f>(IF('Section Load'!AB7&gt;0,'Section Load'!AB7,0))</f>
        <v>46.69999999999709</v>
      </c>
      <c r="AB4" s="294">
        <f>(IF('Section Load'!AC7&gt;0,'Section Load'!AC7,0))</f>
        <v>0</v>
      </c>
      <c r="AC4" s="294">
        <f>(IF('Section Load'!AD7&gt;0,'Section Load'!AD7,0))</f>
        <v>109.89999999999964</v>
      </c>
      <c r="AD4" s="294">
        <f>(IF('Section Load'!AE7&gt;0,'Section Load'!AE7,0))</f>
        <v>410.02000000000407</v>
      </c>
      <c r="AE4" s="294">
        <f>(IF('Section Load'!AF7&gt;0,'Section Load'!AF7,0))</f>
        <v>177.12000000000262</v>
      </c>
      <c r="AF4" s="294">
        <f>(IF('Section Load'!AG7&gt;0,'Section Load'!AG7,0))</f>
        <v>591.16000000000349</v>
      </c>
      <c r="AG4" s="294">
        <f>(IF('Section Load'!AH7&gt;0,'Section Load'!AH7,0))</f>
        <v>227.63999999999942</v>
      </c>
      <c r="AH4" s="294">
        <f>(IF('Section Load'!AI7&gt;0,'Section Load'!AI7,0))</f>
        <v>412.15999999999622</v>
      </c>
      <c r="AI4" s="294">
        <f>(IF('Section Load'!AJ7&gt;0,'Section Load'!AJ7,0))</f>
        <v>478.70999999999913</v>
      </c>
      <c r="AJ4" s="294">
        <f>(IF('Section Load'!AK7&gt;0,'Section Load'!AK7,0))</f>
        <v>288.02999999999884</v>
      </c>
      <c r="AK4" s="294">
        <f>(IF('Section Load'!AL7&gt;0,'Section Load'!AL7,0))</f>
        <v>367.16999999999825</v>
      </c>
      <c r="AL4" s="294">
        <f>(IF('Section Load'!AM7&gt;0,'Section Load'!AM7,0))</f>
        <v>0</v>
      </c>
      <c r="AM4" s="295">
        <f>(IF('Water Report'!$F$7&gt;0,'Water Report'!$F$7,0))</f>
        <v>101</v>
      </c>
      <c r="AN4" s="295">
        <f>(IF('Water Report'!$F$8&gt;0,'Water Report'!$F$8,0))</f>
        <v>116</v>
      </c>
      <c r="AO4" s="295">
        <f>(IF('Water Report'!$F$9&gt;0,'Water Report'!$G$9,0))</f>
        <v>108</v>
      </c>
      <c r="AP4" s="295">
        <f>(IF('Water Report'!$F$10&gt;0,'Water Report'!$F$10,0))</f>
        <v>20</v>
      </c>
      <c r="AQ4" s="295">
        <f>(IF('Water Report'!$F$11&gt;0,'Water Report'!$F$11,0))</f>
        <v>0</v>
      </c>
      <c r="AR4" s="295">
        <f>(IF('Water Report'!$F$13&gt;0,'Water Report'!$F$13,0))</f>
        <v>17</v>
      </c>
      <c r="AS4" s="295">
        <f>(IF('Water Report'!$F$14&gt;0,'Water Report'!$F$14,0))</f>
        <v>3</v>
      </c>
      <c r="AT4" s="295">
        <f>(IF('Water Report'!$F$15&gt;0,'Water Report'!$F$15,0))</f>
        <v>6</v>
      </c>
      <c r="AU4" s="295">
        <f>(IF('Water Report'!$F$17&gt;0,'Water Report'!$F$17,0))</f>
        <v>0</v>
      </c>
      <c r="AV4" s="295">
        <f>(IF('Water Report'!$F$18&gt;0,'Water Report'!$F$18,0))</f>
        <v>13</v>
      </c>
      <c r="AW4" s="295">
        <f>(IF('Water Report'!$F$19&gt;0,'Water Report'!$F$19,0))</f>
        <v>12</v>
      </c>
      <c r="AX4" s="301">
        <f>(IF('Water Report'!$F$21&gt;0,'Water Report'!$F$21,0))</f>
        <v>110</v>
      </c>
      <c r="AY4" s="301">
        <f>(IF('Water Report'!$F$22&gt;0,'Water Report'!$F$22,0))</f>
        <v>0</v>
      </c>
      <c r="AZ4" s="301">
        <f>(IF('Water Report'!$F$23&gt;0,'Water Report'!$F$23,0))</f>
        <v>0</v>
      </c>
      <c r="BA4" s="301">
        <f>(IF('Water Report'!$F$14&gt;0,'Water Report'!$F$14,0))</f>
        <v>3</v>
      </c>
      <c r="BB4" s="301">
        <f>(IF('Water Report'!$F$15&gt;0,'Water Report'!$F$15,0))</f>
        <v>6</v>
      </c>
      <c r="BC4" s="301">
        <f>(IF('Water Report'!$F$13&gt;0,'Water Report'!$F$13,0))</f>
        <v>17</v>
      </c>
      <c r="BD4" s="301">
        <f>(IF('Water Report'!$F$24&gt;0,'Water Report'!$F$24,0))</f>
        <v>155</v>
      </c>
      <c r="BE4" s="301">
        <f>(IF('Water Report'!$F$25&gt;0,'Water Report'!$F$25,0))</f>
        <v>133</v>
      </c>
      <c r="BF4" s="301">
        <f>(IF('Water Report'!$F$27&gt;0,'Water Report'!$F$27,0))</f>
        <v>127</v>
      </c>
      <c r="BG4" s="296">
        <f>(IF('Section Load'!AN7&gt;0,'Section Load'!AN7,0))</f>
        <v>979.20000000018626</v>
      </c>
      <c r="BH4" s="296">
        <f>(IF('Section Load'!AO7&gt;0,'Section Load'!AO7,0))</f>
        <v>281.28000000002794</v>
      </c>
      <c r="BI4" s="296">
        <f>(IF('Section Load'!AP7&gt;0,'Section Load'!AP7,0))</f>
        <v>0</v>
      </c>
      <c r="BJ4" s="296">
        <f>(IF('Section Load'!AQ7&gt;0,'Section Load'!AQ7,0))</f>
        <v>108</v>
      </c>
      <c r="BK4" s="296">
        <f>(IF('Section Load'!AR7&gt;0,'Section Load'!AR7,0))</f>
        <v>48.19999999999709</v>
      </c>
      <c r="BL4" s="296">
        <f>(IF('Section Load'!AS7&gt;0,'Section Load'!AS7,0))</f>
        <v>0</v>
      </c>
      <c r="BM4" s="296">
        <f>(IF('Section Load'!AT7&gt;0,'Section Load'!AT7,0))</f>
        <v>542.52000000016415</v>
      </c>
    </row>
    <row r="5" spans="1:65">
      <c r="A5" s="287" t="s">
        <v>268</v>
      </c>
      <c r="B5" s="288">
        <f t="shared" si="0"/>
        <v>4</v>
      </c>
      <c r="C5" s="288">
        <v>8</v>
      </c>
      <c r="D5" s="288">
        <v>2022</v>
      </c>
      <c r="E5" s="294">
        <f>(IF('Section Load'!F8&gt;0,'Section Load'!F8,0))</f>
        <v>4185.75</v>
      </c>
      <c r="F5" s="294">
        <f>(IF('Section Load'!G8&gt;0,'Section Load'!G8,0))</f>
        <v>1113.08</v>
      </c>
      <c r="G5" s="294">
        <f>(IF('Section Load'!H8&gt;0,'Section Load'!H8,0))</f>
        <v>2254.1500000000324</v>
      </c>
      <c r="H5" s="294">
        <f>(IF('Section Load'!I8&gt;0,'Section Load'!I8,0))</f>
        <v>4351.1299999999974</v>
      </c>
      <c r="I5" s="294">
        <f>(IF('Section Load'!J8&gt;0,'Section Load'!J8,0))</f>
        <v>6053.679999999993</v>
      </c>
      <c r="J5" s="294">
        <f>(IF('Section Load'!K8&gt;0,'Section Load'!K8,0))</f>
        <v>3159</v>
      </c>
      <c r="K5" s="294">
        <f>(IF('Section Load'!L8&gt;0,'Section Load'!L8,0))</f>
        <v>1123.2199999999721</v>
      </c>
      <c r="L5" s="294">
        <f>(IF('Section Load'!M8&gt;0,'Section Load'!M8,0))</f>
        <v>810.57999999998719</v>
      </c>
      <c r="M5" s="294">
        <f>(IF('Section Load'!N8&gt;0,'Section Load'!N8,0))</f>
        <v>142</v>
      </c>
      <c r="N5" s="294">
        <f>(IF('Section Load'!O8&gt;0,'Section Load'!O8,0))</f>
        <v>152</v>
      </c>
      <c r="O5" s="294">
        <f>(IF('Section Load'!P8&gt;0,'Section Load'!P8,0))</f>
        <v>16.700000000000045</v>
      </c>
      <c r="P5" s="294">
        <f>(IF('Section Load'!Q8&gt;0,'Section Load'!Q8,0))</f>
        <v>199.08000000000175</v>
      </c>
      <c r="Q5" s="294">
        <f>(IF('Section Load'!R8&gt;0,'Section Load'!R8,0))</f>
        <v>86.55000000000291</v>
      </c>
      <c r="R5" s="294">
        <f>(IF('Section Load'!S8&gt;0,'Section Load'!S8,0))</f>
        <v>39.819999999999709</v>
      </c>
      <c r="S5" s="294">
        <f>(IF('Section Load'!T8&gt;0,'Section Load'!T8,0))</f>
        <v>73</v>
      </c>
      <c r="T5" s="294">
        <f>(IF('Section Load'!U8&gt;0,'Section Load'!U8,0))</f>
        <v>221</v>
      </c>
      <c r="U5" s="294">
        <f>(IF('Section Load'!V8&gt;0,'Section Load'!V8,0))</f>
        <v>374.79999999993015</v>
      </c>
      <c r="V5" s="294">
        <f>(IF('Section Load'!W8&gt;0,'Section Load'!W8,0))</f>
        <v>245.76000000000931</v>
      </c>
      <c r="W5" s="294">
        <f>(IF('Section Load'!X8&gt;0,'Section Load'!X8,0))</f>
        <v>24.529999999998836</v>
      </c>
      <c r="X5" s="294">
        <f>(IF('Section Load'!Y8&gt;0,'Section Load'!Y8,0))</f>
        <v>261.16999999999825</v>
      </c>
      <c r="Y5" s="294">
        <f>(IF('Section Load'!Z8&gt;0,'Section Load'!Z8,0))</f>
        <v>250</v>
      </c>
      <c r="Z5" s="294">
        <f>(IF('Section Load'!AA8&gt;0,'Section Load'!AA8,0))</f>
        <v>25.799999999988358</v>
      </c>
      <c r="AA5" s="294">
        <f>(IF('Section Load'!AB8&gt;0,'Section Load'!AB8,0))</f>
        <v>43.899999999994179</v>
      </c>
      <c r="AB5" s="294">
        <f>(IF('Section Load'!AC8&gt;0,'Section Load'!AC8,0))</f>
        <v>0</v>
      </c>
      <c r="AC5" s="294">
        <f>(IF('Section Load'!AD8&gt;0,'Section Load'!AD8,0))</f>
        <v>109.80000000000018</v>
      </c>
      <c r="AD5" s="294">
        <f>(IF('Section Load'!AE8&gt;0,'Section Load'!AE8,0))</f>
        <v>387.18999999998778</v>
      </c>
      <c r="AE5" s="294">
        <f>(IF('Section Load'!AF8&gt;0,'Section Load'!AF8,0))</f>
        <v>238.83999999999651</v>
      </c>
      <c r="AF5" s="294">
        <f>(IF('Section Load'!AG8&gt;0,'Section Load'!AG8,0))</f>
        <v>0.38000000000465661</v>
      </c>
      <c r="AG5" s="294">
        <f>(IF('Section Load'!AH8&gt;0,'Section Load'!AH8,0))</f>
        <v>230.13999999999942</v>
      </c>
      <c r="AH5" s="294">
        <f>(IF('Section Load'!AI8&gt;0,'Section Load'!AI8,0))</f>
        <v>413.59999999999854</v>
      </c>
      <c r="AI5" s="294">
        <f>(IF('Section Load'!AJ8&gt;0,'Section Load'!AJ8,0))</f>
        <v>474.81999999999971</v>
      </c>
      <c r="AJ5" s="294">
        <f>(IF('Section Load'!AK8&gt;0,'Section Load'!AK8,0))</f>
        <v>276.20000000000073</v>
      </c>
      <c r="AK5" s="294">
        <f>(IF('Section Load'!AL8&gt;0,'Section Load'!AL8,0))</f>
        <v>285.15000000000146</v>
      </c>
      <c r="AL5" s="294">
        <f>(IF('Section Load'!AM8&gt;0,'Section Load'!AM8,0))</f>
        <v>0</v>
      </c>
      <c r="AM5" s="295">
        <f>(IF('Water Report'!$G$7&gt;0,'Water Report'!$F$7,0))</f>
        <v>101</v>
      </c>
      <c r="AN5" s="295">
        <f>(IF('Water Report'!$G$8&gt;0,'Water Report'!$F$8,0))</f>
        <v>116</v>
      </c>
      <c r="AO5" s="295">
        <f>(IF('Water Report'!$G$9&gt;0,'Water Report'!$H$9,0))</f>
        <v>102</v>
      </c>
      <c r="AP5" s="295">
        <f>(IF('Water Report'!$G$10&gt;0,'Water Report'!$G$10,0))</f>
        <v>22</v>
      </c>
      <c r="AQ5" s="295">
        <f>(IF('Water Report'!$G$11&gt;0,'Water Report'!$G$11,0))</f>
        <v>0</v>
      </c>
      <c r="AR5" s="295">
        <f>(IF('Water Report'!$G$13&gt;0,'Water Report'!$G$13,0))</f>
        <v>19</v>
      </c>
      <c r="AS5" s="295">
        <f>(IF('Water Report'!$G$14&gt;0,'Water Report'!$G$14,0))</f>
        <v>2</v>
      </c>
      <c r="AT5" s="295">
        <f>(IF('Water Report'!$G$15&gt;0,'Water Report'!$G$15,0))</f>
        <v>14</v>
      </c>
      <c r="AU5" s="295">
        <f>(IF('Water Report'!$G$17&gt;0,'Water Report'!$G$17,0))</f>
        <v>5</v>
      </c>
      <c r="AV5" s="295">
        <f>(IF('Water Report'!$G$18&gt;0,'Water Report'!$G$18,0))</f>
        <v>15</v>
      </c>
      <c r="AW5" s="295">
        <f>(IF('Water Report'!$G$19&gt;0,'Water Report'!$G$19,0))</f>
        <v>12</v>
      </c>
      <c r="AX5" s="301">
        <f>(IF('Water Report'!$G$21&gt;0,'Water Report'!$G$21,0))</f>
        <v>65</v>
      </c>
      <c r="AY5" s="301">
        <f>(IF('Water Report'!$G$22&gt;0,'Water Report'!$G$22,0))</f>
        <v>0</v>
      </c>
      <c r="AZ5" s="301">
        <f>(IF('Water Report'!$G$23&gt;0,'Water Report'!$G$23,0))</f>
        <v>0</v>
      </c>
      <c r="BA5" s="301">
        <f>(IF('Water Report'!$G$14&gt;0,'Water Report'!$G$14,0))</f>
        <v>2</v>
      </c>
      <c r="BB5" s="301">
        <f>(IF('Water Report'!$G$15&gt;0,'Water Report'!$G$15,0))</f>
        <v>14</v>
      </c>
      <c r="BC5" s="301">
        <f>(IF('Water Report'!$G$13&gt;0,'Water Report'!$G$13,0))</f>
        <v>19</v>
      </c>
      <c r="BD5" s="301">
        <f>(IF('Water Report'!$G$24&gt;0,'Water Report'!$G$24,0))</f>
        <v>183</v>
      </c>
      <c r="BE5" s="301">
        <f>(IF('Water Report'!$G$25&gt;0,'Water Report'!$G$25,0))</f>
        <v>146</v>
      </c>
      <c r="BF5" s="301">
        <f>(IF('Water Report'!$G$27&gt;0,'Water Report'!$G$27,0))</f>
        <v>84</v>
      </c>
      <c r="BG5" s="296">
        <f>(IF('Section Load'!AN8&gt;0,'Section Load'!AN8,0))</f>
        <v>1002.2999999998137</v>
      </c>
      <c r="BH5" s="296">
        <f>(IF('Section Load'!AO8&gt;0,'Section Load'!AO8,0))</f>
        <v>292.34999999997672</v>
      </c>
      <c r="BI5" s="296">
        <f>(IF('Section Load'!AP8&gt;0,'Section Load'!AP8,0))</f>
        <v>0</v>
      </c>
      <c r="BJ5" s="296">
        <f>(IF('Section Load'!AQ8&gt;0,'Section Load'!AQ8,0))</f>
        <v>106</v>
      </c>
      <c r="BK5" s="296">
        <f>(IF('Section Load'!AR8&gt;0,'Section Load'!AR8,0))</f>
        <v>44</v>
      </c>
      <c r="BL5" s="296">
        <f>(IF('Section Load'!AS8&gt;0,'Section Load'!AS8,0))</f>
        <v>0</v>
      </c>
      <c r="BM5" s="296">
        <f>(IF('Section Load'!AT8&gt;0,'Section Load'!AT8,0))</f>
        <v>559.94999999983702</v>
      </c>
    </row>
    <row r="6" spans="1:65">
      <c r="A6" s="287" t="s">
        <v>268</v>
      </c>
      <c r="B6" s="288">
        <f t="shared" si="0"/>
        <v>5</v>
      </c>
      <c r="C6" s="288">
        <v>8</v>
      </c>
      <c r="D6" s="288">
        <v>2022</v>
      </c>
      <c r="E6" s="294">
        <f>(IF('Section Load'!F9&gt;0,'Section Load'!F9,0))</f>
        <v>4350.0100000000093</v>
      </c>
      <c r="F6" s="294">
        <f>(IF('Section Load'!G9&gt;0,'Section Load'!G9,0))</f>
        <v>1100.4099999999999</v>
      </c>
      <c r="G6" s="294">
        <f>(IF('Section Load'!H9&gt;0,'Section Load'!H9,0))</f>
        <v>2239.3799999999956</v>
      </c>
      <c r="H6" s="294">
        <f>(IF('Section Load'!I9&gt;0,'Section Load'!I9,0))</f>
        <v>4215.4200000000565</v>
      </c>
      <c r="I6" s="294">
        <f>(IF('Section Load'!J9&gt;0,'Section Load'!J9,0))</f>
        <v>6662.0200000000041</v>
      </c>
      <c r="J6" s="294">
        <f>(IF('Section Load'!K9&gt;0,'Section Load'!K9,0))</f>
        <v>3388.8099999999977</v>
      </c>
      <c r="K6" s="294">
        <f>(IF('Section Load'!L9&gt;0,'Section Load'!L9,0))</f>
        <v>1030.0100000000093</v>
      </c>
      <c r="L6" s="294">
        <f>(IF('Section Load'!M9&gt;0,'Section Load'!M9,0))</f>
        <v>1153.4500000000116</v>
      </c>
      <c r="M6" s="294">
        <f>(IF('Section Load'!N9&gt;0,'Section Load'!N9,0))</f>
        <v>150</v>
      </c>
      <c r="N6" s="294">
        <f>(IF('Section Load'!O9&gt;0,'Section Load'!O9,0))</f>
        <v>150</v>
      </c>
      <c r="O6" s="294">
        <f>(IF('Section Load'!P9&gt;0,'Section Load'!P9,0))</f>
        <v>15.299999999999955</v>
      </c>
      <c r="P6" s="294">
        <f>(IF('Section Load'!Q9&gt;0,'Section Load'!Q9,0))</f>
        <v>190.49000000000524</v>
      </c>
      <c r="Q6" s="294">
        <f>(IF('Section Load'!R9&gt;0,'Section Load'!R9,0))</f>
        <v>87.75</v>
      </c>
      <c r="R6" s="294">
        <f>(IF('Section Load'!S9&gt;0,'Section Load'!S9,0))</f>
        <v>29.180000000000291</v>
      </c>
      <c r="S6" s="294">
        <f>(IF('Section Load'!T9&gt;0,'Section Load'!T9,0))</f>
        <v>78</v>
      </c>
      <c r="T6" s="294">
        <f>(IF('Section Load'!U9&gt;0,'Section Load'!U9,0))</f>
        <v>217</v>
      </c>
      <c r="U6" s="294">
        <f>(IF('Section Load'!V9&gt;0,'Section Load'!V9,0))</f>
        <v>378.56000000005588</v>
      </c>
      <c r="V6" s="294">
        <f>(IF('Section Load'!W9&gt;0,'Section Load'!W9,0))</f>
        <v>350.95999999996275</v>
      </c>
      <c r="W6" s="294">
        <f>(IF('Section Load'!X9&gt;0,'Section Load'!X9,0))</f>
        <v>26.040000000000873</v>
      </c>
      <c r="X6" s="294">
        <f>(IF('Section Load'!Y9&gt;0,'Section Load'!Y9,0))</f>
        <v>257.43000000000029</v>
      </c>
      <c r="Y6" s="294">
        <f>(IF('Section Load'!Z9&gt;0,'Section Load'!Z9,0))</f>
        <v>263</v>
      </c>
      <c r="Z6" s="294">
        <f>(IF('Section Load'!AA9&gt;0,'Section Load'!AA9,0))</f>
        <v>24.559999999997672</v>
      </c>
      <c r="AA6" s="294">
        <f>(IF('Section Load'!AB9&gt;0,'Section Load'!AB9,0))</f>
        <v>51.100000000005821</v>
      </c>
      <c r="AB6" s="294">
        <f>(IF('Section Load'!AC9&gt;0,'Section Load'!AC9,0))</f>
        <v>0</v>
      </c>
      <c r="AC6" s="294">
        <f>(IF('Section Load'!AD9&gt;0,'Section Load'!AD9,0))</f>
        <v>92.800000000000182</v>
      </c>
      <c r="AD6" s="294">
        <f>(IF('Section Load'!AE9&gt;0,'Section Load'!AE9,0))</f>
        <v>286.2100000000064</v>
      </c>
      <c r="AE6" s="294">
        <f>(IF('Section Load'!AF9&gt;0,'Section Load'!AF9,0))</f>
        <v>239.87000000000262</v>
      </c>
      <c r="AF6" s="294">
        <f>(IF('Section Load'!AG9&gt;0,'Section Load'!AG9,0))</f>
        <v>1158.4700000000012</v>
      </c>
      <c r="AG6" s="294">
        <f>(IF('Section Load'!AH9&gt;0,'Section Load'!AH9,0))</f>
        <v>232.66000000000349</v>
      </c>
      <c r="AH6" s="294">
        <f>(IF('Section Load'!AI9&gt;0,'Section Load'!AI9,0))</f>
        <v>416.87000000000262</v>
      </c>
      <c r="AI6" s="294">
        <f>(IF('Section Load'!AJ9&gt;0,'Section Load'!AJ9,0))</f>
        <v>467.84999999999854</v>
      </c>
      <c r="AJ6" s="294">
        <f>(IF('Section Load'!AK9&gt;0,'Section Load'!AK9,0))</f>
        <v>280.90999999999985</v>
      </c>
      <c r="AK6" s="294">
        <f>(IF('Section Load'!AL9&gt;0,'Section Load'!AL9,0))</f>
        <v>321.84999999999854</v>
      </c>
      <c r="AL6" s="294">
        <f>(IF('Section Load'!AM9&gt;0,'Section Load'!AM9,0))</f>
        <v>0</v>
      </c>
      <c r="AM6" s="295">
        <f>(IF('Water Report'!$H$7&gt;0,'Water Report'!$H$7,0))</f>
        <v>106</v>
      </c>
      <c r="AN6" s="295">
        <f>(IF('Water Report'!$H$8&gt;0,'Water Report'!$H$8,0))</f>
        <v>137</v>
      </c>
      <c r="AO6" s="295">
        <f>(IF('Water Report'!$H$9&gt;0,'Water Report'!$H$9,0))</f>
        <v>102</v>
      </c>
      <c r="AP6" s="295">
        <f>(IF('Water Report'!$H$10&gt;0,'Water Report'!$H$10,0))</f>
        <v>25</v>
      </c>
      <c r="AQ6" s="295">
        <f>(IF('Water Report'!$H$11&gt;0,'Water Report'!$H$11,0))</f>
        <v>0</v>
      </c>
      <c r="AR6" s="295">
        <f>(IF('Water Report'!$H$13&gt;0,'Water Report'!$H$13,0))</f>
        <v>17</v>
      </c>
      <c r="AS6" s="295">
        <f>(IF('Water Report'!$H$14&gt;0,'Water Report'!$H$14,0))</f>
        <v>12</v>
      </c>
      <c r="AT6" s="295">
        <f>(IF('Water Report'!$H$15&gt;0,'Water Report'!$H$15,0))</f>
        <v>11</v>
      </c>
      <c r="AU6" s="295">
        <f>(IF('Water Report'!$H$17&gt;0,'Water Report'!$H$17,0))</f>
        <v>0</v>
      </c>
      <c r="AV6" s="295">
        <f>(IF('Water Report'!$H$18&gt;0,'Water Report'!$H$18,0))</f>
        <v>14</v>
      </c>
      <c r="AW6" s="295">
        <f>(IF('Water Report'!$H$19&gt;0,'Water Report'!$H$19,0))</f>
        <v>11</v>
      </c>
      <c r="AX6" s="301">
        <f>(IF('Water Report'!$H$21&gt;0,'Water Report'!$H$21,0))</f>
        <v>94</v>
      </c>
      <c r="AY6" s="301">
        <f>(IF('Water Report'!$H$22&gt;0,'Water Report'!$H$22,0))</f>
        <v>0</v>
      </c>
      <c r="AZ6" s="301">
        <f>(IF('Water Report'!$H$23&gt;0,'Water Report'!$H$23,0))</f>
        <v>0</v>
      </c>
      <c r="BA6" s="301">
        <f>(IF('Water Report'!$H$14&gt;0,'Water Report'!$H$14,0))</f>
        <v>12</v>
      </c>
      <c r="BB6" s="301">
        <f>(IF('Water Report'!$H$15&gt;0,'Water Report'!$H$15,0))</f>
        <v>11</v>
      </c>
      <c r="BC6" s="301">
        <f>(IF('Water Report'!$H$13&gt;0,'Water Report'!$H$13,0))</f>
        <v>17</v>
      </c>
      <c r="BD6" s="301">
        <f>(IF('Water Report'!$H$24&gt;0,'Water Report'!$H$24,0))</f>
        <v>192</v>
      </c>
      <c r="BE6" s="301">
        <f>(IF('Water Report'!$H$25&gt;0,'Water Report'!$H$25,0))</f>
        <v>150</v>
      </c>
      <c r="BF6" s="301">
        <f>(IF('Water Report'!$H$27&gt;0,'Water Report'!$H$27,0))</f>
        <v>111</v>
      </c>
      <c r="BG6" s="296">
        <f>(IF('Section Load'!AN9&gt;0,'Section Load'!AN9,0))</f>
        <v>1047.2000000001863</v>
      </c>
      <c r="BH6" s="296">
        <f>(IF('Section Load'!AO9&gt;0,'Section Load'!AO9,0))</f>
        <v>286.14000000001397</v>
      </c>
      <c r="BI6" s="296">
        <f>(IF('Section Load'!AP9&gt;0,'Section Load'!AP9,0))</f>
        <v>0</v>
      </c>
      <c r="BJ6" s="296">
        <f>(IF('Section Load'!AQ9&gt;0,'Section Load'!AQ9,0))</f>
        <v>116</v>
      </c>
      <c r="BK6" s="296">
        <f>(IF('Section Load'!AR9&gt;0,'Section Load'!AR9,0))</f>
        <v>93</v>
      </c>
      <c r="BL6" s="296">
        <f>(IF('Section Load'!AS9&gt;0,'Section Load'!AS9,0))</f>
        <v>0</v>
      </c>
      <c r="BM6" s="296">
        <f>(IF('Section Load'!AT9&gt;0,'Section Load'!AT9,0))</f>
        <v>552.06000000017229</v>
      </c>
    </row>
    <row r="7" spans="1:65">
      <c r="A7" s="287" t="s">
        <v>268</v>
      </c>
      <c r="B7" s="288">
        <f t="shared" si="0"/>
        <v>6</v>
      </c>
      <c r="C7" s="288">
        <v>8</v>
      </c>
      <c r="D7" s="288">
        <v>2022</v>
      </c>
      <c r="E7" s="294">
        <f>(IF('Section Load'!F10&gt;0,'Section Load'!F10,0))</f>
        <v>4273</v>
      </c>
      <c r="F7" s="294">
        <f>(IF('Section Load'!G10&gt;0,'Section Load'!G10,0))</f>
        <v>1116</v>
      </c>
      <c r="G7" s="294">
        <f>(IF('Section Load'!H10&gt;0,'Section Load'!H10,0))</f>
        <v>2225</v>
      </c>
      <c r="H7" s="294">
        <f>(IF('Section Load'!I10&gt;0,'Section Load'!I10,0))</f>
        <v>4247</v>
      </c>
      <c r="I7" s="294">
        <f>(IF('Section Load'!J10&gt;0,'Section Load'!J10,0))</f>
        <v>6391.1700000000419</v>
      </c>
      <c r="J7" s="294">
        <f>(IF('Section Load'!K10&gt;0,'Section Load'!K10,0))</f>
        <v>3116</v>
      </c>
      <c r="K7" s="294">
        <f>(IF('Section Load'!L10&gt;0,'Section Load'!L10,0))</f>
        <v>993</v>
      </c>
      <c r="L7" s="294">
        <f>(IF('Section Load'!M10&gt;0,'Section Load'!M10,0))</f>
        <v>879</v>
      </c>
      <c r="M7" s="294">
        <f>(IF('Section Load'!N10&gt;0,'Section Load'!N10,0))</f>
        <v>147</v>
      </c>
      <c r="N7" s="294">
        <f>(IF('Section Load'!O10&gt;0,'Section Load'!O10,0))</f>
        <v>157</v>
      </c>
      <c r="O7" s="294">
        <f>(IF('Section Load'!P10&gt;0,'Section Load'!P10,0))</f>
        <v>14</v>
      </c>
      <c r="P7" s="294">
        <f>(IF('Section Load'!Q10&gt;0,'Section Load'!Q10,0))</f>
        <v>195</v>
      </c>
      <c r="Q7" s="294">
        <f>(IF('Section Load'!R10&gt;0,'Section Load'!R10,0))</f>
        <v>89</v>
      </c>
      <c r="R7" s="294">
        <f>(IF('Section Load'!S10&gt;0,'Section Load'!S10,0))</f>
        <v>27</v>
      </c>
      <c r="S7" s="294">
        <f>(IF('Section Load'!T10&gt;0,'Section Load'!T10,0))</f>
        <v>72</v>
      </c>
      <c r="T7" s="294">
        <f>(IF('Section Load'!U10&gt;0,'Section Load'!U10,0))</f>
        <v>226</v>
      </c>
      <c r="U7" s="294">
        <f>(IF('Section Load'!V10&gt;0,'Section Load'!V10,0))</f>
        <v>379</v>
      </c>
      <c r="V7" s="294">
        <f>(IF('Section Load'!W10&gt;0,'Section Load'!W10,0))</f>
        <v>300</v>
      </c>
      <c r="W7" s="294">
        <f>(IF('Section Load'!X10&gt;0,'Section Load'!X10,0))</f>
        <v>25</v>
      </c>
      <c r="X7" s="294">
        <f>(IF('Section Load'!Y10&gt;0,'Section Load'!Y10,0))</f>
        <v>283</v>
      </c>
      <c r="Y7" s="294">
        <f>(IF('Section Load'!Z10&gt;0,'Section Load'!Z10,0))</f>
        <v>247</v>
      </c>
      <c r="Z7" s="294">
        <f>(IF('Section Load'!AA10&gt;0,'Section Load'!AA10,0))</f>
        <v>30</v>
      </c>
      <c r="AA7" s="294">
        <f>(IF('Section Load'!AB10&gt;0,'Section Load'!AB10,0))</f>
        <v>44</v>
      </c>
      <c r="AB7" s="294">
        <f>(IF('Section Load'!AC10&gt;0,'Section Load'!AC10,0))</f>
        <v>0</v>
      </c>
      <c r="AC7" s="294">
        <f>(IF('Section Load'!AD10&gt;0,'Section Load'!AD10,0))</f>
        <v>58</v>
      </c>
      <c r="AD7" s="294">
        <f>(IF('Section Load'!AE10&gt;0,'Section Load'!AE10,0))</f>
        <v>319</v>
      </c>
      <c r="AE7" s="294">
        <f>(IF('Section Load'!AF10&gt;0,'Section Load'!AF10,0))</f>
        <v>216</v>
      </c>
      <c r="AF7" s="294">
        <f>(IF('Section Load'!AG10&gt;0,'Section Load'!AG10,0))</f>
        <v>540</v>
      </c>
      <c r="AG7" s="294">
        <f>(IF('Section Load'!AH10&gt;0,'Section Load'!AH10,0))</f>
        <v>248</v>
      </c>
      <c r="AH7" s="294">
        <f>(IF('Section Load'!AI10&gt;0,'Section Load'!AI10,0))</f>
        <v>424</v>
      </c>
      <c r="AI7" s="294">
        <f>(IF('Section Load'!AJ10&gt;0,'Section Load'!AJ10,0))</f>
        <v>470</v>
      </c>
      <c r="AJ7" s="294">
        <f>(IF('Section Load'!AK10&gt;0,'Section Load'!AK10,0))</f>
        <v>328</v>
      </c>
      <c r="AK7" s="294">
        <f>(IF('Section Load'!AL10&gt;0,'Section Load'!AL10,0))</f>
        <v>331</v>
      </c>
      <c r="AL7" s="294">
        <f>(IF('Section Load'!AM10&gt;0,'Section Load'!AM10,0))</f>
        <v>0.41000000000349246</v>
      </c>
      <c r="AM7" s="295">
        <f>(IF('Water Report'!$I$7&gt;0,'Water Report'!$I$7,0))</f>
        <v>130</v>
      </c>
      <c r="AN7" s="295">
        <f>(IF('Water Report'!$I$8&gt;0,'Water Report'!$I$8,0))</f>
        <v>98</v>
      </c>
      <c r="AO7" s="295">
        <f>(IF('Water Report'!$I$9&gt;0,'Water Report'!$I$9,0))</f>
        <v>104</v>
      </c>
      <c r="AP7" s="295">
        <f>(IF('Water Report'!$I$10&gt;0,'Water Report'!$I$10,0))</f>
        <v>23</v>
      </c>
      <c r="AQ7" s="295">
        <f>(IF('Water Report'!$I$11&gt;0,'Water Report'!$I$11,0))</f>
        <v>0</v>
      </c>
      <c r="AR7" s="295">
        <f>(IF('Water Report'!$I$13&gt;0,'Water Report'!$I$13,0))</f>
        <v>19</v>
      </c>
      <c r="AS7" s="295">
        <f>(IF('Water Report'!$I$14&gt;0,'Water Report'!$I$14,0))</f>
        <v>6</v>
      </c>
      <c r="AT7" s="295">
        <f>(IF('Water Report'!$I$15&gt;0,'Water Report'!$I$15,0))</f>
        <v>8</v>
      </c>
      <c r="AU7" s="295">
        <f>(IF('Water Report'!$I$17&gt;0,'Water Report'!$I$17,0))</f>
        <v>2</v>
      </c>
      <c r="AV7" s="295">
        <f>(IF('Water Report'!$I$18&gt;0,'Water Report'!$I$18,0))</f>
        <v>14</v>
      </c>
      <c r="AW7" s="295">
        <f>(IF('Water Report'!$I$19&gt;0,'Water Report'!$I$19,0))</f>
        <v>14</v>
      </c>
      <c r="AX7" s="301">
        <f>(IF('Water Report'!$I$21&gt;0,'Water Report'!$I$21,0))</f>
        <v>54</v>
      </c>
      <c r="AY7" s="301">
        <f>(IF('Water Report'!$I$22&gt;0,'Water Report'!$I$22,0))</f>
        <v>0</v>
      </c>
      <c r="AZ7" s="301">
        <f>(IF('Water Report'!$I$23&gt;0,'Water Report'!$I$23,0))</f>
        <v>2</v>
      </c>
      <c r="BA7" s="301">
        <f>(IF('Water Report'!$I$14&gt;0,'Water Report'!$I$14,0))</f>
        <v>6</v>
      </c>
      <c r="BB7" s="301">
        <f>(IF('Water Report'!$I$15&gt;0,'Water Report'!$I$15,0))</f>
        <v>8</v>
      </c>
      <c r="BC7" s="301">
        <f>(IF('Water Report'!$I$13&gt;0,'Water Report'!$I$13,0))</f>
        <v>19</v>
      </c>
      <c r="BD7" s="301">
        <f>(IF('Water Report'!$I$24&gt;0,'Water Report'!$I$24,0))</f>
        <v>247</v>
      </c>
      <c r="BE7" s="301">
        <f>(IF('Water Report'!$I$25&gt;0,'Water Report'!$I$25,0))</f>
        <v>141</v>
      </c>
      <c r="BF7" s="301">
        <f>(IF('Water Report'!$I$27&gt;0,'Water Report'!$I$27,0))</f>
        <v>75</v>
      </c>
      <c r="BG7" s="296">
        <f>(IF('Section Load'!AN10&gt;0,'Section Load'!AN10,0))</f>
        <v>981</v>
      </c>
      <c r="BH7" s="296">
        <f>(IF('Section Load'!AO10&gt;0,'Section Load'!AO10,0))</f>
        <v>312</v>
      </c>
      <c r="BI7" s="296">
        <f>(IF('Section Load'!AP10&gt;0,'Section Load'!AP10,0))</f>
        <v>0</v>
      </c>
      <c r="BJ7" s="296">
        <f>(IF('Section Load'!AQ10&gt;0,'Section Load'!AQ10,0))</f>
        <v>114</v>
      </c>
      <c r="BK7" s="296">
        <f>(IF('Section Load'!AR10&gt;0,'Section Load'!AR10,0))</f>
        <v>3</v>
      </c>
      <c r="BL7" s="296">
        <f>(IF('Section Load'!AS10&gt;0,'Section Load'!AS10,0))</f>
        <v>0.3999999999996362</v>
      </c>
      <c r="BM7" s="296">
        <f>(IF('Section Load'!AT10&gt;0,'Section Load'!AT10,0))</f>
        <v>551.60000000000036</v>
      </c>
    </row>
    <row r="8" spans="1:65">
      <c r="A8" s="287" t="s">
        <v>268</v>
      </c>
      <c r="B8" s="288">
        <f t="shared" si="0"/>
        <v>7</v>
      </c>
      <c r="C8" s="288">
        <v>8</v>
      </c>
      <c r="D8" s="288">
        <v>2022</v>
      </c>
      <c r="E8" s="294">
        <f>(IF('Section Load'!F11&gt;0,'Section Load'!F11,0))</f>
        <v>4335</v>
      </c>
      <c r="F8" s="294">
        <f>(IF('Section Load'!G11&gt;0,'Section Load'!G11,0))</f>
        <v>1065</v>
      </c>
      <c r="G8" s="294">
        <f>(IF('Section Load'!H11&gt;0,'Section Load'!H11,0))</f>
        <v>2257</v>
      </c>
      <c r="H8" s="294">
        <f>(IF('Section Load'!I11&gt;0,'Section Load'!I11,0))</f>
        <v>4343</v>
      </c>
      <c r="I8" s="294">
        <f>(IF('Section Load'!J11&gt;0,'Section Load'!J11,0))</f>
        <v>6173</v>
      </c>
      <c r="J8" s="294">
        <f>(IF('Section Load'!K11&gt;0,'Section Load'!K11,0))</f>
        <v>3091</v>
      </c>
      <c r="K8" s="294">
        <f>(IF('Section Load'!L11&gt;0,'Section Load'!L11,0))</f>
        <v>1137</v>
      </c>
      <c r="L8" s="294">
        <f>(IF('Section Load'!M11&gt;0,'Section Load'!M11,0))</f>
        <v>801</v>
      </c>
      <c r="M8" s="294">
        <f>(IF('Section Load'!N11&gt;0,'Section Load'!N11,0))</f>
        <v>134</v>
      </c>
      <c r="N8" s="294">
        <f>(IF('Section Load'!O11&gt;0,'Section Load'!O11,0))</f>
        <v>133</v>
      </c>
      <c r="O8" s="294">
        <f>(IF('Section Load'!P11&gt;0,'Section Load'!P11,0))</f>
        <v>14</v>
      </c>
      <c r="P8" s="294">
        <f>(IF('Section Load'!Q11&gt;0,'Section Load'!Q11,0))</f>
        <v>206</v>
      </c>
      <c r="Q8" s="294">
        <f>(IF('Section Load'!R11&gt;0,'Section Load'!R11,0))</f>
        <v>81</v>
      </c>
      <c r="R8" s="294">
        <f>(IF('Section Load'!S11&gt;0,'Section Load'!S11,0))</f>
        <v>25</v>
      </c>
      <c r="S8" s="294">
        <f>(IF('Section Load'!T11&gt;0,'Section Load'!T11,0))</f>
        <v>75</v>
      </c>
      <c r="T8" s="294">
        <f>(IF('Section Load'!U11&gt;0,'Section Load'!U11,0))</f>
        <v>226</v>
      </c>
      <c r="U8" s="294">
        <f>(IF('Section Load'!V11&gt;0,'Section Load'!V11,0))</f>
        <v>374</v>
      </c>
      <c r="V8" s="294">
        <f>(IF('Section Load'!W11&gt;0,'Section Load'!W11,0))</f>
        <v>294</v>
      </c>
      <c r="W8" s="294">
        <f>(IF('Section Load'!X11&gt;0,'Section Load'!X11,0))</f>
        <v>25</v>
      </c>
      <c r="X8" s="294">
        <f>(IF('Section Load'!Y11&gt;0,'Section Load'!Y11,0))</f>
        <v>264</v>
      </c>
      <c r="Y8" s="294">
        <f>(IF('Section Load'!Z11&gt;0,'Section Load'!Z11,0))</f>
        <v>245</v>
      </c>
      <c r="Z8" s="294">
        <f>(IF('Section Load'!AA11&gt;0,'Section Load'!AA11,0))</f>
        <v>28</v>
      </c>
      <c r="AA8" s="294">
        <f>(IF('Section Load'!AB11&gt;0,'Section Load'!AB11,0))</f>
        <v>26</v>
      </c>
      <c r="AB8" s="294">
        <f>(IF('Section Load'!AC11&gt;0,'Section Load'!AC11,0))</f>
        <v>0</v>
      </c>
      <c r="AC8" s="294">
        <f>(IF('Section Load'!AD11&gt;0,'Section Load'!AD11,0))</f>
        <v>80</v>
      </c>
      <c r="AD8" s="294">
        <f>(IF('Section Load'!AE11&gt;0,'Section Load'!AE11,0))</f>
        <v>390</v>
      </c>
      <c r="AE8" s="294">
        <f>(IF('Section Load'!AF11&gt;0,'Section Load'!AF11,0))</f>
        <v>187</v>
      </c>
      <c r="AF8" s="294">
        <f>(IF('Section Load'!AG11&gt;0,'Section Load'!AG11,0))</f>
        <v>550</v>
      </c>
      <c r="AG8" s="294">
        <f>(IF('Section Load'!AH11&gt;0,'Section Load'!AH11,0))</f>
        <v>254</v>
      </c>
      <c r="AH8" s="294">
        <f>(IF('Section Load'!AI11&gt;0,'Section Load'!AI11,0))</f>
        <v>431</v>
      </c>
      <c r="AI8" s="294">
        <f>(IF('Section Load'!AJ11&gt;0,'Section Load'!AJ11,0))</f>
        <v>474</v>
      </c>
      <c r="AJ8" s="294">
        <f>(IF('Section Load'!AK11&gt;0,'Section Load'!AK11,0))</f>
        <v>330</v>
      </c>
      <c r="AK8" s="294">
        <f>(IF('Section Load'!AL11&gt;0,'Section Load'!AL11,0))</f>
        <v>331</v>
      </c>
      <c r="AL8" s="294">
        <f>(IF('Section Load'!AM11&gt;0,'Section Load'!AM11,0))</f>
        <v>0</v>
      </c>
      <c r="AM8" s="295">
        <f>(IF('Water Report'!$J$7&gt;0,'Water Report'!$J$7,0))</f>
        <v>144</v>
      </c>
      <c r="AN8" s="295">
        <f>(IF('Water Report'!$J$8&gt;0,'Water Report'!$J$8,0))</f>
        <v>106</v>
      </c>
      <c r="AO8" s="295">
        <f>(IF('Water Report'!$J$9&gt;0,'Water Report'!$J$9,0))</f>
        <v>101</v>
      </c>
      <c r="AP8" s="295">
        <f>(IF('Water Report'!$J$10&gt;0,'Water Report'!$J$10,0))</f>
        <v>31</v>
      </c>
      <c r="AQ8" s="295">
        <f>(IF('Water Report'!$J$11&gt;0,'Water Report'!$J$11,0))</f>
        <v>0</v>
      </c>
      <c r="AR8" s="295">
        <f>(IF('Water Report'!$J$13&gt;0,'Water Report'!$J$13,0))</f>
        <v>35</v>
      </c>
      <c r="AS8" s="295">
        <f>(IF('Water Report'!$J$14&gt;0,'Water Report'!$J$14,0))</f>
        <v>6</v>
      </c>
      <c r="AT8" s="295">
        <f>(IF('Water Report'!$J$15&gt;0,'Water Report'!$J$15,0))</f>
        <v>8</v>
      </c>
      <c r="AU8" s="295">
        <f>(IF('Water Report'!$J$17&gt;0,'Water Report'!$J$17,0))</f>
        <v>0</v>
      </c>
      <c r="AV8" s="295">
        <f>(IF('Water Report'!$J$18&gt;0,'Water Report'!$J$18,0))</f>
        <v>12</v>
      </c>
      <c r="AW8" s="295">
        <f>(IF('Water Report'!$J$19&gt;0,'Water Report'!$J$19,0))</f>
        <v>12</v>
      </c>
      <c r="AX8" s="301">
        <f>(IF('Water Report'!$J$21&gt;0,'Water Report'!$J$21,0))</f>
        <v>66</v>
      </c>
      <c r="AY8" s="301">
        <f>(IF('Water Report'!$J$22&gt;0,'Water Report'!$J$22,0))</f>
        <v>0</v>
      </c>
      <c r="AZ8" s="301">
        <f>(IF('Water Report'!$J$23&gt;0,'Water Report'!$J$23,0))</f>
        <v>5</v>
      </c>
      <c r="BA8" s="301">
        <f>(IF('Water Report'!$J$14&gt;0,'Water Report'!$J$14,0))</f>
        <v>6</v>
      </c>
      <c r="BB8" s="301">
        <f>(IF('Water Report'!$J$15&gt;0,'Water Report'!$J$15,0))</f>
        <v>8</v>
      </c>
      <c r="BC8" s="301">
        <f>(IF('Water Report'!$J$13&gt;0,'Water Report'!$J$13,0))</f>
        <v>35</v>
      </c>
      <c r="BD8" s="301">
        <f>(IF('Water Report'!$J$24&gt;0,'Water Report'!$J$24,0))</f>
        <v>287</v>
      </c>
      <c r="BE8" s="301">
        <f>(IF('Water Report'!$J$25&gt;0,'Water Report'!$J$25,0))</f>
        <v>146</v>
      </c>
      <c r="BF8" s="301">
        <f>(IF('Water Report'!$J$27&gt;0,'Water Report'!$J$27,0))</f>
        <v>106</v>
      </c>
      <c r="BG8" s="296">
        <f>(IF('Section Load'!AN11&gt;0,'Section Load'!AN11,0))</f>
        <v>1066</v>
      </c>
      <c r="BH8" s="296">
        <f>(IF('Section Load'!AO11&gt;0,'Section Load'!AO11,0))</f>
        <v>359</v>
      </c>
      <c r="BI8" s="296">
        <f>(IF('Section Load'!AP11&gt;0,'Section Load'!AP11,0))</f>
        <v>0</v>
      </c>
      <c r="BJ8" s="296">
        <f>(IF('Section Load'!AQ11&gt;0,'Section Load'!AQ11,0))</f>
        <v>111</v>
      </c>
      <c r="BK8" s="296">
        <f>(IF('Section Load'!AR11&gt;0,'Section Load'!AR11,0))</f>
        <v>47</v>
      </c>
      <c r="BL8" s="296">
        <f>(IF('Section Load'!AS11&gt;0,'Section Load'!AS11,0))</f>
        <v>0</v>
      </c>
      <c r="BM8" s="296">
        <f>(IF('Section Load'!AT11&gt;0,'Section Load'!AT11,0))</f>
        <v>549</v>
      </c>
    </row>
    <row r="9" spans="1:65">
      <c r="A9" s="287" t="s">
        <v>268</v>
      </c>
      <c r="B9" s="288">
        <f t="shared" si="0"/>
        <v>8</v>
      </c>
      <c r="C9" s="288">
        <v>8</v>
      </c>
      <c r="D9" s="288">
        <v>2022</v>
      </c>
      <c r="E9" s="294">
        <f>(IF('Section Load'!F12&gt;0,'Section Load'!F12,0))</f>
        <v>4326.4799999999814</v>
      </c>
      <c r="F9" s="294">
        <f>(IF('Section Load'!G12&gt;0,'Section Load'!G12,0))</f>
        <v>1092.1500000000015</v>
      </c>
      <c r="G9" s="294">
        <f>(IF('Section Load'!H12&gt;0,'Section Load'!H12,0))</f>
        <v>2306.3499999999767</v>
      </c>
      <c r="H9" s="294">
        <f>(IF('Section Load'!I12&gt;0,'Section Load'!I12,0))</f>
        <v>4722.1299999999464</v>
      </c>
      <c r="I9" s="294">
        <f>(IF('Section Load'!J12&gt;0,'Section Load'!J12,0))</f>
        <v>6736.2799999999843</v>
      </c>
      <c r="J9" s="294">
        <f>(IF('Section Load'!K12&gt;0,'Section Load'!K12,0))</f>
        <v>2997.8099999999977</v>
      </c>
      <c r="K9" s="294">
        <f>(IF('Section Load'!L12&gt;0,'Section Load'!L12,0))</f>
        <v>1390.3300000000163</v>
      </c>
      <c r="L9" s="294">
        <f>(IF('Section Load'!M12&gt;0,'Section Load'!M12,0))</f>
        <v>861.95000000001164</v>
      </c>
      <c r="M9" s="294">
        <f>(IF('Section Load'!N12&gt;0,'Section Load'!N12,0))</f>
        <v>152</v>
      </c>
      <c r="N9" s="294">
        <f>(IF('Section Load'!O12&gt;0,'Section Load'!O12,0))</f>
        <v>166</v>
      </c>
      <c r="O9" s="294">
        <f>(IF('Section Load'!P12&gt;0,'Section Load'!P12,0))</f>
        <v>15.8900000000001</v>
      </c>
      <c r="P9" s="294">
        <f>(IF('Section Load'!Q12&gt;0,'Section Load'!Q12,0))</f>
        <v>203.0399999999936</v>
      </c>
      <c r="Q9" s="294">
        <f>(IF('Section Load'!R12&gt;0,'Section Load'!R12,0))</f>
        <v>98.900000000001455</v>
      </c>
      <c r="R9" s="294">
        <f>(IF('Section Load'!S12&gt;0,'Section Load'!S12,0))</f>
        <v>26.789999999999964</v>
      </c>
      <c r="S9" s="294">
        <f>(IF('Section Load'!T12&gt;0,'Section Load'!T12,0))</f>
        <v>73</v>
      </c>
      <c r="T9" s="294">
        <f>(IF('Section Load'!U12&gt;0,'Section Load'!U12,0))</f>
        <v>216</v>
      </c>
      <c r="U9" s="294">
        <f>(IF('Section Load'!V12&gt;0,'Section Load'!V12,0))</f>
        <v>396.68000000005122</v>
      </c>
      <c r="V9" s="294">
        <f>(IF('Section Load'!W12&gt;0,'Section Load'!W12,0))</f>
        <v>297.92000000004191</v>
      </c>
      <c r="W9" s="294">
        <f>(IF('Section Load'!X12&gt;0,'Section Load'!X12,0))</f>
        <v>27.190000000000509</v>
      </c>
      <c r="X9" s="294">
        <f>(IF('Section Load'!Y12&gt;0,'Section Load'!Y12,0))</f>
        <v>257.88999999999942</v>
      </c>
      <c r="Y9" s="294">
        <f>(IF('Section Load'!Z12&gt;0,'Section Load'!Z12,0))</f>
        <v>232</v>
      </c>
      <c r="Z9" s="294">
        <f>(IF('Section Load'!AA12&gt;0,'Section Load'!AA12,0))</f>
        <v>29.039999999979045</v>
      </c>
      <c r="AA9" s="294">
        <f>(IF('Section Load'!AB12&gt;0,'Section Load'!AB12,0))</f>
        <v>41.5</v>
      </c>
      <c r="AB9" s="294">
        <f>(IF('Section Load'!AC12&gt;0,'Section Load'!AC12,0))</f>
        <v>0</v>
      </c>
      <c r="AC9" s="294">
        <f>(IF('Section Load'!AD12&gt;0,'Section Load'!AD12,0))</f>
        <v>161.09999999999945</v>
      </c>
      <c r="AD9" s="294">
        <f>(IF('Section Load'!AE12&gt;0,'Section Load'!AE12,0))</f>
        <v>483.27000000000407</v>
      </c>
      <c r="AE9" s="294">
        <f>(IF('Section Load'!AF12&gt;0,'Section Load'!AF12,0))</f>
        <v>266.30999999999767</v>
      </c>
      <c r="AF9" s="294">
        <f>(IF('Section Load'!AG12&gt;0,'Section Load'!AG12,0))</f>
        <v>666.86000000000058</v>
      </c>
      <c r="AG9" s="294">
        <f>(IF('Section Load'!AH12&gt;0,'Section Load'!AH12,0))</f>
        <v>245.79000000000087</v>
      </c>
      <c r="AH9" s="294">
        <f>(IF('Section Load'!AI12&gt;0,'Section Load'!AI12,0))</f>
        <v>432.44999999999709</v>
      </c>
      <c r="AI9" s="294">
        <f>(IF('Section Load'!AJ12&gt;0,'Section Load'!AJ12,0))</f>
        <v>482.83999999999651</v>
      </c>
      <c r="AJ9" s="294">
        <f>(IF('Section Load'!AK12&gt;0,'Section Load'!AK12,0))</f>
        <v>359.45000000000073</v>
      </c>
      <c r="AK9" s="294">
        <f>(IF('Section Load'!AL12&gt;0,'Section Load'!AL12,0))</f>
        <v>340.16000000000349</v>
      </c>
      <c r="AL9" s="294">
        <f>(IF('Section Load'!AM12&gt;0,'Section Load'!AM12,0))</f>
        <v>0</v>
      </c>
      <c r="AM9" s="295">
        <f>(IF('Water Report'!$K$7&gt;0,'Water Report'!$K$7,0))</f>
        <v>125</v>
      </c>
      <c r="AN9" s="295">
        <f>(IF('Water Report'!$K$8&gt;0,'Water Report'!$K$8,0))</f>
        <v>78</v>
      </c>
      <c r="AO9" s="295">
        <f>(IF('Water Report'!$K$9&gt;0,'Water Report'!$K$9,0))</f>
        <v>105</v>
      </c>
      <c r="AP9" s="295">
        <f>(IF('Water Report'!$K$10&gt;0,'Water Report'!$K$10,0))</f>
        <v>31</v>
      </c>
      <c r="AQ9" s="295">
        <f>(IF('Water Report'!$K$11&gt;0,'Water Report'!$K$11,0))</f>
        <v>0</v>
      </c>
      <c r="AR9" s="295">
        <f>(IF('Water Report'!$K$13&gt;0,'Water Report'!$K$13,0))</f>
        <v>39</v>
      </c>
      <c r="AS9" s="295">
        <f>(IF('Water Report'!$K$14&gt;0,'Water Report'!$K$14,0))</f>
        <v>8</v>
      </c>
      <c r="AT9" s="295">
        <f>(IF('Water Report'!$K$15&gt;0,'Water Report'!$K$15,0))</f>
        <v>8</v>
      </c>
      <c r="AU9" s="295">
        <f>(IF('Water Report'!$K$17&gt;0,'Water Report'!$K$17,0))</f>
        <v>0</v>
      </c>
      <c r="AV9" s="295">
        <f>(IF('Water Report'!$K$18&gt;0,'Water Report'!$K$18,0))</f>
        <v>14</v>
      </c>
      <c r="AW9" s="295">
        <f>(IF('Water Report'!$K$19&gt;0,'Water Report'!$K$19,0))</f>
        <v>11</v>
      </c>
      <c r="AX9" s="301">
        <f>(IF('Water Report'!$K$21&gt;0,'Water Report'!$K$21,0))</f>
        <v>62</v>
      </c>
      <c r="AY9" s="301">
        <f>(IF('Water Report'!$K$22&gt;0,'Water Report'!$K$22,0))</f>
        <v>0</v>
      </c>
      <c r="AZ9" s="301">
        <f>(IF('Water Report'!$K$23&gt;0,'Water Report'!$K$23,0))</f>
        <v>0</v>
      </c>
      <c r="BA9" s="301">
        <f>(IF('Water Report'!$K$14&gt;0,'Water Report'!$K$14,0))</f>
        <v>8</v>
      </c>
      <c r="BB9" s="301">
        <f>(IF('Water Report'!$K$15&gt;0,'Water Report'!$K$15,0))</f>
        <v>8</v>
      </c>
      <c r="BC9" s="301">
        <f>(IF('Water Report'!$K$13&gt;0,'Water Report'!$K$13,0))</f>
        <v>39</v>
      </c>
      <c r="BD9" s="301">
        <f>(IF('Water Report'!$K$24&gt;0,'Water Report'!$K$24,0))</f>
        <v>212</v>
      </c>
      <c r="BE9" s="301">
        <f>(IF('Water Report'!$K$25&gt;0,'Water Report'!$K$25,0))</f>
        <v>152</v>
      </c>
      <c r="BF9" s="301">
        <f>(IF('Water Report'!$K$27&gt;0,'Water Report'!$K$27,0))</f>
        <v>101</v>
      </c>
      <c r="BG9" s="296">
        <f>(IF('Section Load'!AN12&gt;0,'Section Load'!AN12,0))</f>
        <v>1037</v>
      </c>
      <c r="BH9" s="296">
        <f>(IF('Section Load'!AO12&gt;0,'Section Load'!AO12,0))</f>
        <v>302.81999999994878</v>
      </c>
      <c r="BI9" s="296">
        <f>(IF('Section Load'!AP12&gt;0,'Section Load'!AP12,0))</f>
        <v>0.80000000000291038</v>
      </c>
      <c r="BJ9" s="296">
        <f>(IF('Section Load'!AQ12&gt;0,'Section Load'!AQ12,0))</f>
        <v>104.36999999999534</v>
      </c>
      <c r="BK9" s="296">
        <f>(IF('Section Load'!AR12&gt;0,'Section Load'!AR12,0))</f>
        <v>49</v>
      </c>
      <c r="BL9" s="296">
        <f>(IF('Section Load'!AS12&gt;0,'Section Load'!AS12,0))</f>
        <v>0</v>
      </c>
      <c r="BM9" s="296">
        <f>(IF('Section Load'!AT12&gt;0,'Section Load'!AT12,0))</f>
        <v>580.01000000005297</v>
      </c>
    </row>
    <row r="10" spans="1:65">
      <c r="A10" s="287" t="s">
        <v>268</v>
      </c>
      <c r="B10" s="288">
        <f t="shared" si="0"/>
        <v>9</v>
      </c>
      <c r="C10" s="288">
        <v>8</v>
      </c>
      <c r="D10" s="288">
        <v>2022</v>
      </c>
      <c r="E10" s="294">
        <f>(IF('Section Load'!F13&gt;0,'Section Load'!F13,0))</f>
        <v>1206.7200000000303</v>
      </c>
      <c r="F10" s="294">
        <f>(IF('Section Load'!G13&gt;0,'Section Load'!G13,0))</f>
        <v>1077.5499999999993</v>
      </c>
      <c r="G10" s="294">
        <f>(IF('Section Load'!H13&gt;0,'Section Load'!H13,0))</f>
        <v>2242.8800000000047</v>
      </c>
      <c r="H10" s="294">
        <f>(IF('Section Load'!I13&gt;0,'Section Load'!I13,0))</f>
        <v>4573.7299999999959</v>
      </c>
      <c r="I10" s="294">
        <f>(IF('Section Load'!J13&gt;0,'Section Load'!J13,0))</f>
        <v>6983.9000000000233</v>
      </c>
      <c r="J10" s="294">
        <f>(IF('Section Load'!K13&gt;0,'Section Load'!K13,0))</f>
        <v>3015.0400000000081</v>
      </c>
      <c r="K10" s="294">
        <f>(IF('Section Load'!L13&gt;0,'Section Load'!L13,0))</f>
        <v>1277.2000000000116</v>
      </c>
      <c r="L10" s="294">
        <f>(IF('Section Load'!M13&gt;0,'Section Load'!M13,0))</f>
        <v>776.75999999998021</v>
      </c>
      <c r="M10" s="294">
        <f>(IF('Section Load'!N13&gt;0,'Section Load'!N13,0))</f>
        <v>125</v>
      </c>
      <c r="N10" s="294">
        <f>(IF('Section Load'!O13&gt;0,'Section Load'!O13,0))</f>
        <v>157</v>
      </c>
      <c r="O10" s="294">
        <f>(IF('Section Load'!P13&gt;0,'Section Load'!P13,0))</f>
        <v>13.139999999999873</v>
      </c>
      <c r="P10" s="294">
        <f>(IF('Section Load'!Q13&gt;0,'Section Load'!Q13,0))</f>
        <v>194.04000000000815</v>
      </c>
      <c r="Q10" s="294">
        <f>(IF('Section Load'!R13&gt;0,'Section Load'!R13,0))</f>
        <v>83.069999999999709</v>
      </c>
      <c r="R10" s="294">
        <f>(IF('Section Load'!S13&gt;0,'Section Load'!S13,0))</f>
        <v>24.930000000000291</v>
      </c>
      <c r="S10" s="294">
        <f>(IF('Section Load'!T13&gt;0,'Section Load'!T13,0))</f>
        <v>77</v>
      </c>
      <c r="T10" s="294">
        <f>(IF('Section Load'!U13&gt;0,'Section Load'!U13,0))</f>
        <v>225</v>
      </c>
      <c r="U10" s="294">
        <f>(IF('Section Load'!V13&gt;0,'Section Load'!V13,0))</f>
        <v>400.63999999989755</v>
      </c>
      <c r="V10" s="294">
        <f>(IF('Section Load'!W13&gt;0,'Section Load'!W13,0))</f>
        <v>355.03999999992084</v>
      </c>
      <c r="W10" s="294">
        <f>(IF('Section Load'!X13&gt;0,'Section Load'!X13,0))</f>
        <v>27.739999999999782</v>
      </c>
      <c r="X10" s="294">
        <f>(IF('Section Load'!Y13&gt;0,'Section Load'!Y13,0))</f>
        <v>269.47000000000116</v>
      </c>
      <c r="Y10" s="294">
        <f>(IF('Section Load'!Z13&gt;0,'Section Load'!Z13,0))</f>
        <v>231</v>
      </c>
      <c r="Z10" s="294">
        <f>(IF('Section Load'!AA13&gt;0,'Section Load'!AA13,0))</f>
        <v>26.160000000032596</v>
      </c>
      <c r="AA10" s="294">
        <f>(IF('Section Load'!AB13&gt;0,'Section Load'!AB13,0))</f>
        <v>52.899999999994179</v>
      </c>
      <c r="AB10" s="294">
        <f>(IF('Section Load'!AC13&gt;0,'Section Load'!AC13,0))</f>
        <v>0</v>
      </c>
      <c r="AC10" s="294">
        <f>(IF('Section Load'!AD13&gt;0,'Section Load'!AD13,0))</f>
        <v>152.60000000000036</v>
      </c>
      <c r="AD10" s="294">
        <f>(IF('Section Load'!AE13&gt;0,'Section Load'!AE13,0))</f>
        <v>445.19000000000233</v>
      </c>
      <c r="AE10" s="294">
        <f>(IF('Section Load'!AF13&gt;0,'Section Load'!AF13,0))</f>
        <v>246.02000000000407</v>
      </c>
      <c r="AF10" s="294">
        <f>(IF('Section Load'!AG13&gt;0,'Section Load'!AG13,0))</f>
        <v>653.19000000000233</v>
      </c>
      <c r="AG10" s="294">
        <f>(IF('Section Load'!AH13&gt;0,'Section Load'!AH13,0))</f>
        <v>235.45999999999913</v>
      </c>
      <c r="AH10" s="294">
        <f>(IF('Section Load'!AI13&gt;0,'Section Load'!AI13,0))</f>
        <v>404.38000000000466</v>
      </c>
      <c r="AI10" s="294">
        <f>(IF('Section Load'!AJ13&gt;0,'Section Load'!AJ13,0))</f>
        <v>475.26000000000204</v>
      </c>
      <c r="AJ10" s="294">
        <f>(IF('Section Load'!AK13&gt;0,'Section Load'!AK13,0))</f>
        <v>325.80999999999767</v>
      </c>
      <c r="AK10" s="294">
        <f>(IF('Section Load'!AL13&gt;0,'Section Load'!AL13,0))</f>
        <v>328.2699999999968</v>
      </c>
      <c r="AL10" s="294">
        <f>(IF('Section Load'!AM13&gt;0,'Section Load'!AM13,0))</f>
        <v>0</v>
      </c>
      <c r="AM10" s="295">
        <f>(IF('Water Report'!$L$7&gt;0,'Water Report'!$L$7,0))</f>
        <v>118</v>
      </c>
      <c r="AN10" s="295">
        <f>(IF('Water Report'!$L$8&gt;0,'Water Report'!$L$8,0))</f>
        <v>86</v>
      </c>
      <c r="AO10" s="295">
        <f>(IF('Water Report'!$L$9&gt;0,'Water Report'!$L$9,0))</f>
        <v>114</v>
      </c>
      <c r="AP10" s="295">
        <f>(IF('Water Report'!$L$10&gt;0,'Water Report'!$L$10,0))</f>
        <v>21</v>
      </c>
      <c r="AQ10" s="295">
        <f>(IF('Water Report'!$L$11&gt;0,'Water Report'!$L$11,0))</f>
        <v>0</v>
      </c>
      <c r="AR10" s="295">
        <f>(IF('Water Report'!$L$13&gt;0,'Water Report'!$L$13,0))</f>
        <v>35</v>
      </c>
      <c r="AS10" s="295">
        <f>(IF('Water Report'!$L$14&gt;0,'Water Report'!$L$14,0))</f>
        <v>13</v>
      </c>
      <c r="AT10" s="295">
        <f>(IF('Water Report'!$L$15&gt;0,'Water Report'!$L$15,0))</f>
        <v>11</v>
      </c>
      <c r="AU10" s="295">
        <f>(IF('Water Report'!$L$17&gt;0,'Water Report'!$L$17,0))</f>
        <v>0</v>
      </c>
      <c r="AV10" s="295">
        <f>(IF('Water Report'!$L$18&gt;0,'Water Report'!$L$18,0))</f>
        <v>16</v>
      </c>
      <c r="AW10" s="295">
        <f>(IF('Water Report'!$L$19&gt;0,'Water Report'!$L$19,0))</f>
        <v>11</v>
      </c>
      <c r="AX10" s="301">
        <f>(IF('Water Report'!$L$21&gt;0,'Water Report'!$L$21,0))</f>
        <v>67</v>
      </c>
      <c r="AY10" s="301">
        <f>(IF('Water Report'!$L$22&gt;0,'Water Report'!$L$22,0))</f>
        <v>0</v>
      </c>
      <c r="AZ10" s="301">
        <f>(IF('Water Report'!$L$23&gt;0,'Water Report'!$L$23,0))</f>
        <v>0</v>
      </c>
      <c r="BA10" s="301">
        <f>(IF('Water Report'!$L$14&gt;0,'Water Report'!$L$14,0))</f>
        <v>13</v>
      </c>
      <c r="BB10" s="301">
        <f>(IF('Water Report'!$L$15&gt;0,'Water Report'!$L$15,0))</f>
        <v>11</v>
      </c>
      <c r="BC10" s="301">
        <f>(IF('Water Report'!$L$13&gt;0,'Water Report'!$L$13,0))</f>
        <v>35</v>
      </c>
      <c r="BD10" s="301">
        <f>(IF('Water Report'!$L$24&gt;0,'Water Report'!$L$24,0))</f>
        <v>84</v>
      </c>
      <c r="BE10" s="301">
        <f>(IF('Water Report'!$L$25&gt;0,'Water Report'!$L$25,0))</f>
        <v>159</v>
      </c>
      <c r="BF10" s="301">
        <f>(IF('Water Report'!$L$27&gt;0,'Water Report'!$L$27,0))</f>
        <v>102</v>
      </c>
      <c r="BG10" s="296">
        <f>(IF('Section Load'!AN13&gt;0,'Section Load'!AN13,0))</f>
        <v>1078.7400000002235</v>
      </c>
      <c r="BH10" s="296">
        <f>(IF('Section Load'!AO13&gt;0,'Section Load'!AO13,0))</f>
        <v>332.11000000010245</v>
      </c>
      <c r="BI10" s="296">
        <f>(IF('Section Load'!AP13&gt;0,'Section Load'!AP13,0))</f>
        <v>0</v>
      </c>
      <c r="BJ10" s="296">
        <f>(IF('Section Load'!AQ13&gt;0,'Section Load'!AQ13,0))</f>
        <v>115.8300000000163</v>
      </c>
      <c r="BK10" s="296">
        <f>(IF('Section Load'!AR13&gt;0,'Section Load'!AR13,0))</f>
        <v>51.80000000000291</v>
      </c>
      <c r="BL10" s="296">
        <f>(IF('Section Load'!AS13&gt;0,'Section Load'!AS13,0))</f>
        <v>0</v>
      </c>
      <c r="BM10" s="296">
        <f>(IF('Section Load'!AT13&gt;0,'Section Load'!AT13,0))</f>
        <v>579.00000000010186</v>
      </c>
    </row>
    <row r="11" spans="1:65">
      <c r="A11" s="287" t="s">
        <v>268</v>
      </c>
      <c r="B11" s="288">
        <f t="shared" si="0"/>
        <v>10</v>
      </c>
      <c r="C11" s="288">
        <v>8</v>
      </c>
      <c r="D11" s="288">
        <v>2022</v>
      </c>
      <c r="E11" s="294">
        <f>(IF('Section Load'!F14&gt;0,'Section Load'!F14,0))</f>
        <v>4132.2399999999907</v>
      </c>
      <c r="F11" s="294">
        <f>(IF('Section Load'!G14&gt;0,'Section Load'!G14,0))</f>
        <v>1046.0799999999981</v>
      </c>
      <c r="G11" s="294">
        <f>(IF('Section Load'!H14&gt;0,'Section Load'!H14,0))</f>
        <v>2211.9200000000419</v>
      </c>
      <c r="H11" s="294">
        <f>(IF('Section Load'!I14&gt;0,'Section Load'!I14,0))</f>
        <v>4486.5500000000029</v>
      </c>
      <c r="I11" s="294">
        <f>(IF('Section Load'!J14&gt;0,'Section Load'!J14,0))</f>
        <v>7326.2799999999697</v>
      </c>
      <c r="J11" s="294">
        <f>(IF('Section Load'!K14&gt;0,'Section Load'!K14,0))</f>
        <v>2954.7200000000012</v>
      </c>
      <c r="K11" s="294">
        <f>(IF('Section Load'!L14&gt;0,'Section Load'!L14,0))</f>
        <v>1240.7999999999884</v>
      </c>
      <c r="L11" s="294">
        <f>(IF('Section Load'!M14&gt;0,'Section Load'!M14,0))</f>
        <v>1042.6600000000035</v>
      </c>
      <c r="M11" s="294">
        <f>(IF('Section Load'!N14&gt;0,'Section Load'!N14,0))</f>
        <v>116</v>
      </c>
      <c r="N11" s="294">
        <f>(IF('Section Load'!O14&gt;0,'Section Load'!O14,0))</f>
        <v>156</v>
      </c>
      <c r="O11" s="294">
        <f>(IF('Section Load'!P14&gt;0,'Section Load'!P14,0))</f>
        <v>12.610000000000127</v>
      </c>
      <c r="P11" s="294">
        <f>(IF('Section Load'!Q14&gt;0,'Section Load'!Q14,0))</f>
        <v>192.38999999999942</v>
      </c>
      <c r="Q11" s="294">
        <f>(IF('Section Load'!R14&gt;0,'Section Load'!R14,0))</f>
        <v>90.010000000002037</v>
      </c>
      <c r="R11" s="294">
        <f>(IF('Section Load'!S14&gt;0,'Section Load'!S14,0))</f>
        <v>30.139999999999418</v>
      </c>
      <c r="S11" s="294">
        <f>(IF('Section Load'!T14&gt;0,'Section Load'!T14,0))</f>
        <v>73</v>
      </c>
      <c r="T11" s="294">
        <f>(IF('Section Load'!U14&gt;0,'Section Load'!U14,0))</f>
        <v>223</v>
      </c>
      <c r="U11" s="294">
        <f>(IF('Section Load'!V14&gt;0,'Section Load'!V14,0))</f>
        <v>402.08000000007451</v>
      </c>
      <c r="V11" s="294">
        <f>(IF('Section Load'!W14&gt;0,'Section Load'!W14,0))</f>
        <v>356.47999999998137</v>
      </c>
      <c r="W11" s="294">
        <f>(IF('Section Load'!X14&gt;0,'Section Load'!X14,0))</f>
        <v>27.6299999999992</v>
      </c>
      <c r="X11" s="294">
        <f>(IF('Section Load'!Y14&gt;0,'Section Load'!Y14,0))</f>
        <v>308.95999999999913</v>
      </c>
      <c r="Y11" s="294">
        <f>(IF('Section Load'!Z14&gt;0,'Section Load'!Z14,0))</f>
        <v>298</v>
      </c>
      <c r="Z11" s="294">
        <f>(IF('Section Load'!AA14&gt;0,'Section Load'!AA14,0))</f>
        <v>28.71999999997206</v>
      </c>
      <c r="AA11" s="294">
        <f>(IF('Section Load'!AB14&gt;0,'Section Load'!AB14,0))</f>
        <v>51.600000000005821</v>
      </c>
      <c r="AB11" s="294">
        <f>(IF('Section Load'!AC14&gt;0,'Section Load'!AC14,0))</f>
        <v>0</v>
      </c>
      <c r="AC11" s="294">
        <f>(IF('Section Load'!AD14&gt;0,'Section Load'!AD14,0))</f>
        <v>153.30000000000018</v>
      </c>
      <c r="AD11" s="294">
        <f>(IF('Section Load'!AE14&gt;0,'Section Load'!AE14,0))</f>
        <v>452.70999999999185</v>
      </c>
      <c r="AE11" s="294">
        <f>(IF('Section Load'!AF14&gt;0,'Section Load'!AF14,0))</f>
        <v>216.55999999999767</v>
      </c>
      <c r="AF11" s="294">
        <f>(IF('Section Load'!AG14&gt;0,'Section Load'!AG14,0))</f>
        <v>646.98999999999069</v>
      </c>
      <c r="AG11" s="294">
        <f>(IF('Section Load'!AH14&gt;0,'Section Load'!AH14,0))</f>
        <v>231.72000000000116</v>
      </c>
      <c r="AH11" s="294">
        <f>(IF('Section Load'!AI14&gt;0,'Section Load'!AI14,0))</f>
        <v>417.52999999999884</v>
      </c>
      <c r="AI11" s="294">
        <f>(IF('Section Load'!AJ14&gt;0,'Section Load'!AJ14,0))</f>
        <v>485.36000000000058</v>
      </c>
      <c r="AJ11" s="294">
        <f>(IF('Section Load'!AK14&gt;0,'Section Load'!AK14,0))</f>
        <v>328.4800000000032</v>
      </c>
      <c r="AK11" s="294">
        <f>(IF('Section Load'!AL14&gt;0,'Section Load'!AL14,0))</f>
        <v>331.93000000000029</v>
      </c>
      <c r="AL11" s="294">
        <f>(IF('Section Load'!AM14&gt;0,'Section Load'!AM14,0))</f>
        <v>0</v>
      </c>
      <c r="AM11" s="295">
        <f>(IF('Water Report'!$M$7&gt;0,'Water Report'!$M$7,0))</f>
        <v>113</v>
      </c>
      <c r="AN11" s="295">
        <f>(IF('Water Report'!$M$8&gt;0,'Water Report'!$M$8,0))</f>
        <v>165</v>
      </c>
      <c r="AO11" s="295">
        <f>(IF('Water Report'!$M$9&gt;0,'Water Report'!$M$9,0))</f>
        <v>111</v>
      </c>
      <c r="AP11" s="295">
        <f>(IF('Water Report'!$M$10&gt;0,'Water Report'!$M$10,0))</f>
        <v>20</v>
      </c>
      <c r="AQ11" s="295">
        <f>(IF('Water Report'!$M$11&gt;0,'Water Report'!$M$11,0))</f>
        <v>0</v>
      </c>
      <c r="AR11" s="295">
        <f>(IF('Water Report'!$M$13&gt;0,'Water Report'!$M$13,0))</f>
        <v>32</v>
      </c>
      <c r="AS11" s="295">
        <f>(IF('Water Report'!$M$14&gt;0,'Water Report'!$M$14,0))</f>
        <v>8</v>
      </c>
      <c r="AT11" s="295">
        <f>(IF('Water Report'!$M$15&gt;0,'Water Report'!$M$15,0))</f>
        <v>5</v>
      </c>
      <c r="AU11" s="295">
        <f>(IF('Water Report'!$M$17&gt;0,'Water Report'!$M$17,0))</f>
        <v>0</v>
      </c>
      <c r="AV11" s="295">
        <f>(IF('Water Report'!$M$18&gt;0,'Water Report'!$M$18,0))</f>
        <v>16</v>
      </c>
      <c r="AW11" s="295">
        <f>(IF('Water Report'!$M$19&gt;0,'Water Report'!$M$19,0))</f>
        <v>12</v>
      </c>
      <c r="AX11" s="301">
        <f>(IF('Water Report'!$M$21&gt;0,'Water Report'!$M$21,0))</f>
        <v>111</v>
      </c>
      <c r="AY11" s="301">
        <f>(IF('Water Report'!$M$22&gt;0,'Water Report'!$M$22,0))</f>
        <v>0</v>
      </c>
      <c r="AZ11" s="301">
        <f>(IF('Water Report'!$M$23&gt;0,'Water Report'!$M$23,0))</f>
        <v>1</v>
      </c>
      <c r="BA11" s="301">
        <f>(IF('Water Report'!$M$14&gt;0,'Water Report'!$M$14,0))</f>
        <v>8</v>
      </c>
      <c r="BB11" s="301">
        <f>(IF('Water Report'!$M$15&gt;0,'Water Report'!$M$15,0))</f>
        <v>5</v>
      </c>
      <c r="BC11" s="301">
        <f>(IF('Water Report'!$M$13&gt;0,'Water Report'!$M$13,0))</f>
        <v>32</v>
      </c>
      <c r="BD11" s="301">
        <f>(IF('Water Report'!$M$24&gt;0,'Water Report'!$M$24,0))</f>
        <v>220</v>
      </c>
      <c r="BE11" s="301">
        <f>(IF('Water Report'!$M$25&gt;0,'Water Report'!$M$25,0))</f>
        <v>144</v>
      </c>
      <c r="BF11" s="301">
        <f>(IF('Water Report'!$M$27&gt;0,'Water Report'!$M$27,0))</f>
        <v>144</v>
      </c>
      <c r="BG11" s="296">
        <f>(IF('Section Load'!AN14&gt;0,'Section Load'!AN14,0))</f>
        <v>1150.339999999851</v>
      </c>
      <c r="BH11" s="296">
        <f>(IF('Section Load'!AO14&gt;0,'Section Load'!AO14,0))</f>
        <v>365.81999999994878</v>
      </c>
      <c r="BI11" s="296">
        <f>(IF('Section Load'!AP14&gt;0,'Section Load'!AP14,0))</f>
        <v>0</v>
      </c>
      <c r="BJ11" s="296">
        <f>(IF('Section Load'!AQ14&gt;0,'Section Load'!AQ14,0))</f>
        <v>129.50999999998021</v>
      </c>
      <c r="BK11" s="296">
        <f>(IF('Section Load'!AR14&gt;0,'Section Load'!AR14,0))</f>
        <v>48.599999999998545</v>
      </c>
      <c r="BL11" s="296">
        <f>(IF('Section Load'!AS14&gt;0,'Section Load'!AS14,0))</f>
        <v>0</v>
      </c>
      <c r="BM11" s="296">
        <f>(IF('Section Load'!AT14&gt;0,'Section Load'!AT14,0))</f>
        <v>606.40999999992346</v>
      </c>
    </row>
    <row r="12" spans="1:65">
      <c r="A12" s="287" t="s">
        <v>268</v>
      </c>
      <c r="B12" s="288">
        <f t="shared" si="0"/>
        <v>11</v>
      </c>
      <c r="C12" s="288">
        <v>8</v>
      </c>
      <c r="D12" s="288">
        <v>2022</v>
      </c>
      <c r="E12" s="294">
        <f>(IF('Section Load'!F15&gt;0,'Section Load'!F15,0))</f>
        <v>4136.609999999986</v>
      </c>
      <c r="F12" s="294">
        <f>(IF('Section Load'!G15&gt;0,'Section Load'!G15,0))</f>
        <v>1048.2200000000012</v>
      </c>
      <c r="G12" s="294">
        <f>(IF('Section Load'!H15&gt;0,'Section Load'!H15,0))</f>
        <v>2252.8499999999767</v>
      </c>
      <c r="H12" s="294">
        <f>(IF('Section Load'!I15&gt;0,'Section Load'!I15,0))</f>
        <v>4435.5900000000547</v>
      </c>
      <c r="I12" s="294">
        <f>(IF('Section Load'!J15&gt;0,'Section Load'!J15,0))</f>
        <v>6495.5400000000227</v>
      </c>
      <c r="J12" s="294">
        <f>(IF('Section Load'!K15&gt;0,'Section Load'!K15,0))</f>
        <v>2857.429999999993</v>
      </c>
      <c r="K12" s="294">
        <f>(IF('Section Load'!L15&gt;0,'Section Load'!L15,0))</f>
        <v>1073.6699999999837</v>
      </c>
      <c r="L12" s="294">
        <f>(IF('Section Load'!M15&gt;0,'Section Load'!M15,0))</f>
        <v>787.63000000000466</v>
      </c>
      <c r="M12" s="294">
        <f>(IF('Section Load'!N15&gt;0,'Section Load'!N15,0))</f>
        <v>99</v>
      </c>
      <c r="N12" s="294">
        <f>(IF('Section Load'!O15&gt;0,'Section Load'!O15,0))</f>
        <v>170</v>
      </c>
      <c r="O12" s="294">
        <f>(IF('Section Load'!P15&gt;0,'Section Load'!P15,0))</f>
        <v>13.3599999999999</v>
      </c>
      <c r="P12" s="294">
        <f>(IF('Section Load'!Q15&gt;0,'Section Load'!Q15,0))</f>
        <v>199.52999999999884</v>
      </c>
      <c r="Q12" s="294">
        <f>(IF('Section Load'!R15&gt;0,'Section Load'!R15,0))</f>
        <v>86.019999999996799</v>
      </c>
      <c r="R12" s="294">
        <f>(IF('Section Load'!S15&gt;0,'Section Load'!S15,0))</f>
        <v>32.140000000000327</v>
      </c>
      <c r="S12" s="294">
        <f>(IF('Section Load'!T15&gt;0,'Section Load'!T15,0))</f>
        <v>73</v>
      </c>
      <c r="T12" s="294">
        <f>(IF('Section Load'!U15&gt;0,'Section Load'!U15,0))</f>
        <v>230</v>
      </c>
      <c r="U12" s="294">
        <f>(IF('Section Load'!V15&gt;0,'Section Load'!V15,0))</f>
        <v>403.59999999997672</v>
      </c>
      <c r="V12" s="294">
        <f>(IF('Section Load'!W15&gt;0,'Section Load'!W15,0))</f>
        <v>316.56000000005588</v>
      </c>
      <c r="W12" s="294">
        <f>(IF('Section Load'!X15&gt;0,'Section Load'!X15,0))</f>
        <v>28.440000000000509</v>
      </c>
      <c r="X12" s="294">
        <f>(IF('Section Load'!Y15&gt;0,'Section Load'!Y15,0))</f>
        <v>297.68000000000029</v>
      </c>
      <c r="Y12" s="294">
        <f>(IF('Section Load'!Z15&gt;0,'Section Load'!Z15,0))</f>
        <v>328</v>
      </c>
      <c r="Z12" s="294">
        <f>(IF('Section Load'!AA15&gt;0,'Section Load'!AA15,0))</f>
        <v>32.080000000016298</v>
      </c>
      <c r="AA12" s="294">
        <f>(IF('Section Load'!AB15&gt;0,'Section Load'!AB15,0))</f>
        <v>41</v>
      </c>
      <c r="AB12" s="294">
        <f>(IF('Section Load'!AC15&gt;0,'Section Load'!AC15,0))</f>
        <v>0</v>
      </c>
      <c r="AC12" s="294">
        <f>(IF('Section Load'!AD15&gt;0,'Section Load'!AD15,0))</f>
        <v>84</v>
      </c>
      <c r="AD12" s="294">
        <f>(IF('Section Load'!AE15&gt;0,'Section Load'!AE15,0))</f>
        <v>419.83000000000175</v>
      </c>
      <c r="AE12" s="294">
        <f>(IF('Section Load'!AF15&gt;0,'Section Load'!AF15,0))</f>
        <v>249.11000000000058</v>
      </c>
      <c r="AF12" s="294">
        <f>(IF('Section Load'!AG15&gt;0,'Section Load'!AG15,0))</f>
        <v>549.9600000000064</v>
      </c>
      <c r="AG12" s="294">
        <f>(IF('Section Load'!AH15&gt;0,'Section Load'!AH15,0))</f>
        <v>235.02999999999884</v>
      </c>
      <c r="AH12" s="294">
        <f>(IF('Section Load'!AI15&gt;0,'Section Load'!AI15,0))</f>
        <v>395.63999999999942</v>
      </c>
      <c r="AI12" s="294">
        <f>(IF('Section Load'!AJ15&gt;0,'Section Load'!AJ15,0))</f>
        <v>477.54000000000087</v>
      </c>
      <c r="AJ12" s="294">
        <f>(IF('Section Load'!AK15&gt;0,'Section Load'!AK15,0))</f>
        <v>323.2599999999984</v>
      </c>
      <c r="AK12" s="294">
        <f>(IF('Section Load'!AL15&gt;0,'Section Load'!AL15,0))</f>
        <v>329.63999999999942</v>
      </c>
      <c r="AL12" s="294">
        <f>(IF('Section Load'!AM15&gt;0,'Section Load'!AM15,0))</f>
        <v>0</v>
      </c>
      <c r="AM12" s="295">
        <f>(IF('Water Report'!$N$7&gt;0,'Water Report'!$N$7,0))</f>
        <v>96</v>
      </c>
      <c r="AN12" s="295">
        <f>(IF('Water Report'!$N$8&gt;0,'Water Report'!$N$8,0))</f>
        <v>123</v>
      </c>
      <c r="AO12" s="295">
        <f>(IF('Water Report'!$N$9&gt;0,'Water Report'!$N$9,0))</f>
        <v>141</v>
      </c>
      <c r="AP12" s="295">
        <f>(IF('Water Report'!$N$10&gt;0,'Water Report'!$N$10,0))</f>
        <v>18</v>
      </c>
      <c r="AQ12" s="295">
        <f>(IF('Water Report'!$N$11&gt;0,'Water Report'!$N$11,0))</f>
        <v>0</v>
      </c>
      <c r="AR12" s="295">
        <f>(IF('Water Report'!$N$13&gt;0,'Water Report'!$N$13,0))</f>
        <v>32</v>
      </c>
      <c r="AS12" s="295">
        <f>(IF('Water Report'!$N$14&gt;0,'Water Report'!$N$14,0))</f>
        <v>2</v>
      </c>
      <c r="AT12" s="295">
        <f>(IF('Water Report'!$N$15&gt;0,'Water Report'!$N$15,0))</f>
        <v>6</v>
      </c>
      <c r="AU12" s="295">
        <f>(IF('Water Report'!$N$17&gt;0,'Water Report'!$N$17,0))</f>
        <v>0</v>
      </c>
      <c r="AV12" s="295">
        <f>(IF('Water Report'!$N$18&gt;0,'Water Report'!$N$18,0))</f>
        <v>13</v>
      </c>
      <c r="AW12" s="295">
        <f>(IF('Water Report'!$N$19&gt;0,'Water Report'!$N$19,0))</f>
        <v>10</v>
      </c>
      <c r="AX12" s="301">
        <f>(IF('Water Report'!$N$21&gt;0,'Water Report'!$N$21,0))</f>
        <v>96</v>
      </c>
      <c r="AY12" s="301">
        <f>(IF('Water Report'!$N$22&gt;0,'Water Report'!$N$22,0))</f>
        <v>0</v>
      </c>
      <c r="AZ12" s="301">
        <f>(IF('Water Report'!$N$23&gt;0,'Water Report'!$N$23,0))</f>
        <v>0</v>
      </c>
      <c r="BA12" s="301">
        <f>(IF('Water Report'!$N$14&gt;0,'Water Report'!$N$14,0))</f>
        <v>2</v>
      </c>
      <c r="BB12" s="301">
        <f>(IF('Water Report'!$N$15&gt;0,'Water Report'!$N$15,0))</f>
        <v>6</v>
      </c>
      <c r="BC12" s="301">
        <f>(IF('Water Report'!$N$13&gt;0,'Water Report'!$N$13,0))</f>
        <v>32</v>
      </c>
      <c r="BD12" s="301">
        <f>(IF('Water Report'!$N$24&gt;0,'Water Report'!$N$24,0))</f>
        <v>180</v>
      </c>
      <c r="BE12" s="301">
        <f>(IF('Water Report'!$N$25&gt;0,'Water Report'!$N$25,0))</f>
        <v>167</v>
      </c>
      <c r="BF12" s="301">
        <f>(IF('Water Report'!$N$27&gt;0,'Water Report'!$N$27,0))</f>
        <v>128</v>
      </c>
      <c r="BG12" s="296">
        <f>(IF('Section Load'!AN15&gt;0,'Section Load'!AN15,0))</f>
        <v>1023.9199999999255</v>
      </c>
      <c r="BH12" s="296">
        <f>(IF('Section Load'!AO15&gt;0,'Section Load'!AO15,0))</f>
        <v>311.25</v>
      </c>
      <c r="BI12" s="296">
        <f>(IF('Section Load'!AP15&gt;0,'Section Load'!AP15,0))</f>
        <v>0</v>
      </c>
      <c r="BJ12" s="296">
        <f>(IF('Section Load'!AQ15&gt;0,'Section Load'!AQ15,0))</f>
        <v>98.290000000008149</v>
      </c>
      <c r="BK12" s="296">
        <f>(IF('Section Load'!AR15&gt;0,'Section Load'!AR15,0))</f>
        <v>54.599999999998545</v>
      </c>
      <c r="BL12" s="296">
        <f>(IF('Section Load'!AS15&gt;0,'Section Load'!AS15,0))</f>
        <v>0</v>
      </c>
      <c r="BM12" s="296">
        <f>(IF('Section Load'!AT15&gt;0,'Section Load'!AT15,0))</f>
        <v>560.17999999991844</v>
      </c>
    </row>
    <row r="13" spans="1:65">
      <c r="A13" s="287" t="s">
        <v>268</v>
      </c>
      <c r="B13" s="288">
        <f t="shared" si="0"/>
        <v>12</v>
      </c>
      <c r="C13" s="288">
        <v>8</v>
      </c>
      <c r="D13" s="288">
        <v>2022</v>
      </c>
      <c r="E13" s="294">
        <f>(IF('Section Load'!F16&gt;0,'Section Load'!F16,0))</f>
        <v>4164.9500000000116</v>
      </c>
      <c r="F13" s="294">
        <f>(IF('Section Load'!G16&gt;0,'Section Load'!G16,0))</f>
        <v>1061.3099999999977</v>
      </c>
      <c r="G13" s="294">
        <f>(IF('Section Load'!H16&gt;0,'Section Load'!H16,0))</f>
        <v>2208</v>
      </c>
      <c r="H13" s="294">
        <f>(IF('Section Load'!I16&gt;0,'Section Load'!I16,0))</f>
        <v>4490</v>
      </c>
      <c r="I13" s="294">
        <f>(IF('Section Load'!J16&gt;0,'Section Load'!J16,0))</f>
        <v>8888</v>
      </c>
      <c r="J13" s="294">
        <f>(IF('Section Load'!K16&gt;0,'Section Load'!K16,0))</f>
        <v>3298.1199999999953</v>
      </c>
      <c r="K13" s="294">
        <f>(IF('Section Load'!L16&gt;0,'Section Load'!L16,0))</f>
        <v>1389.3499999999767</v>
      </c>
      <c r="L13" s="294">
        <f>(IF('Section Load'!M16&gt;0,'Section Load'!M16,0))</f>
        <v>993</v>
      </c>
      <c r="M13" s="294">
        <f>(IF('Section Load'!N16&gt;0,'Section Load'!N16,0))</f>
        <v>101</v>
      </c>
      <c r="N13" s="294">
        <f>(IF('Section Load'!O16&gt;0,'Section Load'!O16,0))</f>
        <v>172</v>
      </c>
      <c r="O13" s="294">
        <f>(IF('Section Load'!P16&gt;0,'Section Load'!P16,0))</f>
        <v>15.3599999999999</v>
      </c>
      <c r="P13" s="294">
        <f>(IF('Section Load'!Q16&gt;0,'Section Load'!Q16,0))</f>
        <v>201.52999999999884</v>
      </c>
      <c r="Q13" s="294">
        <f>(IF('Section Load'!R16&gt;0,'Section Load'!R16,0))</f>
        <v>88.019999999996799</v>
      </c>
      <c r="R13" s="294">
        <f>(IF('Section Load'!S16&gt;0,'Section Load'!S16,0))</f>
        <v>34.140000000000327</v>
      </c>
      <c r="S13" s="294">
        <f>(IF('Section Load'!T16&gt;0,'Section Load'!T16,0))</f>
        <v>75</v>
      </c>
      <c r="T13" s="294">
        <f>(IF('Section Load'!U16&gt;0,'Section Load'!U16,0))</f>
        <v>232</v>
      </c>
      <c r="U13" s="294">
        <f>(IF('Section Load'!V16&gt;0,'Section Load'!V16,0))</f>
        <v>405.59999999997672</v>
      </c>
      <c r="V13" s="294">
        <f>(IF('Section Load'!W16&gt;0,'Section Load'!W16,0))</f>
        <v>318.56000000005588</v>
      </c>
      <c r="W13" s="294">
        <f>(IF('Section Load'!X16&gt;0,'Section Load'!X16,0))</f>
        <v>30.440000000000509</v>
      </c>
      <c r="X13" s="294">
        <f>(IF('Section Load'!Y16&gt;0,'Section Load'!Y16,0))</f>
        <v>233</v>
      </c>
      <c r="Y13" s="294">
        <f>(IF('Section Load'!Z16&gt;0,'Section Load'!Z16,0))</f>
        <v>330</v>
      </c>
      <c r="Z13" s="294">
        <f>(IF('Section Load'!AA16&gt;0,'Section Load'!AA16,0))</f>
        <v>35.080000000016298</v>
      </c>
      <c r="AA13" s="294">
        <f>(IF('Section Load'!AB16&gt;0,'Section Load'!AB16,0))</f>
        <v>44</v>
      </c>
      <c r="AB13" s="294">
        <f>(IF('Section Load'!AC16&gt;0,'Section Load'!AC16,0))</f>
        <v>9.9999999983992893E-3</v>
      </c>
      <c r="AC13" s="294">
        <f>(IF('Section Load'!AD16&gt;0,'Section Load'!AD16,0))</f>
        <v>90</v>
      </c>
      <c r="AD13" s="294">
        <f>(IF('Section Load'!AE16&gt;0,'Section Load'!AE16,0))</f>
        <v>460</v>
      </c>
      <c r="AE13" s="294">
        <f>(IF('Section Load'!AF16&gt;0,'Section Load'!AF16,0))</f>
        <v>223</v>
      </c>
      <c r="AF13" s="294">
        <f>(IF('Section Load'!AG16&gt;0,'Section Load'!AG16,0))</f>
        <v>623</v>
      </c>
      <c r="AG13" s="294">
        <f>(IF('Section Load'!AH16&gt;0,'Section Load'!AH16,0))</f>
        <v>229</v>
      </c>
      <c r="AH13" s="294">
        <f>(IF('Section Load'!AI16&gt;0,'Section Load'!AI16,0))</f>
        <v>416</v>
      </c>
      <c r="AI13" s="294">
        <f>(IF('Section Load'!AJ16&gt;0,'Section Load'!AJ16,0))</f>
        <v>476</v>
      </c>
      <c r="AJ13" s="294">
        <f>(IF('Section Load'!AK16&gt;0,'Section Load'!AK16,0))</f>
        <v>327</v>
      </c>
      <c r="AK13" s="294">
        <f>(IF('Section Load'!AL16&gt;0,'Section Load'!AL16,0))</f>
        <v>330</v>
      </c>
      <c r="AL13" s="294">
        <f>(IF('Section Load'!AM16&gt;0,'Section Load'!AM16,0))</f>
        <v>0</v>
      </c>
      <c r="AM13" s="295">
        <f>(IF('Water Report'!$O$7&gt;0,'Water Report'!$O$7,0))</f>
        <v>106</v>
      </c>
      <c r="AN13" s="295">
        <f>(IF('Water Report'!$O$8&gt;0,'Water Report'!$O$8,0))</f>
        <v>120</v>
      </c>
      <c r="AO13" s="295">
        <f>(IF('Water Report'!$O$9&gt;0,'Water Report'!$O$9,0))</f>
        <v>63</v>
      </c>
      <c r="AP13" s="295">
        <f>(IF('Water Report'!$O$10&gt;0,'Water Report'!$O$10,0))</f>
        <v>18</v>
      </c>
      <c r="AQ13" s="295">
        <f>(IF('Water Report'!$O$11&gt;0,'Water Report'!$O$11,0))</f>
        <v>0</v>
      </c>
      <c r="AR13" s="295">
        <f>(IF('Water Report'!$O$13&gt;0,'Water Report'!$O$13,0))</f>
        <v>33</v>
      </c>
      <c r="AS13" s="295">
        <f>(IF('Water Report'!$O$14&gt;0,'Water Report'!$O$14,0))</f>
        <v>5</v>
      </c>
      <c r="AT13" s="295">
        <f>(IF('Water Report'!$O$15&gt;0,'Water Report'!$O$15,0))</f>
        <v>0</v>
      </c>
      <c r="AU13" s="295">
        <f>(IF('Water Report'!$O$17&gt;0,'Water Report'!$O$17,0))</f>
        <v>29</v>
      </c>
      <c r="AV13" s="295">
        <f>(IF('Water Report'!$O$18&gt;0,'Water Report'!$O$18,0))</f>
        <v>13</v>
      </c>
      <c r="AW13" s="295">
        <f>(IF('Water Report'!$O$19&gt;0,'Water Report'!$O$19,0))</f>
        <v>10</v>
      </c>
      <c r="AX13" s="301">
        <f>(IF('Water Report'!$O$21&gt;0,'Water Report'!$O$21,0))</f>
        <v>96</v>
      </c>
      <c r="AY13" s="301">
        <f>(IF('Water Report'!$O$22&gt;0,'Water Report'!$O$22,0))</f>
        <v>0</v>
      </c>
      <c r="AZ13" s="301">
        <f>(IF('Water Report'!$O$23&gt;0,'Water Report'!$O$23,0))</f>
        <v>0</v>
      </c>
      <c r="BA13" s="301">
        <f>(IF('Water Report'!$O$14&gt;0,'Water Report'!$O$14,0))</f>
        <v>5</v>
      </c>
      <c r="BB13" s="301">
        <f>(IF('Water Report'!$O$15&gt;0,'Water Report'!$O$15,0))</f>
        <v>0</v>
      </c>
      <c r="BC13" s="301">
        <f>(IF('Water Report'!$O$13&gt;0,'Water Report'!$O$13,0))</f>
        <v>33</v>
      </c>
      <c r="BD13" s="301">
        <f>(IF('Water Report'!$O$24&gt;0,'Water Report'!$O$24,0))</f>
        <v>205</v>
      </c>
      <c r="BE13" s="301">
        <f>(IF('Water Report'!$O$25&gt;0,'Water Report'!$O$25,0))</f>
        <v>0</v>
      </c>
      <c r="BF13" s="301">
        <f>(IF('Water Report'!$O$27&gt;0,'Water Report'!$O$27,0))</f>
        <v>129</v>
      </c>
      <c r="BG13" s="296">
        <f>(IF('Section Load'!AN16&gt;0,'Section Load'!AN16,0))</f>
        <v>1049</v>
      </c>
      <c r="BH13" s="296">
        <f>(IF('Section Load'!AO16&gt;0,'Section Load'!AO16,0))</f>
        <v>313.25</v>
      </c>
      <c r="BI13" s="296">
        <f>(IF('Section Load'!AP16&gt;0,'Section Load'!AP16,0))</f>
        <v>0</v>
      </c>
      <c r="BJ13" s="296">
        <f>(IF('Section Load'!AQ16&gt;0,'Section Load'!AQ16,0))</f>
        <v>102.29000000000815</v>
      </c>
      <c r="BK13" s="296">
        <f>(IF('Section Load'!AR16&gt;0,'Section Load'!AR16,0))</f>
        <v>59.599999999998545</v>
      </c>
      <c r="BL13" s="296">
        <f>(IF('Section Load'!AS16&gt;0,'Section Load'!AS16,0))</f>
        <v>0</v>
      </c>
      <c r="BM13" s="296">
        <f>(IF('Section Load'!AT16&gt;0,'Section Load'!AT16,0))</f>
        <v>574.15999999999622</v>
      </c>
    </row>
    <row r="14" spans="1:65">
      <c r="A14" s="287" t="s">
        <v>268</v>
      </c>
      <c r="B14" s="288">
        <f t="shared" si="0"/>
        <v>13</v>
      </c>
      <c r="C14" s="288">
        <v>8</v>
      </c>
      <c r="D14" s="288">
        <v>2022</v>
      </c>
      <c r="E14" s="294">
        <f>(IF('Section Load'!F17&gt;0,'Section Load'!F17,0))</f>
        <v>4175.7599999999511</v>
      </c>
      <c r="F14" s="294">
        <f>(IF('Section Load'!G17&gt;0,'Section Load'!G17,0))</f>
        <v>1045.9230000000025</v>
      </c>
      <c r="G14" s="294">
        <f>(IF('Section Load'!H17&gt;0,'Section Load'!H17,0))</f>
        <v>2296.9899999999907</v>
      </c>
      <c r="H14" s="294">
        <f>(IF('Section Load'!I17&gt;0,'Section Load'!I17,0))</f>
        <v>4623.9399999999441</v>
      </c>
      <c r="I14" s="294">
        <f>(IF('Section Load'!J17&gt;0,'Section Load'!J17,0))</f>
        <v>7829.4999999999563</v>
      </c>
      <c r="J14" s="294">
        <f>(IF('Section Load'!K17&gt;0,'Section Load'!K17,0))</f>
        <v>3254.25</v>
      </c>
      <c r="K14" s="294">
        <f>(IF('Section Load'!L17&gt;0,'Section Load'!L17,0))</f>
        <v>1081.3800000000047</v>
      </c>
      <c r="L14" s="294">
        <f>(IF('Section Load'!M17&gt;0,'Section Load'!M17,0))</f>
        <v>747.13000000000466</v>
      </c>
      <c r="M14" s="294">
        <f>(IF('Section Load'!N17&gt;0,'Section Load'!N17,0))</f>
        <v>187</v>
      </c>
      <c r="N14" s="294">
        <f>(IF('Section Load'!O17&gt;0,'Section Load'!O17,0))</f>
        <v>120</v>
      </c>
      <c r="O14" s="294">
        <f>(IF('Section Load'!P17&gt;0,'Section Load'!P17,0))</f>
        <v>15.290000000000191</v>
      </c>
      <c r="P14" s="294">
        <f>(IF('Section Load'!Q17&gt;0,'Section Load'!Q17,0))</f>
        <v>212.22000000000116</v>
      </c>
      <c r="Q14" s="294">
        <f>(IF('Section Load'!R17&gt;0,'Section Load'!R17,0))</f>
        <v>68.660000000003492</v>
      </c>
      <c r="R14" s="294">
        <f>(IF('Section Load'!S17&gt;0,'Section Load'!S17,0))</f>
        <v>22.259999999999309</v>
      </c>
      <c r="S14" s="294">
        <f>(IF('Section Load'!T17&gt;0,'Section Load'!T17,0))</f>
        <v>85</v>
      </c>
      <c r="T14" s="294">
        <f>(IF('Section Load'!U17&gt;0,'Section Load'!U17,0))</f>
        <v>215</v>
      </c>
      <c r="U14" s="294">
        <f>(IF('Section Load'!V17&gt;0,'Section Load'!V17,0))</f>
        <v>369.52000000001863</v>
      </c>
      <c r="V14" s="294">
        <f>(IF('Section Load'!W17&gt;0,'Section Load'!W17,0))</f>
        <v>286.07999999995809</v>
      </c>
      <c r="W14" s="294">
        <f>(IF('Section Load'!X17&gt;0,'Section Load'!X17,0))</f>
        <v>20.949999999998909</v>
      </c>
      <c r="X14" s="294">
        <f>(IF('Section Load'!Y17&gt;0,'Section Load'!Y17,0))</f>
        <v>235.34999999999854</v>
      </c>
      <c r="Y14" s="294">
        <f>(IF('Section Load'!Z17&gt;0,'Section Load'!Z17,0))</f>
        <v>330</v>
      </c>
      <c r="Z14" s="294">
        <f>(IF('Section Load'!AA17&gt;0,'Section Load'!AA17,0))</f>
        <v>46.599999999976717</v>
      </c>
      <c r="AA14" s="294">
        <f>(IF('Section Load'!AB17&gt;0,'Section Load'!AB17,0))</f>
        <v>11.600000000005821</v>
      </c>
      <c r="AB14" s="294">
        <f>(IF('Section Load'!AC17&gt;0,'Section Load'!AC17,0))</f>
        <v>0</v>
      </c>
      <c r="AC14" s="294">
        <f>(IF('Section Load'!AD17&gt;0,'Section Load'!AD17,0))</f>
        <v>189.69999999999982</v>
      </c>
      <c r="AD14" s="294">
        <f>(IF('Section Load'!AE17&gt;0,'Section Load'!AE17,0))</f>
        <v>497.89999999999418</v>
      </c>
      <c r="AE14" s="294">
        <f>(IF('Section Load'!AF17&gt;0,'Section Load'!AF17,0))</f>
        <v>291.16000000000349</v>
      </c>
      <c r="AF14" s="294">
        <f>(IF('Section Load'!AG17&gt;0,'Section Load'!AG17,0))</f>
        <v>620</v>
      </c>
      <c r="AG14" s="294">
        <f>(IF('Section Load'!AH17&gt;0,'Section Load'!AH17,0))</f>
        <v>241.5</v>
      </c>
      <c r="AH14" s="294">
        <f>(IF('Section Load'!AI17&gt;0,'Section Load'!AI17,0))</f>
        <v>435.30000000000291</v>
      </c>
      <c r="AI14" s="294">
        <f>(IF('Section Load'!AJ17&gt;0,'Section Load'!AJ17,0))</f>
        <v>474.5</v>
      </c>
      <c r="AJ14" s="294">
        <f>(IF('Section Load'!AK17&gt;0,'Section Load'!AK17,0))</f>
        <v>342.11999999999898</v>
      </c>
      <c r="AK14" s="294">
        <f>(IF('Section Load'!AL17&gt;0,'Section Load'!AL17,0))</f>
        <v>331.11000000000058</v>
      </c>
      <c r="AL14" s="294">
        <f>(IF('Section Load'!AM17&gt;0,'Section Load'!AM17,0))</f>
        <v>2509.0799999999872</v>
      </c>
      <c r="AM14" s="295">
        <f>(IF('Water Report'!$P$7&gt;0,'Water Report'!$P$7,0))</f>
        <v>117</v>
      </c>
      <c r="AN14" s="295">
        <f>(IF('Water Report'!$P$8&gt;0,'Water Report'!$P$8,0))</f>
        <v>135</v>
      </c>
      <c r="AO14" s="295">
        <f>(IF('Water Report'!$P$9&gt;0,'Water Report'!$P$9,0))</f>
        <v>117</v>
      </c>
      <c r="AP14" s="295">
        <f>(IF('Water Report'!$P$10&gt;0,'Water Report'!$P$10,0))</f>
        <v>29</v>
      </c>
      <c r="AQ14" s="295">
        <f>(IF('Water Report'!$P$11&gt;0,'Water Report'!$P$11,0))</f>
        <v>172</v>
      </c>
      <c r="AR14" s="295">
        <f>(IF('Water Report'!$P$13&gt;0,'Water Report'!$P$13,0))</f>
        <v>29</v>
      </c>
      <c r="AS14" s="295">
        <f>(IF('Water Report'!$P$14&gt;0,'Water Report'!$P$14,0))</f>
        <v>6</v>
      </c>
      <c r="AT14" s="295">
        <f>(IF('Water Report'!$P$15&gt;0,'Water Report'!$P$15,0))</f>
        <v>331</v>
      </c>
      <c r="AU14" s="295">
        <f>(IF('Water Report'!$P$17&gt;0,'Water Report'!$P$17,0))</f>
        <v>0</v>
      </c>
      <c r="AV14" s="295">
        <f>(IF('Water Report'!$P$18&gt;0,'Water Report'!$P$18,0))</f>
        <v>13</v>
      </c>
      <c r="AW14" s="295">
        <f>(IF('Water Report'!$P$19&gt;0,'Water Report'!$P$19,0))</f>
        <v>10</v>
      </c>
      <c r="AX14" s="301">
        <f>(IF('Water Report'!$P$21&gt;0,'Water Report'!$P$21,0))</f>
        <v>53</v>
      </c>
      <c r="AY14" s="301">
        <f>(IF('Water Report'!$P$22&gt;0,'Water Report'!$P$22,0))</f>
        <v>0</v>
      </c>
      <c r="AZ14" s="301">
        <f>(IF('Water Report'!$P$23&gt;0,'Water Report'!$P$23,0))</f>
        <v>0</v>
      </c>
      <c r="BA14" s="301">
        <f>(IF('Water Report'!$P$14&gt;0,'Water Report'!$P$14,0))</f>
        <v>6</v>
      </c>
      <c r="BB14" s="301">
        <f>(IF('Water Report'!$P$15&gt;0,'Water Report'!$P$15,0))</f>
        <v>331</v>
      </c>
      <c r="BC14" s="301">
        <f>(IF('Water Report'!$P$13&gt;0,'Water Report'!$P$13,0))</f>
        <v>29</v>
      </c>
      <c r="BD14" s="301">
        <f>(IF('Water Report'!$P$24&gt;0,'Water Report'!$P$24,0))</f>
        <v>210</v>
      </c>
      <c r="BE14" s="301">
        <f>(IF('Water Report'!$P$25&gt;0,'Water Report'!$P$25,0))</f>
        <v>655</v>
      </c>
      <c r="BF14" s="301">
        <f>(IF('Water Report'!$P$27&gt;0,'Water Report'!$P$27,0))</f>
        <v>82</v>
      </c>
      <c r="BG14" s="296">
        <f>(IF('Section Load'!AN17&gt;0,'Section Load'!AN17,0))</f>
        <v>1094.0789999999106</v>
      </c>
      <c r="BH14" s="296">
        <f>(IF('Section Load'!AO17&gt;0,'Section Load'!AO17,0))</f>
        <v>339.75</v>
      </c>
      <c r="BI14" s="296">
        <f>(IF('Section Load'!AP17&gt;0,'Section Load'!AP17,0))</f>
        <v>0.30000000000291038</v>
      </c>
      <c r="BJ14" s="296">
        <f>(IF('Section Load'!AQ17&gt;0,'Section Load'!AQ17,0))</f>
        <v>150.72999999998137</v>
      </c>
      <c r="BK14" s="296">
        <f>(IF('Section Load'!AR17&gt;0,'Section Load'!AR17,0))</f>
        <v>49.700000000004366</v>
      </c>
      <c r="BL14" s="296">
        <f>(IF('Section Load'!AS17&gt;0,'Section Load'!AS17,0))</f>
        <v>0</v>
      </c>
      <c r="BM14" s="296">
        <f>(IF('Section Load'!AT17&gt;0,'Section Load'!AT17,0))</f>
        <v>553.59899999992194</v>
      </c>
    </row>
    <row r="15" spans="1:65">
      <c r="A15" s="287" t="s">
        <v>268</v>
      </c>
      <c r="B15" s="288">
        <f t="shared" si="0"/>
        <v>14</v>
      </c>
      <c r="C15" s="288">
        <v>8</v>
      </c>
      <c r="D15" s="288">
        <v>2022</v>
      </c>
      <c r="E15" s="294">
        <f>(IF('Section Load'!F18&gt;0,'Section Load'!F18,0))</f>
        <v>4182.2400000000489</v>
      </c>
      <c r="F15" s="294">
        <f>(IF('Section Load'!G18&gt;0,'Section Load'!G18,0))</f>
        <v>989.76699999999983</v>
      </c>
      <c r="G15" s="294">
        <f>(IF('Section Load'!H18&gt;0,'Section Load'!H18,0))</f>
        <v>2243.2500000000091</v>
      </c>
      <c r="H15" s="294">
        <f>(IF('Section Load'!I18&gt;0,'Section Load'!I18,0))</f>
        <v>4402.0600000000559</v>
      </c>
      <c r="I15" s="294">
        <f>(IF('Section Load'!J18&gt;0,'Section Load'!J18,0))</f>
        <v>7121.3500000000495</v>
      </c>
      <c r="J15" s="294">
        <f>(IF('Section Load'!K18&gt;0,'Section Load'!K18,0))</f>
        <v>3090.6300000000047</v>
      </c>
      <c r="K15" s="294">
        <f>(IF('Section Load'!L18&gt;0,'Section Load'!L18,0))</f>
        <v>1137.2700000000186</v>
      </c>
      <c r="L15" s="294">
        <f>(IF('Section Load'!M18&gt;0,'Section Load'!M18,0))</f>
        <v>666.86999999999534</v>
      </c>
      <c r="M15" s="294">
        <f>(IF('Section Load'!N18&gt;0,'Section Load'!N18,0))</f>
        <v>172</v>
      </c>
      <c r="N15" s="294">
        <f>(IF('Section Load'!O18&gt;0,'Section Load'!O18,0))</f>
        <v>140</v>
      </c>
      <c r="O15" s="294">
        <f>(IF('Section Load'!P18&gt;0,'Section Load'!P18,0))</f>
        <v>13.349999999999909</v>
      </c>
      <c r="P15" s="294">
        <f>(IF('Section Load'!Q18&gt;0,'Section Load'!Q18,0))</f>
        <v>195.25</v>
      </c>
      <c r="Q15" s="294">
        <f>(IF('Section Load'!R18&gt;0,'Section Load'!R18,0))</f>
        <v>90.319999999999709</v>
      </c>
      <c r="R15" s="294">
        <f>(IF('Section Load'!S18&gt;0,'Section Load'!S18,0))</f>
        <v>28.600000000000364</v>
      </c>
      <c r="S15" s="294">
        <f>(IF('Section Load'!T18&gt;0,'Section Load'!T18,0))</f>
        <v>81</v>
      </c>
      <c r="T15" s="294">
        <f>(IF('Section Load'!U18&gt;0,'Section Load'!U18,0))</f>
        <v>212</v>
      </c>
      <c r="U15" s="294">
        <f>(IF('Section Load'!V18&gt;0,'Section Load'!V18,0))</f>
        <v>412.88000000000466</v>
      </c>
      <c r="V15" s="294">
        <f>(IF('Section Load'!W18&gt;0,'Section Load'!W18,0))</f>
        <v>259.35999999998603</v>
      </c>
      <c r="W15" s="294">
        <f>(IF('Section Load'!X18&gt;0,'Section Load'!X18,0))</f>
        <v>22.610000000000582</v>
      </c>
      <c r="X15" s="294">
        <f>(IF('Section Load'!Y18&gt;0,'Section Load'!Y18,0))</f>
        <v>244.65000000000146</v>
      </c>
      <c r="Y15" s="294">
        <f>(IF('Section Load'!Z18&gt;0,'Section Load'!Z18,0))</f>
        <v>119</v>
      </c>
      <c r="Z15" s="294">
        <f>(IF('Section Load'!AA18&gt;0,'Section Load'!AA18,0))</f>
        <v>49.320000000006985</v>
      </c>
      <c r="AA15" s="294">
        <f>(IF('Section Load'!AB18&gt;0,'Section Load'!AB18,0))</f>
        <v>17.399999999994179</v>
      </c>
      <c r="AB15" s="294">
        <f>(IF('Section Load'!AC18&gt;0,'Section Load'!AC18,0))</f>
        <v>0</v>
      </c>
      <c r="AC15" s="294">
        <f>(IF('Section Load'!AD18&gt;0,'Section Load'!AD18,0))</f>
        <v>100.30000000000018</v>
      </c>
      <c r="AD15" s="294">
        <f>(IF('Section Load'!AE18&gt;0,'Section Load'!AE18,0))</f>
        <v>593.10000000000582</v>
      </c>
      <c r="AE15" s="294">
        <f>(IF('Section Load'!AF18&gt;0,'Section Load'!AF18,0))</f>
        <v>259.83999999999651</v>
      </c>
      <c r="AF15" s="294">
        <f>(IF('Section Load'!AG18&gt;0,'Section Load'!AG18,0))</f>
        <v>526</v>
      </c>
      <c r="AG15" s="294">
        <f>(IF('Section Load'!AH18&gt;0,'Section Load'!AH18,0))</f>
        <v>224.5</v>
      </c>
      <c r="AH15" s="294">
        <f>(IF('Section Load'!AI18&gt;0,'Section Load'!AI18,0))</f>
        <v>409.69999999999709</v>
      </c>
      <c r="AI15" s="294">
        <f>(IF('Section Load'!AJ18&gt;0,'Section Load'!AJ18,0))</f>
        <v>462.5</v>
      </c>
      <c r="AJ15" s="294">
        <f>(IF('Section Load'!AK18&gt;0,'Section Load'!AK18,0))</f>
        <v>313.88000000000102</v>
      </c>
      <c r="AK15" s="294">
        <f>(IF('Section Load'!AL18&gt;0,'Section Load'!AL18,0))</f>
        <v>294.88999999999942</v>
      </c>
      <c r="AL15" s="294">
        <f>(IF('Section Load'!AM18&gt;0,'Section Load'!AM18,0))</f>
        <v>1018.3500000000058</v>
      </c>
      <c r="AM15" s="295">
        <f>(IF('Water Report'!$Q$7&gt;0,'Water Report'!$Q$7,0))</f>
        <v>125</v>
      </c>
      <c r="AN15" s="295">
        <f>(IF('Water Report'!$Q$8&gt;0,'Water Report'!$Q$8,0))</f>
        <v>139</v>
      </c>
      <c r="AO15" s="295">
        <f>(IF('Water Report'!$Q$9&gt;0,'Water Report'!$Q$9,0))</f>
        <v>97</v>
      </c>
      <c r="AP15" s="295">
        <f>(IF('Water Report'!$Q$10&gt;0,'Water Report'!$Q$10,0))</f>
        <v>24</v>
      </c>
      <c r="AQ15" s="295">
        <f>(IF('Water Report'!$Q$11&gt;0,'Water Report'!$Q$11,0))</f>
        <v>0</v>
      </c>
      <c r="AR15" s="295">
        <f>(IF('Water Report'!$Q$13&gt;0,'Water Report'!$Q$13,0))</f>
        <v>37</v>
      </c>
      <c r="AS15" s="295">
        <f>(IF('Water Report'!$Q$14&gt;0,'Water Report'!$Q$14,0))</f>
        <v>5</v>
      </c>
      <c r="AT15" s="295">
        <f>(IF('Water Report'!$Q$15&gt;0,'Water Report'!$Q$15,0))</f>
        <v>8</v>
      </c>
      <c r="AU15" s="295">
        <f>(IF('Water Report'!$Q$17&gt;0,'Water Report'!$Q$17,0))</f>
        <v>0</v>
      </c>
      <c r="AV15" s="295">
        <f>(IF('Water Report'!$Q$18&gt;0,'Water Report'!$Q$18,0))</f>
        <v>12</v>
      </c>
      <c r="AW15" s="295">
        <f>(IF('Water Report'!$Q$19&gt;0,'Water Report'!$Q$19,0))</f>
        <v>14</v>
      </c>
      <c r="AX15" s="301">
        <f>(IF('Water Report'!$Q$21&gt;0,'Water Report'!$Q$21,0))</f>
        <v>76</v>
      </c>
      <c r="AY15" s="301">
        <f>(IF('Water Report'!$Q$22&gt;0,'Water Report'!$Q$22,0))</f>
        <v>0</v>
      </c>
      <c r="AZ15" s="301">
        <f>(IF('Water Report'!$Q$23&gt;0,'Water Report'!$Q$23,0))</f>
        <v>0</v>
      </c>
      <c r="BA15" s="301">
        <f>(IF('Water Report'!$Q$14&gt;0,'Water Report'!$Q$14,0))</f>
        <v>5</v>
      </c>
      <c r="BB15" s="301">
        <f>(IF('Water Report'!$Q$15&gt;0,'Water Report'!$Q$15,0))</f>
        <v>8</v>
      </c>
      <c r="BC15" s="301">
        <f>(IF('Water Report'!$Q$13&gt;0,'Water Report'!$Q$13,0))</f>
        <v>37</v>
      </c>
      <c r="BD15" s="301">
        <f>(IF('Water Report'!$Q$24&gt;0,'Water Report'!$Q$24,0))</f>
        <v>248</v>
      </c>
      <c r="BE15" s="301">
        <f>(IF('Water Report'!$Q$25&gt;0,'Water Report'!$Q$25,0))</f>
        <v>134</v>
      </c>
      <c r="BF15" s="301">
        <f>(IF('Water Report'!$Q$27&gt;0,'Water Report'!$Q$27,0))</f>
        <v>113</v>
      </c>
      <c r="BG15" s="296">
        <f>(IF('Section Load'!AN18&gt;0,'Section Load'!AN18,0))</f>
        <v>1061.9210000000894</v>
      </c>
      <c r="BH15" s="296">
        <f>(IF('Section Load'!AO18&gt;0,'Section Load'!AO18,0))</f>
        <v>329</v>
      </c>
      <c r="BI15" s="296">
        <f>(IF('Section Load'!AP18&gt;0,'Section Load'!AP18,0))</f>
        <v>0</v>
      </c>
      <c r="BJ15" s="296">
        <f>(IF('Section Load'!AQ18&gt;0,'Section Load'!AQ18,0))</f>
        <v>119.98000000001048</v>
      </c>
      <c r="BK15" s="296">
        <f>(IF('Section Load'!AR18&gt;0,'Section Load'!AR18,0))</f>
        <v>54.69999999999709</v>
      </c>
      <c r="BL15" s="296">
        <f>(IF('Section Load'!AS18&gt;0,'Section Load'!AS18,0))</f>
        <v>0</v>
      </c>
      <c r="BM15" s="296">
        <f>(IF('Section Load'!AT18&gt;0,'Section Load'!AT18,0))</f>
        <v>558.24100000008184</v>
      </c>
    </row>
    <row r="16" spans="1:65">
      <c r="A16" s="287" t="s">
        <v>268</v>
      </c>
      <c r="B16" s="288">
        <f t="shared" si="0"/>
        <v>15</v>
      </c>
      <c r="C16" s="288">
        <v>8</v>
      </c>
      <c r="D16" s="288">
        <v>2022</v>
      </c>
      <c r="E16" s="294">
        <f>(IF('Section Load'!F19&gt;0,'Section Load'!F19,0))</f>
        <v>3876.0499999999884</v>
      </c>
      <c r="F16" s="294">
        <f>(IF('Section Load'!G19&gt;0,'Section Load'!G19,0))</f>
        <v>963.30999999999767</v>
      </c>
      <c r="G16" s="294">
        <f>(IF('Section Load'!H19&gt;0,'Section Load'!H19,0))</f>
        <v>2238</v>
      </c>
      <c r="H16" s="294">
        <f>(IF('Section Load'!I19&gt;0,'Section Load'!I19,0))</f>
        <v>4430</v>
      </c>
      <c r="I16" s="294">
        <f>(IF('Section Load'!J19&gt;0,'Section Load'!J19,0))</f>
        <v>4094.1499999999942</v>
      </c>
      <c r="J16" s="294">
        <f>(IF('Section Load'!K19&gt;0,'Section Load'!K19,0))</f>
        <v>3052</v>
      </c>
      <c r="K16" s="294">
        <f>(IF('Section Load'!L19&gt;0,'Section Load'!L19,0))</f>
        <v>1089</v>
      </c>
      <c r="L16" s="294">
        <f>(IF('Section Load'!M19&gt;0,'Section Load'!M19,0))</f>
        <v>671</v>
      </c>
      <c r="M16" s="294">
        <f>(IF('Section Load'!N19&gt;0,'Section Load'!N19,0))</f>
        <v>133</v>
      </c>
      <c r="N16" s="294">
        <f>(IF('Section Load'!O19&gt;0,'Section Load'!O19,0))</f>
        <v>139</v>
      </c>
      <c r="O16" s="294">
        <f>(IF('Section Load'!P19&gt;0,'Section Load'!P19,0))</f>
        <v>8</v>
      </c>
      <c r="P16" s="294">
        <f>(IF('Section Load'!Q19&gt;0,'Section Load'!Q19,0))</f>
        <v>203</v>
      </c>
      <c r="Q16" s="294">
        <f>(IF('Section Load'!R19&gt;0,'Section Load'!R19,0))</f>
        <v>89</v>
      </c>
      <c r="R16" s="294">
        <f>(IF('Section Load'!S19&gt;0,'Section Load'!S19,0))</f>
        <v>29</v>
      </c>
      <c r="S16" s="294">
        <f>(IF('Section Load'!T19&gt;0,'Section Load'!T19,0))</f>
        <v>0</v>
      </c>
      <c r="T16" s="294">
        <f>(IF('Section Load'!U19&gt;0,'Section Load'!U19,0))</f>
        <v>230</v>
      </c>
      <c r="U16" s="294">
        <f>(IF('Section Load'!V19&gt;0,'Section Load'!V19,0))</f>
        <v>360</v>
      </c>
      <c r="V16" s="294">
        <f>(IF('Section Load'!W19&gt;0,'Section Load'!W19,0))</f>
        <v>244</v>
      </c>
      <c r="W16" s="294">
        <f>(IF('Section Load'!X19&gt;0,'Section Load'!X19,0))</f>
        <v>22</v>
      </c>
      <c r="X16" s="294">
        <f>(IF('Section Load'!Y19&gt;0,'Section Load'!Y19,0))</f>
        <v>285</v>
      </c>
      <c r="Y16" s="294">
        <f>(IF('Section Load'!Z19&gt;0,'Section Load'!Z19,0))</f>
        <v>223</v>
      </c>
      <c r="Z16" s="294">
        <f>(IF('Section Load'!AA19&gt;0,'Section Load'!AA19,0))</f>
        <v>25</v>
      </c>
      <c r="AA16" s="294">
        <f>(IF('Section Load'!AB19&gt;0,'Section Load'!AB19,0))</f>
        <v>18</v>
      </c>
      <c r="AB16" s="294">
        <f>(IF('Section Load'!AC19&gt;0,'Section Load'!AC19,0))</f>
        <v>0</v>
      </c>
      <c r="AC16" s="294">
        <f>(IF('Section Load'!AD19&gt;0,'Section Load'!AD19,0))</f>
        <v>102</v>
      </c>
      <c r="AD16" s="294">
        <f>(IF('Section Load'!AE19&gt;0,'Section Load'!AE19,0))</f>
        <v>523</v>
      </c>
      <c r="AE16" s="294">
        <f>(IF('Section Load'!AF19&gt;0,'Section Load'!AF19,0))</f>
        <v>276</v>
      </c>
      <c r="AF16" s="294">
        <f>(IF('Section Load'!AG19&gt;0,'Section Load'!AG19,0))</f>
        <v>532</v>
      </c>
      <c r="AG16" s="294">
        <f>(IF('Section Load'!AH19&gt;0,'Section Load'!AH19,0))</f>
        <v>228</v>
      </c>
      <c r="AH16" s="294">
        <f>(IF('Section Load'!AI19&gt;0,'Section Load'!AI19,0))</f>
        <v>412</v>
      </c>
      <c r="AI16" s="294">
        <f>(IF('Section Load'!AJ19&gt;0,'Section Load'!AJ19,0))</f>
        <v>463</v>
      </c>
      <c r="AJ16" s="294">
        <f>(IF('Section Load'!AK19&gt;0,'Section Load'!AK19,0))</f>
        <v>335</v>
      </c>
      <c r="AK16" s="294">
        <f>(IF('Section Load'!AL19&gt;0,'Section Load'!AL19,0))</f>
        <v>329</v>
      </c>
      <c r="AL16" s="294">
        <f>(IF('Section Load'!AM19&gt;0,'Section Load'!AM19,0))</f>
        <v>938</v>
      </c>
      <c r="AM16" s="295">
        <f>(IF('Water Report'!$R$7&gt;0,'Water Report'!$R$7,0))</f>
        <v>111</v>
      </c>
      <c r="AN16" s="295">
        <f>(IF('Water Report'!$R$8&gt;0,'Water Report'!$R$8,0))</f>
        <v>108</v>
      </c>
      <c r="AO16" s="295">
        <f>(IF('Water Report'!$R$9&gt;0,'Water Report'!$R$9,0))</f>
        <v>83</v>
      </c>
      <c r="AP16" s="295">
        <f>(IF('Water Report'!$R$10&gt;0,'Water Report'!$R$10,0))</f>
        <v>25</v>
      </c>
      <c r="AQ16" s="295">
        <f>(IF('Water Report'!$R$11&gt;0,'Water Report'!$R$11,0))</f>
        <v>0</v>
      </c>
      <c r="AR16" s="295">
        <f>(IF('Water Report'!$R$13&gt;0,'Water Report'!$R$13,0))</f>
        <v>29</v>
      </c>
      <c r="AS16" s="295">
        <f>(IF('Water Report'!$R$14&gt;0,'Water Report'!$R$14,0))</f>
        <v>6</v>
      </c>
      <c r="AT16" s="295">
        <f>(IF('Water Report'!$R$15&gt;0,'Water Report'!$R$15,0))</f>
        <v>20</v>
      </c>
      <c r="AU16" s="295">
        <f>(IF('Water Report'!$R$17&gt;0,'Water Report'!$R$17,0))</f>
        <v>0</v>
      </c>
      <c r="AV16" s="295">
        <f>(IF('Water Report'!$R$18&gt;0,'Water Report'!$R$18,0))</f>
        <v>13</v>
      </c>
      <c r="AW16" s="295">
        <f>(IF('Water Report'!$R$19&gt;0,'Water Report'!$R$19,0))</f>
        <v>11</v>
      </c>
      <c r="AX16" s="301">
        <f>(IF('Water Report'!$R$21&gt;0,'Water Report'!$R$21,0))</f>
        <v>58</v>
      </c>
      <c r="AY16" s="301">
        <f>(IF('Water Report'!$R$22&gt;0,'Water Report'!$R$22,0))</f>
        <v>0</v>
      </c>
      <c r="AZ16" s="301">
        <f>(IF('Water Report'!$R$23&gt;0,'Water Report'!$R$23,0))</f>
        <v>3</v>
      </c>
      <c r="BA16" s="301">
        <f>(IF('Water Report'!$R$14&gt;0,'Water Report'!$R$14,0))</f>
        <v>6</v>
      </c>
      <c r="BB16" s="301">
        <f>(IF('Water Report'!$R$15&gt;0,'Water Report'!$R$15,0))</f>
        <v>20</v>
      </c>
      <c r="BC16" s="301">
        <f>(IF('Water Report'!$R$13&gt;0,'Water Report'!$R$13,0))</f>
        <v>29</v>
      </c>
      <c r="BD16" s="301">
        <f>(IF('Water Report'!$R$24&gt;0,'Water Report'!$R$24,0))</f>
        <v>300</v>
      </c>
      <c r="BE16" s="301">
        <f>(IF('Water Report'!$R$25&gt;0,'Water Report'!$R$25,0))</f>
        <v>134</v>
      </c>
      <c r="BF16" s="301">
        <f>(IF('Water Report'!$R$27&gt;0,'Water Report'!$R$27,0))</f>
        <v>90</v>
      </c>
      <c r="BG16" s="296">
        <f>(IF('Section Load'!AN19&gt;0,'Section Load'!AN19,0))</f>
        <v>1067</v>
      </c>
      <c r="BH16" s="296">
        <f>(IF('Section Load'!AO19&gt;0,'Section Load'!AO19,0))</f>
        <v>331</v>
      </c>
      <c r="BI16" s="296">
        <f>(IF('Section Load'!AP19&gt;0,'Section Load'!AP19,0))</f>
        <v>0</v>
      </c>
      <c r="BJ16" s="296">
        <f>(IF('Section Load'!AQ19&gt;0,'Section Load'!AQ19,0))</f>
        <v>104</v>
      </c>
      <c r="BK16" s="296">
        <f>(IF('Section Load'!AR19&gt;0,'Section Load'!AR19,0))</f>
        <v>54</v>
      </c>
      <c r="BL16" s="296">
        <f>(IF('Section Load'!AS19&gt;0,'Section Load'!AS19,0))</f>
        <v>0</v>
      </c>
      <c r="BM16" s="296">
        <f>(IF('Section Load'!AT19&gt;0,'Section Load'!AT19,0))</f>
        <v>578</v>
      </c>
    </row>
    <row r="17" spans="1:65">
      <c r="A17" s="287" t="s">
        <v>268</v>
      </c>
      <c r="B17" s="288">
        <f t="shared" si="0"/>
        <v>16</v>
      </c>
      <c r="C17" s="288">
        <v>8</v>
      </c>
      <c r="D17" s="288">
        <v>2022</v>
      </c>
      <c r="E17" s="294">
        <f>(IF('Section Load'!F20&gt;0,'Section Load'!F20,0))</f>
        <v>3791</v>
      </c>
      <c r="F17" s="294">
        <f>(IF('Section Load'!G20&gt;0,'Section Load'!G20,0))</f>
        <v>1026</v>
      </c>
      <c r="G17" s="294">
        <f>(IF('Section Load'!H20&gt;0,'Section Load'!H20,0))</f>
        <v>2245</v>
      </c>
      <c r="H17" s="294">
        <f>(IF('Section Load'!I20&gt;0,'Section Load'!I20,0))</f>
        <v>4282</v>
      </c>
      <c r="I17" s="294">
        <f>(IF('Section Load'!J20&gt;0,'Section Load'!J20,0))</f>
        <v>7177</v>
      </c>
      <c r="J17" s="294">
        <f>(IF('Section Load'!K20&gt;0,'Section Load'!K20,0))</f>
        <v>3335</v>
      </c>
      <c r="K17" s="294">
        <f>(IF('Section Load'!L20&gt;0,'Section Load'!L20,0))</f>
        <v>1867</v>
      </c>
      <c r="L17" s="294">
        <f>(IF('Section Load'!M20&gt;0,'Section Load'!M20,0))</f>
        <v>1151</v>
      </c>
      <c r="M17" s="294">
        <f>(IF('Section Load'!N20&gt;0,'Section Load'!N20,0))</f>
        <v>139</v>
      </c>
      <c r="N17" s="294">
        <f>(IF('Section Load'!O20&gt;0,'Section Load'!O20,0))</f>
        <v>167</v>
      </c>
      <c r="O17" s="294">
        <f>(IF('Section Load'!P20&gt;0,'Section Load'!P20,0))</f>
        <v>15</v>
      </c>
      <c r="P17" s="294">
        <f>(IF('Section Load'!Q20&gt;0,'Section Load'!Q20,0))</f>
        <v>220</v>
      </c>
      <c r="Q17" s="294">
        <f>(IF('Section Load'!R20&gt;0,'Section Load'!R20,0))</f>
        <v>86</v>
      </c>
      <c r="R17" s="294">
        <f>(IF('Section Load'!S20&gt;0,'Section Load'!S20,0))</f>
        <v>34</v>
      </c>
      <c r="S17" s="294">
        <f>(IF('Section Load'!T20&gt;0,'Section Load'!T20,0))</f>
        <v>147</v>
      </c>
      <c r="T17" s="294">
        <f>(IF('Section Load'!U20&gt;0,'Section Load'!U20,0))</f>
        <v>219</v>
      </c>
      <c r="U17" s="294">
        <f>(IF('Section Load'!V20&gt;0,'Section Load'!V20,0))</f>
        <v>388</v>
      </c>
      <c r="V17" s="294">
        <f>(IF('Section Load'!W20&gt;0,'Section Load'!W20,0))</f>
        <v>373</v>
      </c>
      <c r="W17" s="294">
        <f>(IF('Section Load'!X20&gt;0,'Section Load'!X20,0))</f>
        <v>26</v>
      </c>
      <c r="X17" s="294">
        <f>(IF('Section Load'!Y20&gt;0,'Section Load'!Y20,0))</f>
        <v>276</v>
      </c>
      <c r="Y17" s="294">
        <f>(IF('Section Load'!Z20&gt;0,'Section Load'!Z20,0))</f>
        <v>258</v>
      </c>
      <c r="Z17" s="294">
        <f>(IF('Section Load'!AA20&gt;0,'Section Load'!AA20,0))</f>
        <v>263</v>
      </c>
      <c r="AA17" s="294">
        <f>(IF('Section Load'!AB20&gt;0,'Section Load'!AB20,0))</f>
        <v>40</v>
      </c>
      <c r="AB17" s="294">
        <f>(IF('Section Load'!AC20&gt;0,'Section Load'!AC20,0))</f>
        <v>0</v>
      </c>
      <c r="AC17" s="294">
        <f>(IF('Section Load'!AD20&gt;0,'Section Load'!AD20,0))</f>
        <v>82</v>
      </c>
      <c r="AD17" s="294">
        <f>(IF('Section Load'!AE20&gt;0,'Section Load'!AE20,0))</f>
        <v>353</v>
      </c>
      <c r="AE17" s="294">
        <f>(IF('Section Load'!AF20&gt;0,'Section Load'!AF20,0))</f>
        <v>218</v>
      </c>
      <c r="AF17" s="294">
        <f>(IF('Section Load'!AG20&gt;0,'Section Load'!AG20,0))</f>
        <v>527</v>
      </c>
      <c r="AG17" s="294">
        <f>(IF('Section Load'!AH20&gt;0,'Section Load'!AH20,0))</f>
        <v>243</v>
      </c>
      <c r="AH17" s="294">
        <f>(IF('Section Load'!AI20&gt;0,'Section Load'!AI20,0))</f>
        <v>412</v>
      </c>
      <c r="AI17" s="294">
        <f>(IF('Section Load'!AJ20&gt;0,'Section Load'!AJ20,0))</f>
        <v>460</v>
      </c>
      <c r="AJ17" s="294">
        <f>(IF('Section Load'!AK20&gt;0,'Section Load'!AK20,0))</f>
        <v>332</v>
      </c>
      <c r="AK17" s="294">
        <f>(IF('Section Load'!AL20&gt;0,'Section Load'!AL20,0))</f>
        <v>329</v>
      </c>
      <c r="AL17" s="294">
        <f>(IF('Section Load'!AM20&gt;0,'Section Load'!AM20,0))</f>
        <v>870</v>
      </c>
      <c r="AM17" s="295">
        <f>(IF('Water Report'!$S$7&gt;0,'Water Report'!$S$7,0))</f>
        <v>92</v>
      </c>
      <c r="AN17" s="295">
        <f>(IF('Water Report'!$S$8&gt;0,'Water Report'!$S$8,0))</f>
        <v>135</v>
      </c>
      <c r="AO17" s="295">
        <f>(IF('Water Report'!$S$9&gt;0,'Water Report'!$S$9,0))</f>
        <v>98</v>
      </c>
      <c r="AP17" s="295">
        <f>(IF('Water Report'!$S$10&gt;0,'Water Report'!$D$10,0))</f>
        <v>0</v>
      </c>
      <c r="AQ17" s="295">
        <f>(IF('Water Report'!$S$11&gt;0,'Water Report'!$D$11,0))</f>
        <v>0</v>
      </c>
      <c r="AR17" s="295">
        <f>(IF('Water Report'!$S$13&gt;0,'Water Report'!$D$13,0))</f>
        <v>18</v>
      </c>
      <c r="AS17" s="295">
        <f>(IF('Water Report'!$S$14&gt;0,'Water Report'!$D$14,0))</f>
        <v>10</v>
      </c>
      <c r="AT17" s="295">
        <f>(IF('Water Report'!$S$15&gt;0,'Water Report'!$D$15,0))</f>
        <v>6</v>
      </c>
      <c r="AU17" s="295">
        <f>(IF('Water Report'!$S$17&gt;0,'Water Report'!$D$17,0))</f>
        <v>0</v>
      </c>
      <c r="AV17" s="295">
        <f>(IF('Water Report'!$S$18&gt;0,'Water Report'!$D$18,0))</f>
        <v>13</v>
      </c>
      <c r="AW17" s="295">
        <f>(IF('Water Report'!$S$19&gt;0,'Water Report'!$D$19,0))</f>
        <v>11</v>
      </c>
      <c r="AX17" s="301">
        <f>(IF('Water Report'!$S$21&gt;0,'Water Report'!$D$21,0))</f>
        <v>109</v>
      </c>
      <c r="AY17" s="301">
        <f>(IF('Water Report'!$S$22&gt;0,'Water Report'!$D$22,0))</f>
        <v>0</v>
      </c>
      <c r="AZ17" s="301">
        <f>(IF('Water Report'!$S$23&gt;0,'Water Report'!$D$23,0))</f>
        <v>7</v>
      </c>
      <c r="BA17" s="301">
        <f>(IF('Water Report'!$S$14&gt;0,'Water Report'!$D$14,0))</f>
        <v>10</v>
      </c>
      <c r="BB17" s="301">
        <f>(IF('Water Report'!$S$15&gt;0,'Water Report'!$D$15,0))</f>
        <v>6</v>
      </c>
      <c r="BC17" s="301">
        <f>(IF('Water Report'!$S$13&gt;0,'Water Report'!$D$13,0))</f>
        <v>18</v>
      </c>
      <c r="BD17" s="301">
        <f>(IF('Water Report'!$S$24&gt;0,'Water Report'!$D$24,0))</f>
        <v>182</v>
      </c>
      <c r="BE17" s="301">
        <f>(IF('Water Report'!$S$25&gt;0,'Water Report'!$D$25,0))</f>
        <v>133</v>
      </c>
      <c r="BF17" s="301">
        <f>(IF('Water Report'!$S$27&gt;0,'Water Report'!$D$27,0))</f>
        <v>134</v>
      </c>
      <c r="BG17" s="296">
        <f>(IF('Section Load'!AN20&gt;0,'Section Load'!AN20,0))</f>
        <v>1000</v>
      </c>
      <c r="BH17" s="296">
        <f>(IF('Section Load'!AO20&gt;0,'Section Load'!AO20,0))</f>
        <v>314</v>
      </c>
      <c r="BI17" s="296">
        <f>(IF('Section Load'!AP20&gt;0,'Section Load'!AP20,0))</f>
        <v>0</v>
      </c>
      <c r="BJ17" s="296">
        <f>(IF('Section Load'!AQ20&gt;0,'Section Load'!AQ20,0))</f>
        <v>105</v>
      </c>
      <c r="BK17" s="296">
        <f>(IF('Section Load'!AR20&gt;0,'Section Load'!AR20,0))</f>
        <v>45</v>
      </c>
      <c r="BL17" s="296">
        <f>(IF('Section Load'!AS20&gt;0,'Section Load'!AS20,0))</f>
        <v>0</v>
      </c>
      <c r="BM17" s="296">
        <f>(IF('Section Load'!AT20&gt;0,'Section Load'!AT20,0))</f>
        <v>536</v>
      </c>
    </row>
    <row r="18" spans="1:65">
      <c r="A18" s="287" t="s">
        <v>268</v>
      </c>
      <c r="B18" s="288">
        <f t="shared" si="0"/>
        <v>17</v>
      </c>
      <c r="C18" s="288">
        <v>8</v>
      </c>
      <c r="D18" s="288">
        <v>2022</v>
      </c>
      <c r="E18" s="294">
        <f>(IF('Section Load'!F21&gt;0,'Section Load'!F21,0))</f>
        <v>3836</v>
      </c>
      <c r="F18" s="294">
        <f>(IF('Section Load'!G21&gt;0,'Section Load'!G21,0))</f>
        <v>989</v>
      </c>
      <c r="G18" s="294">
        <f>(IF('Section Load'!H21&gt;0,'Section Load'!H21,0))</f>
        <v>2272</v>
      </c>
      <c r="H18" s="294">
        <f>(IF('Section Load'!I21&gt;0,'Section Load'!I21,0))</f>
        <v>4339</v>
      </c>
      <c r="I18" s="294">
        <f>(IF('Section Load'!J21&gt;0,'Section Load'!J21,0))</f>
        <v>7321</v>
      </c>
      <c r="J18" s="294">
        <f>(IF('Section Load'!K21&gt;0,'Section Load'!K21,0))</f>
        <v>3232</v>
      </c>
      <c r="K18" s="294">
        <f>(IF('Section Load'!L21&gt;0,'Section Load'!L21,0))</f>
        <v>1862</v>
      </c>
      <c r="L18" s="294">
        <f>(IF('Section Load'!M21&gt;0,'Section Load'!M21,0))</f>
        <v>750</v>
      </c>
      <c r="M18" s="294">
        <f>(IF('Section Load'!N21&gt;0,'Section Load'!N21,0))</f>
        <v>144</v>
      </c>
      <c r="N18" s="294">
        <f>(IF('Section Load'!O21&gt;0,'Section Load'!O21,0))</f>
        <v>174</v>
      </c>
      <c r="O18" s="294">
        <f>(IF('Section Load'!P21&gt;0,'Section Load'!P21,0))</f>
        <v>14</v>
      </c>
      <c r="P18" s="294">
        <f>(IF('Section Load'!Q21&gt;0,'Section Load'!Q21,0))</f>
        <v>215</v>
      </c>
      <c r="Q18" s="294">
        <f>(IF('Section Load'!R21&gt;0,'Section Load'!R21,0))</f>
        <v>80</v>
      </c>
      <c r="R18" s="294">
        <f>(IF('Section Load'!S21&gt;0,'Section Load'!S21,0))</f>
        <v>36</v>
      </c>
      <c r="S18" s="294">
        <f>(IF('Section Load'!T21&gt;0,'Section Load'!T21,0))</f>
        <v>52</v>
      </c>
      <c r="T18" s="294">
        <f>(IF('Section Load'!U21&gt;0,'Section Load'!U21,0))</f>
        <v>234</v>
      </c>
      <c r="U18" s="294">
        <f>(IF('Section Load'!V21&gt;0,'Section Load'!V21,0))</f>
        <v>387</v>
      </c>
      <c r="V18" s="294">
        <f>(IF('Section Load'!W21&gt;0,'Section Load'!W21,0))</f>
        <v>284</v>
      </c>
      <c r="W18" s="294">
        <f>(IF('Section Load'!X21&gt;0,'Section Load'!X21,0))</f>
        <v>28</v>
      </c>
      <c r="X18" s="294">
        <f>(IF('Section Load'!Y21&gt;0,'Section Load'!Y21,0))</f>
        <v>259</v>
      </c>
      <c r="Y18" s="294">
        <f>(IF('Section Load'!Z21&gt;0,'Section Load'!Z21,0))</f>
        <v>271</v>
      </c>
      <c r="Z18" s="294">
        <f>(IF('Section Load'!AA21&gt;0,'Section Load'!AA21,0))</f>
        <v>263</v>
      </c>
      <c r="AA18" s="294">
        <f>(IF('Section Load'!AB21&gt;0,'Section Load'!AB21,0))</f>
        <v>55</v>
      </c>
      <c r="AB18" s="294">
        <f>(IF('Section Load'!AC21&gt;0,'Section Load'!AC21,0))</f>
        <v>0</v>
      </c>
      <c r="AC18" s="294">
        <f>(IF('Section Load'!AD21&gt;0,'Section Load'!AD21,0))</f>
        <v>121</v>
      </c>
      <c r="AD18" s="294">
        <f>(IF('Section Load'!AE21&gt;0,'Section Load'!AE21,0))</f>
        <v>391</v>
      </c>
      <c r="AE18" s="294">
        <f>(IF('Section Load'!AF21&gt;0,'Section Load'!AF21,0))</f>
        <v>202</v>
      </c>
      <c r="AF18" s="294">
        <f>(IF('Section Load'!AG21&gt;0,'Section Load'!AG21,0))</f>
        <v>599</v>
      </c>
      <c r="AG18" s="294">
        <f>(IF('Section Load'!AH21&gt;0,'Section Load'!AH21,0))</f>
        <v>232</v>
      </c>
      <c r="AH18" s="294">
        <f>(IF('Section Load'!AI21&gt;0,'Section Load'!AI21,0))</f>
        <v>400</v>
      </c>
      <c r="AI18" s="294">
        <f>(IF('Section Load'!AJ21&gt;0,'Section Load'!AJ21,0))</f>
        <v>457</v>
      </c>
      <c r="AJ18" s="294">
        <f>(IF('Section Load'!AK21&gt;0,'Section Load'!AK21,0))</f>
        <v>332</v>
      </c>
      <c r="AK18" s="294">
        <f>(IF('Section Load'!AL21&gt;0,'Section Load'!AL21,0))</f>
        <v>326</v>
      </c>
      <c r="AL18" s="294">
        <f>(IF('Section Load'!AM21&gt;0,'Section Load'!AM21,0))</f>
        <v>860</v>
      </c>
      <c r="AM18" s="295">
        <f>(IF('Water Report'!$T$7&gt;0,'Water Report'!$T$7,0))</f>
        <v>95</v>
      </c>
      <c r="AN18" s="295">
        <f>(IF('Water Report'!$T$8&gt;0,'Water Report'!$T$8,0))</f>
        <v>108</v>
      </c>
      <c r="AO18" s="295">
        <f>(IF('Water Report'!$T$9&gt;0,'Water Report'!$T$9,0))</f>
        <v>101</v>
      </c>
      <c r="AP18" s="295">
        <f>(IF('Water Report'!$T$10&gt;0,'Water Report'!$T$10,0))</f>
        <v>37</v>
      </c>
      <c r="AQ18" s="295">
        <f>(IF('Water Report'!$T$11&gt;0,'Water Report'!$T$11,0))</f>
        <v>0</v>
      </c>
      <c r="AR18" s="295">
        <f>(IF('Water Report'!$T$13&gt;0,'Water Report'!$T$13,0))</f>
        <v>31</v>
      </c>
      <c r="AS18" s="295">
        <f>(IF('Water Report'!$T$14&gt;0,'Water Report'!$T$14,0))</f>
        <v>3</v>
      </c>
      <c r="AT18" s="295">
        <f>(IF('Water Report'!$T$15&gt;0,'Water Report'!$T$15,0))</f>
        <v>10</v>
      </c>
      <c r="AU18" s="295">
        <f>(IF('Water Report'!$T$17&gt;0,'Water Report'!$T$17,0))</f>
        <v>0</v>
      </c>
      <c r="AV18" s="295">
        <f>(IF('Water Report'!$T$18&gt;0,'Water Report'!$T$18,0))</f>
        <v>17</v>
      </c>
      <c r="AW18" s="295">
        <f>(IF('Water Report'!$T$19&gt;0,'Water Report'!$T$19,0))</f>
        <v>10</v>
      </c>
      <c r="AX18" s="301">
        <f>(IF('Water Report'!$T$21&gt;0,'Water Report'!$T$21,0))</f>
        <v>90</v>
      </c>
      <c r="AY18" s="301">
        <f>(IF('Water Report'!$T$22&gt;0,'Water Report'!$T$22,0))</f>
        <v>0</v>
      </c>
      <c r="AZ18" s="301">
        <f>(IF('Water Report'!$T$23&gt;0,'Water Report'!$T$23,0))</f>
        <v>50</v>
      </c>
      <c r="BA18" s="301">
        <f>(IF('Water Report'!$T$14&gt;0,'Water Report'!$T$14,0))</f>
        <v>3</v>
      </c>
      <c r="BB18" s="301">
        <f>(IF('Water Report'!$T$15&gt;0,'Water Report'!$T$15,0))</f>
        <v>10</v>
      </c>
      <c r="BC18" s="301">
        <f>(IF('Water Report'!$T$13&gt;0,'Water Report'!$T$13,0))</f>
        <v>31</v>
      </c>
      <c r="BD18" s="301">
        <f>(IF('Water Report'!$T$24&gt;0,'Water Report'!$T$24,0))</f>
        <v>289</v>
      </c>
      <c r="BE18" s="301">
        <f>(IF('Water Report'!$T$25&gt;0,'Water Report'!$T$25,0))</f>
        <v>151</v>
      </c>
      <c r="BF18" s="301">
        <f>(IF('Water Report'!$T$27&gt;0,'Water Report'!$T$27,0))</f>
        <v>171</v>
      </c>
      <c r="BG18" s="296">
        <f>(IF('Section Load'!AN21&gt;0,'Section Load'!AN21,0))</f>
        <v>1001</v>
      </c>
      <c r="BH18" s="296">
        <f>(IF('Section Load'!AO21&gt;0,'Section Load'!AO21,0))</f>
        <v>311</v>
      </c>
      <c r="BI18" s="296">
        <f>(IF('Section Load'!AP21&gt;0,'Section Load'!AP21,0))</f>
        <v>0</v>
      </c>
      <c r="BJ18" s="296">
        <f>(IF('Section Load'!AQ21&gt;0,'Section Load'!AQ21,0))</f>
        <v>102</v>
      </c>
      <c r="BK18" s="296">
        <f>(IF('Section Load'!AR21&gt;0,'Section Load'!AR21,0))</f>
        <v>56</v>
      </c>
      <c r="BL18" s="296">
        <f>(IF('Section Load'!AS21&gt;0,'Section Load'!AS21,0))</f>
        <v>0</v>
      </c>
      <c r="BM18" s="296">
        <f>(IF('Section Load'!AT21&gt;0,'Section Load'!AT21,0))</f>
        <v>532</v>
      </c>
    </row>
    <row r="19" spans="1:65">
      <c r="A19" s="287" t="s">
        <v>268</v>
      </c>
      <c r="B19" s="288">
        <f t="shared" si="0"/>
        <v>18</v>
      </c>
      <c r="C19" s="288">
        <v>8</v>
      </c>
      <c r="D19" s="288">
        <v>2022</v>
      </c>
      <c r="E19" s="294">
        <f>(IF('Section Load'!F22&gt;0,'Section Load'!F22,0))</f>
        <v>3797.8699999999953</v>
      </c>
      <c r="F19" s="294">
        <f>(IF('Section Load'!G22&gt;0,'Section Load'!G22,0))</f>
        <v>984.89000000000306</v>
      </c>
      <c r="G19" s="294">
        <f>(IF('Section Load'!H22&gt;0,'Section Load'!H22,0))</f>
        <v>2135.3099999999977</v>
      </c>
      <c r="H19" s="294">
        <f>(IF('Section Load'!I22&gt;0,'Section Load'!I22,0))</f>
        <v>4169.2899999999499</v>
      </c>
      <c r="I19" s="294">
        <f>(IF('Section Load'!J22&gt;0,'Section Load'!J22,0))</f>
        <v>6000.940000000046</v>
      </c>
      <c r="J19" s="294">
        <f>(IF('Section Load'!K22&gt;0,'Section Load'!K22,0))</f>
        <v>3086.9099999999744</v>
      </c>
      <c r="K19" s="294">
        <f>(IF('Section Load'!L22&gt;0,'Section Load'!L22,0))</f>
        <v>1227.0999999999767</v>
      </c>
      <c r="L19" s="294">
        <f>(IF('Section Load'!M22&gt;0,'Section Load'!M22,0))</f>
        <v>795.17000000001281</v>
      </c>
      <c r="M19" s="294">
        <f>(IF('Section Load'!N22&gt;0,'Section Load'!N22,0))</f>
        <v>144</v>
      </c>
      <c r="N19" s="294">
        <f>(IF('Section Load'!O22&gt;0,'Section Load'!O22,0))</f>
        <v>174</v>
      </c>
      <c r="O19" s="294">
        <f>(IF('Section Load'!P22&gt;0,'Section Load'!P22,0))</f>
        <v>16</v>
      </c>
      <c r="P19" s="294">
        <f>(IF('Section Load'!Q22&gt;0,'Section Load'!Q22,0))</f>
        <v>200.30000000000291</v>
      </c>
      <c r="Q19" s="294">
        <f>(IF('Section Load'!R22&gt;0,'Section Load'!R22,0))</f>
        <v>79.129999999997381</v>
      </c>
      <c r="R19" s="294">
        <f>(IF('Section Load'!S22&gt;0,'Section Load'!S22,0))</f>
        <v>38.430000000000291</v>
      </c>
      <c r="S19" s="294">
        <f>(IF('Section Load'!T22&gt;0,'Section Load'!T22,0))</f>
        <v>50</v>
      </c>
      <c r="T19" s="294">
        <f>(IF('Section Load'!U22&gt;0,'Section Load'!U22,0))</f>
        <v>226</v>
      </c>
      <c r="U19" s="294">
        <f>(IF('Section Load'!V22&gt;0,'Section Load'!V22,0))</f>
        <v>377.47999999998137</v>
      </c>
      <c r="V19" s="294">
        <f>(IF('Section Load'!W22&gt;0,'Section Load'!W22,0))</f>
        <v>302.5</v>
      </c>
      <c r="W19" s="294">
        <f>(IF('Section Load'!X22&gt;0,'Section Load'!X22,0))</f>
        <v>27.829999999999927</v>
      </c>
      <c r="X19" s="294">
        <f>(IF('Section Load'!Y22&gt;0,'Section Load'!Y22,0))</f>
        <v>228.69999999999709</v>
      </c>
      <c r="Y19" s="294">
        <f>(IF('Section Load'!Z22&gt;0,'Section Load'!Z22,0))</f>
        <v>229</v>
      </c>
      <c r="Z19" s="294">
        <f>(IF('Section Load'!AA22&gt;0,'Section Load'!AA22,0))</f>
        <v>59.599999999976717</v>
      </c>
      <c r="AA19" s="294">
        <f>(IF('Section Load'!AB22&gt;0,'Section Load'!AB22,0))</f>
        <v>51.19999999999709</v>
      </c>
      <c r="AB19" s="294">
        <f>(IF('Section Load'!AC22&gt;0,'Section Load'!AC22,0))</f>
        <v>0</v>
      </c>
      <c r="AC19" s="294">
        <f>(IF('Section Load'!AD22&gt;0,'Section Load'!AD22,0))</f>
        <v>114.79999999999927</v>
      </c>
      <c r="AD19" s="294">
        <f>(IF('Section Load'!AE22&gt;0,'Section Load'!AE22,0))</f>
        <v>340.19999999999709</v>
      </c>
      <c r="AE19" s="294">
        <f>(IF('Section Load'!AF22&gt;0,'Section Load'!AF22,0))</f>
        <v>246.19999999999709</v>
      </c>
      <c r="AF19" s="294">
        <f>(IF('Section Load'!AG22&gt;0,'Section Load'!AG22,0))</f>
        <v>591.69999999999709</v>
      </c>
      <c r="AG19" s="294">
        <f>(IF('Section Load'!AH22&gt;0,'Section Load'!AH22,0))</f>
        <v>139.19999999999709</v>
      </c>
      <c r="AH19" s="294">
        <f>(IF('Section Load'!AI22&gt;0,'Section Load'!AI22,0))</f>
        <v>396.59999999999854</v>
      </c>
      <c r="AI19" s="294">
        <f>(IF('Section Load'!AJ22&gt;0,'Section Load'!AJ22,0))</f>
        <v>448.69000000000233</v>
      </c>
      <c r="AJ19" s="294">
        <f>(IF('Section Load'!AK22&gt;0,'Section Load'!AK22,0))</f>
        <v>365.08999999999651</v>
      </c>
      <c r="AK19" s="294">
        <f>(IF('Section Load'!AL22&gt;0,'Section Load'!AL22,0))</f>
        <v>311.69999999999709</v>
      </c>
      <c r="AL19" s="294">
        <f>(IF('Section Load'!AM22&gt;0,'Section Load'!AM22,0))</f>
        <v>830</v>
      </c>
      <c r="AM19" s="295">
        <f>(IF('Water Report'!$U$7&gt;0,'Water Report'!$U$7,0))</f>
        <v>95</v>
      </c>
      <c r="AN19" s="295">
        <f>(IF('Water Report'!$U$8&gt;0,'Water Report'!$U$8,0))</f>
        <v>95</v>
      </c>
      <c r="AO19" s="295">
        <f>(IF('Water Report'!$U$9&gt;0,'Water Report'!$U$9,0))</f>
        <v>94</v>
      </c>
      <c r="AP19" s="295">
        <f>(IF('Water Report'!$U$10&gt;0,'Water Report'!$U$10,0))</f>
        <v>16</v>
      </c>
      <c r="AQ19" s="295">
        <f>(IF('Water Report'!$U$11&gt;0,'Water Report'!$U$11,0))</f>
        <v>110</v>
      </c>
      <c r="AR19" s="295">
        <f>(IF('Water Report'!$U$13&gt;0,'Water Report'!$U$13,0))</f>
        <v>20</v>
      </c>
      <c r="AS19" s="295">
        <f>(IF('Water Report'!$U$14&gt;0,'Water Report'!$U$14,0))</f>
        <v>3</v>
      </c>
      <c r="AT19" s="295">
        <f>(IF('Water Report'!$U$15&gt;0,'Water Report'!$U$15,0))</f>
        <v>10</v>
      </c>
      <c r="AU19" s="295">
        <f>(IF('Water Report'!$U$17&gt;0,'Water Report'!$U$17,0))</f>
        <v>0</v>
      </c>
      <c r="AV19" s="295">
        <f>(IF('Water Report'!$U$18&gt;0,'Water Report'!$U$18,0))</f>
        <v>11</v>
      </c>
      <c r="AW19" s="295">
        <f>(IF('Water Report'!$U$19&gt;0,'Water Report'!$U$19,0))</f>
        <v>10</v>
      </c>
      <c r="AX19" s="301">
        <f>(IF('Water Report'!$U$21&gt;0,'Water Report'!$U$21,0))</f>
        <v>45</v>
      </c>
      <c r="AY19" s="301">
        <f>(IF('Water Report'!$U$22&gt;0,'Water Report'!$U$22,0))</f>
        <v>0</v>
      </c>
      <c r="AZ19" s="301">
        <f>(IF('Water Report'!$U$23&gt;0,'Water Report'!$U$23,0))</f>
        <v>13</v>
      </c>
      <c r="BA19" s="301">
        <f>(IF('Water Report'!$U$14&gt;0,'Water Report'!$U$14,0))</f>
        <v>3</v>
      </c>
      <c r="BB19" s="301">
        <f>(IF('Water Report'!$U$15&gt;0,'Water Report'!$U$15,0))</f>
        <v>10</v>
      </c>
      <c r="BC19" s="301">
        <f>(IF('Water Report'!$U$13&gt;0,'Water Report'!$U$13,0))</f>
        <v>20</v>
      </c>
      <c r="BD19" s="301">
        <f>(IF('Water Report'!$U$24&gt;0,'Water Report'!$U$24,0))</f>
        <v>199</v>
      </c>
      <c r="BE19" s="301">
        <f>(IF('Water Report'!$U$25&gt;0,'Water Report'!$U$25,0))</f>
        <v>233</v>
      </c>
      <c r="BF19" s="301">
        <f>(IF('Water Report'!$U$27&gt;0,'Water Report'!$U$27,0))</f>
        <v>78</v>
      </c>
      <c r="BG19" s="296">
        <f>(IF('Section Load'!AN22&gt;0,'Section Load'!AN22,0))</f>
        <v>980.5</v>
      </c>
      <c r="BH19" s="296">
        <f>(IF('Section Load'!AO22&gt;0,'Section Load'!AO22,0))</f>
        <v>306.30000000004657</v>
      </c>
      <c r="BI19" s="296">
        <f>(IF('Section Load'!AP22&gt;0,'Section Load'!AP22,0))</f>
        <v>0</v>
      </c>
      <c r="BJ19" s="296">
        <f>(IF('Section Load'!AQ22&gt;0,'Section Load'!AQ22,0))</f>
        <v>95</v>
      </c>
      <c r="BK19" s="296">
        <f>(IF('Section Load'!AR22&gt;0,'Section Load'!AR22,0))</f>
        <v>43</v>
      </c>
      <c r="BL19" s="296">
        <f>(IF('Section Load'!AS22&gt;0,'Section Load'!AS22,0))</f>
        <v>0</v>
      </c>
      <c r="BM19" s="296">
        <f>(IF('Section Load'!AT22&gt;0,'Section Load'!AT22,0))</f>
        <v>536.99999999995634</v>
      </c>
    </row>
    <row r="20" spans="1:65">
      <c r="A20" s="287" t="s">
        <v>268</v>
      </c>
      <c r="B20" s="288">
        <f t="shared" si="0"/>
        <v>19</v>
      </c>
      <c r="C20" s="288">
        <v>8</v>
      </c>
      <c r="D20" s="288">
        <v>2022</v>
      </c>
      <c r="E20" s="294">
        <f>(IF('Section Load'!F23&gt;0,'Section Load'!F23,0))</f>
        <v>3973.9599999999627</v>
      </c>
      <c r="F20" s="294">
        <f>(IF('Section Load'!G23&gt;0,'Section Load'!G23,0))</f>
        <v>991.04999999999927</v>
      </c>
      <c r="G20" s="294">
        <f>(IF('Section Load'!H23&gt;0,'Section Load'!H23,0))</f>
        <v>2170.960000000021</v>
      </c>
      <c r="H20" s="294">
        <f>(IF('Section Load'!I23&gt;0,'Section Load'!I23,0))</f>
        <v>4284.6499999999942</v>
      </c>
      <c r="I20" s="294">
        <f>(IF('Section Load'!J23&gt;0,'Section Load'!J23,0))</f>
        <v>6754.1999999998952</v>
      </c>
      <c r="J20" s="294">
        <f>(IF('Section Load'!K23&gt;0,'Section Load'!K23,0))</f>
        <v>3216.9200000000419</v>
      </c>
      <c r="K20" s="294">
        <f>(IF('Section Load'!L23&gt;0,'Section Load'!L23,0))</f>
        <v>1659.1500000000233</v>
      </c>
      <c r="L20" s="294">
        <f>(IF('Section Load'!M23&gt;0,'Section Load'!M23,0))</f>
        <v>813.75999999998021</v>
      </c>
      <c r="M20" s="294">
        <f>(IF('Section Load'!N23&gt;0,'Section Load'!N23,0))</f>
        <v>134</v>
      </c>
      <c r="N20" s="294">
        <f>(IF('Section Load'!O23&gt;0,'Section Load'!O23,0))</f>
        <v>124</v>
      </c>
      <c r="O20" s="294">
        <f>(IF('Section Load'!P23&gt;0,'Section Load'!P23,0))</f>
        <v>18.400000000000091</v>
      </c>
      <c r="P20" s="294">
        <f>(IF('Section Load'!Q23&gt;0,'Section Load'!Q23,0))</f>
        <v>216.25999999999476</v>
      </c>
      <c r="Q20" s="294">
        <f>(IF('Section Load'!R23&gt;0,'Section Load'!R23,0))</f>
        <v>86.620000000002619</v>
      </c>
      <c r="R20" s="294">
        <f>(IF('Section Load'!S23&gt;0,'Section Load'!S23,0))</f>
        <v>32.920000000000073</v>
      </c>
      <c r="S20" s="294">
        <f>(IF('Section Load'!T23&gt;0,'Section Load'!T23,0))</f>
        <v>48</v>
      </c>
      <c r="T20" s="294">
        <f>(IF('Section Load'!U23&gt;0,'Section Load'!U23,0))</f>
        <v>216</v>
      </c>
      <c r="U20" s="294">
        <f>(IF('Section Load'!V23&gt;0,'Section Load'!V23,0))</f>
        <v>384.40000000002328</v>
      </c>
      <c r="V20" s="294">
        <f>(IF('Section Load'!W23&gt;0,'Section Load'!W23,0))</f>
        <v>258.6600000000326</v>
      </c>
      <c r="W20" s="294">
        <f>(IF('Section Load'!X23&gt;0,'Section Load'!X23,0))</f>
        <v>28</v>
      </c>
      <c r="X20" s="294">
        <f>(IF('Section Load'!Y23&gt;0,'Section Load'!Y23,0))</f>
        <v>194.51000000000204</v>
      </c>
      <c r="Y20" s="294">
        <f>(IF('Section Load'!Z23&gt;0,'Section Load'!Z23,0))</f>
        <v>231</v>
      </c>
      <c r="Z20" s="294">
        <f>(IF('Section Load'!AA23&gt;0,'Section Load'!AA23,0))</f>
        <v>71.520000000018626</v>
      </c>
      <c r="AA20" s="294">
        <f>(IF('Section Load'!AB23&gt;0,'Section Load'!AB23,0))</f>
        <v>44.30000000000291</v>
      </c>
      <c r="AB20" s="294">
        <f>(IF('Section Load'!AC23&gt;0,'Section Load'!AC23,0))</f>
        <v>0</v>
      </c>
      <c r="AC20" s="294">
        <f>(IF('Section Load'!AD23&gt;0,'Section Load'!AD23,0))</f>
        <v>107.00000000000091</v>
      </c>
      <c r="AD20" s="294">
        <f>(IF('Section Load'!AE23&gt;0,'Section Load'!AE23,0))</f>
        <v>449.60000000000582</v>
      </c>
      <c r="AE20" s="294">
        <f>(IF('Section Load'!AF23&gt;0,'Section Load'!AF23,0))</f>
        <v>265.10000000000582</v>
      </c>
      <c r="AF20" s="294">
        <f>(IF('Section Load'!AG23&gt;0,'Section Load'!AG23,0))</f>
        <v>599.19999999999709</v>
      </c>
      <c r="AG20" s="294">
        <f>(IF('Section Load'!AH23&gt;0,'Section Load'!AH23,0))</f>
        <v>86.900000000001455</v>
      </c>
      <c r="AH20" s="294">
        <f>(IF('Section Load'!AI23&gt;0,'Section Load'!AI23,0))</f>
        <v>404.40000000000146</v>
      </c>
      <c r="AI20" s="294">
        <f>(IF('Section Load'!AJ23&gt;0,'Section Load'!AJ23,0))</f>
        <v>452.50999999999476</v>
      </c>
      <c r="AJ20" s="294">
        <f>(IF('Section Load'!AK23&gt;0,'Section Load'!AK23,0))</f>
        <v>359.7100000000064</v>
      </c>
      <c r="AK20" s="294">
        <f>(IF('Section Load'!AL23&gt;0,'Section Load'!AL23,0))</f>
        <v>321.56999999999971</v>
      </c>
      <c r="AL20" s="294">
        <f>(IF('Section Load'!AM23&gt;0,'Section Load'!AM23,0))</f>
        <v>911.67000000001281</v>
      </c>
      <c r="AM20" s="295">
        <f>(IF('Water Report'!$V$7&gt;0,'Water Report'!$V$7,0))</f>
        <v>98</v>
      </c>
      <c r="AN20" s="295">
        <f>(IF('Water Report'!$V$8&gt;0,'Water Report'!$V$8,0))</f>
        <v>102</v>
      </c>
      <c r="AO20" s="295">
        <f>(IF('Water Report'!$V$9&gt;0,'Water Report'!$V$9,0))</f>
        <v>99</v>
      </c>
      <c r="AP20" s="295">
        <f>(IF('Water Report'!$V$10&gt;0,'Water Report'!$V$10,0))</f>
        <v>23</v>
      </c>
      <c r="AQ20" s="295">
        <f>(IF('Water Report'!$V$11&gt;0,'Water Report'!$V$11,0))</f>
        <v>21</v>
      </c>
      <c r="AR20" s="295">
        <f>(IF('Water Report'!$V$13&gt;0,'Water Report'!$V$13,0))</f>
        <v>15</v>
      </c>
      <c r="AS20" s="295">
        <f>(IF('Water Report'!$V$14&gt;0,'Water Report'!$V$14,0))</f>
        <v>5</v>
      </c>
      <c r="AT20" s="295">
        <f>(IF('Water Report'!$V$15&gt;0,'Water Report'!$V$15,0))</f>
        <v>15</v>
      </c>
      <c r="AU20" s="295">
        <f>(IF('Water Report'!$V$17&gt;0,'Water Report'!$V$17,0))</f>
        <v>0</v>
      </c>
      <c r="AV20" s="295">
        <f>(IF('Water Report'!$V$18&gt;0,'Water Report'!$V$18,0))</f>
        <v>10</v>
      </c>
      <c r="AW20" s="295">
        <f>(IF('Water Report'!$V$19&gt;0,'Water Report'!$V$19,0))</f>
        <v>11</v>
      </c>
      <c r="AX20" s="301">
        <f>(IF('Water Report'!$V$21&gt;0,'Water Report'!$V$21,0))</f>
        <v>67</v>
      </c>
      <c r="AY20" s="301">
        <f>(IF('Water Report'!$V$22&gt;0,'Water Report'!$V$22,0))</f>
        <v>0</v>
      </c>
      <c r="AZ20" s="301">
        <f>(IF('Water Report'!$V$23&gt;0,'Water Report'!$V$23,0))</f>
        <v>22</v>
      </c>
      <c r="BA20" s="301">
        <f>(IF('Water Report'!$V$14&gt;0,'Water Report'!$V$14,0))</f>
        <v>5</v>
      </c>
      <c r="BB20" s="301">
        <f>(IF('Water Report'!$V$15&gt;0,'Water Report'!$V$15,0))</f>
        <v>15</v>
      </c>
      <c r="BC20" s="301">
        <f>(IF('Water Report'!$V$13&gt;0,'Water Report'!$V$13,0))</f>
        <v>15</v>
      </c>
      <c r="BD20" s="301">
        <f>(IF('Water Report'!$V$24&gt;0,'Water Report'!$V$24,0))</f>
        <v>151</v>
      </c>
      <c r="BE20" s="301">
        <f>(IF('Water Report'!$V$25&gt;0,'Water Report'!$V$25,0))</f>
        <v>163</v>
      </c>
      <c r="BF20" s="301">
        <f>(IF('Water Report'!$V$27&gt;0,'Water Report'!$V$27,0))</f>
        <v>104</v>
      </c>
      <c r="BG20" s="296">
        <f>(IF('Section Load'!AN23&gt;0,'Section Load'!AN23,0))</f>
        <v>945.5</v>
      </c>
      <c r="BH20" s="296">
        <f>(IF('Section Load'!AO23&gt;0,'Section Load'!AO23,0))</f>
        <v>315.19999999995343</v>
      </c>
      <c r="BI20" s="296">
        <f>(IF('Section Load'!AP23&gt;0,'Section Load'!AP23,0))</f>
        <v>0.80000000000291038</v>
      </c>
      <c r="BJ20" s="296">
        <f>(IF('Section Load'!AQ23&gt;0,'Section Load'!AQ23,0))</f>
        <v>90</v>
      </c>
      <c r="BK20" s="296">
        <f>(IF('Section Load'!AR23&gt;0,'Section Load'!AR23,0))</f>
        <v>51.30000000000291</v>
      </c>
      <c r="BL20" s="296">
        <f>(IF('Section Load'!AS23&gt;0,'Section Load'!AS23,0))</f>
        <v>0</v>
      </c>
      <c r="BM20" s="296">
        <f>(IF('Section Load'!AT23&gt;0,'Section Load'!AT23,0))</f>
        <v>488.20000000004075</v>
      </c>
    </row>
    <row r="21" spans="1:65">
      <c r="A21" s="287" t="s">
        <v>268</v>
      </c>
      <c r="B21" s="288">
        <f t="shared" si="0"/>
        <v>20</v>
      </c>
      <c r="C21" s="288">
        <v>8</v>
      </c>
      <c r="D21" s="288">
        <v>2022</v>
      </c>
      <c r="E21" s="294">
        <f>(IF('Section Load'!F24&gt;0,'Section Load'!F24,0))</f>
        <v>3879.2800000000279</v>
      </c>
      <c r="F21" s="294">
        <f>(IF('Section Load'!G24&gt;0,'Section Load'!G24,0))</f>
        <v>1010.1399999999994</v>
      </c>
      <c r="G21" s="294">
        <f>(IF('Section Load'!H24&gt;0,'Section Load'!H24,0))</f>
        <v>2151.5999999999767</v>
      </c>
      <c r="H21" s="294">
        <f>(IF('Section Load'!I24&gt;0,'Section Load'!I24,0))</f>
        <v>4205.5099999999948</v>
      </c>
      <c r="I21" s="294">
        <f>(IF('Section Load'!J24&gt;0,'Section Load'!J24,0))</f>
        <v>7521.4100000000326</v>
      </c>
      <c r="J21" s="294">
        <f>(IF('Section Load'!K24&gt;0,'Section Load'!K24,0))</f>
        <v>3222.2799999999697</v>
      </c>
      <c r="K21" s="294">
        <f>(IF('Section Load'!L24&gt;0,'Section Load'!L24,0))</f>
        <v>1214.320000000007</v>
      </c>
      <c r="L21" s="294">
        <f>(IF('Section Load'!M24&gt;0,'Section Load'!M24,0))</f>
        <v>964.07000000000698</v>
      </c>
      <c r="M21" s="294">
        <f>(IF('Section Load'!N24&gt;0,'Section Load'!N24,0))</f>
        <v>122</v>
      </c>
      <c r="N21" s="294">
        <f>(IF('Section Load'!O24&gt;0,'Section Load'!O24,0))</f>
        <v>150</v>
      </c>
      <c r="O21" s="294">
        <f>(IF('Section Load'!P24&gt;0,'Section Load'!P24,0))</f>
        <v>20.139999999999873</v>
      </c>
      <c r="P21" s="294">
        <f>(IF('Section Load'!Q24&gt;0,'Section Load'!Q24,0))</f>
        <v>206.57000000000698</v>
      </c>
      <c r="Q21" s="294">
        <f>(IF('Section Load'!R24&gt;0,'Section Load'!R24,0))</f>
        <v>84.400000000001455</v>
      </c>
      <c r="R21" s="294">
        <f>(IF('Section Load'!S24&gt;0,'Section Load'!S24,0))</f>
        <v>30.029999999999745</v>
      </c>
      <c r="S21" s="294">
        <f>(IF('Section Load'!T24&gt;0,'Section Load'!T24,0))</f>
        <v>44</v>
      </c>
      <c r="T21" s="294">
        <f>(IF('Section Load'!U24&gt;0,'Section Load'!U24,0))</f>
        <v>226</v>
      </c>
      <c r="U21" s="294">
        <f>(IF('Section Load'!V24&gt;0,'Section Load'!V24,0))</f>
        <v>378.88000000000466</v>
      </c>
      <c r="V21" s="294">
        <f>(IF('Section Load'!W24&gt;0,'Section Load'!W24,0))</f>
        <v>356.98999999999069</v>
      </c>
      <c r="W21" s="294">
        <f>(IF('Section Load'!X24&gt;0,'Section Load'!X24,0))</f>
        <v>23.3799999999992</v>
      </c>
      <c r="X21" s="294">
        <f>(IF('Section Load'!Y24&gt;0,'Section Load'!Y24,0))</f>
        <v>236.33000000000175</v>
      </c>
      <c r="Y21" s="294">
        <f>(IF('Section Load'!Z24&gt;0,'Section Load'!Z24,0))</f>
        <v>261</v>
      </c>
      <c r="Z21" s="294">
        <f>(IF('Section Load'!AA24&gt;0,'Section Load'!AA24,0))</f>
        <v>53.080000000016298</v>
      </c>
      <c r="AA21" s="294">
        <f>(IF('Section Load'!AB24&gt;0,'Section Load'!AB24,0))</f>
        <v>43.80000000000291</v>
      </c>
      <c r="AB21" s="294">
        <f>(IF('Section Load'!AC24&gt;0,'Section Load'!AC24,0))</f>
        <v>1.2700000000004366</v>
      </c>
      <c r="AC21" s="294">
        <f>(IF('Section Load'!AD24&gt;0,'Section Load'!AD24,0))</f>
        <v>105.09999999999945</v>
      </c>
      <c r="AD21" s="294">
        <f>(IF('Section Load'!AE24&gt;0,'Section Load'!AE24,0))</f>
        <v>402</v>
      </c>
      <c r="AE21" s="294">
        <f>(IF('Section Load'!AF24&gt;0,'Section Load'!AF24,0))</f>
        <v>247.89999999999418</v>
      </c>
      <c r="AF21" s="294">
        <f>(IF('Section Load'!AG24&gt;0,'Section Load'!AG24,0))</f>
        <v>589.76000000000931</v>
      </c>
      <c r="AG21" s="294">
        <f>(IF('Section Load'!AH24&gt;0,'Section Load'!AH24,0))</f>
        <v>81.069999999999709</v>
      </c>
      <c r="AH21" s="294">
        <f>(IF('Section Load'!AI24&gt;0,'Section Load'!AI24,0))</f>
        <v>413.5</v>
      </c>
      <c r="AI21" s="294">
        <f>(IF('Section Load'!AJ24&gt;0,'Section Load'!AJ24,0))</f>
        <v>442.70000000000437</v>
      </c>
      <c r="AJ21" s="294">
        <f>(IF('Section Load'!AK24&gt;0,'Section Load'!AK24,0))</f>
        <v>359.5</v>
      </c>
      <c r="AK21" s="294">
        <f>(IF('Section Load'!AL24&gt;0,'Section Load'!AL24,0))</f>
        <v>330.13000000000466</v>
      </c>
      <c r="AL21" s="294">
        <f>(IF('Section Load'!AM24&gt;0,'Section Load'!AM24,0))</f>
        <v>883.11999999999534</v>
      </c>
      <c r="AM21" s="295">
        <f>(IF('Water Report'!$W$7&gt;0,'Water Report'!$W$7,0))</f>
        <v>105</v>
      </c>
      <c r="AN21" s="295">
        <f>(IF('Water Report'!$W$8&gt;0,'Water Report'!$W$8,0))</f>
        <v>112</v>
      </c>
      <c r="AO21" s="295">
        <f>(IF('Water Report'!$W$9&gt;0,'Water Report'!$W$9,0))</f>
        <v>110</v>
      </c>
      <c r="AP21" s="295">
        <f>(IF('Water Report'!$W$10&gt;0,'Water Report'!$W$10,0))</f>
        <v>15</v>
      </c>
      <c r="AQ21" s="295">
        <f>(IF('Water Report'!$W$11&gt;0,'Water Report'!$W$11,0))</f>
        <v>23</v>
      </c>
      <c r="AR21" s="295">
        <f>(IF('Water Report'!$W$13&gt;0,'Water Report'!$W$13,0))</f>
        <v>35</v>
      </c>
      <c r="AS21" s="295">
        <f>(IF('Water Report'!$W$14&gt;0,'Water Report'!$W$14,0))</f>
        <v>3</v>
      </c>
      <c r="AT21" s="295">
        <f>(IF('Water Report'!$W$15&gt;0,'Water Report'!$W$15,0))</f>
        <v>6</v>
      </c>
      <c r="AU21" s="295">
        <f>(IF('Water Report'!$W$17&gt;0,'Water Report'!$W$17,0))</f>
        <v>0</v>
      </c>
      <c r="AV21" s="295">
        <f>(IF('Water Report'!$W$18&gt;0,'Water Report'!$W$18,0))</f>
        <v>14</v>
      </c>
      <c r="AW21" s="295">
        <f>(IF('Water Report'!$W$19&gt;0,'Water Report'!$W$19,0))</f>
        <v>12</v>
      </c>
      <c r="AX21" s="301">
        <f>(IF('Water Report'!$W$21&gt;0,'Water Report'!$W$21,0))</f>
        <v>68</v>
      </c>
      <c r="AY21" s="301">
        <f>(IF('Water Report'!$W$22&gt;0,'Water Report'!$W$22,0))</f>
        <v>0</v>
      </c>
      <c r="AZ21" s="301">
        <f>(IF('Water Report'!$W$23&gt;0,'Water Report'!$W$23,0))</f>
        <v>48</v>
      </c>
      <c r="BA21" s="301">
        <f>(IF('Water Report'!$W$14&gt;0,'Water Report'!$W$14,0))</f>
        <v>3</v>
      </c>
      <c r="BB21" s="301">
        <f>(IF('Water Report'!$W$15&gt;0,'Water Report'!$W$15,0))</f>
        <v>6</v>
      </c>
      <c r="BC21" s="301">
        <f>(IF('Water Report'!$W$13&gt;0,'Water Report'!$W$13,0))</f>
        <v>35</v>
      </c>
      <c r="BD21" s="301">
        <f>(IF('Water Report'!$W$24&gt;0,'Water Report'!$W$24,0))</f>
        <v>241</v>
      </c>
      <c r="BE21" s="301">
        <f>(IF('Water Report'!$W$25&gt;0,'Water Report'!$W$25,0))</f>
        <v>157</v>
      </c>
      <c r="BF21" s="301">
        <f>(IF('Water Report'!$W$27&gt;0,'Water Report'!$W$27,0))</f>
        <v>151</v>
      </c>
      <c r="BG21" s="296">
        <f>(IF('Section Load'!AN24&gt;0,'Section Load'!AN24,0))</f>
        <v>983</v>
      </c>
      <c r="BH21" s="296">
        <f>(IF('Section Load'!AO24&gt;0,'Section Load'!AO24,0))</f>
        <v>308.63000000000466</v>
      </c>
      <c r="BI21" s="296">
        <f>(IF('Section Load'!AP24&gt;0,'Section Load'!AP24,0))</f>
        <v>0</v>
      </c>
      <c r="BJ21" s="296">
        <f>(IF('Section Load'!AQ24&gt;0,'Section Load'!AQ24,0))</f>
        <v>109</v>
      </c>
      <c r="BK21" s="296">
        <f>(IF('Section Load'!AR24&gt;0,'Section Load'!AR24,0))</f>
        <v>53.69999999999709</v>
      </c>
      <c r="BL21" s="296">
        <f>(IF('Section Load'!AS24&gt;0,'Section Load'!AS24,0))</f>
        <v>0</v>
      </c>
      <c r="BM21" s="296">
        <f>(IF('Section Load'!AT24&gt;0,'Section Load'!AT24,0))</f>
        <v>511.66999999999825</v>
      </c>
    </row>
    <row r="22" spans="1:65">
      <c r="A22" s="287" t="s">
        <v>268</v>
      </c>
      <c r="B22" s="288">
        <f t="shared" si="0"/>
        <v>21</v>
      </c>
      <c r="C22" s="288">
        <v>8</v>
      </c>
      <c r="D22" s="288">
        <v>2022</v>
      </c>
      <c r="E22" s="294">
        <f>(IF('Section Load'!F25&gt;0,'Section Load'!F25,0))</f>
        <v>3878.8400000000256</v>
      </c>
      <c r="F22" s="294">
        <f>(IF('Section Load'!G25&gt;0,'Section Load'!G25,0))</f>
        <v>1018.6100000000006</v>
      </c>
      <c r="G22" s="294">
        <f>(IF('Section Load'!H25&gt;0,'Section Load'!H25,0))</f>
        <v>2166.1300000000047</v>
      </c>
      <c r="H22" s="294">
        <f>(IF('Section Load'!I25&gt;0,'Section Load'!I25,0))</f>
        <v>4378.5500000000611</v>
      </c>
      <c r="I22" s="294">
        <f>(IF('Section Load'!J25&gt;0,'Section Load'!J25,0))</f>
        <v>4508.4500000000262</v>
      </c>
      <c r="J22" s="294">
        <f>(IF('Section Load'!K25&gt;0,'Section Load'!K25,0))</f>
        <v>3160.890000000014</v>
      </c>
      <c r="K22" s="294">
        <f>(IF('Section Load'!L25&gt;0,'Section Load'!L25,0))</f>
        <v>1353.429999999993</v>
      </c>
      <c r="L22" s="294">
        <f>(IF('Section Load'!M25&gt;0,'Section Load'!M25,0))</f>
        <v>791</v>
      </c>
      <c r="M22" s="294">
        <f>(IF('Section Load'!N25&gt;0,'Section Load'!N25,0))</f>
        <v>137</v>
      </c>
      <c r="N22" s="294">
        <f>(IF('Section Load'!O25&gt;0,'Section Load'!O25,0))</f>
        <v>137</v>
      </c>
      <c r="O22" s="294">
        <f>(IF('Section Load'!P25&gt;0,'Section Load'!P25,0))</f>
        <v>14.460000000000036</v>
      </c>
      <c r="P22" s="294">
        <f>(IF('Section Load'!Q25&gt;0,'Section Load'!Q25,0))</f>
        <v>205.86999999999534</v>
      </c>
      <c r="Q22" s="294">
        <f>(IF('Section Load'!R25&gt;0,'Section Load'!R25,0))</f>
        <v>93.849999999998545</v>
      </c>
      <c r="R22" s="294">
        <f>(IF('Section Load'!S25&gt;0,'Section Load'!S25,0))</f>
        <v>33.619999999999891</v>
      </c>
      <c r="S22" s="294">
        <f>(IF('Section Load'!T25&gt;0,'Section Load'!T25,0))</f>
        <v>48</v>
      </c>
      <c r="T22" s="294">
        <f>(IF('Section Load'!U25&gt;0,'Section Load'!U25,0))</f>
        <v>210</v>
      </c>
      <c r="U22" s="294">
        <f>(IF('Section Load'!V25&gt;0,'Section Load'!V25,0))</f>
        <v>418.23999999999069</v>
      </c>
      <c r="V22" s="294">
        <f>(IF('Section Load'!W25&gt;0,'Section Load'!W25,0))</f>
        <v>316.84999999997672</v>
      </c>
      <c r="W22" s="294">
        <f>(IF('Section Load'!X25&gt;0,'Section Load'!X25,0))</f>
        <v>30.790000000000873</v>
      </c>
      <c r="X22" s="294">
        <f>(IF('Section Load'!Y25&gt;0,'Section Load'!Y25,0))</f>
        <v>217.45999999999913</v>
      </c>
      <c r="Y22" s="294">
        <f>(IF('Section Load'!Z25&gt;0,'Section Load'!Z25,0))</f>
        <v>232</v>
      </c>
      <c r="Z22" s="294">
        <f>(IF('Section Load'!AA25&gt;0,'Section Load'!AA25,0))</f>
        <v>67.799999999988358</v>
      </c>
      <c r="AA22" s="294">
        <f>(IF('Section Load'!AB25&gt;0,'Section Load'!AB25,0))</f>
        <v>34.69999999999709</v>
      </c>
      <c r="AB22" s="294">
        <f>(IF('Section Load'!AC25&gt;0,'Section Load'!AC25,0))</f>
        <v>0</v>
      </c>
      <c r="AC22" s="294">
        <f>(IF('Section Load'!AD25&gt;0,'Section Load'!AD25,0))</f>
        <v>136.10000000000036</v>
      </c>
      <c r="AD22" s="294">
        <f>(IF('Section Load'!AE25&gt;0,'Section Load'!AE25,0))</f>
        <v>498.19999999999709</v>
      </c>
      <c r="AE22" s="294">
        <f>(IF('Section Load'!AF25&gt;0,'Section Load'!AF25,0))</f>
        <v>276.80000000000291</v>
      </c>
      <c r="AF22" s="294">
        <f>(IF('Section Load'!AG25&gt;0,'Section Load'!AG25,0))</f>
        <v>603.33999999999651</v>
      </c>
      <c r="AG22" s="294">
        <f>(IF('Section Load'!AH25&gt;0,'Section Load'!AH25,0))</f>
        <v>73.830000000001746</v>
      </c>
      <c r="AH22" s="294">
        <f>(IF('Section Load'!AI25&gt;0,'Section Load'!AI25,0))</f>
        <v>413.5</v>
      </c>
      <c r="AI22" s="294">
        <f>(IF('Section Load'!AJ25&gt;0,'Section Load'!AJ25,0))</f>
        <v>436.09999999999854</v>
      </c>
      <c r="AJ22" s="294">
        <f>(IF('Section Load'!AK25&gt;0,'Section Load'!AK25,0))</f>
        <v>353.69999999999709</v>
      </c>
      <c r="AK22" s="294">
        <f>(IF('Section Load'!AL25&gt;0,'Section Load'!AL25,0))</f>
        <v>332.59999999999854</v>
      </c>
      <c r="AL22" s="294">
        <f>(IF('Section Load'!AM25&gt;0,'Section Load'!AM25,0))</f>
        <v>885.20999999999185</v>
      </c>
      <c r="AM22" s="295">
        <f>(IF('Water Report'!$X$7&gt;0,'Water Report'!$X$7,0))</f>
        <v>90</v>
      </c>
      <c r="AN22" s="295">
        <f>(IF('Water Report'!$X$8&gt;0,'Water Report'!$X$8,0))</f>
        <v>57</v>
      </c>
      <c r="AO22" s="295">
        <f>(IF('Water Report'!$X$9&gt;0,'Water Report'!$X$9,0))</f>
        <v>102</v>
      </c>
      <c r="AP22" s="295">
        <f>(IF('Water Report'!$X$10&gt;0,'Water Report'!$X$10,0))</f>
        <v>21</v>
      </c>
      <c r="AQ22" s="295">
        <f>(IF('Water Report'!$X$11&gt;0,'Water Report'!$X$11,0))</f>
        <v>20</v>
      </c>
      <c r="AR22" s="295">
        <f>(IF('Water Report'!$X$13&gt;0,'Water Report'!$X$13,0))</f>
        <v>48</v>
      </c>
      <c r="AS22" s="295">
        <f>(IF('Water Report'!$X$14&gt;0,'Water Report'!$X$14,0))</f>
        <v>4</v>
      </c>
      <c r="AT22" s="295">
        <f>(IF('Water Report'!$X$15&gt;0,'Water Report'!$X$15,0))</f>
        <v>8</v>
      </c>
      <c r="AU22" s="295">
        <f>(IF('Water Report'!$X$17&gt;0,'Water Report'!$X$17,0))</f>
        <v>0</v>
      </c>
      <c r="AV22" s="295">
        <f>(IF('Water Report'!$X$18&gt;0,'Water Report'!$X$18,0))</f>
        <v>11</v>
      </c>
      <c r="AW22" s="295">
        <f>(IF('Water Report'!$X$19&gt;0,'Water Report'!$X$19,0))</f>
        <v>9</v>
      </c>
      <c r="AX22" s="301">
        <f>(IF('Water Report'!$X$21&gt;0,'Water Report'!$X$21,0))</f>
        <v>68</v>
      </c>
      <c r="AY22" s="301">
        <f>(IF('Water Report'!$X$22&gt;0,'Water Report'!$X$22,0))</f>
        <v>0</v>
      </c>
      <c r="AZ22" s="301">
        <f>(IF('Water Report'!$X$23&gt;0,'Water Report'!$X$23,0))</f>
        <v>24</v>
      </c>
      <c r="BA22" s="301">
        <f>(IF('Water Report'!$X$14&gt;0,'Water Report'!$X$14,0))</f>
        <v>4</v>
      </c>
      <c r="BB22" s="301">
        <f>(IF('Water Report'!$X$15&gt;0,'Water Report'!$X$15,0))</f>
        <v>8</v>
      </c>
      <c r="BC22" s="301">
        <f>(IF('Water Report'!$X$13&gt;0,'Water Report'!$X$13,0))</f>
        <v>48</v>
      </c>
      <c r="BD22" s="301">
        <f>(IF('Water Report'!$X$24&gt;0,'Water Report'!$X$24,0))</f>
        <v>191</v>
      </c>
      <c r="BE22" s="301">
        <f>(IF('Water Report'!$X$25&gt;0,'Water Report'!$X$25,0))</f>
        <v>155</v>
      </c>
      <c r="BF22" s="301">
        <f>(IF('Water Report'!$X$27&gt;0,'Water Report'!$X$27,0))</f>
        <v>140</v>
      </c>
      <c r="BG22" s="296">
        <f>(IF('Section Load'!AN25&gt;0,'Section Load'!AN25,0))</f>
        <v>959</v>
      </c>
      <c r="BH22" s="296">
        <f>(IF('Section Load'!AO25&gt;0,'Section Load'!AO25,0))</f>
        <v>317.86999999999534</v>
      </c>
      <c r="BI22" s="296">
        <f>(IF('Section Load'!AP25&gt;0,'Section Load'!AP25,0))</f>
        <v>0</v>
      </c>
      <c r="BJ22" s="296">
        <f>(IF('Section Load'!AQ25&gt;0,'Section Load'!AQ25,0))</f>
        <v>95</v>
      </c>
      <c r="BK22" s="296">
        <f>(IF('Section Load'!AR25&gt;0,'Section Load'!AR25,0))</f>
        <v>47</v>
      </c>
      <c r="BL22" s="296">
        <f>(IF('Section Load'!AS25&gt;0,'Section Load'!AS25,0))</f>
        <v>0</v>
      </c>
      <c r="BM22" s="296">
        <f>(IF('Section Load'!AT25&gt;0,'Section Load'!AT25,0))</f>
        <v>499.13000000000466</v>
      </c>
    </row>
    <row r="23" spans="1:65">
      <c r="A23" s="287" t="s">
        <v>268</v>
      </c>
      <c r="B23" s="288">
        <f t="shared" si="0"/>
        <v>22</v>
      </c>
      <c r="C23" s="288">
        <v>8</v>
      </c>
      <c r="D23" s="288">
        <v>2022</v>
      </c>
      <c r="E23" s="294">
        <f>(IF('Section Load'!F26&gt;0,'Section Load'!F26,0))</f>
        <v>3797</v>
      </c>
      <c r="F23" s="294">
        <f>(IF('Section Load'!G26&gt;0,'Section Load'!G26,0))</f>
        <v>1022.3099999999977</v>
      </c>
      <c r="G23" s="294">
        <f>(IF('Section Load'!H26&gt;0,'Section Load'!H26,0))</f>
        <v>2121</v>
      </c>
      <c r="H23" s="294">
        <f>(IF('Section Load'!I26&gt;0,'Section Load'!I26,0))</f>
        <v>4205</v>
      </c>
      <c r="I23" s="294">
        <f>(IF('Section Load'!J26&gt;0,'Section Load'!J26,0))</f>
        <v>5132</v>
      </c>
      <c r="J23" s="294">
        <f>(IF('Section Load'!K26&gt;0,'Section Load'!K26,0))</f>
        <v>3122</v>
      </c>
      <c r="K23" s="294">
        <f>(IF('Section Load'!L26&gt;0,'Section Load'!L26,0))</f>
        <v>545</v>
      </c>
      <c r="L23" s="294">
        <f>(IF('Section Load'!M26&gt;0,'Section Load'!M26,0))</f>
        <v>691</v>
      </c>
      <c r="M23" s="294">
        <f>(IF('Section Load'!N26&gt;0,'Section Load'!N26,0))</f>
        <v>109</v>
      </c>
      <c r="N23" s="294">
        <f>(IF('Section Load'!O26&gt;0,'Section Load'!O26,0))</f>
        <v>155</v>
      </c>
      <c r="O23" s="294">
        <f>(IF('Section Load'!P26&gt;0,'Section Load'!P26,0))</f>
        <v>14</v>
      </c>
      <c r="P23" s="294">
        <f>(IF('Section Load'!Q26&gt;0,'Section Load'!Q26,0))</f>
        <v>228</v>
      </c>
      <c r="Q23" s="294">
        <f>(IF('Section Load'!R26&gt;0,'Section Load'!R26,0))</f>
        <v>80</v>
      </c>
      <c r="R23" s="294">
        <f>(IF('Section Load'!S26&gt;0,'Section Load'!S26,0))</f>
        <v>46</v>
      </c>
      <c r="S23" s="294">
        <f>(IF('Section Load'!T26&gt;0,'Section Load'!T26,0))</f>
        <v>44</v>
      </c>
      <c r="T23" s="294">
        <f>(IF('Section Load'!U26&gt;0,'Section Load'!U26,0))</f>
        <v>215</v>
      </c>
      <c r="U23" s="294">
        <f>(IF('Section Load'!V26&gt;0,'Section Load'!V26,0))</f>
        <v>364</v>
      </c>
      <c r="V23" s="294">
        <f>(IF('Section Load'!W26&gt;0,'Section Load'!W26,0))</f>
        <v>271</v>
      </c>
      <c r="W23" s="294">
        <f>(IF('Section Load'!X26&gt;0,'Section Load'!X26,0))</f>
        <v>25</v>
      </c>
      <c r="X23" s="294">
        <f>(IF('Section Load'!Y26&gt;0,'Section Load'!Y26,0))</f>
        <v>251</v>
      </c>
      <c r="Y23" s="294">
        <f>(IF('Section Load'!Z26&gt;0,'Section Load'!Z26,0))</f>
        <v>222</v>
      </c>
      <c r="Z23" s="294">
        <f>(IF('Section Load'!AA26&gt;0,'Section Load'!AA26,0))</f>
        <v>83</v>
      </c>
      <c r="AA23" s="294">
        <f>(IF('Section Load'!AB26&gt;0,'Section Load'!AB26,0))</f>
        <v>36</v>
      </c>
      <c r="AB23" s="294">
        <f>(IF('Section Load'!AC26&gt;0,'Section Load'!AC26,0))</f>
        <v>9.5</v>
      </c>
      <c r="AC23" s="294">
        <f>(IF('Section Load'!AD26&gt;0,'Section Load'!AD26,0))</f>
        <v>149</v>
      </c>
      <c r="AD23" s="294">
        <f>(IF('Section Load'!AE26&gt;0,'Section Load'!AE26,0))</f>
        <v>445</v>
      </c>
      <c r="AE23" s="294">
        <f>(IF('Section Load'!AF26&gt;0,'Section Load'!AF26,0))</f>
        <v>261</v>
      </c>
      <c r="AF23" s="294">
        <f>(IF('Section Load'!AG26&gt;0,'Section Load'!AG26,0))</f>
        <v>635</v>
      </c>
      <c r="AG23" s="294">
        <f>(IF('Section Load'!AH26&gt;0,'Section Load'!AH26,0))</f>
        <v>52</v>
      </c>
      <c r="AH23" s="294">
        <f>(IF('Section Load'!AI26&gt;0,'Section Load'!AI26,0))</f>
        <v>414</v>
      </c>
      <c r="AI23" s="294">
        <f>(IF('Section Load'!AJ26&gt;0,'Section Load'!AJ26,0))</f>
        <v>442</v>
      </c>
      <c r="AJ23" s="294">
        <f>(IF('Section Load'!AK26&gt;0,'Section Load'!AK26,0))</f>
        <v>347</v>
      </c>
      <c r="AK23" s="294">
        <f>(IF('Section Load'!AL26&gt;0,'Section Load'!AL26,0))</f>
        <v>328</v>
      </c>
      <c r="AL23" s="294">
        <f>(IF('Section Load'!AM26&gt;0,'Section Load'!AM26,0))</f>
        <v>880</v>
      </c>
      <c r="AM23" s="295">
        <f>(IF('Water Report'!$Y$7&gt;0,'Water Report'!$Y$7,0))</f>
        <v>104</v>
      </c>
      <c r="AN23" s="295">
        <f>(IF('Water Report'!$Y$8&gt;0,'Water Report'!$Y$8,0))</f>
        <v>101</v>
      </c>
      <c r="AO23" s="295">
        <f>(IF('Water Report'!$Y$9&gt;0,'Water Report'!$Y$9,0))</f>
        <v>98</v>
      </c>
      <c r="AP23" s="295">
        <f>(IF('Water Report'!$Y$10&gt;0,'Water Report'!$Y$10,0))</f>
        <v>18</v>
      </c>
      <c r="AQ23" s="295">
        <f>(IF('Water Report'!$Y$11&gt;0,'Water Report'!$Y$11,0))</f>
        <v>15</v>
      </c>
      <c r="AR23" s="295">
        <f>(IF('Water Report'!$Y$13&gt;0,'Water Report'!$Y$13,0))</f>
        <v>16</v>
      </c>
      <c r="AS23" s="295">
        <f>(IF('Water Report'!$Y$14&gt;0,'Water Report'!$Y$14,0))</f>
        <v>7</v>
      </c>
      <c r="AT23" s="295">
        <f>(IF('Water Report'!$Y$15&gt;0,'Water Report'!$Y$15,0))</f>
        <v>6</v>
      </c>
      <c r="AU23" s="295">
        <f>(IF('Water Report'!$Y$17&gt;0,'Water Report'!$Y$17,0))</f>
        <v>4</v>
      </c>
      <c r="AV23" s="295">
        <f>(IF('Water Report'!$Y$18&gt;0,'Water Report'!$Y$18,0))</f>
        <v>14</v>
      </c>
      <c r="AW23" s="295">
        <f>(IF('Water Report'!$Y$19&gt;0,'Water Report'!$Y$19,0))</f>
        <v>11</v>
      </c>
      <c r="AX23" s="301">
        <f>(IF('Water Report'!$Y$21&gt;0,'Water Report'!$Y$21,0))</f>
        <v>47</v>
      </c>
      <c r="AY23" s="301">
        <f>(IF('Water Report'!$Y$22&gt;0,'Water Report'!$Y$22,0))</f>
        <v>0</v>
      </c>
      <c r="AZ23" s="301">
        <f>(IF('Water Report'!$Y$23&gt;0,'Water Report'!$Y$23,0))</f>
        <v>0</v>
      </c>
      <c r="BA23" s="301">
        <f>(IF('Water Report'!$Y$14&gt;0,'Water Report'!$Y$14,0))</f>
        <v>7</v>
      </c>
      <c r="BB23" s="301">
        <f>(IF('Water Report'!$Y$15&gt;0,'Water Report'!$Y$15,0))</f>
        <v>6</v>
      </c>
      <c r="BC23" s="301">
        <f>(IF('Water Report'!$Y$13&gt;0,'Water Report'!$Y$13,0))</f>
        <v>16</v>
      </c>
      <c r="BD23" s="301">
        <f>(IF('Water Report'!$Y$24&gt;0,'Water Report'!$Y$24,0))</f>
        <v>181</v>
      </c>
      <c r="BE23" s="301">
        <f>(IF('Water Report'!$Y$25&gt;0,'Water Report'!$Y$25,0))</f>
        <v>144</v>
      </c>
      <c r="BF23" s="301">
        <f>(IF('Water Report'!$Y$27&gt;0,'Water Report'!$Y$27,0))</f>
        <v>63</v>
      </c>
      <c r="BG23" s="296">
        <f>(IF('Section Load'!AN26&gt;0,'Section Load'!AN26,0))</f>
        <v>927</v>
      </c>
      <c r="BH23" s="296">
        <f>(IF('Section Load'!AO26&gt;0,'Section Load'!AO26,0))</f>
        <v>316</v>
      </c>
      <c r="BI23" s="296">
        <f>(IF('Section Load'!AP26&gt;0,'Section Load'!AP26,0))</f>
        <v>0</v>
      </c>
      <c r="BJ23" s="296">
        <f>(IF('Section Load'!AQ26&gt;0,'Section Load'!AQ26,0))</f>
        <v>85</v>
      </c>
      <c r="BK23" s="296">
        <f>(IF('Section Load'!AR26&gt;0,'Section Load'!AR26,0))</f>
        <v>56</v>
      </c>
      <c r="BL23" s="296">
        <f>(IF('Section Load'!AS26&gt;0,'Section Load'!AS26,0))</f>
        <v>0</v>
      </c>
      <c r="BM23" s="296">
        <f>(IF('Section Load'!AT26&gt;0,'Section Load'!AT26,0))</f>
        <v>470</v>
      </c>
    </row>
    <row r="24" spans="1:65">
      <c r="A24" s="287" t="s">
        <v>268</v>
      </c>
      <c r="B24" s="288">
        <f t="shared" si="0"/>
        <v>23</v>
      </c>
      <c r="C24" s="288">
        <v>8</v>
      </c>
      <c r="D24" s="288">
        <v>2022</v>
      </c>
      <c r="E24" s="294">
        <f>(IF('Section Load'!F27&gt;0,'Section Load'!F27,0))</f>
        <v>3711</v>
      </c>
      <c r="F24" s="294">
        <f>(IF('Section Load'!G27&gt;0,'Section Load'!G27,0))</f>
        <v>985</v>
      </c>
      <c r="G24" s="294">
        <f>(IF('Section Load'!H27&gt;0,'Section Load'!H27,0))</f>
        <v>2132</v>
      </c>
      <c r="H24" s="294">
        <f>(IF('Section Load'!I27&gt;0,'Section Load'!I27,0))</f>
        <v>3942</v>
      </c>
      <c r="I24" s="294">
        <f>(IF('Section Load'!J27&gt;0,'Section Load'!J27,0))</f>
        <v>6427</v>
      </c>
      <c r="J24" s="294">
        <f>(IF('Section Load'!K27&gt;0,'Section Load'!K27,0))</f>
        <v>3100.0300000000279</v>
      </c>
      <c r="K24" s="294">
        <f>(IF('Section Load'!L27&gt;0,'Section Load'!L27,0))</f>
        <v>1411</v>
      </c>
      <c r="L24" s="294">
        <f>(IF('Section Load'!M27&gt;0,'Section Load'!M27,0))</f>
        <v>711</v>
      </c>
      <c r="M24" s="294">
        <f>(IF('Section Load'!N27&gt;0,'Section Load'!N27,0))</f>
        <v>78</v>
      </c>
      <c r="N24" s="294">
        <f>(IF('Section Load'!O27&gt;0,'Section Load'!O27,0))</f>
        <v>141</v>
      </c>
      <c r="O24" s="294">
        <f>(IF('Section Load'!P27&gt;0,'Section Load'!P27,0))</f>
        <v>15</v>
      </c>
      <c r="P24" s="294">
        <f>(IF('Section Load'!Q27&gt;0,'Section Load'!Q27,0))</f>
        <v>222</v>
      </c>
      <c r="Q24" s="294">
        <f>(IF('Section Load'!R27&gt;0,'Section Load'!R27,0))</f>
        <v>66</v>
      </c>
      <c r="R24" s="294">
        <f>(IF('Section Load'!S27&gt;0,'Section Load'!S27,0))</f>
        <v>58</v>
      </c>
      <c r="S24" s="294">
        <f>(IF('Section Load'!T27&gt;0,'Section Load'!T27,0))</f>
        <v>48</v>
      </c>
      <c r="T24" s="294">
        <f>(IF('Section Load'!U27&gt;0,'Section Load'!U27,0))</f>
        <v>215</v>
      </c>
      <c r="U24" s="294">
        <f>(IF('Section Load'!V27&gt;0,'Section Load'!V27,0))</f>
        <v>360</v>
      </c>
      <c r="V24" s="294">
        <f>(IF('Section Load'!W27&gt;0,'Section Load'!W27,0))</f>
        <v>293</v>
      </c>
      <c r="W24" s="294">
        <f>(IF('Section Load'!X27&gt;0,'Section Load'!X27,0))</f>
        <v>28</v>
      </c>
      <c r="X24" s="294">
        <f>(IF('Section Load'!Y27&gt;0,'Section Load'!Y27,0))</f>
        <v>241</v>
      </c>
      <c r="Y24" s="294">
        <f>(IF('Section Load'!Z27&gt;0,'Section Load'!Z27,0))</f>
        <v>239</v>
      </c>
      <c r="Z24" s="294">
        <f>(IF('Section Load'!AA27&gt;0,'Section Load'!AA27,0))</f>
        <v>88</v>
      </c>
      <c r="AA24" s="294">
        <f>(IF('Section Load'!AB27&gt;0,'Section Load'!AB27,0))</f>
        <v>35</v>
      </c>
      <c r="AB24" s="294">
        <f>(IF('Section Load'!AC27&gt;0,'Section Load'!AC27,0))</f>
        <v>5.5</v>
      </c>
      <c r="AC24" s="294">
        <f>(IF('Section Load'!AD27&gt;0,'Section Load'!AD27,0))</f>
        <v>91</v>
      </c>
      <c r="AD24" s="294">
        <f>(IF('Section Load'!AE27&gt;0,'Section Load'!AE27,0))</f>
        <v>258</v>
      </c>
      <c r="AE24" s="294">
        <f>(IF('Section Load'!AF27&gt;0,'Section Load'!AF27,0))</f>
        <v>277</v>
      </c>
      <c r="AF24" s="294">
        <f>(IF('Section Load'!AG27&gt;0,'Section Load'!AG27,0))</f>
        <v>584</v>
      </c>
      <c r="AG24" s="294">
        <f>(IF('Section Load'!AH27&gt;0,'Section Load'!AH27,0))</f>
        <v>31</v>
      </c>
      <c r="AH24" s="294">
        <f>(IF('Section Load'!AI27&gt;0,'Section Load'!AI27,0))</f>
        <v>405</v>
      </c>
      <c r="AI24" s="294">
        <f>(IF('Section Load'!AJ27&gt;0,'Section Load'!AJ27,0))</f>
        <v>446</v>
      </c>
      <c r="AJ24" s="294">
        <f>(IF('Section Load'!AK27&gt;0,'Section Load'!AK27,0))</f>
        <v>328</v>
      </c>
      <c r="AK24" s="294">
        <f>(IF('Section Load'!AL27&gt;0,'Section Load'!AL27,0))</f>
        <v>331</v>
      </c>
      <c r="AL24" s="294">
        <f>(IF('Section Load'!AM27&gt;0,'Section Load'!AM27,0))</f>
        <v>879</v>
      </c>
      <c r="AM24" s="295">
        <f>(IF('Water Report'!$Z$7&gt;0,'Water Report'!$Z$7,0))</f>
        <v>116</v>
      </c>
      <c r="AN24" s="295">
        <f>(IF('Water Report'!$Z$8&gt;0,'Water Report'!$Z$8,0))</f>
        <v>86</v>
      </c>
      <c r="AO24" s="295">
        <f>(IF('Water Report'!$Z$9&gt;0,'Water Report'!$Z$9,0))</f>
        <v>90</v>
      </c>
      <c r="AP24" s="295">
        <f>(IF('Water Report'!$Z$10&gt;0,'Water Report'!$Z$10,0))</f>
        <v>16</v>
      </c>
      <c r="AQ24" s="295">
        <f>(IF('Water Report'!$Z$11&gt;0,'Water Report'!$Z$11,0))</f>
        <v>17</v>
      </c>
      <c r="AR24" s="295">
        <f>(IF('Water Report'!$Z$13&gt;0,'Water Report'!$Z$13,0))</f>
        <v>8</v>
      </c>
      <c r="AS24" s="295">
        <f>(IF('Water Report'!$Z$14&gt;0,'Water Report'!$Z$14,0))</f>
        <v>5</v>
      </c>
      <c r="AT24" s="295">
        <f>(IF('Water Report'!$Z$15&gt;0,'Water Report'!$Z$15,0))</f>
        <v>7</v>
      </c>
      <c r="AU24" s="295">
        <f>(IF('Water Report'!$Z$17&gt;0,'Water Report'!$Z$17,0))</f>
        <v>2</v>
      </c>
      <c r="AV24" s="295">
        <f>(IF('Water Report'!$Z$18&gt;0,'Water Report'!$Z$18,0))</f>
        <v>11</v>
      </c>
      <c r="AW24" s="295">
        <f>(IF('Water Report'!$Z$19&gt;0,'Water Report'!$Z$19,0))</f>
        <v>12</v>
      </c>
      <c r="AX24" s="301">
        <f>(IF('Water Report'!$Z$21&gt;0,'Water Report'!$Z$21,0))</f>
        <v>71</v>
      </c>
      <c r="AY24" s="301">
        <f>(IF('Water Report'!$Z$22&gt;0,'Water Report'!$Z$22,0))</f>
        <v>0</v>
      </c>
      <c r="AZ24" s="301">
        <f>(IF('Water Report'!$Z$23&gt;0,'Water Report'!$Z$23,0))</f>
        <v>18</v>
      </c>
      <c r="BA24" s="301">
        <f>(IF('Water Report'!$Z$14&gt;0,'Water Report'!$Z$14,0))</f>
        <v>5</v>
      </c>
      <c r="BB24" s="301">
        <f>(IF('Water Report'!$Z$15&gt;0,'Water Report'!$Z$15,0))</f>
        <v>7</v>
      </c>
      <c r="BC24" s="301">
        <f>(IF('Water Report'!$Z$13&gt;0,'Water Report'!$Z$13,0))</f>
        <v>8</v>
      </c>
      <c r="BD24" s="301">
        <f>(IF('Water Report'!$Z$24&gt;0,'Water Report'!$Z$24,0))</f>
        <v>209</v>
      </c>
      <c r="BE24" s="301">
        <f>(IF('Water Report'!$Z$25&gt;0,'Water Report'!$Z$25,0))</f>
        <v>135</v>
      </c>
      <c r="BF24" s="301">
        <f>(IF('Water Report'!$Z$27&gt;0,'Water Report'!$Z$27,0))</f>
        <v>97</v>
      </c>
      <c r="BG24" s="296">
        <f>(IF('Section Load'!AN27&gt;0,'Section Load'!AN27,0))</f>
        <v>951</v>
      </c>
      <c r="BH24" s="296">
        <f>(IF('Section Load'!AO27&gt;0,'Section Load'!AO27,0))</f>
        <v>306</v>
      </c>
      <c r="BI24" s="296">
        <f>(IF('Section Load'!AP27&gt;0,'Section Load'!AP27,0))</f>
        <v>0</v>
      </c>
      <c r="BJ24" s="296">
        <f>(IF('Section Load'!AQ27&gt;0,'Section Load'!AQ27,0))</f>
        <v>89</v>
      </c>
      <c r="BK24" s="296">
        <f>(IF('Section Load'!AR27&gt;0,'Section Load'!AR27,0))</f>
        <v>40</v>
      </c>
      <c r="BL24" s="296">
        <f>(IF('Section Load'!AS27&gt;0,'Section Load'!AS27,0))</f>
        <v>0</v>
      </c>
      <c r="BM24" s="296">
        <f>(IF('Section Load'!AT27&gt;0,'Section Load'!AT27,0))</f>
        <v>516</v>
      </c>
    </row>
    <row r="25" spans="1:65">
      <c r="A25" s="287" t="s">
        <v>268</v>
      </c>
      <c r="B25" s="288">
        <f t="shared" si="0"/>
        <v>24</v>
      </c>
      <c r="C25" s="288">
        <v>8</v>
      </c>
      <c r="D25" s="288">
        <v>2022</v>
      </c>
      <c r="E25" s="294">
        <f>(IF('Section Load'!F28&gt;0,'Section Load'!F28,0))</f>
        <v>3810.3600000000442</v>
      </c>
      <c r="F25" s="294">
        <f>(IF('Section Load'!G28&gt;0,'Section Load'!G28,0))</f>
        <v>1054.5200000000041</v>
      </c>
      <c r="G25" s="294">
        <f>(IF('Section Load'!H28&gt;0,'Section Load'!H28,0))</f>
        <v>2229.1500000000233</v>
      </c>
      <c r="H25" s="294">
        <f>(IF('Section Load'!I28&gt;0,'Section Load'!I28,0))</f>
        <v>4084.6899999999441</v>
      </c>
      <c r="I25" s="294">
        <f>(IF('Section Load'!J28&gt;0,'Section Load'!J28,0))</f>
        <v>5457.7799999999552</v>
      </c>
      <c r="J25" s="294">
        <f>(IF('Section Load'!K28&gt;0,'Section Load'!K28,0))</f>
        <v>2906.210000000021</v>
      </c>
      <c r="K25" s="294">
        <f>(IF('Section Load'!L28&gt;0,'Section Load'!L28,0))</f>
        <v>1136.5300000000279</v>
      </c>
      <c r="L25" s="294">
        <f>(IF('Section Load'!M28&gt;0,'Section Load'!M28,0))</f>
        <v>776.39000000001397</v>
      </c>
      <c r="M25" s="294">
        <f>(IF('Section Load'!N28&gt;0,'Section Load'!N28,0))</f>
        <v>130</v>
      </c>
      <c r="N25" s="294">
        <f>(IF('Section Load'!O28&gt;0,'Section Load'!O28,0))</f>
        <v>144</v>
      </c>
      <c r="O25" s="294">
        <f>(IF('Section Load'!P28&gt;0,'Section Load'!P28,0))</f>
        <v>17.619999999999891</v>
      </c>
      <c r="P25" s="294">
        <f>(IF('Section Load'!Q28&gt;0,'Section Load'!Q28,0))</f>
        <v>204.83000000000175</v>
      </c>
      <c r="Q25" s="294">
        <f>(IF('Section Load'!R28&gt;0,'Section Load'!R28,0))</f>
        <v>81.919999999998254</v>
      </c>
      <c r="R25" s="294">
        <f>(IF('Section Load'!S28&gt;0,'Section Load'!S28,0))</f>
        <v>70</v>
      </c>
      <c r="S25" s="294">
        <f>(IF('Section Load'!T28&gt;0,'Section Load'!T28,0))</f>
        <v>47</v>
      </c>
      <c r="T25" s="294">
        <f>(IF('Section Load'!U28&gt;0,'Section Load'!U28,0))</f>
        <v>221</v>
      </c>
      <c r="U25" s="294">
        <f>(IF('Section Load'!V28&gt;0,'Section Load'!V28,0))</f>
        <v>377.59999999997672</v>
      </c>
      <c r="V25" s="294">
        <f>(IF('Section Load'!W28&gt;0,'Section Load'!W28,0))</f>
        <v>298.71999999997206</v>
      </c>
      <c r="W25" s="294">
        <f>(IF('Section Load'!X28&gt;0,'Section Load'!X28,0))</f>
        <v>29.739999999999782</v>
      </c>
      <c r="X25" s="294">
        <f>(IF('Section Load'!Y28&gt;0,'Section Load'!Y28,0))</f>
        <v>233.45999999999913</v>
      </c>
      <c r="Y25" s="294">
        <f>(IF('Section Load'!Z28&gt;0,'Section Load'!Z28,0))</f>
        <v>263</v>
      </c>
      <c r="Z25" s="294">
        <f>(IF('Section Load'!AA28&gt;0,'Section Load'!AA28,0))</f>
        <v>65.71999999997206</v>
      </c>
      <c r="AA25" s="294">
        <f>(IF('Section Load'!AB28&gt;0,'Section Load'!AB28,0))</f>
        <v>41</v>
      </c>
      <c r="AB25" s="294">
        <f>(IF('Section Load'!AC28&gt;0,'Section Load'!AC28,0))</f>
        <v>0.15999999999985448</v>
      </c>
      <c r="AC25" s="294">
        <f>(IF('Section Load'!AD28&gt;0,'Section Load'!AD28,0))</f>
        <v>131.69999999999982</v>
      </c>
      <c r="AD25" s="294">
        <f>(IF('Section Load'!AE28&gt;0,'Section Load'!AE28,0))</f>
        <v>345.47000000000116</v>
      </c>
      <c r="AE25" s="294">
        <f>(IF('Section Load'!AF28&gt;0,'Section Load'!AF28,0))</f>
        <v>292.33000000000175</v>
      </c>
      <c r="AF25" s="294">
        <f>(IF('Section Load'!AG28&gt;0,'Section Load'!AG28,0))</f>
        <v>634.14999999999418</v>
      </c>
      <c r="AG25" s="294">
        <f>(IF('Section Load'!AH28&gt;0,'Section Load'!AH28,0))</f>
        <v>28.44999999999709</v>
      </c>
      <c r="AH25" s="294">
        <f>(IF('Section Load'!AI28&gt;0,'Section Load'!AI28,0))</f>
        <v>425.87999999999738</v>
      </c>
      <c r="AI25" s="294">
        <f>(IF('Section Load'!AJ28&gt;0,'Section Load'!AJ28,0))</f>
        <v>450.44000000000233</v>
      </c>
      <c r="AJ25" s="294">
        <f>(IF('Section Load'!AK28&gt;0,'Section Load'!AK28,0))</f>
        <v>283.18000000000029</v>
      </c>
      <c r="AK25" s="294">
        <f>(IF('Section Load'!AL28&gt;0,'Section Load'!AL28,0))</f>
        <v>336.80999999999767</v>
      </c>
      <c r="AL25" s="294">
        <f>(IF('Section Load'!AM28&gt;0,'Section Load'!AM28,0))</f>
        <v>893.23000000001048</v>
      </c>
      <c r="AM25" s="295">
        <f>(IF('Water Report'!$AA$7&gt;0,'Water Report'!$AA$7,0))</f>
        <v>132</v>
      </c>
      <c r="AN25" s="295">
        <f>(IF('Water Report'!$AA$8&gt;0,'Water Report'!$AA$8,0))</f>
        <v>52</v>
      </c>
      <c r="AO25" s="295">
        <f>(IF('Water Report'!$AA$9&gt;0,'Water Report'!$AA$9,0))</f>
        <v>105</v>
      </c>
      <c r="AP25" s="295">
        <f>(IF('Water Report'!$AA$10&gt;0,'Water Report'!$AA$10,0))</f>
        <v>15</v>
      </c>
      <c r="AQ25" s="295">
        <f>(IF('Water Report'!$AA$11&gt;0,'Water Report'!$AA$11,0))</f>
        <v>19</v>
      </c>
      <c r="AR25" s="295">
        <f>(IF('Water Report'!$AA$13&gt;0,'Water Report'!$AA$13,0))</f>
        <v>20</v>
      </c>
      <c r="AS25" s="295">
        <f>(IF('Water Report'!$AA$14&gt;0,'Water Report'!$AA$14,0))</f>
        <v>2</v>
      </c>
      <c r="AT25" s="295">
        <f>(IF('Water Report'!$AA$15&gt;0,'Water Report'!$AA$15,0))</f>
        <v>8</v>
      </c>
      <c r="AU25" s="295">
        <f>(IF('Water Report'!$AA$17&gt;0,'Water Report'!$AA$17,0))</f>
        <v>0</v>
      </c>
      <c r="AV25" s="295">
        <f>(IF('Water Report'!$AA$18&gt;0,'Water Report'!$AA$18,0))</f>
        <v>12</v>
      </c>
      <c r="AW25" s="295">
        <f>(IF('Water Report'!$AA$19&gt;0,'Water Report'!$AA$19,0))</f>
        <v>10</v>
      </c>
      <c r="AX25" s="301">
        <f>(IF('Water Report'!$AA$21&gt;0,'Water Report'!$AA$21,0))</f>
        <v>75</v>
      </c>
      <c r="AY25" s="301">
        <f>(IF('Water Report'!$AA$22&gt;0,'Water Report'!$AA$22,0))</f>
        <v>67</v>
      </c>
      <c r="AZ25" s="301">
        <f>(IF('Water Report'!$AA$23&gt;0,'Water Report'!$AA$23,0))</f>
        <v>0</v>
      </c>
      <c r="BA25" s="301">
        <f>(IF('Water Report'!$AA$14&gt;0,'Water Report'!$AA$14,0))</f>
        <v>2</v>
      </c>
      <c r="BB25" s="301">
        <f>(IF('Water Report'!$AA$15&gt;0,'Water Report'!$AA$15,0))</f>
        <v>8</v>
      </c>
      <c r="BC25" s="301">
        <f>(IF('Water Report'!$AA$13&gt;0,'Water Report'!$AA$13,0))</f>
        <v>20</v>
      </c>
      <c r="BD25" s="301">
        <f>(IF('Water Report'!$AA$24&gt;0,'Water Report'!$AA$24,0))</f>
        <v>297</v>
      </c>
      <c r="BE25" s="301">
        <f>(IF('Water Report'!$AA$25&gt;0,'Water Report'!$AA$25,0))</f>
        <v>149</v>
      </c>
      <c r="BF25" s="301">
        <f>(IF('Water Report'!$AA$27&gt;0,'Water Report'!$AA$27,0))</f>
        <v>95</v>
      </c>
      <c r="BG25" s="296">
        <f>(IF('Section Load'!AN28&gt;0,'Section Load'!AN28,0))</f>
        <v>919.81999999983236</v>
      </c>
      <c r="BH25" s="296">
        <f>(IF('Section Load'!AO28&gt;0,'Section Load'!AO28,0))</f>
        <v>252.5</v>
      </c>
      <c r="BI25" s="296">
        <f>(IF('Section Load'!AP28&gt;0,'Section Load'!AP28,0))</f>
        <v>0</v>
      </c>
      <c r="BJ25" s="296">
        <f>(IF('Section Load'!AQ28&gt;0,'Section Load'!AQ28,0))</f>
        <v>100.10999999998603</v>
      </c>
      <c r="BK25" s="296">
        <f>(IF('Section Load'!AR28&gt;0,'Section Load'!AR28,0))</f>
        <v>39.900000000001455</v>
      </c>
      <c r="BL25" s="296">
        <f>(IF('Section Load'!AS28&gt;0,'Section Load'!AS28,0))</f>
        <v>0</v>
      </c>
      <c r="BM25" s="296">
        <f>(IF('Section Load'!AT28&gt;0,'Section Load'!AT28,0))</f>
        <v>527.30999999984488</v>
      </c>
    </row>
    <row r="26" spans="1:65">
      <c r="A26" s="287" t="s">
        <v>268</v>
      </c>
      <c r="B26" s="288">
        <f>B25+1</f>
        <v>25</v>
      </c>
      <c r="C26" s="288">
        <v>8</v>
      </c>
      <c r="D26" s="288">
        <v>2022</v>
      </c>
      <c r="E26" s="294">
        <f>(IF('Section Load'!F29&gt;0,'Section Load'!F29,0))</f>
        <v>3825.2799999999115</v>
      </c>
      <c r="F26" s="294">
        <f>(IF('Section Load'!G29&gt;0,'Section Load'!G29,0))</f>
        <v>1085.3899999999994</v>
      </c>
      <c r="G26" s="294">
        <f>(IF('Section Load'!H29&gt;0,'Section Load'!H29,0))</f>
        <v>2198.5999999999767</v>
      </c>
      <c r="H26" s="294">
        <f>(IF('Section Load'!I29&gt;0,'Section Load'!I29,0))</f>
        <v>4181.6900000000023</v>
      </c>
      <c r="I26" s="294">
        <f>(IF('Section Load'!J29&gt;0,'Section Load'!J29,0))</f>
        <v>7479.9199999999837</v>
      </c>
      <c r="J26" s="294">
        <f>(IF('Section Load'!K29&gt;0,'Section Load'!K29,0))</f>
        <v>3225.2999999999884</v>
      </c>
      <c r="K26" s="294">
        <f>(IF('Section Load'!L29&gt;0,'Section Load'!L29,0))</f>
        <v>1672.4399999999441</v>
      </c>
      <c r="L26" s="294">
        <f>(IF('Section Load'!M29&gt;0,'Section Load'!M29,0))</f>
        <v>1070.3999999999942</v>
      </c>
      <c r="M26" s="294">
        <f>(IF('Section Load'!N29&gt;0,'Section Load'!N29,0))</f>
        <v>134</v>
      </c>
      <c r="N26" s="294">
        <f>(IF('Section Load'!O29&gt;0,'Section Load'!O29,0))</f>
        <v>180</v>
      </c>
      <c r="O26" s="294">
        <f>(IF('Section Load'!P29&gt;0,'Section Load'!P29,0))</f>
        <v>15.330000000000155</v>
      </c>
      <c r="P26" s="294">
        <f>(IF('Section Load'!Q29&gt;0,'Section Load'!Q29,0))</f>
        <v>218.5</v>
      </c>
      <c r="Q26" s="294">
        <f>(IF('Section Load'!R29&gt;0,'Section Load'!R29,0))</f>
        <v>81.970000000001164</v>
      </c>
      <c r="R26" s="294">
        <f>(IF('Section Load'!S29&gt;0,'Section Load'!S29,0))</f>
        <v>60.430000000000291</v>
      </c>
      <c r="S26" s="294">
        <f>(IF('Section Load'!T29&gt;0,'Section Load'!T29,0))</f>
        <v>44</v>
      </c>
      <c r="T26" s="294">
        <f>(IF('Section Load'!U29&gt;0,'Section Load'!U29,0))</f>
        <v>206</v>
      </c>
      <c r="U26" s="294">
        <f>(IF('Section Load'!V29&gt;0,'Section Load'!V29,0))</f>
        <v>409.76000000000931</v>
      </c>
      <c r="V26" s="294">
        <f>(IF('Section Load'!W29&gt;0,'Section Load'!W29,0))</f>
        <v>389.35999999998603</v>
      </c>
      <c r="W26" s="294">
        <f>(IF('Section Load'!X29&gt;0,'Section Load'!X29,0))</f>
        <v>29.180000000000291</v>
      </c>
      <c r="X26" s="294">
        <f>(IF('Section Load'!Y29&gt;0,'Section Load'!Y29,0))</f>
        <v>244.15000000000146</v>
      </c>
      <c r="Y26" s="294">
        <f>(IF('Section Load'!Z29&gt;0,'Section Load'!Z29,0))</f>
        <v>251</v>
      </c>
      <c r="Z26" s="294">
        <f>(IF('Section Load'!AA29&gt;0,'Section Load'!AA29,0))</f>
        <v>57.200000000011642</v>
      </c>
      <c r="AA26" s="294">
        <f>(IF('Section Load'!AB29&gt;0,'Section Load'!AB29,0))</f>
        <v>35.80000000000291</v>
      </c>
      <c r="AB26" s="294">
        <f>(IF('Section Load'!AC29&gt;0,'Section Load'!AC29,0))</f>
        <v>0</v>
      </c>
      <c r="AC26" s="294">
        <f>(IF('Section Load'!AD29&gt;0,'Section Load'!AD29,0))</f>
        <v>170.90000000000055</v>
      </c>
      <c r="AD26" s="294">
        <f>(IF('Section Load'!AE29&gt;0,'Section Load'!AE29,0))</f>
        <v>402.7899999999936</v>
      </c>
      <c r="AE26" s="294">
        <f>(IF('Section Load'!AF29&gt;0,'Section Load'!AF29,0))</f>
        <v>267.18000000000029</v>
      </c>
      <c r="AF26" s="294">
        <f>(IF('Section Load'!AG29&gt;0,'Section Load'!AG29,0))</f>
        <v>656.95000000001164</v>
      </c>
      <c r="AG26" s="294">
        <f>(IF('Section Load'!AH29&gt;0,'Section Load'!AH29,0))</f>
        <v>26.040000000000873</v>
      </c>
      <c r="AH26" s="294">
        <f>(IF('Section Load'!AI29&gt;0,'Section Load'!AI29,0))</f>
        <v>424.76000000000204</v>
      </c>
      <c r="AI26" s="294">
        <f>(IF('Section Load'!AJ29&gt;0,'Section Load'!AJ29,0))</f>
        <v>444.44999999999709</v>
      </c>
      <c r="AJ26" s="294">
        <f>(IF('Section Load'!AK29&gt;0,'Section Load'!AK29,0))</f>
        <v>281.48999999999796</v>
      </c>
      <c r="AK26" s="294">
        <f>(IF('Section Load'!AL29&gt;0,'Section Load'!AL29,0))</f>
        <v>334.80000000000291</v>
      </c>
      <c r="AL26" s="294">
        <f>(IF('Section Load'!AM29&gt;0,'Section Load'!AM29,0))</f>
        <v>878.11999999999534</v>
      </c>
      <c r="AM26" s="295">
        <f>(IF('Water Report'!$AB$7&gt;0,'Water Report'!$AB$7,0))</f>
        <v>88</v>
      </c>
      <c r="AN26" s="295">
        <f>(IF('Water Report'!$AB$8&gt;0,'Water Report'!$AB$8,0))</f>
        <v>112</v>
      </c>
      <c r="AO26" s="295">
        <f>(IF('Water Report'!$AB$9&gt;0,'Water Report'!$AB$9,0))</f>
        <v>102</v>
      </c>
      <c r="AP26" s="295">
        <f>(IF('Water Report'!$AB$10&gt;0,'Water Report'!$AB$10,0))</f>
        <v>7</v>
      </c>
      <c r="AQ26" s="295">
        <f>(IF('Water Report'!$AB$11&gt;0,'Water Report'!$AB$11,0))</f>
        <v>15</v>
      </c>
      <c r="AR26" s="295">
        <f>(IF('Water Report'!$AB$13&gt;0,'Water Report'!$AB$13,0))</f>
        <v>23</v>
      </c>
      <c r="AS26" s="295">
        <f>(IF('Water Report'!$AB$14&gt;0,'Water Report'!$AB$14,0))</f>
        <v>3</v>
      </c>
      <c r="AT26" s="295">
        <f>(IF('Water Report'!$AB$15&gt;0,'Water Report'!$AB$15,0))</f>
        <v>10</v>
      </c>
      <c r="AU26" s="295">
        <f>(IF('Water Report'!$AB$17&gt;0,'Water Report'!$AB$17,0))</f>
        <v>4</v>
      </c>
      <c r="AV26" s="295">
        <f>(IF('Water Report'!$AB$18&gt;0,'Water Report'!$AB$18,0))</f>
        <v>13</v>
      </c>
      <c r="AW26" s="295">
        <f>(IF('Water Report'!$AB$19&gt;0,'Water Report'!$AB$19,0))</f>
        <v>10</v>
      </c>
      <c r="AX26" s="301">
        <f>(IF('Water Report'!$AB$21&gt;0,'Water Report'!$AB$21,0))</f>
        <v>63</v>
      </c>
      <c r="AY26" s="301">
        <f>(IF('Water Report'!$AB$22&gt;0,'Water Report'!$AB$22,0))</f>
        <v>0</v>
      </c>
      <c r="AZ26" s="301">
        <f>(IF('Water Report'!$AB$23&gt;0,'Water Report'!$AB$23,0))</f>
        <v>0</v>
      </c>
      <c r="BA26" s="301">
        <f>(IF('Water Report'!$AB$14&gt;0,'Water Report'!$AB$14,0))</f>
        <v>3</v>
      </c>
      <c r="BB26" s="301">
        <f>(IF('Water Report'!$AB$15&gt;0,'Water Report'!$AB$15,0))</f>
        <v>10</v>
      </c>
      <c r="BC26" s="301">
        <f>(IF('Water Report'!$AB$13&gt;0,'Water Report'!$AB$13,0))</f>
        <v>23</v>
      </c>
      <c r="BD26" s="301">
        <f>(IF('Water Report'!$AB$24&gt;0,'Water Report'!$AB$24,0))</f>
        <v>129</v>
      </c>
      <c r="BE26" s="301">
        <f>(IF('Water Report'!$AB$25&gt;0,'Water Report'!$AB$25,0))</f>
        <v>137</v>
      </c>
      <c r="BF26" s="301">
        <f>(IF('Water Report'!$AB$27&gt;0,'Water Report'!$AB$27,0))</f>
        <v>86</v>
      </c>
      <c r="BG26" s="296">
        <f>(IF('Section Load'!AN29&gt;0,'Section Load'!AN29,0))</f>
        <v>944.3800000003539</v>
      </c>
      <c r="BH26" s="296">
        <f>(IF('Section Load'!AO29&gt;0,'Section Load'!AO29,0))</f>
        <v>312.73999999999069</v>
      </c>
      <c r="BI26" s="296">
        <f>(IF('Section Load'!AP29&gt;0,'Section Load'!AP29,0))</f>
        <v>0</v>
      </c>
      <c r="BJ26" s="296">
        <f>(IF('Section Load'!AQ29&gt;0,'Section Load'!AQ29,0))</f>
        <v>99.440000000002328</v>
      </c>
      <c r="BK26" s="296">
        <f>(IF('Section Load'!AR29&gt;0,'Section Load'!AR29,0))</f>
        <v>44.099999999998545</v>
      </c>
      <c r="BL26" s="296">
        <f>(IF('Section Load'!AS29&gt;0,'Section Load'!AS29,0))</f>
        <v>0</v>
      </c>
      <c r="BM26" s="296">
        <f>(IF('Section Load'!AT29&gt;0,'Section Load'!AT29,0))</f>
        <v>488.10000000036234</v>
      </c>
    </row>
    <row r="27" spans="1:65">
      <c r="A27" s="287" t="s">
        <v>268</v>
      </c>
      <c r="B27" s="288">
        <f t="shared" si="0"/>
        <v>26</v>
      </c>
      <c r="C27" s="288">
        <v>8</v>
      </c>
      <c r="D27" s="288">
        <v>2022</v>
      </c>
      <c r="E27" s="294">
        <f>(IF('Section Load'!F30&gt;0,'Section Load'!F30,0))</f>
        <v>3883.7600000000093</v>
      </c>
      <c r="F27" s="294">
        <f>(IF('Section Load'!G30&gt;0,'Section Load'!G30,0))</f>
        <v>1081.6199999999953</v>
      </c>
      <c r="G27" s="294">
        <f>(IF('Section Load'!H30&gt;0,'Section Load'!H30,0))</f>
        <v>2171.2000000000116</v>
      </c>
      <c r="H27" s="294">
        <f>(IF('Section Load'!I30&gt;0,'Section Load'!I30,0))</f>
        <v>4291.3399999999965</v>
      </c>
      <c r="I27" s="294">
        <f>(IF('Section Load'!J30&gt;0,'Section Load'!J30,0))</f>
        <v>6455.4000000000815</v>
      </c>
      <c r="J27" s="294">
        <f>(IF('Section Load'!K30&gt;0,'Section Load'!K30,0))</f>
        <v>2854.820000000007</v>
      </c>
      <c r="K27" s="294">
        <f>(IF('Section Load'!L30&gt;0,'Section Load'!L30,0))</f>
        <v>1123.4800000000396</v>
      </c>
      <c r="L27" s="294">
        <f>(IF('Section Load'!M30&gt;0,'Section Load'!M30,0))</f>
        <v>1045.6999999999825</v>
      </c>
      <c r="M27" s="294">
        <f>(IF('Section Load'!N30&gt;0,'Section Load'!N30,0))</f>
        <v>157</v>
      </c>
      <c r="N27" s="294">
        <f>(IF('Section Load'!O30&gt;0,'Section Load'!O30,0))</f>
        <v>151</v>
      </c>
      <c r="O27" s="294">
        <f>(IF('Section Load'!P30&gt;0,'Section Load'!P30,0))</f>
        <v>16.159999999999854</v>
      </c>
      <c r="P27" s="294">
        <f>(IF('Section Load'!Q30&gt;0,'Section Load'!Q30,0))</f>
        <v>207.94999999999709</v>
      </c>
      <c r="Q27" s="294">
        <f>(IF('Section Load'!R30&gt;0,'Section Load'!R30,0))</f>
        <v>74.020000000004075</v>
      </c>
      <c r="R27" s="294">
        <f>(IF('Section Load'!S30&gt;0,'Section Load'!S30,0))</f>
        <v>80.659999999999854</v>
      </c>
      <c r="S27" s="294">
        <f>(IF('Section Load'!T30&gt;0,'Section Load'!T30,0))</f>
        <v>53</v>
      </c>
      <c r="T27" s="294">
        <f>(IF('Section Load'!U30&gt;0,'Section Load'!U30,0))</f>
        <v>210</v>
      </c>
      <c r="U27" s="294">
        <f>(IF('Section Load'!V30&gt;0,'Section Load'!V30,0))</f>
        <v>401.28000000002794</v>
      </c>
      <c r="V27" s="294">
        <f>(IF('Section Load'!W30&gt;0,'Section Load'!W30,0))</f>
        <v>384.32000000006519</v>
      </c>
      <c r="W27" s="294">
        <f>(IF('Section Load'!X30&gt;0,'Section Load'!X30,0))</f>
        <v>29.649999999999636</v>
      </c>
      <c r="X27" s="294">
        <f>(IF('Section Load'!Y30&gt;0,'Section Load'!Y30,0))</f>
        <v>250.97000000000116</v>
      </c>
      <c r="Y27" s="294">
        <f>(IF('Section Load'!Z30&gt;0,'Section Load'!Z30,0))</f>
        <v>284</v>
      </c>
      <c r="Z27" s="294">
        <f>(IF('Section Load'!AA30&gt;0,'Section Load'!AA30,0))</f>
        <v>59.360000000044238</v>
      </c>
      <c r="AA27" s="294">
        <f>(IF('Section Load'!AB30&gt;0,'Section Load'!AB30,0))</f>
        <v>44.19999999999709</v>
      </c>
      <c r="AB27" s="294">
        <f>(IF('Section Load'!AC30&gt;0,'Section Load'!AC30,0))</f>
        <v>0</v>
      </c>
      <c r="AC27" s="294">
        <f>(IF('Section Load'!AD30&gt;0,'Section Load'!AD30,0))</f>
        <v>156.09999999999854</v>
      </c>
      <c r="AD27" s="294">
        <f>(IF('Section Load'!AE30&gt;0,'Section Load'!AE30,0))</f>
        <v>503.02000000000407</v>
      </c>
      <c r="AE27" s="294">
        <f>(IF('Section Load'!AF30&gt;0,'Section Load'!AF30,0))</f>
        <v>276.22000000000116</v>
      </c>
      <c r="AF27" s="294">
        <f>(IF('Section Load'!AG30&gt;0,'Section Load'!AG30,0))</f>
        <v>635.84999999999127</v>
      </c>
      <c r="AG27" s="294">
        <f>(IF('Section Load'!AH30&gt;0,'Section Load'!AH30,0))</f>
        <v>24.80000000000291</v>
      </c>
      <c r="AH27" s="294">
        <f>(IF('Section Load'!AI30&gt;0,'Section Load'!AI30,0))</f>
        <v>410.5</v>
      </c>
      <c r="AI27" s="294">
        <f>(IF('Section Load'!AJ30&gt;0,'Section Load'!AJ30,0))</f>
        <v>450.94999999999709</v>
      </c>
      <c r="AJ27" s="294">
        <f>(IF('Section Load'!AK30&gt;0,'Section Load'!AK30,0))</f>
        <v>299.4800000000032</v>
      </c>
      <c r="AK27" s="294">
        <f>(IF('Section Load'!AL30&gt;0,'Section Load'!AL30,0))</f>
        <v>334.30999999999767</v>
      </c>
      <c r="AL27" s="294">
        <f>(IF('Section Load'!AM30&gt;0,'Section Load'!AM30,0))</f>
        <v>893.29999999998836</v>
      </c>
      <c r="AM27" s="295">
        <f>(IF('Water Report'!$AC$7&gt;0,'Water Report'!$AC$7,0))</f>
        <v>105</v>
      </c>
      <c r="AN27" s="295">
        <f>(IF('Water Report'!$AC$8&gt;0,'Water Report'!$AC$8,0))</f>
        <v>115</v>
      </c>
      <c r="AO27" s="295">
        <f>(IF('Water Report'!$AC$9&gt;0,'Water Report'!$AC$9,0))</f>
        <v>110</v>
      </c>
      <c r="AP27" s="295">
        <f>(IF('Water Report'!$AC$10&gt;0,'Water Report'!$AC$10,0))</f>
        <v>10</v>
      </c>
      <c r="AQ27" s="295">
        <f>(IF('Water Report'!$AC$11&gt;0,'Water Report'!$AC$11,0))</f>
        <v>21</v>
      </c>
      <c r="AR27" s="295">
        <f>(IF('Water Report'!$AC$13&gt;0,'Water Report'!$AC$13,0))</f>
        <v>32</v>
      </c>
      <c r="AS27" s="295">
        <f>(IF('Water Report'!$AC$14&gt;0,'Water Report'!$AC$14,0))</f>
        <v>6</v>
      </c>
      <c r="AT27" s="295">
        <f>(IF('Water Report'!$AC$15&gt;0,'Water Report'!$AC$15,0))</f>
        <v>7</v>
      </c>
      <c r="AU27" s="295">
        <f>(IF('Water Report'!$AC$17&gt;0,'Water Report'!$AC$17,0))</f>
        <v>0</v>
      </c>
      <c r="AV27" s="295">
        <f>(IF('Water Report'!$AC$18&gt;0,'Water Report'!$AC$18,0))</f>
        <v>15</v>
      </c>
      <c r="AW27" s="295">
        <f>(IF('Water Report'!$AC$19&gt;0,'Water Report'!$AC$19,0))</f>
        <v>10</v>
      </c>
      <c r="AX27" s="301">
        <f>(IF('Water Report'!$AC$21&gt;0,'Water Report'!$AC$21,0))</f>
        <v>132</v>
      </c>
      <c r="AY27" s="301">
        <f>(IF('Water Report'!$AC$22&gt;0,'Water Report'!$AC$22,0))</f>
        <v>0</v>
      </c>
      <c r="AZ27" s="301">
        <f>(IF('Water Report'!$AC$23&gt;0,'Water Report'!$AC$23,0))</f>
        <v>0</v>
      </c>
      <c r="BA27" s="301">
        <f>(IF('Water Report'!$AC$14&gt;0,'Water Report'!$AC$14,0))</f>
        <v>6</v>
      </c>
      <c r="BB27" s="301">
        <f>(IF('Water Report'!$AC$15&gt;0,'Water Report'!$AC$15,0))</f>
        <v>7</v>
      </c>
      <c r="BC27" s="301">
        <f>(IF('Water Report'!$AC$13&gt;0,'Water Report'!$AC$13,0))</f>
        <v>32</v>
      </c>
      <c r="BD27" s="301">
        <f>(IF('Water Report'!$AC$24&gt;0,'Water Report'!$AC$24,0))</f>
        <v>270</v>
      </c>
      <c r="BE27" s="301">
        <f>(IF('Water Report'!$AC$25&gt;0,'Water Report'!$AC$25,0))</f>
        <v>154</v>
      </c>
      <c r="BF27" s="301">
        <f>(IF('Water Report'!$AC$27&gt;0,'Water Report'!$AC$27,0))</f>
        <v>164</v>
      </c>
      <c r="BG27" s="296">
        <f>(IF('Section Load'!AN30&gt;0,'Section Load'!AN30,0))</f>
        <v>978.12999999988824</v>
      </c>
      <c r="BH27" s="296">
        <f>(IF('Section Load'!AO30&gt;0,'Section Load'!AO30,0))</f>
        <v>284.52000000001863</v>
      </c>
      <c r="BI27" s="296">
        <f>(IF('Section Load'!AP30&gt;0,'Section Load'!AP30,0))</f>
        <v>0</v>
      </c>
      <c r="BJ27" s="296">
        <f>(IF('Section Load'!AQ30&gt;0,'Section Load'!AQ30,0))</f>
        <v>104.45000000001164</v>
      </c>
      <c r="BK27" s="296">
        <f>(IF('Section Load'!AR30&gt;0,'Section Load'!AR30,0))</f>
        <v>52</v>
      </c>
      <c r="BL27" s="296">
        <f>(IF('Section Load'!AS30&gt;0,'Section Load'!AS30,0))</f>
        <v>0</v>
      </c>
      <c r="BM27" s="296">
        <f>(IF('Section Load'!AT30&gt;0,'Section Load'!AT30,0))</f>
        <v>537.15999999985797</v>
      </c>
    </row>
    <row r="28" spans="1:65">
      <c r="A28" s="287" t="s">
        <v>268</v>
      </c>
      <c r="B28" s="288">
        <f t="shared" si="0"/>
        <v>27</v>
      </c>
      <c r="C28" s="288">
        <v>8</v>
      </c>
      <c r="D28" s="288">
        <v>2022</v>
      </c>
      <c r="E28" s="294">
        <f>(IF('Section Load'!F31&gt;0,'Section Load'!F31,0))</f>
        <v>3954</v>
      </c>
      <c r="F28" s="294">
        <f>(IF('Section Load'!G31&gt;0,'Section Load'!G31,0))</f>
        <v>1050.5</v>
      </c>
      <c r="G28" s="294">
        <f>(IF('Section Load'!H31&gt;0,'Section Load'!H31,0))</f>
        <v>2075.9599999999627</v>
      </c>
      <c r="H28" s="294">
        <f>(IF('Section Load'!I31&gt;0,'Section Load'!I31,0))</f>
        <v>4254.2200000000012</v>
      </c>
      <c r="I28" s="294">
        <f>(IF('Section Load'!J31&gt;0,'Section Load'!J31,0))</f>
        <v>6128.539999999979</v>
      </c>
      <c r="J28" s="294">
        <f>(IF('Section Load'!K31&gt;0,'Section Load'!K31,0))</f>
        <v>2857.4799999999814</v>
      </c>
      <c r="K28" s="294">
        <f>(IF('Section Load'!L31&gt;0,'Section Load'!L31,0))</f>
        <v>988.94000000000233</v>
      </c>
      <c r="L28" s="294">
        <f>(IF('Section Load'!M31&gt;0,'Section Load'!M31,0))</f>
        <v>960.36000000001513</v>
      </c>
      <c r="M28" s="294">
        <f>(IF('Section Load'!N31&gt;0,'Section Load'!N31,0))</f>
        <v>42</v>
      </c>
      <c r="N28" s="294">
        <f>(IF('Section Load'!O31&gt;0,'Section Load'!O31,0))</f>
        <v>150</v>
      </c>
      <c r="O28" s="294">
        <f>(IF('Section Load'!P31&gt;0,'Section Load'!P31,0))</f>
        <v>9.5500000000001819</v>
      </c>
      <c r="P28" s="294">
        <f>(IF('Section Load'!Q31&gt;0,'Section Load'!Q31,0))</f>
        <v>214.61999999999534</v>
      </c>
      <c r="Q28" s="294">
        <f>(IF('Section Load'!R31&gt;0,'Section Load'!R31,0))</f>
        <v>85.589999999996508</v>
      </c>
      <c r="R28" s="294">
        <f>(IF('Section Load'!S31&gt;0,'Section Load'!S31,0))</f>
        <v>66.099999999999454</v>
      </c>
      <c r="S28" s="294">
        <f>(IF('Section Load'!T31&gt;0,'Section Load'!T31,0))</f>
        <v>57</v>
      </c>
      <c r="T28" s="294">
        <f>(IF('Section Load'!U31&gt;0,'Section Load'!U31,0))</f>
        <v>213</v>
      </c>
      <c r="U28" s="294">
        <f>(IF('Section Load'!V31&gt;0,'Section Load'!V31,0))</f>
        <v>381.67999999993481</v>
      </c>
      <c r="V28" s="294">
        <f>(IF('Section Load'!W31&gt;0,'Section Load'!W31,0))</f>
        <v>308.19999999995343</v>
      </c>
      <c r="W28" s="294">
        <f>(IF('Section Load'!X31&gt;0,'Section Load'!X31,0))</f>
        <v>27.329999999999927</v>
      </c>
      <c r="X28" s="294">
        <f>(IF('Section Load'!Y31&gt;0,'Section Load'!Y31,0))</f>
        <v>224.91999999999825</v>
      </c>
      <c r="Y28" s="294">
        <f>(IF('Section Load'!Z31&gt;0,'Section Load'!Z31,0))</f>
        <v>255</v>
      </c>
      <c r="Z28" s="294">
        <f>(IF('Section Load'!AA31&gt;0,'Section Load'!AA31,0))</f>
        <v>31.759999999951106</v>
      </c>
      <c r="AA28" s="294">
        <f>(IF('Section Load'!AB31&gt;0,'Section Load'!AB31,0))</f>
        <v>27.100000000005821</v>
      </c>
      <c r="AB28" s="294">
        <f>(IF('Section Load'!AC31&gt;0,'Section Load'!AC31,0))</f>
        <v>0</v>
      </c>
      <c r="AC28" s="294">
        <f>(IF('Section Load'!AD31&gt;0,'Section Load'!AD31,0))</f>
        <v>144.59000000000106</v>
      </c>
      <c r="AD28" s="294">
        <f>(IF('Section Load'!AE31&gt;0,'Section Load'!AE31,0))</f>
        <v>520.83999999999651</v>
      </c>
      <c r="AE28" s="294">
        <f>(IF('Section Load'!AF31&gt;0,'Section Load'!AF31,0))</f>
        <v>291.61999999999534</v>
      </c>
      <c r="AF28" s="294">
        <f>(IF('Section Load'!AG31&gt;0,'Section Load'!AG31,0))</f>
        <v>621.05000000000291</v>
      </c>
      <c r="AG28" s="294">
        <f>(IF('Section Load'!AH31&gt;0,'Section Load'!AH31,0))</f>
        <v>21.510000000002037</v>
      </c>
      <c r="AH28" s="294">
        <f>(IF('Section Load'!AI31&gt;0,'Section Load'!AI31,0))</f>
        <v>411.55999999999767</v>
      </c>
      <c r="AI28" s="294">
        <f>(IF('Section Load'!AJ31&gt;0,'Section Load'!AJ31,0))</f>
        <v>438.23000000001048</v>
      </c>
      <c r="AJ28" s="294">
        <f>(IF('Section Load'!AK31&gt;0,'Section Load'!AK31,0))</f>
        <v>293.97999999999593</v>
      </c>
      <c r="AK28" s="294">
        <f>(IF('Section Load'!AL31&gt;0,'Section Load'!AL31,0))</f>
        <v>330.26000000000204</v>
      </c>
      <c r="AL28" s="294">
        <f>(IF('Section Load'!AM31&gt;0,'Section Load'!AM31,0))</f>
        <v>871.0800000000163</v>
      </c>
      <c r="AM28" s="295">
        <f>(IF('Water Report'!$AD$7&gt;0,'Water Report'!$AD$7,0))</f>
        <v>97</v>
      </c>
      <c r="AN28" s="295">
        <f>(IF('Water Report'!$AD$8&gt;0,'Water Report'!$AD$8,0))</f>
        <v>95</v>
      </c>
      <c r="AO28" s="295">
        <f>(IF('Water Report'!$AD$9&gt;0,'Water Report'!$AD$9,0))</f>
        <v>105</v>
      </c>
      <c r="AP28" s="295">
        <f>(IF('Water Report'!$AD$10&gt;0,'Water Report'!AD$10,0))</f>
        <v>15</v>
      </c>
      <c r="AQ28" s="295">
        <f>(IF('Water Report'!$AD$11&gt;0,'Water Report'!AE$11,0))</f>
        <v>22</v>
      </c>
      <c r="AR28" s="295">
        <f>(IF('Water Report'!$AD$13&gt;0,'Water Report'!AF$13,0))</f>
        <v>22</v>
      </c>
      <c r="AS28" s="295">
        <f>(IF('Water Report'!$AD$14&gt;0,'Water Report'!AG$14,0))</f>
        <v>0</v>
      </c>
      <c r="AT28" s="295">
        <f>(IF('Water Report'!$AD$15&gt;0,'Water Report'!AH$15,0))</f>
        <v>4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972.77000000001863</v>
      </c>
      <c r="BH28" s="296">
        <f>(IF('Section Load'!AO31&gt;0,'Section Load'!AO31,0))</f>
        <v>281.47999999998137</v>
      </c>
      <c r="BI28" s="296">
        <f>(IF('Section Load'!AP31&gt;0,'Section Load'!AP31,0))</f>
        <v>0</v>
      </c>
      <c r="BJ28" s="296">
        <f>(IF('Section Load'!AQ31&gt;0,'Section Load'!AQ31,0))</f>
        <v>93</v>
      </c>
      <c r="BK28" s="296">
        <f>(IF('Section Load'!AR31&gt;0,'Section Load'!AR31,0))</f>
        <v>53.599999999998545</v>
      </c>
      <c r="BL28" s="296">
        <f>(IF('Section Load'!AS31&gt;0,'Section Load'!AS31,0))</f>
        <v>0</v>
      </c>
      <c r="BM28" s="296">
        <f>(IF('Section Load'!AT31&gt;0,'Section Load'!AT31,0))</f>
        <v>545.09000000003834</v>
      </c>
    </row>
    <row r="29" spans="1:65">
      <c r="A29" s="287" t="s">
        <v>268</v>
      </c>
      <c r="B29" s="288">
        <f t="shared" si="0"/>
        <v>28</v>
      </c>
      <c r="C29" s="288">
        <v>8</v>
      </c>
      <c r="D29" s="288">
        <v>2022</v>
      </c>
      <c r="E29" s="294">
        <f>(IF('Section Load'!F32&gt;0,'Section Load'!F32,0))</f>
        <v>3778.0400000000373</v>
      </c>
      <c r="F29" s="294">
        <f>(IF('Section Load'!G32&gt;0,'Section Load'!G32,0))</f>
        <v>960.28000000000611</v>
      </c>
      <c r="G29" s="294">
        <f>(IF('Section Load'!H32&gt;0,'Section Load'!H32,0))</f>
        <v>2059.320000000007</v>
      </c>
      <c r="H29" s="294">
        <f>(IF('Section Load'!I32&gt;0,'Section Load'!I32,0))</f>
        <v>3998.0499999999884</v>
      </c>
      <c r="I29" s="294">
        <f>(IF('Section Load'!J32&gt;0,'Section Load'!J32,0))</f>
        <v>5701.8800000000047</v>
      </c>
      <c r="J29" s="294">
        <f>(IF('Section Load'!K32&gt;0,'Section Load'!K32,0))</f>
        <v>3060.429999999993</v>
      </c>
      <c r="K29" s="294">
        <f>(IF('Section Load'!L32&gt;0,'Section Load'!L32,0))</f>
        <v>970.39999999996508</v>
      </c>
      <c r="L29" s="294">
        <f>(IF('Section Load'!M32&gt;0,'Section Load'!M32,0))</f>
        <v>786.14999999999418</v>
      </c>
      <c r="M29" s="294">
        <f>(IF('Section Load'!N32&gt;0,'Section Load'!N32,0))</f>
        <v>18</v>
      </c>
      <c r="N29" s="294">
        <f>(IF('Section Load'!O32&gt;0,'Section Load'!O32,0))</f>
        <v>142</v>
      </c>
      <c r="O29" s="294">
        <f>(IF('Section Load'!P32&gt;0,'Section Load'!P32,0))</f>
        <v>13.439999999999827</v>
      </c>
      <c r="P29" s="294">
        <f>(IF('Section Load'!Q32&gt;0,'Section Load'!Q32,0))</f>
        <v>196.20000000001164</v>
      </c>
      <c r="Q29" s="294">
        <f>(IF('Section Load'!R32&gt;0,'Section Load'!R32,0))</f>
        <v>73.400000000001455</v>
      </c>
      <c r="R29" s="294">
        <f>(IF('Section Load'!S32&gt;0,'Section Load'!S32,0))</f>
        <v>97.260000000000218</v>
      </c>
      <c r="S29" s="294">
        <f>(IF('Section Load'!T32&gt;0,'Section Load'!T32,0))</f>
        <v>58</v>
      </c>
      <c r="T29" s="294">
        <f>(IF('Section Load'!U32&gt;0,'Section Load'!U32,0))</f>
        <v>223</v>
      </c>
      <c r="U29" s="294">
        <f>(IF('Section Load'!V32&gt;0,'Section Load'!V32,0))</f>
        <v>373.36000000010245</v>
      </c>
      <c r="V29" s="294">
        <f>(IF('Section Load'!W32&gt;0,'Section Load'!W32,0))</f>
        <v>296.20000000006985</v>
      </c>
      <c r="W29" s="294">
        <f>(IF('Section Load'!X32&gt;0,'Section Load'!X32,0))</f>
        <v>26.489999999999782</v>
      </c>
      <c r="X29" s="294">
        <f>(IF('Section Load'!Y32&gt;0,'Section Load'!Y32,0))</f>
        <v>172.26000000000204</v>
      </c>
      <c r="Y29" s="294">
        <f>(IF('Section Load'!Z32&gt;0,'Section Load'!Z32,0))</f>
        <v>243</v>
      </c>
      <c r="Z29" s="294">
        <f>(IF('Section Load'!AA32&gt;0,'Section Load'!AA32,0))</f>
        <v>38.360000000044238</v>
      </c>
      <c r="AA29" s="294">
        <f>(IF('Section Load'!AB32&gt;0,'Section Load'!AB32,0))</f>
        <v>17.299999999988358</v>
      </c>
      <c r="AB29" s="294">
        <f>(IF('Section Load'!AC32&gt;0,'Section Load'!AC32,0))</f>
        <v>0</v>
      </c>
      <c r="AC29" s="294">
        <f>(IF('Section Load'!AD32&gt;0,'Section Load'!AD32,0))</f>
        <v>56.710000000000036</v>
      </c>
      <c r="AD29" s="294">
        <f>(IF('Section Load'!AE32&gt;0,'Section Load'!AE32,0))</f>
        <v>383.01000000000931</v>
      </c>
      <c r="AE29" s="294">
        <f>(IF('Section Load'!AF32&gt;0,'Section Load'!AF32,0))</f>
        <v>291.37000000000262</v>
      </c>
      <c r="AF29" s="294">
        <f>(IF('Section Load'!AG32&gt;0,'Section Load'!AG32,0))</f>
        <v>508.13999999999942</v>
      </c>
      <c r="AG29" s="294">
        <f>(IF('Section Load'!AH32&gt;0,'Section Load'!AH32,0))</f>
        <v>20.19999999999709</v>
      </c>
      <c r="AH29" s="294">
        <f>(IF('Section Load'!AI32&gt;0,'Section Load'!AI32,0))</f>
        <v>400.10000000000582</v>
      </c>
      <c r="AI29" s="294">
        <f>(IF('Section Load'!AJ32&gt;0,'Section Load'!AJ32,0))</f>
        <v>433.83999999999651</v>
      </c>
      <c r="AJ29" s="294">
        <f>(IF('Section Load'!AK32&gt;0,'Section Load'!AK32,0))</f>
        <v>302.47000000000116</v>
      </c>
      <c r="AK29" s="294">
        <f>(IF('Section Load'!AL32&gt;0,'Section Load'!AL32,0))</f>
        <v>339.81999999999971</v>
      </c>
      <c r="AL29" s="294">
        <f>(IF('Section Load'!AM32&gt;0,'Section Load'!AM32,0))</f>
        <v>889.17999999999302</v>
      </c>
      <c r="AM29" s="295">
        <f>(IF('Water Report'!$AE$7&gt;0,'Water Report'!$AE$7,0))</f>
        <v>89</v>
      </c>
      <c r="AN29" s="295">
        <f>(IF('Water Report'!$AE$8&gt;0,'Water Report'!$AE$8,0))</f>
        <v>105</v>
      </c>
      <c r="AO29" s="295">
        <f>(IF('Water Report'!$AE$9&gt;0,'Water Report'!$AE$9,0))</f>
        <v>96</v>
      </c>
      <c r="AP29" s="295">
        <f>(IF('Water Report'!$AE$10&gt;0,'Water Report'!$AE$10,0))</f>
        <v>14</v>
      </c>
      <c r="AQ29" s="295">
        <f>(IF('Water Report'!$AE$11&gt;0,'Water Report'!$AE$11,0))</f>
        <v>22</v>
      </c>
      <c r="AR29" s="295">
        <f>(IF('Water Report'!$AE$13&gt;0,'Water Report'!$AE$13,0))</f>
        <v>30</v>
      </c>
      <c r="AS29" s="295">
        <f>(IF('Water Report'!$AE$14&gt;0,'Water Report'!$AE$14,0))</f>
        <v>2</v>
      </c>
      <c r="AT29" s="295">
        <f>(IF('Water Report'!$AE$15&gt;0,'Water Report'!$AE$15,0))</f>
        <v>6</v>
      </c>
      <c r="AU29" s="295">
        <f>(IF('Water Report'!$AE$17&gt;0,'Water Report'!$AE$17,0))</f>
        <v>0</v>
      </c>
      <c r="AV29" s="295">
        <f>(IF('Water Report'!$AE$18&gt;0,'Water Report'!$AE$18,0))</f>
        <v>12</v>
      </c>
      <c r="AW29" s="295">
        <f>(IF('Water Report'!$AE$19&gt;0,'Water Report'!$AE$19,0))</f>
        <v>9</v>
      </c>
      <c r="AX29" s="301">
        <f>(IF('Water Report'!$AE$21&gt;0,'Water Report'!$AE$21,0))</f>
        <v>74</v>
      </c>
      <c r="AY29" s="301">
        <f>(IF('Water Report'!$AE$22&gt;0,'Water Report'!$AE$22,0))</f>
        <v>0</v>
      </c>
      <c r="AZ29" s="301">
        <f>(IF('Water Report'!$AE$23&gt;0,'Water Report'!$AE$23,0))</f>
        <v>3</v>
      </c>
      <c r="BA29" s="301">
        <f>(IF('Water Report'!$AE$14&gt;0,'Water Report'!$AE$14,0))</f>
        <v>2</v>
      </c>
      <c r="BB29" s="301">
        <f>(IF('Water Report'!$AE$15&gt;0,'Water Report'!$AE$15,0))</f>
        <v>6</v>
      </c>
      <c r="BC29" s="301">
        <f>(IF('Water Report'!$AE$13&gt;0,'Water Report'!$AE$13,0))</f>
        <v>30</v>
      </c>
      <c r="BD29" s="301">
        <f>(IF('Water Report'!$AE$24&gt;0,'Water Report'!$AE$24,0))</f>
        <v>240</v>
      </c>
      <c r="BE29" s="301">
        <f>(IF('Water Report'!$AE$25&gt;0,'Water Report'!$AE$25,0))</f>
        <v>140</v>
      </c>
      <c r="BF29" s="301">
        <f>(IF('Water Report'!$AE$27&gt;0,'Water Report'!$AE$27,0))</f>
        <v>107</v>
      </c>
      <c r="BG29" s="296">
        <f>(IF('Section Load'!AN32&gt;0,'Section Load'!AN32,0))</f>
        <v>967.39999999990687</v>
      </c>
      <c r="BH29" s="296">
        <f>(IF('Section Load'!AO32&gt;0,'Section Load'!AO32,0))</f>
        <v>291.6600000000326</v>
      </c>
      <c r="BI29" s="296">
        <f>(IF('Section Load'!AP32&gt;0,'Section Load'!AP32,0))</f>
        <v>0</v>
      </c>
      <c r="BJ29" s="296">
        <f>(IF('Section Load'!AQ32&gt;0,'Section Load'!AQ32,0))</f>
        <v>111</v>
      </c>
      <c r="BK29" s="296">
        <f>(IF('Section Load'!AR32&gt;0,'Section Load'!AR32,0))</f>
        <v>54.400000000001455</v>
      </c>
      <c r="BL29" s="296">
        <f>(IF('Section Load'!AS32&gt;0,'Section Load'!AS32,0))</f>
        <v>0</v>
      </c>
      <c r="BM29" s="296">
        <f>(IF('Section Load'!AT32&gt;0,'Section Load'!AT32,0))</f>
        <v>511.13999999987573</v>
      </c>
    </row>
    <row r="30" spans="1:65">
      <c r="A30" s="287" t="s">
        <v>268</v>
      </c>
      <c r="B30" s="288">
        <f t="shared" si="0"/>
        <v>29</v>
      </c>
      <c r="C30" s="288">
        <v>8</v>
      </c>
      <c r="D30" s="288">
        <v>2022</v>
      </c>
      <c r="E30" s="294">
        <f>(IF('Section Load'!F33&gt;0,'Section Load'!F33,0))</f>
        <v>3848.609999999986</v>
      </c>
      <c r="F30" s="294">
        <f>(IF('Section Load'!G33&gt;0,'Section Load'!G33,0))</f>
        <v>1021.3799999999974</v>
      </c>
      <c r="G30" s="294">
        <f>(IF('Section Load'!H33&gt;0,'Section Load'!H33,0))</f>
        <v>2101.7700000000186</v>
      </c>
      <c r="H30" s="294">
        <f>(IF('Section Load'!I33&gt;0,'Section Load'!I33,0))</f>
        <v>4216.0100000000675</v>
      </c>
      <c r="I30" s="294">
        <f>(IF('Section Load'!J33&gt;0,'Section Load'!J33,0))</f>
        <v>6087.8600000000006</v>
      </c>
      <c r="J30" s="294">
        <f>(IF('Section Load'!K33&gt;0,'Section Load'!K33,0))</f>
        <v>3270.7299999999814</v>
      </c>
      <c r="K30" s="294">
        <f>(IF('Section Load'!L33&gt;0,'Section Load'!L33,0))</f>
        <v>1084.210000000021</v>
      </c>
      <c r="L30" s="294">
        <f>(IF('Section Load'!M33&gt;0,'Section Load'!M33,0))</f>
        <v>734</v>
      </c>
      <c r="M30" s="294">
        <f>(IF('Section Load'!N33&gt;0,'Section Load'!N33,0))</f>
        <v>70</v>
      </c>
      <c r="N30" s="294">
        <f>(IF('Section Load'!O33&gt;0,'Section Load'!O33,0))</f>
        <v>139</v>
      </c>
      <c r="O30" s="294">
        <f>(IF('Section Load'!P33&gt;0,'Section Load'!P33,0))</f>
        <v>14.900000000000091</v>
      </c>
      <c r="P30" s="294">
        <f>(IF('Section Load'!Q33&gt;0,'Section Load'!Q33,0))</f>
        <v>211.89999999999418</v>
      </c>
      <c r="Q30" s="294">
        <f>(IF('Section Load'!R33&gt;0,'Section Load'!R33,0))</f>
        <v>74.099999999998545</v>
      </c>
      <c r="R30" s="294">
        <f>(IF('Section Load'!S33&gt;0,'Section Load'!S33,0))</f>
        <v>133.55000000000018</v>
      </c>
      <c r="S30" s="294">
        <f>(IF('Section Load'!T33&gt;0,'Section Load'!T33,0))</f>
        <v>54</v>
      </c>
      <c r="T30" s="294">
        <f>(IF('Section Load'!U33&gt;0,'Section Load'!U33,0))</f>
        <v>208</v>
      </c>
      <c r="U30" s="294">
        <f>(IF('Section Load'!V33&gt;0,'Section Load'!V33,0))</f>
        <v>364.31999999994878</v>
      </c>
      <c r="V30" s="294">
        <f>(IF('Section Load'!W33&gt;0,'Section Load'!W33,0))</f>
        <v>278.19999999995343</v>
      </c>
      <c r="W30" s="294">
        <f>(IF('Section Load'!X33&gt;0,'Section Load'!X33,0))</f>
        <v>28.610000000000582</v>
      </c>
      <c r="X30" s="294">
        <f>(IF('Section Load'!Y33&gt;0,'Section Load'!Y33,0))</f>
        <v>233.23999999999796</v>
      </c>
      <c r="Y30" s="294">
        <f>(IF('Section Load'!Z33&gt;0,'Section Load'!Z33,0))</f>
        <v>233</v>
      </c>
      <c r="Z30" s="294">
        <f>(IF('Section Load'!AA33&gt;0,'Section Load'!AA33,0))</f>
        <v>34.599999999976717</v>
      </c>
      <c r="AA30" s="294">
        <f>(IF('Section Load'!AB33&gt;0,'Section Load'!AB33,0))</f>
        <v>41.600000000005821</v>
      </c>
      <c r="AB30" s="294">
        <f>(IF('Section Load'!AC33&gt;0,'Section Load'!AC33,0))</f>
        <v>0</v>
      </c>
      <c r="AC30" s="294">
        <f>(IF('Section Load'!AD33&gt;0,'Section Load'!AD33,0))</f>
        <v>127</v>
      </c>
      <c r="AD30" s="294">
        <f>(IF('Section Load'!AE33&gt;0,'Section Load'!AE33,0))</f>
        <v>423.86999999999534</v>
      </c>
      <c r="AE30" s="294">
        <f>(IF('Section Load'!AF33&gt;0,'Section Load'!AF33,0))</f>
        <v>265.27999999999884</v>
      </c>
      <c r="AF30" s="294">
        <f>(IF('Section Load'!AG33&gt;0,'Section Load'!AG33,0))</f>
        <v>618.86000000000058</v>
      </c>
      <c r="AG30" s="294">
        <f>(IF('Section Load'!AH33&gt;0,'Section Load'!AH33,0))</f>
        <v>21</v>
      </c>
      <c r="AH30" s="294">
        <f>(IF('Section Load'!AI33&gt;0,'Section Load'!AI33,0))</f>
        <v>399.19999999999709</v>
      </c>
      <c r="AI30" s="294">
        <f>(IF('Section Load'!AJ33&gt;0,'Section Load'!AJ33,0))</f>
        <v>435.08999999999651</v>
      </c>
      <c r="AJ30" s="294">
        <f>(IF('Section Load'!AK33&gt;0,'Section Load'!AK33,0))</f>
        <v>335.40000000000146</v>
      </c>
      <c r="AK30" s="294">
        <f>(IF('Section Load'!AL33&gt;0,'Section Load'!AL33,0))</f>
        <v>336</v>
      </c>
      <c r="AL30" s="294">
        <f>(IF('Section Load'!AM33&gt;0,'Section Load'!AM33,0))</f>
        <v>882.08999999999651</v>
      </c>
      <c r="AM30" s="295">
        <f>(IF('Water Report'!$AF$7&gt;0,'Water Report'!$AF$7,0))</f>
        <v>73</v>
      </c>
      <c r="AN30" s="295">
        <f>(IF('Water Report'!$AF$8&gt;0,'Water Report'!$AF$8,0))</f>
        <v>105</v>
      </c>
      <c r="AO30" s="295">
        <f>(IF('Water Report'!$AF$9&gt;0,'Water Report'!$AF$9,0))</f>
        <v>89</v>
      </c>
      <c r="AP30" s="295">
        <f>(IF('Water Report'!$AF$10&gt;0,'Water Report'!$AF$10,0))</f>
        <v>9</v>
      </c>
      <c r="AQ30" s="295">
        <f>(IF('Water Report'!$AF$11&gt;0,'Water Report'!$AF$11,0))</f>
        <v>14</v>
      </c>
      <c r="AR30" s="295">
        <f>(IF('Water Report'!$AF$13&gt;0,'Water Report'!$AF$13,0))</f>
        <v>22</v>
      </c>
      <c r="AS30" s="295">
        <f>(IF('Water Report'!$AF$14&gt;0,'Water Report'!$AF$14,0))</f>
        <v>3</v>
      </c>
      <c r="AT30" s="295">
        <f>(IF('Water Report'!$AF$15&gt;0,'Water Report'!$AF$15,0))</f>
        <v>8</v>
      </c>
      <c r="AU30" s="295">
        <f>(IF('Water Report'!$AF$17&gt;0,'Water Report'!$AF$17,0))</f>
        <v>2</v>
      </c>
      <c r="AV30" s="295">
        <f>(IF('Water Report'!$AF$18&gt;0,'Water Report'!$AF$18,0))</f>
        <v>12</v>
      </c>
      <c r="AW30" s="295">
        <f>(IF('Water Report'!$AF$19&gt;0,'Water Report'!$AF$19,0))</f>
        <v>11</v>
      </c>
      <c r="AX30" s="301">
        <f>(IF('Water Report'!$AF$21&gt;0,'Water Report'!$AF$21,0))</f>
        <v>40</v>
      </c>
      <c r="AY30" s="301">
        <f>(IF('Water Report'!$AF$22&gt;0,'Water Report'!$AF$22,0))</f>
        <v>14</v>
      </c>
      <c r="AZ30" s="301">
        <f>(IF('Water Report'!$AF$23&gt;0,'Water Report'!$AF$23,0))</f>
        <v>0</v>
      </c>
      <c r="BA30" s="301">
        <f>(IF('Water Report'!$AF$14&gt;0,'Water Report'!$AF$14,0))</f>
        <v>3</v>
      </c>
      <c r="BB30" s="301">
        <f>(IF('Water Report'!$AF$15&gt;0,'Water Report'!$AF$15,0))</f>
        <v>8</v>
      </c>
      <c r="BC30" s="301">
        <f>(IF('Water Report'!$AF$13&gt;0,'Water Report'!$AF$13,0))</f>
        <v>22</v>
      </c>
      <c r="BD30" s="301">
        <f>(IF('Water Report'!$AF$24&gt;0,'Water Report'!$AF$24,0))</f>
        <v>220</v>
      </c>
      <c r="BE30" s="301">
        <f>(IF('Water Report'!$AF$25&gt;0,'Water Report'!$AF$25,0))</f>
        <v>123</v>
      </c>
      <c r="BF30" s="301">
        <f>(IF('Water Report'!$AF$27&gt;0,'Water Report'!$AF$27,0))</f>
        <v>62</v>
      </c>
      <c r="BG30" s="296">
        <f>(IF('Section Load'!AN33&gt;0,'Section Load'!AN33,0))</f>
        <v>954.5</v>
      </c>
      <c r="BH30" s="296">
        <f>(IF('Section Load'!AO33&gt;0,'Section Load'!AO33,0))</f>
        <v>290.09999999997672</v>
      </c>
      <c r="BI30" s="296">
        <f>(IF('Section Load'!AP33&gt;0,'Section Load'!AP33,0))</f>
        <v>0</v>
      </c>
      <c r="BJ30" s="296">
        <f>(IF('Section Load'!AQ33&gt;0,'Section Load'!AQ33,0))</f>
        <v>86</v>
      </c>
      <c r="BK30" s="296">
        <f>(IF('Section Load'!AR33&gt;0,'Section Load'!AR33,0))</f>
        <v>50</v>
      </c>
      <c r="BL30" s="296">
        <f>(IF('Section Load'!AS33&gt;0,'Section Load'!AS33,0))</f>
        <v>0.3999999999996362</v>
      </c>
      <c r="BM30" s="296">
        <f>(IF('Section Load'!AT33&gt;0,'Section Load'!AT33,0))</f>
        <v>528.00000000002365</v>
      </c>
    </row>
    <row r="31" spans="1:65">
      <c r="A31" s="287" t="s">
        <v>268</v>
      </c>
      <c r="B31" s="288">
        <f t="shared" si="0"/>
        <v>30</v>
      </c>
      <c r="C31" s="288">
        <v>8</v>
      </c>
      <c r="D31" s="288">
        <v>2022</v>
      </c>
      <c r="E31" s="294">
        <f>(IF('Section Load'!F34&gt;0,'Section Load'!F34,0))</f>
        <v>3850.4300000000512</v>
      </c>
      <c r="F31" s="294">
        <f>(IF('Section Load'!G34&gt;0,'Section Load'!G34,0))</f>
        <v>837.7300000000032</v>
      </c>
      <c r="G31" s="294">
        <f>(IF('Section Load'!H34&gt;0,'Section Load'!H34,0))</f>
        <v>2201.710000000021</v>
      </c>
      <c r="H31" s="294">
        <f>(IF('Section Load'!I34&gt;0,'Section Load'!I34,0))</f>
        <v>4098.3799999999464</v>
      </c>
      <c r="I31" s="294">
        <f>(IF('Section Load'!J34&gt;0,'Section Load'!J34,0))</f>
        <v>6423.5400000000373</v>
      </c>
      <c r="J31" s="294">
        <f>(IF('Section Load'!K34&gt;0,'Section Load'!K34,0))</f>
        <v>2922.609999999986</v>
      </c>
      <c r="K31" s="294">
        <f>(IF('Section Load'!L34&gt;0,'Section Load'!L34,0))</f>
        <v>1066.2299999999814</v>
      </c>
      <c r="L31" s="294">
        <f>(IF('Section Load'!M34&gt;0,'Section Load'!M34,0))</f>
        <v>794.48999999999069</v>
      </c>
      <c r="M31" s="294">
        <f>(IF('Section Load'!N34&gt;0,'Section Load'!N34,0))</f>
        <v>70</v>
      </c>
      <c r="N31" s="294">
        <f>(IF('Section Load'!O34&gt;0,'Section Load'!O34,0))</f>
        <v>140</v>
      </c>
      <c r="O31" s="294">
        <f>(IF('Section Load'!P34&gt;0,'Section Load'!P34,0))</f>
        <v>15</v>
      </c>
      <c r="P31" s="294">
        <f>(IF('Section Load'!Q34&gt;0,'Section Load'!Q34,0))</f>
        <v>218.30000000000291</v>
      </c>
      <c r="Q31" s="294">
        <f>(IF('Section Load'!R34&gt;0,'Section Load'!R34,0))</f>
        <v>74</v>
      </c>
      <c r="R31" s="294">
        <f>(IF('Section Load'!S34&gt;0,'Section Load'!S34,0))</f>
        <v>165.10000000000036</v>
      </c>
      <c r="S31" s="294">
        <f>(IF('Section Load'!T34&gt;0,'Section Load'!T34,0))</f>
        <v>46</v>
      </c>
      <c r="T31" s="294">
        <f>(IF('Section Load'!U34&gt;0,'Section Load'!U34,0))</f>
        <v>216</v>
      </c>
      <c r="U31" s="294">
        <f>(IF('Section Load'!V34&gt;0,'Section Load'!V34,0))</f>
        <v>360</v>
      </c>
      <c r="V31" s="294">
        <f>(IF('Section Load'!W34&gt;0,'Section Load'!W34,0))</f>
        <v>270</v>
      </c>
      <c r="W31" s="294">
        <f>(IF('Section Load'!X34&gt;0,'Section Load'!X34,0))</f>
        <v>29.299999999999272</v>
      </c>
      <c r="X31" s="294">
        <f>(IF('Section Load'!Y34&gt;0,'Section Load'!Y34,0))</f>
        <v>221.08000000000175</v>
      </c>
      <c r="Y31" s="294">
        <f>(IF('Section Load'!Z34&gt;0,'Section Load'!Z34,0))</f>
        <v>269</v>
      </c>
      <c r="Z31" s="294">
        <f>(IF('Section Load'!AA34&gt;0,'Section Load'!AA34,0))</f>
        <v>30</v>
      </c>
      <c r="AA31" s="294">
        <f>(IF('Section Load'!AB34&gt;0,'Section Load'!AB34,0))</f>
        <v>45.80000000000291</v>
      </c>
      <c r="AB31" s="294">
        <f>(IF('Section Load'!AC34&gt;0,'Section Load'!AC34,0))</f>
        <v>0.15999999999985448</v>
      </c>
      <c r="AC31" s="294">
        <f>(IF('Section Load'!AD34&gt;0,'Section Load'!AD34,0))</f>
        <v>126.19999999999891</v>
      </c>
      <c r="AD31" s="294">
        <f>(IF('Section Load'!AE34&gt;0,'Section Load'!AE34,0))</f>
        <v>384</v>
      </c>
      <c r="AE31" s="294">
        <f>(IF('Section Load'!AF34&gt;0,'Section Load'!AF34,0))</f>
        <v>245</v>
      </c>
      <c r="AF31" s="294">
        <f>(IF('Section Load'!AG34&gt;0,'Section Load'!AG34,0))</f>
        <v>627</v>
      </c>
      <c r="AG31" s="294">
        <f>(IF('Section Load'!AH34&gt;0,'Section Load'!AH34,0))</f>
        <v>21.040000000000873</v>
      </c>
      <c r="AH31" s="294">
        <f>(IF('Section Load'!AI34&gt;0,'Section Load'!AI34,0))</f>
        <v>382</v>
      </c>
      <c r="AI31" s="294">
        <f>(IF('Section Load'!AJ34&gt;0,'Section Load'!AJ34,0))</f>
        <v>440.19999999999709</v>
      </c>
      <c r="AJ31" s="294">
        <f>(IF('Section Load'!AK34&gt;0,'Section Load'!AK34,0))</f>
        <v>346.80000000000291</v>
      </c>
      <c r="AK31" s="294">
        <f>(IF('Section Load'!AL34&gt;0,'Section Load'!AL34,0))</f>
        <v>331.11000000000058</v>
      </c>
      <c r="AL31" s="294">
        <f>(IF('Section Load'!AM34&gt;0,'Section Load'!AM34,0))</f>
        <v>866.35000000000582</v>
      </c>
      <c r="AM31" s="295">
        <f>(IF('Water Report'!$AG$7&gt;0,'Water Report'!$AG$7,0))</f>
        <v>74</v>
      </c>
      <c r="AN31" s="295">
        <f>(IF('Water Report'!$AG$8&gt;0,'Water Report'!$AG$8,0))</f>
        <v>95</v>
      </c>
      <c r="AO31" s="295">
        <f>(IF('Water Report'!$AG$9&gt;0,'Water Report'!$AG$9,0))</f>
        <v>89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905</v>
      </c>
      <c r="BH31" s="296">
        <f>(IF('Section Load'!AO34&gt;0,'Section Load'!AO34,0))</f>
        <v>281.75</v>
      </c>
      <c r="BI31" s="296">
        <f>(IF('Section Load'!AP34&gt;0,'Section Load'!AP34,0))</f>
        <v>0</v>
      </c>
      <c r="BJ31" s="296">
        <f>(IF('Section Load'!AQ34&gt;0,'Section Load'!AQ34,0))</f>
        <v>91.700000000011642</v>
      </c>
      <c r="BK31" s="296">
        <f>(IF('Section Load'!AR34&gt;0,'Section Load'!AR34,0))</f>
        <v>48</v>
      </c>
      <c r="BL31" s="296">
        <f>(IF('Section Load'!AS34&gt;0,'Section Load'!AS34,0))</f>
        <v>0</v>
      </c>
      <c r="BM31" s="296">
        <f>(IF('Section Load'!AT34&gt;0,'Section Load'!AT34,0))</f>
        <v>483.54999999998836</v>
      </c>
    </row>
    <row r="32" spans="1:65">
      <c r="A32" s="287" t="s">
        <v>268</v>
      </c>
      <c r="B32" s="288">
        <f t="shared" si="0"/>
        <v>31</v>
      </c>
      <c r="C32" s="288">
        <v>8</v>
      </c>
      <c r="D32" s="288">
        <v>2022</v>
      </c>
      <c r="E32" s="294">
        <f>(IF('Section Load'!F35&gt;0,'Section Load'!F35,0))</f>
        <v>3897.1599999999162</v>
      </c>
      <c r="F32" s="294">
        <f>(IF('Section Load'!G35&gt;0,'Section Load'!G35,0))</f>
        <v>1213.5299999999988</v>
      </c>
      <c r="G32" s="294">
        <f>(IF('Section Load'!H35&gt;0,'Section Load'!H35,0))</f>
        <v>2258.789999999979</v>
      </c>
      <c r="H32" s="294">
        <f>(IF('Section Load'!I35&gt;0,'Section Load'!I35,0))</f>
        <v>4106.5</v>
      </c>
      <c r="I32" s="294">
        <f>(IF('Section Load'!J35&gt;0,'Section Load'!J35,0))</f>
        <v>8005.140000000014</v>
      </c>
      <c r="J32" s="294">
        <f>(IF('Section Load'!K35&gt;0,'Section Load'!K35,0))</f>
        <v>2989.320000000007</v>
      </c>
      <c r="K32" s="294">
        <f>(IF('Section Load'!L35&gt;0,'Section Load'!L35,0))</f>
        <v>1178.6600000000326</v>
      </c>
      <c r="L32" s="294">
        <f>(IF('Section Load'!M35&gt;0,'Section Load'!M35,0))</f>
        <v>691.55999999999767</v>
      </c>
      <c r="M32" s="294">
        <f>(IF('Section Load'!N35&gt;0,'Section Load'!N35,0))</f>
        <v>168</v>
      </c>
      <c r="N32" s="294">
        <f>(IF('Section Load'!O35&gt;0,'Section Load'!O35,0))</f>
        <v>161</v>
      </c>
      <c r="O32" s="294">
        <f>(IF('Section Load'!P35&gt;0,'Section Load'!P35,0))</f>
        <v>14.759999999999991</v>
      </c>
      <c r="P32" s="294">
        <f>(IF('Section Load'!Q35&gt;0,'Section Load'!Q35,0))</f>
        <v>224.69999999999709</v>
      </c>
      <c r="Q32" s="294">
        <f>(IF('Section Load'!R35&gt;0,'Section Load'!R35,0))</f>
        <v>77</v>
      </c>
      <c r="R32" s="294">
        <f>(IF('Section Load'!S35&gt;0,'Section Load'!S35,0))</f>
        <v>162.09999999999945</v>
      </c>
      <c r="S32" s="294">
        <f>(IF('Section Load'!T35&gt;0,'Section Load'!T35,0))</f>
        <v>42</v>
      </c>
      <c r="T32" s="294">
        <f>(IF('Section Load'!U35&gt;0,'Section Load'!U35,0))</f>
        <v>223</v>
      </c>
      <c r="U32" s="294">
        <f>(IF('Section Load'!V35&gt;0,'Section Load'!V35,0))</f>
        <v>393.54000000003725</v>
      </c>
      <c r="V32" s="294">
        <f>(IF('Section Load'!W35&gt;0,'Section Load'!W35,0))</f>
        <v>249.47999999998137</v>
      </c>
      <c r="W32" s="294">
        <f>(IF('Section Load'!X35&gt;0,'Section Load'!X35,0))</f>
        <v>24.700000000000728</v>
      </c>
      <c r="X32" s="294">
        <f>(IF('Section Load'!Y35&gt;0,'Section Load'!Y35,0))</f>
        <v>207.91999999999825</v>
      </c>
      <c r="Y32" s="294">
        <f>(IF('Section Load'!Z35&gt;0,'Section Load'!Z35,0))</f>
        <v>265</v>
      </c>
      <c r="Z32" s="294">
        <f>(IF('Section Load'!AA35&gt;0,'Section Load'!AA35,0))</f>
        <v>288.03999999997905</v>
      </c>
      <c r="AA32" s="294">
        <f>(IF('Section Load'!AB35&gt;0,'Section Load'!AB35,0))</f>
        <v>23.19999999999709</v>
      </c>
      <c r="AB32" s="294">
        <f>(IF('Section Load'!AC35&gt;0,'Section Load'!AC35,0))</f>
        <v>6.5600000000013097</v>
      </c>
      <c r="AC32" s="294">
        <f>(IF('Section Load'!AD35&gt;0,'Section Load'!AD35,0))</f>
        <v>154.50000000000182</v>
      </c>
      <c r="AD32" s="294">
        <f>(IF('Section Load'!AE35&gt;0,'Section Load'!AE35,0))</f>
        <v>340.30000000000291</v>
      </c>
      <c r="AE32" s="294">
        <f>(IF('Section Load'!AF35&gt;0,'Section Load'!AF35,0))</f>
        <v>289</v>
      </c>
      <c r="AF32" s="294">
        <f>(IF('Section Load'!AG35&gt;0,'Section Load'!AG35,0))</f>
        <v>628.80000000000291</v>
      </c>
      <c r="AG32" s="294">
        <f>(IF('Section Load'!AH35&gt;0,'Section Load'!AH35,0))</f>
        <v>20.360000000000582</v>
      </c>
      <c r="AH32" s="294">
        <f>(IF('Section Load'!AI35&gt;0,'Section Load'!AI35,0))</f>
        <v>393.40000000000146</v>
      </c>
      <c r="AI32" s="294">
        <f>(IF('Section Load'!AJ35&gt;0,'Section Load'!AJ35,0))</f>
        <v>420.80000000000291</v>
      </c>
      <c r="AJ32" s="294">
        <f>(IF('Section Load'!AK35&gt;0,'Section Load'!AK35,0))</f>
        <v>336.09999999999854</v>
      </c>
      <c r="AK32" s="294">
        <f>(IF('Section Load'!AL35&gt;0,'Section Load'!AL35,0))</f>
        <v>334.69000000000233</v>
      </c>
      <c r="AL32" s="294">
        <f>(IF('Section Load'!AM35&gt;0,'Section Load'!AM35,0))</f>
        <v>877.64999999999418</v>
      </c>
      <c r="AM32" s="295">
        <f>(IF('Water Report'!$AH$7&gt;0,'Water Report'!$AH$7,0))</f>
        <v>64</v>
      </c>
      <c r="AN32" s="295">
        <f>(IF('Water Report'!$AH$8&gt;0,'Water Report'!$AH$8,0))</f>
        <v>105</v>
      </c>
      <c r="AO32" s="295">
        <f>(IF('Water Report'!$AH$9&gt;0,'Water Report'!$AH$9,0))</f>
        <v>83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874.60000000009313</v>
      </c>
      <c r="BH32" s="296">
        <f>(IF('Section Load'!AO35&gt;0,'Section Load'!AO35,0))</f>
        <v>285.03000000002794</v>
      </c>
      <c r="BI32" s="296">
        <f>(IF('Section Load'!AP35&gt;0,'Section Load'!AP35,0))</f>
        <v>0.80000000000291038</v>
      </c>
      <c r="BJ32" s="296">
        <f>(IF('Section Load'!AQ35&gt;0,'Section Load'!AQ35,0))</f>
        <v>84.799999999988358</v>
      </c>
      <c r="BK32" s="296">
        <f>(IF('Section Load'!AR35&gt;0,'Section Load'!AR35,0))</f>
        <v>42</v>
      </c>
      <c r="BL32" s="296">
        <f>(IF('Section Load'!AS35&gt;0,'Section Load'!AS35,0))</f>
        <v>0</v>
      </c>
      <c r="BM32" s="296">
        <f>(IF('Section Load'!AT35&gt;0,'Section Load'!AT35,0))</f>
        <v>462.37000000007356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V10" sqref="V10:V15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71"/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1"/>
      <c r="Z1" s="771"/>
      <c r="AA1" s="771"/>
      <c r="AB1" s="771"/>
      <c r="AC1" s="771"/>
      <c r="AD1" s="771"/>
      <c r="AE1" s="771"/>
      <c r="AF1" s="771"/>
      <c r="AG1" s="771"/>
      <c r="AH1" s="771"/>
      <c r="AI1" s="771"/>
      <c r="AJ1" s="771"/>
      <c r="AK1" s="771"/>
      <c r="AL1" s="771"/>
      <c r="AM1" s="771"/>
      <c r="AN1" s="771"/>
      <c r="AO1" s="771"/>
      <c r="AP1" s="771"/>
      <c r="AQ1" s="771"/>
      <c r="AR1" s="771"/>
      <c r="AS1" s="771"/>
      <c r="AT1" s="771"/>
      <c r="AU1" s="771"/>
      <c r="AV1" s="771"/>
      <c r="AW1" s="771"/>
      <c r="AX1" s="771"/>
      <c r="AY1" s="771"/>
      <c r="AZ1" s="771"/>
      <c r="BA1" s="771"/>
      <c r="BB1" s="771"/>
      <c r="BC1" s="771"/>
      <c r="BD1" s="771"/>
      <c r="BE1" s="771"/>
      <c r="BF1" s="771"/>
      <c r="BG1" s="771"/>
      <c r="BH1" s="771"/>
      <c r="BI1" s="771"/>
      <c r="BJ1" s="771"/>
      <c r="BK1" s="771"/>
      <c r="BL1" s="771"/>
      <c r="BM1" s="771"/>
      <c r="BN1" s="771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72" t="s">
        <v>5</v>
      </c>
      <c r="I2" s="772"/>
      <c r="J2" s="772"/>
      <c r="K2" s="44"/>
      <c r="L2" s="773" t="s">
        <v>6</v>
      </c>
      <c r="M2" s="773"/>
      <c r="N2" s="773"/>
      <c r="O2" s="774" t="s">
        <v>7</v>
      </c>
      <c r="P2" s="774"/>
      <c r="Q2" s="774"/>
      <c r="R2" s="44" t="s">
        <v>8</v>
      </c>
      <c r="S2" s="775" t="s">
        <v>9</v>
      </c>
      <c r="T2" s="775"/>
      <c r="U2" s="775"/>
      <c r="V2" s="776" t="s">
        <v>10</v>
      </c>
      <c r="W2" s="777"/>
      <c r="X2" s="778"/>
      <c r="Y2" s="263"/>
      <c r="Z2" s="779" t="s">
        <v>11</v>
      </c>
      <c r="AA2" s="779"/>
      <c r="AB2" s="779"/>
      <c r="AC2" s="779"/>
      <c r="AD2" s="264"/>
      <c r="AE2" s="264" t="s">
        <v>12</v>
      </c>
      <c r="AF2" s="264" t="s">
        <v>13</v>
      </c>
      <c r="AG2" s="779" t="s">
        <v>14</v>
      </c>
      <c r="AH2" s="779"/>
      <c r="AI2" s="779"/>
      <c r="AJ2" s="264" t="s">
        <v>15</v>
      </c>
      <c r="AK2" s="779" t="s">
        <v>16</v>
      </c>
      <c r="AL2" s="779"/>
      <c r="AM2" s="779"/>
      <c r="AN2" s="264" t="s">
        <v>17</v>
      </c>
      <c r="AO2" s="5" t="s">
        <v>18</v>
      </c>
      <c r="AP2" s="780" t="s">
        <v>19</v>
      </c>
      <c r="AQ2" s="781"/>
      <c r="AR2" s="781"/>
      <c r="AS2" s="781"/>
      <c r="AT2" s="781"/>
      <c r="AU2" s="781"/>
      <c r="AV2" s="781"/>
      <c r="AW2" s="781"/>
      <c r="AX2" s="781"/>
      <c r="AY2" s="782"/>
      <c r="AZ2" s="780" t="s">
        <v>20</v>
      </c>
      <c r="BA2" s="781"/>
      <c r="BB2" s="781"/>
      <c r="BC2" s="781"/>
      <c r="BD2" s="781"/>
      <c r="BE2" s="781"/>
      <c r="BF2" s="781"/>
      <c r="BG2" s="781"/>
      <c r="BH2" s="781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29</v>
      </c>
      <c r="E4" s="50">
        <f>'1'!D4</f>
        <v>0.78</v>
      </c>
      <c r="F4" s="50">
        <f>'1'!D2</f>
        <v>0.88</v>
      </c>
      <c r="G4" s="19">
        <f>'1'!G7</f>
        <v>25437</v>
      </c>
      <c r="H4" s="19">
        <f>'1'!G8</f>
        <v>25783</v>
      </c>
      <c r="I4" s="19">
        <v>9</v>
      </c>
      <c r="J4" s="49">
        <f>H4*I4</f>
        <v>232047</v>
      </c>
      <c r="K4" s="45">
        <f>H4/202</f>
        <v>127.63861386138613</v>
      </c>
      <c r="L4" s="19">
        <f>'1'!G15</f>
        <v>1063.6000000000931</v>
      </c>
      <c r="M4" s="19">
        <v>56.2</v>
      </c>
      <c r="N4" s="45">
        <f>L4*M4</f>
        <v>59774.320000005238</v>
      </c>
      <c r="O4" s="19">
        <f>'1'!G20</f>
        <v>182</v>
      </c>
      <c r="P4" s="19">
        <v>108</v>
      </c>
      <c r="Q4" s="46">
        <f t="shared" ref="Q4:Q33" si="0">O4*P4</f>
        <v>19656</v>
      </c>
      <c r="R4" s="47">
        <f t="shared" ref="R4:R34" si="1">O4/(F4*202/100)</f>
        <v>102.38523852385239</v>
      </c>
      <c r="S4" s="19">
        <f>'1'!G24</f>
        <v>0</v>
      </c>
      <c r="T4" s="19">
        <v>69</v>
      </c>
      <c r="U4" s="48">
        <f>S4*T4</f>
        <v>0</v>
      </c>
      <c r="V4" s="22">
        <f>'1'!G65</f>
        <v>92</v>
      </c>
      <c r="W4" s="22">
        <f>'1'!G66</f>
        <v>25</v>
      </c>
      <c r="X4" s="22">
        <f>'1'!G67</f>
        <v>0</v>
      </c>
      <c r="Y4" s="22">
        <f>V4+W4+X4</f>
        <v>117</v>
      </c>
      <c r="Z4" s="19">
        <f>'1'!G84</f>
        <v>22.440000000002328</v>
      </c>
      <c r="AA4" s="19">
        <f>'1'!G85</f>
        <v>0</v>
      </c>
      <c r="AB4" s="19">
        <f>'1'!G86</f>
        <v>15.010000000002037</v>
      </c>
      <c r="AC4" s="19">
        <f>'1'!G87</f>
        <v>0</v>
      </c>
      <c r="AD4" s="19">
        <f>Z4+AA4+AB4+AC4</f>
        <v>37.450000000004366</v>
      </c>
      <c r="AE4" s="23">
        <f t="shared" ref="AE4:AE33" si="2">AU4+AV4+BE4+BF4</f>
        <v>6923.2999999999447</v>
      </c>
      <c r="AF4" s="23">
        <f>AE4/AD4</f>
        <v>184.86782376499701</v>
      </c>
      <c r="AG4" s="19">
        <f>'1'!G88</f>
        <v>0</v>
      </c>
      <c r="AH4" s="19">
        <f>'1'!G89</f>
        <v>9.6399999999994179</v>
      </c>
      <c r="AI4" s="19">
        <f>'1'!G90</f>
        <v>11.75</v>
      </c>
      <c r="AJ4" s="19">
        <f>AG4+AH4+AI4</f>
        <v>21.389999999999418</v>
      </c>
      <c r="AK4" s="19">
        <f>'1'!G91</f>
        <v>0</v>
      </c>
      <c r="AL4" s="19">
        <f>'1'!G92</f>
        <v>10.859999999999673</v>
      </c>
      <c r="AM4" s="19"/>
      <c r="AN4" s="19">
        <f>AK4+AL4</f>
        <v>10.859999999999673</v>
      </c>
      <c r="AO4" s="52">
        <f>'1'!G74</f>
        <v>308.04000000003725</v>
      </c>
      <c r="AP4" s="55">
        <f>'1'!G35</f>
        <v>0</v>
      </c>
      <c r="AQ4" s="19">
        <f>'1'!G37</f>
        <v>0</v>
      </c>
      <c r="AR4" s="19">
        <f>'1'!G38</f>
        <v>2260.2999999999884</v>
      </c>
      <c r="AS4" s="19">
        <f>'1'!G39</f>
        <v>0.18999999994412065</v>
      </c>
      <c r="AT4" s="19">
        <f>'1'!G40</f>
        <v>837.7100000000064</v>
      </c>
      <c r="AU4" s="19">
        <f>'1'!G41</f>
        <v>4943.2099999999919</v>
      </c>
      <c r="AV4" s="19">
        <f>'1'!G42</f>
        <v>6.9999999948777258E-2</v>
      </c>
      <c r="AW4" s="19">
        <f>'1'!G43</f>
        <v>0</v>
      </c>
      <c r="AX4" s="19">
        <f>'1'!G44</f>
        <v>0</v>
      </c>
      <c r="AY4" s="56">
        <f>'1'!G36</f>
        <v>620.19000000000233</v>
      </c>
      <c r="AZ4" s="55">
        <f>'1'!G49</f>
        <v>4229.3499999999767</v>
      </c>
      <c r="BA4" s="19">
        <f>'1'!G51</f>
        <v>1127.2000000000007</v>
      </c>
      <c r="BB4" s="19">
        <f>'1'!G52</f>
        <v>-0.24000000000000021</v>
      </c>
      <c r="BC4" s="19">
        <f>'1'!G53</f>
        <v>4348.6699999999983</v>
      </c>
      <c r="BD4" s="19">
        <f>'1'!G54</f>
        <v>341.7899999999936</v>
      </c>
      <c r="BE4" s="19">
        <f>'1'!G55</f>
        <v>1979.6300000000047</v>
      </c>
      <c r="BF4" s="19">
        <f>'1'!G56</f>
        <v>0.38999999999941792</v>
      </c>
      <c r="BG4" s="19">
        <f>'1'!G57</f>
        <v>3125.4500000000116</v>
      </c>
      <c r="BH4" s="56">
        <f>'1'!G50</f>
        <v>1020.390000000014</v>
      </c>
      <c r="BI4" s="60">
        <f>SUM(AU4,AV4,BE4,BF4)</f>
        <v>6923.2999999999447</v>
      </c>
      <c r="BJ4" s="60">
        <f>'1'!G133</f>
        <v>0</v>
      </c>
      <c r="BK4" s="23">
        <f>SUM(AP4,AU4,AV4,AW4,AZ4,BE4,BF4,BG4)/H4%</f>
        <v>55.377962223170051</v>
      </c>
      <c r="BL4" s="23">
        <f>SUM(AS4,BC4)/H4%</f>
        <v>16.867160532133354</v>
      </c>
      <c r="BM4" s="24">
        <f>(AR4+BB4)/H4</f>
        <v>8.765698328355849E-2</v>
      </c>
      <c r="BN4" s="25">
        <f>J4+N4+Q4+U4</f>
        <v>311477.32000000525</v>
      </c>
      <c r="BO4" s="38">
        <f>SUM(AU4,AV4,AW4,BE4,BF4,BG4,BJ4)</f>
        <v>10048.749999999956</v>
      </c>
      <c r="BP4">
        <f>BO4/(AD4*280)</f>
        <v>0.95830154491691633</v>
      </c>
      <c r="BQ4" s="38">
        <f>SUM(AU4,AV4,BE4,BF4)/(AD4*400)</f>
        <v>0.46216955941249249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0.98</v>
      </c>
      <c r="G5" s="19">
        <f>'2'!G7</f>
        <v>25517</v>
      </c>
      <c r="H5" s="19">
        <f>'2'!G8</f>
        <v>25845</v>
      </c>
      <c r="I5" s="19">
        <v>9</v>
      </c>
      <c r="J5" s="49">
        <f t="shared" ref="J5:J34" si="3">H5*I5</f>
        <v>232605</v>
      </c>
      <c r="K5" s="45">
        <f t="shared" ref="K5:K33" si="4">H5/202</f>
        <v>127.94554455445545</v>
      </c>
      <c r="L5" s="19">
        <f>'2'!G15</f>
        <v>1000.6999999997206</v>
      </c>
      <c r="M5" s="19">
        <v>56.2</v>
      </c>
      <c r="N5" s="45">
        <f t="shared" ref="N5:N33" si="5">L5*M5</f>
        <v>56239.339999984302</v>
      </c>
      <c r="O5" s="19">
        <f>'2'!G20</f>
        <v>231</v>
      </c>
      <c r="P5" s="19">
        <v>108</v>
      </c>
      <c r="Q5" s="46">
        <f t="shared" si="0"/>
        <v>24948</v>
      </c>
      <c r="R5" s="47">
        <f t="shared" si="1"/>
        <v>116.69024045261669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454905</v>
      </c>
      <c r="W5" s="22">
        <f>'2'!G66</f>
        <v>17</v>
      </c>
      <c r="X5" s="22">
        <f>'2'!G67</f>
        <v>0</v>
      </c>
      <c r="Y5" s="22">
        <f t="shared" ref="Y5:Y33" si="7">V5+W5+X5</f>
        <v>454922</v>
      </c>
      <c r="Z5" s="19">
        <f>'2'!G84</f>
        <v>11.680000000000291</v>
      </c>
      <c r="AA5" s="19">
        <f>'2'!G85</f>
        <v>0</v>
      </c>
      <c r="AB5" s="19">
        <f>'2'!G86</f>
        <v>23.989999999997963</v>
      </c>
      <c r="AC5" s="19">
        <f>'2'!G87</f>
        <v>0</v>
      </c>
      <c r="AD5" s="19">
        <f t="shared" ref="AD5:AD33" si="8">Z5+AA5+AB5+AC5</f>
        <v>35.669999999998254</v>
      </c>
      <c r="AE5" s="23">
        <f t="shared" si="2"/>
        <v>6103.4199999999837</v>
      </c>
      <c r="AF5" s="23">
        <f t="shared" ref="AF5:AF33" si="9">AE5/AD5</f>
        <v>171.10793383796698</v>
      </c>
      <c r="AG5" s="19">
        <f>'2'!G88</f>
        <v>0</v>
      </c>
      <c r="AH5" s="19">
        <f>'2'!G89</f>
        <v>9.3400000000001455</v>
      </c>
      <c r="AI5" s="19">
        <f>'2'!G90</f>
        <v>10.089999999996508</v>
      </c>
      <c r="AJ5" s="19">
        <f t="shared" ref="AJ5:AJ33" si="10">AG5+AH5+AI5</f>
        <v>19.429999999996653</v>
      </c>
      <c r="AK5" s="19">
        <f>'2'!G91</f>
        <v>0</v>
      </c>
      <c r="AL5" s="19">
        <f>'2'!G92</f>
        <v>10.289999999999964</v>
      </c>
      <c r="AM5" s="19"/>
      <c r="AN5" s="19">
        <f t="shared" ref="AN5:AN33" si="11">AK5+AL5</f>
        <v>10.289999999999964</v>
      </c>
      <c r="AO5" s="52">
        <f>'2'!G74</f>
        <v>286.32999999995809</v>
      </c>
      <c r="AP5" s="55">
        <f>'2'!G35</f>
        <v>4.9999999988358468E-2</v>
      </c>
      <c r="AQ5" s="19">
        <f>'2'!G37</f>
        <v>-0.30999999999767169</v>
      </c>
      <c r="AR5" s="19">
        <f>'2'!G38</f>
        <v>2221.0499999999884</v>
      </c>
      <c r="AS5" s="19">
        <f>'2'!G39</f>
        <v>0</v>
      </c>
      <c r="AT5" s="19">
        <f>'2'!G40</f>
        <v>856.22999999999593</v>
      </c>
      <c r="AU5" s="19">
        <f>'2'!G41</f>
        <v>2451.140000000014</v>
      </c>
      <c r="AV5" s="19">
        <f>'2'!G42</f>
        <v>0</v>
      </c>
      <c r="AW5" s="19">
        <f>'2'!G43</f>
        <v>0</v>
      </c>
      <c r="AX5" s="19">
        <f>'2'!G44</f>
        <v>0</v>
      </c>
      <c r="AY5" s="56">
        <f>'2'!G36</f>
        <v>775.66000000000349</v>
      </c>
      <c r="AZ5" s="55">
        <f>'2'!G49</f>
        <v>4402.6500000000233</v>
      </c>
      <c r="BA5" s="19">
        <f>'2'!G51</f>
        <v>1083.619999999999</v>
      </c>
      <c r="BB5" s="19">
        <f>'2'!G52</f>
        <v>0</v>
      </c>
      <c r="BC5" s="19">
        <f>'2'!G53</f>
        <v>4423.6300000000047</v>
      </c>
      <c r="BD5" s="19">
        <f>'2'!G54</f>
        <v>345.28000000001339</v>
      </c>
      <c r="BE5" s="19">
        <f>'2'!G55</f>
        <v>3652.2799999999697</v>
      </c>
      <c r="BF5" s="19">
        <f>'2'!G56</f>
        <v>0</v>
      </c>
      <c r="BG5" s="19">
        <f>'2'!G57</f>
        <v>2942.6199999999953</v>
      </c>
      <c r="BH5" s="56">
        <f>'2'!G50</f>
        <v>1053.8399999999674</v>
      </c>
      <c r="BI5" s="60">
        <f t="shared" ref="BI5:BI32" si="12">SUM(AU5,AV5,BE5,BF5)</f>
        <v>6103.4199999999837</v>
      </c>
      <c r="BJ5" s="60">
        <f>'2'!G133</f>
        <v>0</v>
      </c>
      <c r="BK5" s="23">
        <f t="shared" ref="BK5:BK33" si="13">SUM(AP5,AU5,AV5,AW5,AZ5,BE5,BF5,BG5)/H5%</f>
        <v>52.03613851808857</v>
      </c>
      <c r="BL5" s="23">
        <f t="shared" ref="BL5:BL33" si="14">SUM(AS5,BC5)/H5%</f>
        <v>17.115999226155949</v>
      </c>
      <c r="BM5" s="24">
        <f t="shared" ref="BM5:BM33" si="15">(AR5+BB5)/H5</f>
        <v>8.5937318630295551E-2</v>
      </c>
      <c r="BN5" s="25">
        <f t="shared" ref="BN5:BN33" si="16">J5+N5+Q5+U5</f>
        <v>313792.33999998431</v>
      </c>
      <c r="BO5" s="38">
        <f t="shared" ref="BO5:BO35" si="17">SUM(AU5,AV5,AW5,BE5,BF5,BG5,BJ5)</f>
        <v>9046.039999999979</v>
      </c>
      <c r="BP5">
        <f t="shared" ref="BP5:BP35" si="18">BO5/(AD5*280)</f>
        <v>0.90572710160603365</v>
      </c>
    </row>
    <row r="6" spans="1:69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0.98</v>
      </c>
      <c r="G6" s="19">
        <f>'3'!G7</f>
        <v>27628.190000000002</v>
      </c>
      <c r="H6" s="19">
        <f>'3'!G8</f>
        <v>28055</v>
      </c>
      <c r="I6" s="19">
        <v>9</v>
      </c>
      <c r="J6" s="49">
        <f t="shared" si="3"/>
        <v>252495</v>
      </c>
      <c r="K6" s="45">
        <f t="shared" si="4"/>
        <v>138.88613861386139</v>
      </c>
      <c r="L6" s="19">
        <f>'3'!G15</f>
        <v>979.20000000018626</v>
      </c>
      <c r="M6" s="19">
        <v>56.2</v>
      </c>
      <c r="N6" s="45">
        <f t="shared" si="5"/>
        <v>55031.040000010471</v>
      </c>
      <c r="O6" s="19">
        <f>'3'!G20</f>
        <v>155</v>
      </c>
      <c r="P6" s="19">
        <v>108</v>
      </c>
      <c r="Q6" s="46">
        <f t="shared" si="0"/>
        <v>16740</v>
      </c>
      <c r="R6" s="47">
        <f t="shared" si="1"/>
        <v>78.298646191149729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104</v>
      </c>
      <c r="W6" s="22">
        <f>'3'!G66</f>
        <v>20</v>
      </c>
      <c r="X6" s="22">
        <f>'3'!G67</f>
        <v>0</v>
      </c>
      <c r="Y6" s="22">
        <f>V6+W6+X6</f>
        <v>124</v>
      </c>
      <c r="Z6" s="19">
        <f>'3'!G84</f>
        <v>0</v>
      </c>
      <c r="AA6" s="19">
        <f>'3'!G85</f>
        <v>16.289999999999964</v>
      </c>
      <c r="AB6" s="19">
        <f>'3'!G86</f>
        <v>24.239999999997963</v>
      </c>
      <c r="AC6" s="19">
        <f>'3'!G87</f>
        <v>0</v>
      </c>
      <c r="AD6" s="19">
        <f t="shared" si="8"/>
        <v>40.529999999997926</v>
      </c>
      <c r="AE6" s="23">
        <f t="shared" si="2"/>
        <v>7359.4100000000326</v>
      </c>
      <c r="AF6" s="23">
        <f t="shared" si="9"/>
        <v>181.5793239575724</v>
      </c>
      <c r="AG6" s="19">
        <f>'3'!G88</f>
        <v>0</v>
      </c>
      <c r="AH6" s="19">
        <f>'3'!G89</f>
        <v>8.5499999999992724</v>
      </c>
      <c r="AI6" s="19">
        <f>'3'!G90</f>
        <v>10.729999999995925</v>
      </c>
      <c r="AJ6" s="19">
        <f t="shared" si="10"/>
        <v>19.279999999995198</v>
      </c>
      <c r="AK6" s="19">
        <f>'3'!G91</f>
        <v>2.0000000000436557E-2</v>
      </c>
      <c r="AL6" s="19">
        <f>'3'!G92</f>
        <v>10.080000000000837</v>
      </c>
      <c r="AM6" s="19"/>
      <c r="AN6" s="19">
        <f t="shared" si="11"/>
        <v>10.100000000001273</v>
      </c>
      <c r="AO6" s="52">
        <f>'3'!G74</f>
        <v>281.28000000002794</v>
      </c>
      <c r="AP6" s="55">
        <f>'3'!G35</f>
        <v>0</v>
      </c>
      <c r="AQ6" s="19">
        <f>'3'!G37</f>
        <v>0</v>
      </c>
      <c r="AR6" s="19">
        <f>'3'!G38</f>
        <v>2247.1199999999953</v>
      </c>
      <c r="AS6" s="19">
        <f>'3'!G39</f>
        <v>0</v>
      </c>
      <c r="AT6" s="19">
        <f>'3'!G40</f>
        <v>844</v>
      </c>
      <c r="AU6" s="19">
        <f>'3'!G41</f>
        <v>0</v>
      </c>
      <c r="AV6" s="19">
        <f>'3'!G42</f>
        <v>3841.7600000000093</v>
      </c>
      <c r="AW6" s="19">
        <f>'3'!G43</f>
        <v>0</v>
      </c>
      <c r="AX6" s="19">
        <f>'3'!G44</f>
        <v>0</v>
      </c>
      <c r="AY6" s="56">
        <f>'3'!G36</f>
        <v>1174.1199999999953</v>
      </c>
      <c r="AZ6" s="55">
        <f>'3'!G49</f>
        <v>4074.1900000000023</v>
      </c>
      <c r="BA6" s="19">
        <f>'3'!G51</f>
        <v>1091.6900000000005</v>
      </c>
      <c r="BB6" s="19">
        <f>'3'!G52</f>
        <v>0</v>
      </c>
      <c r="BC6" s="19">
        <f>'3'!G53</f>
        <v>4283.9599999999991</v>
      </c>
      <c r="BD6" s="19">
        <f>'3'!G54</f>
        <v>341.29999999998836</v>
      </c>
      <c r="BE6" s="19">
        <f>'3'!G55</f>
        <v>3517.6500000000233</v>
      </c>
      <c r="BF6" s="19">
        <f>'3'!G56</f>
        <v>0</v>
      </c>
      <c r="BG6" s="19">
        <f>'3'!G57</f>
        <v>3175.1199999999953</v>
      </c>
      <c r="BH6" s="56">
        <f>'3'!G50</f>
        <v>1586.5400000000373</v>
      </c>
      <c r="BI6" s="60">
        <f t="shared" si="12"/>
        <v>7359.4100000000326</v>
      </c>
      <c r="BJ6" s="60">
        <f>'3'!G133</f>
        <v>0</v>
      </c>
      <c r="BK6" s="23">
        <f t="shared" si="13"/>
        <v>52.071716271609446</v>
      </c>
      <c r="BL6" s="23">
        <f t="shared" si="14"/>
        <v>15.26986276955979</v>
      </c>
      <c r="BM6" s="24">
        <f t="shared" si="15"/>
        <v>8.0096952414899142E-2</v>
      </c>
      <c r="BN6" s="25">
        <f t="shared" si="16"/>
        <v>324266.04000001046</v>
      </c>
      <c r="BO6" s="38">
        <f t="shared" si="17"/>
        <v>10534.530000000028</v>
      </c>
      <c r="BP6">
        <f t="shared" si="18"/>
        <v>0.92828328222485701</v>
      </c>
    </row>
    <row r="7" spans="1:69">
      <c r="A7" s="16">
        <v>4</v>
      </c>
      <c r="B7" s="27">
        <v>4</v>
      </c>
      <c r="C7" s="27"/>
      <c r="D7" s="19">
        <f>'4'!D3</f>
        <v>27</v>
      </c>
      <c r="E7" s="50">
        <f>'4'!D4</f>
        <v>0.93</v>
      </c>
      <c r="F7" s="50">
        <f>'4'!D2</f>
        <v>0.53</v>
      </c>
      <c r="G7" s="19">
        <f>'4'!G7</f>
        <v>25466</v>
      </c>
      <c r="H7" s="19">
        <f>'4'!G8</f>
        <v>25892</v>
      </c>
      <c r="I7" s="19">
        <v>9</v>
      </c>
      <c r="J7" s="49">
        <f t="shared" si="3"/>
        <v>233028</v>
      </c>
      <c r="K7" s="45">
        <f t="shared" si="4"/>
        <v>128.17821782178217</v>
      </c>
      <c r="L7" s="19">
        <f>'4'!G15</f>
        <v>1002.2999999998137</v>
      </c>
      <c r="M7" s="19">
        <v>56.2</v>
      </c>
      <c r="N7" s="45">
        <f t="shared" si="5"/>
        <v>56329.259999989532</v>
      </c>
      <c r="O7" s="19">
        <f>'4'!G20</f>
        <v>183</v>
      </c>
      <c r="P7" s="19">
        <v>108</v>
      </c>
      <c r="Q7" s="46">
        <f t="shared" si="0"/>
        <v>19764</v>
      </c>
      <c r="R7" s="47">
        <f t="shared" si="1"/>
        <v>170.93218755837847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108</v>
      </c>
      <c r="W7" s="22">
        <f>'4'!G66</f>
        <v>22</v>
      </c>
      <c r="X7" s="22">
        <f>'4'!G67</f>
        <v>0</v>
      </c>
      <c r="Y7" s="22">
        <f t="shared" si="7"/>
        <v>130</v>
      </c>
      <c r="Z7" s="19">
        <f>'4'!G84</f>
        <v>12.469999999993888</v>
      </c>
      <c r="AA7" s="19">
        <f>'4'!G85</f>
        <v>0</v>
      </c>
      <c r="AB7" s="19">
        <f>'4'!G86</f>
        <v>24.330000000001746</v>
      </c>
      <c r="AC7" s="19">
        <f>'4'!G87</f>
        <v>0</v>
      </c>
      <c r="AD7" s="19">
        <f t="shared" si="8"/>
        <v>36.799999999995634</v>
      </c>
      <c r="AE7" s="23">
        <f t="shared" si="2"/>
        <v>6053.679999999993</v>
      </c>
      <c r="AF7" s="23">
        <f t="shared" si="9"/>
        <v>164.50217391306279</v>
      </c>
      <c r="AG7" s="19">
        <f>'4'!G88</f>
        <v>0.2000000000007276</v>
      </c>
      <c r="AH7" s="19">
        <f>'4'!G89</f>
        <v>9.1500000000014552</v>
      </c>
      <c r="AI7" s="19">
        <f>'4'!G90</f>
        <v>11.309999999997672</v>
      </c>
      <c r="AJ7" s="19">
        <f t="shared" si="10"/>
        <v>20.659999999999854</v>
      </c>
      <c r="AK7" s="19">
        <f>'4'!G91</f>
        <v>0</v>
      </c>
      <c r="AL7" s="19">
        <f>'4'!G92</f>
        <v>10.519999999999527</v>
      </c>
      <c r="AM7" s="19"/>
      <c r="AN7" s="19">
        <f t="shared" si="11"/>
        <v>10.519999999999527</v>
      </c>
      <c r="AO7" s="52">
        <f>'4'!G74</f>
        <v>292.34999999997672</v>
      </c>
      <c r="AP7" s="55">
        <f>'4'!G35</f>
        <v>-4.9999999988358468E-2</v>
      </c>
      <c r="AQ7" s="19">
        <f>'4'!G37</f>
        <v>0</v>
      </c>
      <c r="AR7" s="19">
        <f>'4'!G38</f>
        <v>2254.1600000000326</v>
      </c>
      <c r="AS7" s="19">
        <f>'4'!G39</f>
        <v>0</v>
      </c>
      <c r="AT7" s="19">
        <f>'4'!G40</f>
        <v>881.05999999999767</v>
      </c>
      <c r="AU7" s="19">
        <f>'4'!G41</f>
        <v>2428.4400000000023</v>
      </c>
      <c r="AV7" s="19">
        <f>'4'!G42</f>
        <v>0</v>
      </c>
      <c r="AW7" s="19">
        <f>'4'!G43</f>
        <v>0</v>
      </c>
      <c r="AX7" s="19">
        <f>'4'!G44</f>
        <v>0</v>
      </c>
      <c r="AY7" s="56">
        <f>'4'!G36</f>
        <v>810.57999999998719</v>
      </c>
      <c r="AZ7" s="55">
        <f>'4'!G49</f>
        <v>4185.7999999999884</v>
      </c>
      <c r="BA7" s="19">
        <f>'4'!G51</f>
        <v>1113.08</v>
      </c>
      <c r="BB7" s="19">
        <f>'4'!G52</f>
        <v>-9.9999999999997868E-3</v>
      </c>
      <c r="BC7" s="19">
        <f>'4'!G53</f>
        <v>4351.1299999999974</v>
      </c>
      <c r="BD7" s="19">
        <f>'4'!G54</f>
        <v>260.61000000000058</v>
      </c>
      <c r="BE7" s="19">
        <f>'4'!G55</f>
        <v>3625.2399999999907</v>
      </c>
      <c r="BF7" s="19">
        <f>'4'!G56</f>
        <v>0</v>
      </c>
      <c r="BG7" s="19">
        <f>'4'!G57</f>
        <v>3159</v>
      </c>
      <c r="BH7" s="56">
        <f>'4'!G50</f>
        <v>1123.2199999999721</v>
      </c>
      <c r="BI7" s="60">
        <f t="shared" si="12"/>
        <v>6053.679999999993</v>
      </c>
      <c r="BJ7" s="60">
        <f>'3'!G133</f>
        <v>0</v>
      </c>
      <c r="BK7" s="23">
        <f t="shared" si="13"/>
        <v>51.747373706164034</v>
      </c>
      <c r="BL7" s="23">
        <f t="shared" si="14"/>
        <v>16.804920438745548</v>
      </c>
      <c r="BM7" s="24">
        <f t="shared" si="15"/>
        <v>8.7059709562800569E-2</v>
      </c>
      <c r="BN7" s="25">
        <f t="shared" si="16"/>
        <v>309121.25999998953</v>
      </c>
      <c r="BO7" s="38">
        <f t="shared" si="17"/>
        <v>9212.679999999993</v>
      </c>
      <c r="BP7">
        <f t="shared" si="18"/>
        <v>0.89408773291936006</v>
      </c>
    </row>
    <row r="8" spans="1:69">
      <c r="A8" s="16">
        <v>5</v>
      </c>
      <c r="B8" s="27">
        <v>5</v>
      </c>
      <c r="C8" s="27"/>
      <c r="D8" s="19">
        <f>'5'!D3</f>
        <v>27</v>
      </c>
      <c r="E8" s="50">
        <f>'5'!D4</f>
        <v>0.78</v>
      </c>
      <c r="F8" s="50">
        <f>'5'!D2</f>
        <v>0.63</v>
      </c>
      <c r="G8" s="19">
        <f>'5'!G7</f>
        <v>26773.809999999998</v>
      </c>
      <c r="H8" s="19">
        <f>'5'!G8</f>
        <v>27118</v>
      </c>
      <c r="I8" s="19">
        <v>9</v>
      </c>
      <c r="J8" s="49">
        <f t="shared" si="3"/>
        <v>244062</v>
      </c>
      <c r="K8" s="45">
        <f t="shared" si="4"/>
        <v>134.24752475247524</v>
      </c>
      <c r="L8" s="19">
        <f>'5'!G15</f>
        <v>1047.2000000001863</v>
      </c>
      <c r="M8" s="19">
        <v>56.2</v>
      </c>
      <c r="N8" s="45">
        <f t="shared" si="5"/>
        <v>58852.64000001047</v>
      </c>
      <c r="O8" s="19">
        <f>'5'!G20</f>
        <v>192</v>
      </c>
      <c r="P8" s="19">
        <v>108</v>
      </c>
      <c r="Q8" s="46">
        <f t="shared" si="0"/>
        <v>20736</v>
      </c>
      <c r="R8" s="47">
        <f t="shared" si="1"/>
        <v>150.87223008015087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102</v>
      </c>
      <c r="W8" s="22">
        <f>'5'!G66</f>
        <v>25</v>
      </c>
      <c r="X8" s="22">
        <f>'5'!G67</f>
        <v>0</v>
      </c>
      <c r="Y8" s="22">
        <f t="shared" si="7"/>
        <v>127</v>
      </c>
      <c r="Z8" s="19">
        <f>'5'!G84</f>
        <v>13.960000000006403</v>
      </c>
      <c r="AA8" s="19">
        <f>'5'!G85</f>
        <v>0</v>
      </c>
      <c r="AB8" s="19">
        <f>'5'!G86</f>
        <v>24.430000000000291</v>
      </c>
      <c r="AC8" s="19">
        <f>'5'!G87</f>
        <v>0</v>
      </c>
      <c r="AD8" s="19">
        <f t="shared" si="8"/>
        <v>38.390000000006694</v>
      </c>
      <c r="AE8" s="23">
        <f t="shared" si="2"/>
        <v>6662.0200000000041</v>
      </c>
      <c r="AF8" s="23">
        <f t="shared" si="9"/>
        <v>173.53529564987869</v>
      </c>
      <c r="AG8" s="19">
        <f>'5'!G88</f>
        <v>-0.2000000000007276</v>
      </c>
      <c r="AH8" s="19">
        <f>'5'!G89</f>
        <v>9.0599999999976717</v>
      </c>
      <c r="AI8" s="19">
        <f>'5'!G90</f>
        <v>12.540000000008149</v>
      </c>
      <c r="AJ8" s="19">
        <f t="shared" si="10"/>
        <v>21.400000000005093</v>
      </c>
      <c r="AK8" s="19">
        <f>'5'!G91</f>
        <v>0</v>
      </c>
      <c r="AL8" s="19">
        <f>'5'!G92</f>
        <v>10.25</v>
      </c>
      <c r="AM8" s="19"/>
      <c r="AN8" s="19">
        <f t="shared" si="11"/>
        <v>10.25</v>
      </c>
      <c r="AO8" s="52">
        <f>'5'!G74</f>
        <v>286.14000000001397</v>
      </c>
      <c r="AP8" s="55">
        <f>'5'!G35</f>
        <v>0</v>
      </c>
      <c r="AQ8" s="19">
        <f>'5'!G37</f>
        <v>0</v>
      </c>
      <c r="AR8" s="19">
        <f>'5'!G38</f>
        <v>2239.3699999999953</v>
      </c>
      <c r="AS8" s="19">
        <f>'5'!G39</f>
        <v>-0.18999999994412065</v>
      </c>
      <c r="AT8" s="19">
        <f>'5'!G40</f>
        <v>861</v>
      </c>
      <c r="AU8" s="19">
        <f>'5'!G41</f>
        <v>3130.2099999999919</v>
      </c>
      <c r="AV8" s="19">
        <f>'5'!G42</f>
        <v>0</v>
      </c>
      <c r="AW8" s="19">
        <f>'5'!G43</f>
        <v>0</v>
      </c>
      <c r="AX8" s="19">
        <f>'5'!G44</f>
        <v>0</v>
      </c>
      <c r="AY8" s="56">
        <f>'5'!G36</f>
        <v>1153.4500000000116</v>
      </c>
      <c r="AZ8" s="55">
        <f>'5'!G49</f>
        <v>4350.0100000000093</v>
      </c>
      <c r="BA8" s="19">
        <f>'5'!G51</f>
        <v>1100.4099999999999</v>
      </c>
      <c r="BB8" s="19">
        <f>'5'!G52</f>
        <v>9.9999999999997868E-3</v>
      </c>
      <c r="BC8" s="19">
        <f>'5'!G53</f>
        <v>4215.6100000000006</v>
      </c>
      <c r="BD8" s="19">
        <f>'5'!G54</f>
        <v>432.02000000000407</v>
      </c>
      <c r="BE8" s="19">
        <f>'5'!G55</f>
        <v>3532.2000000000116</v>
      </c>
      <c r="BF8" s="19">
        <f>'5'!G56</f>
        <v>-0.38999999999941792</v>
      </c>
      <c r="BG8" s="19">
        <f>'5'!G57</f>
        <v>3388.8099999999977</v>
      </c>
      <c r="BH8" s="56">
        <f>'5'!G50</f>
        <v>1030.0100000000093</v>
      </c>
      <c r="BI8" s="60">
        <f t="shared" si="12"/>
        <v>6662.0200000000041</v>
      </c>
      <c r="BJ8" s="60">
        <f>'5'!G133</f>
        <v>0</v>
      </c>
      <c r="BK8" s="23">
        <f t="shared" si="13"/>
        <v>53.104358728519841</v>
      </c>
      <c r="BL8" s="23">
        <f t="shared" si="14"/>
        <v>15.544730437348095</v>
      </c>
      <c r="BM8" s="24">
        <f t="shared" si="15"/>
        <v>8.2579098753595231E-2</v>
      </c>
      <c r="BN8" s="25">
        <f t="shared" si="16"/>
        <v>323650.64000001049</v>
      </c>
      <c r="BO8" s="38">
        <f t="shared" si="17"/>
        <v>10050.830000000002</v>
      </c>
      <c r="BP8">
        <f t="shared" si="18"/>
        <v>0.93503051389854586</v>
      </c>
    </row>
    <row r="9" spans="1:69">
      <c r="A9" s="16">
        <v>6</v>
      </c>
      <c r="B9" s="17">
        <v>6</v>
      </c>
      <c r="C9" s="26"/>
      <c r="D9" s="19">
        <f>'6'!D3</f>
        <v>27</v>
      </c>
      <c r="E9" s="50">
        <f>'6'!D4</f>
        <v>0.79</v>
      </c>
      <c r="F9" s="50">
        <f>'6'!D2</f>
        <v>0.81</v>
      </c>
      <c r="G9" s="19">
        <f>'6'!G7</f>
        <v>25778</v>
      </c>
      <c r="H9" s="19">
        <f>'6'!G8</f>
        <v>26156</v>
      </c>
      <c r="I9" s="19">
        <v>9</v>
      </c>
      <c r="J9" s="49">
        <f t="shared" si="3"/>
        <v>235404</v>
      </c>
      <c r="K9" s="45">
        <f t="shared" si="4"/>
        <v>129.48514851485149</v>
      </c>
      <c r="L9" s="19">
        <f>'6'!G15</f>
        <v>981</v>
      </c>
      <c r="M9" s="19">
        <v>56.2</v>
      </c>
      <c r="N9" s="45">
        <f t="shared" si="5"/>
        <v>55132.200000000004</v>
      </c>
      <c r="O9" s="19">
        <f>'6'!G20</f>
        <v>247</v>
      </c>
      <c r="P9" s="19">
        <v>108</v>
      </c>
      <c r="Q9" s="46">
        <f t="shared" si="0"/>
        <v>26676</v>
      </c>
      <c r="R9" s="47">
        <f t="shared" si="1"/>
        <v>150.95954039848428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104</v>
      </c>
      <c r="W9" s="22">
        <f>'6'!G66</f>
        <v>23</v>
      </c>
      <c r="X9" s="22">
        <f>'6'!G67</f>
        <v>0</v>
      </c>
      <c r="Y9" s="22">
        <f t="shared" si="7"/>
        <v>127</v>
      </c>
      <c r="Z9" s="19">
        <f>'6'!G84</f>
        <v>13.44999999999709</v>
      </c>
      <c r="AA9" s="19">
        <f>'6'!G85</f>
        <v>0</v>
      </c>
      <c r="AB9" s="19">
        <f>'6'!G86</f>
        <v>24</v>
      </c>
      <c r="AC9" s="19">
        <f>'6'!G87</f>
        <v>0</v>
      </c>
      <c r="AD9" s="19">
        <f t="shared" si="8"/>
        <v>37.44999999999709</v>
      </c>
      <c r="AE9" s="23">
        <f t="shared" si="2"/>
        <v>6391.1700000000419</v>
      </c>
      <c r="AF9" s="23">
        <f t="shared" si="9"/>
        <v>170.65874499333881</v>
      </c>
      <c r="AG9" s="19">
        <f>'6'!G88</f>
        <v>10.540000000000873</v>
      </c>
      <c r="AH9" s="19">
        <f>'6'!G89</f>
        <v>0</v>
      </c>
      <c r="AI9" s="19">
        <f>'6'!G90</f>
        <v>11.029999999998836</v>
      </c>
      <c r="AJ9" s="19">
        <f t="shared" si="10"/>
        <v>21.569999999999709</v>
      </c>
      <c r="AK9" s="19">
        <f>'6'!G91</f>
        <v>0</v>
      </c>
      <c r="AL9" s="19">
        <f>'6'!G92</f>
        <v>11.230000000000473</v>
      </c>
      <c r="AM9" s="19"/>
      <c r="AN9" s="19">
        <f t="shared" si="11"/>
        <v>11.230000000000473</v>
      </c>
      <c r="AO9" s="52">
        <f>'6'!G74</f>
        <v>312</v>
      </c>
      <c r="AP9" s="55">
        <f>'6'!G35</f>
        <v>0</v>
      </c>
      <c r="AQ9" s="19">
        <f>'6'!G37</f>
        <v>0</v>
      </c>
      <c r="AR9" s="19">
        <f>'6'!G38</f>
        <v>2225</v>
      </c>
      <c r="AS9" s="19">
        <f>'6'!G39</f>
        <v>0</v>
      </c>
      <c r="AT9" s="19">
        <f>'6'!G40</f>
        <v>851.66999999999825</v>
      </c>
      <c r="AU9" s="19">
        <f>'6'!G41</f>
        <v>2883</v>
      </c>
      <c r="AV9" s="19">
        <f>'6'!G42</f>
        <v>0.17000000004190952</v>
      </c>
      <c r="AW9" s="19">
        <f>'6'!G43</f>
        <v>0</v>
      </c>
      <c r="AX9" s="19">
        <f>'6'!G44</f>
        <v>0</v>
      </c>
      <c r="AY9" s="56">
        <f>'6'!G36</f>
        <v>879</v>
      </c>
      <c r="AZ9" s="55">
        <f>'6'!G49</f>
        <v>4273</v>
      </c>
      <c r="BA9" s="19">
        <f>'6'!G51</f>
        <v>1116</v>
      </c>
      <c r="BB9" s="19">
        <f>'6'!G52</f>
        <v>0</v>
      </c>
      <c r="BC9" s="19">
        <f>'6'!G53</f>
        <v>4247</v>
      </c>
      <c r="BD9" s="19">
        <f>'6'!G54</f>
        <v>345</v>
      </c>
      <c r="BE9" s="19">
        <f>'6'!G55</f>
        <v>3508</v>
      </c>
      <c r="BF9" s="19">
        <f>'6'!G56</f>
        <v>0</v>
      </c>
      <c r="BG9" s="19">
        <f>'6'!G57</f>
        <v>3116</v>
      </c>
      <c r="BH9" s="56">
        <f>'6'!G50</f>
        <v>993</v>
      </c>
      <c r="BI9" s="60">
        <f t="shared" si="12"/>
        <v>6391.1700000000419</v>
      </c>
      <c r="BJ9" s="60">
        <f>'6'!G133</f>
        <v>0.41000000000349246</v>
      </c>
      <c r="BK9" s="23">
        <f t="shared" si="13"/>
        <v>52.684546566753482</v>
      </c>
      <c r="BL9" s="23">
        <f t="shared" si="14"/>
        <v>16.237192231228015</v>
      </c>
      <c r="BM9" s="24">
        <f t="shared" si="15"/>
        <v>8.5066523933323132E-2</v>
      </c>
      <c r="BN9" s="25">
        <f t="shared" si="16"/>
        <v>317212.2</v>
      </c>
      <c r="BO9" s="38">
        <f t="shared" si="17"/>
        <v>9507.5800000000454</v>
      </c>
      <c r="BP9">
        <f t="shared" si="18"/>
        <v>0.90669273316810839</v>
      </c>
    </row>
    <row r="10" spans="1:69">
      <c r="A10" s="16">
        <v>7</v>
      </c>
      <c r="B10" s="26">
        <v>7</v>
      </c>
      <c r="C10" s="27"/>
      <c r="D10" s="19">
        <f>'7'!D3</f>
        <v>28</v>
      </c>
      <c r="E10" s="50">
        <f>'7'!D4</f>
        <v>0.78</v>
      </c>
      <c r="F10" s="50">
        <f>'7'!D2</f>
        <v>0.82</v>
      </c>
      <c r="G10" s="19">
        <f>'7'!G7</f>
        <v>25498</v>
      </c>
      <c r="H10" s="19">
        <f>'7'!G8</f>
        <v>25917</v>
      </c>
      <c r="I10" s="19">
        <v>9</v>
      </c>
      <c r="J10" s="49">
        <f t="shared" si="3"/>
        <v>233253</v>
      </c>
      <c r="K10" s="45">
        <f t="shared" si="4"/>
        <v>128.30198019801981</v>
      </c>
      <c r="L10" s="19">
        <f>'7'!G15</f>
        <v>1066</v>
      </c>
      <c r="M10" s="19">
        <v>56.2</v>
      </c>
      <c r="N10" s="45">
        <f t="shared" si="5"/>
        <v>59909.200000000004</v>
      </c>
      <c r="O10" s="19">
        <f>'7'!G20</f>
        <v>287</v>
      </c>
      <c r="P10" s="19">
        <v>108</v>
      </c>
      <c r="Q10" s="46">
        <f t="shared" si="0"/>
        <v>30996</v>
      </c>
      <c r="R10" s="47">
        <f t="shared" si="1"/>
        <v>173.26732673267327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101</v>
      </c>
      <c r="W10" s="22">
        <f>'7'!G66</f>
        <v>31</v>
      </c>
      <c r="X10" s="22">
        <f>'7'!G67</f>
        <v>0</v>
      </c>
      <c r="Y10" s="22">
        <f t="shared" si="7"/>
        <v>132</v>
      </c>
      <c r="Z10" s="19">
        <f>'7'!G84</f>
        <v>14</v>
      </c>
      <c r="AA10" s="19">
        <f>'7'!G85</f>
        <v>0</v>
      </c>
      <c r="AB10" s="19">
        <f>'7'!G86</f>
        <v>24</v>
      </c>
      <c r="AC10" s="19">
        <f>'7'!G87</f>
        <v>-0.43000000000029104</v>
      </c>
      <c r="AD10" s="19">
        <f t="shared" si="8"/>
        <v>37.569999999999709</v>
      </c>
      <c r="AE10" s="23">
        <f t="shared" si="2"/>
        <v>6173</v>
      </c>
      <c r="AF10" s="23">
        <f t="shared" si="9"/>
        <v>164.3066276284282</v>
      </c>
      <c r="AG10" s="19">
        <f>'7'!G88</f>
        <v>4.9599999999991269</v>
      </c>
      <c r="AH10" s="19">
        <f>'7'!G89</f>
        <v>4.6500000000014552</v>
      </c>
      <c r="AI10" s="19">
        <f>'7'!G90</f>
        <v>11</v>
      </c>
      <c r="AJ10" s="19">
        <f t="shared" si="10"/>
        <v>20.610000000000582</v>
      </c>
      <c r="AK10" s="19">
        <f>'7'!G91</f>
        <v>0</v>
      </c>
      <c r="AL10" s="19">
        <f>'7'!G92</f>
        <v>12.889999999999418</v>
      </c>
      <c r="AM10" s="19"/>
      <c r="AN10" s="19">
        <f t="shared" si="11"/>
        <v>12.889999999999418</v>
      </c>
      <c r="AO10" s="52">
        <f>'7'!G74</f>
        <v>359</v>
      </c>
      <c r="AP10" s="55">
        <f>'7'!G35</f>
        <v>0</v>
      </c>
      <c r="AQ10" s="19">
        <f>'7'!G37</f>
        <v>0</v>
      </c>
      <c r="AR10" s="19">
        <f>'7'!G38</f>
        <v>2257</v>
      </c>
      <c r="AS10" s="19">
        <f>'7'!G39</f>
        <v>0</v>
      </c>
      <c r="AT10" s="19">
        <f>'7'!G40</f>
        <v>871.33000000000175</v>
      </c>
      <c r="AU10" s="19">
        <f>'7'!G41</f>
        <v>2682</v>
      </c>
      <c r="AV10" s="19">
        <f>'7'!G42</f>
        <v>0</v>
      </c>
      <c r="AW10" s="19">
        <f>'7'!G43</f>
        <v>0</v>
      </c>
      <c r="AX10" s="19">
        <f>'7'!G44</f>
        <v>0</v>
      </c>
      <c r="AY10" s="56">
        <f>'7'!G36</f>
        <v>801</v>
      </c>
      <c r="AZ10" s="55">
        <f>'7'!G49</f>
        <v>4335</v>
      </c>
      <c r="BA10" s="19">
        <f>'7'!G51</f>
        <v>1065</v>
      </c>
      <c r="BB10" s="19">
        <f>'7'!G52</f>
        <v>0</v>
      </c>
      <c r="BC10" s="19">
        <f>'7'!G53</f>
        <v>4343</v>
      </c>
      <c r="BD10" s="19">
        <f>'7'!G54</f>
        <v>350</v>
      </c>
      <c r="BE10" s="19">
        <f>'7'!G55</f>
        <v>3491</v>
      </c>
      <c r="BF10" s="19">
        <f>'7'!G56</f>
        <v>0</v>
      </c>
      <c r="BG10" s="19">
        <f>'7'!G57</f>
        <v>3091</v>
      </c>
      <c r="BH10" s="56">
        <f>'7'!G50</f>
        <v>1137</v>
      </c>
      <c r="BI10" s="60">
        <f t="shared" si="12"/>
        <v>6173</v>
      </c>
      <c r="BJ10" s="60">
        <f>'7'!G133</f>
        <v>0</v>
      </c>
      <c r="BK10" s="23">
        <f t="shared" si="13"/>
        <v>52.471350850792909</v>
      </c>
      <c r="BL10" s="23">
        <f t="shared" si="14"/>
        <v>16.757340741598178</v>
      </c>
      <c r="BM10" s="24">
        <f t="shared" si="15"/>
        <v>8.7085696646988467E-2</v>
      </c>
      <c r="BN10" s="25">
        <f t="shared" si="16"/>
        <v>324158.2</v>
      </c>
      <c r="BO10" s="38">
        <f t="shared" si="17"/>
        <v>9264</v>
      </c>
      <c r="BP10">
        <f t="shared" si="18"/>
        <v>0.88064184949998781</v>
      </c>
    </row>
    <row r="11" spans="1:69">
      <c r="A11" s="16">
        <v>8</v>
      </c>
      <c r="B11" s="26">
        <v>8</v>
      </c>
      <c r="C11" s="18"/>
      <c r="D11" s="19">
        <f>'8'!D3</f>
        <v>28</v>
      </c>
      <c r="E11" s="50">
        <f>'8'!D4</f>
        <v>0.78</v>
      </c>
      <c r="F11" s="50">
        <f>'8'!D2</f>
        <v>0.98</v>
      </c>
      <c r="G11" s="19">
        <f>'8'!G7</f>
        <v>26827.150000000023</v>
      </c>
      <c r="H11" s="19">
        <f>'8'!G8</f>
        <v>27220.030000000028</v>
      </c>
      <c r="I11" s="19">
        <v>9</v>
      </c>
      <c r="J11" s="49">
        <f t="shared" si="3"/>
        <v>244980.27000000025</v>
      </c>
      <c r="K11" s="45">
        <f t="shared" si="4"/>
        <v>134.75262376237637</v>
      </c>
      <c r="L11" s="19">
        <f>'8'!G15</f>
        <v>1037</v>
      </c>
      <c r="M11" s="19">
        <v>56.2</v>
      </c>
      <c r="N11" s="45">
        <f t="shared" si="5"/>
        <v>58279.4</v>
      </c>
      <c r="O11" s="19">
        <f>'8'!G20</f>
        <v>212</v>
      </c>
      <c r="P11" s="19">
        <v>108</v>
      </c>
      <c r="Q11" s="46">
        <f t="shared" si="0"/>
        <v>22896</v>
      </c>
      <c r="R11" s="47">
        <f t="shared" si="1"/>
        <v>107.09234188724994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105</v>
      </c>
      <c r="W11" s="22">
        <f>'8'!G66</f>
        <v>31</v>
      </c>
      <c r="X11" s="22">
        <f>'8'!G67</f>
        <v>0</v>
      </c>
      <c r="Y11" s="22">
        <f t="shared" si="7"/>
        <v>136</v>
      </c>
      <c r="Z11" s="19">
        <f>'8'!G84</f>
        <v>0</v>
      </c>
      <c r="AA11" s="19">
        <f>'8'!G85</f>
        <v>14.960000000000036</v>
      </c>
      <c r="AB11" s="19">
        <f>'8'!G86</f>
        <v>24</v>
      </c>
      <c r="AC11" s="19">
        <f>'8'!G87</f>
        <v>0</v>
      </c>
      <c r="AD11" s="19">
        <f t="shared" si="8"/>
        <v>38.960000000000036</v>
      </c>
      <c r="AE11" s="23">
        <f t="shared" si="2"/>
        <v>6736.2799999999843</v>
      </c>
      <c r="AF11" s="23">
        <f t="shared" si="9"/>
        <v>172.90246406570785</v>
      </c>
      <c r="AG11" s="19">
        <f>'8'!G88</f>
        <v>0</v>
      </c>
      <c r="AH11" s="19">
        <f>'8'!G89</f>
        <v>8.4799999999995634</v>
      </c>
      <c r="AI11" s="19">
        <f>'8'!G90</f>
        <v>11.460000000006403</v>
      </c>
      <c r="AJ11" s="19">
        <f t="shared" si="10"/>
        <v>19.940000000005966</v>
      </c>
      <c r="AK11" s="19">
        <f>'8'!G91</f>
        <v>0</v>
      </c>
      <c r="AL11" s="19">
        <f>'8'!G92</f>
        <v>10.449999999999818</v>
      </c>
      <c r="AM11" s="19"/>
      <c r="AN11" s="19">
        <f t="shared" si="11"/>
        <v>10.449999999999818</v>
      </c>
      <c r="AO11" s="52">
        <f>'8'!G74</f>
        <v>302.81999999994878</v>
      </c>
      <c r="AP11" s="55">
        <f>'8'!G35</f>
        <v>4.9999999988358468E-2</v>
      </c>
      <c r="AQ11" s="19">
        <f>'8'!G37</f>
        <v>0</v>
      </c>
      <c r="AR11" s="19">
        <f>'8'!G38</f>
        <v>2306.3499999999767</v>
      </c>
      <c r="AS11" s="19">
        <f>'8'!G39</f>
        <v>0.18999999994412065</v>
      </c>
      <c r="AT11" s="19">
        <f>'8'!G40</f>
        <v>861.97000000000116</v>
      </c>
      <c r="AU11" s="19">
        <f>'8'!G41</f>
        <v>0.14999999999417923</v>
      </c>
      <c r="AV11" s="19">
        <f>'8'!G42</f>
        <v>3257.5100000000093</v>
      </c>
      <c r="AW11" s="19">
        <f>'8'!G43</f>
        <v>0</v>
      </c>
      <c r="AX11" s="23">
        <f>'8'!G44</f>
        <v>0</v>
      </c>
      <c r="AY11" s="56">
        <f>'8'!G36</f>
        <v>861.95000000001164</v>
      </c>
      <c r="AZ11" s="55">
        <f>'8'!G49</f>
        <v>4326.429999999993</v>
      </c>
      <c r="BA11" s="19">
        <f>'8'!G51</f>
        <v>1092.1500000000015</v>
      </c>
      <c r="BB11" s="19">
        <f>'8'!G52</f>
        <v>0</v>
      </c>
      <c r="BC11" s="19">
        <f>'8'!G53</f>
        <v>4721.9400000000023</v>
      </c>
      <c r="BD11" s="19">
        <f>'8'!G54</f>
        <v>383.99000000000524</v>
      </c>
      <c r="BE11" s="19">
        <f>'8'!G55</f>
        <v>3478.2299999999814</v>
      </c>
      <c r="BF11" s="19">
        <f>'8'!G56</f>
        <v>0.38999999999941792</v>
      </c>
      <c r="BG11" s="19">
        <f>'8'!G57</f>
        <v>2997.8099999999977</v>
      </c>
      <c r="BH11" s="56">
        <f>'8'!G50</f>
        <v>1390.3300000000163</v>
      </c>
      <c r="BI11" s="60">
        <f t="shared" si="12"/>
        <v>6736.2799999999843</v>
      </c>
      <c r="BJ11" s="60">
        <f>'8'!G133</f>
        <v>-0.41000000000349246</v>
      </c>
      <c r="BK11" s="23">
        <f t="shared" si="13"/>
        <v>51.655233296950627</v>
      </c>
      <c r="BL11" s="23">
        <f t="shared" si="14"/>
        <v>17.347997044823028</v>
      </c>
      <c r="BM11" s="24">
        <f t="shared" si="15"/>
        <v>8.472988457396903E-2</v>
      </c>
      <c r="BN11" s="25">
        <f t="shared" si="16"/>
        <v>326155.67000000027</v>
      </c>
      <c r="BO11" s="38">
        <f t="shared" si="17"/>
        <v>9733.6799999999785</v>
      </c>
      <c r="BP11">
        <f t="shared" si="18"/>
        <v>0.8922777940745058</v>
      </c>
    </row>
    <row r="12" spans="1:69">
      <c r="A12" s="16">
        <v>9</v>
      </c>
      <c r="B12" s="27">
        <v>9</v>
      </c>
      <c r="C12" s="26"/>
      <c r="D12" s="19">
        <f>'9'!D3</f>
        <v>32</v>
      </c>
      <c r="E12" s="50">
        <f>'9'!D4</f>
        <v>0.7</v>
      </c>
      <c r="F12" s="50">
        <f>'9'!D2</f>
        <v>0.65</v>
      </c>
      <c r="G12" s="19">
        <f>'9'!G7</f>
        <v>26749.239999999991</v>
      </c>
      <c r="H12" s="19">
        <f>'9'!G8</f>
        <v>27199.280000000028</v>
      </c>
      <c r="I12" s="19">
        <v>9</v>
      </c>
      <c r="J12" s="49">
        <f t="shared" si="3"/>
        <v>244793.52000000025</v>
      </c>
      <c r="K12" s="45">
        <f t="shared" si="4"/>
        <v>134.64990099009916</v>
      </c>
      <c r="L12" s="19">
        <f>'9'!G15</f>
        <v>1078.7400000002235</v>
      </c>
      <c r="M12" s="19">
        <v>56.2</v>
      </c>
      <c r="N12" s="45">
        <f t="shared" si="5"/>
        <v>60625.188000012567</v>
      </c>
      <c r="O12" s="19">
        <f>'9'!G20</f>
        <v>84</v>
      </c>
      <c r="P12" s="19">
        <v>108</v>
      </c>
      <c r="Q12" s="46">
        <f t="shared" si="0"/>
        <v>9072</v>
      </c>
      <c r="R12" s="47">
        <f t="shared" si="1"/>
        <v>63.97562833206397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114</v>
      </c>
      <c r="W12" s="22">
        <f>'9'!G66</f>
        <v>21</v>
      </c>
      <c r="X12" s="22">
        <f>'9'!G67</f>
        <v>0</v>
      </c>
      <c r="Y12" s="22">
        <f t="shared" si="7"/>
        <v>135</v>
      </c>
      <c r="Z12" s="19">
        <f>'9'!G84</f>
        <v>15.010000000002037</v>
      </c>
      <c r="AA12" s="19">
        <f>'9'!G85</f>
        <v>0</v>
      </c>
      <c r="AB12" s="19">
        <f>'9'!G86</f>
        <v>24.180000000000291</v>
      </c>
      <c r="AC12" s="19">
        <f>'9'!G87</f>
        <v>0</v>
      </c>
      <c r="AD12" s="19">
        <f t="shared" si="8"/>
        <v>39.190000000002328</v>
      </c>
      <c r="AE12" s="23">
        <f t="shared" si="2"/>
        <v>6983.9000000000233</v>
      </c>
      <c r="AF12" s="23">
        <f t="shared" si="9"/>
        <v>178.20617504464425</v>
      </c>
      <c r="AG12" s="19">
        <f>'9'!G88</f>
        <v>0</v>
      </c>
      <c r="AH12" s="19">
        <f>'9'!G89</f>
        <v>9.5299999999988358</v>
      </c>
      <c r="AI12" s="19">
        <f>'9'!G90</f>
        <v>11.049999999988358</v>
      </c>
      <c r="AJ12" s="19">
        <f t="shared" si="10"/>
        <v>20.579999999987194</v>
      </c>
      <c r="AK12" s="19">
        <f>'9'!G91</f>
        <v>0</v>
      </c>
      <c r="AL12" s="19">
        <f>'9'!G92</f>
        <v>11.640000000000327</v>
      </c>
      <c r="AM12" s="19"/>
      <c r="AN12" s="19">
        <f t="shared" si="11"/>
        <v>11.640000000000327</v>
      </c>
      <c r="AO12" s="52">
        <f>'9'!G74</f>
        <v>332.11000000010245</v>
      </c>
      <c r="AP12" s="55">
        <f>'9'!G35</f>
        <v>0</v>
      </c>
      <c r="AQ12" s="19">
        <f>'9'!G37</f>
        <v>0</v>
      </c>
      <c r="AR12" s="19">
        <f>'9'!G38</f>
        <v>2242.8800000000047</v>
      </c>
      <c r="AS12" s="19">
        <f>'9'!G39</f>
        <v>0</v>
      </c>
      <c r="AT12" s="19">
        <f>'9'!G40</f>
        <v>833.70999999999185</v>
      </c>
      <c r="AU12" s="19">
        <f>'9'!G41</f>
        <v>3328.140000000014</v>
      </c>
      <c r="AV12" s="19">
        <f>'9'!G42</f>
        <v>0</v>
      </c>
      <c r="AW12" s="19">
        <f>'9'!G43</f>
        <v>0</v>
      </c>
      <c r="AX12" s="23">
        <f>'9'!G44</f>
        <v>0</v>
      </c>
      <c r="AY12" s="56">
        <f>'9'!G36</f>
        <v>776.75999999998021</v>
      </c>
      <c r="AZ12" s="55">
        <f>'9'!G49</f>
        <v>1206.7200000000303</v>
      </c>
      <c r="BA12" s="19">
        <f>'9'!G51</f>
        <v>1077.5499999999993</v>
      </c>
      <c r="BB12" s="19">
        <f>'9'!G52</f>
        <v>0</v>
      </c>
      <c r="BC12" s="19">
        <f>'9'!G53</f>
        <v>4573.7299999999959</v>
      </c>
      <c r="BD12" s="19">
        <f>'9'!G54</f>
        <v>429.95999999999185</v>
      </c>
      <c r="BE12" s="19">
        <f>'9'!G55</f>
        <v>3655.7600000000093</v>
      </c>
      <c r="BF12" s="19">
        <f>'9'!G56</f>
        <v>0</v>
      </c>
      <c r="BG12" s="19">
        <f>'9'!G57</f>
        <v>3015.0400000000081</v>
      </c>
      <c r="BH12" s="56">
        <f>'9'!G50</f>
        <v>1277.2000000000116</v>
      </c>
      <c r="BI12" s="60">
        <f t="shared" si="12"/>
        <v>6983.9000000000233</v>
      </c>
      <c r="BJ12" s="60">
        <f>'8'!G133</f>
        <v>-0.41000000000349246</v>
      </c>
      <c r="BK12" s="23">
        <f t="shared" si="13"/>
        <v>41.198369956851984</v>
      </c>
      <c r="BL12" s="23">
        <f t="shared" si="14"/>
        <v>16.815628943119052</v>
      </c>
      <c r="BM12" s="24">
        <f t="shared" si="15"/>
        <v>8.2461006320755634E-2</v>
      </c>
      <c r="BN12" s="25">
        <f t="shared" si="16"/>
        <v>314490.70800001279</v>
      </c>
      <c r="BO12" s="38">
        <f t="shared" si="17"/>
        <v>9998.5300000000279</v>
      </c>
      <c r="BP12">
        <f t="shared" si="18"/>
        <v>0.9111772318010638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27026.319999999949</v>
      </c>
      <c r="H13" s="19">
        <f>'10'!G8</f>
        <v>27516.879999999888</v>
      </c>
      <c r="I13" s="19">
        <v>9</v>
      </c>
      <c r="J13" s="49">
        <f t="shared" si="3"/>
        <v>247651.91999999899</v>
      </c>
      <c r="K13" s="45">
        <f t="shared" si="4"/>
        <v>136.22217821782124</v>
      </c>
      <c r="L13" s="19">
        <f>'10'!G15</f>
        <v>1150.339999999851</v>
      </c>
      <c r="M13" s="19">
        <v>56.2</v>
      </c>
      <c r="N13" s="45">
        <f t="shared" si="5"/>
        <v>64649.107999991626</v>
      </c>
      <c r="O13" s="19">
        <f>'10'!G20</f>
        <v>220</v>
      </c>
      <c r="P13" s="19">
        <v>108</v>
      </c>
      <c r="Q13" s="46">
        <f t="shared" si="0"/>
        <v>23760</v>
      </c>
      <c r="R13" s="47">
        <f t="shared" si="1"/>
        <v>119.68229790011969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111</v>
      </c>
      <c r="W13" s="22">
        <f>'10'!G66</f>
        <v>20</v>
      </c>
      <c r="X13" s="22">
        <f>'10'!G67</f>
        <v>0</v>
      </c>
      <c r="Y13" s="22">
        <f t="shared" si="7"/>
        <v>131</v>
      </c>
      <c r="Z13" s="19">
        <f>'10'!G84</f>
        <v>0</v>
      </c>
      <c r="AA13" s="19">
        <f>'10'!G85</f>
        <v>16.580000000000837</v>
      </c>
      <c r="AB13" s="19">
        <f>'10'!G86</f>
        <v>24.230000000003201</v>
      </c>
      <c r="AC13" s="19">
        <f>'10'!G87</f>
        <v>0</v>
      </c>
      <c r="AD13" s="19">
        <f t="shared" si="8"/>
        <v>40.810000000004038</v>
      </c>
      <c r="AE13" s="23">
        <f t="shared" si="2"/>
        <v>7326.2799999999697</v>
      </c>
      <c r="AF13" s="23">
        <f t="shared" si="9"/>
        <v>179.52168586129</v>
      </c>
      <c r="AG13" s="19">
        <f>'10'!G88</f>
        <v>0</v>
      </c>
      <c r="AH13" s="19">
        <f>'10'!G89</f>
        <v>9.7600000000020373</v>
      </c>
      <c r="AI13" s="19">
        <f>'10'!G90</f>
        <v>11.190000000002328</v>
      </c>
      <c r="AJ13" s="19">
        <f t="shared" si="10"/>
        <v>20.950000000004366</v>
      </c>
      <c r="AK13" s="19">
        <f>'10'!G91</f>
        <v>0</v>
      </c>
      <c r="AL13" s="19">
        <f>'10'!G92</f>
        <v>12.539999999999964</v>
      </c>
      <c r="AM13" s="19"/>
      <c r="AN13" s="19">
        <f t="shared" si="11"/>
        <v>12.539999999999964</v>
      </c>
      <c r="AO13" s="52">
        <f>'10'!G74</f>
        <v>365.81999999994878</v>
      </c>
      <c r="AP13" s="55">
        <f>'10'!G35</f>
        <v>0</v>
      </c>
      <c r="AQ13" s="19">
        <f>'10'!G37</f>
        <v>0</v>
      </c>
      <c r="AR13" s="19">
        <f>'10'!G38</f>
        <v>2211.9200000000419</v>
      </c>
      <c r="AS13" s="19">
        <f>'10'!G39</f>
        <v>0</v>
      </c>
      <c r="AT13" s="19">
        <f>'10'!G40</f>
        <v>813.94000000000233</v>
      </c>
      <c r="AU13" s="19">
        <f>'10'!G41</f>
        <v>0</v>
      </c>
      <c r="AV13" s="19">
        <f>'10'!G42</f>
        <v>3700.9599999999627</v>
      </c>
      <c r="AW13" s="19">
        <f>'10'!G43</f>
        <v>0</v>
      </c>
      <c r="AX13" s="23">
        <f>'10'!G44</f>
        <v>0</v>
      </c>
      <c r="AY13" s="56">
        <f>'10'!G36</f>
        <v>1042.6600000000035</v>
      </c>
      <c r="AZ13" s="55">
        <f>'10'!G49</f>
        <v>4132.2399999999907</v>
      </c>
      <c r="BA13" s="19">
        <f>'10'!G51</f>
        <v>1046.0799999999981</v>
      </c>
      <c r="BB13" s="19">
        <f>'10'!G52</f>
        <v>0</v>
      </c>
      <c r="BC13" s="19">
        <f>'10'!G53</f>
        <v>4486.5500000000029</v>
      </c>
      <c r="BD13" s="19">
        <f>'10'!G54</f>
        <v>428.49000000000524</v>
      </c>
      <c r="BE13" s="19">
        <f>'10'!G55</f>
        <v>3625.320000000007</v>
      </c>
      <c r="BF13" s="19">
        <f>'10'!G56</f>
        <v>0</v>
      </c>
      <c r="BG13" s="19">
        <f>'10'!G57</f>
        <v>2954.7200000000012</v>
      </c>
      <c r="BH13" s="56">
        <f>'10'!G50</f>
        <v>1240.7999999999884</v>
      </c>
      <c r="BI13" s="60">
        <f t="shared" si="12"/>
        <v>7326.2799999999697</v>
      </c>
      <c r="BJ13" s="60">
        <f>'8'!G133</f>
        <v>-0.41000000000349246</v>
      </c>
      <c r="BK13" s="23">
        <f t="shared" si="13"/>
        <v>52.379630248778277</v>
      </c>
      <c r="BL13" s="23">
        <f t="shared" si="14"/>
        <v>16.304719139669981</v>
      </c>
      <c r="BM13" s="24">
        <f t="shared" si="15"/>
        <v>8.0384113315174213E-2</v>
      </c>
      <c r="BN13" s="25">
        <f t="shared" si="16"/>
        <v>336061.02799999062</v>
      </c>
      <c r="BO13" s="38">
        <f t="shared" si="17"/>
        <v>10280.589999999967</v>
      </c>
      <c r="BP13">
        <f t="shared" si="18"/>
        <v>0.89969107711686125</v>
      </c>
    </row>
    <row r="14" spans="1:69">
      <c r="A14" s="16">
        <v>11</v>
      </c>
      <c r="B14" s="17">
        <v>11</v>
      </c>
      <c r="C14" s="27"/>
      <c r="D14" s="19">
        <f>'11'!D3</f>
        <v>26</v>
      </c>
      <c r="E14" s="50">
        <f>'11'!D4</f>
        <v>0.95</v>
      </c>
      <c r="F14" s="50">
        <f>'11'!D2</f>
        <v>0.4</v>
      </c>
      <c r="G14" s="19">
        <f>'11'!G7</f>
        <v>25363.290000000037</v>
      </c>
      <c r="H14" s="19">
        <f>'11'!G8</f>
        <v>25770.810000000056</v>
      </c>
      <c r="I14" s="19">
        <v>9</v>
      </c>
      <c r="J14" s="49">
        <f t="shared" si="3"/>
        <v>231937.2900000005</v>
      </c>
      <c r="K14" s="45">
        <f t="shared" si="4"/>
        <v>127.57826732673296</v>
      </c>
      <c r="L14" s="19">
        <f>'11'!G15</f>
        <v>1023.9199999999255</v>
      </c>
      <c r="M14" s="19">
        <v>56.2</v>
      </c>
      <c r="N14" s="45">
        <f t="shared" si="5"/>
        <v>57544.303999995813</v>
      </c>
      <c r="O14" s="19">
        <f>'11'!G20</f>
        <v>180</v>
      </c>
      <c r="P14" s="19">
        <v>108</v>
      </c>
      <c r="Q14" s="46">
        <f t="shared" si="0"/>
        <v>19440</v>
      </c>
      <c r="R14" s="47">
        <f t="shared" si="1"/>
        <v>222.77227722772273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141</v>
      </c>
      <c r="W14" s="22">
        <f>'11'!G66</f>
        <v>18</v>
      </c>
      <c r="X14" s="22">
        <f>'11'!G67</f>
        <v>0</v>
      </c>
      <c r="Y14" s="22">
        <f t="shared" si="7"/>
        <v>159</v>
      </c>
      <c r="Z14" s="19">
        <f>'11'!G84</f>
        <v>14.989999999997963</v>
      </c>
      <c r="AA14" s="19">
        <f>'11'!G85</f>
        <v>0</v>
      </c>
      <c r="AB14" s="19">
        <f>'11'!G86</f>
        <v>20.589999999996508</v>
      </c>
      <c r="AC14" s="19">
        <f>'11'!G87</f>
        <v>0</v>
      </c>
      <c r="AD14" s="19">
        <f t="shared" si="8"/>
        <v>35.57999999999447</v>
      </c>
      <c r="AE14" s="23">
        <f t="shared" si="2"/>
        <v>6495.5400000000227</v>
      </c>
      <c r="AF14" s="23">
        <f t="shared" si="9"/>
        <v>182.56155143341854</v>
      </c>
      <c r="AG14" s="19">
        <f>'11'!G88</f>
        <v>-9.9999999983992893E-3</v>
      </c>
      <c r="AH14" s="19">
        <f>'11'!G89</f>
        <v>8.4700000000011642</v>
      </c>
      <c r="AI14" s="19">
        <f>'11'!G90</f>
        <v>10.650000000008731</v>
      </c>
      <c r="AJ14" s="19">
        <f t="shared" si="10"/>
        <v>19.110000000011496</v>
      </c>
      <c r="AK14" s="19">
        <f>'11'!G91</f>
        <v>0</v>
      </c>
      <c r="AL14" s="19">
        <f>'11'!G92</f>
        <v>10.659999999999854</v>
      </c>
      <c r="AM14" s="19"/>
      <c r="AN14" s="19">
        <f t="shared" si="11"/>
        <v>10.659999999999854</v>
      </c>
      <c r="AO14" s="52">
        <f>'11'!G74</f>
        <v>311.25</v>
      </c>
      <c r="AP14" s="55">
        <f>'11'!G35</f>
        <v>0</v>
      </c>
      <c r="AQ14" s="19">
        <f>'11'!G37</f>
        <v>0</v>
      </c>
      <c r="AR14" s="19">
        <f>'11'!G38</f>
        <v>2252.8499999999767</v>
      </c>
      <c r="AS14" s="19">
        <f>'11'!G39</f>
        <v>-0.18999999994412065</v>
      </c>
      <c r="AT14" s="19">
        <f>'11'!G40</f>
        <v>849.38000000000466</v>
      </c>
      <c r="AU14" s="19">
        <f>'11'!G41</f>
        <v>3255.7099999999919</v>
      </c>
      <c r="AV14" s="19">
        <f>'11'!G42</f>
        <v>19.53000000002794</v>
      </c>
      <c r="AW14" s="19">
        <f>'11'!G43</f>
        <v>0</v>
      </c>
      <c r="AX14" s="23">
        <f>'11'!G44</f>
        <v>0</v>
      </c>
      <c r="AY14" s="56">
        <f>'11'!G36</f>
        <v>787.63000000000466</v>
      </c>
      <c r="AZ14" s="55">
        <f>'11'!G49</f>
        <v>4136.609999999986</v>
      </c>
      <c r="BA14" s="19">
        <f>'11'!G51</f>
        <v>1048.2200000000012</v>
      </c>
      <c r="BB14" s="19">
        <f>'11'!G52</f>
        <v>0</v>
      </c>
      <c r="BC14" s="19">
        <f>'11'!G53</f>
        <v>4435.7799999999988</v>
      </c>
      <c r="BD14" s="19">
        <f>'11'!G54</f>
        <v>383.55999999999767</v>
      </c>
      <c r="BE14" s="19">
        <f>'11'!G55</f>
        <v>3220.6900000000023</v>
      </c>
      <c r="BF14" s="19">
        <f>'11'!G56</f>
        <v>-0.38999999999941792</v>
      </c>
      <c r="BG14" s="19">
        <f>'11'!G57</f>
        <v>2857.429999999993</v>
      </c>
      <c r="BH14" s="56">
        <f>'11'!G50</f>
        <v>1073.6699999999837</v>
      </c>
      <c r="BI14" s="60">
        <f t="shared" si="12"/>
        <v>6495.5400000000227</v>
      </c>
      <c r="BJ14" s="60">
        <f>'11'!G133</f>
        <v>0</v>
      </c>
      <c r="BK14" s="23">
        <f t="shared" si="13"/>
        <v>52.344416027280367</v>
      </c>
      <c r="BL14" s="23">
        <f t="shared" si="14"/>
        <v>17.211682519874405</v>
      </c>
      <c r="BM14" s="24">
        <f t="shared" si="15"/>
        <v>8.7418672521351548E-2</v>
      </c>
      <c r="BN14" s="25">
        <f t="shared" si="16"/>
        <v>308921.59399999632</v>
      </c>
      <c r="BO14" s="38">
        <f t="shared" si="17"/>
        <v>9352.9700000000157</v>
      </c>
      <c r="BP14">
        <f t="shared" si="18"/>
        <v>0.93882698948059395</v>
      </c>
    </row>
    <row r="15" spans="1:69">
      <c r="A15" s="16">
        <v>12</v>
      </c>
      <c r="B15" s="26">
        <v>12</v>
      </c>
      <c r="C15" s="27"/>
      <c r="D15" s="19">
        <f>'12'!D3</f>
        <v>30</v>
      </c>
      <c r="E15" s="50">
        <f>'12'!D4</f>
        <v>0.77</v>
      </c>
      <c r="F15" s="50">
        <f>'12'!D2</f>
        <v>0.6</v>
      </c>
      <c r="G15" s="19">
        <f>'12'!G7</f>
        <v>26200</v>
      </c>
      <c r="H15" s="19">
        <f>'12'!G8</f>
        <v>26500</v>
      </c>
      <c r="I15" s="19">
        <v>9</v>
      </c>
      <c r="J15" s="49">
        <f t="shared" si="3"/>
        <v>238500</v>
      </c>
      <c r="K15" s="45">
        <f t="shared" si="4"/>
        <v>131.1881188118812</v>
      </c>
      <c r="L15" s="19">
        <f>'12'!G15</f>
        <v>1049</v>
      </c>
      <c r="M15" s="19">
        <v>56.2</v>
      </c>
      <c r="N15" s="41">
        <f t="shared" si="5"/>
        <v>58953.8</v>
      </c>
      <c r="O15" s="19">
        <f>'12'!G20</f>
        <v>205</v>
      </c>
      <c r="P15" s="19">
        <v>108</v>
      </c>
      <c r="Q15" s="46">
        <f t="shared" si="0"/>
        <v>22140</v>
      </c>
      <c r="R15" s="47">
        <f t="shared" si="1"/>
        <v>169.14191419141915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63</v>
      </c>
      <c r="W15" s="22">
        <f>'12'!G66</f>
        <v>18</v>
      </c>
      <c r="X15" s="22">
        <f>'12'!G67</f>
        <v>0</v>
      </c>
      <c r="Y15" s="22">
        <f t="shared" si="7"/>
        <v>81</v>
      </c>
      <c r="Z15" s="19">
        <f>'12'!G84</f>
        <v>24</v>
      </c>
      <c r="AA15" s="19">
        <f>'12'!G85</f>
        <v>7.9799999999995634</v>
      </c>
      <c r="AB15" s="19">
        <f>'12'!G86</f>
        <v>0</v>
      </c>
      <c r="AC15" s="19">
        <f>'12'!G87</f>
        <v>0</v>
      </c>
      <c r="AD15" s="19">
        <f t="shared" si="8"/>
        <v>31.979999999999563</v>
      </c>
      <c r="AE15" s="23">
        <f t="shared" si="2"/>
        <v>8888</v>
      </c>
      <c r="AF15" s="23">
        <f t="shared" si="9"/>
        <v>277.92370231395</v>
      </c>
      <c r="AG15" s="19">
        <f>'12'!G88</f>
        <v>9.9999999983992893E-3</v>
      </c>
      <c r="AH15" s="19">
        <f>'12'!G89</f>
        <v>7.7899999999972351</v>
      </c>
      <c r="AI15" s="19">
        <f>'12'!G90</f>
        <v>14.649999999994179</v>
      </c>
      <c r="AJ15" s="19">
        <f t="shared" si="10"/>
        <v>22.449999999989814</v>
      </c>
      <c r="AK15" s="19">
        <f>'12'!G91</f>
        <v>0</v>
      </c>
      <c r="AL15" s="19">
        <f>'12'!G92</f>
        <v>11.270000000000437</v>
      </c>
      <c r="AM15" s="19"/>
      <c r="AN15" s="19">
        <f t="shared" si="11"/>
        <v>11.270000000000437</v>
      </c>
      <c r="AO15" s="52">
        <f>'12'!G74</f>
        <v>313.25</v>
      </c>
      <c r="AP15" s="55">
        <f>'12'!G35</f>
        <v>-4.9999999988358468E-2</v>
      </c>
      <c r="AQ15" s="19">
        <f>'12'!G37</f>
        <v>-0.69000000000232831</v>
      </c>
      <c r="AR15" s="19">
        <f>'12'!G38</f>
        <v>2208</v>
      </c>
      <c r="AS15" s="19">
        <f>'12'!G39</f>
        <v>0</v>
      </c>
      <c r="AT15" s="19">
        <f>'12'!G40</f>
        <v>1235</v>
      </c>
      <c r="AU15" s="19">
        <f>'12'!G41</f>
        <v>5255</v>
      </c>
      <c r="AV15" s="19">
        <f>'12'!G42</f>
        <v>3633</v>
      </c>
      <c r="AW15" s="19">
        <f>'12'!G43</f>
        <v>0</v>
      </c>
      <c r="AX15" s="23">
        <f>'12'!G44</f>
        <v>0</v>
      </c>
      <c r="AY15" s="56">
        <f>'12'!G36</f>
        <v>993</v>
      </c>
      <c r="AZ15" s="55">
        <f>'12'!G49</f>
        <v>4165</v>
      </c>
      <c r="BA15" s="19">
        <f>'12'!G51</f>
        <v>1062</v>
      </c>
      <c r="BB15" s="19">
        <f>'12'!G52</f>
        <v>0</v>
      </c>
      <c r="BC15" s="19">
        <f>'12'!G53</f>
        <v>4490</v>
      </c>
      <c r="BD15" s="19">
        <f>'12'!G54</f>
        <v>234</v>
      </c>
      <c r="BE15" s="19">
        <f>'12'!G55</f>
        <v>0</v>
      </c>
      <c r="BF15" s="19">
        <f>'12'!G56</f>
        <v>0</v>
      </c>
      <c r="BG15" s="19">
        <f>'12'!G57</f>
        <v>3298.1199999999953</v>
      </c>
      <c r="BH15" s="56">
        <f>'12'!G50</f>
        <v>1389.3499999999767</v>
      </c>
      <c r="BI15" s="60">
        <f t="shared" si="12"/>
        <v>8888</v>
      </c>
      <c r="BJ15" s="60">
        <f>'12'!G133</f>
        <v>0</v>
      </c>
      <c r="BK15" s="23">
        <f t="shared" si="13"/>
        <v>61.702150943396255</v>
      </c>
      <c r="BL15" s="23">
        <f t="shared" si="14"/>
        <v>16.943396226415093</v>
      </c>
      <c r="BM15" s="24">
        <f t="shared" si="15"/>
        <v>8.3320754716981138E-2</v>
      </c>
      <c r="BN15" s="25">
        <f t="shared" si="16"/>
        <v>319593.8</v>
      </c>
      <c r="BO15" s="38">
        <f t="shared" si="17"/>
        <v>12186.119999999995</v>
      </c>
      <c r="BP15">
        <f t="shared" si="18"/>
        <v>1.3609086035915485</v>
      </c>
    </row>
    <row r="16" spans="1:69">
      <c r="A16" s="16">
        <v>13</v>
      </c>
      <c r="B16" s="26">
        <v>13</v>
      </c>
      <c r="C16" s="26"/>
      <c r="D16" s="19">
        <f>'13'!D3</f>
        <v>30</v>
      </c>
      <c r="E16" s="50">
        <f>'13'!D4</f>
        <v>0.77</v>
      </c>
      <c r="F16" s="50">
        <f>'13'!D2</f>
        <v>0.66</v>
      </c>
      <c r="G16" s="19">
        <f>'13'!G7</f>
        <v>26200</v>
      </c>
      <c r="H16" s="19">
        <f>'13'!G8</f>
        <v>26500</v>
      </c>
      <c r="I16" s="19">
        <v>9</v>
      </c>
      <c r="J16" s="49">
        <f t="shared" si="3"/>
        <v>238500</v>
      </c>
      <c r="K16" s="45">
        <f t="shared" si="4"/>
        <v>131.1881188118812</v>
      </c>
      <c r="L16" s="19">
        <f>'13'!G15</f>
        <v>1094.0789999999106</v>
      </c>
      <c r="M16" s="19">
        <v>56.2</v>
      </c>
      <c r="N16" s="41">
        <f t="shared" si="5"/>
        <v>61487.239799994975</v>
      </c>
      <c r="O16" s="19">
        <f>'13'!G20</f>
        <v>210</v>
      </c>
      <c r="P16" s="19">
        <v>108</v>
      </c>
      <c r="Q16" s="46">
        <f t="shared" si="0"/>
        <v>22680</v>
      </c>
      <c r="R16" s="47">
        <f t="shared" si="1"/>
        <v>157.51575157515751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117</v>
      </c>
      <c r="W16" s="22">
        <f>'13'!G66</f>
        <v>29</v>
      </c>
      <c r="X16" s="22">
        <f>'13'!G67</f>
        <v>172</v>
      </c>
      <c r="Y16" s="22">
        <f t="shared" si="7"/>
        <v>318</v>
      </c>
      <c r="Z16" s="19">
        <f>'13'!G84</f>
        <v>-24</v>
      </c>
      <c r="AA16" s="19">
        <f>'13'!G85</f>
        <v>24.479999999999563</v>
      </c>
      <c r="AB16" s="19">
        <f>'13'!G86</f>
        <v>1.4000000000014552</v>
      </c>
      <c r="AC16" s="19">
        <f>'13'!G87</f>
        <v>0</v>
      </c>
      <c r="AD16" s="19">
        <f t="shared" si="8"/>
        <v>1.8800000000010186</v>
      </c>
      <c r="AE16" s="23">
        <f t="shared" si="2"/>
        <v>7829.4999999999563</v>
      </c>
      <c r="AF16" s="23">
        <f t="shared" si="9"/>
        <v>4164.6276595721883</v>
      </c>
      <c r="AG16" s="19">
        <f>'13'!G88</f>
        <v>0</v>
      </c>
      <c r="AH16" s="19">
        <f>'13'!G89</f>
        <v>8.5300000000024738</v>
      </c>
      <c r="AI16" s="19">
        <f>'13'!G90</f>
        <v>7.5700000000069849</v>
      </c>
      <c r="AJ16" s="19">
        <f t="shared" si="10"/>
        <v>16.100000000009459</v>
      </c>
      <c r="AK16" s="19">
        <f>'13'!G91</f>
        <v>-6.0000000000400178E-2</v>
      </c>
      <c r="AL16" s="19">
        <f>'13'!G92</f>
        <v>11.229999999999563</v>
      </c>
      <c r="AM16" s="19"/>
      <c r="AN16" s="19">
        <f t="shared" si="11"/>
        <v>11.169999999999163</v>
      </c>
      <c r="AO16" s="52">
        <f>'13'!G74</f>
        <v>339.75</v>
      </c>
      <c r="AP16" s="55">
        <f>'13'!G35</f>
        <v>4.9999999988358468E-2</v>
      </c>
      <c r="AQ16" s="19">
        <f>'13'!G37</f>
        <v>0.69000000000232831</v>
      </c>
      <c r="AR16" s="19">
        <f>'13'!G38</f>
        <v>2296.9899999999907</v>
      </c>
      <c r="AS16" s="19">
        <f>'13'!G39</f>
        <v>0.18999999994412065</v>
      </c>
      <c r="AT16" s="19">
        <f>'13'!G40</f>
        <v>809.22999999999593</v>
      </c>
      <c r="AU16" s="19">
        <f>'13'!G41</f>
        <v>4116.8500000000058</v>
      </c>
      <c r="AV16" s="19">
        <f>'13'!G42</f>
        <v>3577.7099999999627</v>
      </c>
      <c r="AW16" s="19">
        <f>'13'!G43</f>
        <v>0</v>
      </c>
      <c r="AX16" s="23">
        <f>'13'!G44</f>
        <v>0</v>
      </c>
      <c r="AY16" s="56">
        <f>'13'!G36</f>
        <v>747.13000000000466</v>
      </c>
      <c r="AZ16" s="55">
        <f>'13'!G49</f>
        <v>4175.7099999999627</v>
      </c>
      <c r="BA16" s="19">
        <f>'13'!G51</f>
        <v>1045.2330000000002</v>
      </c>
      <c r="BB16" s="19">
        <f>'13'!G52</f>
        <v>0</v>
      </c>
      <c r="BC16" s="19">
        <f>'13'!G53</f>
        <v>4623.75</v>
      </c>
      <c r="BD16" s="19">
        <f>'13'!G54</f>
        <v>197.55000000000291</v>
      </c>
      <c r="BE16" s="19">
        <f>'13'!G55</f>
        <v>134.54999999998836</v>
      </c>
      <c r="BF16" s="19">
        <f>'13'!G56</f>
        <v>0.38999999999941792</v>
      </c>
      <c r="BG16" s="19">
        <f>'13'!G57</f>
        <v>3254.25</v>
      </c>
      <c r="BH16" s="56">
        <f>'13'!G50</f>
        <v>1081.3800000000047</v>
      </c>
      <c r="BI16" s="60">
        <f t="shared" si="12"/>
        <v>7829.4999999999563</v>
      </c>
      <c r="BJ16" s="60">
        <f>'13'!G133</f>
        <v>2509.0799999999872</v>
      </c>
      <c r="BK16" s="23">
        <f t="shared" si="13"/>
        <v>57.583056603773237</v>
      </c>
      <c r="BL16" s="23">
        <f t="shared" si="14"/>
        <v>17.448830188679036</v>
      </c>
      <c r="BM16" s="24">
        <f t="shared" si="15"/>
        <v>8.6678867924527947E-2</v>
      </c>
      <c r="BN16" s="25">
        <f t="shared" si="16"/>
        <v>322667.23979999498</v>
      </c>
      <c r="BO16" s="38">
        <f t="shared" si="17"/>
        <v>13592.829999999944</v>
      </c>
      <c r="BP16">
        <f t="shared" si="18"/>
        <v>25.822245440715385</v>
      </c>
    </row>
    <row r="17" spans="1:68">
      <c r="A17" s="16">
        <v>14</v>
      </c>
      <c r="B17" s="17">
        <v>14</v>
      </c>
      <c r="C17" s="27"/>
      <c r="D17" s="19">
        <f>'14'!D3</f>
        <v>23</v>
      </c>
      <c r="E17" s="50">
        <f>'14'!D4</f>
        <v>0.95</v>
      </c>
      <c r="F17" s="50">
        <f>'14'!D2</f>
        <v>0.6</v>
      </c>
      <c r="G17" s="19">
        <f>'14'!G7</f>
        <v>26041</v>
      </c>
      <c r="H17" s="19">
        <f>'14'!G8</f>
        <v>26500</v>
      </c>
      <c r="I17" s="19">
        <v>9</v>
      </c>
      <c r="J17" s="49">
        <f t="shared" si="3"/>
        <v>238500</v>
      </c>
      <c r="K17" s="45">
        <f t="shared" si="4"/>
        <v>131.1881188118812</v>
      </c>
      <c r="L17" s="19">
        <f>'14'!G15</f>
        <v>1061.9210000000894</v>
      </c>
      <c r="M17" s="19">
        <v>56.2</v>
      </c>
      <c r="N17" s="41">
        <f t="shared" si="5"/>
        <v>59679.960200005029</v>
      </c>
      <c r="O17" s="19">
        <f>'14'!G20</f>
        <v>248</v>
      </c>
      <c r="P17" s="19">
        <v>108</v>
      </c>
      <c r="Q17" s="46">
        <f t="shared" si="0"/>
        <v>26784</v>
      </c>
      <c r="R17" s="47">
        <f t="shared" si="1"/>
        <v>204.62046204620464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97</v>
      </c>
      <c r="W17" s="22">
        <f>'14'!G66</f>
        <v>24</v>
      </c>
      <c r="X17" s="22">
        <f>'14'!G67</f>
        <v>0</v>
      </c>
      <c r="Y17" s="22">
        <f>V17+W17+X17</f>
        <v>121</v>
      </c>
      <c r="Z17" s="19">
        <f>'14'!G84</f>
        <v>0</v>
      </c>
      <c r="AA17" s="19">
        <f>'14'!G85</f>
        <v>20.520000000000437</v>
      </c>
      <c r="AB17" s="19">
        <f>'14'!G86</f>
        <v>17.599999999998545</v>
      </c>
      <c r="AC17" s="19">
        <f>'14'!G87</f>
        <v>24</v>
      </c>
      <c r="AD17" s="19">
        <f t="shared" si="8"/>
        <v>62.119999999998981</v>
      </c>
      <c r="AE17" s="23">
        <f t="shared" si="2"/>
        <v>7121.3500000000495</v>
      </c>
      <c r="AF17" s="23">
        <f t="shared" si="9"/>
        <v>114.63860270444569</v>
      </c>
      <c r="AG17" s="19">
        <f>'14'!G88</f>
        <v>0</v>
      </c>
      <c r="AH17" s="19">
        <f>'14'!G89</f>
        <v>7.4399999999986903</v>
      </c>
      <c r="AI17" s="19">
        <f>'14'!G90</f>
        <v>10.629999999990105</v>
      </c>
      <c r="AJ17" s="19">
        <f t="shared" si="10"/>
        <v>18.069999999988795</v>
      </c>
      <c r="AK17" s="19">
        <f>'14'!G91</f>
        <v>0</v>
      </c>
      <c r="AL17" s="19">
        <f>'14'!G92</f>
        <v>11.289999999999964</v>
      </c>
      <c r="AM17" s="19"/>
      <c r="AN17" s="19">
        <f t="shared" si="11"/>
        <v>11.289999999999964</v>
      </c>
      <c r="AO17" s="52">
        <f>'14'!G44</f>
        <v>0</v>
      </c>
      <c r="AP17" s="55">
        <f>'14'!G35</f>
        <v>-4.9999999988358468E-2</v>
      </c>
      <c r="AQ17" s="19">
        <f>'14'!G37</f>
        <v>0</v>
      </c>
      <c r="AR17" s="19">
        <f>'14'!G38</f>
        <v>2243.0100000000093</v>
      </c>
      <c r="AS17" s="19">
        <f>'14'!G39</f>
        <v>-0.18999999994412065</v>
      </c>
      <c r="AT17" s="19">
        <f>'14'!G40</f>
        <v>827.77000000000407</v>
      </c>
      <c r="AU17" s="19">
        <f>'14'!G41</f>
        <v>0</v>
      </c>
      <c r="AV17" s="19">
        <f>'14'!G42</f>
        <v>4612.2900000000373</v>
      </c>
      <c r="AW17" s="19">
        <f>'14'!G43</f>
        <v>0</v>
      </c>
      <c r="AX17" s="23">
        <f>'14'!G44</f>
        <v>0</v>
      </c>
      <c r="AY17" s="56">
        <f>'14'!G36</f>
        <v>666.86999999999534</v>
      </c>
      <c r="AZ17" s="55">
        <f>'14'!G49</f>
        <v>4182.2900000000373</v>
      </c>
      <c r="BA17" s="19">
        <f>'14'!G51</f>
        <v>989.76699999999983</v>
      </c>
      <c r="BB17" s="19">
        <f>'14'!G52</f>
        <v>0.24000000000000021</v>
      </c>
      <c r="BC17" s="19">
        <f>'14'!G53</f>
        <v>4402.25</v>
      </c>
      <c r="BD17" s="19">
        <f>'14'!G54</f>
        <v>180.44999999999709</v>
      </c>
      <c r="BE17" s="19">
        <f>'14'!G55</f>
        <v>2509.4500000000116</v>
      </c>
      <c r="BF17" s="19">
        <f>'14'!G56</f>
        <v>-0.38999999999941792</v>
      </c>
      <c r="BG17" s="19">
        <f>'14'!G57</f>
        <v>3090.6300000000047</v>
      </c>
      <c r="BH17" s="56">
        <f>'14'!G50</f>
        <v>1137.2700000000186</v>
      </c>
      <c r="BI17" s="60">
        <f t="shared" si="12"/>
        <v>7121.3500000000495</v>
      </c>
      <c r="BJ17" s="60">
        <f>'14'!G133</f>
        <v>1018.3500000000058</v>
      </c>
      <c r="BK17" s="23">
        <f t="shared" si="13"/>
        <v>54.317811320755105</v>
      </c>
      <c r="BL17" s="23">
        <f t="shared" si="14"/>
        <v>16.61154716981153</v>
      </c>
      <c r="BM17" s="24">
        <f t="shared" si="15"/>
        <v>8.4650943396226752E-2</v>
      </c>
      <c r="BN17" s="25">
        <f t="shared" si="16"/>
        <v>324963.96020000504</v>
      </c>
      <c r="BO17" s="38">
        <f t="shared" si="17"/>
        <v>11230.33000000006</v>
      </c>
      <c r="BP17">
        <f t="shared" si="18"/>
        <v>0.64565874804527201</v>
      </c>
    </row>
    <row r="18" spans="1:68">
      <c r="A18" s="16">
        <v>15</v>
      </c>
      <c r="B18" s="26">
        <v>15</v>
      </c>
      <c r="C18" s="18"/>
      <c r="D18" s="19">
        <f>'15'!D3</f>
        <v>26</v>
      </c>
      <c r="E18" s="50">
        <f>'15'!D4</f>
        <v>0.95</v>
      </c>
      <c r="F18" s="50">
        <f>'15'!D2</f>
        <v>0.41</v>
      </c>
      <c r="G18" s="19">
        <f>'15'!G7</f>
        <v>23168</v>
      </c>
      <c r="H18" s="19">
        <f>'15'!G8</f>
        <v>22866</v>
      </c>
      <c r="I18" s="19">
        <v>9</v>
      </c>
      <c r="J18" s="49">
        <f t="shared" si="3"/>
        <v>205794</v>
      </c>
      <c r="K18" s="45">
        <f t="shared" si="4"/>
        <v>113.19801980198019</v>
      </c>
      <c r="L18" s="19">
        <f>'15'!G15</f>
        <v>1067</v>
      </c>
      <c r="M18" s="19">
        <v>56.2</v>
      </c>
      <c r="N18" s="41">
        <f t="shared" si="5"/>
        <v>59965.4</v>
      </c>
      <c r="O18" s="19">
        <f>'15'!G20</f>
        <v>300</v>
      </c>
      <c r="P18" s="19">
        <v>108</v>
      </c>
      <c r="Q18" s="46">
        <f t="shared" si="0"/>
        <v>32400</v>
      </c>
      <c r="R18" s="47">
        <f t="shared" si="1"/>
        <v>362.23134508572809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83</v>
      </c>
      <c r="W18" s="22">
        <f>'15'!G66</f>
        <v>25</v>
      </c>
      <c r="X18" s="22">
        <f>'15'!G67</f>
        <v>0</v>
      </c>
      <c r="Y18" s="22">
        <f t="shared" si="7"/>
        <v>108</v>
      </c>
      <c r="Z18" s="19">
        <f>'15'!G84</f>
        <v>0</v>
      </c>
      <c r="AA18" s="19">
        <f>'15'!G85</f>
        <v>0</v>
      </c>
      <c r="AB18" s="19">
        <f>'15'!G86</f>
        <v>24</v>
      </c>
      <c r="AC18" s="19">
        <f>'15'!G87</f>
        <v>0</v>
      </c>
      <c r="AD18" s="19">
        <f t="shared" si="8"/>
        <v>24</v>
      </c>
      <c r="AE18" s="23">
        <f t="shared" si="2"/>
        <v>4094.1499999999942</v>
      </c>
      <c r="AF18" s="23">
        <f t="shared" si="9"/>
        <v>170.58958333333308</v>
      </c>
      <c r="AG18" s="19">
        <f>'15'!G88</f>
        <v>0</v>
      </c>
      <c r="AH18" s="19">
        <f>'15'!G89</f>
        <v>9.1100000000005821</v>
      </c>
      <c r="AI18" s="19">
        <f>'15'!G90</f>
        <v>11.440000000002328</v>
      </c>
      <c r="AJ18" s="19">
        <f t="shared" si="10"/>
        <v>20.55000000000291</v>
      </c>
      <c r="AK18" s="19">
        <f>'15'!G91</f>
        <v>0</v>
      </c>
      <c r="AL18" s="19">
        <f>'15'!G92</f>
        <v>11.390000000000327</v>
      </c>
      <c r="AM18" s="19"/>
      <c r="AN18" s="19">
        <f t="shared" si="11"/>
        <v>11.390000000000327</v>
      </c>
      <c r="AO18" s="52">
        <f>'15'!G74</f>
        <v>331</v>
      </c>
      <c r="AP18" s="55">
        <f>'15'!G35</f>
        <v>4.9999999988358468E-2</v>
      </c>
      <c r="AQ18" s="19">
        <f>'15'!G37</f>
        <v>0.30999999999767169</v>
      </c>
      <c r="AR18" s="19">
        <f>'15'!G38</f>
        <v>2238</v>
      </c>
      <c r="AS18" s="19">
        <f>'15'!G39</f>
        <v>0</v>
      </c>
      <c r="AT18" s="19">
        <f>'15'!G40</f>
        <v>863</v>
      </c>
      <c r="AU18" s="19">
        <f>'15'!G41</f>
        <v>0.14999999999417923</v>
      </c>
      <c r="AV18" s="19">
        <f>'15'!G42</f>
        <v>0</v>
      </c>
      <c r="AW18" s="19">
        <f>'15'!G43</f>
        <v>0</v>
      </c>
      <c r="AX18" s="23">
        <f>'15'!G44</f>
        <v>0</v>
      </c>
      <c r="AY18" s="56">
        <f>'15'!G36</f>
        <v>671</v>
      </c>
      <c r="AZ18" s="55">
        <f>'15'!G49</f>
        <v>3876</v>
      </c>
      <c r="BA18" s="19">
        <f>'15'!G51</f>
        <v>963</v>
      </c>
      <c r="BB18" s="19">
        <f>'15'!G52</f>
        <v>0</v>
      </c>
      <c r="BC18" s="19">
        <f>'15'!G53</f>
        <v>4430</v>
      </c>
      <c r="BD18" s="19">
        <f>'15'!G54</f>
        <v>184</v>
      </c>
      <c r="BE18" s="19">
        <f>'15'!G55</f>
        <v>4094</v>
      </c>
      <c r="BF18" s="19">
        <f>'15'!G56</f>
        <v>0</v>
      </c>
      <c r="BG18" s="19">
        <f>'15'!G57</f>
        <v>3052</v>
      </c>
      <c r="BH18" s="56">
        <f>'15'!G50</f>
        <v>1089</v>
      </c>
      <c r="BI18" s="60">
        <f t="shared" si="12"/>
        <v>4094.1499999999942</v>
      </c>
      <c r="BJ18" s="60">
        <f>'15'!G133</f>
        <v>938</v>
      </c>
      <c r="BK18" s="23">
        <f t="shared" si="13"/>
        <v>48.203446164611137</v>
      </c>
      <c r="BL18" s="23">
        <f t="shared" si="14"/>
        <v>19.373742674713547</v>
      </c>
      <c r="BM18" s="24">
        <f t="shared" si="15"/>
        <v>9.7874573602728943E-2</v>
      </c>
      <c r="BN18" s="25">
        <f t="shared" si="16"/>
        <v>298159.40000000002</v>
      </c>
      <c r="BO18" s="38">
        <f t="shared" si="17"/>
        <v>8084.1499999999942</v>
      </c>
      <c r="BP18">
        <f t="shared" si="18"/>
        <v>1.202998511904761</v>
      </c>
    </row>
    <row r="19" spans="1:68">
      <c r="A19" s="16">
        <v>16</v>
      </c>
      <c r="B19" s="26">
        <v>16</v>
      </c>
      <c r="C19" s="26"/>
      <c r="D19" s="19">
        <f>'16'!D3</f>
        <v>26</v>
      </c>
      <c r="E19" s="50">
        <f>'16'!D4</f>
        <v>0.95</v>
      </c>
      <c r="F19" s="50">
        <f>'16'!D2</f>
        <v>0.5</v>
      </c>
      <c r="G19" s="19">
        <f>'16'!G7</f>
        <v>27310</v>
      </c>
      <c r="H19" s="19">
        <f>'16'!G8</f>
        <v>27629</v>
      </c>
      <c r="I19" s="19">
        <v>9</v>
      </c>
      <c r="J19" s="49">
        <f t="shared" si="3"/>
        <v>248661</v>
      </c>
      <c r="K19" s="45">
        <f t="shared" si="4"/>
        <v>136.77722772277227</v>
      </c>
      <c r="L19" s="19">
        <f>'16'!G15</f>
        <v>1000</v>
      </c>
      <c r="M19" s="19">
        <v>56.2</v>
      </c>
      <c r="N19" s="41">
        <f t="shared" si="5"/>
        <v>56200</v>
      </c>
      <c r="O19" s="19">
        <f>'16'!G20</f>
        <v>142</v>
      </c>
      <c r="P19" s="19">
        <v>108</v>
      </c>
      <c r="Q19" s="46">
        <f t="shared" si="0"/>
        <v>15336</v>
      </c>
      <c r="R19" s="47">
        <f t="shared" si="1"/>
        <v>140.59405940594058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98</v>
      </c>
      <c r="W19" s="22">
        <f>'16'!G66</f>
        <v>0</v>
      </c>
      <c r="X19" s="22">
        <f>'16'!G67</f>
        <v>0</v>
      </c>
      <c r="Y19" s="22">
        <f t="shared" si="7"/>
        <v>98</v>
      </c>
      <c r="Z19" s="19">
        <f>'16'!G84</f>
        <v>20</v>
      </c>
      <c r="AA19" s="19">
        <f>'16'!G85</f>
        <v>0</v>
      </c>
      <c r="AB19" s="19">
        <f>'16'!G86</f>
        <v>23</v>
      </c>
      <c r="AC19" s="19">
        <f>'16'!G87</f>
        <v>0</v>
      </c>
      <c r="AD19" s="19">
        <f t="shared" si="8"/>
        <v>43</v>
      </c>
      <c r="AE19" s="23">
        <f t="shared" si="2"/>
        <v>7177</v>
      </c>
      <c r="AF19" s="23">
        <f t="shared" si="9"/>
        <v>166.90697674418604</v>
      </c>
      <c r="AG19" s="19">
        <f>'16'!G88</f>
        <v>0</v>
      </c>
      <c r="AH19" s="19">
        <f>'16'!G89</f>
        <v>8.6300000000010186</v>
      </c>
      <c r="AI19" s="19">
        <f>'16'!G90</f>
        <v>10.509999999994761</v>
      </c>
      <c r="AJ19" s="19">
        <f t="shared" si="10"/>
        <v>19.13999999999578</v>
      </c>
      <c r="AK19" s="19">
        <f>'16'!G91</f>
        <v>0</v>
      </c>
      <c r="AL19" s="19">
        <f>'16'!G92</f>
        <v>11.130000000000109</v>
      </c>
      <c r="AM19" s="19"/>
      <c r="AN19" s="19">
        <f t="shared" si="11"/>
        <v>11.130000000000109</v>
      </c>
      <c r="AO19" s="52">
        <f>'16'!G74</f>
        <v>314</v>
      </c>
      <c r="AP19" s="55">
        <f>'16'!G35</f>
        <v>0</v>
      </c>
      <c r="AQ19" s="19">
        <f>'16'!G37</f>
        <v>0</v>
      </c>
      <c r="AR19" s="19">
        <f>'16'!G38</f>
        <v>2245</v>
      </c>
      <c r="AS19" s="19">
        <f>'16'!G39</f>
        <v>0</v>
      </c>
      <c r="AT19" s="19">
        <f>'16'!G40</f>
        <v>843</v>
      </c>
      <c r="AU19" s="19">
        <f>'16'!G41</f>
        <v>3750</v>
      </c>
      <c r="AV19" s="19">
        <f>'16'!G42</f>
        <v>0</v>
      </c>
      <c r="AW19" s="19">
        <f>'16'!G43</f>
        <v>0</v>
      </c>
      <c r="AX19" s="23">
        <f>'16'!G44</f>
        <v>0</v>
      </c>
      <c r="AY19" s="56">
        <f>'16'!G36</f>
        <v>1151</v>
      </c>
      <c r="AZ19" s="55">
        <f>'16'!G49</f>
        <v>3791</v>
      </c>
      <c r="BA19" s="19">
        <f>'16'!G51</f>
        <v>1026</v>
      </c>
      <c r="BB19" s="19">
        <f>'16'!G52</f>
        <v>0</v>
      </c>
      <c r="BC19" s="19">
        <f>'16'!G53</f>
        <v>4282</v>
      </c>
      <c r="BD19" s="19">
        <f>'16'!G54</f>
        <v>181</v>
      </c>
      <c r="BE19" s="19">
        <f>'16'!G55</f>
        <v>3427</v>
      </c>
      <c r="BF19" s="19">
        <f>'16'!G56</f>
        <v>0</v>
      </c>
      <c r="BG19" s="19">
        <f>'16'!G57</f>
        <v>3335</v>
      </c>
      <c r="BH19" s="56">
        <f>'16'!G50</f>
        <v>1867</v>
      </c>
      <c r="BI19" s="60">
        <f t="shared" si="12"/>
        <v>7177</v>
      </c>
      <c r="BJ19" s="60">
        <f>'16'!G133</f>
        <v>870</v>
      </c>
      <c r="BK19" s="23">
        <f t="shared" si="13"/>
        <v>51.768069781751052</v>
      </c>
      <c r="BL19" s="23">
        <f t="shared" si="14"/>
        <v>15.498208404212964</v>
      </c>
      <c r="BM19" s="24">
        <f t="shared" si="15"/>
        <v>8.1255202866553258E-2</v>
      </c>
      <c r="BN19" s="25">
        <f t="shared" si="16"/>
        <v>320197</v>
      </c>
      <c r="BO19" s="38">
        <f t="shared" si="17"/>
        <v>11382</v>
      </c>
      <c r="BP19">
        <f t="shared" si="18"/>
        <v>0.9453488372093023</v>
      </c>
    </row>
    <row r="20" spans="1:68">
      <c r="A20" s="16">
        <v>17</v>
      </c>
      <c r="B20" s="27">
        <v>17</v>
      </c>
      <c r="C20" s="26"/>
      <c r="D20" s="19">
        <f>'17'!D3</f>
        <v>26</v>
      </c>
      <c r="E20" s="50">
        <f>'17'!D4</f>
        <v>0.95</v>
      </c>
      <c r="F20" s="50">
        <f>'17'!D2</f>
        <v>0.5</v>
      </c>
      <c r="G20" s="19">
        <f>'17'!G7</f>
        <v>26491</v>
      </c>
      <c r="H20" s="19">
        <f>'17'!G8</f>
        <v>26748</v>
      </c>
      <c r="I20" s="19">
        <v>9</v>
      </c>
      <c r="J20" s="49">
        <f t="shared" si="3"/>
        <v>240732</v>
      </c>
      <c r="K20" s="45">
        <f t="shared" si="4"/>
        <v>132.41584158415841</v>
      </c>
      <c r="L20" s="19">
        <f>'17'!G15</f>
        <v>1001</v>
      </c>
      <c r="M20" s="19">
        <v>56.2</v>
      </c>
      <c r="N20" s="41">
        <f t="shared" si="5"/>
        <v>56256.200000000004</v>
      </c>
      <c r="O20" s="19">
        <f>'17'!G20</f>
        <v>289</v>
      </c>
      <c r="P20" s="19">
        <v>108</v>
      </c>
      <c r="Q20" s="46">
        <f t="shared" si="0"/>
        <v>31212</v>
      </c>
      <c r="R20" s="47">
        <f t="shared" si="1"/>
        <v>286.13861386138615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101</v>
      </c>
      <c r="W20" s="22">
        <f>'17'!G66</f>
        <v>37</v>
      </c>
      <c r="X20" s="22">
        <f>'17'!G67</f>
        <v>0</v>
      </c>
      <c r="Y20" s="22">
        <f t="shared" si="7"/>
        <v>138</v>
      </c>
      <c r="Z20" s="19">
        <f>'17'!G84</f>
        <v>22</v>
      </c>
      <c r="AA20" s="19">
        <f>'17'!G85</f>
        <v>0</v>
      </c>
      <c r="AB20" s="19">
        <f>'17'!G86</f>
        <v>17</v>
      </c>
      <c r="AC20" s="19">
        <f>'17'!G87</f>
        <v>0</v>
      </c>
      <c r="AD20" s="19">
        <f t="shared" si="8"/>
        <v>39</v>
      </c>
      <c r="AE20" s="23">
        <f t="shared" si="2"/>
        <v>7321</v>
      </c>
      <c r="AF20" s="23">
        <f t="shared" si="9"/>
        <v>187.71794871794873</v>
      </c>
      <c r="AG20" s="19">
        <f>'17'!G88</f>
        <v>0</v>
      </c>
      <c r="AH20" s="19">
        <f>'17'!G89</f>
        <v>8.4599999999991269</v>
      </c>
      <c r="AI20" s="19">
        <f>'17'!G90</f>
        <v>9.7400000000052387</v>
      </c>
      <c r="AJ20" s="19">
        <f t="shared" si="10"/>
        <v>18.200000000004366</v>
      </c>
      <c r="AK20" s="19">
        <f>'17'!G91</f>
        <v>0</v>
      </c>
      <c r="AL20" s="19">
        <f>'17'!G92</f>
        <v>11.269999999999527</v>
      </c>
      <c r="AM20" s="19"/>
      <c r="AN20" s="19">
        <f t="shared" si="11"/>
        <v>11.269999999999527</v>
      </c>
      <c r="AO20" s="52">
        <f>'17'!G74</f>
        <v>311</v>
      </c>
      <c r="AP20" s="55">
        <f>'17'!G35</f>
        <v>0</v>
      </c>
      <c r="AQ20" s="19">
        <f>'17'!G37</f>
        <v>0</v>
      </c>
      <c r="AR20" s="19">
        <f>'17'!G38</f>
        <v>2272</v>
      </c>
      <c r="AS20" s="19">
        <f>'17'!G39</f>
        <v>0</v>
      </c>
      <c r="AT20" s="19">
        <f>'17'!G40</f>
        <v>841</v>
      </c>
      <c r="AU20" s="19">
        <f>'17'!G41</f>
        <v>4988</v>
      </c>
      <c r="AV20" s="19">
        <f>'17'!G42</f>
        <v>0</v>
      </c>
      <c r="AW20" s="19">
        <f>'17'!G43</f>
        <v>0</v>
      </c>
      <c r="AX20" s="23">
        <f>'17'!G44</f>
        <v>0</v>
      </c>
      <c r="AY20" s="56">
        <f>'17'!G36</f>
        <v>750</v>
      </c>
      <c r="AZ20" s="55">
        <f>'17'!G49</f>
        <v>3836</v>
      </c>
      <c r="BA20" s="19">
        <f>'17'!G51</f>
        <v>989</v>
      </c>
      <c r="BB20" s="19">
        <f>'17'!G52</f>
        <v>0</v>
      </c>
      <c r="BC20" s="19">
        <f>'17'!G53</f>
        <v>4339</v>
      </c>
      <c r="BD20" s="19">
        <f>'17'!G54</f>
        <v>182</v>
      </c>
      <c r="BE20" s="19">
        <f>'17'!G55</f>
        <v>2333</v>
      </c>
      <c r="BF20" s="19">
        <f>'17'!G56</f>
        <v>0</v>
      </c>
      <c r="BG20" s="19">
        <f>'17'!G57</f>
        <v>3232</v>
      </c>
      <c r="BH20" s="56">
        <f>'17'!G50</f>
        <v>1862</v>
      </c>
      <c r="BI20" s="60">
        <f t="shared" si="12"/>
        <v>7321</v>
      </c>
      <c r="BJ20" s="60">
        <f>'17'!G133</f>
        <v>860</v>
      </c>
      <c r="BK20" s="23">
        <f t="shared" si="13"/>
        <v>53.794676237475699</v>
      </c>
      <c r="BL20" s="23">
        <f t="shared" si="14"/>
        <v>16.221773590548825</v>
      </c>
      <c r="BM20" s="24">
        <f t="shared" si="15"/>
        <v>8.4940930163002845E-2</v>
      </c>
      <c r="BN20" s="25">
        <f t="shared" si="16"/>
        <v>328200.2</v>
      </c>
      <c r="BO20" s="38">
        <f t="shared" si="17"/>
        <v>11413</v>
      </c>
      <c r="BP20">
        <f t="shared" si="18"/>
        <v>1.0451465201465202</v>
      </c>
    </row>
    <row r="21" spans="1:68">
      <c r="A21" s="16">
        <v>18</v>
      </c>
      <c r="B21" s="27">
        <v>18</v>
      </c>
      <c r="C21" s="27"/>
      <c r="D21" s="19">
        <f>'18 '!D3</f>
        <v>28</v>
      </c>
      <c r="E21" s="50">
        <f>'18 '!D4</f>
        <v>0.78</v>
      </c>
      <c r="F21" s="50">
        <f>'18 '!D2</f>
        <v>0.98</v>
      </c>
      <c r="G21" s="19">
        <f>'18 '!G7</f>
        <v>25260.899999999994</v>
      </c>
      <c r="H21" s="19">
        <f>'18 '!G8</f>
        <v>24766</v>
      </c>
      <c r="I21" s="19">
        <v>9</v>
      </c>
      <c r="J21" s="49">
        <f t="shared" si="3"/>
        <v>222894</v>
      </c>
      <c r="K21" s="45">
        <f t="shared" si="4"/>
        <v>122.60396039603961</v>
      </c>
      <c r="L21" s="19">
        <f>'18 '!G15</f>
        <v>980.5</v>
      </c>
      <c r="M21" s="19">
        <v>56.2</v>
      </c>
      <c r="N21" s="41">
        <f t="shared" si="5"/>
        <v>55104.100000000006</v>
      </c>
      <c r="O21" s="19">
        <f>'18 '!G20</f>
        <v>199</v>
      </c>
      <c r="P21" s="19">
        <v>108</v>
      </c>
      <c r="Q21" s="46">
        <f t="shared" si="0"/>
        <v>21492</v>
      </c>
      <c r="R21" s="47">
        <f t="shared" si="1"/>
        <v>100.52535865831481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94</v>
      </c>
      <c r="W21" s="22">
        <f>'18 '!G66</f>
        <v>16</v>
      </c>
      <c r="X21" s="22">
        <f>'18 '!G67</f>
        <v>110</v>
      </c>
      <c r="Y21" s="22">
        <f t="shared" si="7"/>
        <v>220</v>
      </c>
      <c r="Z21" s="19">
        <f>'18 '!G84</f>
        <v>12.339999999996508</v>
      </c>
      <c r="AA21" s="19">
        <f>'18 '!G85</f>
        <v>5.0000000000181899E-2</v>
      </c>
      <c r="AB21" s="19">
        <f>'18 '!G86</f>
        <v>23.019999999996799</v>
      </c>
      <c r="AC21" s="19">
        <f>'18 '!G87</f>
        <v>0</v>
      </c>
      <c r="AD21" s="19">
        <f t="shared" si="8"/>
        <v>35.409999999993488</v>
      </c>
      <c r="AE21" s="23">
        <f t="shared" si="2"/>
        <v>6000.940000000046</v>
      </c>
      <c r="AF21" s="23">
        <f t="shared" si="9"/>
        <v>169.47020615648543</v>
      </c>
      <c r="AG21" s="19">
        <f>'18 '!G88</f>
        <v>0</v>
      </c>
      <c r="AH21" s="19">
        <f>'18 '!G89</f>
        <v>9.0599999999976717</v>
      </c>
      <c r="AI21" s="19">
        <f>'18 '!G90</f>
        <v>9.1900000000023283</v>
      </c>
      <c r="AJ21" s="19">
        <f t="shared" si="10"/>
        <v>18.25</v>
      </c>
      <c r="AK21" s="19">
        <f>'18 '!G91</f>
        <v>0</v>
      </c>
      <c r="AL21" s="19">
        <f>'18 '!G92</f>
        <v>11.020000000000437</v>
      </c>
      <c r="AM21" s="19"/>
      <c r="AN21" s="19">
        <f t="shared" si="11"/>
        <v>11.020000000000437</v>
      </c>
      <c r="AO21" s="52">
        <f>'18 '!G74</f>
        <v>306.30000000004657</v>
      </c>
      <c r="AP21" s="55">
        <f>'18 '!G35</f>
        <v>0</v>
      </c>
      <c r="AQ21" s="19">
        <f>'18 '!G37</f>
        <v>-0.30999999999767169</v>
      </c>
      <c r="AR21" s="19">
        <f>'18 '!G38</f>
        <v>2135.3099999999977</v>
      </c>
      <c r="AS21" s="19">
        <f>'18 '!G39</f>
        <v>0.18999999994412065</v>
      </c>
      <c r="AT21" s="19">
        <f>'18 '!G40</f>
        <v>831.2899999999936</v>
      </c>
      <c r="AU21" s="19">
        <f>'18 '!G41</f>
        <v>2506.3699999999953</v>
      </c>
      <c r="AV21" s="19">
        <f>'18 '!G42</f>
        <v>3.0000000027939677E-2</v>
      </c>
      <c r="AW21" s="19">
        <f>'18 '!G43</f>
        <v>0</v>
      </c>
      <c r="AX21" s="23">
        <f>'18 '!G44</f>
        <v>0</v>
      </c>
      <c r="AY21" s="56">
        <f>'18 '!G36</f>
        <v>795.17000000001281</v>
      </c>
      <c r="AZ21" s="55">
        <f>'18 '!G49</f>
        <v>3797.8699999999953</v>
      </c>
      <c r="BA21" s="19">
        <f>'18 '!G51</f>
        <v>985.20000000000073</v>
      </c>
      <c r="BB21" s="19">
        <f>'18 '!G52</f>
        <v>0</v>
      </c>
      <c r="BC21" s="19">
        <f>'18 '!G53</f>
        <v>4169.1000000000058</v>
      </c>
      <c r="BD21" s="19">
        <f>'18 '!G54</f>
        <v>179</v>
      </c>
      <c r="BE21" s="19">
        <f>'18 '!G55</f>
        <v>3494.1500000000233</v>
      </c>
      <c r="BF21" s="19">
        <f>'18 '!G56</f>
        <v>0.38999999999941792</v>
      </c>
      <c r="BG21" s="19">
        <f>'18 '!G57</f>
        <v>3086.9099999999744</v>
      </c>
      <c r="BH21" s="56">
        <f>'18 '!G50</f>
        <v>1227.0999999999767</v>
      </c>
      <c r="BI21" s="60">
        <f t="shared" si="12"/>
        <v>6000.940000000046</v>
      </c>
      <c r="BJ21" s="60">
        <f>'18 '!G133</f>
        <v>830</v>
      </c>
      <c r="BK21" s="23">
        <f t="shared" si="13"/>
        <v>52.029879673746329</v>
      </c>
      <c r="BL21" s="23">
        <f t="shared" si="14"/>
        <v>16.834733101832956</v>
      </c>
      <c r="BM21" s="24">
        <f t="shared" si="15"/>
        <v>8.6219413712347481E-2</v>
      </c>
      <c r="BN21" s="25">
        <f t="shared" si="16"/>
        <v>299490.09999999998</v>
      </c>
      <c r="BO21" s="38">
        <f t="shared" si="17"/>
        <v>9917.8500000000204</v>
      </c>
      <c r="BP21">
        <f t="shared" si="18"/>
        <v>1.0003076209305124</v>
      </c>
    </row>
    <row r="22" spans="1:68">
      <c r="A22" s="16">
        <v>19</v>
      </c>
      <c r="B22" s="17">
        <v>19</v>
      </c>
      <c r="C22" s="27"/>
      <c r="D22" s="19">
        <f>'19'!D3</f>
        <v>27</v>
      </c>
      <c r="E22" s="50">
        <f>'19'!D4</f>
        <v>0.78</v>
      </c>
      <c r="F22" s="50">
        <f>'19'!D2</f>
        <v>0.94</v>
      </c>
      <c r="G22" s="19">
        <f>'19'!G7</f>
        <v>26393.849999999977</v>
      </c>
      <c r="H22" s="19">
        <f>'19'!G8</f>
        <v>26615.699999999953</v>
      </c>
      <c r="I22" s="19">
        <v>9</v>
      </c>
      <c r="J22" s="49">
        <f t="shared" si="3"/>
        <v>239541.29999999958</v>
      </c>
      <c r="K22" s="45">
        <f t="shared" si="4"/>
        <v>131.76089108910867</v>
      </c>
      <c r="L22" s="19">
        <f>'19'!G15</f>
        <v>945.5</v>
      </c>
      <c r="M22" s="19">
        <v>56.2</v>
      </c>
      <c r="N22" s="41">
        <f t="shared" si="5"/>
        <v>53137.100000000006</v>
      </c>
      <c r="O22" s="19">
        <f>'19'!G20</f>
        <v>151</v>
      </c>
      <c r="P22" s="19">
        <v>108</v>
      </c>
      <c r="Q22" s="46">
        <f t="shared" si="0"/>
        <v>16308</v>
      </c>
      <c r="R22" s="47">
        <f t="shared" si="1"/>
        <v>79.523909837792289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99</v>
      </c>
      <c r="W22" s="22">
        <f>'19'!G66</f>
        <v>23</v>
      </c>
      <c r="X22" s="22">
        <f>'19'!G67</f>
        <v>21</v>
      </c>
      <c r="Y22" s="22">
        <f t="shared" si="7"/>
        <v>143</v>
      </c>
      <c r="Z22" s="19">
        <f>'19'!G84</f>
        <v>0</v>
      </c>
      <c r="AA22" s="19">
        <f>'19'!G85</f>
        <v>13.079999999999927</v>
      </c>
      <c r="AB22" s="19">
        <f>'19'!G86</f>
        <v>24.540000000000873</v>
      </c>
      <c r="AC22" s="19">
        <f>'19'!G87</f>
        <v>0</v>
      </c>
      <c r="AD22" s="19">
        <f t="shared" si="8"/>
        <v>37.6200000000008</v>
      </c>
      <c r="AE22" s="23">
        <f t="shared" si="2"/>
        <v>6754.1999999998952</v>
      </c>
      <c r="AF22" s="23">
        <f t="shared" si="9"/>
        <v>179.53748006378925</v>
      </c>
      <c r="AG22" s="19">
        <f>'19'!G88</f>
        <v>0</v>
      </c>
      <c r="AH22" s="19">
        <f>'19'!G89</f>
        <v>6.7600000000020373</v>
      </c>
      <c r="AI22" s="19">
        <f>'19'!G90</f>
        <v>10.569999999992433</v>
      </c>
      <c r="AJ22" s="19">
        <f t="shared" si="10"/>
        <v>17.32999999999447</v>
      </c>
      <c r="AK22" s="19">
        <f>'19'!G91</f>
        <v>0</v>
      </c>
      <c r="AL22" s="19">
        <f>'19'!G92</f>
        <v>11.369999999999891</v>
      </c>
      <c r="AM22" s="19"/>
      <c r="AN22" s="19">
        <f t="shared" si="11"/>
        <v>11.369999999999891</v>
      </c>
      <c r="AO22" s="52">
        <f>'19'!G74</f>
        <v>315.19999999995343</v>
      </c>
      <c r="AP22" s="55">
        <f>'19'!G35</f>
        <v>0</v>
      </c>
      <c r="AQ22" s="19">
        <f>'19'!G37</f>
        <v>0</v>
      </c>
      <c r="AR22" s="19">
        <f>'19'!G38</f>
        <v>2170.960000000021</v>
      </c>
      <c r="AS22" s="19">
        <f>'19'!G39</f>
        <v>0</v>
      </c>
      <c r="AT22" s="19">
        <f>'19'!G40</f>
        <v>846.79000000000815</v>
      </c>
      <c r="AU22" s="19">
        <f>'19'!G41</f>
        <v>0</v>
      </c>
      <c r="AV22" s="19">
        <f>'19'!G42</f>
        <v>3061.4399999999441</v>
      </c>
      <c r="AW22" s="19">
        <f>'19'!G43</f>
        <v>0</v>
      </c>
      <c r="AX22" s="23">
        <f>'19'!G44</f>
        <v>0</v>
      </c>
      <c r="AY22" s="56">
        <f>'19'!G36</f>
        <v>813.75999999998021</v>
      </c>
      <c r="AZ22" s="55">
        <f>'19'!G49</f>
        <v>3973.9599999999627</v>
      </c>
      <c r="BA22" s="19">
        <f>'19'!G51</f>
        <v>991.04999999999927</v>
      </c>
      <c r="BB22" s="19">
        <f>'19'!G52</f>
        <v>0</v>
      </c>
      <c r="BC22" s="19">
        <f>'19'!G53</f>
        <v>4284.6499999999942</v>
      </c>
      <c r="BD22" s="19">
        <f>'19'!G54</f>
        <v>181.89999999999418</v>
      </c>
      <c r="BE22" s="19">
        <f>'19'!G55</f>
        <v>3692.7599999999511</v>
      </c>
      <c r="BF22" s="19">
        <f>'19'!G56</f>
        <v>0</v>
      </c>
      <c r="BG22" s="19">
        <f>'19'!G57</f>
        <v>3216.9200000000419</v>
      </c>
      <c r="BH22" s="56">
        <f>'19'!G50</f>
        <v>1659.1500000000233</v>
      </c>
      <c r="BI22" s="60">
        <f t="shared" si="12"/>
        <v>6754.1999999998952</v>
      </c>
      <c r="BJ22" s="60">
        <f>'19'!G133</f>
        <v>911.67000000001281</v>
      </c>
      <c r="BK22" s="23">
        <f t="shared" si="13"/>
        <v>52.394188392565006</v>
      </c>
      <c r="BL22" s="23">
        <f t="shared" si="14"/>
        <v>16.098205194678336</v>
      </c>
      <c r="BM22" s="24">
        <f t="shared" si="15"/>
        <v>8.1566894727548953E-2</v>
      </c>
      <c r="BN22" s="25">
        <f t="shared" si="16"/>
        <v>308986.39999999956</v>
      </c>
      <c r="BO22" s="38">
        <f t="shared" si="17"/>
        <v>10882.78999999995</v>
      </c>
      <c r="BP22">
        <f t="shared" si="18"/>
        <v>1.0331501101237677</v>
      </c>
    </row>
    <row r="23" spans="1:68">
      <c r="A23" s="16">
        <v>20</v>
      </c>
      <c r="B23" s="26">
        <v>20</v>
      </c>
      <c r="C23" s="26"/>
      <c r="D23" s="19">
        <f>'20'!D3</f>
        <v>27</v>
      </c>
      <c r="E23" s="50">
        <f>'20'!D4</f>
        <v>0.78</v>
      </c>
      <c r="F23" s="50">
        <f>'20'!D2</f>
        <v>0.81</v>
      </c>
      <c r="G23" s="19">
        <f>'20'!G7</f>
        <v>25757</v>
      </c>
      <c r="H23" s="19">
        <f>'20'!G8</f>
        <v>25977</v>
      </c>
      <c r="I23" s="19">
        <v>9</v>
      </c>
      <c r="J23" s="49">
        <f t="shared" si="3"/>
        <v>233793</v>
      </c>
      <c r="K23" s="45">
        <f t="shared" si="4"/>
        <v>128.5990099009901</v>
      </c>
      <c r="L23" s="19">
        <f>'20'!G15</f>
        <v>983</v>
      </c>
      <c r="M23" s="19">
        <v>56.2</v>
      </c>
      <c r="N23" s="41">
        <f t="shared" si="5"/>
        <v>55244.600000000006</v>
      </c>
      <c r="O23" s="19">
        <f>'20'!G20</f>
        <v>241</v>
      </c>
      <c r="P23" s="19">
        <v>108</v>
      </c>
      <c r="Q23" s="46">
        <f t="shared" si="0"/>
        <v>26028</v>
      </c>
      <c r="R23" s="47">
        <f t="shared" si="1"/>
        <v>147.29250702848063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110</v>
      </c>
      <c r="W23" s="22">
        <f>'20'!G66</f>
        <v>15</v>
      </c>
      <c r="X23" s="22">
        <f>'20'!G67</f>
        <v>23</v>
      </c>
      <c r="Y23" s="22">
        <f t="shared" si="7"/>
        <v>148</v>
      </c>
      <c r="Z23" s="19">
        <f>'20'!G84</f>
        <v>0</v>
      </c>
      <c r="AA23" s="19">
        <f>'20'!G85</f>
        <v>23.979999999999563</v>
      </c>
      <c r="AB23" s="19">
        <f>'20'!G86</f>
        <v>14.959999999999127</v>
      </c>
      <c r="AC23" s="19">
        <f>'20'!G87</f>
        <v>0</v>
      </c>
      <c r="AD23" s="19">
        <f t="shared" si="8"/>
        <v>38.93999999999869</v>
      </c>
      <c r="AE23" s="23">
        <f t="shared" si="2"/>
        <v>7521.4100000000326</v>
      </c>
      <c r="AF23" s="23">
        <f t="shared" si="9"/>
        <v>193.15382639959645</v>
      </c>
      <c r="AG23" s="19">
        <f>'20'!G88</f>
        <v>1.2700000000004366</v>
      </c>
      <c r="AH23" s="19">
        <f>'20'!G89</f>
        <v>6.9700000000011642</v>
      </c>
      <c r="AI23" s="19">
        <f>'20'!G90</f>
        <v>9.9000000000087311</v>
      </c>
      <c r="AJ23" s="19">
        <f t="shared" si="10"/>
        <v>18.140000000010332</v>
      </c>
      <c r="AK23" s="19">
        <f>'20'!G91</f>
        <v>0</v>
      </c>
      <c r="AL23" s="19">
        <f>'20'!G92</f>
        <v>11.119999999999891</v>
      </c>
      <c r="AM23" s="19"/>
      <c r="AN23" s="19">
        <f t="shared" si="11"/>
        <v>11.119999999999891</v>
      </c>
      <c r="AO23" s="52">
        <f>'20'!G74</f>
        <v>308.63000000000466</v>
      </c>
      <c r="AP23" s="55">
        <f>'20'!G35</f>
        <v>0</v>
      </c>
      <c r="AQ23" s="19">
        <f>'20'!G37</f>
        <v>0</v>
      </c>
      <c r="AR23" s="19">
        <f>'20'!G38</f>
        <v>2151.5999999999767</v>
      </c>
      <c r="AS23" s="19">
        <f>'20'!G39</f>
        <v>0</v>
      </c>
      <c r="AT23" s="19">
        <f>'20'!G40</f>
        <v>840.00999999999476</v>
      </c>
      <c r="AU23" s="19">
        <f>'20'!G41</f>
        <v>0</v>
      </c>
      <c r="AV23" s="19">
        <f>'20'!G42</f>
        <v>5533.5300000000279</v>
      </c>
      <c r="AW23" s="19">
        <f>'20'!G43</f>
        <v>0</v>
      </c>
      <c r="AX23" s="23">
        <f>'20'!G44</f>
        <v>0</v>
      </c>
      <c r="AY23" s="56">
        <f>'20'!G36</f>
        <v>964.07000000000698</v>
      </c>
      <c r="AZ23" s="55">
        <f>'20'!G49</f>
        <v>3879.2800000000279</v>
      </c>
      <c r="BA23" s="19">
        <f>'20'!G51</f>
        <v>1010.1399999999994</v>
      </c>
      <c r="BB23" s="19">
        <f>'20'!G52</f>
        <v>0</v>
      </c>
      <c r="BC23" s="19">
        <f>'20'!G588</f>
        <v>0</v>
      </c>
      <c r="BD23" s="19">
        <f>'20'!G54</f>
        <v>183.3700000000099</v>
      </c>
      <c r="BE23" s="19">
        <f>'20'!G55</f>
        <v>1987.8800000000047</v>
      </c>
      <c r="BF23" s="19">
        <f>'20'!G56</f>
        <v>0</v>
      </c>
      <c r="BG23" s="19">
        <f>'20'!G57</f>
        <v>3222.2799999999697</v>
      </c>
      <c r="BH23" s="56">
        <f>'20'!G50</f>
        <v>1214.320000000007</v>
      </c>
      <c r="BI23" s="60">
        <f t="shared" si="12"/>
        <v>7521.4100000000326</v>
      </c>
      <c r="BJ23" s="60">
        <f>'20'!G133</f>
        <v>883.11999999999534</v>
      </c>
      <c r="BK23" s="23">
        <f t="shared" si="13"/>
        <v>56.291989067251919</v>
      </c>
      <c r="BL23" s="23">
        <f t="shared" si="14"/>
        <v>0</v>
      </c>
      <c r="BM23" s="24">
        <f t="shared" si="15"/>
        <v>8.2827116295183301E-2</v>
      </c>
      <c r="BN23" s="25">
        <f t="shared" si="16"/>
        <v>315065.59999999998</v>
      </c>
      <c r="BO23" s="38">
        <f t="shared" si="17"/>
        <v>11626.809999999998</v>
      </c>
      <c r="BP23">
        <f t="shared" si="18"/>
        <v>1.0663667547142479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0.95</v>
      </c>
      <c r="G24" s="19">
        <f>'21'!G7</f>
        <v>24167</v>
      </c>
      <c r="H24" s="19">
        <f>'21'!G8</f>
        <v>24430</v>
      </c>
      <c r="I24" s="19">
        <v>9</v>
      </c>
      <c r="J24" s="49">
        <f t="shared" si="3"/>
        <v>219870</v>
      </c>
      <c r="K24" s="45">
        <f t="shared" si="4"/>
        <v>120.94059405940594</v>
      </c>
      <c r="L24" s="19">
        <f>'21'!G15</f>
        <v>959</v>
      </c>
      <c r="M24" s="19">
        <v>56.2</v>
      </c>
      <c r="N24" s="41">
        <f t="shared" si="5"/>
        <v>53895.8</v>
      </c>
      <c r="O24" s="19">
        <f>'21'!G20</f>
        <v>191</v>
      </c>
      <c r="P24" s="19">
        <v>108</v>
      </c>
      <c r="Q24" s="46">
        <f t="shared" si="0"/>
        <v>20628</v>
      </c>
      <c r="R24" s="47">
        <f t="shared" si="1"/>
        <v>99.531005732152167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102</v>
      </c>
      <c r="W24" s="22">
        <f>'21'!G66</f>
        <v>21</v>
      </c>
      <c r="X24" s="22">
        <f>'21'!G67</f>
        <v>20</v>
      </c>
      <c r="Y24" s="22">
        <f t="shared" si="7"/>
        <v>143</v>
      </c>
      <c r="Z24" s="19">
        <f>'21'!G84</f>
        <v>2.0000000004074536E-2</v>
      </c>
      <c r="AA24" s="19">
        <f>'21'!G85</f>
        <v>2.1000000000003638</v>
      </c>
      <c r="AB24" s="19">
        <f>'21'!G86</f>
        <v>24.480000000003201</v>
      </c>
      <c r="AC24" s="19">
        <f>'21'!G87</f>
        <v>0</v>
      </c>
      <c r="AD24" s="19">
        <f t="shared" si="8"/>
        <v>26.60000000000764</v>
      </c>
      <c r="AE24" s="23">
        <f t="shared" si="2"/>
        <v>4508.4500000000262</v>
      </c>
      <c r="AF24" s="23">
        <f t="shared" si="9"/>
        <v>169.4906015037117</v>
      </c>
      <c r="AG24" s="19">
        <f>'21'!G88</f>
        <v>-0.22999999999956344</v>
      </c>
      <c r="AH24" s="19">
        <f>'21'!G89</f>
        <v>7.8999999999978172</v>
      </c>
      <c r="AI24" s="19">
        <f>'21'!G90</f>
        <v>10.110000000000582</v>
      </c>
      <c r="AJ24" s="19">
        <f t="shared" si="10"/>
        <v>17.779999999998836</v>
      </c>
      <c r="AK24" s="19">
        <f>'21'!G91</f>
        <v>3.999999999996362E-2</v>
      </c>
      <c r="AL24" s="19">
        <f>'21'!G92</f>
        <v>11.170000000000073</v>
      </c>
      <c r="AM24" s="19"/>
      <c r="AN24" s="19">
        <f t="shared" si="11"/>
        <v>11.210000000000036</v>
      </c>
      <c r="AO24" s="52">
        <f>'21'!G74</f>
        <v>317.86999999999534</v>
      </c>
      <c r="AP24" s="55">
        <f>'21'!G35</f>
        <v>-4.9999999988358468E-2</v>
      </c>
      <c r="AQ24" s="19">
        <f>'21'!G37</f>
        <v>0</v>
      </c>
      <c r="AR24" s="19">
        <f>'21'!G38</f>
        <v>2166.1300000000047</v>
      </c>
      <c r="AS24" s="19">
        <f>'21'!G39</f>
        <v>-0.18999999994412065</v>
      </c>
      <c r="AT24" s="19">
        <f>'21'!G40</f>
        <v>862.91000000000349</v>
      </c>
      <c r="AU24" s="19">
        <f>'21'!G41</f>
        <v>-0.36999999999534339</v>
      </c>
      <c r="AV24" s="19">
        <f>'21'!G42</f>
        <v>450</v>
      </c>
      <c r="AW24" s="19">
        <f>'21'!G43</f>
        <v>0</v>
      </c>
      <c r="AX24" s="23">
        <f>'21'!G44</f>
        <v>0</v>
      </c>
      <c r="AY24" s="56">
        <f>'21'!G36</f>
        <v>791</v>
      </c>
      <c r="AZ24" s="55">
        <f>'21'!G49</f>
        <v>3878.890000000014</v>
      </c>
      <c r="BA24" s="19">
        <f>'21'!G51</f>
        <v>1018.6100000000006</v>
      </c>
      <c r="BB24" s="19">
        <f>'21'!G52</f>
        <v>0</v>
      </c>
      <c r="BC24" s="19">
        <f>'21'!G53</f>
        <v>4378.7400000000052</v>
      </c>
      <c r="BD24" s="19">
        <f>'21'!G54</f>
        <v>185.72999999999593</v>
      </c>
      <c r="BE24" s="19">
        <f>'21'!G55</f>
        <v>4059.210000000021</v>
      </c>
      <c r="BF24" s="19">
        <f>'21'!G56</f>
        <v>-0.38999999999941792</v>
      </c>
      <c r="BG24" s="19">
        <f>'21'!G57</f>
        <v>3160.890000000014</v>
      </c>
      <c r="BH24" s="56">
        <f>'21'!G50</f>
        <v>1353.429999999993</v>
      </c>
      <c r="BI24" s="60">
        <f t="shared" si="12"/>
        <v>4508.4500000000262</v>
      </c>
      <c r="BJ24" s="60">
        <f>'21'!G133</f>
        <v>885.20999999999185</v>
      </c>
      <c r="BK24" s="23">
        <f t="shared" si="13"/>
        <v>47.270487106017463</v>
      </c>
      <c r="BL24" s="23">
        <f t="shared" si="14"/>
        <v>17.922840769545889</v>
      </c>
      <c r="BM24" s="24">
        <f t="shared" si="15"/>
        <v>8.8666803110929379E-2</v>
      </c>
      <c r="BN24" s="25">
        <f t="shared" si="16"/>
        <v>294393.8</v>
      </c>
      <c r="BO24" s="38">
        <f t="shared" si="17"/>
        <v>8554.550000000032</v>
      </c>
      <c r="BP24">
        <f t="shared" si="18"/>
        <v>1.1485700859287828</v>
      </c>
    </row>
    <row r="25" spans="1:68">
      <c r="A25" s="16">
        <v>22</v>
      </c>
      <c r="B25" s="27">
        <v>22</v>
      </c>
      <c r="C25" s="28"/>
      <c r="D25" s="19">
        <f>'22'!D3</f>
        <v>27</v>
      </c>
      <c r="E25" s="50">
        <f>'22'!D4</f>
        <v>0.78</v>
      </c>
      <c r="F25" s="50">
        <f>'22'!D2</f>
        <v>0.55000000000000004</v>
      </c>
      <c r="G25" s="19">
        <f>'22'!G7</f>
        <v>23473</v>
      </c>
      <c r="H25" s="19">
        <f>'22'!G8</f>
        <v>23577</v>
      </c>
      <c r="I25" s="19">
        <v>9</v>
      </c>
      <c r="J25" s="49">
        <f t="shared" si="3"/>
        <v>212193</v>
      </c>
      <c r="K25" s="45">
        <f t="shared" si="4"/>
        <v>116.71782178217822</v>
      </c>
      <c r="L25" s="19">
        <f>'22'!G15</f>
        <v>927</v>
      </c>
      <c r="M25" s="19">
        <v>56.2</v>
      </c>
      <c r="N25" s="41">
        <f t="shared" si="5"/>
        <v>52097.4</v>
      </c>
      <c r="O25" s="19">
        <f>'22'!G20</f>
        <v>181</v>
      </c>
      <c r="P25" s="19">
        <v>108</v>
      </c>
      <c r="Q25" s="46">
        <f t="shared" si="0"/>
        <v>19548</v>
      </c>
      <c r="R25" s="47">
        <f t="shared" si="1"/>
        <v>162.91629162916291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98</v>
      </c>
      <c r="W25" s="22">
        <f>'22'!G66</f>
        <v>18</v>
      </c>
      <c r="X25" s="22">
        <f>'22'!G67</f>
        <v>15</v>
      </c>
      <c r="Y25" s="22">
        <f t="shared" si="7"/>
        <v>131</v>
      </c>
      <c r="Z25" s="19">
        <f>'22'!G84</f>
        <v>-0.36000000000058208</v>
      </c>
      <c r="AA25" s="19">
        <f>'22'!G85</f>
        <v>8.7899999999999636</v>
      </c>
      <c r="AB25" s="19">
        <f>'22'!G86</f>
        <v>21.580000000001746</v>
      </c>
      <c r="AC25" s="19">
        <f>'22'!G87</f>
        <v>0</v>
      </c>
      <c r="AD25" s="19">
        <f t="shared" si="8"/>
        <v>30.010000000001128</v>
      </c>
      <c r="AE25" s="23">
        <f t="shared" si="2"/>
        <v>5132</v>
      </c>
      <c r="AF25" s="23">
        <f t="shared" si="9"/>
        <v>171.00966344551173</v>
      </c>
      <c r="AG25" s="19">
        <f>'22'!G88</f>
        <v>9.5</v>
      </c>
      <c r="AH25" s="19">
        <f>'22'!G89</f>
        <v>0</v>
      </c>
      <c r="AI25" s="19">
        <f>'22'!G90</f>
        <v>10.25</v>
      </c>
      <c r="AJ25" s="19">
        <f t="shared" si="10"/>
        <v>19.75</v>
      </c>
      <c r="AK25" s="19">
        <f>'22'!G91</f>
        <v>0</v>
      </c>
      <c r="AL25" s="19">
        <f>'22'!G92</f>
        <v>11.489999999999782</v>
      </c>
      <c r="AM25" s="19"/>
      <c r="AN25" s="19">
        <f t="shared" si="11"/>
        <v>11.489999999999782</v>
      </c>
      <c r="AO25" s="52">
        <f>'22'!G74</f>
        <v>316</v>
      </c>
      <c r="AP25" s="55">
        <f>'22'!G35</f>
        <v>0</v>
      </c>
      <c r="AQ25" s="19">
        <f>'22'!G37</f>
        <v>0.30999999999767169</v>
      </c>
      <c r="AR25" s="19">
        <f>'22'!G38</f>
        <v>2121</v>
      </c>
      <c r="AS25" s="19">
        <f>'22'!G39</f>
        <v>0</v>
      </c>
      <c r="AT25" s="19">
        <f>'22'!G40</f>
        <v>838</v>
      </c>
      <c r="AU25" s="19">
        <f>'22'!G41</f>
        <v>0</v>
      </c>
      <c r="AV25" s="19">
        <f>'22'!G42</f>
        <v>1885</v>
      </c>
      <c r="AW25" s="19">
        <f>'22'!G43</f>
        <v>0</v>
      </c>
      <c r="AX25" s="23">
        <f>'22'!G44</f>
        <v>0</v>
      </c>
      <c r="AY25" s="56">
        <f>'22'!G36</f>
        <v>691</v>
      </c>
      <c r="AZ25" s="55">
        <f>'22'!G49</f>
        <v>3797</v>
      </c>
      <c r="BA25" s="19">
        <f>'22'!G51</f>
        <v>1022</v>
      </c>
      <c r="BB25" s="19">
        <f>'22'!G52</f>
        <v>0</v>
      </c>
      <c r="BC25" s="19">
        <f>'22'!G53</f>
        <v>4205</v>
      </c>
      <c r="BD25" s="19">
        <f>'22'!G54</f>
        <v>183</v>
      </c>
      <c r="BE25" s="19">
        <f>'22'!G55</f>
        <v>3247</v>
      </c>
      <c r="BF25" s="19">
        <f>'22'!G56</f>
        <v>0</v>
      </c>
      <c r="BG25" s="19">
        <f>'22'!G57</f>
        <v>3122</v>
      </c>
      <c r="BH25" s="56">
        <f>'22'!G50</f>
        <v>545</v>
      </c>
      <c r="BI25" s="60">
        <f t="shared" si="12"/>
        <v>5132</v>
      </c>
      <c r="BJ25" s="60">
        <f>'22'!G133</f>
        <v>880</v>
      </c>
      <c r="BK25" s="23">
        <f t="shared" si="13"/>
        <v>51.113373202697545</v>
      </c>
      <c r="BL25" s="23">
        <f t="shared" si="14"/>
        <v>17.835178351783519</v>
      </c>
      <c r="BM25" s="24">
        <f t="shared" si="15"/>
        <v>8.9960554777961568E-2</v>
      </c>
      <c r="BN25" s="25">
        <f t="shared" si="16"/>
        <v>283838.40000000002</v>
      </c>
      <c r="BO25" s="38">
        <f t="shared" si="17"/>
        <v>9134</v>
      </c>
      <c r="BP25">
        <f t="shared" si="18"/>
        <v>1.087018612843297</v>
      </c>
    </row>
    <row r="26" spans="1:68">
      <c r="A26" s="16">
        <v>23</v>
      </c>
      <c r="B26" s="27">
        <v>23</v>
      </c>
      <c r="C26" s="28"/>
      <c r="D26" s="19">
        <f>'23'!D3</f>
        <v>27</v>
      </c>
      <c r="E26" s="50">
        <f>'23'!D4</f>
        <v>0.79</v>
      </c>
      <c r="F26" s="50">
        <f>'23'!D2</f>
        <v>0.48</v>
      </c>
      <c r="G26" s="19">
        <f>'23'!G7</f>
        <v>23609</v>
      </c>
      <c r="H26" s="19">
        <f>'23'!G8</f>
        <v>23759</v>
      </c>
      <c r="I26" s="19">
        <v>9</v>
      </c>
      <c r="J26" s="49">
        <f t="shared" si="3"/>
        <v>213831</v>
      </c>
      <c r="K26" s="45">
        <f t="shared" si="4"/>
        <v>117.61881188118812</v>
      </c>
      <c r="L26" s="19">
        <f>'23'!G15</f>
        <v>951</v>
      </c>
      <c r="M26" s="19">
        <v>56.2</v>
      </c>
      <c r="N26" s="41">
        <f t="shared" si="5"/>
        <v>53446.200000000004</v>
      </c>
      <c r="O26" s="19">
        <f>'23'!G20</f>
        <v>209</v>
      </c>
      <c r="P26" s="19">
        <v>108</v>
      </c>
      <c r="Q26" s="46">
        <f t="shared" si="0"/>
        <v>22572</v>
      </c>
      <c r="R26" s="47">
        <f t="shared" si="1"/>
        <v>215.55280528052808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90</v>
      </c>
      <c r="W26" s="22">
        <f>'23'!G66</f>
        <v>16</v>
      </c>
      <c r="X26" s="22">
        <f>'23'!G67</f>
        <v>17</v>
      </c>
      <c r="Y26" s="22">
        <f t="shared" si="7"/>
        <v>123</v>
      </c>
      <c r="Z26" s="19">
        <f>'23'!G84</f>
        <v>0</v>
      </c>
      <c r="AA26" s="19">
        <f>'23'!G85</f>
        <v>21</v>
      </c>
      <c r="AB26" s="19">
        <f>'23'!G86</f>
        <v>15</v>
      </c>
      <c r="AC26" s="19">
        <f>'23'!G87</f>
        <v>0</v>
      </c>
      <c r="AD26" s="19">
        <f t="shared" si="8"/>
        <v>36</v>
      </c>
      <c r="AE26" s="23">
        <f t="shared" si="2"/>
        <v>6427</v>
      </c>
      <c r="AF26" s="23">
        <f t="shared" si="9"/>
        <v>178.52777777777777</v>
      </c>
      <c r="AG26" s="19">
        <f>'23'!G88</f>
        <v>5.5</v>
      </c>
      <c r="AH26" s="19">
        <f>'23'!G89</f>
        <v>3.1100000000005821</v>
      </c>
      <c r="AI26" s="19">
        <f>'23'!G90</f>
        <v>10.089999999996508</v>
      </c>
      <c r="AJ26" s="19">
        <f t="shared" si="10"/>
        <v>18.69999999999709</v>
      </c>
      <c r="AK26" s="19">
        <f>'23'!G91</f>
        <v>0</v>
      </c>
      <c r="AL26" s="19">
        <f>'23'!G92</f>
        <v>10.960000000000036</v>
      </c>
      <c r="AM26" s="19"/>
      <c r="AN26" s="19">
        <f t="shared" si="11"/>
        <v>10.960000000000036</v>
      </c>
      <c r="AO26" s="52">
        <f>'23'!G74</f>
        <v>306</v>
      </c>
      <c r="AP26" s="55">
        <f>'23'!G35</f>
        <v>0</v>
      </c>
      <c r="AQ26" s="19">
        <f>'23'!G37</f>
        <v>0</v>
      </c>
      <c r="AR26" s="19">
        <f>'23'!G38</f>
        <v>2132</v>
      </c>
      <c r="AS26" s="19">
        <f>'23'!G39</f>
        <v>0</v>
      </c>
      <c r="AT26" s="19">
        <f>'23'!G40</f>
        <v>829</v>
      </c>
      <c r="AU26" s="19">
        <f>'23'!G41</f>
        <v>0</v>
      </c>
      <c r="AV26" s="19">
        <f>'23'!G42</f>
        <v>4477</v>
      </c>
      <c r="AW26" s="19">
        <f>'23'!G43</f>
        <v>3.0000000027939677E-2</v>
      </c>
      <c r="AX26" s="23">
        <f>'23'!G44</f>
        <v>0</v>
      </c>
      <c r="AY26" s="56">
        <f>'23'!G36</f>
        <v>711</v>
      </c>
      <c r="AZ26" s="55">
        <f>'23'!G49</f>
        <v>3711</v>
      </c>
      <c r="BA26" s="19">
        <f>'23'!G51</f>
        <v>985</v>
      </c>
      <c r="BB26" s="19">
        <f>'23'!G52</f>
        <v>0</v>
      </c>
      <c r="BC26" s="19">
        <f>'23'!G53</f>
        <v>3942</v>
      </c>
      <c r="BD26" s="19">
        <f>'23'!G54</f>
        <v>184</v>
      </c>
      <c r="BE26" s="19">
        <f>'23'!G55</f>
        <v>1950</v>
      </c>
      <c r="BF26" s="19">
        <f>'23'!G56</f>
        <v>0</v>
      </c>
      <c r="BG26" s="19">
        <f>'23'!G57</f>
        <v>3100</v>
      </c>
      <c r="BH26" s="56">
        <f>'23'!G50</f>
        <v>1411</v>
      </c>
      <c r="BI26" s="60">
        <f t="shared" si="12"/>
        <v>6427</v>
      </c>
      <c r="BJ26" s="60">
        <f>'23'!G133</f>
        <v>879</v>
      </c>
      <c r="BK26" s="23">
        <f t="shared" si="13"/>
        <v>55.717959510080505</v>
      </c>
      <c r="BL26" s="23">
        <f t="shared" si="14"/>
        <v>16.591607390883453</v>
      </c>
      <c r="BM26" s="24">
        <f t="shared" si="15"/>
        <v>8.9734416431668004E-2</v>
      </c>
      <c r="BN26" s="25">
        <f t="shared" si="16"/>
        <v>289849.2</v>
      </c>
      <c r="BO26" s="38">
        <f t="shared" si="17"/>
        <v>10406.030000000028</v>
      </c>
      <c r="BP26">
        <f t="shared" si="18"/>
        <v>1.0323442460317489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0.43</v>
      </c>
      <c r="G27" s="19">
        <f>'24'!G7</f>
        <v>23696.109999999986</v>
      </c>
      <c r="H27" s="19">
        <f>'24'!G8</f>
        <v>23812.020000000004</v>
      </c>
      <c r="I27" s="19">
        <v>9</v>
      </c>
      <c r="J27" s="49">
        <f t="shared" si="3"/>
        <v>214308.18000000005</v>
      </c>
      <c r="K27" s="45">
        <f t="shared" si="4"/>
        <v>117.8812871287129</v>
      </c>
      <c r="L27" s="19">
        <f>'24'!G15</f>
        <v>919.81999999983236</v>
      </c>
      <c r="M27" s="19">
        <v>56.2</v>
      </c>
      <c r="N27" s="41">
        <f t="shared" si="5"/>
        <v>51693.883999990583</v>
      </c>
      <c r="O27" s="19">
        <f>'24'!G20</f>
        <v>297</v>
      </c>
      <c r="P27" s="19">
        <v>108</v>
      </c>
      <c r="Q27" s="46">
        <f t="shared" si="0"/>
        <v>32076</v>
      </c>
      <c r="R27" s="47">
        <f t="shared" si="1"/>
        <v>341.92954179138843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105</v>
      </c>
      <c r="W27" s="22">
        <f>'24'!G66</f>
        <v>15</v>
      </c>
      <c r="X27" s="22">
        <f>'24'!G67</f>
        <v>19</v>
      </c>
      <c r="Y27" s="22">
        <f t="shared" si="7"/>
        <v>139</v>
      </c>
      <c r="Z27" s="19">
        <f>'24'!G84</f>
        <v>0.36000000000058208</v>
      </c>
      <c r="AA27" s="19">
        <f>'24'!G85</f>
        <v>10.460000000000036</v>
      </c>
      <c r="AB27" s="19">
        <f>'24'!G86</f>
        <v>19.900000000001455</v>
      </c>
      <c r="AC27" s="19">
        <f>'24'!G87</f>
        <v>0</v>
      </c>
      <c r="AD27" s="19">
        <f t="shared" si="8"/>
        <v>30.720000000002074</v>
      </c>
      <c r="AE27" s="23">
        <f t="shared" si="2"/>
        <v>5457.7799999999552</v>
      </c>
      <c r="AF27" s="23">
        <f t="shared" si="9"/>
        <v>177.66210937498656</v>
      </c>
      <c r="AG27" s="19">
        <f>'24'!G88</f>
        <v>0.15999999999985448</v>
      </c>
      <c r="AH27" s="19">
        <f>'24'!G89</f>
        <v>8.5</v>
      </c>
      <c r="AI27" s="19">
        <f>'24'!G90</f>
        <v>9.9400000000023283</v>
      </c>
      <c r="AJ27" s="19">
        <f t="shared" si="10"/>
        <v>18.600000000002183</v>
      </c>
      <c r="AK27" s="19">
        <f>'24'!G91</f>
        <v>0</v>
      </c>
      <c r="AL27" s="19">
        <f>'24'!G92</f>
        <v>9.6300000000001091</v>
      </c>
      <c r="AM27" s="19"/>
      <c r="AN27" s="19">
        <f t="shared" si="11"/>
        <v>9.6300000000001091</v>
      </c>
      <c r="AO27" s="52">
        <f>'24'!G74</f>
        <v>252.5</v>
      </c>
      <c r="AP27" s="55">
        <f>'24'!G35</f>
        <v>4.9999999988358468E-2</v>
      </c>
      <c r="AQ27" s="19">
        <f>'24'!G37</f>
        <v>-0.30999999999767169</v>
      </c>
      <c r="AR27" s="19">
        <f>'24'!G38</f>
        <v>2229.1500000000233</v>
      </c>
      <c r="AS27" s="19">
        <f>'24'!G39</f>
        <v>0.18999999994412065</v>
      </c>
      <c r="AT27" s="19">
        <f>'24'!G40</f>
        <v>829.58000000000175</v>
      </c>
      <c r="AU27" s="19">
        <f>'24'!G41</f>
        <v>0.36999999999534339</v>
      </c>
      <c r="AV27" s="19">
        <f>'24'!G42</f>
        <v>2461.8299999999581</v>
      </c>
      <c r="AW27" s="19">
        <f>'24'!G43</f>
        <v>0</v>
      </c>
      <c r="AX27" s="23">
        <f>'24'!G44</f>
        <v>0</v>
      </c>
      <c r="AY27" s="56">
        <f>'24'!G36</f>
        <v>776.39000000001397</v>
      </c>
      <c r="AZ27" s="55">
        <f>'24'!G49</f>
        <v>3810.3100000000559</v>
      </c>
      <c r="BA27" s="19">
        <f>'24'!G51</f>
        <v>1054.8300000000017</v>
      </c>
      <c r="BB27" s="19">
        <f>'24'!G52</f>
        <v>0</v>
      </c>
      <c r="BC27" s="19">
        <f>'24'!G53</f>
        <v>4084.5</v>
      </c>
      <c r="BD27" s="19">
        <f>'24'!G54</f>
        <v>186.5</v>
      </c>
      <c r="BE27" s="19">
        <f>'24'!G55</f>
        <v>2995.1900000000023</v>
      </c>
      <c r="BF27" s="19">
        <f>'24'!G56</f>
        <v>0.38999999999941792</v>
      </c>
      <c r="BG27" s="19">
        <f>'24'!G57</f>
        <v>2906.210000000021</v>
      </c>
      <c r="BH27" s="56">
        <f>'24'!G50</f>
        <v>1136.5300000000279</v>
      </c>
      <c r="BI27" s="60">
        <f t="shared" si="12"/>
        <v>5457.7799999999552</v>
      </c>
      <c r="BJ27" s="60">
        <f>'24'!G133</f>
        <v>893.23000000001048</v>
      </c>
      <c r="BK27" s="23">
        <f t="shared" si="13"/>
        <v>51.126909854770901</v>
      </c>
      <c r="BL27" s="23">
        <f t="shared" si="14"/>
        <v>17.153899585167252</v>
      </c>
      <c r="BM27" s="24">
        <f t="shared" si="15"/>
        <v>9.3614485457345617E-2</v>
      </c>
      <c r="BN27" s="25">
        <f t="shared" si="16"/>
        <v>298078.06399999064</v>
      </c>
      <c r="BO27" s="38">
        <f t="shared" si="17"/>
        <v>9257.2199999999866</v>
      </c>
      <c r="BP27">
        <f t="shared" si="18"/>
        <v>1.0762207031249258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0.98</v>
      </c>
      <c r="G28" s="19">
        <f>'25'!G7</f>
        <v>26848.959999999963</v>
      </c>
      <c r="H28" s="19">
        <f>'25'!G8</f>
        <v>27100.749999999985</v>
      </c>
      <c r="I28" s="19">
        <v>9</v>
      </c>
      <c r="J28" s="49">
        <f t="shared" si="3"/>
        <v>243906.74999999988</v>
      </c>
      <c r="K28" s="45">
        <f t="shared" si="4"/>
        <v>134.16212871287121</v>
      </c>
      <c r="L28" s="19">
        <f>'25'!G15</f>
        <v>944.3800000003539</v>
      </c>
      <c r="M28" s="19">
        <v>56.2</v>
      </c>
      <c r="N28" s="41">
        <f t="shared" si="5"/>
        <v>53074.156000019895</v>
      </c>
      <c r="O28" s="19">
        <f>'25'!G20</f>
        <v>129</v>
      </c>
      <c r="P28" s="19">
        <v>108</v>
      </c>
      <c r="Q28" s="46">
        <f t="shared" si="0"/>
        <v>13932</v>
      </c>
      <c r="R28" s="47">
        <f t="shared" si="1"/>
        <v>65.164679733279456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102</v>
      </c>
      <c r="W28" s="22">
        <f>'25'!G66</f>
        <v>7</v>
      </c>
      <c r="X28" s="22">
        <f>'25'!G67</f>
        <v>15</v>
      </c>
      <c r="Y28" s="22">
        <f t="shared" si="7"/>
        <v>124</v>
      </c>
      <c r="Z28" s="19">
        <f>'25'!G84</f>
        <v>0</v>
      </c>
      <c r="AA28" s="19">
        <f>'25'!G85</f>
        <v>21.5600000000004</v>
      </c>
      <c r="AB28" s="19">
        <f>'25'!G86</f>
        <v>17.009999999994761</v>
      </c>
      <c r="AC28" s="19">
        <f>'25'!G87</f>
        <v>0</v>
      </c>
      <c r="AD28" s="19">
        <f t="shared" si="8"/>
        <v>38.569999999995161</v>
      </c>
      <c r="AE28" s="23">
        <f t="shared" si="2"/>
        <v>2528.7999999999884</v>
      </c>
      <c r="AF28" s="23">
        <f t="shared" si="9"/>
        <v>65.563909774444014</v>
      </c>
      <c r="AG28" s="19">
        <f>'25'!G88</f>
        <v>0</v>
      </c>
      <c r="AH28" s="19">
        <f>'25'!G89</f>
        <v>8.2200000000011642</v>
      </c>
      <c r="AI28" s="19">
        <f>'25'!G90</f>
        <v>10.319999999992433</v>
      </c>
      <c r="AJ28" s="19">
        <f t="shared" si="10"/>
        <v>18.539999999993597</v>
      </c>
      <c r="AK28" s="19">
        <f>'25'!G91</f>
        <v>0</v>
      </c>
      <c r="AL28" s="19">
        <f>'25'!G92</f>
        <v>10.5600000000004</v>
      </c>
      <c r="AM28" s="19"/>
      <c r="AN28" s="19">
        <f t="shared" si="11"/>
        <v>10.5600000000004</v>
      </c>
      <c r="AO28" s="52">
        <f>'25'!G74</f>
        <v>312.73999999999069</v>
      </c>
      <c r="AP28" s="55">
        <f>'25'!G35</f>
        <v>0</v>
      </c>
      <c r="AQ28" s="19">
        <f>'25'!G37</f>
        <v>0</v>
      </c>
      <c r="AR28" s="19">
        <f>'25'!G38</f>
        <v>2198.5999999999767</v>
      </c>
      <c r="AS28" s="19">
        <f>'25'!G39</f>
        <v>0</v>
      </c>
      <c r="AT28" s="19">
        <f>'25'!G40</f>
        <v>820.36999999999534</v>
      </c>
      <c r="AU28" s="19">
        <f>'25'!G41</f>
        <v>0</v>
      </c>
      <c r="AV28" s="19"/>
      <c r="AW28" s="19">
        <f>'25'!G43</f>
        <v>0</v>
      </c>
      <c r="AX28" s="23">
        <f>'25'!G44</f>
        <v>0</v>
      </c>
      <c r="AY28" s="56">
        <f>'25'!G36</f>
        <v>1070.3999999999942</v>
      </c>
      <c r="AZ28" s="55">
        <f>'25'!G49</f>
        <v>3825.2799999999115</v>
      </c>
      <c r="BA28" s="19">
        <f>'25'!G51</f>
        <v>1085.3899999999994</v>
      </c>
      <c r="BB28" s="19">
        <f>'25'!G52</f>
        <v>0</v>
      </c>
      <c r="BC28" s="19">
        <f>'25'!G53</f>
        <v>4181.6900000000023</v>
      </c>
      <c r="BD28" s="19">
        <f>'24'!G54</f>
        <v>186.5</v>
      </c>
      <c r="BE28" s="19">
        <f>'25'!G55</f>
        <v>2528.7999999999884</v>
      </c>
      <c r="BF28" s="19">
        <f>'25'!G56</f>
        <v>0</v>
      </c>
      <c r="BG28" s="19">
        <f>'25'!G57</f>
        <v>3225.2999999999884</v>
      </c>
      <c r="BH28" s="56">
        <f>'25'!G50</f>
        <v>1672.4399999999441</v>
      </c>
      <c r="BI28" s="60">
        <f t="shared" si="12"/>
        <v>2528.7999999999884</v>
      </c>
      <c r="BJ28" s="60">
        <f>'25'!G133</f>
        <v>878.11999999999534</v>
      </c>
      <c r="BK28" s="23">
        <f t="shared" si="13"/>
        <v>35.34728743669416</v>
      </c>
      <c r="BL28" s="23">
        <f t="shared" si="14"/>
        <v>15.430163371862418</v>
      </c>
      <c r="BM28" s="24">
        <f t="shared" si="15"/>
        <v>8.112690608193418E-2</v>
      </c>
      <c r="BN28" s="25">
        <f t="shared" si="16"/>
        <v>310912.90600001975</v>
      </c>
      <c r="BO28" s="38">
        <f t="shared" si="17"/>
        <v>6632.2199999999721</v>
      </c>
      <c r="BP28">
        <f t="shared" si="18"/>
        <v>0.61411718952561245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0.54449999999999998</v>
      </c>
      <c r="G29" s="19">
        <f>'26'!G7</f>
        <v>25390.680000000051</v>
      </c>
      <c r="H29" s="19">
        <f>'26'!G8</f>
        <v>25581.160000000003</v>
      </c>
      <c r="I29" s="19">
        <v>9</v>
      </c>
      <c r="J29" s="49">
        <f t="shared" si="3"/>
        <v>230230.44000000003</v>
      </c>
      <c r="K29" s="45">
        <f t="shared" si="4"/>
        <v>126.63940594059407</v>
      </c>
      <c r="L29" s="19">
        <f>'26'!G15</f>
        <v>978.12999999988824</v>
      </c>
      <c r="M29" s="19">
        <v>56.2</v>
      </c>
      <c r="N29" s="41">
        <f t="shared" si="5"/>
        <v>54970.905999993724</v>
      </c>
      <c r="O29" s="19">
        <f>'26'!G20</f>
        <v>270</v>
      </c>
      <c r="P29" s="19">
        <v>108</v>
      </c>
      <c r="Q29" s="46">
        <f t="shared" si="0"/>
        <v>29160</v>
      </c>
      <c r="R29" s="47">
        <f t="shared" si="1"/>
        <v>245.47909336388187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110</v>
      </c>
      <c r="W29" s="22">
        <f>'26'!G66</f>
        <v>10</v>
      </c>
      <c r="X29" s="22">
        <f>'26'!G67</f>
        <v>21</v>
      </c>
      <c r="Y29" s="22">
        <f t="shared" si="7"/>
        <v>141</v>
      </c>
      <c r="Z29" s="19">
        <f>'26'!G84</f>
        <v>0</v>
      </c>
      <c r="AA29" s="19">
        <f>'26'!G85</f>
        <v>12.389999999999418</v>
      </c>
      <c r="AB29" s="19">
        <f>'26'!G86</f>
        <v>24.040000000000873</v>
      </c>
      <c r="AC29" s="19">
        <f>'26'!G87</f>
        <v>0</v>
      </c>
      <c r="AD29" s="19">
        <f t="shared" si="8"/>
        <v>36.430000000000291</v>
      </c>
      <c r="AE29" s="23">
        <f t="shared" si="2"/>
        <v>6455.4000000000815</v>
      </c>
      <c r="AF29" s="23">
        <f t="shared" si="9"/>
        <v>177.20010979961651</v>
      </c>
      <c r="AG29" s="19">
        <f>'26'!G88</f>
        <v>0</v>
      </c>
      <c r="AH29" s="19">
        <f>'26'!G89</f>
        <v>8.430000000000291</v>
      </c>
      <c r="AI29" s="19">
        <f>'26'!G90</f>
        <v>10.400000000008731</v>
      </c>
      <c r="AJ29" s="19">
        <f t="shared" si="10"/>
        <v>18.830000000009022</v>
      </c>
      <c r="AK29" s="19">
        <f>'26'!G91</f>
        <v>3.8800000000001091</v>
      </c>
      <c r="AL29" s="19">
        <f>'26'!G92</f>
        <v>6.589999999999236</v>
      </c>
      <c r="AM29" s="19"/>
      <c r="AN29" s="19">
        <f t="shared" si="11"/>
        <v>10.469999999999345</v>
      </c>
      <c r="AO29" s="52">
        <f>'26'!G74</f>
        <v>284.52000000001863</v>
      </c>
      <c r="AP29" s="55">
        <f>'26'!G35</f>
        <v>0</v>
      </c>
      <c r="AQ29" s="19">
        <f>'26'!G37</f>
        <v>0</v>
      </c>
      <c r="AR29" s="19">
        <f>'26'!G38</f>
        <v>2171.2000000000116</v>
      </c>
      <c r="AS29" s="19">
        <f>'26'!G39</f>
        <v>0</v>
      </c>
      <c r="AT29" s="19">
        <f>'26'!G40</f>
        <v>811.82000000000698</v>
      </c>
      <c r="AU29" s="19">
        <f>'26'!G41</f>
        <v>0</v>
      </c>
      <c r="AV29" s="19">
        <f>'26'!G42</f>
        <v>2921.6800000000512</v>
      </c>
      <c r="AW29" s="19">
        <f>'26'!G43</f>
        <v>0</v>
      </c>
      <c r="AX29" s="23">
        <f>'26'!G44</f>
        <v>0</v>
      </c>
      <c r="AY29" s="56">
        <f>'26'!G36</f>
        <v>1045.6999999999825</v>
      </c>
      <c r="AZ29" s="55">
        <f>'26'!G49</f>
        <v>3883.7600000000093</v>
      </c>
      <c r="BA29" s="19">
        <f>'26'!G51</f>
        <v>1081.6199999999953</v>
      </c>
      <c r="BB29" s="19">
        <f>'26'!G52</f>
        <v>0</v>
      </c>
      <c r="BC29" s="19">
        <f>'26'!G53</f>
        <v>4291.3399999999965</v>
      </c>
      <c r="BD29" s="19">
        <f>'26'!G54</f>
        <v>182.5399999999936</v>
      </c>
      <c r="BE29" s="19">
        <f>'26'!G55</f>
        <v>3533.7200000000303</v>
      </c>
      <c r="BF29" s="19">
        <f>'26'!G56</f>
        <v>0</v>
      </c>
      <c r="BG29" s="19">
        <f>'26'!G57</f>
        <v>2854.820000000007</v>
      </c>
      <c r="BH29" s="56">
        <f>'26'!G50</f>
        <v>1123.4800000000396</v>
      </c>
      <c r="BI29" s="60">
        <f t="shared" si="12"/>
        <v>6455.4000000000815</v>
      </c>
      <c r="BJ29" s="60">
        <f>'26'!G133</f>
        <v>893.29999999998836</v>
      </c>
      <c r="BK29" s="23">
        <f t="shared" si="13"/>
        <v>51.57694178059203</v>
      </c>
      <c r="BL29" s="23">
        <f t="shared" si="14"/>
        <v>16.77539251542931</v>
      </c>
      <c r="BM29" s="24">
        <f t="shared" si="15"/>
        <v>8.487496266783881E-2</v>
      </c>
      <c r="BN29" s="25">
        <f t="shared" si="16"/>
        <v>314361.34599999373</v>
      </c>
      <c r="BO29" s="38">
        <f t="shared" si="17"/>
        <v>10203.520000000077</v>
      </c>
      <c r="BP29">
        <f t="shared" si="18"/>
        <v>1.0003058703580248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24527.5</v>
      </c>
      <c r="H30" s="19">
        <f>'27'!G8</f>
        <v>24717.070000000007</v>
      </c>
      <c r="I30" s="19">
        <v>9</v>
      </c>
      <c r="J30" s="49">
        <f t="shared" si="3"/>
        <v>222453.63000000006</v>
      </c>
      <c r="K30" s="45">
        <f t="shared" si="4"/>
        <v>122.36173267326735</v>
      </c>
      <c r="L30" s="19">
        <f>'27'!G15</f>
        <v>972.77000000001863</v>
      </c>
      <c r="M30" s="19">
        <v>56.2</v>
      </c>
      <c r="N30" s="41">
        <f t="shared" si="5"/>
        <v>54669.674000001047</v>
      </c>
      <c r="O30" s="19">
        <f>'27'!G20</f>
        <v>270</v>
      </c>
      <c r="P30" s="19">
        <v>108</v>
      </c>
      <c r="Q30" s="46">
        <f t="shared" si="0"/>
        <v>29160</v>
      </c>
      <c r="R30" s="47">
        <f t="shared" si="1"/>
        <v>175.87285044293901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105</v>
      </c>
      <c r="W30" s="22">
        <f>'27'!G66</f>
        <v>15</v>
      </c>
      <c r="X30" s="22">
        <f>'27'!G67</f>
        <v>17</v>
      </c>
      <c r="Y30" s="22">
        <f t="shared" si="7"/>
        <v>137</v>
      </c>
      <c r="Z30" s="19">
        <f>'27'!G84</f>
        <v>15.080000000001746</v>
      </c>
      <c r="AA30" s="19">
        <f>'27'!G85</f>
        <v>0</v>
      </c>
      <c r="AB30" s="19">
        <f>'27'!G86</f>
        <v>21.840000000003783</v>
      </c>
      <c r="AC30" s="19">
        <f>'27'!G87</f>
        <v>0</v>
      </c>
      <c r="AD30" s="19">
        <f t="shared" si="8"/>
        <v>36.92000000000553</v>
      </c>
      <c r="AE30" s="23">
        <f t="shared" si="2"/>
        <v>6128.539999999979</v>
      </c>
      <c r="AF30" s="23">
        <f t="shared" si="9"/>
        <v>165.99512459369072</v>
      </c>
      <c r="AG30" s="19">
        <f>'27'!G88</f>
        <v>0</v>
      </c>
      <c r="AH30" s="19">
        <f>'27'!G89</f>
        <v>8.7699999999967986</v>
      </c>
      <c r="AI30" s="19">
        <f>'27'!G90</f>
        <v>10</v>
      </c>
      <c r="AJ30" s="19">
        <f t="shared" si="10"/>
        <v>18.769999999996799</v>
      </c>
      <c r="AK30" s="19">
        <f>'27'!G91</f>
        <v>10.809999999999491</v>
      </c>
      <c r="AL30" s="19">
        <f>'27'!G92</f>
        <v>0</v>
      </c>
      <c r="AM30" s="19"/>
      <c r="AN30" s="19">
        <f t="shared" si="11"/>
        <v>10.809999999999491</v>
      </c>
      <c r="AO30" s="52">
        <f>'27'!G74</f>
        <v>281.47999999998137</v>
      </c>
      <c r="AP30" s="55">
        <f>'27'!G35</f>
        <v>0</v>
      </c>
      <c r="AQ30" s="19">
        <f>'27'!G37</f>
        <v>0</v>
      </c>
      <c r="AR30" s="19">
        <f>'27'!G38</f>
        <v>2075.9599999999627</v>
      </c>
      <c r="AS30" s="19">
        <f>'27'!G39</f>
        <v>0</v>
      </c>
      <c r="AT30" s="19">
        <f>'27'!G40</f>
        <v>815.11999999999534</v>
      </c>
      <c r="AU30" s="19">
        <f>'27'!G41</f>
        <v>3008.5</v>
      </c>
      <c r="AV30" s="19">
        <f>'27'!G42</f>
        <v>0</v>
      </c>
      <c r="AW30" s="19">
        <f>'27'!G43</f>
        <v>0</v>
      </c>
      <c r="AX30" s="23">
        <f>'27'!G44</f>
        <v>0</v>
      </c>
      <c r="AY30" s="56">
        <f>'27'!G36</f>
        <v>960.36000000001513</v>
      </c>
      <c r="AZ30" s="55">
        <f>'27'!G49</f>
        <v>3954</v>
      </c>
      <c r="BA30" s="19">
        <f>'27'!G51</f>
        <v>1050.5</v>
      </c>
      <c r="BB30" s="19">
        <f>'27'!G52</f>
        <v>0</v>
      </c>
      <c r="BC30" s="19">
        <f>'27'!G53</f>
        <v>4254.2200000000012</v>
      </c>
      <c r="BD30" s="19">
        <f>'27'!G54</f>
        <v>183.4600000000064</v>
      </c>
      <c r="BE30" s="19">
        <f>'27'!G55</f>
        <v>3120.039999999979</v>
      </c>
      <c r="BF30" s="19">
        <f>'27'!G56</f>
        <v>0</v>
      </c>
      <c r="BG30" s="19">
        <f>'27'!G57</f>
        <v>2857.4799999999814</v>
      </c>
      <c r="BH30" s="56">
        <f>'27'!G50</f>
        <v>988.94000000000233</v>
      </c>
      <c r="BI30" s="60">
        <f t="shared" si="12"/>
        <v>6128.539999999979</v>
      </c>
      <c r="BJ30" s="60">
        <f>'27'!G133</f>
        <v>871.0800000000163</v>
      </c>
      <c r="BK30" s="23">
        <f t="shared" si="13"/>
        <v>52.352564442306296</v>
      </c>
      <c r="BL30" s="23">
        <f t="shared" si="14"/>
        <v>17.211667887820038</v>
      </c>
      <c r="BM30" s="24">
        <f t="shared" si="15"/>
        <v>8.398891939861651E-2</v>
      </c>
      <c r="BN30" s="25">
        <f t="shared" si="16"/>
        <v>306283.30400000111</v>
      </c>
      <c r="BO30" s="38">
        <f t="shared" si="17"/>
        <v>9857.0999999999767</v>
      </c>
      <c r="BP30">
        <f t="shared" si="18"/>
        <v>0.95351919207538505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21897</v>
      </c>
      <c r="H31" s="19">
        <f>'28'!G8</f>
        <v>21951</v>
      </c>
      <c r="I31" s="19">
        <v>9</v>
      </c>
      <c r="J31" s="49">
        <f t="shared" si="3"/>
        <v>197559</v>
      </c>
      <c r="K31" s="45">
        <f t="shared" si="4"/>
        <v>108.66831683168317</v>
      </c>
      <c r="L31" s="19">
        <f>'28'!G15</f>
        <v>967.39999999990687</v>
      </c>
      <c r="M31" s="19">
        <v>56.2</v>
      </c>
      <c r="N31" s="41">
        <f t="shared" si="5"/>
        <v>54367.879999994766</v>
      </c>
      <c r="O31" s="19">
        <f>'28'!G20</f>
        <v>240</v>
      </c>
      <c r="P31" s="19">
        <v>108</v>
      </c>
      <c r="Q31" s="46">
        <f t="shared" si="0"/>
        <v>25920</v>
      </c>
      <c r="R31" s="47">
        <f t="shared" si="1"/>
        <v>148.51485148514848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96</v>
      </c>
      <c r="W31" s="22">
        <f>'28'!G66</f>
        <v>14</v>
      </c>
      <c r="X31" s="22">
        <f>'28'!G67</f>
        <v>22</v>
      </c>
      <c r="Y31" s="22">
        <f t="shared" si="7"/>
        <v>132</v>
      </c>
      <c r="Z31" s="19">
        <f>'28'!G84</f>
        <v>23.559999999997672</v>
      </c>
      <c r="AA31" s="19">
        <f>'28'!G85</f>
        <v>-0.40999999999985448</v>
      </c>
      <c r="AB31" s="19">
        <f>'28'!G86</f>
        <v>0</v>
      </c>
      <c r="AC31" s="19">
        <f>'28'!G87</f>
        <v>0</v>
      </c>
      <c r="AD31" s="19">
        <f t="shared" si="8"/>
        <v>23.149999999997817</v>
      </c>
      <c r="AE31" s="23">
        <f t="shared" si="2"/>
        <v>5701.8800000000047</v>
      </c>
      <c r="AF31" s="23">
        <f t="shared" si="9"/>
        <v>246.3015118790731</v>
      </c>
      <c r="AG31" s="19">
        <f>'28'!G88</f>
        <v>0</v>
      </c>
      <c r="AH31" s="19">
        <f>'28'!G89</f>
        <v>7.75</v>
      </c>
      <c r="AI31" s="19">
        <f>'28'!G90</f>
        <v>9.0599999999976717</v>
      </c>
      <c r="AJ31" s="19">
        <f t="shared" si="10"/>
        <v>16.809999999997672</v>
      </c>
      <c r="AK31" s="19">
        <f>'28'!G91</f>
        <v>11.170000000000073</v>
      </c>
      <c r="AL31" s="19">
        <f>'28'!G92</f>
        <v>0</v>
      </c>
      <c r="AM31" s="19"/>
      <c r="AN31" s="19">
        <f t="shared" si="11"/>
        <v>11.170000000000073</v>
      </c>
      <c r="AO31" s="52">
        <f>'28'!G74</f>
        <v>291.6600000000326</v>
      </c>
      <c r="AP31" s="55">
        <f>'28'!G35</f>
        <v>0</v>
      </c>
      <c r="AQ31" s="19">
        <f>'28'!G37</f>
        <v>0</v>
      </c>
      <c r="AR31" s="19">
        <f>'28'!G38</f>
        <v>2059.320000000007</v>
      </c>
      <c r="AS31" s="19">
        <f>'28'!G39</f>
        <v>0</v>
      </c>
      <c r="AT31" s="19">
        <f>'28'!G40</f>
        <v>833.68000000000757</v>
      </c>
      <c r="AU31" s="19">
        <f>'28'!G41</f>
        <v>5701.8800000000047</v>
      </c>
      <c r="AV31" s="19">
        <f>'28'!G42</f>
        <v>0</v>
      </c>
      <c r="AW31" s="86">
        <f>'28'!G43</f>
        <v>-3.0000000027939677E-2</v>
      </c>
      <c r="AX31" s="23">
        <f>'28'!G44</f>
        <v>0</v>
      </c>
      <c r="AY31" s="56">
        <f>'28'!G36</f>
        <v>786.14999999999418</v>
      </c>
      <c r="AZ31" s="55">
        <f>'28'!G49</f>
        <v>3778.0400000000373</v>
      </c>
      <c r="BA31" s="19">
        <f>'28'!G51</f>
        <v>960.28000000000611</v>
      </c>
      <c r="BB31" s="19">
        <f>'28'!G52</f>
        <v>0</v>
      </c>
      <c r="BC31" s="19">
        <f>'28'!G53</f>
        <v>3998.0499999999884</v>
      </c>
      <c r="BD31" s="19">
        <f>'28'!G54</f>
        <v>191.24000000000524</v>
      </c>
      <c r="BE31" s="19">
        <f>'28'!G55</f>
        <v>0</v>
      </c>
      <c r="BF31" s="19">
        <f>'28'!G56</f>
        <v>0</v>
      </c>
      <c r="BG31" s="19">
        <f>'28'!G57</f>
        <v>3060.460000000021</v>
      </c>
      <c r="BH31" s="56">
        <f>'28'!G50</f>
        <v>970.39999999996508</v>
      </c>
      <c r="BI31" s="60">
        <f t="shared" si="12"/>
        <v>5701.8800000000047</v>
      </c>
      <c r="BJ31" s="60">
        <f>'28'!G133</f>
        <v>889.17999999999302</v>
      </c>
      <c r="BK31" s="23">
        <f>SUM(AP31,AU31,AV31,AW31,AZ31,BE31,BF31,BG31)/H31%</f>
        <v>57.128832399435268</v>
      </c>
      <c r="BL31" s="23">
        <f t="shared" si="14"/>
        <v>18.213521024099077</v>
      </c>
      <c r="BM31" s="24">
        <f t="shared" si="15"/>
        <v>9.3814404810715096E-2</v>
      </c>
      <c r="BN31" s="25">
        <f t="shared" si="16"/>
        <v>277846.87999999477</v>
      </c>
      <c r="BO31" s="38">
        <f t="shared" si="17"/>
        <v>9651.4899999999907</v>
      </c>
      <c r="BP31">
        <f t="shared" si="18"/>
        <v>1.4889679111386764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0.75</v>
      </c>
      <c r="G32" s="19">
        <f>'29'!G7</f>
        <v>23592.5</v>
      </c>
      <c r="H32" s="19">
        <f>'29'!G8</f>
        <v>23725</v>
      </c>
      <c r="I32" s="19">
        <v>9</v>
      </c>
      <c r="J32" s="49">
        <f t="shared" si="3"/>
        <v>213525</v>
      </c>
      <c r="K32" s="45">
        <f t="shared" si="4"/>
        <v>117.45049504950495</v>
      </c>
      <c r="L32" s="19">
        <f>'29'!G15</f>
        <v>954.5</v>
      </c>
      <c r="M32" s="19">
        <v>56.2</v>
      </c>
      <c r="N32" s="41">
        <f t="shared" si="5"/>
        <v>53642.9</v>
      </c>
      <c r="O32" s="19">
        <f>'29'!G20</f>
        <v>220</v>
      </c>
      <c r="P32" s="19">
        <v>108</v>
      </c>
      <c r="Q32" s="46">
        <f t="shared" si="0"/>
        <v>23760</v>
      </c>
      <c r="R32" s="47">
        <f t="shared" si="1"/>
        <v>145.21452145214522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89</v>
      </c>
      <c r="W32" s="22">
        <f>'29'!G66</f>
        <v>9</v>
      </c>
      <c r="X32" s="22">
        <f>'29'!G67</f>
        <v>14</v>
      </c>
      <c r="Y32" s="22">
        <f t="shared" si="7"/>
        <v>112</v>
      </c>
      <c r="Z32" s="19">
        <f>'29'!G84</f>
        <v>24</v>
      </c>
      <c r="AA32" s="19">
        <f>'29'!G85</f>
        <v>0</v>
      </c>
      <c r="AB32" s="19">
        <f>'29'!G86</f>
        <v>-0.37000000000261934</v>
      </c>
      <c r="AC32" s="19">
        <f>'29'!G87</f>
        <v>6.5100000000020373</v>
      </c>
      <c r="AD32" s="19">
        <f t="shared" si="8"/>
        <v>30.139999999999418</v>
      </c>
      <c r="AE32" s="23">
        <f t="shared" si="2"/>
        <v>6087.8600000000006</v>
      </c>
      <c r="AF32" s="23">
        <f t="shared" si="9"/>
        <v>201.98606502986456</v>
      </c>
      <c r="AG32" s="19">
        <f>'29'!G88</f>
        <v>-0.15999999999985448</v>
      </c>
      <c r="AH32" s="19">
        <f>'29'!G89</f>
        <v>8.3300000000017462</v>
      </c>
      <c r="AI32" s="19">
        <f>'29'!G90</f>
        <v>10.279999999998836</v>
      </c>
      <c r="AJ32" s="19">
        <f t="shared" si="10"/>
        <v>18.450000000000728</v>
      </c>
      <c r="AK32" s="19">
        <f>'29'!G91</f>
        <v>11.090000000000146</v>
      </c>
      <c r="AL32" s="19">
        <f>'29'!G92</f>
        <v>-0.22999999999956344</v>
      </c>
      <c r="AM32" s="19"/>
      <c r="AN32" s="19">
        <f t="shared" si="11"/>
        <v>10.860000000000582</v>
      </c>
      <c r="AO32" s="52">
        <f>'29'!G74</f>
        <v>290.09999999997672</v>
      </c>
      <c r="AP32" s="55">
        <f>'29'!G35</f>
        <v>0</v>
      </c>
      <c r="AQ32" s="19">
        <f>'29'!G37</f>
        <v>0</v>
      </c>
      <c r="AR32" s="19">
        <f>'29'!G38</f>
        <v>2101.7700000000186</v>
      </c>
      <c r="AS32" s="19">
        <f>'29'!G39</f>
        <v>-0.18999999994412065</v>
      </c>
      <c r="AT32" s="19">
        <f>'29'!G40</f>
        <v>822.42999999999302</v>
      </c>
      <c r="AU32" s="19">
        <f>'29'!G41</f>
        <v>5243.25</v>
      </c>
      <c r="AV32" s="19">
        <f>'29'!G42</f>
        <v>0</v>
      </c>
      <c r="AW32" s="19">
        <f>'29'!G43</f>
        <v>0</v>
      </c>
      <c r="AX32" s="23">
        <f>'29'!G44</f>
        <v>0</v>
      </c>
      <c r="AY32" s="56">
        <f>'29'!G36</f>
        <v>734</v>
      </c>
      <c r="AZ32" s="55">
        <f>'29'!G49</f>
        <v>3848.609999999986</v>
      </c>
      <c r="BA32" s="19">
        <f>'29'!G51</f>
        <v>1021.3799999999974</v>
      </c>
      <c r="BB32" s="19">
        <f>'29'!G52</f>
        <v>0</v>
      </c>
      <c r="BC32" s="19">
        <f>'29'!G53</f>
        <v>4216.2000000000116</v>
      </c>
      <c r="BD32" s="19">
        <f>'29'!G54</f>
        <v>182.86999999999534</v>
      </c>
      <c r="BE32" s="19">
        <f>'29'!G55</f>
        <v>0</v>
      </c>
      <c r="BF32" s="19">
        <f>'29'!G56</f>
        <v>844.61000000000058</v>
      </c>
      <c r="BG32" s="19">
        <f>'29'!G57</f>
        <v>3270.7299999999814</v>
      </c>
      <c r="BH32" s="56">
        <f>'29'!G50</f>
        <v>1084.210000000021</v>
      </c>
      <c r="BI32" s="60">
        <f t="shared" si="12"/>
        <v>6087.8600000000006</v>
      </c>
      <c r="BJ32" s="60">
        <f>'29'!G133</f>
        <v>882.08999999999651</v>
      </c>
      <c r="BK32" s="23">
        <f t="shared" si="13"/>
        <v>55.667860906216937</v>
      </c>
      <c r="BL32" s="23">
        <f t="shared" si="14"/>
        <v>17.770326659642013</v>
      </c>
      <c r="BM32" s="24">
        <f t="shared" si="15"/>
        <v>8.8588830347735237E-2</v>
      </c>
      <c r="BN32" s="25">
        <f t="shared" si="16"/>
        <v>290927.90000000002</v>
      </c>
      <c r="BO32" s="38">
        <f t="shared" si="17"/>
        <v>10240.679999999978</v>
      </c>
      <c r="BP32">
        <f t="shared" si="18"/>
        <v>1.2134657313489638</v>
      </c>
    </row>
    <row r="33" spans="1:68">
      <c r="A33" s="16">
        <v>30</v>
      </c>
      <c r="B33" s="27">
        <v>30</v>
      </c>
      <c r="C33" s="28"/>
      <c r="D33" s="19">
        <f>'30'!D3</f>
        <v>31</v>
      </c>
      <c r="E33" s="50">
        <f>'30'!D4</f>
        <v>0.78</v>
      </c>
      <c r="F33" s="50">
        <f>'30'!D2</f>
        <v>0.73</v>
      </c>
      <c r="G33" s="19">
        <f>'30'!G7</f>
        <v>23836</v>
      </c>
      <c r="H33" s="19">
        <f>'30'!G8</f>
        <v>24007</v>
      </c>
      <c r="I33" s="19">
        <v>9</v>
      </c>
      <c r="J33" s="49">
        <f t="shared" si="3"/>
        <v>216063</v>
      </c>
      <c r="K33" s="45">
        <f t="shared" si="4"/>
        <v>118.84653465346534</v>
      </c>
      <c r="L33" s="19">
        <f>'30'!G15</f>
        <v>905</v>
      </c>
      <c r="M33" s="19">
        <v>56.2</v>
      </c>
      <c r="N33" s="41">
        <f t="shared" si="5"/>
        <v>50861</v>
      </c>
      <c r="O33" s="19">
        <f>'30'!G20</f>
        <v>200</v>
      </c>
      <c r="P33" s="19">
        <v>108</v>
      </c>
      <c r="Q33" s="46">
        <f t="shared" si="0"/>
        <v>21600</v>
      </c>
      <c r="R33" s="47">
        <f t="shared" si="1"/>
        <v>135.6300013563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89</v>
      </c>
      <c r="W33" s="22">
        <f>'30'!G66</f>
        <v>4</v>
      </c>
      <c r="X33" s="22">
        <f>'30'!G67</f>
        <v>17</v>
      </c>
      <c r="Y33" s="22">
        <f t="shared" si="7"/>
        <v>110</v>
      </c>
      <c r="Z33" s="19">
        <f>'30'!G84</f>
        <v>24.209999999999127</v>
      </c>
      <c r="AA33" s="19">
        <f>'30'!G85</f>
        <v>0.3999999999996362</v>
      </c>
      <c r="AB33" s="19">
        <f>'30'!G86</f>
        <v>0.37000000000261934</v>
      </c>
      <c r="AC33" s="19">
        <f>'30'!G87</f>
        <v>11</v>
      </c>
      <c r="AD33" s="19">
        <f t="shared" si="8"/>
        <v>35.980000000001382</v>
      </c>
      <c r="AE33" s="23">
        <f t="shared" si="2"/>
        <v>6423.5400000000373</v>
      </c>
      <c r="AF33" s="23">
        <f t="shared" si="9"/>
        <v>178.5308504724789</v>
      </c>
      <c r="AG33" s="19">
        <f>'30'!G88</f>
        <v>0.15999999999985448</v>
      </c>
      <c r="AH33" s="19">
        <f>'30'!G89</f>
        <v>8.4599999999991269</v>
      </c>
      <c r="AI33" s="19">
        <f>'30'!G90</f>
        <v>7.5500000000029104</v>
      </c>
      <c r="AJ33" s="19">
        <f t="shared" si="10"/>
        <v>16.170000000001892</v>
      </c>
      <c r="AK33" s="19">
        <f>'30'!G91</f>
        <v>10.770000000000437</v>
      </c>
      <c r="AL33" s="19">
        <f>'30'!G92</f>
        <v>0</v>
      </c>
      <c r="AM33" s="19"/>
      <c r="AN33" s="19">
        <f t="shared" si="11"/>
        <v>10.770000000000437</v>
      </c>
      <c r="AO33" s="52">
        <f>'30'!G74</f>
        <v>281.75</v>
      </c>
      <c r="AP33" s="55">
        <f>'30'!G35</f>
        <v>0</v>
      </c>
      <c r="AQ33" s="19">
        <f>'30'!G37</f>
        <v>0</v>
      </c>
      <c r="AR33" s="19">
        <f>'30'!G38</f>
        <v>2201.710000000021</v>
      </c>
      <c r="AS33" s="19">
        <f>'30'!G39</f>
        <v>0.18999999994412065</v>
      </c>
      <c r="AT33" s="19">
        <f>'30'!G40</f>
        <v>806.38000000000466</v>
      </c>
      <c r="AU33" s="19">
        <f>'30'!G41</f>
        <v>5103.1500000000233</v>
      </c>
      <c r="AV33" s="19">
        <f>'30'!G42</f>
        <v>0</v>
      </c>
      <c r="AW33" s="19">
        <f>'30'!G43</f>
        <v>0</v>
      </c>
      <c r="AX33" s="23">
        <f>'30'!G44</f>
        <v>0</v>
      </c>
      <c r="AY33" s="56">
        <f>'30'!G36</f>
        <v>794.48999999999069</v>
      </c>
      <c r="AZ33" s="55">
        <f>'30'!G49</f>
        <v>3850.4300000000512</v>
      </c>
      <c r="BA33" s="19">
        <f>'30'!G51</f>
        <v>837.7300000000032</v>
      </c>
      <c r="BB33" s="19">
        <f>'30'!G52</f>
        <v>0</v>
      </c>
      <c r="BC33" s="19">
        <f>'30'!G53</f>
        <v>4098.1900000000023</v>
      </c>
      <c r="BD33" s="19">
        <f>'30'!G54</f>
        <v>182.60000000000582</v>
      </c>
      <c r="BE33" s="19">
        <f>'30'!G55</f>
        <v>-0.29999999998835847</v>
      </c>
      <c r="BF33" s="19">
        <f>'30'!G56</f>
        <v>1320.6900000000023</v>
      </c>
      <c r="BG33" s="19">
        <f>'30'!G57</f>
        <v>2922.609999999986</v>
      </c>
      <c r="BH33" s="56">
        <f>'30'!G50</f>
        <v>1066.2299999999814</v>
      </c>
      <c r="BI33" s="60">
        <f t="shared" ref="BI33" si="19">SUM(AU33,AV33,BE33,BF33)</f>
        <v>6423.5400000000373</v>
      </c>
      <c r="BJ33" s="60">
        <f>'30'!G133</f>
        <v>866.35000000000582</v>
      </c>
      <c r="BK33" s="23">
        <f t="shared" si="13"/>
        <v>54.969717165826943</v>
      </c>
      <c r="BL33" s="23">
        <f t="shared" si="14"/>
        <v>17.071604115466101</v>
      </c>
      <c r="BM33" s="24">
        <f t="shared" si="15"/>
        <v>9.1711167576124505E-2</v>
      </c>
      <c r="BN33" s="25">
        <f t="shared" si="16"/>
        <v>288524</v>
      </c>
      <c r="BO33" s="38">
        <f t="shared" si="17"/>
        <v>10212.500000000029</v>
      </c>
      <c r="BP33">
        <f t="shared" si="18"/>
        <v>1.0137080123877984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31</v>
      </c>
      <c r="G34" s="19">
        <f>'31'!G7</f>
        <v>24836</v>
      </c>
      <c r="H34" s="19">
        <f>'31'!G8</f>
        <v>24915</v>
      </c>
      <c r="I34" s="19">
        <v>9</v>
      </c>
      <c r="J34" s="49">
        <f t="shared" si="3"/>
        <v>224235</v>
      </c>
      <c r="K34" s="45">
        <f t="shared" ref="K34" si="20">H34/202</f>
        <v>123.34158415841584</v>
      </c>
      <c r="L34" s="19">
        <f>'31'!G15</f>
        <v>874.60000000009313</v>
      </c>
      <c r="M34" s="19">
        <v>56.2</v>
      </c>
      <c r="N34" s="41">
        <f t="shared" ref="N34" si="21">L34*M34</f>
        <v>49152.520000005235</v>
      </c>
      <c r="O34" s="19">
        <f>'31'!G20</f>
        <v>181</v>
      </c>
      <c r="P34" s="19">
        <v>108</v>
      </c>
      <c r="Q34" s="46">
        <f t="shared" ref="Q34" si="22">O34*P34</f>
        <v>19548</v>
      </c>
      <c r="R34" s="47">
        <f t="shared" si="1"/>
        <v>2.8904503353561162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83</v>
      </c>
      <c r="W34" s="22">
        <f>'31'!G66</f>
        <v>6</v>
      </c>
      <c r="X34" s="22">
        <f>'31'!G67</f>
        <v>15</v>
      </c>
      <c r="Y34" s="22">
        <f t="shared" ref="Y34" si="24">V34+W34+X34</f>
        <v>104</v>
      </c>
      <c r="Z34" s="19">
        <f>'31'!G84</f>
        <v>24.340000000003783</v>
      </c>
      <c r="AA34" s="19">
        <f>'31'!G85</f>
        <v>9.6000000000003638</v>
      </c>
      <c r="AB34" s="19">
        <f>'31'!G86</f>
        <v>0</v>
      </c>
      <c r="AC34" s="19">
        <f>'31'!G87</f>
        <v>-0.19999999999708962</v>
      </c>
      <c r="AD34" s="19">
        <f t="shared" ref="AD34" si="25">Z34+AA34+AB34+AC34</f>
        <v>33.740000000007058</v>
      </c>
      <c r="AE34" s="23">
        <f t="shared" ref="AE34" si="26">AU34+AV34+BE34+BF34</f>
        <v>8005.140000000014</v>
      </c>
      <c r="AF34" s="23">
        <f t="shared" ref="AF34" si="27">AE34/AD34</f>
        <v>237.25963248364965</v>
      </c>
      <c r="AG34" s="19">
        <f>'31'!G88</f>
        <v>0</v>
      </c>
      <c r="AH34" s="19">
        <f>'31'!G89</f>
        <v>6.5600000000013097</v>
      </c>
      <c r="AI34" s="19">
        <f>'31'!G90</f>
        <v>9.1699999999982538</v>
      </c>
      <c r="AJ34" s="19">
        <f t="shared" ref="AJ34" si="28">AG34+AH34+AI34</f>
        <v>15.729999999999563</v>
      </c>
      <c r="AK34" s="19">
        <f>'31'!G91</f>
        <v>10.889999999999418</v>
      </c>
      <c r="AL34" s="19">
        <f>'31'!G92</f>
        <v>0</v>
      </c>
      <c r="AM34" s="19"/>
      <c r="AN34" s="19">
        <f t="shared" ref="AN34" si="29">AK34+AL34</f>
        <v>10.889999999999418</v>
      </c>
      <c r="AO34" s="52">
        <f>'31'!G74</f>
        <v>285.03000000002794</v>
      </c>
      <c r="AP34" s="55">
        <f>'31'!G35</f>
        <v>0</v>
      </c>
      <c r="AQ34" s="19">
        <f>'31'!G37</f>
        <v>0</v>
      </c>
      <c r="AR34" s="19">
        <f>'31'!G38</f>
        <v>2258.789999999979</v>
      </c>
      <c r="AS34" s="19">
        <f>'31'!G39</f>
        <v>0</v>
      </c>
      <c r="AT34" s="19">
        <f>'31'!G40</f>
        <v>926.85000000000582</v>
      </c>
      <c r="AU34" s="19">
        <f>'31'!G41</f>
        <v>5734.9199999999837</v>
      </c>
      <c r="AV34" s="19">
        <f>'31'!G42</f>
        <v>2269.9200000000419</v>
      </c>
      <c r="AW34" s="19">
        <f>'31'!G43</f>
        <v>0</v>
      </c>
      <c r="AX34" s="23">
        <f>'31'!G44</f>
        <v>0</v>
      </c>
      <c r="AY34" s="56">
        <f>'31'!G36</f>
        <v>691.55999999999767</v>
      </c>
      <c r="AZ34" s="55">
        <f>'31'!G49</f>
        <v>3897.1599999999162</v>
      </c>
      <c r="BA34" s="19">
        <f>'31'!G51</f>
        <v>1213.5299999999988</v>
      </c>
      <c r="BB34" s="19">
        <f>'31'!G52</f>
        <v>0</v>
      </c>
      <c r="BC34" s="19">
        <f>'31'!G53</f>
        <v>4106.5</v>
      </c>
      <c r="BD34" s="19">
        <f>'31'!G54</f>
        <v>191.48999999999069</v>
      </c>
      <c r="BE34" s="19">
        <f>'31'!G55</f>
        <v>0.29999999998835847</v>
      </c>
      <c r="BF34" s="19">
        <f>'31'!G56</f>
        <v>0</v>
      </c>
      <c r="BG34" s="19">
        <f>'31'!G57</f>
        <v>2989.320000000007</v>
      </c>
      <c r="BH34" s="56">
        <f>'31'!G50</f>
        <v>1178.6600000000326</v>
      </c>
      <c r="BI34" s="60">
        <f t="shared" ref="BI34" si="30">SUM(AU34,AV34,BE34,BF34)</f>
        <v>8005.140000000014</v>
      </c>
      <c r="BJ34" s="60">
        <f>'31'!G133</f>
        <v>877.64999999999418</v>
      </c>
      <c r="BK34" s="23">
        <f t="shared" ref="BK34" si="31">SUM(AP34,AU34,AV34,AW34,AZ34,BE34,BF34,BG34)/H34%</f>
        <v>59.769696969696717</v>
      </c>
      <c r="BL34" s="23">
        <f t="shared" ref="BL34" si="32">SUM(AS34,BC34)/H34%</f>
        <v>16.48203893237006</v>
      </c>
      <c r="BM34" s="24">
        <f t="shared" ref="BM34" si="33">(AR34+BB34)/H34</f>
        <v>9.0659843467789644E-2</v>
      </c>
      <c r="BN34" s="25">
        <f t="shared" ref="BN34" si="34">J34+N34+Q34+U34</f>
        <v>292935.52000000526</v>
      </c>
      <c r="BO34" s="38">
        <f t="shared" ref="BO34" si="35">SUM(AU34,AV34,AW34,BE34,BF34,BG34,BJ34)</f>
        <v>11872.110000000015</v>
      </c>
      <c r="BP34">
        <f t="shared" ref="BP34" si="36">BO34/(AD34*280)</f>
        <v>1.2566802862221116</v>
      </c>
    </row>
    <row r="35" spans="1:68">
      <c r="A35" s="16" t="s">
        <v>196</v>
      </c>
      <c r="B35" s="30"/>
      <c r="C35" s="31"/>
      <c r="D35" s="32">
        <f>AVERAGE(D4:D34)</f>
        <v>27.774193548387096</v>
      </c>
      <c r="E35" s="33"/>
      <c r="F35" s="73">
        <f>AVERAGE(F4:F34)</f>
        <v>1.6949838709677418</v>
      </c>
      <c r="G35" s="34">
        <f>SUM(G4:G34)</f>
        <v>786759.5</v>
      </c>
      <c r="H35" s="34">
        <f t="shared" ref="H35:BN35" si="37">SUM(H4:H34)</f>
        <v>794149.7</v>
      </c>
      <c r="I35" s="19">
        <v>9</v>
      </c>
      <c r="J35" s="34">
        <f t="shared" si="37"/>
        <v>7147347.2999999998</v>
      </c>
      <c r="K35" s="34">
        <f t="shared" si="37"/>
        <v>3931.434158415841</v>
      </c>
      <c r="L35" s="34">
        <f t="shared" si="37"/>
        <v>30965.600000000093</v>
      </c>
      <c r="M35" s="34">
        <f t="shared" si="37"/>
        <v>1742.200000000001</v>
      </c>
      <c r="N35" s="34">
        <f t="shared" si="37"/>
        <v>1740266.7200000053</v>
      </c>
      <c r="O35" s="34">
        <f t="shared" si="37"/>
        <v>6546</v>
      </c>
      <c r="P35" s="34">
        <f t="shared" si="37"/>
        <v>3348</v>
      </c>
      <c r="Q35" s="34">
        <f t="shared" si="37"/>
        <v>706968</v>
      </c>
      <c r="R35" s="34">
        <f t="shared" si="37"/>
        <v>4843.207969577169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457918</v>
      </c>
      <c r="W35" s="34">
        <f t="shared" si="37"/>
        <v>575</v>
      </c>
      <c r="X35" s="34">
        <f t="shared" si="37"/>
        <v>518</v>
      </c>
      <c r="Y35" s="34">
        <f t="shared" si="37"/>
        <v>459011</v>
      </c>
      <c r="Z35" s="34">
        <f t="shared" si="37"/>
        <v>283.55000000000291</v>
      </c>
      <c r="AA35" s="34">
        <f t="shared" si="37"/>
        <v>223.8100000000004</v>
      </c>
      <c r="AB35" s="34">
        <f t="shared" si="37"/>
        <v>542.37000000000262</v>
      </c>
      <c r="AC35" s="34">
        <f t="shared" si="37"/>
        <v>40.880000000004657</v>
      </c>
      <c r="AD35" s="34">
        <f t="shared" si="37"/>
        <v>1090.6100000000106</v>
      </c>
      <c r="AE35" s="34">
        <f t="shared" si="37"/>
        <v>198771.94000000006</v>
      </c>
      <c r="AF35" s="34">
        <f t="shared" si="37"/>
        <v>9517.8431422910326</v>
      </c>
      <c r="AG35" s="34">
        <f t="shared" si="37"/>
        <v>31.700000000000728</v>
      </c>
      <c r="AH35" s="34">
        <f t="shared" si="37"/>
        <v>235.40999999999985</v>
      </c>
      <c r="AI35" s="34">
        <f t="shared" si="37"/>
        <v>324.16999999999825</v>
      </c>
      <c r="AJ35" s="34">
        <f t="shared" si="37"/>
        <v>591.27999999999884</v>
      </c>
      <c r="AK35" s="34">
        <f t="shared" si="37"/>
        <v>58.609999999999673</v>
      </c>
      <c r="AL35" s="34">
        <f t="shared" si="37"/>
        <v>282.67000000000007</v>
      </c>
      <c r="AM35" s="34">
        <f t="shared" si="37"/>
        <v>0</v>
      </c>
      <c r="AN35" s="34">
        <f t="shared" si="37"/>
        <v>341.27999999999975</v>
      </c>
      <c r="AO35" s="34">
        <f t="shared" si="37"/>
        <v>9195.9200000000419</v>
      </c>
      <c r="AP35" s="34">
        <f t="shared" si="37"/>
        <v>4.9999999988358468E-2</v>
      </c>
      <c r="AQ35" s="34">
        <f t="shared" si="37"/>
        <v>-0.30999999999767169</v>
      </c>
      <c r="AR35" s="34">
        <f t="shared" si="37"/>
        <v>68394.5</v>
      </c>
      <c r="AS35" s="34">
        <f t="shared" si="37"/>
        <v>0.18999999994412065</v>
      </c>
      <c r="AT35" s="34">
        <f t="shared" si="37"/>
        <v>26495.23000000001</v>
      </c>
      <c r="AU35" s="34">
        <f t="shared" si="37"/>
        <v>70510.070000000007</v>
      </c>
      <c r="AV35" s="34">
        <f t="shared" si="37"/>
        <v>45703.430000000051</v>
      </c>
      <c r="AW35" s="34">
        <f t="shared" si="37"/>
        <v>0</v>
      </c>
      <c r="AX35" s="34">
        <f t="shared" si="37"/>
        <v>0</v>
      </c>
      <c r="AY35" s="34">
        <f t="shared" si="37"/>
        <v>26287.049999999988</v>
      </c>
      <c r="AZ35" s="34">
        <f t="shared" si="37"/>
        <v>121563.58999999997</v>
      </c>
      <c r="BA35" s="34">
        <f t="shared" si="37"/>
        <v>32353.260000000002</v>
      </c>
      <c r="BB35" s="34">
        <f t="shared" si="37"/>
        <v>0</v>
      </c>
      <c r="BC35" s="34">
        <f t="shared" si="37"/>
        <v>129208.18000000001</v>
      </c>
      <c r="BD35" s="34">
        <f t="shared" si="37"/>
        <v>7785.1999999999971</v>
      </c>
      <c r="BE35" s="34">
        <f t="shared" si="37"/>
        <v>80392.75</v>
      </c>
      <c r="BF35" s="34">
        <f t="shared" si="37"/>
        <v>2165.6900000000023</v>
      </c>
      <c r="BG35" s="34">
        <f t="shared" si="37"/>
        <v>96080.93</v>
      </c>
      <c r="BH35" s="34">
        <f t="shared" si="37"/>
        <v>37982.890000000014</v>
      </c>
      <c r="BI35" s="34">
        <f t="shared" si="37"/>
        <v>198771.94000000006</v>
      </c>
      <c r="BJ35" s="34">
        <f t="shared" si="37"/>
        <v>18514.609999999986</v>
      </c>
      <c r="BK35" s="34">
        <f t="shared" si="37"/>
        <v>1627.1979953546204</v>
      </c>
      <c r="BL35" s="34">
        <f t="shared" si="37"/>
        <v>505.7659111792168</v>
      </c>
      <c r="BM35" s="34">
        <f t="shared" si="37"/>
        <v>2.6765519514904703</v>
      </c>
      <c r="BN35" s="34">
        <f t="shared" si="37"/>
        <v>9594582.0200000051</v>
      </c>
      <c r="BO35" s="38">
        <f t="shared" si="17"/>
        <v>313367.48000000004</v>
      </c>
      <c r="BP35">
        <f t="shared" si="18"/>
        <v>1.0261867866868639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3</v>
      </c>
      <c r="E36" s="35">
        <f t="shared" si="38"/>
        <v>0</v>
      </c>
      <c r="F36" s="35">
        <f t="shared" si="38"/>
        <v>-0.19</v>
      </c>
      <c r="G36" s="35"/>
      <c r="H36" s="35">
        <f t="shared" ref="H36:AN36" si="39">H18-H17</f>
        <v>-3634</v>
      </c>
      <c r="I36" s="35">
        <f t="shared" si="39"/>
        <v>0</v>
      </c>
      <c r="J36" s="42">
        <f t="shared" si="39"/>
        <v>-32706</v>
      </c>
      <c r="K36" s="42">
        <f t="shared" si="39"/>
        <v>-17.990099009901002</v>
      </c>
      <c r="L36" s="35">
        <f t="shared" si="39"/>
        <v>5.078999999910593</v>
      </c>
      <c r="M36" s="35">
        <f t="shared" si="39"/>
        <v>0</v>
      </c>
      <c r="N36" s="42">
        <f t="shared" si="39"/>
        <v>285.43979999497242</v>
      </c>
      <c r="O36" s="35">
        <f t="shared" si="39"/>
        <v>52</v>
      </c>
      <c r="P36" s="35">
        <f t="shared" si="39"/>
        <v>0</v>
      </c>
      <c r="Q36" s="42">
        <f t="shared" si="39"/>
        <v>5616</v>
      </c>
      <c r="R36" s="42">
        <f t="shared" si="39"/>
        <v>157.61088303952346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-14</v>
      </c>
      <c r="W36" s="35">
        <f t="shared" si="39"/>
        <v>1</v>
      </c>
      <c r="X36" s="35">
        <f t="shared" si="39"/>
        <v>0</v>
      </c>
      <c r="Y36" s="35">
        <f t="shared" si="39"/>
        <v>-13</v>
      </c>
      <c r="Z36" s="35">
        <f t="shared" si="39"/>
        <v>0</v>
      </c>
      <c r="AA36" s="35">
        <f t="shared" si="39"/>
        <v>-20.520000000000437</v>
      </c>
      <c r="AB36" s="35">
        <f t="shared" si="39"/>
        <v>6.4000000000014552</v>
      </c>
      <c r="AC36" s="35">
        <f t="shared" si="39"/>
        <v>-24</v>
      </c>
      <c r="AD36" s="35">
        <f t="shared" si="39"/>
        <v>-38.119999999998981</v>
      </c>
      <c r="AE36" s="35">
        <f t="shared" si="39"/>
        <v>-3027.2000000000553</v>
      </c>
      <c r="AF36" s="35">
        <f t="shared" si="39"/>
        <v>55.950980628887393</v>
      </c>
      <c r="AG36" s="35">
        <f t="shared" si="39"/>
        <v>0</v>
      </c>
      <c r="AH36" s="35">
        <f t="shared" si="39"/>
        <v>1.6700000000018917</v>
      </c>
      <c r="AI36" s="35">
        <f t="shared" si="39"/>
        <v>0.81000000001222361</v>
      </c>
      <c r="AJ36" s="35">
        <f t="shared" si="39"/>
        <v>2.4800000000141154</v>
      </c>
      <c r="AK36" s="35">
        <f t="shared" si="39"/>
        <v>0</v>
      </c>
      <c r="AL36" s="35">
        <f t="shared" si="39"/>
        <v>0.1000000000003638</v>
      </c>
      <c r="AM36" s="35">
        <f t="shared" si="39"/>
        <v>0</v>
      </c>
      <c r="AN36" s="35">
        <f t="shared" si="39"/>
        <v>0.1000000000003638</v>
      </c>
      <c r="AO36" s="35"/>
      <c r="AP36" s="35">
        <f t="shared" ref="AP36:AW36" si="40">AP18-AP17</f>
        <v>9.9999999976716936E-2</v>
      </c>
      <c r="AQ36" s="35">
        <f t="shared" si="40"/>
        <v>0.30999999999767169</v>
      </c>
      <c r="AR36" s="35">
        <f t="shared" si="40"/>
        <v>-5.0100000000093132</v>
      </c>
      <c r="AS36" s="35">
        <f t="shared" si="40"/>
        <v>0.18999999994412065</v>
      </c>
      <c r="AT36" s="35">
        <f t="shared" si="40"/>
        <v>35.229999999995925</v>
      </c>
      <c r="AU36" s="35">
        <f t="shared" si="40"/>
        <v>0.14999999999417923</v>
      </c>
      <c r="AV36" s="35">
        <f t="shared" si="40"/>
        <v>-4612.2900000000373</v>
      </c>
      <c r="AW36" s="35">
        <f t="shared" si="40"/>
        <v>0</v>
      </c>
      <c r="AX36" s="35"/>
      <c r="AY36" s="35"/>
      <c r="AZ36" s="35">
        <f t="shared" ref="AZ36:BG36" si="41">AZ18-AZ17</f>
        <v>-306.29000000003725</v>
      </c>
      <c r="BA36" s="35">
        <f t="shared" si="41"/>
        <v>-26.766999999999825</v>
      </c>
      <c r="BB36" s="35">
        <f t="shared" si="41"/>
        <v>-0.24000000000000021</v>
      </c>
      <c r="BC36" s="35">
        <f t="shared" si="41"/>
        <v>27.75</v>
      </c>
      <c r="BD36" s="35">
        <f t="shared" si="41"/>
        <v>3.5500000000029104</v>
      </c>
      <c r="BE36" s="35">
        <f t="shared" si="41"/>
        <v>1584.5499999999884</v>
      </c>
      <c r="BF36" s="35">
        <f t="shared" si="41"/>
        <v>0.38999999999941792</v>
      </c>
      <c r="BG36" s="35">
        <f t="shared" si="41"/>
        <v>-38.630000000004657</v>
      </c>
      <c r="BH36" s="35"/>
      <c r="BI36" s="35"/>
      <c r="BJ36" s="35"/>
      <c r="BK36" s="35">
        <f>BK18-BK17</f>
        <v>-6.1143651561439682</v>
      </c>
      <c r="BL36" s="35">
        <f>BL18-BL17</f>
        <v>2.7621955049020173</v>
      </c>
      <c r="BM36" s="35"/>
      <c r="BN36" s="35">
        <f>BN18-BN17</f>
        <v>-26804.560200005013</v>
      </c>
      <c r="BO36" s="35">
        <f>BO18-BO17</f>
        <v>-3146.1800000000658</v>
      </c>
    </row>
    <row r="37" spans="1:68">
      <c r="F37" s="38">
        <f>AVERAGE(F4:F35)</f>
        <v>1.6949838709677418</v>
      </c>
      <c r="G37" s="38"/>
      <c r="H37" s="38">
        <f>AVERAGE(H4:H35)</f>
        <v>49634.356249999997</v>
      </c>
    </row>
    <row r="38" spans="1:68">
      <c r="B38" s="36" t="s">
        <v>66</v>
      </c>
      <c r="F38" s="72">
        <f>AVERAGE(F4:F35)</f>
        <v>1.6949838709677418</v>
      </c>
      <c r="G38" s="72"/>
    </row>
    <row r="41" spans="1:68">
      <c r="BI41">
        <f>(BI31+BJ31)/400</f>
        <v>16.477649999999993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opLeftCell="A13" workbookViewId="0">
      <selection activeCell="C31" sqref="C31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80" t="s">
        <v>353</v>
      </c>
    </row>
    <row r="2" spans="1:17">
      <c r="A2" s="248">
        <v>1</v>
      </c>
      <c r="B2" s="381">
        <f>C2/202%</f>
        <v>57.920792079207921</v>
      </c>
      <c r="C2" s="381">
        <v>117</v>
      </c>
      <c r="D2" s="381">
        <v>2</v>
      </c>
      <c r="E2" s="381">
        <f>(C2+D2)/202%</f>
        <v>58.910891089108908</v>
      </c>
      <c r="F2" s="382">
        <v>306</v>
      </c>
      <c r="G2" s="382">
        <f>C2+D2</f>
        <v>119</v>
      </c>
      <c r="H2" s="383">
        <f>C2/202%</f>
        <v>57.920792079207921</v>
      </c>
      <c r="I2" s="384"/>
      <c r="J2" s="383">
        <f>'Section Load'!C5/G2</f>
        <v>216.66386554621849</v>
      </c>
      <c r="K2">
        <f>10/202</f>
        <v>4.9504950495049507E-2</v>
      </c>
    </row>
    <row r="3" spans="1:17">
      <c r="A3" s="248">
        <v>2</v>
      </c>
      <c r="B3" s="381">
        <f t="shared" ref="B3:B32" si="0">C3/202%</f>
        <v>63.366336633663366</v>
      </c>
      <c r="C3" s="381">
        <v>128</v>
      </c>
      <c r="D3" s="381">
        <v>2</v>
      </c>
      <c r="E3" s="381">
        <f t="shared" ref="E3:E32" si="1">(C3+D3)/202%</f>
        <v>64.356435643564353</v>
      </c>
      <c r="F3" s="382">
        <v>406</v>
      </c>
      <c r="G3" s="382">
        <f t="shared" ref="G3:G31" si="2">C3+D3</f>
        <v>130</v>
      </c>
      <c r="H3" s="383">
        <f t="shared" ref="H3:H32" si="3">C3/202%</f>
        <v>63.366336633663366</v>
      </c>
      <c r="I3" s="384"/>
      <c r="J3" s="383">
        <f>'Section Load'!C6/G3</f>
        <v>198.80769230769232</v>
      </c>
    </row>
    <row r="4" spans="1:17">
      <c r="A4" s="248">
        <v>3</v>
      </c>
      <c r="B4" s="381">
        <f t="shared" si="0"/>
        <v>67.821782178217816</v>
      </c>
      <c r="C4" s="381">
        <v>137</v>
      </c>
      <c r="D4" s="381">
        <v>3</v>
      </c>
      <c r="E4" s="381">
        <f t="shared" si="1"/>
        <v>69.306930693069305</v>
      </c>
      <c r="F4" s="382">
        <v>744</v>
      </c>
      <c r="G4" s="382">
        <f t="shared" si="2"/>
        <v>140</v>
      </c>
      <c r="H4" s="383">
        <f t="shared" si="3"/>
        <v>67.821782178217816</v>
      </c>
      <c r="I4" s="384"/>
      <c r="J4" s="383">
        <f>'Section Load'!C7/G4</f>
        <v>200.39285714285714</v>
      </c>
      <c r="Q4" s="403">
        <f>C2/202</f>
        <v>0.57920792079207917</v>
      </c>
    </row>
    <row r="5" spans="1:17">
      <c r="A5" s="248">
        <v>4</v>
      </c>
      <c r="B5" s="381">
        <f t="shared" si="0"/>
        <v>70.792079207920793</v>
      </c>
      <c r="C5" s="381">
        <v>143</v>
      </c>
      <c r="D5" s="381">
        <v>4</v>
      </c>
      <c r="E5" s="381">
        <f t="shared" si="1"/>
        <v>72.772277227722768</v>
      </c>
      <c r="F5" s="382">
        <v>534</v>
      </c>
      <c r="G5" s="382">
        <f t="shared" si="2"/>
        <v>147</v>
      </c>
      <c r="H5" s="383">
        <f t="shared" si="3"/>
        <v>70.792079207920793</v>
      </c>
      <c r="I5" s="384"/>
      <c r="J5" s="383">
        <f>'Section Load'!C8/G5</f>
        <v>176.1360544217687</v>
      </c>
    </row>
    <row r="6" spans="1:17">
      <c r="A6" s="248">
        <v>5</v>
      </c>
      <c r="B6" s="381">
        <f t="shared" si="0"/>
        <v>68.316831683168317</v>
      </c>
      <c r="C6" s="381">
        <v>138</v>
      </c>
      <c r="D6" s="381">
        <v>5</v>
      </c>
      <c r="E6" s="381">
        <f t="shared" si="1"/>
        <v>70.792079207920793</v>
      </c>
      <c r="F6" s="382">
        <v>428</v>
      </c>
      <c r="G6" s="382">
        <f t="shared" si="2"/>
        <v>143</v>
      </c>
      <c r="H6" s="383">
        <f t="shared" si="3"/>
        <v>68.316831683168317</v>
      </c>
      <c r="I6" s="384"/>
      <c r="J6" s="383">
        <f>'Section Load'!C9/G6</f>
        <v>189.63636363636363</v>
      </c>
    </row>
    <row r="7" spans="1:17">
      <c r="A7" s="248">
        <v>6</v>
      </c>
      <c r="B7" s="381">
        <f t="shared" si="0"/>
        <v>67.32673267326733</v>
      </c>
      <c r="C7" s="381">
        <v>136</v>
      </c>
      <c r="D7" s="381">
        <v>2</v>
      </c>
      <c r="E7" s="381">
        <f t="shared" si="1"/>
        <v>68.316831683168317</v>
      </c>
      <c r="F7" s="382">
        <v>596</v>
      </c>
      <c r="G7" s="382">
        <f t="shared" si="2"/>
        <v>138</v>
      </c>
      <c r="H7" s="383">
        <f t="shared" si="3"/>
        <v>67.32673267326733</v>
      </c>
      <c r="I7" s="384"/>
      <c r="J7" s="383">
        <f>'Section Load'!C10/G7</f>
        <v>189.53623188405797</v>
      </c>
    </row>
    <row r="8" spans="1:17">
      <c r="A8" s="248">
        <v>7</v>
      </c>
      <c r="B8" s="381">
        <f t="shared" si="0"/>
        <v>60.396039603960396</v>
      </c>
      <c r="C8" s="381">
        <v>122</v>
      </c>
      <c r="D8" s="381">
        <v>3</v>
      </c>
      <c r="E8" s="381">
        <f t="shared" si="1"/>
        <v>61.881188118811878</v>
      </c>
      <c r="F8" s="382">
        <v>315</v>
      </c>
      <c r="G8" s="382">
        <f t="shared" si="2"/>
        <v>125</v>
      </c>
      <c r="H8" s="383">
        <f t="shared" si="3"/>
        <v>60.396039603960396</v>
      </c>
      <c r="I8" s="384"/>
      <c r="J8" s="383">
        <f>'Section Load'!C11/G8</f>
        <v>207.33600000000001</v>
      </c>
      <c r="K8" s="533"/>
    </row>
    <row r="9" spans="1:17">
      <c r="A9" s="248">
        <v>8</v>
      </c>
      <c r="B9" s="381">
        <f t="shared" si="0"/>
        <v>66.336633663366342</v>
      </c>
      <c r="C9" s="381">
        <v>134</v>
      </c>
      <c r="D9" s="381">
        <v>6</v>
      </c>
      <c r="E9" s="381">
        <f t="shared" si="1"/>
        <v>69.306930693069305</v>
      </c>
      <c r="F9" s="382">
        <v>361</v>
      </c>
      <c r="G9" s="382">
        <f t="shared" si="2"/>
        <v>140</v>
      </c>
      <c r="H9" s="383">
        <f t="shared" si="3"/>
        <v>66.336633663366342</v>
      </c>
      <c r="I9" s="384"/>
      <c r="J9" s="383">
        <f>'Section Load'!C12/G9</f>
        <v>194.42878571428591</v>
      </c>
    </row>
    <row r="10" spans="1:17">
      <c r="A10" s="248">
        <v>9</v>
      </c>
      <c r="B10" s="381">
        <f t="shared" si="0"/>
        <v>58.910891089108908</v>
      </c>
      <c r="C10" s="381">
        <v>119</v>
      </c>
      <c r="D10" s="381">
        <v>6</v>
      </c>
      <c r="E10" s="381">
        <f t="shared" si="1"/>
        <v>61.881188118811878</v>
      </c>
      <c r="F10" s="382">
        <v>667</v>
      </c>
      <c r="G10" s="382">
        <f t="shared" si="2"/>
        <v>125</v>
      </c>
      <c r="H10" s="383">
        <f t="shared" si="3"/>
        <v>58.910891089108908</v>
      </c>
      <c r="I10" s="384"/>
      <c r="J10" s="383">
        <f>'Section Load'!C13/G10</f>
        <v>217.59424000000021</v>
      </c>
      <c r="K10" s="750"/>
      <c r="L10" s="750"/>
    </row>
    <row r="11" spans="1:17">
      <c r="A11" s="248">
        <v>10</v>
      </c>
      <c r="B11" s="381">
        <f t="shared" si="0"/>
        <v>48.019801980198018</v>
      </c>
      <c r="C11" s="381">
        <v>97</v>
      </c>
      <c r="D11" s="381">
        <v>5</v>
      </c>
      <c r="E11" s="381">
        <f t="shared" si="1"/>
        <v>50.495049504950494</v>
      </c>
      <c r="F11" s="382">
        <v>795</v>
      </c>
      <c r="G11" s="382">
        <f t="shared" si="2"/>
        <v>102</v>
      </c>
      <c r="H11" s="383">
        <f t="shared" si="3"/>
        <v>48.019801980198018</v>
      </c>
      <c r="I11" s="384"/>
      <c r="J11" s="383">
        <f>'Section Load'!C14/G11</f>
        <v>269.77333333333223</v>
      </c>
      <c r="K11" s="750"/>
      <c r="L11" s="750"/>
    </row>
    <row r="12" spans="1:17">
      <c r="A12" s="248">
        <v>11</v>
      </c>
      <c r="B12" s="381">
        <f t="shared" si="0"/>
        <v>46.039603960396036</v>
      </c>
      <c r="C12" s="381">
        <v>93</v>
      </c>
      <c r="D12" s="381">
        <v>3</v>
      </c>
      <c r="E12" s="381">
        <f t="shared" si="1"/>
        <v>47.524752475247524</v>
      </c>
      <c r="F12" s="382">
        <v>363</v>
      </c>
      <c r="G12" s="382">
        <f t="shared" si="2"/>
        <v>96</v>
      </c>
      <c r="H12" s="383">
        <f t="shared" si="3"/>
        <v>46.039603960396036</v>
      </c>
      <c r="I12" s="384"/>
      <c r="J12" s="383">
        <f>'Section Load'!C15/G12</f>
        <v>268.44593750000058</v>
      </c>
      <c r="K12" s="750"/>
      <c r="L12" s="750"/>
    </row>
    <row r="13" spans="1:17">
      <c r="A13" s="248">
        <v>12</v>
      </c>
      <c r="B13" s="381">
        <f>C14/202%</f>
        <v>60.89108910891089</v>
      </c>
      <c r="D13" s="381"/>
      <c r="E13" s="381">
        <f>(C14+D13)/202%</f>
        <v>60.89108910891089</v>
      </c>
      <c r="F13" s="381"/>
      <c r="G13" s="382">
        <f>C14+D13</f>
        <v>123</v>
      </c>
      <c r="H13" s="383">
        <f>C14/202%</f>
        <v>60.89108910891089</v>
      </c>
      <c r="I13" s="384"/>
      <c r="J13" s="383">
        <f>'Section Load'!C16/G13</f>
        <v>215.44715447154471</v>
      </c>
    </row>
    <row r="14" spans="1:17">
      <c r="A14" s="248">
        <v>13</v>
      </c>
      <c r="B14" s="381">
        <f>C15/202%</f>
        <v>59.405940594059409</v>
      </c>
      <c r="C14" s="381">
        <v>123</v>
      </c>
      <c r="D14" s="381">
        <v>4</v>
      </c>
      <c r="E14" s="381">
        <f>(C15+D14)/202%</f>
        <v>61.386138613861384</v>
      </c>
      <c r="F14" s="381">
        <v>575</v>
      </c>
      <c r="G14" s="382">
        <f>C15+D14</f>
        <v>124</v>
      </c>
      <c r="H14" s="383">
        <f>C15/202%</f>
        <v>59.405940594059409</v>
      </c>
      <c r="I14" s="384"/>
      <c r="J14" s="383">
        <f>'Section Load'!C17/G14</f>
        <v>213.70967741935485</v>
      </c>
    </row>
    <row r="15" spans="1:17">
      <c r="A15" s="248">
        <v>14</v>
      </c>
      <c r="B15" s="381">
        <f>C16/202%</f>
        <v>48.019801980198018</v>
      </c>
      <c r="C15" s="381">
        <v>120</v>
      </c>
      <c r="D15" s="381">
        <v>3</v>
      </c>
      <c r="E15" s="381">
        <f>(C16+D15)/202%</f>
        <v>49.504950495049506</v>
      </c>
      <c r="F15" s="381">
        <v>390</v>
      </c>
      <c r="G15" s="382">
        <f>C16+D15</f>
        <v>100</v>
      </c>
      <c r="H15" s="383">
        <f>C16/202%</f>
        <v>48.019801980198018</v>
      </c>
      <c r="I15" s="384"/>
      <c r="J15" s="383">
        <f>'Section Load'!C18/G15</f>
        <v>265</v>
      </c>
    </row>
    <row r="16" spans="1:17">
      <c r="A16" s="248">
        <v>15</v>
      </c>
      <c r="B16" s="381">
        <f>C17/202%</f>
        <v>53.960396039603957</v>
      </c>
      <c r="C16" s="381">
        <v>97</v>
      </c>
      <c r="D16" s="381">
        <v>3</v>
      </c>
      <c r="E16" s="381">
        <f>(C17+D16)/202%</f>
        <v>55.445544554455445</v>
      </c>
      <c r="F16" s="381">
        <v>326</v>
      </c>
      <c r="G16" s="382">
        <f>C17+D16</f>
        <v>112</v>
      </c>
      <c r="H16" s="383" t="e">
        <f>#REF!/202%</f>
        <v>#REF!</v>
      </c>
      <c r="I16" s="384"/>
      <c r="J16" s="383">
        <f>'Section Load'!C19/G16</f>
        <v>204.16071428571428</v>
      </c>
    </row>
    <row r="17" spans="1:10">
      <c r="A17" s="248">
        <v>16</v>
      </c>
      <c r="B17" s="381">
        <f t="shared" si="0"/>
        <v>53.960396039603957</v>
      </c>
      <c r="C17" s="381">
        <v>109</v>
      </c>
      <c r="D17" s="381">
        <v>3</v>
      </c>
      <c r="E17" s="381">
        <f t="shared" si="1"/>
        <v>55.445544554455445</v>
      </c>
      <c r="F17" s="381">
        <v>561</v>
      </c>
      <c r="G17" s="382">
        <f t="shared" si="2"/>
        <v>112</v>
      </c>
      <c r="H17" s="383">
        <f t="shared" si="3"/>
        <v>53.960396039603957</v>
      </c>
      <c r="I17" s="384"/>
      <c r="J17" s="383">
        <f>'Section Load'!C20/G17</f>
        <v>246.6875</v>
      </c>
    </row>
    <row r="18" spans="1:10">
      <c r="A18" s="248">
        <v>17</v>
      </c>
      <c r="B18" s="381">
        <f t="shared" si="0"/>
        <v>55.445544554455445</v>
      </c>
      <c r="C18" s="381">
        <v>112</v>
      </c>
      <c r="D18" s="381">
        <v>3</v>
      </c>
      <c r="E18" s="381">
        <f t="shared" si="1"/>
        <v>56.930693069306933</v>
      </c>
      <c r="F18" s="381">
        <v>555</v>
      </c>
      <c r="G18" s="382">
        <f t="shared" si="2"/>
        <v>115</v>
      </c>
      <c r="H18" s="383">
        <f t="shared" si="3"/>
        <v>55.445544554455445</v>
      </c>
      <c r="I18" s="384"/>
      <c r="J18" s="383">
        <f>'Section Load'!C21/G18</f>
        <v>232.59130434782608</v>
      </c>
    </row>
    <row r="19" spans="1:10">
      <c r="A19" s="248">
        <v>18</v>
      </c>
      <c r="B19" s="381">
        <f t="shared" si="0"/>
        <v>51.485148514851488</v>
      </c>
      <c r="C19" s="385">
        <v>104</v>
      </c>
      <c r="D19" s="385">
        <v>5</v>
      </c>
      <c r="E19" s="381">
        <f t="shared" si="1"/>
        <v>53.960396039603957</v>
      </c>
      <c r="F19" s="385">
        <v>450</v>
      </c>
      <c r="G19" s="382">
        <f t="shared" si="2"/>
        <v>109</v>
      </c>
      <c r="H19" s="383">
        <f t="shared" si="3"/>
        <v>51.485148514851488</v>
      </c>
      <c r="I19" s="384"/>
      <c r="J19" s="383">
        <f>'Section Load'!C22/G19</f>
        <v>227.21100917431193</v>
      </c>
    </row>
    <row r="20" spans="1:10">
      <c r="A20" s="248">
        <v>19</v>
      </c>
      <c r="B20" s="381">
        <f t="shared" si="0"/>
        <v>0</v>
      </c>
      <c r="C20" s="381"/>
      <c r="D20" s="381"/>
      <c r="E20" s="381">
        <f t="shared" si="1"/>
        <v>0</v>
      </c>
      <c r="F20" s="381"/>
      <c r="G20" s="382">
        <f t="shared" si="2"/>
        <v>0</v>
      </c>
      <c r="H20" s="383">
        <f t="shared" si="3"/>
        <v>0</v>
      </c>
      <c r="I20" s="384"/>
      <c r="J20" s="383" t="e">
        <f>'Section Load'!C23/G20</f>
        <v>#DIV/0!</v>
      </c>
    </row>
    <row r="21" spans="1:10">
      <c r="A21" s="248">
        <v>20</v>
      </c>
      <c r="B21" s="381">
        <f t="shared" si="0"/>
        <v>54.950495049504951</v>
      </c>
      <c r="C21" s="381">
        <v>111</v>
      </c>
      <c r="D21" s="381">
        <v>3</v>
      </c>
      <c r="E21" s="381">
        <f t="shared" si="1"/>
        <v>56.435643564356432</v>
      </c>
      <c r="F21" s="381">
        <v>408</v>
      </c>
      <c r="G21" s="382">
        <f t="shared" si="2"/>
        <v>114</v>
      </c>
      <c r="H21" s="383">
        <f t="shared" si="3"/>
        <v>54.950495049504951</v>
      </c>
      <c r="I21" s="384"/>
      <c r="J21" s="383">
        <f>'Section Load'!C24/G21</f>
        <v>227.86842105263159</v>
      </c>
    </row>
    <row r="22" spans="1:10">
      <c r="A22" s="248">
        <v>21</v>
      </c>
      <c r="B22" s="381">
        <f t="shared" si="0"/>
        <v>45.544554455445542</v>
      </c>
      <c r="C22" s="381">
        <v>92</v>
      </c>
      <c r="D22" s="381">
        <v>2</v>
      </c>
      <c r="E22" s="381">
        <f t="shared" si="1"/>
        <v>46.534653465346537</v>
      </c>
      <c r="F22" s="381">
        <v>238</v>
      </c>
      <c r="G22" s="382">
        <f t="shared" si="2"/>
        <v>94</v>
      </c>
      <c r="H22" s="383">
        <f t="shared" si="3"/>
        <v>45.544554455445542</v>
      </c>
      <c r="I22" s="384"/>
      <c r="J22" s="383">
        <f>'Section Load'!C25/G22</f>
        <v>259.89361702127661</v>
      </c>
    </row>
    <row r="23" spans="1:10">
      <c r="A23" s="248">
        <v>22</v>
      </c>
      <c r="B23" s="381">
        <v>83</v>
      </c>
      <c r="C23" s="381">
        <v>108</v>
      </c>
      <c r="D23" s="381">
        <v>2</v>
      </c>
      <c r="E23" s="381">
        <f t="shared" si="1"/>
        <v>54.455445544554458</v>
      </c>
      <c r="F23" s="381">
        <v>325</v>
      </c>
      <c r="G23" s="382">
        <f t="shared" si="2"/>
        <v>110</v>
      </c>
      <c r="H23" s="383">
        <f t="shared" si="3"/>
        <v>53.465346534653463</v>
      </c>
      <c r="I23" s="384"/>
      <c r="J23" s="383">
        <f>'Section Load'!C26/G23</f>
        <v>214.33636363636364</v>
      </c>
    </row>
    <row r="24" spans="1:10">
      <c r="A24" s="248">
        <v>23</v>
      </c>
      <c r="B24" s="381">
        <v>98</v>
      </c>
      <c r="C24" s="381">
        <v>109</v>
      </c>
      <c r="D24" s="381">
        <v>2</v>
      </c>
      <c r="E24" s="381">
        <f t="shared" si="1"/>
        <v>54.950495049504951</v>
      </c>
      <c r="F24" s="381">
        <v>329</v>
      </c>
      <c r="G24" s="382">
        <f t="shared" si="2"/>
        <v>111</v>
      </c>
      <c r="H24" s="383">
        <f t="shared" si="3"/>
        <v>53.960396039603957</v>
      </c>
      <c r="I24" s="384"/>
      <c r="J24" s="383">
        <f>'Section Load'!C27/G24</f>
        <v>214.04504504504504</v>
      </c>
    </row>
    <row r="25" spans="1:10">
      <c r="A25" s="248">
        <v>24</v>
      </c>
      <c r="B25" s="381">
        <f t="shared" si="0"/>
        <v>50.495049504950494</v>
      </c>
      <c r="C25" s="381">
        <v>102</v>
      </c>
      <c r="D25" s="381">
        <v>1</v>
      </c>
      <c r="E25" s="381">
        <f t="shared" si="1"/>
        <v>50.990099009900987</v>
      </c>
      <c r="F25" s="381">
        <v>297</v>
      </c>
      <c r="G25" s="382">
        <f t="shared" si="2"/>
        <v>103</v>
      </c>
      <c r="H25" s="383">
        <f t="shared" si="3"/>
        <v>50.495049504950494</v>
      </c>
      <c r="I25" s="384"/>
      <c r="J25" s="383">
        <f>'Section Load'!C28/G25</f>
        <v>231.1846601941748</v>
      </c>
    </row>
    <row r="26" spans="1:10">
      <c r="A26" s="248">
        <v>25</v>
      </c>
      <c r="B26" s="381">
        <f t="shared" si="0"/>
        <v>52.475247524752476</v>
      </c>
      <c r="C26" s="381">
        <v>106</v>
      </c>
      <c r="D26" s="381">
        <v>5</v>
      </c>
      <c r="E26" s="381">
        <f t="shared" si="1"/>
        <v>54.950495049504951</v>
      </c>
      <c r="F26" s="381">
        <v>382</v>
      </c>
      <c r="G26" s="382">
        <f t="shared" si="2"/>
        <v>111</v>
      </c>
      <c r="H26" s="383">
        <f t="shared" si="3"/>
        <v>52.475247524752476</v>
      </c>
      <c r="I26" s="384"/>
      <c r="J26" s="383">
        <f>'Section Load'!C29/G26</f>
        <v>244.15090090090078</v>
      </c>
    </row>
    <row r="27" spans="1:10">
      <c r="A27" s="248">
        <v>26</v>
      </c>
      <c r="B27" s="381">
        <f t="shared" si="0"/>
        <v>0</v>
      </c>
      <c r="C27" s="381"/>
      <c r="D27" s="381"/>
      <c r="E27" s="381">
        <f t="shared" si="1"/>
        <v>0</v>
      </c>
      <c r="F27" s="381"/>
      <c r="G27" s="382">
        <f t="shared" si="2"/>
        <v>0</v>
      </c>
      <c r="H27" s="383">
        <f t="shared" si="3"/>
        <v>0</v>
      </c>
      <c r="I27" s="384"/>
      <c r="J27" s="383" t="e">
        <f>'Section Load'!C30/G27</f>
        <v>#DIV/0!</v>
      </c>
    </row>
    <row r="28" spans="1:10">
      <c r="A28" s="248">
        <v>27</v>
      </c>
      <c r="B28" s="381">
        <f t="shared" si="0"/>
        <v>43.564356435643568</v>
      </c>
      <c r="C28" s="381">
        <v>88</v>
      </c>
      <c r="D28" s="381">
        <v>6</v>
      </c>
      <c r="E28" s="381">
        <f t="shared" si="1"/>
        <v>46.534653465346537</v>
      </c>
      <c r="F28" s="381">
        <v>337</v>
      </c>
      <c r="G28" s="382">
        <f t="shared" si="2"/>
        <v>94</v>
      </c>
      <c r="H28" s="383">
        <f t="shared" si="3"/>
        <v>43.564356435643568</v>
      </c>
      <c r="I28" s="384"/>
      <c r="J28" s="383">
        <f>'Section Load'!C31/G28</f>
        <v>262.94755319148942</v>
      </c>
    </row>
    <row r="29" spans="1:10">
      <c r="A29" s="248">
        <v>28</v>
      </c>
      <c r="B29" s="381">
        <f t="shared" si="0"/>
        <v>34.653465346534652</v>
      </c>
      <c r="C29" s="381">
        <v>70</v>
      </c>
      <c r="D29" s="381">
        <v>5</v>
      </c>
      <c r="E29" s="381">
        <f t="shared" si="1"/>
        <v>37.128712871287128</v>
      </c>
      <c r="F29" s="381">
        <v>254</v>
      </c>
      <c r="G29" s="382">
        <f t="shared" si="2"/>
        <v>75</v>
      </c>
      <c r="H29" s="383">
        <f t="shared" si="3"/>
        <v>34.653465346534652</v>
      </c>
      <c r="I29" s="384"/>
      <c r="J29" s="383">
        <f>'Section Load'!C32/G29</f>
        <v>292.68</v>
      </c>
    </row>
    <row r="30" spans="1:10">
      <c r="A30" s="248">
        <v>29</v>
      </c>
      <c r="B30" s="381">
        <f>C30/202%</f>
        <v>41.089108910891092</v>
      </c>
      <c r="C30" s="381">
        <v>83</v>
      </c>
      <c r="D30" s="381">
        <v>8</v>
      </c>
      <c r="E30" s="381">
        <f t="shared" si="1"/>
        <v>45.049504950495049</v>
      </c>
      <c r="F30" s="381">
        <v>301</v>
      </c>
      <c r="G30" s="382">
        <f t="shared" si="2"/>
        <v>91</v>
      </c>
      <c r="H30" s="383">
        <f>C30/202%</f>
        <v>41.089108910891092</v>
      </c>
      <c r="I30" s="384"/>
      <c r="J30" s="383">
        <f>'Section Load'!C33/G30</f>
        <v>260.71428571428572</v>
      </c>
    </row>
    <row r="31" spans="1:10">
      <c r="A31" s="248">
        <v>30</v>
      </c>
      <c r="B31" s="381">
        <f t="shared" si="0"/>
        <v>33.663366336633665</v>
      </c>
      <c r="C31" s="381">
        <v>68</v>
      </c>
      <c r="D31" s="381">
        <v>10</v>
      </c>
      <c r="E31" s="381">
        <f t="shared" si="1"/>
        <v>38.613861386138616</v>
      </c>
      <c r="F31" s="381">
        <v>291</v>
      </c>
      <c r="G31" s="386">
        <f t="shared" si="2"/>
        <v>78</v>
      </c>
      <c r="H31" s="383">
        <f t="shared" si="3"/>
        <v>33.663366336633665</v>
      </c>
      <c r="I31" s="384"/>
      <c r="J31" s="383">
        <f>'Section Load'!C34/G31</f>
        <v>307.78205128205127</v>
      </c>
    </row>
    <row r="32" spans="1:10">
      <c r="A32" s="248">
        <v>31</v>
      </c>
      <c r="B32" s="381">
        <f t="shared" si="0"/>
        <v>0</v>
      </c>
      <c r="C32" s="381"/>
      <c r="D32" s="381"/>
      <c r="E32" s="381">
        <f t="shared" si="1"/>
        <v>0</v>
      </c>
      <c r="F32" s="381"/>
      <c r="G32" s="386"/>
      <c r="H32" s="383">
        <f t="shared" si="3"/>
        <v>0</v>
      </c>
      <c r="I32" s="384"/>
      <c r="J32" s="383" t="e">
        <f>'Section Load'!C35/G32</f>
        <v>#DIV/0!</v>
      </c>
    </row>
    <row r="33" spans="1:8">
      <c r="A33" t="s">
        <v>316</v>
      </c>
      <c r="B33" s="275">
        <f>AVERAGE(B2:B31)</f>
        <v>53.195049504950489</v>
      </c>
      <c r="C33" s="275">
        <v>154</v>
      </c>
      <c r="D33" s="275">
        <f t="shared" ref="D33:H33" si="4">AVERAGE(D2:D31)</f>
        <v>3.925925925925926</v>
      </c>
      <c r="E33" s="275">
        <f t="shared" si="4"/>
        <v>52.491749174917494</v>
      </c>
      <c r="F33" s="275">
        <f t="shared" si="4"/>
        <v>427.18518518518516</v>
      </c>
      <c r="G33" s="275">
        <f t="shared" si="4"/>
        <v>106.03333333333333</v>
      </c>
      <c r="H33" s="275" t="e">
        <f t="shared" si="4"/>
        <v>#REF!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P11" sqref="P11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1" width="3.77734375" customWidth="1"/>
    <col min="12" max="12" width="4.21875" customWidth="1"/>
    <col min="13" max="13" width="4.109375" customWidth="1"/>
    <col min="14" max="14" width="3.77734375" customWidth="1"/>
    <col min="15" max="15" width="4.5546875" customWidth="1"/>
    <col min="16" max="28" width="3.77734375" customWidth="1"/>
    <col min="29" max="29" width="5.21875" customWidth="1"/>
    <col min="30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57.920792079207921</v>
      </c>
      <c r="E4" s="91">
        <f>Occupancy!B3</f>
        <v>63.366336633663366</v>
      </c>
      <c r="F4" s="91">
        <f>Occupancy!C3</f>
        <v>128</v>
      </c>
      <c r="G4" s="91">
        <f>Occupancy!D3</f>
        <v>2</v>
      </c>
      <c r="H4" s="91">
        <f>Occupancy!E3</f>
        <v>64.356435643564353</v>
      </c>
      <c r="I4" s="91">
        <f>Occupancy!F3</f>
        <v>406</v>
      </c>
      <c r="J4" s="91">
        <f>Occupancy!G3</f>
        <v>130</v>
      </c>
      <c r="K4" s="91">
        <f>Occupancy!H3</f>
        <v>63.366336633663366</v>
      </c>
      <c r="L4" s="91">
        <f>Occupancy!I3</f>
        <v>0</v>
      </c>
      <c r="M4" s="91">
        <f>Occupancy!J3</f>
        <v>198.80769230769232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130</v>
      </c>
      <c r="E5" s="91">
        <f>'2'!G18</f>
        <v>180</v>
      </c>
      <c r="F5" s="91">
        <f>'3'!G18</f>
        <v>100</v>
      </c>
      <c r="G5" s="91">
        <f>'4'!G18</f>
        <v>130</v>
      </c>
      <c r="H5" s="91">
        <f>'5'!G18</f>
        <v>140</v>
      </c>
      <c r="I5" s="91">
        <f>'6'!G18</f>
        <v>200</v>
      </c>
      <c r="J5" s="91">
        <f>'7'!G18</f>
        <v>240</v>
      </c>
      <c r="K5" s="91">
        <f>'8'!G18</f>
        <v>160</v>
      </c>
      <c r="L5" s="91">
        <f>'9'!G18</f>
        <v>30</v>
      </c>
      <c r="M5" s="91">
        <f>'10'!G18</f>
        <v>170</v>
      </c>
      <c r="N5" s="91">
        <f>'11'!G18</f>
        <v>130</v>
      </c>
      <c r="O5" s="91">
        <f>'12'!G18</f>
        <v>160</v>
      </c>
      <c r="P5" s="91">
        <f>'13'!G18</f>
        <v>160</v>
      </c>
      <c r="Q5" s="91">
        <f>'14'!G18</f>
        <v>200</v>
      </c>
      <c r="R5" s="91">
        <f>'15'!G18</f>
        <v>250</v>
      </c>
      <c r="S5" s="91">
        <f>'16'!G18</f>
        <v>90</v>
      </c>
      <c r="T5" s="91">
        <f>'17'!G18</f>
        <v>240</v>
      </c>
      <c r="U5" s="91">
        <f>'18 '!G18</f>
        <v>150</v>
      </c>
      <c r="V5" s="91">
        <f>'19'!G18</f>
        <v>100</v>
      </c>
      <c r="W5" s="91">
        <f>'20'!G18</f>
        <v>190</v>
      </c>
      <c r="X5" s="91">
        <f>'21'!G18</f>
        <v>140</v>
      </c>
      <c r="Y5" s="91">
        <f>'22'!G18</f>
        <v>130</v>
      </c>
      <c r="Z5" s="91">
        <f>'23'!G18</f>
        <v>160</v>
      </c>
      <c r="AA5" s="91">
        <f>'24'!G18</f>
        <v>250</v>
      </c>
      <c r="AB5" s="91">
        <f>'25'!G18</f>
        <v>80</v>
      </c>
      <c r="AC5" s="91">
        <f>'26'!G18</f>
        <v>220</v>
      </c>
      <c r="AD5" s="91">
        <f>'27'!G18</f>
        <v>220</v>
      </c>
      <c r="AE5" s="91">
        <f>'28'!G18</f>
        <v>190</v>
      </c>
      <c r="AF5" s="91">
        <f>'29'!G18</f>
        <v>170</v>
      </c>
      <c r="AG5" s="91">
        <f>'30'!G18</f>
        <v>150</v>
      </c>
      <c r="AH5" s="91">
        <f>'31'!G18</f>
        <v>130</v>
      </c>
      <c r="AI5" s="90"/>
    </row>
    <row r="6" spans="2:35">
      <c r="B6" s="93"/>
      <c r="C6" s="90" t="s">
        <v>69</v>
      </c>
      <c r="D6" s="91">
        <f>'1'!G19</f>
        <v>52</v>
      </c>
      <c r="E6" s="91">
        <f>'2'!G19</f>
        <v>51</v>
      </c>
      <c r="F6" s="91">
        <f>'3'!G19</f>
        <v>55</v>
      </c>
      <c r="G6" s="91">
        <f>'4'!G19</f>
        <v>53</v>
      </c>
      <c r="H6" s="91">
        <f>'5'!G19</f>
        <v>52</v>
      </c>
      <c r="I6" s="91">
        <f>'6'!G19</f>
        <v>47</v>
      </c>
      <c r="J6" s="91">
        <f>'7'!G19</f>
        <v>47</v>
      </c>
      <c r="K6" s="91">
        <f>'8'!G19</f>
        <v>52</v>
      </c>
      <c r="L6" s="91">
        <f>'9'!G19</f>
        <v>54</v>
      </c>
      <c r="M6" s="91">
        <f>'10'!G19</f>
        <v>50</v>
      </c>
      <c r="N6" s="91">
        <f>'11'!G19</f>
        <v>50</v>
      </c>
      <c r="O6" s="91">
        <f>'12'!G19</f>
        <v>45</v>
      </c>
      <c r="P6" s="91">
        <f>'13'!G19</f>
        <v>50</v>
      </c>
      <c r="Q6" s="91">
        <f>'14'!G19</f>
        <v>48</v>
      </c>
      <c r="R6" s="91">
        <f>'15'!G19</f>
        <v>50</v>
      </c>
      <c r="S6" s="91">
        <f>'16'!G19</f>
        <v>52</v>
      </c>
      <c r="T6" s="91">
        <f>'17'!G19</f>
        <v>49</v>
      </c>
      <c r="U6" s="91">
        <f>'18 '!G19</f>
        <v>49</v>
      </c>
      <c r="V6" s="91">
        <f>'19'!G19</f>
        <v>51</v>
      </c>
      <c r="W6" s="91">
        <f>'20'!G19</f>
        <v>51</v>
      </c>
      <c r="X6" s="91">
        <f>'21'!G19</f>
        <v>51</v>
      </c>
      <c r="Y6" s="91">
        <f>'22'!G19</f>
        <v>51</v>
      </c>
      <c r="Z6" s="91">
        <f>'23'!G19</f>
        <v>49</v>
      </c>
      <c r="AA6" s="91">
        <f>'24'!G19</f>
        <v>47</v>
      </c>
      <c r="AB6" s="91">
        <f>'25'!G19</f>
        <v>49</v>
      </c>
      <c r="AC6" s="91">
        <f>'26'!G19</f>
        <v>50</v>
      </c>
      <c r="AD6" s="91">
        <f>'27'!G19</f>
        <v>50</v>
      </c>
      <c r="AE6" s="91">
        <f>'28'!G19</f>
        <v>50</v>
      </c>
      <c r="AF6" s="91">
        <f>'29'!G19</f>
        <v>50</v>
      </c>
      <c r="AG6" s="91">
        <f>'30'!G19</f>
        <v>50</v>
      </c>
      <c r="AH6" s="91">
        <f>'31'!G19</f>
        <v>51</v>
      </c>
      <c r="AI6" s="90"/>
    </row>
    <row r="7" spans="2:35">
      <c r="B7" s="93"/>
      <c r="C7" s="90" t="s">
        <v>70</v>
      </c>
      <c r="D7" s="91">
        <f>'1'!G62</f>
        <v>97</v>
      </c>
      <c r="E7" s="91">
        <f>'2'!G62</f>
        <v>97</v>
      </c>
      <c r="F7" s="91">
        <f>'3'!G62</f>
        <v>101</v>
      </c>
      <c r="G7" s="91">
        <f>'4'!G62</f>
        <v>95</v>
      </c>
      <c r="H7" s="91">
        <f>'5'!G62</f>
        <v>106</v>
      </c>
      <c r="I7" s="91">
        <f>'6'!G62</f>
        <v>130</v>
      </c>
      <c r="J7" s="91">
        <f>'7'!G62</f>
        <v>144</v>
      </c>
      <c r="K7" s="91">
        <f>'8'!G62</f>
        <v>125</v>
      </c>
      <c r="L7" s="91">
        <f>'9'!G62</f>
        <v>118</v>
      </c>
      <c r="M7" s="91">
        <f>'10'!G62</f>
        <v>113</v>
      </c>
      <c r="N7" s="91">
        <f>'11'!G62</f>
        <v>96</v>
      </c>
      <c r="O7" s="91">
        <f>'12'!G62</f>
        <v>106</v>
      </c>
      <c r="P7" s="91">
        <f>'13'!G62</f>
        <v>117</v>
      </c>
      <c r="Q7" s="91">
        <f>'14'!G62</f>
        <v>125</v>
      </c>
      <c r="R7" s="91">
        <f>'15'!G62</f>
        <v>111</v>
      </c>
      <c r="S7" s="91">
        <f>'16'!G62</f>
        <v>92</v>
      </c>
      <c r="T7" s="91">
        <f>'17'!G62</f>
        <v>95</v>
      </c>
      <c r="U7" s="91">
        <f>'18 '!G62</f>
        <v>95</v>
      </c>
      <c r="V7" s="91">
        <f>'19'!G62</f>
        <v>98</v>
      </c>
      <c r="W7" s="91">
        <f>'20'!G62</f>
        <v>105</v>
      </c>
      <c r="X7" s="91">
        <f>'21'!G62</f>
        <v>90</v>
      </c>
      <c r="Y7" s="91">
        <f>'22'!G62</f>
        <v>104</v>
      </c>
      <c r="Z7" s="91">
        <f>'23'!G62</f>
        <v>116</v>
      </c>
      <c r="AA7" s="91">
        <f>'24'!G62</f>
        <v>132</v>
      </c>
      <c r="AB7" s="91">
        <f>'25'!G62</f>
        <v>88</v>
      </c>
      <c r="AC7" s="91">
        <f>'26'!G62</f>
        <v>105</v>
      </c>
      <c r="AD7" s="91">
        <f>'27'!G62</f>
        <v>97</v>
      </c>
      <c r="AE7" s="91">
        <f>'28'!G62</f>
        <v>89</v>
      </c>
      <c r="AF7" s="91">
        <f>'29'!G62</f>
        <v>73</v>
      </c>
      <c r="AG7" s="91">
        <f>'30'!G62</f>
        <v>74</v>
      </c>
      <c r="AH7" s="91">
        <f>'31'!G62</f>
        <v>64</v>
      </c>
      <c r="AI7" s="90"/>
    </row>
    <row r="8" spans="2:35">
      <c r="B8" s="93"/>
      <c r="C8" s="90" t="s">
        <v>299</v>
      </c>
      <c r="D8" s="91">
        <f>'1'!G63</f>
        <v>177</v>
      </c>
      <c r="E8" s="91">
        <f>'2'!G63</f>
        <v>147</v>
      </c>
      <c r="F8" s="91">
        <f>'3'!G63</f>
        <v>116</v>
      </c>
      <c r="G8" s="91">
        <f>'4'!G63</f>
        <v>144</v>
      </c>
      <c r="H8" s="91">
        <f>'5'!G63</f>
        <v>137</v>
      </c>
      <c r="I8" s="91">
        <f>'6'!G63</f>
        <v>98</v>
      </c>
      <c r="J8" s="91">
        <f>'7'!G63</f>
        <v>106</v>
      </c>
      <c r="K8" s="91">
        <f>'8'!G63</f>
        <v>78</v>
      </c>
      <c r="L8" s="91">
        <f>'9'!G63</f>
        <v>86</v>
      </c>
      <c r="M8" s="91">
        <f>'10'!G63</f>
        <v>165</v>
      </c>
      <c r="N8" s="91">
        <f>'11'!G63</f>
        <v>123</v>
      </c>
      <c r="O8" s="91">
        <f>'12'!G63</f>
        <v>120</v>
      </c>
      <c r="P8" s="91">
        <f>'13'!G63</f>
        <v>135</v>
      </c>
      <c r="Q8" s="91">
        <f>'14'!G63</f>
        <v>139</v>
      </c>
      <c r="R8" s="91">
        <f>'15'!G63</f>
        <v>108</v>
      </c>
      <c r="S8" s="91">
        <f>'16'!G63</f>
        <v>135</v>
      </c>
      <c r="T8" s="91">
        <f>'17'!G63</f>
        <v>108</v>
      </c>
      <c r="U8" s="91">
        <f>'18 '!G63</f>
        <v>95</v>
      </c>
      <c r="V8" s="91">
        <f>'19'!G63</f>
        <v>102</v>
      </c>
      <c r="W8" s="91">
        <f>'20'!G63</f>
        <v>112</v>
      </c>
      <c r="X8" s="91">
        <f>'21'!G63</f>
        <v>57</v>
      </c>
      <c r="Y8" s="91">
        <f>'22'!G63</f>
        <v>101</v>
      </c>
      <c r="Z8" s="91">
        <f>'23'!G63</f>
        <v>86</v>
      </c>
      <c r="AA8" s="91">
        <f>'24'!G63</f>
        <v>52</v>
      </c>
      <c r="AB8" s="91">
        <f>'25'!G63</f>
        <v>112</v>
      </c>
      <c r="AC8" s="91">
        <f>'26'!G63</f>
        <v>115</v>
      </c>
      <c r="AD8" s="91">
        <f>'27'!G63</f>
        <v>95</v>
      </c>
      <c r="AE8" s="91">
        <f>'28'!G63</f>
        <v>105</v>
      </c>
      <c r="AF8" s="91">
        <f>'29'!G63</f>
        <v>105</v>
      </c>
      <c r="AG8" s="91">
        <f>'30'!G63</f>
        <v>95</v>
      </c>
      <c r="AH8" s="91">
        <f>'31'!G63</f>
        <v>105</v>
      </c>
      <c r="AI8" s="90"/>
    </row>
    <row r="9" spans="2:35">
      <c r="B9" s="783" t="s">
        <v>71</v>
      </c>
      <c r="C9" s="90" t="s">
        <v>31</v>
      </c>
      <c r="D9" s="91">
        <f>'1'!G65</f>
        <v>92</v>
      </c>
      <c r="E9" s="91">
        <f>'2'!G65</f>
        <v>103</v>
      </c>
      <c r="F9" s="91">
        <f>'3'!G65</f>
        <v>104</v>
      </c>
      <c r="G9" s="91">
        <f>'4'!G65</f>
        <v>108</v>
      </c>
      <c r="H9" s="91">
        <f>'5'!G65</f>
        <v>102</v>
      </c>
      <c r="I9" s="91">
        <f>'6'!G65</f>
        <v>104</v>
      </c>
      <c r="J9" s="91">
        <f>'7'!G65</f>
        <v>101</v>
      </c>
      <c r="K9" s="91">
        <f>'8'!G65</f>
        <v>105</v>
      </c>
      <c r="L9" s="91">
        <f>'9'!G65</f>
        <v>114</v>
      </c>
      <c r="M9" s="91">
        <f>'10'!G65</f>
        <v>111</v>
      </c>
      <c r="N9" s="91">
        <f>'11'!G65</f>
        <v>141</v>
      </c>
      <c r="O9" s="91">
        <f>'12'!G65</f>
        <v>63</v>
      </c>
      <c r="P9" s="91">
        <f>'13'!G65</f>
        <v>117</v>
      </c>
      <c r="Q9" s="91">
        <f>'14'!G65</f>
        <v>97</v>
      </c>
      <c r="R9" s="91">
        <f>'15'!G65</f>
        <v>83</v>
      </c>
      <c r="S9" s="91">
        <f>'16'!G65</f>
        <v>98</v>
      </c>
      <c r="T9" s="91">
        <f>'17'!G65</f>
        <v>101</v>
      </c>
      <c r="U9" s="91">
        <f>'18 '!G65</f>
        <v>94</v>
      </c>
      <c r="V9" s="91">
        <f>'19'!G65</f>
        <v>99</v>
      </c>
      <c r="W9" s="91">
        <f>'20'!G65</f>
        <v>110</v>
      </c>
      <c r="X9" s="91">
        <f>'21'!G65</f>
        <v>102</v>
      </c>
      <c r="Y9" s="91">
        <f>'22'!G65</f>
        <v>98</v>
      </c>
      <c r="Z9" s="91">
        <f>'23'!G65</f>
        <v>90</v>
      </c>
      <c r="AA9" s="91">
        <f>'24'!G65</f>
        <v>105</v>
      </c>
      <c r="AB9" s="91">
        <f>'25'!G65</f>
        <v>102</v>
      </c>
      <c r="AC9" s="91">
        <f>'26'!G65</f>
        <v>110</v>
      </c>
      <c r="AD9" s="91">
        <f>'27'!G65</f>
        <v>105</v>
      </c>
      <c r="AE9" s="91">
        <f>'28'!G65</f>
        <v>96</v>
      </c>
      <c r="AF9" s="91">
        <f>'29'!G65</f>
        <v>89</v>
      </c>
      <c r="AG9" s="91">
        <f>'30'!G65</f>
        <v>89</v>
      </c>
      <c r="AH9" s="91">
        <f>'31'!G65</f>
        <v>83</v>
      </c>
      <c r="AI9" s="90"/>
    </row>
    <row r="10" spans="2:35">
      <c r="B10" s="783"/>
      <c r="C10" s="90" t="s">
        <v>32</v>
      </c>
      <c r="D10" s="91">
        <f>'1'!G66</f>
        <v>25</v>
      </c>
      <c r="E10" s="91">
        <f>'2'!G66</f>
        <v>17</v>
      </c>
      <c r="F10" s="91">
        <f>'3'!G66</f>
        <v>20</v>
      </c>
      <c r="G10" s="91">
        <f>'4'!G66</f>
        <v>22</v>
      </c>
      <c r="H10" s="91">
        <f>'5'!G66</f>
        <v>25</v>
      </c>
      <c r="I10" s="91">
        <f>'6'!G66</f>
        <v>23</v>
      </c>
      <c r="J10" s="91">
        <f>'7'!G66</f>
        <v>31</v>
      </c>
      <c r="K10" s="91">
        <f>'8'!G66</f>
        <v>31</v>
      </c>
      <c r="L10" s="91">
        <f>'9'!G66</f>
        <v>21</v>
      </c>
      <c r="M10" s="91">
        <f>'10'!G66</f>
        <v>20</v>
      </c>
      <c r="N10" s="91">
        <f>'11'!G66</f>
        <v>18</v>
      </c>
      <c r="O10" s="91">
        <f>'12'!G66</f>
        <v>18</v>
      </c>
      <c r="P10" s="91">
        <f>'13'!G66</f>
        <v>29</v>
      </c>
      <c r="Q10" s="91">
        <f>'14'!G66</f>
        <v>24</v>
      </c>
      <c r="R10" s="91">
        <f>'15'!G66</f>
        <v>25</v>
      </c>
      <c r="S10" s="91">
        <f>'16'!G66</f>
        <v>0</v>
      </c>
      <c r="T10" s="91">
        <f>'17'!G66</f>
        <v>37</v>
      </c>
      <c r="U10" s="91">
        <f>'18 '!G66</f>
        <v>16</v>
      </c>
      <c r="V10" s="91">
        <f>'19'!G66</f>
        <v>23</v>
      </c>
      <c r="W10" s="91">
        <f>'20'!G66</f>
        <v>15</v>
      </c>
      <c r="X10" s="91">
        <f>'21'!G66</f>
        <v>21</v>
      </c>
      <c r="Y10" s="91">
        <f>'22'!G66</f>
        <v>18</v>
      </c>
      <c r="Z10" s="91">
        <f>'23'!G66</f>
        <v>16</v>
      </c>
      <c r="AA10" s="91">
        <f>'24'!G66</f>
        <v>15</v>
      </c>
      <c r="AB10" s="91">
        <f>'25'!G66</f>
        <v>7</v>
      </c>
      <c r="AC10" s="91">
        <f>'26'!G66</f>
        <v>10</v>
      </c>
      <c r="AD10" s="91">
        <f>'27'!G66</f>
        <v>15</v>
      </c>
      <c r="AE10" s="91">
        <f>'28'!G66</f>
        <v>14</v>
      </c>
      <c r="AF10" s="91">
        <f>'29'!G66</f>
        <v>9</v>
      </c>
      <c r="AG10" s="91">
        <f>'30'!G66</f>
        <v>4</v>
      </c>
      <c r="AH10" s="91">
        <f>'31'!G66</f>
        <v>6</v>
      </c>
      <c r="AI10" s="90"/>
    </row>
    <row r="11" spans="2:35">
      <c r="B11" s="783"/>
      <c r="C11" s="90" t="s">
        <v>33</v>
      </c>
      <c r="D11" s="91">
        <f>'1'!G67</f>
        <v>0</v>
      </c>
      <c r="E11" s="91">
        <f>'2'!G67</f>
        <v>0</v>
      </c>
      <c r="F11" s="91">
        <f>'3'!G67</f>
        <v>0</v>
      </c>
      <c r="G11" s="91">
        <f>'4'!G67</f>
        <v>0</v>
      </c>
      <c r="H11" s="91">
        <f>'5'!G67</f>
        <v>0</v>
      </c>
      <c r="I11" s="91">
        <f>'6'!G67</f>
        <v>0</v>
      </c>
      <c r="J11" s="91">
        <f>'7'!G67</f>
        <v>0</v>
      </c>
      <c r="K11" s="91">
        <f>'8'!G67</f>
        <v>0</v>
      </c>
      <c r="L11" s="91">
        <f>'9'!G67</f>
        <v>0</v>
      </c>
      <c r="M11" s="91">
        <f>'10'!G67</f>
        <v>0</v>
      </c>
      <c r="N11" s="91">
        <f>'11'!G67</f>
        <v>0</v>
      </c>
      <c r="O11" s="91">
        <f>'12'!G67</f>
        <v>0</v>
      </c>
      <c r="P11" s="91">
        <f>'13'!G67</f>
        <v>172</v>
      </c>
      <c r="Q11" s="91">
        <f>'14'!G67</f>
        <v>0</v>
      </c>
      <c r="R11" s="91">
        <f>'15'!G67</f>
        <v>0</v>
      </c>
      <c r="S11" s="91">
        <f>'16'!G67</f>
        <v>0</v>
      </c>
      <c r="T11" s="91">
        <f>'17'!G67</f>
        <v>0</v>
      </c>
      <c r="U11" s="91">
        <f>'18 '!G67</f>
        <v>110</v>
      </c>
      <c r="V11" s="91">
        <f>'19'!G67</f>
        <v>21</v>
      </c>
      <c r="W11" s="91">
        <f>'20'!G67</f>
        <v>23</v>
      </c>
      <c r="X11" s="91">
        <f>'21'!G67</f>
        <v>20</v>
      </c>
      <c r="Y11" s="91">
        <f>'22'!G67</f>
        <v>15</v>
      </c>
      <c r="Z11" s="91">
        <f>'23'!G67</f>
        <v>17</v>
      </c>
      <c r="AA11" s="91">
        <f>'24'!G67</f>
        <v>19</v>
      </c>
      <c r="AB11" s="91">
        <f>'25'!G67</f>
        <v>15</v>
      </c>
      <c r="AC11" s="91">
        <f>'26'!G67</f>
        <v>21</v>
      </c>
      <c r="AD11" s="91">
        <f>'27'!G67</f>
        <v>17</v>
      </c>
      <c r="AE11" s="91">
        <f>'28'!G67</f>
        <v>22</v>
      </c>
      <c r="AF11" s="91">
        <f>'29'!G67</f>
        <v>14</v>
      </c>
      <c r="AG11" s="91">
        <f>'30'!G67</f>
        <v>17</v>
      </c>
      <c r="AH11" s="91">
        <f>'31'!G67</f>
        <v>15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83" t="s">
        <v>72</v>
      </c>
      <c r="C13" s="90" t="s">
        <v>31</v>
      </c>
      <c r="D13" s="91">
        <f>'1'!G68</f>
        <v>18</v>
      </c>
      <c r="E13" s="91">
        <f>'2'!G68</f>
        <v>34</v>
      </c>
      <c r="F13" s="91">
        <f>'3'!G68</f>
        <v>17</v>
      </c>
      <c r="G13" s="91">
        <f>'4'!G68</f>
        <v>19</v>
      </c>
      <c r="H13" s="91">
        <f>'5'!G68</f>
        <v>17</v>
      </c>
      <c r="I13" s="91">
        <f>'6'!G68</f>
        <v>19</v>
      </c>
      <c r="J13" s="91">
        <f>'7'!G68</f>
        <v>35</v>
      </c>
      <c r="K13" s="91">
        <f>'8'!G68</f>
        <v>39</v>
      </c>
      <c r="L13" s="91">
        <f>'9'!G68</f>
        <v>35</v>
      </c>
      <c r="M13" s="91">
        <f>'10'!G68</f>
        <v>32</v>
      </c>
      <c r="N13" s="91">
        <f>'11'!G68</f>
        <v>32</v>
      </c>
      <c r="O13" s="91">
        <f>'12'!G68</f>
        <v>33</v>
      </c>
      <c r="P13" s="91">
        <f>'13'!G68</f>
        <v>29</v>
      </c>
      <c r="Q13" s="91">
        <f>'14'!G68</f>
        <v>37</v>
      </c>
      <c r="R13" s="91">
        <f>'15'!G68</f>
        <v>29</v>
      </c>
      <c r="S13" s="91">
        <f>'16'!G68</f>
        <v>34</v>
      </c>
      <c r="T13" s="91">
        <f>'17'!G68</f>
        <v>31</v>
      </c>
      <c r="U13" s="91">
        <f>'18 '!G68</f>
        <v>20</v>
      </c>
      <c r="V13" s="91">
        <f>'19'!G68</f>
        <v>15</v>
      </c>
      <c r="W13" s="91">
        <f>'20'!G68</f>
        <v>35</v>
      </c>
      <c r="X13" s="91">
        <f>'21'!G68</f>
        <v>48</v>
      </c>
      <c r="Y13" s="91">
        <f>'22'!G68</f>
        <v>16</v>
      </c>
      <c r="Z13" s="91">
        <f>'23'!G68</f>
        <v>8</v>
      </c>
      <c r="AA13" s="420">
        <f>'24'!G68</f>
        <v>20</v>
      </c>
      <c r="AB13" s="91">
        <f>'25'!G68</f>
        <v>23</v>
      </c>
      <c r="AC13" s="91">
        <f>'26'!G68</f>
        <v>32</v>
      </c>
      <c r="AD13" s="91">
        <f>'27'!G68</f>
        <v>47</v>
      </c>
      <c r="AE13" s="91">
        <f>'28'!G68</f>
        <v>30</v>
      </c>
      <c r="AF13" s="91">
        <f>'29'!G68</f>
        <v>22</v>
      </c>
      <c r="AG13" s="91">
        <f>'30'!G68</f>
        <v>42</v>
      </c>
      <c r="AH13" s="91">
        <f>'31'!G68</f>
        <v>46</v>
      </c>
      <c r="AI13" s="90"/>
    </row>
    <row r="14" spans="2:35">
      <c r="B14" s="783"/>
      <c r="C14" s="90" t="s">
        <v>32</v>
      </c>
      <c r="D14" s="91">
        <f>'1'!G69</f>
        <v>10</v>
      </c>
      <c r="E14" s="91">
        <f>'2'!G69</f>
        <v>3</v>
      </c>
      <c r="F14" s="91">
        <f>'3'!G69</f>
        <v>3</v>
      </c>
      <c r="G14" s="91">
        <f>'4'!G69</f>
        <v>2</v>
      </c>
      <c r="H14" s="91">
        <f>'5'!G69</f>
        <v>12</v>
      </c>
      <c r="I14" s="91">
        <f>'6'!G69</f>
        <v>6</v>
      </c>
      <c r="J14" s="91">
        <f>'7'!G69</f>
        <v>6</v>
      </c>
      <c r="K14" s="91">
        <f>'8'!G69</f>
        <v>8</v>
      </c>
      <c r="L14" s="91">
        <f>'9'!G69</f>
        <v>13</v>
      </c>
      <c r="M14" s="91">
        <f>'10'!G69</f>
        <v>8</v>
      </c>
      <c r="N14" s="91">
        <f>'11'!G69</f>
        <v>2</v>
      </c>
      <c r="O14" s="91">
        <f>'12'!G69</f>
        <v>5</v>
      </c>
      <c r="P14" s="91">
        <f>'13'!G69</f>
        <v>6</v>
      </c>
      <c r="Q14" s="91">
        <f>'14'!G69</f>
        <v>5</v>
      </c>
      <c r="R14" s="91">
        <f>'15'!G69</f>
        <v>6</v>
      </c>
      <c r="S14" s="91">
        <f>'16'!G69</f>
        <v>6</v>
      </c>
      <c r="T14" s="91">
        <f>'17'!G69</f>
        <v>3</v>
      </c>
      <c r="U14" s="91">
        <f>'18 '!G69</f>
        <v>3</v>
      </c>
      <c r="V14" s="91">
        <f>'19'!G69</f>
        <v>5</v>
      </c>
      <c r="W14" s="91">
        <f>'20'!G69</f>
        <v>3</v>
      </c>
      <c r="X14" s="91">
        <f>'21'!G69</f>
        <v>4</v>
      </c>
      <c r="Y14" s="91">
        <f>'22'!G69</f>
        <v>7</v>
      </c>
      <c r="Z14" s="91">
        <f>'23'!G69</f>
        <v>5</v>
      </c>
      <c r="AA14" s="91">
        <f>'24'!G69</f>
        <v>2</v>
      </c>
      <c r="AB14" s="91">
        <f>'25'!G69</f>
        <v>3</v>
      </c>
      <c r="AC14" s="91">
        <f>'26'!G69</f>
        <v>6</v>
      </c>
      <c r="AD14" s="91">
        <f>'27'!G69</f>
        <v>7</v>
      </c>
      <c r="AE14" s="91">
        <f>'28'!G69</f>
        <v>2</v>
      </c>
      <c r="AF14" s="91">
        <f>'29'!G69</f>
        <v>3</v>
      </c>
      <c r="AG14" s="91">
        <f>'30'!G69</f>
        <v>0</v>
      </c>
      <c r="AH14" s="91">
        <f>'31'!G69</f>
        <v>9</v>
      </c>
      <c r="AI14" s="90"/>
    </row>
    <row r="15" spans="2:35">
      <c r="B15" s="783"/>
      <c r="C15" s="90" t="s">
        <v>33</v>
      </c>
      <c r="D15" s="91">
        <f>'1'!G70</f>
        <v>6</v>
      </c>
      <c r="E15" s="91">
        <f>'2'!G70</f>
        <v>11</v>
      </c>
      <c r="F15" s="91">
        <f>'3'!G70</f>
        <v>6</v>
      </c>
      <c r="G15" s="91">
        <f>'4'!G70</f>
        <v>14</v>
      </c>
      <c r="H15" s="91">
        <f>'5'!G70</f>
        <v>11</v>
      </c>
      <c r="I15" s="91">
        <f>'6'!G70</f>
        <v>8</v>
      </c>
      <c r="J15" s="91">
        <f>'7'!G70</f>
        <v>8</v>
      </c>
      <c r="K15" s="91">
        <f>'8'!G70</f>
        <v>8</v>
      </c>
      <c r="L15" s="91">
        <f>'9'!G70</f>
        <v>11</v>
      </c>
      <c r="M15" s="91">
        <f>'10'!G70</f>
        <v>5</v>
      </c>
      <c r="N15" s="91">
        <f>'11'!G70</f>
        <v>6</v>
      </c>
      <c r="O15" s="91">
        <f>'12'!G70</f>
        <v>-311</v>
      </c>
      <c r="P15" s="91">
        <f>'13'!G70</f>
        <v>331</v>
      </c>
      <c r="Q15" s="91">
        <f>'14'!G70</f>
        <v>8</v>
      </c>
      <c r="R15" s="91">
        <f>'15'!G70</f>
        <v>20</v>
      </c>
      <c r="S15" s="91">
        <f>'16'!G70</f>
        <v>9</v>
      </c>
      <c r="T15" s="91">
        <f>'17'!G70</f>
        <v>10</v>
      </c>
      <c r="U15" s="91">
        <f>'18 '!G70</f>
        <v>10</v>
      </c>
      <c r="V15" s="91">
        <f>'19'!G70</f>
        <v>15</v>
      </c>
      <c r="W15" s="91">
        <f>'20'!G70</f>
        <v>6</v>
      </c>
      <c r="X15" s="91">
        <f>'21'!G70</f>
        <v>8</v>
      </c>
      <c r="Y15" s="91">
        <f>'22'!G70</f>
        <v>6</v>
      </c>
      <c r="Z15" s="91">
        <f>'23'!G70</f>
        <v>7</v>
      </c>
      <c r="AA15" s="91">
        <f>'24'!G70</f>
        <v>8</v>
      </c>
      <c r="AB15" s="91">
        <f>'25'!G70</f>
        <v>10</v>
      </c>
      <c r="AC15" s="91">
        <f>'26'!G70</f>
        <v>7</v>
      </c>
      <c r="AD15" s="91">
        <f>'27'!G70</f>
        <v>8</v>
      </c>
      <c r="AE15" s="91">
        <f>'28'!G70</f>
        <v>6</v>
      </c>
      <c r="AF15" s="91">
        <f>'29'!G70</f>
        <v>8</v>
      </c>
      <c r="AG15" s="91">
        <f>'30'!G70</f>
        <v>5</v>
      </c>
      <c r="AH15" s="91">
        <f>'31'!G70</f>
        <v>4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83" t="s">
        <v>73</v>
      </c>
      <c r="C17" s="90" t="s">
        <v>74</v>
      </c>
      <c r="D17" s="90">
        <f>'1'!G173</f>
        <v>0</v>
      </c>
      <c r="E17" s="91">
        <f>'2'!G173</f>
        <v>5</v>
      </c>
      <c r="F17" s="91">
        <f>'3'!G173</f>
        <v>0</v>
      </c>
      <c r="G17" s="91">
        <f>'4'!G173</f>
        <v>5</v>
      </c>
      <c r="H17" s="91">
        <f>'5'!G173</f>
        <v>0</v>
      </c>
      <c r="I17" s="91">
        <f>'6'!G173</f>
        <v>2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29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4</v>
      </c>
      <c r="Z17" s="91">
        <f>'23'!G173</f>
        <v>2</v>
      </c>
      <c r="AA17" s="91">
        <f>'24'!G173</f>
        <v>0</v>
      </c>
      <c r="AB17" s="91">
        <f>'25'!G173</f>
        <v>4</v>
      </c>
      <c r="AC17" s="91">
        <f>'26'!G173</f>
        <v>0</v>
      </c>
      <c r="AD17" s="91">
        <f>'27'!G173</f>
        <v>2</v>
      </c>
      <c r="AE17" s="91">
        <f>'28'!G173</f>
        <v>0</v>
      </c>
      <c r="AF17" s="91">
        <f>'29'!G173</f>
        <v>2</v>
      </c>
      <c r="AG17" s="91">
        <f>'30'!G173</f>
        <v>1</v>
      </c>
      <c r="AH17" s="91">
        <f>'31'!G173</f>
        <v>5</v>
      </c>
      <c r="AI17" s="90"/>
    </row>
    <row r="18" spans="2:35">
      <c r="B18" s="783"/>
      <c r="C18" s="90" t="s">
        <v>75</v>
      </c>
      <c r="D18" s="90">
        <f>'1'!G174</f>
        <v>13</v>
      </c>
      <c r="E18" s="91">
        <f>'2'!G174</f>
        <v>13</v>
      </c>
      <c r="F18" s="91">
        <f>'3'!G174</f>
        <v>13</v>
      </c>
      <c r="G18" s="91">
        <f>'4'!G174</f>
        <v>15</v>
      </c>
      <c r="H18" s="91">
        <f>'5'!G174</f>
        <v>14</v>
      </c>
      <c r="I18" s="91">
        <f>'6'!G174</f>
        <v>14</v>
      </c>
      <c r="J18" s="91">
        <f>'7'!G174</f>
        <v>12</v>
      </c>
      <c r="K18" s="91">
        <f>'8'!G174</f>
        <v>14</v>
      </c>
      <c r="L18" s="91">
        <f>'9'!G174</f>
        <v>16</v>
      </c>
      <c r="M18" s="91">
        <f>'10'!G174</f>
        <v>16</v>
      </c>
      <c r="N18" s="91">
        <f>'11'!G174</f>
        <v>13</v>
      </c>
      <c r="O18" s="91">
        <f>'12'!G174</f>
        <v>13</v>
      </c>
      <c r="P18" s="91">
        <f>'13'!G174</f>
        <v>13</v>
      </c>
      <c r="Q18" s="91">
        <f>'14'!G174</f>
        <v>12</v>
      </c>
      <c r="R18" s="91">
        <f>'15'!G174</f>
        <v>13</v>
      </c>
      <c r="S18" s="91">
        <f>'16'!G174</f>
        <v>12</v>
      </c>
      <c r="T18" s="91">
        <f>'17'!G174</f>
        <v>17</v>
      </c>
      <c r="U18" s="91">
        <f>'18 '!G174</f>
        <v>11</v>
      </c>
      <c r="V18" s="91">
        <f>'19'!G174</f>
        <v>10</v>
      </c>
      <c r="W18" s="91">
        <f>'20'!G174</f>
        <v>14</v>
      </c>
      <c r="X18" s="91">
        <f>'21'!G174</f>
        <v>11</v>
      </c>
      <c r="Y18" s="91">
        <f>'22'!G174</f>
        <v>14</v>
      </c>
      <c r="Z18" s="91">
        <f>'23'!G174</f>
        <v>11</v>
      </c>
      <c r="AA18" s="91">
        <f>'24'!G174</f>
        <v>12</v>
      </c>
      <c r="AB18" s="91">
        <f>'25'!G174</f>
        <v>13</v>
      </c>
      <c r="AC18" s="91">
        <f>'26'!G174</f>
        <v>15</v>
      </c>
      <c r="AD18" s="91">
        <f>'27'!G174</f>
        <v>13</v>
      </c>
      <c r="AE18" s="91">
        <f>'28'!G174</f>
        <v>12</v>
      </c>
      <c r="AF18" s="91">
        <f>'29'!G174</f>
        <v>12</v>
      </c>
      <c r="AG18" s="91">
        <f>'30'!G174</f>
        <v>11</v>
      </c>
      <c r="AH18" s="91">
        <f>'31'!G174</f>
        <v>10</v>
      </c>
      <c r="AI18" s="90"/>
    </row>
    <row r="19" spans="2:35">
      <c r="B19" s="783"/>
      <c r="C19" s="90" t="s">
        <v>76</v>
      </c>
      <c r="D19" s="90">
        <f>'1'!G175</f>
        <v>11</v>
      </c>
      <c r="E19" s="91">
        <f>'2'!G175</f>
        <v>12</v>
      </c>
      <c r="F19" s="91">
        <f>'3'!G175</f>
        <v>12</v>
      </c>
      <c r="G19" s="91">
        <f>'4'!G175</f>
        <v>12</v>
      </c>
      <c r="H19" s="91">
        <f>'5'!G175</f>
        <v>11</v>
      </c>
      <c r="I19" s="91">
        <f>'6'!G175</f>
        <v>14</v>
      </c>
      <c r="J19" s="91">
        <f>'7'!G175</f>
        <v>12</v>
      </c>
      <c r="K19" s="91">
        <f>'8'!G175</f>
        <v>11</v>
      </c>
      <c r="L19" s="91">
        <f>'9'!G175</f>
        <v>11</v>
      </c>
      <c r="M19" s="91">
        <f>'10'!G175</f>
        <v>12</v>
      </c>
      <c r="N19" s="91">
        <f>'11'!G175</f>
        <v>10</v>
      </c>
      <c r="O19" s="91">
        <f>'12'!G175</f>
        <v>10</v>
      </c>
      <c r="P19" s="91">
        <f>'13'!G175</f>
        <v>10</v>
      </c>
      <c r="Q19" s="91">
        <f>'14'!G175</f>
        <v>14</v>
      </c>
      <c r="R19" s="91">
        <f>'15'!G175</f>
        <v>11</v>
      </c>
      <c r="S19" s="91">
        <f>'16'!G175</f>
        <v>10</v>
      </c>
      <c r="T19" s="91">
        <f>'17'!G175</f>
        <v>10</v>
      </c>
      <c r="U19" s="91">
        <f>'18 '!G175</f>
        <v>10</v>
      </c>
      <c r="V19" s="91">
        <f>'19'!G175</f>
        <v>11</v>
      </c>
      <c r="W19" s="91">
        <f>'20'!G175</f>
        <v>12</v>
      </c>
      <c r="X19" s="91">
        <f>'21'!G175</f>
        <v>9</v>
      </c>
      <c r="Y19" s="91">
        <f>'22'!G175</f>
        <v>11</v>
      </c>
      <c r="Z19" s="91">
        <f>'23'!G175</f>
        <v>12</v>
      </c>
      <c r="AA19" s="91">
        <f>'24'!G175</f>
        <v>10</v>
      </c>
      <c r="AB19" s="91">
        <f>'25'!G175</f>
        <v>10</v>
      </c>
      <c r="AC19" s="91">
        <f>'26'!G175</f>
        <v>10</v>
      </c>
      <c r="AD19" s="91">
        <f>'27'!G175</f>
        <v>10</v>
      </c>
      <c r="AE19" s="91">
        <f>'28'!G175</f>
        <v>9</v>
      </c>
      <c r="AF19" s="91">
        <f>'29'!G175</f>
        <v>11</v>
      </c>
      <c r="AG19" s="91">
        <f>'30'!G175</f>
        <v>8</v>
      </c>
      <c r="AH19" s="91">
        <f>'31'!G175</f>
        <v>10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83" t="s">
        <v>77</v>
      </c>
      <c r="C21" s="90" t="s">
        <v>78</v>
      </c>
      <c r="D21" s="90">
        <f>'1'!G178</f>
        <v>109</v>
      </c>
      <c r="E21" s="91">
        <f>'2'!G178</f>
        <v>85</v>
      </c>
      <c r="F21" s="91">
        <f>'3'!G178</f>
        <v>110</v>
      </c>
      <c r="G21" s="91">
        <f>'4'!G178</f>
        <v>65</v>
      </c>
      <c r="H21" s="91">
        <f>'5'!G178</f>
        <v>94</v>
      </c>
      <c r="I21" s="91">
        <f>'6'!G178</f>
        <v>54</v>
      </c>
      <c r="J21" s="91">
        <f>'7'!G178</f>
        <v>66</v>
      </c>
      <c r="K21" s="91">
        <f>'8'!G178</f>
        <v>62</v>
      </c>
      <c r="L21" s="91">
        <f>'9'!G178</f>
        <v>67</v>
      </c>
      <c r="M21" s="91">
        <f>'10'!G178</f>
        <v>111</v>
      </c>
      <c r="N21" s="91">
        <f>'11'!G178</f>
        <v>96</v>
      </c>
      <c r="O21" s="91">
        <f>'12'!G178</f>
        <v>96</v>
      </c>
      <c r="P21" s="91">
        <f>'13'!G178</f>
        <v>53</v>
      </c>
      <c r="Q21" s="91">
        <f>'14'!G178</f>
        <v>76</v>
      </c>
      <c r="R21" s="91">
        <f>'15'!G178</f>
        <v>58</v>
      </c>
      <c r="S21" s="91">
        <f>'16'!G178</f>
        <v>90</v>
      </c>
      <c r="T21" s="91">
        <f>'17'!G178</f>
        <v>90</v>
      </c>
      <c r="U21" s="91">
        <f>'18 '!G178</f>
        <v>45</v>
      </c>
      <c r="V21" s="91">
        <f>'19'!G178</f>
        <v>67</v>
      </c>
      <c r="W21" s="91">
        <f>'20'!G178</f>
        <v>68</v>
      </c>
      <c r="X21" s="91">
        <f>'21'!G178</f>
        <v>68</v>
      </c>
      <c r="Y21" s="91">
        <f>'22'!G178</f>
        <v>47</v>
      </c>
      <c r="Z21" s="91">
        <f>'23'!G178</f>
        <v>71</v>
      </c>
      <c r="AA21" s="91">
        <f>'24'!G178</f>
        <v>75</v>
      </c>
      <c r="AB21" s="91">
        <f>'25'!G178</f>
        <v>63</v>
      </c>
      <c r="AC21" s="91">
        <f>'26'!G178</f>
        <v>132</v>
      </c>
      <c r="AD21" s="91">
        <f>'27'!G178</f>
        <v>54</v>
      </c>
      <c r="AE21" s="91">
        <f>'28'!G178</f>
        <v>74</v>
      </c>
      <c r="AF21" s="91">
        <f>'29'!G178</f>
        <v>40</v>
      </c>
      <c r="AG21" s="91">
        <f>'30'!G178</f>
        <v>100</v>
      </c>
      <c r="AH21" s="91">
        <f>'31'!G178</f>
        <v>85</v>
      </c>
      <c r="AI21" s="90"/>
    </row>
    <row r="22" spans="2:35">
      <c r="B22" s="783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67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14</v>
      </c>
      <c r="AG22" s="91">
        <f>'30'!G179</f>
        <v>2</v>
      </c>
      <c r="AH22" s="91">
        <f>'31'!G179</f>
        <v>0</v>
      </c>
      <c r="AI22" s="90"/>
    </row>
    <row r="23" spans="2:35">
      <c r="B23" s="783"/>
      <c r="C23" s="90" t="s">
        <v>80</v>
      </c>
      <c r="D23" s="90">
        <f>'1'!G180</f>
        <v>7</v>
      </c>
      <c r="E23" s="91">
        <f>'2'!G180</f>
        <v>0</v>
      </c>
      <c r="F23" s="91">
        <f>'3'!G180</f>
        <v>0</v>
      </c>
      <c r="G23" s="91">
        <f>'4'!G180</f>
        <v>0</v>
      </c>
      <c r="H23" s="91">
        <f>'5'!G180</f>
        <v>0</v>
      </c>
      <c r="I23" s="91">
        <f>'6'!G180</f>
        <v>2</v>
      </c>
      <c r="J23" s="91">
        <f>'7'!G180</f>
        <v>5</v>
      </c>
      <c r="K23" s="91">
        <f>'8'!G180</f>
        <v>0</v>
      </c>
      <c r="L23" s="91">
        <f>'9'!G180</f>
        <v>0</v>
      </c>
      <c r="M23" s="91">
        <f>'10'!G180</f>
        <v>1</v>
      </c>
      <c r="N23" s="91">
        <f>'11'!G180</f>
        <v>0</v>
      </c>
      <c r="O23" s="91">
        <f>'12'!G180</f>
        <v>0</v>
      </c>
      <c r="P23" s="91">
        <f>'13'!G180</f>
        <v>0</v>
      </c>
      <c r="Q23" s="91">
        <f>'14'!G180</f>
        <v>0</v>
      </c>
      <c r="R23" s="91">
        <f>'15'!G180</f>
        <v>3</v>
      </c>
      <c r="S23" s="91">
        <f>'16'!G180</f>
        <v>1</v>
      </c>
      <c r="T23" s="91">
        <f>'17'!G180</f>
        <v>50</v>
      </c>
      <c r="U23" s="91">
        <f>'18 '!G180</f>
        <v>13</v>
      </c>
      <c r="V23" s="91">
        <f>'19'!G180</f>
        <v>22</v>
      </c>
      <c r="W23" s="91">
        <f>'20'!G180</f>
        <v>48</v>
      </c>
      <c r="X23" s="91">
        <f>'21'!G180</f>
        <v>24</v>
      </c>
      <c r="Y23" s="91">
        <f>'22'!G180</f>
        <v>0</v>
      </c>
      <c r="Z23" s="91">
        <f>'23'!G180</f>
        <v>18</v>
      </c>
      <c r="AA23" s="91">
        <f>'24'!G180</f>
        <v>0</v>
      </c>
      <c r="AB23" s="91">
        <f>'25'!G180</f>
        <v>0</v>
      </c>
      <c r="AC23" s="91">
        <f>'26'!G180</f>
        <v>0</v>
      </c>
      <c r="AD23" s="91">
        <f>'27'!G180</f>
        <v>1</v>
      </c>
      <c r="AE23" s="91">
        <f>'28'!G180</f>
        <v>3</v>
      </c>
      <c r="AF23" s="91">
        <f>'29'!G180</f>
        <v>0</v>
      </c>
      <c r="AG23" s="91">
        <f>'30'!G180</f>
        <v>2</v>
      </c>
      <c r="AH23" s="91">
        <f>'31'!G180</f>
        <v>2</v>
      </c>
      <c r="AI23" s="90"/>
    </row>
    <row r="24" spans="2:35" ht="30">
      <c r="B24" s="93" t="s">
        <v>301</v>
      </c>
      <c r="C24" s="90"/>
      <c r="D24" s="91">
        <f>SUM(D5:D6)</f>
        <v>182</v>
      </c>
      <c r="E24" s="91">
        <f t="shared" ref="E24:AH24" si="0">SUM(E5:E6)</f>
        <v>231</v>
      </c>
      <c r="F24" s="91">
        <f t="shared" si="0"/>
        <v>155</v>
      </c>
      <c r="G24" s="91">
        <f t="shared" si="0"/>
        <v>183</v>
      </c>
      <c r="H24" s="91">
        <f t="shared" si="0"/>
        <v>192</v>
      </c>
      <c r="I24" s="91">
        <f t="shared" si="0"/>
        <v>247</v>
      </c>
      <c r="J24" s="91">
        <f t="shared" si="0"/>
        <v>287</v>
      </c>
      <c r="K24" s="91">
        <f t="shared" si="0"/>
        <v>212</v>
      </c>
      <c r="L24" s="91">
        <f t="shared" si="0"/>
        <v>84</v>
      </c>
      <c r="M24" s="91">
        <f t="shared" si="0"/>
        <v>220</v>
      </c>
      <c r="N24" s="91">
        <f t="shared" si="0"/>
        <v>180</v>
      </c>
      <c r="O24" s="91">
        <f t="shared" si="0"/>
        <v>205</v>
      </c>
      <c r="P24" s="91">
        <f t="shared" si="0"/>
        <v>210</v>
      </c>
      <c r="Q24" s="91">
        <f t="shared" si="0"/>
        <v>248</v>
      </c>
      <c r="R24" s="91">
        <f t="shared" si="0"/>
        <v>300</v>
      </c>
      <c r="S24" s="91">
        <f t="shared" si="0"/>
        <v>142</v>
      </c>
      <c r="T24" s="91">
        <f t="shared" si="0"/>
        <v>289</v>
      </c>
      <c r="U24" s="91">
        <f t="shared" si="0"/>
        <v>199</v>
      </c>
      <c r="V24" s="91">
        <f t="shared" si="0"/>
        <v>151</v>
      </c>
      <c r="W24" s="91">
        <f t="shared" si="0"/>
        <v>241</v>
      </c>
      <c r="X24" s="91">
        <f t="shared" si="0"/>
        <v>191</v>
      </c>
      <c r="Y24" s="91">
        <f t="shared" si="0"/>
        <v>181</v>
      </c>
      <c r="Z24" s="91">
        <f t="shared" si="0"/>
        <v>209</v>
      </c>
      <c r="AA24" s="91">
        <f>SUM(AA5:AA6)</f>
        <v>297</v>
      </c>
      <c r="AB24" s="91">
        <f t="shared" si="0"/>
        <v>129</v>
      </c>
      <c r="AC24" s="91">
        <f t="shared" si="0"/>
        <v>270</v>
      </c>
      <c r="AD24" s="91">
        <f t="shared" si="0"/>
        <v>270</v>
      </c>
      <c r="AE24" s="91">
        <f t="shared" si="0"/>
        <v>240</v>
      </c>
      <c r="AF24" s="91">
        <f t="shared" si="0"/>
        <v>220</v>
      </c>
      <c r="AG24" s="91">
        <f t="shared" si="0"/>
        <v>200</v>
      </c>
      <c r="AH24" s="91">
        <f t="shared" si="0"/>
        <v>181</v>
      </c>
      <c r="AI24" s="90"/>
    </row>
    <row r="25" spans="2:35" ht="30">
      <c r="B25" s="93" t="s">
        <v>81</v>
      </c>
      <c r="C25" s="90"/>
      <c r="D25" s="91">
        <f>SUM(D9:D11,D14:D15,)</f>
        <v>133</v>
      </c>
      <c r="E25" s="91">
        <f t="shared" ref="E25:AI25" si="1">SUM(E9:E11,E14:E15,)</f>
        <v>134</v>
      </c>
      <c r="F25" s="91">
        <f t="shared" si="1"/>
        <v>133</v>
      </c>
      <c r="G25" s="91">
        <f t="shared" si="1"/>
        <v>146</v>
      </c>
      <c r="H25" s="91">
        <f t="shared" si="1"/>
        <v>150</v>
      </c>
      <c r="I25" s="91">
        <f t="shared" si="1"/>
        <v>141</v>
      </c>
      <c r="J25" s="91">
        <f t="shared" si="1"/>
        <v>146</v>
      </c>
      <c r="K25" s="91">
        <f>SUM(K9:K11,K14:K15,)</f>
        <v>152</v>
      </c>
      <c r="L25" s="91">
        <f t="shared" si="1"/>
        <v>159</v>
      </c>
      <c r="M25" s="91">
        <f t="shared" si="1"/>
        <v>144</v>
      </c>
      <c r="N25" s="91">
        <f t="shared" si="1"/>
        <v>167</v>
      </c>
      <c r="O25" s="91">
        <f t="shared" si="1"/>
        <v>-225</v>
      </c>
      <c r="P25" s="91">
        <f t="shared" si="1"/>
        <v>655</v>
      </c>
      <c r="Q25" s="91">
        <f t="shared" si="1"/>
        <v>134</v>
      </c>
      <c r="R25" s="91">
        <f t="shared" si="1"/>
        <v>134</v>
      </c>
      <c r="S25" s="91">
        <f t="shared" si="1"/>
        <v>113</v>
      </c>
      <c r="T25" s="91">
        <f>SUM(T9:T11,T14:T15,)</f>
        <v>151</v>
      </c>
      <c r="U25" s="91">
        <f t="shared" si="1"/>
        <v>233</v>
      </c>
      <c r="V25" s="91">
        <f t="shared" si="1"/>
        <v>163</v>
      </c>
      <c r="W25" s="91">
        <f t="shared" si="1"/>
        <v>157</v>
      </c>
      <c r="X25" s="91">
        <f t="shared" si="1"/>
        <v>155</v>
      </c>
      <c r="Y25" s="91">
        <f t="shared" si="1"/>
        <v>144</v>
      </c>
      <c r="Z25" s="91">
        <f t="shared" si="1"/>
        <v>135</v>
      </c>
      <c r="AA25" s="91">
        <f t="shared" si="1"/>
        <v>149</v>
      </c>
      <c r="AB25" s="91">
        <f t="shared" si="1"/>
        <v>137</v>
      </c>
      <c r="AC25" s="91">
        <f t="shared" si="1"/>
        <v>154</v>
      </c>
      <c r="AD25" s="91">
        <f t="shared" si="1"/>
        <v>152</v>
      </c>
      <c r="AE25" s="91">
        <f t="shared" si="1"/>
        <v>140</v>
      </c>
      <c r="AF25" s="91">
        <f t="shared" si="1"/>
        <v>123</v>
      </c>
      <c r="AG25" s="91">
        <f t="shared" si="1"/>
        <v>115</v>
      </c>
      <c r="AH25" s="91">
        <f t="shared" si="1"/>
        <v>117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134</v>
      </c>
      <c r="E27" s="91">
        <f t="shared" ref="E27:AH27" si="2">SUM(E13,E21,E23)</f>
        <v>119</v>
      </c>
      <c r="F27" s="91">
        <f>SUM(F13,F21,F23)</f>
        <v>127</v>
      </c>
      <c r="G27" s="91">
        <f t="shared" si="2"/>
        <v>84</v>
      </c>
      <c r="H27" s="91">
        <f t="shared" si="2"/>
        <v>111</v>
      </c>
      <c r="I27" s="91">
        <f t="shared" si="2"/>
        <v>75</v>
      </c>
      <c r="J27" s="91">
        <f t="shared" si="2"/>
        <v>106</v>
      </c>
      <c r="K27" s="91">
        <f t="shared" si="2"/>
        <v>101</v>
      </c>
      <c r="L27" s="91">
        <f t="shared" si="2"/>
        <v>102</v>
      </c>
      <c r="M27" s="91">
        <f t="shared" si="2"/>
        <v>144</v>
      </c>
      <c r="N27" s="91">
        <f t="shared" si="2"/>
        <v>128</v>
      </c>
      <c r="O27" s="91">
        <f t="shared" si="2"/>
        <v>129</v>
      </c>
      <c r="P27" s="91">
        <f t="shared" si="2"/>
        <v>82</v>
      </c>
      <c r="Q27" s="91">
        <f t="shared" si="2"/>
        <v>113</v>
      </c>
      <c r="R27" s="91">
        <f t="shared" si="2"/>
        <v>90</v>
      </c>
      <c r="S27" s="91">
        <f t="shared" si="2"/>
        <v>125</v>
      </c>
      <c r="T27" s="91">
        <f t="shared" si="2"/>
        <v>171</v>
      </c>
      <c r="U27" s="91">
        <f t="shared" si="2"/>
        <v>78</v>
      </c>
      <c r="V27" s="91">
        <f t="shared" si="2"/>
        <v>104</v>
      </c>
      <c r="W27" s="91">
        <f t="shared" si="2"/>
        <v>151</v>
      </c>
      <c r="X27" s="91">
        <f t="shared" si="2"/>
        <v>140</v>
      </c>
      <c r="Y27" s="91">
        <f t="shared" si="2"/>
        <v>63</v>
      </c>
      <c r="Z27" s="91">
        <f t="shared" si="2"/>
        <v>97</v>
      </c>
      <c r="AA27" s="91">
        <f t="shared" si="2"/>
        <v>95</v>
      </c>
      <c r="AB27" s="91">
        <f t="shared" si="2"/>
        <v>86</v>
      </c>
      <c r="AC27" s="91">
        <f t="shared" si="2"/>
        <v>164</v>
      </c>
      <c r="AD27" s="91">
        <f t="shared" si="2"/>
        <v>102</v>
      </c>
      <c r="AE27" s="91">
        <f t="shared" si="2"/>
        <v>107</v>
      </c>
      <c r="AF27" s="91">
        <f t="shared" si="2"/>
        <v>62</v>
      </c>
      <c r="AG27" s="91">
        <f t="shared" si="2"/>
        <v>144</v>
      </c>
      <c r="AH27" s="91">
        <f t="shared" si="2"/>
        <v>133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92</v>
      </c>
      <c r="E29" s="249">
        <f t="shared" ref="E29:AH29" si="4">E9</f>
        <v>103</v>
      </c>
      <c r="F29" s="249">
        <f t="shared" si="4"/>
        <v>104</v>
      </c>
      <c r="G29" s="249">
        <f t="shared" si="4"/>
        <v>108</v>
      </c>
      <c r="H29" s="249">
        <f t="shared" si="4"/>
        <v>102</v>
      </c>
      <c r="I29" s="249">
        <f t="shared" si="4"/>
        <v>104</v>
      </c>
      <c r="J29" s="249">
        <f t="shared" si="4"/>
        <v>101</v>
      </c>
      <c r="K29" s="249">
        <f t="shared" si="4"/>
        <v>105</v>
      </c>
      <c r="L29" s="249">
        <f t="shared" si="4"/>
        <v>114</v>
      </c>
      <c r="M29" s="249">
        <f t="shared" si="4"/>
        <v>111</v>
      </c>
      <c r="N29" s="249">
        <f t="shared" si="4"/>
        <v>141</v>
      </c>
      <c r="O29" s="249">
        <f t="shared" si="4"/>
        <v>63</v>
      </c>
      <c r="P29" s="249">
        <f t="shared" si="4"/>
        <v>117</v>
      </c>
      <c r="Q29" s="249">
        <f t="shared" si="4"/>
        <v>97</v>
      </c>
      <c r="R29" s="249">
        <f t="shared" si="4"/>
        <v>83</v>
      </c>
      <c r="S29" s="249">
        <f t="shared" si="4"/>
        <v>98</v>
      </c>
      <c r="T29" s="249">
        <f t="shared" si="4"/>
        <v>101</v>
      </c>
      <c r="U29" s="249">
        <f t="shared" si="4"/>
        <v>94</v>
      </c>
      <c r="V29" s="249">
        <f t="shared" si="4"/>
        <v>99</v>
      </c>
      <c r="W29" s="249">
        <f t="shared" si="4"/>
        <v>110</v>
      </c>
      <c r="X29" s="249">
        <f t="shared" si="4"/>
        <v>102</v>
      </c>
      <c r="Y29" s="249">
        <f t="shared" si="4"/>
        <v>98</v>
      </c>
      <c r="Z29" s="249">
        <f t="shared" si="4"/>
        <v>90</v>
      </c>
      <c r="AA29" s="249">
        <f t="shared" si="4"/>
        <v>105</v>
      </c>
      <c r="AB29" s="249">
        <f t="shared" si="4"/>
        <v>102</v>
      </c>
      <c r="AC29" s="249">
        <f t="shared" si="4"/>
        <v>110</v>
      </c>
      <c r="AD29" s="249">
        <f t="shared" si="4"/>
        <v>105</v>
      </c>
      <c r="AE29" s="249">
        <f t="shared" si="4"/>
        <v>96</v>
      </c>
      <c r="AF29" s="249">
        <f t="shared" si="4"/>
        <v>89</v>
      </c>
      <c r="AG29" s="249">
        <f t="shared" si="4"/>
        <v>89</v>
      </c>
      <c r="AH29" s="249">
        <f t="shared" si="4"/>
        <v>83</v>
      </c>
      <c r="AI29" s="248"/>
    </row>
    <row r="30" spans="2:35">
      <c r="B30" s="247" t="s">
        <v>84</v>
      </c>
      <c r="C30" s="248"/>
      <c r="D30" s="249">
        <f>SUM(D10:D11,D14:D15)</f>
        <v>41</v>
      </c>
      <c r="E30" s="249">
        <f t="shared" ref="E30:AH30" si="5">SUM(E10:E11,E14:E15)</f>
        <v>31</v>
      </c>
      <c r="F30" s="249">
        <f t="shared" si="5"/>
        <v>29</v>
      </c>
      <c r="G30" s="249">
        <f t="shared" si="5"/>
        <v>38</v>
      </c>
      <c r="H30" s="249">
        <f t="shared" si="5"/>
        <v>48</v>
      </c>
      <c r="I30" s="249">
        <f t="shared" si="5"/>
        <v>37</v>
      </c>
      <c r="J30" s="249">
        <f t="shared" si="5"/>
        <v>45</v>
      </c>
      <c r="K30" s="249">
        <f t="shared" si="5"/>
        <v>47</v>
      </c>
      <c r="L30" s="249">
        <f t="shared" si="5"/>
        <v>45</v>
      </c>
      <c r="M30" s="249">
        <f t="shared" si="5"/>
        <v>33</v>
      </c>
      <c r="N30" s="249">
        <f t="shared" si="5"/>
        <v>26</v>
      </c>
      <c r="O30" s="249">
        <f t="shared" si="5"/>
        <v>-288</v>
      </c>
      <c r="P30" s="249">
        <f t="shared" si="5"/>
        <v>538</v>
      </c>
      <c r="Q30" s="249">
        <f t="shared" si="5"/>
        <v>37</v>
      </c>
      <c r="R30" s="249">
        <f t="shared" si="5"/>
        <v>51</v>
      </c>
      <c r="S30" s="249">
        <f t="shared" si="5"/>
        <v>15</v>
      </c>
      <c r="T30" s="249">
        <f t="shared" si="5"/>
        <v>50</v>
      </c>
      <c r="U30" s="249">
        <f t="shared" si="5"/>
        <v>139</v>
      </c>
      <c r="V30" s="249">
        <f t="shared" si="5"/>
        <v>64</v>
      </c>
      <c r="W30" s="249">
        <f t="shared" si="5"/>
        <v>47</v>
      </c>
      <c r="X30" s="249">
        <f t="shared" si="5"/>
        <v>53</v>
      </c>
      <c r="Y30" s="249">
        <f t="shared" si="5"/>
        <v>46</v>
      </c>
      <c r="Z30" s="249">
        <f t="shared" si="5"/>
        <v>45</v>
      </c>
      <c r="AA30" s="249">
        <f t="shared" si="5"/>
        <v>44</v>
      </c>
      <c r="AB30" s="249">
        <f t="shared" si="5"/>
        <v>35</v>
      </c>
      <c r="AC30" s="249">
        <f t="shared" si="5"/>
        <v>44</v>
      </c>
      <c r="AD30" s="249">
        <f t="shared" si="5"/>
        <v>47</v>
      </c>
      <c r="AE30" s="249">
        <f t="shared" si="5"/>
        <v>44</v>
      </c>
      <c r="AF30" s="249">
        <f t="shared" si="5"/>
        <v>34</v>
      </c>
      <c r="AG30" s="249">
        <f t="shared" si="5"/>
        <v>26</v>
      </c>
      <c r="AH30" s="249">
        <f t="shared" si="5"/>
        <v>34</v>
      </c>
      <c r="AI30" s="248"/>
    </row>
    <row r="31" spans="2:35">
      <c r="B31" s="247" t="s">
        <v>85</v>
      </c>
      <c r="C31" s="248"/>
      <c r="D31" s="248">
        <f>D30/SUM(D29:D30)%</f>
        <v>30.82706766917293</v>
      </c>
      <c r="E31" s="248">
        <f t="shared" ref="E31:AH31" si="6">E30/SUM(E29:E30)%</f>
        <v>23.134328358208954</v>
      </c>
      <c r="F31" s="248">
        <f t="shared" si="6"/>
        <v>21.804511278195488</v>
      </c>
      <c r="G31" s="248">
        <f t="shared" si="6"/>
        <v>26.027397260273972</v>
      </c>
      <c r="H31" s="248">
        <f t="shared" si="6"/>
        <v>32</v>
      </c>
      <c r="I31" s="248">
        <f t="shared" si="6"/>
        <v>26.24113475177305</v>
      </c>
      <c r="J31" s="248">
        <f t="shared" si="6"/>
        <v>30.82191780821918</v>
      </c>
      <c r="K31" s="248">
        <f t="shared" si="6"/>
        <v>30.921052631578949</v>
      </c>
      <c r="L31" s="248">
        <f t="shared" si="6"/>
        <v>28.30188679245283</v>
      </c>
      <c r="M31" s="248">
        <f t="shared" si="6"/>
        <v>22.916666666666668</v>
      </c>
      <c r="N31" s="248">
        <f t="shared" si="6"/>
        <v>15.568862275449103</v>
      </c>
      <c r="O31" s="248">
        <f t="shared" si="6"/>
        <v>128</v>
      </c>
      <c r="P31" s="248">
        <f t="shared" si="6"/>
        <v>82.137404580152676</v>
      </c>
      <c r="Q31" s="248">
        <f t="shared" si="6"/>
        <v>27.611940298507459</v>
      </c>
      <c r="R31" s="248">
        <f t="shared" si="6"/>
        <v>38.059701492537314</v>
      </c>
      <c r="S31" s="248">
        <f t="shared" si="6"/>
        <v>13.274336283185843</v>
      </c>
      <c r="T31" s="248">
        <f t="shared" si="6"/>
        <v>33.11258278145695</v>
      </c>
      <c r="U31" s="248">
        <f t="shared" si="6"/>
        <v>59.656652360515018</v>
      </c>
      <c r="V31" s="248">
        <f t="shared" si="6"/>
        <v>39.263803680981596</v>
      </c>
      <c r="W31" s="248">
        <f t="shared" si="6"/>
        <v>29.936305732484076</v>
      </c>
      <c r="X31" s="248">
        <f t="shared" si="6"/>
        <v>34.193548387096776</v>
      </c>
      <c r="Y31" s="248">
        <f t="shared" si="6"/>
        <v>31.944444444444446</v>
      </c>
      <c r="Z31" s="248">
        <f t="shared" si="6"/>
        <v>33.333333333333329</v>
      </c>
      <c r="AA31" s="248">
        <f t="shared" si="6"/>
        <v>29.530201342281881</v>
      </c>
      <c r="AB31" s="248">
        <f t="shared" si="6"/>
        <v>25.54744525547445</v>
      </c>
      <c r="AC31" s="248">
        <f t="shared" si="6"/>
        <v>28.571428571428569</v>
      </c>
      <c r="AD31" s="248">
        <f t="shared" si="6"/>
        <v>30.921052631578949</v>
      </c>
      <c r="AE31" s="248">
        <f t="shared" si="6"/>
        <v>31.428571428571431</v>
      </c>
      <c r="AF31" s="248">
        <f t="shared" si="6"/>
        <v>27.64227642276423</v>
      </c>
      <c r="AG31" s="248">
        <f t="shared" si="6"/>
        <v>22.608695652173914</v>
      </c>
      <c r="AH31" s="248">
        <f t="shared" si="6"/>
        <v>29.059829059829063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topLeftCell="A16" zoomScale="70" zoomScaleNormal="70" workbookViewId="0">
      <pane xSplit="1" topLeftCell="B1" activePane="topRight" state="frozen"/>
      <selection activeCell="A4" sqref="A4"/>
      <selection pane="topRight" activeCell="C37" sqref="C37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87" t="s">
        <v>308</v>
      </c>
      <c r="G2" s="788"/>
      <c r="H2" s="788"/>
      <c r="I2" s="788"/>
      <c r="J2" s="788"/>
      <c r="K2" s="788"/>
      <c r="L2" s="788"/>
      <c r="M2" s="789"/>
      <c r="N2" s="786" t="s">
        <v>86</v>
      </c>
      <c r="O2" s="786"/>
      <c r="P2" s="786"/>
      <c r="Q2" s="786"/>
      <c r="R2" s="786"/>
      <c r="S2" s="786"/>
      <c r="T2" s="786"/>
      <c r="U2" s="786"/>
      <c r="V2" s="786"/>
      <c r="W2" s="786"/>
      <c r="X2" s="786"/>
      <c r="Y2" s="786"/>
      <c r="Z2" s="786"/>
      <c r="AA2" s="786"/>
      <c r="AB2" s="786"/>
      <c r="AC2" s="786"/>
      <c r="AD2" s="786"/>
      <c r="AE2" s="786"/>
      <c r="AF2" s="786"/>
      <c r="AG2" s="786"/>
      <c r="AH2" s="786"/>
      <c r="AI2" s="786"/>
      <c r="AJ2" s="786"/>
      <c r="AK2" s="786"/>
      <c r="AL2" s="786"/>
      <c r="AM2" s="786"/>
      <c r="AN2" s="785"/>
      <c r="AO2" s="785"/>
      <c r="AP2" s="785"/>
      <c r="AQ2" s="785"/>
      <c r="AR2" s="785"/>
      <c r="AS2" s="785"/>
      <c r="AT2" s="785"/>
      <c r="AU2" s="503"/>
      <c r="AV2" s="784" t="s">
        <v>87</v>
      </c>
      <c r="AW2" s="784"/>
      <c r="AX2" s="784"/>
      <c r="AY2" s="784"/>
      <c r="BB2" s="318" t="s">
        <v>334</v>
      </c>
      <c r="BC2" s="318" t="s">
        <v>335</v>
      </c>
    </row>
    <row r="3" spans="1:55">
      <c r="F3" s="505"/>
      <c r="G3" s="506"/>
      <c r="H3" s="506"/>
      <c r="I3" s="506"/>
      <c r="J3" s="506"/>
      <c r="K3" s="506"/>
      <c r="L3" s="506"/>
      <c r="M3" s="507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4"/>
      <c r="AN3" s="790" t="s">
        <v>138</v>
      </c>
      <c r="AO3" s="790"/>
      <c r="AP3" s="790"/>
      <c r="AQ3" s="790"/>
      <c r="AR3" s="790"/>
      <c r="AS3" s="790"/>
      <c r="AT3" s="790"/>
      <c r="AU3" s="791" t="s">
        <v>283</v>
      </c>
      <c r="AV3" s="791"/>
      <c r="AW3" s="791"/>
      <c r="AX3" s="791"/>
      <c r="AY3" s="791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08" t="s">
        <v>284</v>
      </c>
      <c r="G4" s="509" t="s">
        <v>285</v>
      </c>
      <c r="H4" s="509" t="s">
        <v>286</v>
      </c>
      <c r="I4" s="509" t="s">
        <v>287</v>
      </c>
      <c r="J4" s="509" t="s">
        <v>282</v>
      </c>
      <c r="K4" s="509" t="s">
        <v>51</v>
      </c>
      <c r="L4" s="510" t="s">
        <v>60</v>
      </c>
      <c r="M4" s="510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511">
        <f>'1'!G7</f>
        <v>25437</v>
      </c>
      <c r="C5" s="511">
        <f>'1'!G8</f>
        <v>25783</v>
      </c>
      <c r="D5" s="511">
        <f>'1'!G15</f>
        <v>1063.6000000000931</v>
      </c>
      <c r="E5" s="511">
        <f>'1'!G20</f>
        <v>182</v>
      </c>
      <c r="F5" s="511">
        <f>SUM('1'!G35,'1'!G49)</f>
        <v>4229.3499999999767</v>
      </c>
      <c r="G5" s="511">
        <f>SUM('1'!H37,'1'!H51)</f>
        <v>1127.2000000000007</v>
      </c>
      <c r="H5" s="511">
        <f>SUM('1'!G38,'1'!G52)</f>
        <v>2260.0599999999886</v>
      </c>
      <c r="I5" s="511">
        <f>SUM('1'!G39,'1'!G53)</f>
        <v>4348.8599999999424</v>
      </c>
      <c r="J5" s="511">
        <f>SUM('1'!G41,'1'!G42,'1'!G55,'1'!G56)</f>
        <v>6923.2999999999447</v>
      </c>
      <c r="K5" s="511">
        <f>SUM('1'!G43,'1'!G57)</f>
        <v>3125.4500000000116</v>
      </c>
      <c r="L5" s="254">
        <f>'1'!G50</f>
        <v>1020.390000000014</v>
      </c>
      <c r="M5" s="254">
        <f>'1'!G36</f>
        <v>620.19000000000233</v>
      </c>
      <c r="N5" s="254">
        <f>'1'!G138</f>
        <v>168</v>
      </c>
      <c r="O5" s="254">
        <f>'1'!G139</f>
        <v>139</v>
      </c>
      <c r="P5" s="254">
        <f>'1'!G140</f>
        <v>15</v>
      </c>
      <c r="Q5" s="254">
        <f>'1'!G141</f>
        <v>185.55999999999767</v>
      </c>
      <c r="R5" s="254">
        <f>'1'!G142</f>
        <v>63.400000000001455</v>
      </c>
      <c r="S5" s="254">
        <f>'1'!$G$145</f>
        <v>32</v>
      </c>
      <c r="T5" s="254">
        <f>'1'!$G$146</f>
        <v>139</v>
      </c>
      <c r="U5" s="254">
        <f>'1'!$G$144</f>
        <v>207</v>
      </c>
      <c r="V5" s="254">
        <f>'1'!$G$147</f>
        <v>365.31999999994878</v>
      </c>
      <c r="W5" s="254">
        <f>'1'!$G$148</f>
        <v>323.43999999994412</v>
      </c>
      <c r="X5" s="254">
        <f>'1'!$G$143</f>
        <v>24.8799999999992</v>
      </c>
      <c r="Y5" s="254">
        <f>'1'!$G$58</f>
        <v>277.2699999999968</v>
      </c>
      <c r="Z5" s="254">
        <f>'1'!$G$151</f>
        <v>337</v>
      </c>
      <c r="AA5" s="254">
        <f>'1'!G161</f>
        <v>17.64000000001397</v>
      </c>
      <c r="AB5" s="254">
        <f>'1'!G162</f>
        <v>41.30000000000291</v>
      </c>
      <c r="AC5" s="254"/>
      <c r="AD5" s="254">
        <f>'1'!G163+'1'!G164</f>
        <v>161.10000000000036</v>
      </c>
      <c r="AE5" s="254">
        <f>'1'!$G$116</f>
        <v>418.74000000000524</v>
      </c>
      <c r="AF5" s="254">
        <f>'1'!$G$117</f>
        <v>225.51900000000023</v>
      </c>
      <c r="AG5" s="254">
        <f>'1'!$G$118</f>
        <v>632.98999999999796</v>
      </c>
      <c r="AH5" s="254">
        <f>'1'!$G$119</f>
        <v>224.40000000000146</v>
      </c>
      <c r="AI5" s="254">
        <f>'1'!$G$120</f>
        <v>412.90000000000146</v>
      </c>
      <c r="AJ5" s="254">
        <f>'1'!$G$121</f>
        <v>477.12000000000262</v>
      </c>
      <c r="AK5" s="254">
        <f>'1'!$G$122</f>
        <v>270</v>
      </c>
      <c r="AL5" s="254">
        <f>'1'!$G$123</f>
        <v>315.90000000000146</v>
      </c>
      <c r="AM5" s="254">
        <f>'1'!$G$133</f>
        <v>0</v>
      </c>
      <c r="AN5" s="254">
        <f>'1'!$G$15</f>
        <v>1063.6000000000931</v>
      </c>
      <c r="AO5" s="254">
        <f>'1'!$G$74</f>
        <v>308.04000000003725</v>
      </c>
      <c r="AP5" s="254">
        <f>'1'!$G$75</f>
        <v>-0.80000000000291038</v>
      </c>
      <c r="AQ5" s="254">
        <f>'1'!$G$76</f>
        <v>116.70000000001164</v>
      </c>
      <c r="AR5" s="254">
        <f>'1'!$G$77</f>
        <v>43</v>
      </c>
      <c r="AS5" s="254">
        <f>'1'!$G$78</f>
        <v>0</v>
      </c>
      <c r="AT5" s="254">
        <f>AN5-SUM(AO5:AS5)</f>
        <v>596.66000000004715</v>
      </c>
      <c r="AU5" s="254">
        <f>SUM('1'!G91:G92)</f>
        <v>10.859999999999673</v>
      </c>
      <c r="AV5" s="254">
        <f>'1'!$G$88</f>
        <v>0</v>
      </c>
      <c r="AW5" s="254">
        <f>'1'!$G$89</f>
        <v>9.6399999999994179</v>
      </c>
      <c r="AX5" s="254">
        <f>'1'!$G$90</f>
        <v>11.75</v>
      </c>
      <c r="AY5" s="252">
        <f>SUM(AV5:AX5)</f>
        <v>21.389999999999418</v>
      </c>
      <c r="AZ5" s="311">
        <f>AO5/AU5</f>
        <v>28.364640883982187</v>
      </c>
      <c r="BA5" s="311">
        <f>AT5/AY5</f>
        <v>27.894343151008105</v>
      </c>
      <c r="BB5" s="351">
        <f>C5-SUM(F5:K5,Y5)</f>
        <v>3491.5100000001403</v>
      </c>
      <c r="BC5" s="351">
        <f>BB5/B5%</f>
        <v>13.726107638479931</v>
      </c>
    </row>
    <row r="6" spans="1:55">
      <c r="A6" s="359">
        <v>2</v>
      </c>
      <c r="B6" s="511">
        <f>'2'!G7</f>
        <v>25517</v>
      </c>
      <c r="C6" s="511">
        <f>'2'!G8</f>
        <v>25845</v>
      </c>
      <c r="D6" s="511">
        <f>'2'!G15</f>
        <v>1000.6999999997206</v>
      </c>
      <c r="E6" s="511">
        <f>'2'!G20</f>
        <v>231</v>
      </c>
      <c r="F6" s="511">
        <f>SUM('2'!G35,'2'!G49)</f>
        <v>4402.7000000000116</v>
      </c>
      <c r="G6" s="511">
        <f>SUM('2'!G37,'2'!G51)</f>
        <v>1083.3100000000013</v>
      </c>
      <c r="H6" s="511">
        <f>SUM('2'!G38,'2'!G52)</f>
        <v>2221.0499999999884</v>
      </c>
      <c r="I6" s="511">
        <f>SUM('2'!G39,'2'!G53)</f>
        <v>4423.6300000000047</v>
      </c>
      <c r="J6" s="511">
        <f>SUM('2'!G41,'2'!G42,'2'!G55,'2'!G56)</f>
        <v>6103.4199999999837</v>
      </c>
      <c r="K6" s="511">
        <f>SUM('2'!G43,'2'!G57)</f>
        <v>2942.6199999999953</v>
      </c>
      <c r="L6" s="254">
        <f>'2'!G50</f>
        <v>1053.8399999999674</v>
      </c>
      <c r="M6" s="254">
        <f>'2'!G36</f>
        <v>775.66000000000349</v>
      </c>
      <c r="N6" s="254">
        <f>'2'!G138</f>
        <v>141</v>
      </c>
      <c r="O6" s="254">
        <f>'2'!$G$139</f>
        <v>140</v>
      </c>
      <c r="P6" s="254">
        <f>'2'!$G$140</f>
        <v>15.200000000000045</v>
      </c>
      <c r="Q6" s="254">
        <f>'2'!$G$141</f>
        <v>190.60000000000582</v>
      </c>
      <c r="R6" s="254">
        <f>'2'!$G$142</f>
        <v>64.129999999997381</v>
      </c>
      <c r="S6" s="254">
        <f>'2'!$G$145</f>
        <v>36.739999999999782</v>
      </c>
      <c r="T6" s="254">
        <f>'2'!$G$146</f>
        <v>80</v>
      </c>
      <c r="U6" s="254">
        <f>'2'!$G$144</f>
        <v>213</v>
      </c>
      <c r="V6" s="254">
        <f>'2'!$G$147</f>
        <v>364.68000000005122</v>
      </c>
      <c r="W6" s="251">
        <f>'2'!$G$148</f>
        <v>249.52000000001863</v>
      </c>
      <c r="X6" s="251">
        <f>'2'!$G$143</f>
        <v>29.020000000000437</v>
      </c>
      <c r="Y6" s="251">
        <f>'2'!$G$58</f>
        <v>251.67000000000553</v>
      </c>
      <c r="Z6" s="251">
        <f>'2'!$G$151</f>
        <v>331</v>
      </c>
      <c r="AA6" s="251">
        <f>'2'!G161</f>
        <v>39.07999999995809</v>
      </c>
      <c r="AB6" s="254">
        <f>'2'!G162</f>
        <v>46</v>
      </c>
      <c r="AC6" s="254"/>
      <c r="AD6" s="254">
        <f>'2'!G163+'2'!G164</f>
        <v>146.39999999999964</v>
      </c>
      <c r="AE6" s="254">
        <f>'2'!$G$116</f>
        <v>406.83999999999651</v>
      </c>
      <c r="AF6" s="254">
        <f>'2'!$G$117</f>
        <v>262.65099999999802</v>
      </c>
      <c r="AG6" s="254">
        <f>'2'!$G$118</f>
        <v>629.99999999999272</v>
      </c>
      <c r="AH6" s="254">
        <f>'2'!$G$119</f>
        <v>232.15999999999622</v>
      </c>
      <c r="AI6" s="254">
        <f>'2'!$G$120</f>
        <v>395.47000000000116</v>
      </c>
      <c r="AJ6" s="254">
        <f>'2'!$G$121</f>
        <v>481.5</v>
      </c>
      <c r="AK6" s="254">
        <f>'2'!$G$122</f>
        <v>278.86000000000058</v>
      </c>
      <c r="AL6" s="254">
        <f>'2'!$G$123</f>
        <v>319.93000000000029</v>
      </c>
      <c r="AM6" s="254">
        <f>'2'!$G$133</f>
        <v>0</v>
      </c>
      <c r="AN6" s="254">
        <f>'2'!$G$15</f>
        <v>1000.6999999997206</v>
      </c>
      <c r="AO6" s="254">
        <f>'2'!$G$74</f>
        <v>286.32999999995809</v>
      </c>
      <c r="AP6" s="254">
        <f>'2'!$G$75</f>
        <v>0.80000000000291038</v>
      </c>
      <c r="AQ6" s="254">
        <f>'2'!$G$76</f>
        <v>112.29999999998836</v>
      </c>
      <c r="AR6" s="254">
        <f>'2'!$G$77</f>
        <v>50.80000000000291</v>
      </c>
      <c r="AS6" s="254">
        <f>'2'!$G$78</f>
        <v>0</v>
      </c>
      <c r="AT6" s="254">
        <f t="shared" ref="AT6:AT34" si="0">AN6-SUM(AO6:AS6)</f>
        <v>550.46999999976833</v>
      </c>
      <c r="AU6" s="254">
        <f>SUM('2'!G91:G92)</f>
        <v>10.289999999999964</v>
      </c>
      <c r="AV6" s="254">
        <f>'2'!$G$88</f>
        <v>0</v>
      </c>
      <c r="AW6" s="254">
        <f>'2'!$G$89</f>
        <v>9.3400000000001455</v>
      </c>
      <c r="AX6" s="254">
        <f>'2'!$G$90</f>
        <v>10.089999999996508</v>
      </c>
      <c r="AY6" s="252">
        <f t="shared" ref="AY6:AY34" si="1">SUM(AV6:AX6)</f>
        <v>19.429999999996653</v>
      </c>
      <c r="AZ6" s="311">
        <f t="shared" ref="AZ6:AZ8" si="2">AO6/AU6</f>
        <v>27.826044703591748</v>
      </c>
      <c r="BA6" s="311">
        <f t="shared" ref="BA6:BA35" si="3">AT6/AY6</f>
        <v>28.330931549143756</v>
      </c>
      <c r="BB6" s="351">
        <f t="shared" ref="BB6:BB35" si="4">C6-SUM(F6:K6,Y6)</f>
        <v>4416.6000000000095</v>
      </c>
      <c r="BC6" s="351">
        <f t="shared" ref="BC6:BC35" si="5">BB6/B6%</f>
        <v>17.308461025982716</v>
      </c>
    </row>
    <row r="7" spans="1:55" s="313" customFormat="1">
      <c r="A7" s="359">
        <v>3</v>
      </c>
      <c r="B7" s="511">
        <f>'3'!G7</f>
        <v>27628.190000000002</v>
      </c>
      <c r="C7" s="511">
        <f>'3'!G8</f>
        <v>28055</v>
      </c>
      <c r="D7" s="511">
        <f>'3'!G15</f>
        <v>979.20000000018626</v>
      </c>
      <c r="E7" s="511">
        <f>'3'!G20</f>
        <v>155</v>
      </c>
      <c r="F7" s="511">
        <f>SUM('3'!G35,'3'!G49)</f>
        <v>4074.1900000000023</v>
      </c>
      <c r="G7" s="511">
        <f>SUM('3'!G37,'3'!G51)</f>
        <v>1091.6900000000005</v>
      </c>
      <c r="H7" s="511">
        <f>SUM('3'!G38,'3'!G52)</f>
        <v>2247.1199999999953</v>
      </c>
      <c r="I7" s="511">
        <f>SUM('3'!G39,'3'!G53)</f>
        <v>4283.9599999999991</v>
      </c>
      <c r="J7" s="511">
        <f>SUM('3'!G41,'3'!G42,'3'!G55,'3'!G56)</f>
        <v>7359.4100000000326</v>
      </c>
      <c r="K7" s="511">
        <f>SUM('3'!G43,'3'!G57)</f>
        <v>3175.1199999999953</v>
      </c>
      <c r="L7" s="251">
        <f>'3'!G50</f>
        <v>1586.5400000000373</v>
      </c>
      <c r="M7" s="251">
        <f>'3'!G36</f>
        <v>1174.1199999999953</v>
      </c>
      <c r="N7" s="251">
        <f>'3'!G138</f>
        <v>145</v>
      </c>
      <c r="O7" s="251">
        <f>'3'!$G$139</f>
        <v>184</v>
      </c>
      <c r="P7" s="251">
        <f>'3'!$G$140</f>
        <v>13.799999999999955</v>
      </c>
      <c r="Q7" s="251">
        <f>'3'!$G$141</f>
        <v>196.26999999998952</v>
      </c>
      <c r="R7" s="251">
        <f>'3'!$G$142</f>
        <v>70.169999999998254</v>
      </c>
      <c r="S7" s="251">
        <f>'3'!$G$145</f>
        <v>36.260000000000218</v>
      </c>
      <c r="T7" s="251">
        <f>'3'!$G$146</f>
        <v>72</v>
      </c>
      <c r="U7" s="251">
        <f>'3'!$G$144</f>
        <v>213</v>
      </c>
      <c r="V7" s="251">
        <f>'3'!$G$147</f>
        <v>395.64000000001397</v>
      </c>
      <c r="W7" s="251">
        <f>'3'!$G$148</f>
        <v>292.32000000006519</v>
      </c>
      <c r="X7" s="251">
        <f>'3'!$G$143</f>
        <v>24.530000000000655</v>
      </c>
      <c r="Y7" s="251">
        <f>'3'!$G$58</f>
        <v>233.45999999999913</v>
      </c>
      <c r="Z7" s="251">
        <f>'3'!$G$151</f>
        <v>319</v>
      </c>
      <c r="AA7" s="254">
        <f>'3'!G161</f>
        <v>30.92000000004191</v>
      </c>
      <c r="AB7" s="254">
        <f>'3'!G162</f>
        <v>46.69999999999709</v>
      </c>
      <c r="AC7" s="254"/>
      <c r="AD7" s="254">
        <f>'3'!G163+'3'!G164</f>
        <v>109.89999999999964</v>
      </c>
      <c r="AE7" s="251">
        <f>'3'!$G$116</f>
        <v>410.02000000000407</v>
      </c>
      <c r="AF7" s="251">
        <f>'3'!$G$117</f>
        <v>177.12000000000262</v>
      </c>
      <c r="AG7" s="251">
        <f>'3'!$G$118</f>
        <v>591.16000000000349</v>
      </c>
      <c r="AH7" s="251">
        <f>'3'!$G$119</f>
        <v>227.63999999999942</v>
      </c>
      <c r="AI7" s="251">
        <f>'3'!$G$120</f>
        <v>412.15999999999622</v>
      </c>
      <c r="AJ7" s="251">
        <f>'3'!$G$121</f>
        <v>478.70999999999913</v>
      </c>
      <c r="AK7" s="251">
        <f>'3'!$G$122</f>
        <v>288.02999999999884</v>
      </c>
      <c r="AL7" s="251">
        <f>'3'!$G$123</f>
        <v>367.16999999999825</v>
      </c>
      <c r="AM7" s="251">
        <f>'3'!$G$133</f>
        <v>0</v>
      </c>
      <c r="AN7" s="251">
        <f>'3'!$G$15</f>
        <v>979.20000000018626</v>
      </c>
      <c r="AO7" s="251">
        <f>'3'!$G$74</f>
        <v>281.28000000002794</v>
      </c>
      <c r="AP7" s="251">
        <f>'3'!$G$75</f>
        <v>-0.80000000000291038</v>
      </c>
      <c r="AQ7" s="251">
        <f>'3'!$G$76</f>
        <v>108</v>
      </c>
      <c r="AR7" s="251">
        <f>'3'!$G$77</f>
        <v>48.19999999999709</v>
      </c>
      <c r="AS7" s="251">
        <f>'3'!$G$78</f>
        <v>0</v>
      </c>
      <c r="AT7" s="251">
        <f t="shared" si="0"/>
        <v>542.52000000016415</v>
      </c>
      <c r="AU7" s="254">
        <f>SUM('3'!G91:G92)</f>
        <v>10.100000000001273</v>
      </c>
      <c r="AV7" s="251">
        <f>'3'!$G$88</f>
        <v>0</v>
      </c>
      <c r="AW7" s="251">
        <f>'3'!$G$89</f>
        <v>8.5499999999992724</v>
      </c>
      <c r="AX7" s="251">
        <f>'3'!$G$90</f>
        <v>10.729999999995925</v>
      </c>
      <c r="AY7" s="255">
        <f t="shared" si="1"/>
        <v>19.279999999995198</v>
      </c>
      <c r="AZ7" s="311">
        <f t="shared" si="2"/>
        <v>27.849504950494303</v>
      </c>
      <c r="BA7" s="311">
        <f t="shared" si="3"/>
        <v>28.139004149393116</v>
      </c>
      <c r="BB7" s="351">
        <f t="shared" si="4"/>
        <v>5590.0499999999738</v>
      </c>
      <c r="BC7" s="351">
        <f t="shared" si="5"/>
        <v>20.233138689143132</v>
      </c>
    </row>
    <row r="8" spans="1:55">
      <c r="A8" s="359">
        <v>4</v>
      </c>
      <c r="B8" s="511">
        <f>'4'!G7</f>
        <v>25466</v>
      </c>
      <c r="C8" s="511">
        <f>'4'!G8</f>
        <v>25892</v>
      </c>
      <c r="D8" s="511">
        <f>'4'!G15</f>
        <v>1002.2999999998137</v>
      </c>
      <c r="E8" s="511">
        <f>'4'!G20</f>
        <v>183</v>
      </c>
      <c r="F8" s="511">
        <f>SUM('4'!G35,'4'!G49)</f>
        <v>4185.75</v>
      </c>
      <c r="G8" s="511">
        <f>SUM('4'!G37,'4'!G51)</f>
        <v>1113.08</v>
      </c>
      <c r="H8" s="511">
        <f>SUM('4'!G38,'4'!G52)</f>
        <v>2254.1500000000324</v>
      </c>
      <c r="I8" s="511">
        <f>SUM('4'!G39,'4'!G53)</f>
        <v>4351.1299999999974</v>
      </c>
      <c r="J8" s="511">
        <f>SUM('4'!G41,'4'!G42,'4'!G55,'4'!G56)</f>
        <v>6053.679999999993</v>
      </c>
      <c r="K8" s="511">
        <f>SUM('4'!G43,'4'!G57)</f>
        <v>3159</v>
      </c>
      <c r="L8" s="254">
        <f>'4'!G50</f>
        <v>1123.2199999999721</v>
      </c>
      <c r="M8" s="254">
        <f>'4'!G36</f>
        <v>810.57999999998719</v>
      </c>
      <c r="N8" s="254">
        <f>'4'!G138</f>
        <v>142</v>
      </c>
      <c r="O8" s="254">
        <f>'4'!$G$139</f>
        <v>152</v>
      </c>
      <c r="P8" s="254">
        <f>'4'!$G$140</f>
        <v>16.700000000000045</v>
      </c>
      <c r="Q8" s="254">
        <f>'4'!$G$141</f>
        <v>199.08000000000175</v>
      </c>
      <c r="R8" s="254">
        <f>'4'!$G$142</f>
        <v>86.55000000000291</v>
      </c>
      <c r="S8" s="254">
        <f>'4'!$G$145</f>
        <v>39.819999999999709</v>
      </c>
      <c r="T8" s="254">
        <f>'4'!$G$146</f>
        <v>73</v>
      </c>
      <c r="U8" s="254">
        <f>'4'!$G$144</f>
        <v>221</v>
      </c>
      <c r="V8" s="251">
        <f>'4'!$G$147</f>
        <v>374.79999999993015</v>
      </c>
      <c r="W8" s="251">
        <f>'4'!$G$148</f>
        <v>245.76000000000931</v>
      </c>
      <c r="X8" s="254">
        <f>'4'!$G$143</f>
        <v>24.529999999998836</v>
      </c>
      <c r="Y8" s="254">
        <f>'4'!$G$58</f>
        <v>261.16999999999825</v>
      </c>
      <c r="Z8" s="254">
        <f>'4'!$G$151</f>
        <v>250</v>
      </c>
      <c r="AA8" s="254">
        <f>'4'!G161</f>
        <v>25.799999999988358</v>
      </c>
      <c r="AB8" s="254">
        <f>'4'!G162</f>
        <v>43.899999999994179</v>
      </c>
      <c r="AC8" s="254"/>
      <c r="AD8" s="254">
        <f>'4'!G163+'4'!G164</f>
        <v>109.80000000000018</v>
      </c>
      <c r="AE8" s="254">
        <f>'4'!$G$116</f>
        <v>387.18999999998778</v>
      </c>
      <c r="AF8" s="254">
        <f>'4'!$G$117</f>
        <v>238.83999999999651</v>
      </c>
      <c r="AG8" s="254">
        <f>'4'!$G$118</f>
        <v>0.38000000000465661</v>
      </c>
      <c r="AH8" s="254">
        <f>'4'!$G$119</f>
        <v>230.13999999999942</v>
      </c>
      <c r="AI8" s="254">
        <f>'4'!$G$120</f>
        <v>413.59999999999854</v>
      </c>
      <c r="AJ8" s="254">
        <f>'4'!$G$121</f>
        <v>474.81999999999971</v>
      </c>
      <c r="AK8" s="254">
        <f>'4'!$G$122</f>
        <v>276.20000000000073</v>
      </c>
      <c r="AL8" s="254">
        <f>'4'!$G$123</f>
        <v>285.15000000000146</v>
      </c>
      <c r="AM8" s="254">
        <f>'4'!$G$133</f>
        <v>0</v>
      </c>
      <c r="AN8" s="254">
        <f>'4'!$G$15</f>
        <v>1002.2999999998137</v>
      </c>
      <c r="AO8" s="254">
        <f>'4'!$G$74</f>
        <v>292.34999999997672</v>
      </c>
      <c r="AP8" s="254">
        <f>'4'!$G$75</f>
        <v>0</v>
      </c>
      <c r="AQ8" s="254">
        <f>'4'!$G$76</f>
        <v>106</v>
      </c>
      <c r="AR8" s="254">
        <f>'4'!$G$77</f>
        <v>44</v>
      </c>
      <c r="AS8" s="254">
        <f>'4'!$G$78</f>
        <v>0</v>
      </c>
      <c r="AT8" s="254">
        <f t="shared" si="0"/>
        <v>559.94999999983702</v>
      </c>
      <c r="AU8" s="254">
        <f>SUM('4'!G91:G92)</f>
        <v>10.519999999999527</v>
      </c>
      <c r="AV8" s="254">
        <f>'4'!$G$88</f>
        <v>0.2000000000007276</v>
      </c>
      <c r="AW8" s="254">
        <f>'4'!$G$89</f>
        <v>9.1500000000014552</v>
      </c>
      <c r="AX8" s="254">
        <f>'4'!$G$90</f>
        <v>11.309999999997672</v>
      </c>
      <c r="AY8" s="252">
        <f t="shared" si="1"/>
        <v>20.659999999999854</v>
      </c>
      <c r="AZ8" s="311">
        <f t="shared" si="2"/>
        <v>27.789923954371659</v>
      </c>
      <c r="BA8" s="311">
        <f t="shared" si="3"/>
        <v>27.103097773467617</v>
      </c>
      <c r="BB8" s="351">
        <f t="shared" si="4"/>
        <v>4514.039999999979</v>
      </c>
      <c r="BC8" s="351">
        <f t="shared" si="5"/>
        <v>17.725751983036123</v>
      </c>
    </row>
    <row r="9" spans="1:55">
      <c r="A9" s="359">
        <v>5</v>
      </c>
      <c r="B9" s="511">
        <f>'5'!G7</f>
        <v>26773.809999999998</v>
      </c>
      <c r="C9" s="511">
        <f>'5'!G8</f>
        <v>27118</v>
      </c>
      <c r="D9" s="511">
        <f>'5'!G15</f>
        <v>1047.2000000001863</v>
      </c>
      <c r="E9" s="511">
        <f>'5'!G20</f>
        <v>192</v>
      </c>
      <c r="F9" s="511">
        <f>SUM('5'!G35,'5'!G49)</f>
        <v>4350.0100000000093</v>
      </c>
      <c r="G9" s="511">
        <f>SUM('5'!G37,'5'!G51)</f>
        <v>1100.4099999999999</v>
      </c>
      <c r="H9" s="511">
        <f>SUM('5'!G38,'5'!G52)</f>
        <v>2239.3799999999956</v>
      </c>
      <c r="I9" s="511">
        <f>SUM('5'!G39,'5'!G53)</f>
        <v>4215.4200000000565</v>
      </c>
      <c r="J9" s="511">
        <f>SUM('5'!G41,'5'!G42,'5'!G55,'5'!G56)</f>
        <v>6662.0200000000041</v>
      </c>
      <c r="K9" s="511">
        <f>SUM('5'!G43,'5'!G57)</f>
        <v>3388.8099999999977</v>
      </c>
      <c r="L9" s="254">
        <f>'5'!G50</f>
        <v>1030.0100000000093</v>
      </c>
      <c r="M9" s="254">
        <f>'5'!G36</f>
        <v>1153.4500000000116</v>
      </c>
      <c r="N9" s="254">
        <f>'5'!G138</f>
        <v>150</v>
      </c>
      <c r="O9" s="254">
        <f>'5'!$G$139</f>
        <v>150</v>
      </c>
      <c r="P9" s="254">
        <f>'5'!$G$140</f>
        <v>15.299999999999955</v>
      </c>
      <c r="Q9" s="258">
        <f>'5'!$G$141</f>
        <v>190.49000000000524</v>
      </c>
      <c r="R9" s="254">
        <f>'5'!$G$142</f>
        <v>87.75</v>
      </c>
      <c r="S9" s="251">
        <f>'5'!$G$145</f>
        <v>29.180000000000291</v>
      </c>
      <c r="T9" s="254">
        <f>'5'!$G$146</f>
        <v>78</v>
      </c>
      <c r="U9" s="254">
        <f>'5'!$G$144</f>
        <v>217</v>
      </c>
      <c r="V9" s="256">
        <f>'5'!$G$147</f>
        <v>378.56000000005588</v>
      </c>
      <c r="W9" s="254">
        <f>'5'!$G$148</f>
        <v>350.95999999996275</v>
      </c>
      <c r="X9" s="254">
        <f>'5'!$G$143</f>
        <v>26.040000000000873</v>
      </c>
      <c r="Y9" s="254">
        <f>'5'!$G$58</f>
        <v>257.43000000000029</v>
      </c>
      <c r="Z9" s="254">
        <f>'5'!$G$151</f>
        <v>263</v>
      </c>
      <c r="AA9" s="254">
        <f>'5'!G161</f>
        <v>24.559999999997672</v>
      </c>
      <c r="AB9" s="254">
        <f>'5'!G162</f>
        <v>51.100000000005821</v>
      </c>
      <c r="AC9" s="254"/>
      <c r="AD9" s="254">
        <f>'5'!G163+'5'!G164</f>
        <v>92.800000000000182</v>
      </c>
      <c r="AE9" s="254">
        <f>'5'!$G$116</f>
        <v>286.2100000000064</v>
      </c>
      <c r="AF9" s="254">
        <f>'5'!$G$117</f>
        <v>239.87000000000262</v>
      </c>
      <c r="AG9" s="254">
        <f>'5'!$G$118</f>
        <v>1158.4700000000012</v>
      </c>
      <c r="AH9" s="254">
        <f>'5'!$G$119</f>
        <v>232.66000000000349</v>
      </c>
      <c r="AI9" s="254">
        <f>'5'!$G$120</f>
        <v>416.87000000000262</v>
      </c>
      <c r="AJ9" s="254">
        <f>'5'!$G$121</f>
        <v>467.84999999999854</v>
      </c>
      <c r="AK9" s="254">
        <f>'5'!$G$122</f>
        <v>280.90999999999985</v>
      </c>
      <c r="AL9" s="254">
        <f>'5'!$G$123</f>
        <v>321.84999999999854</v>
      </c>
      <c r="AM9" s="254">
        <f>'5'!$G$133</f>
        <v>0</v>
      </c>
      <c r="AN9" s="254">
        <f>'5'!$G$15</f>
        <v>1047.2000000001863</v>
      </c>
      <c r="AO9" s="256">
        <f>'5'!$G$74</f>
        <v>286.14000000001397</v>
      </c>
      <c r="AP9" s="256">
        <f>'5'!$G$75</f>
        <v>0</v>
      </c>
      <c r="AQ9" s="256">
        <f>'5'!$G$76</f>
        <v>116</v>
      </c>
      <c r="AR9" s="256">
        <f>'5'!$G$77</f>
        <v>93</v>
      </c>
      <c r="AS9" s="256">
        <f>'5'!$G$78</f>
        <v>0</v>
      </c>
      <c r="AT9" s="256">
        <f t="shared" si="0"/>
        <v>552.06000000017229</v>
      </c>
      <c r="AU9" s="254">
        <f>SUM('5'!G91:G92)</f>
        <v>10.25</v>
      </c>
      <c r="AV9" s="254">
        <f>'5'!$G$88</f>
        <v>-0.2000000000007276</v>
      </c>
      <c r="AW9" s="254">
        <f>'5'!$G$89</f>
        <v>9.0599999999976717</v>
      </c>
      <c r="AX9" s="254">
        <f>'5'!$G$90</f>
        <v>12.540000000008149</v>
      </c>
      <c r="AY9" s="252">
        <f t="shared" si="1"/>
        <v>21.400000000005093</v>
      </c>
      <c r="AZ9" s="311">
        <f>AO9/AU9</f>
        <v>27.916097560976972</v>
      </c>
      <c r="BA9" s="311">
        <f t="shared" si="3"/>
        <v>25.797196261684153</v>
      </c>
      <c r="BB9" s="351">
        <f t="shared" si="4"/>
        <v>4904.5199999999386</v>
      </c>
      <c r="BC9" s="351">
        <f t="shared" si="5"/>
        <v>18.318349162857057</v>
      </c>
    </row>
    <row r="10" spans="1:55">
      <c r="A10" s="359">
        <v>6</v>
      </c>
      <c r="B10" s="511">
        <f>'6'!G7</f>
        <v>25778</v>
      </c>
      <c r="C10" s="511">
        <f>'6'!G8</f>
        <v>26156</v>
      </c>
      <c r="D10" s="511">
        <f>'6'!G15</f>
        <v>981</v>
      </c>
      <c r="E10" s="511">
        <f>'6'!G20</f>
        <v>247</v>
      </c>
      <c r="F10" s="511">
        <f>SUM('6'!G35,'6'!G49)</f>
        <v>4273</v>
      </c>
      <c r="G10" s="511">
        <f>SUM('6'!G37,'6'!G51)</f>
        <v>1116</v>
      </c>
      <c r="H10" s="511">
        <f>SUM('6'!G38,'6'!G52)</f>
        <v>2225</v>
      </c>
      <c r="I10" s="511">
        <f>SUM('6'!G39,'6'!G53)</f>
        <v>4247</v>
      </c>
      <c r="J10" s="511">
        <f>SUM('6'!G41,'6'!G42,'6'!G55,'6'!G56)</f>
        <v>6391.1700000000419</v>
      </c>
      <c r="K10" s="511">
        <f>SUM('6'!G43,'6'!G57)</f>
        <v>3116</v>
      </c>
      <c r="L10" s="254">
        <f>'6'!G50</f>
        <v>993</v>
      </c>
      <c r="M10" s="254">
        <f>'6'!G36</f>
        <v>879</v>
      </c>
      <c r="N10" s="254">
        <f>'6'!G138</f>
        <v>147</v>
      </c>
      <c r="O10" s="254">
        <f>'6'!$G$139</f>
        <v>157</v>
      </c>
      <c r="P10" s="254">
        <f>'6'!$G$140</f>
        <v>14</v>
      </c>
      <c r="Q10" s="254">
        <f>'6'!$G$141</f>
        <v>195</v>
      </c>
      <c r="R10" s="254">
        <f>'6'!$G$142</f>
        <v>89</v>
      </c>
      <c r="S10" s="254">
        <f>'6'!$G$145</f>
        <v>27</v>
      </c>
      <c r="T10" s="251">
        <f>'6'!$G$146</f>
        <v>72</v>
      </c>
      <c r="U10" s="251">
        <f>'6'!$G$144</f>
        <v>226</v>
      </c>
      <c r="V10" s="251">
        <f>'6'!$G$147</f>
        <v>379</v>
      </c>
      <c r="W10" s="251">
        <f>'6'!$G$148</f>
        <v>300</v>
      </c>
      <c r="X10" s="251">
        <f>'6'!$G$143</f>
        <v>25</v>
      </c>
      <c r="Y10" s="251">
        <f>'6'!$G$58</f>
        <v>283</v>
      </c>
      <c r="Z10" s="251">
        <f>'6'!$G$151</f>
        <v>247</v>
      </c>
      <c r="AA10" s="251">
        <f>'6'!G161</f>
        <v>30</v>
      </c>
      <c r="AB10" s="251">
        <f>'6'!G162</f>
        <v>44</v>
      </c>
      <c r="AC10" s="251"/>
      <c r="AD10" s="251">
        <f>'6'!G163+'6'!G164</f>
        <v>58</v>
      </c>
      <c r="AE10" s="254">
        <f>'6'!$G$116</f>
        <v>319</v>
      </c>
      <c r="AF10" s="254">
        <f>'6'!$G$117</f>
        <v>216</v>
      </c>
      <c r="AG10" s="254">
        <f>'6'!$G$118</f>
        <v>540</v>
      </c>
      <c r="AH10" s="254">
        <f>'6'!$G$119</f>
        <v>248</v>
      </c>
      <c r="AI10" s="254">
        <f>'6'!$G$120</f>
        <v>424</v>
      </c>
      <c r="AJ10" s="254">
        <f>'6'!$G$121</f>
        <v>470</v>
      </c>
      <c r="AK10" s="254">
        <f>'6'!$G$122</f>
        <v>328</v>
      </c>
      <c r="AL10" s="254">
        <f>'6'!$G$123</f>
        <v>331</v>
      </c>
      <c r="AM10" s="254">
        <f>'6'!$G$133</f>
        <v>0.41000000000349246</v>
      </c>
      <c r="AN10" s="254">
        <f>'6'!$G$15</f>
        <v>981</v>
      </c>
      <c r="AO10" s="256">
        <f>'6'!$G$74</f>
        <v>312</v>
      </c>
      <c r="AP10" s="256">
        <f>'6'!$G$75</f>
        <v>0</v>
      </c>
      <c r="AQ10" s="256">
        <f>'6'!$G$76</f>
        <v>114</v>
      </c>
      <c r="AR10" s="256">
        <f>'6'!$G$77</f>
        <v>3</v>
      </c>
      <c r="AS10" s="256">
        <f>'6'!$G$78</f>
        <v>0.3999999999996362</v>
      </c>
      <c r="AT10" s="256">
        <f t="shared" si="0"/>
        <v>551.60000000000036</v>
      </c>
      <c r="AU10" s="254">
        <f>SUM('6'!G91:G92)</f>
        <v>11.230000000000473</v>
      </c>
      <c r="AV10" s="254">
        <f>'6'!$G$88</f>
        <v>10.540000000000873</v>
      </c>
      <c r="AW10" s="254">
        <f>'6'!$G$89</f>
        <v>0</v>
      </c>
      <c r="AX10" s="254">
        <f>'6'!$G$90</f>
        <v>11.029999999998836</v>
      </c>
      <c r="AY10" s="252">
        <f t="shared" si="1"/>
        <v>21.569999999999709</v>
      </c>
      <c r="AZ10" s="311">
        <f t="shared" ref="AZ10:AZ28" si="6">AO10/AU10</f>
        <v>27.782724844166239</v>
      </c>
      <c r="BA10" s="311">
        <f t="shared" si="3"/>
        <v>25.572554473806573</v>
      </c>
      <c r="BB10" s="351">
        <f t="shared" si="4"/>
        <v>4504.8299999999581</v>
      </c>
      <c r="BC10" s="351">
        <f t="shared" si="5"/>
        <v>17.475482969974237</v>
      </c>
    </row>
    <row r="11" spans="1:55">
      <c r="A11" s="359">
        <v>7</v>
      </c>
      <c r="B11" s="511">
        <f>'7'!G7</f>
        <v>25498</v>
      </c>
      <c r="C11" s="511">
        <f>'7'!G8</f>
        <v>25917</v>
      </c>
      <c r="D11" s="511">
        <f>'7'!G15</f>
        <v>1066</v>
      </c>
      <c r="E11" s="511">
        <f>'7'!G20</f>
        <v>287</v>
      </c>
      <c r="F11" s="511">
        <f>SUM('7'!G35,'7'!G49)</f>
        <v>4335</v>
      </c>
      <c r="G11" s="511">
        <f>SUM('7'!G37,'7'!G51)</f>
        <v>1065</v>
      </c>
      <c r="H11" s="511">
        <f>SUM('7'!G38,'7'!G52)</f>
        <v>2257</v>
      </c>
      <c r="I11" s="511">
        <f>SUM('7'!G39,'7'!G53)</f>
        <v>4343</v>
      </c>
      <c r="J11" s="511">
        <f>SUM('7'!G41,'7'!G42,'7'!G55,'7'!G56)</f>
        <v>6173</v>
      </c>
      <c r="K11" s="511">
        <f>SUM('7'!G43,'7'!G57)</f>
        <v>3091</v>
      </c>
      <c r="L11" s="254">
        <f>'7'!G50</f>
        <v>1137</v>
      </c>
      <c r="M11" s="254">
        <f>'7'!G36</f>
        <v>801</v>
      </c>
      <c r="N11" s="254">
        <f>'7'!G138</f>
        <v>134</v>
      </c>
      <c r="O11" s="254">
        <f>'7'!$G$139</f>
        <v>133</v>
      </c>
      <c r="P11" s="254">
        <f>'7'!$G$140</f>
        <v>14</v>
      </c>
      <c r="Q11" s="254">
        <f>'7'!$G$141</f>
        <v>206</v>
      </c>
      <c r="R11" s="254">
        <f>'7'!$G$142</f>
        <v>81</v>
      </c>
      <c r="S11" s="254">
        <f>'7'!$G$145</f>
        <v>25</v>
      </c>
      <c r="T11" s="251">
        <f>'7'!$G$146</f>
        <v>75</v>
      </c>
      <c r="U11" s="251">
        <f>'7'!$G$144</f>
        <v>226</v>
      </c>
      <c r="V11" s="251">
        <f>'7'!$G$147</f>
        <v>374</v>
      </c>
      <c r="W11" s="251">
        <f>'7'!$G$148</f>
        <v>294</v>
      </c>
      <c r="X11" s="251">
        <f>'7'!$G$143</f>
        <v>25</v>
      </c>
      <c r="Y11" s="251">
        <f>'7'!$G$58</f>
        <v>264</v>
      </c>
      <c r="Z11" s="256">
        <f>'7'!$G$151</f>
        <v>245</v>
      </c>
      <c r="AA11" s="256">
        <f>'7'!G161</f>
        <v>28</v>
      </c>
      <c r="AB11" s="251">
        <f>'7'!G162</f>
        <v>26</v>
      </c>
      <c r="AC11" s="251"/>
      <c r="AD11" s="251">
        <f>'7'!G163+'7'!G164</f>
        <v>80</v>
      </c>
      <c r="AE11" s="254">
        <f>'7'!$G$116</f>
        <v>390</v>
      </c>
      <c r="AF11" s="254">
        <f>'7'!$G$117</f>
        <v>187</v>
      </c>
      <c r="AG11" s="254">
        <f>'7'!$G$118</f>
        <v>550</v>
      </c>
      <c r="AH11" s="254">
        <f>'7'!$G$119</f>
        <v>254</v>
      </c>
      <c r="AI11" s="254">
        <f>'7'!$G$120</f>
        <v>431</v>
      </c>
      <c r="AJ11" s="254">
        <f>'7'!$G$121</f>
        <v>474</v>
      </c>
      <c r="AK11" s="256">
        <f>'7'!$G$122</f>
        <v>330</v>
      </c>
      <c r="AL11" s="254">
        <f>'7'!$G$123</f>
        <v>331</v>
      </c>
      <c r="AM11" s="254">
        <f>'7'!$G$133</f>
        <v>0</v>
      </c>
      <c r="AN11" s="254">
        <f>'7'!$G$15</f>
        <v>1066</v>
      </c>
      <c r="AO11" s="256">
        <f>'7'!$G$74</f>
        <v>359</v>
      </c>
      <c r="AP11" s="256">
        <f>'7'!$G$75</f>
        <v>0</v>
      </c>
      <c r="AQ11" s="256">
        <f>'7'!$G$76</f>
        <v>111</v>
      </c>
      <c r="AR11" s="256">
        <f>'7'!$G$77</f>
        <v>47</v>
      </c>
      <c r="AS11" s="256">
        <f>'7'!$G$78</f>
        <v>0</v>
      </c>
      <c r="AT11" s="256">
        <f t="shared" si="0"/>
        <v>549</v>
      </c>
      <c r="AU11" s="254">
        <f>SUM('7'!G91:G92)</f>
        <v>12.889999999999418</v>
      </c>
      <c r="AV11" s="254">
        <f>'7'!$G$88</f>
        <v>4.9599999999991269</v>
      </c>
      <c r="AW11" s="254">
        <f>'7'!$G$89</f>
        <v>4.6500000000014552</v>
      </c>
      <c r="AX11" s="254">
        <f>'7'!$G$90</f>
        <v>11</v>
      </c>
      <c r="AY11" s="252">
        <f t="shared" si="1"/>
        <v>20.610000000000582</v>
      </c>
      <c r="AZ11" s="311">
        <f>AO11/AU11</f>
        <v>27.851047323507853</v>
      </c>
      <c r="BA11" s="311">
        <f t="shared" si="3"/>
        <v>26.637554585152085</v>
      </c>
      <c r="BB11" s="351">
        <f t="shared" si="4"/>
        <v>4389</v>
      </c>
      <c r="BC11" s="351">
        <f t="shared" si="5"/>
        <v>17.21311475409836</v>
      </c>
    </row>
    <row r="12" spans="1:55">
      <c r="A12" s="359">
        <v>8</v>
      </c>
      <c r="B12" s="511">
        <f>'8'!G7</f>
        <v>26827.150000000023</v>
      </c>
      <c r="C12" s="511">
        <f>'8'!G8</f>
        <v>27220.030000000028</v>
      </c>
      <c r="D12" s="511">
        <f>'8'!G15</f>
        <v>1037</v>
      </c>
      <c r="E12" s="511">
        <f>'8'!G20</f>
        <v>212</v>
      </c>
      <c r="F12" s="511">
        <f>SUM('8'!G35,'8'!G49)</f>
        <v>4326.4799999999814</v>
      </c>
      <c r="G12" s="511">
        <f>SUM('8'!G37,'8'!G51)</f>
        <v>1092.1500000000015</v>
      </c>
      <c r="H12" s="511">
        <f>SUM('8'!G38,'8'!G52)</f>
        <v>2306.3499999999767</v>
      </c>
      <c r="I12" s="511">
        <f>SUM('8'!G39,'8'!G53)</f>
        <v>4722.1299999999464</v>
      </c>
      <c r="J12" s="511">
        <f>SUM('8'!G41,'8'!G42,'8'!G55,'8'!G56)</f>
        <v>6736.2799999999843</v>
      </c>
      <c r="K12" s="511">
        <f>SUM('8'!G43,'8'!G57)</f>
        <v>2997.8099999999977</v>
      </c>
      <c r="L12" s="254">
        <f>'8'!G50</f>
        <v>1390.3300000000163</v>
      </c>
      <c r="M12" s="254">
        <f>'8'!G36</f>
        <v>861.95000000001164</v>
      </c>
      <c r="N12" s="254">
        <f>'8'!G138</f>
        <v>152</v>
      </c>
      <c r="O12" s="254">
        <f>'8'!$G$139</f>
        <v>166</v>
      </c>
      <c r="P12" s="254">
        <f>'8'!$G$140</f>
        <v>15.8900000000001</v>
      </c>
      <c r="Q12" s="254">
        <f>'8'!$G$141</f>
        <v>203.0399999999936</v>
      </c>
      <c r="R12" s="254">
        <f>'8'!$G$142</f>
        <v>98.900000000001455</v>
      </c>
      <c r="S12" s="254">
        <f>'8'!$G$145</f>
        <v>26.789999999999964</v>
      </c>
      <c r="T12" s="251">
        <f>'8'!$G$146</f>
        <v>73</v>
      </c>
      <c r="U12" s="251">
        <f>'8'!$G$144</f>
        <v>216</v>
      </c>
      <c r="V12" s="251">
        <f>'8'!$G$147</f>
        <v>396.68000000005122</v>
      </c>
      <c r="W12" s="251">
        <f>'8'!$G$148</f>
        <v>297.92000000004191</v>
      </c>
      <c r="X12" s="251">
        <f>'8'!$G$143</f>
        <v>27.190000000000509</v>
      </c>
      <c r="Y12" s="251">
        <f>'8'!$G$58</f>
        <v>257.88999999999942</v>
      </c>
      <c r="Z12" s="251">
        <f>'8'!$G$151</f>
        <v>232</v>
      </c>
      <c r="AA12" s="251">
        <f>'8'!G161</f>
        <v>29.039999999979045</v>
      </c>
      <c r="AB12" s="251">
        <f>'8'!G162</f>
        <v>41.5</v>
      </c>
      <c r="AC12" s="251"/>
      <c r="AD12" s="251">
        <f>'8'!G163+'8'!G164</f>
        <v>161.09999999999945</v>
      </c>
      <c r="AE12" s="254">
        <f>'8'!$G$116</f>
        <v>483.27000000000407</v>
      </c>
      <c r="AF12" s="254">
        <f>'8'!$G$117</f>
        <v>266.30999999999767</v>
      </c>
      <c r="AG12" s="254">
        <f>'8'!$G$118</f>
        <v>666.86000000000058</v>
      </c>
      <c r="AH12" s="254">
        <f>'8'!$G$119</f>
        <v>245.79000000000087</v>
      </c>
      <c r="AI12" s="254">
        <f>'8'!$G$120</f>
        <v>432.44999999999709</v>
      </c>
      <c r="AJ12" s="254">
        <f>'8'!$G$121</f>
        <v>482.83999999999651</v>
      </c>
      <c r="AK12" s="254">
        <f>'8'!$G$122</f>
        <v>359.45000000000073</v>
      </c>
      <c r="AL12" s="254">
        <f>'8'!$G$123</f>
        <v>340.16000000000349</v>
      </c>
      <c r="AM12" s="254">
        <f>'8'!$G$133</f>
        <v>-0.41000000000349246</v>
      </c>
      <c r="AN12" s="254">
        <f>'8'!$G$15</f>
        <v>1037</v>
      </c>
      <c r="AO12" s="256">
        <f>'8'!$G$74</f>
        <v>302.81999999994878</v>
      </c>
      <c r="AP12" s="256">
        <f>'8'!$G$75</f>
        <v>0.80000000000291038</v>
      </c>
      <c r="AQ12" s="256">
        <f>'8'!$G$76</f>
        <v>104.36999999999534</v>
      </c>
      <c r="AR12" s="256">
        <f>'8'!$G$77</f>
        <v>49</v>
      </c>
      <c r="AS12" s="256">
        <f>'8'!$G$78</f>
        <v>0</v>
      </c>
      <c r="AT12" s="256">
        <f t="shared" si="0"/>
        <v>580.01000000005297</v>
      </c>
      <c r="AU12" s="254">
        <f>SUM('8'!G91:G92)</f>
        <v>10.449999999999818</v>
      </c>
      <c r="AV12" s="254">
        <f>'8'!$G$88</f>
        <v>0</v>
      </c>
      <c r="AW12" s="254">
        <f>'8'!$G$89</f>
        <v>8.4799999999995634</v>
      </c>
      <c r="AX12" s="254">
        <f>'8'!$G$90</f>
        <v>11.460000000006403</v>
      </c>
      <c r="AY12" s="252">
        <f t="shared" si="1"/>
        <v>19.940000000005966</v>
      </c>
      <c r="AZ12" s="311">
        <f t="shared" si="6"/>
        <v>28.977990430617613</v>
      </c>
      <c r="BA12" s="311">
        <f t="shared" si="3"/>
        <v>29.087763289863563</v>
      </c>
      <c r="BB12" s="351">
        <f t="shared" si="4"/>
        <v>4780.9400000001406</v>
      </c>
      <c r="BC12" s="351">
        <f t="shared" si="5"/>
        <v>17.821274343342981</v>
      </c>
    </row>
    <row r="13" spans="1:55">
      <c r="A13" s="359">
        <v>9</v>
      </c>
      <c r="B13" s="511">
        <f>'9'!G7</f>
        <v>26749.239999999991</v>
      </c>
      <c r="C13" s="511">
        <f>'9'!G8</f>
        <v>27199.280000000028</v>
      </c>
      <c r="D13" s="511">
        <f>'9'!G15</f>
        <v>1078.7400000002235</v>
      </c>
      <c r="E13" s="511">
        <f>'9'!G20</f>
        <v>84</v>
      </c>
      <c r="F13" s="511">
        <f>SUM('9'!G35,'9'!G49)</f>
        <v>1206.7200000000303</v>
      </c>
      <c r="G13" s="511">
        <f>SUM('9'!G37,'9'!G51)</f>
        <v>1077.5499999999993</v>
      </c>
      <c r="H13" s="511">
        <f>SUM('9'!G38,'9'!G52)</f>
        <v>2242.8800000000047</v>
      </c>
      <c r="I13" s="511">
        <f>SUM('9'!G39,'9'!G53)</f>
        <v>4573.7299999999959</v>
      </c>
      <c r="J13" s="511">
        <f>SUM('9'!G41,'9'!G42,'9'!G55,'9'!G56)</f>
        <v>6983.9000000000233</v>
      </c>
      <c r="K13" s="511">
        <f>SUM('9'!G43,'9'!G57)</f>
        <v>3015.0400000000081</v>
      </c>
      <c r="L13" s="254">
        <f>'9'!G50</f>
        <v>1277.2000000000116</v>
      </c>
      <c r="M13" s="254">
        <f>'9'!G36</f>
        <v>776.75999999998021</v>
      </c>
      <c r="N13" s="254">
        <f>'9'!G138</f>
        <v>125</v>
      </c>
      <c r="O13" s="254">
        <f>'9'!$G$139</f>
        <v>157</v>
      </c>
      <c r="P13" s="254">
        <f>'9'!$G$140</f>
        <v>13.139999999999873</v>
      </c>
      <c r="Q13" s="254">
        <f>'9'!$G$141</f>
        <v>194.04000000000815</v>
      </c>
      <c r="R13" s="254">
        <f>'9'!$G$142</f>
        <v>83.069999999999709</v>
      </c>
      <c r="S13" s="254">
        <f>'9'!$G$145</f>
        <v>24.930000000000291</v>
      </c>
      <c r="T13" s="251">
        <f>'9'!$G$146</f>
        <v>77</v>
      </c>
      <c r="U13" s="251">
        <f>'9'!$G$144</f>
        <v>225</v>
      </c>
      <c r="V13" s="251">
        <f>'9'!$G$147</f>
        <v>400.63999999989755</v>
      </c>
      <c r="W13" s="251">
        <f>'9'!$G$148</f>
        <v>355.03999999992084</v>
      </c>
      <c r="X13" s="251">
        <f>'9'!$G$143</f>
        <v>27.739999999999782</v>
      </c>
      <c r="Y13" s="251">
        <f>'9'!$G$58</f>
        <v>269.47000000000116</v>
      </c>
      <c r="Z13" s="251">
        <f>'9'!$G$151</f>
        <v>231</v>
      </c>
      <c r="AA13" s="251">
        <f>'9'!G161</f>
        <v>26.160000000032596</v>
      </c>
      <c r="AB13" s="251">
        <f>'9'!G162</f>
        <v>52.899999999994179</v>
      </c>
      <c r="AC13" s="251"/>
      <c r="AD13" s="251">
        <f>'9'!G163+'9'!G164</f>
        <v>152.60000000000036</v>
      </c>
      <c r="AE13" s="254">
        <f>'9'!$G$116</f>
        <v>445.19000000000233</v>
      </c>
      <c r="AF13" s="254">
        <f>'9'!$G$117</f>
        <v>246.02000000000407</v>
      </c>
      <c r="AG13" s="254">
        <f>'9'!$G$118</f>
        <v>653.19000000000233</v>
      </c>
      <c r="AH13" s="254">
        <f>'9'!$G$119</f>
        <v>235.45999999999913</v>
      </c>
      <c r="AI13" s="254">
        <f>'9'!$G$120</f>
        <v>404.38000000000466</v>
      </c>
      <c r="AJ13" s="254">
        <f>'9'!$G$121</f>
        <v>475.26000000000204</v>
      </c>
      <c r="AK13" s="254">
        <f>'9'!$G$122</f>
        <v>325.80999999999767</v>
      </c>
      <c r="AL13" s="254">
        <f>'9'!$G$123</f>
        <v>328.2699999999968</v>
      </c>
      <c r="AM13" s="254">
        <f>'9'!$G$133</f>
        <v>0</v>
      </c>
      <c r="AN13" s="254">
        <f>'9'!$G$15</f>
        <v>1078.7400000002235</v>
      </c>
      <c r="AO13" s="256">
        <f>'9'!$G$74</f>
        <v>332.11000000010245</v>
      </c>
      <c r="AP13" s="256">
        <f>'9'!$G$75</f>
        <v>0</v>
      </c>
      <c r="AQ13" s="256">
        <f>'9'!$G$76</f>
        <v>115.8300000000163</v>
      </c>
      <c r="AR13" s="256">
        <f>'9'!$G$77</f>
        <v>51.80000000000291</v>
      </c>
      <c r="AS13" s="256">
        <f>'9'!$G$78</f>
        <v>0</v>
      </c>
      <c r="AT13" s="256">
        <f t="shared" si="0"/>
        <v>579.00000000010186</v>
      </c>
      <c r="AU13" s="254">
        <f>SUM('9'!G91:G92)</f>
        <v>11.640000000000327</v>
      </c>
      <c r="AV13" s="254">
        <f>'9'!$G$88</f>
        <v>0</v>
      </c>
      <c r="AW13" s="254">
        <f>'9'!$G$89</f>
        <v>9.5299999999988358</v>
      </c>
      <c r="AX13" s="254">
        <f>'9'!$G$90</f>
        <v>11.049999999988358</v>
      </c>
      <c r="AY13" s="252">
        <f t="shared" si="1"/>
        <v>20.579999999987194</v>
      </c>
      <c r="AZ13" s="311">
        <f t="shared" si="6"/>
        <v>28.531786941588756</v>
      </c>
      <c r="BA13" s="311">
        <f t="shared" si="3"/>
        <v>28.134110787194466</v>
      </c>
      <c r="BB13" s="351">
        <f t="shared" si="4"/>
        <v>7829.9899999999652</v>
      </c>
      <c r="BC13" s="351">
        <f t="shared" si="5"/>
        <v>29.271822302240988</v>
      </c>
    </row>
    <row r="14" spans="1:55">
      <c r="A14" s="359">
        <v>10</v>
      </c>
      <c r="B14" s="511">
        <f>'10'!G7</f>
        <v>27026.319999999949</v>
      </c>
      <c r="C14" s="511">
        <f>'10'!G8</f>
        <v>27516.879999999888</v>
      </c>
      <c r="D14" s="511">
        <f>'10'!G15</f>
        <v>1150.339999999851</v>
      </c>
      <c r="E14" s="511">
        <f>'10'!G20</f>
        <v>220</v>
      </c>
      <c r="F14" s="511">
        <f>SUM('10'!G35,'10'!G49)</f>
        <v>4132.2399999999907</v>
      </c>
      <c r="G14" s="511">
        <f>SUM('10'!G37,'10'!G51)</f>
        <v>1046.0799999999981</v>
      </c>
      <c r="H14" s="511">
        <f>SUM('10'!G38,'10'!G52)</f>
        <v>2211.9200000000419</v>
      </c>
      <c r="I14" s="511">
        <f>SUM('10'!G39,'10'!G53)</f>
        <v>4486.5500000000029</v>
      </c>
      <c r="J14" s="511">
        <f>SUM('10'!G41,'10'!G42,'10'!G55,'10'!G56)</f>
        <v>7326.2799999999697</v>
      </c>
      <c r="K14" s="511">
        <f>SUM('10'!G43,'10'!G57)</f>
        <v>2954.7200000000012</v>
      </c>
      <c r="L14" s="254">
        <f>'10'!G50</f>
        <v>1240.7999999999884</v>
      </c>
      <c r="M14" s="254">
        <f>'10'!G36</f>
        <v>1042.6600000000035</v>
      </c>
      <c r="N14" s="254">
        <f>'10'!G138</f>
        <v>116</v>
      </c>
      <c r="O14" s="254">
        <f>'10'!$G$139</f>
        <v>156</v>
      </c>
      <c r="P14" s="254">
        <f>'10'!$G$140</f>
        <v>12.610000000000127</v>
      </c>
      <c r="Q14" s="254">
        <f>'10'!$G$141</f>
        <v>192.38999999999942</v>
      </c>
      <c r="R14" s="254">
        <f>'10'!$G$142</f>
        <v>90.010000000002037</v>
      </c>
      <c r="S14" s="254">
        <f>'10'!$G$145</f>
        <v>30.139999999999418</v>
      </c>
      <c r="T14" s="251">
        <f>'10'!$G$146</f>
        <v>73</v>
      </c>
      <c r="U14" s="251">
        <f>'10'!$G$144</f>
        <v>223</v>
      </c>
      <c r="V14" s="257">
        <f>'10'!$G$147</f>
        <v>402.08000000007451</v>
      </c>
      <c r="W14" s="257">
        <f>'10'!$G$148</f>
        <v>356.47999999998137</v>
      </c>
      <c r="X14" s="251">
        <f>'10'!$G$143</f>
        <v>27.6299999999992</v>
      </c>
      <c r="Y14" s="251">
        <f>'10'!$G$58</f>
        <v>308.95999999999913</v>
      </c>
      <c r="Z14" s="251">
        <f>'10'!$G$151</f>
        <v>298</v>
      </c>
      <c r="AA14" s="251">
        <f>'10'!G161</f>
        <v>28.71999999997206</v>
      </c>
      <c r="AB14" s="251">
        <f>'10'!G162</f>
        <v>51.600000000005821</v>
      </c>
      <c r="AC14" s="251"/>
      <c r="AD14" s="251">
        <f>'10'!G163+'10'!G164</f>
        <v>153.30000000000018</v>
      </c>
      <c r="AE14" s="254">
        <f>'10'!$G$116</f>
        <v>452.70999999999185</v>
      </c>
      <c r="AF14" s="254">
        <f>'10'!$G$117</f>
        <v>216.55999999999767</v>
      </c>
      <c r="AG14" s="254">
        <f>'10'!$G$118</f>
        <v>646.98999999999069</v>
      </c>
      <c r="AH14" s="254">
        <f>'10'!$G$119</f>
        <v>231.72000000000116</v>
      </c>
      <c r="AI14" s="254">
        <f>'10'!$G$120</f>
        <v>417.52999999999884</v>
      </c>
      <c r="AJ14" s="254">
        <f>'10'!$G$121</f>
        <v>485.36000000000058</v>
      </c>
      <c r="AK14" s="254">
        <f>'10'!$G$122</f>
        <v>328.4800000000032</v>
      </c>
      <c r="AL14" s="254">
        <f>'10'!$G$123</f>
        <v>331.93000000000029</v>
      </c>
      <c r="AM14" s="254">
        <f>'10'!$G$133</f>
        <v>0</v>
      </c>
      <c r="AN14" s="254">
        <f>'10'!$G$15</f>
        <v>1150.339999999851</v>
      </c>
      <c r="AO14" s="256">
        <f>'10'!$G$74</f>
        <v>365.81999999994878</v>
      </c>
      <c r="AP14" s="256">
        <f>'10'!$G$75</f>
        <v>0</v>
      </c>
      <c r="AQ14" s="256">
        <f>'10'!$G$76</f>
        <v>129.50999999998021</v>
      </c>
      <c r="AR14" s="256">
        <f>'10'!$G$77</f>
        <v>48.599999999998545</v>
      </c>
      <c r="AS14" s="256">
        <f>'10'!$G$78</f>
        <v>0</v>
      </c>
      <c r="AT14" s="256">
        <f t="shared" si="0"/>
        <v>606.40999999992346</v>
      </c>
      <c r="AU14" s="254">
        <f>SUM('10'!G91:G92)</f>
        <v>12.539999999999964</v>
      </c>
      <c r="AV14" s="254">
        <f>'10'!$G$88</f>
        <v>0</v>
      </c>
      <c r="AW14" s="254">
        <f>'10'!$G$89</f>
        <v>9.7600000000020373</v>
      </c>
      <c r="AX14" s="254">
        <f>'10'!$G$90</f>
        <v>11.190000000002328</v>
      </c>
      <c r="AY14" s="252">
        <f t="shared" si="1"/>
        <v>20.950000000004366</v>
      </c>
      <c r="AZ14" s="311">
        <f t="shared" si="6"/>
        <v>29.172248803823752</v>
      </c>
      <c r="BA14" s="311">
        <f t="shared" si="3"/>
        <v>28.945584725527308</v>
      </c>
      <c r="BB14" s="351">
        <f t="shared" si="4"/>
        <v>5050.1299999998846</v>
      </c>
      <c r="BC14" s="351">
        <f t="shared" si="5"/>
        <v>18.685969824970229</v>
      </c>
    </row>
    <row r="15" spans="1:55">
      <c r="A15" s="359">
        <v>11</v>
      </c>
      <c r="B15" s="511">
        <f>'11'!G7</f>
        <v>25363.290000000037</v>
      </c>
      <c r="C15" s="511">
        <f>'11'!G8</f>
        <v>25770.810000000056</v>
      </c>
      <c r="D15" s="511">
        <f>'11'!G15</f>
        <v>1023.9199999999255</v>
      </c>
      <c r="E15" s="511">
        <f>'11'!G20</f>
        <v>180</v>
      </c>
      <c r="F15" s="511">
        <f>SUM('11'!G35,'11'!G49)</f>
        <v>4136.609999999986</v>
      </c>
      <c r="G15" s="511">
        <f>SUM('11'!G37,'11'!G51)</f>
        <v>1048.2200000000012</v>
      </c>
      <c r="H15" s="511">
        <f>SUM('11'!G38,'11'!G52)</f>
        <v>2252.8499999999767</v>
      </c>
      <c r="I15" s="511">
        <f>SUM('11'!G39,'11'!G53)</f>
        <v>4435.5900000000547</v>
      </c>
      <c r="J15" s="511">
        <f>SUM('11'!G41,'11'!G42,'11'!G55,'11'!G56)</f>
        <v>6495.5400000000227</v>
      </c>
      <c r="K15" s="511">
        <f>SUM('11'!G43,'11'!G57)</f>
        <v>2857.429999999993</v>
      </c>
      <c r="L15" s="254">
        <f>'11'!G50</f>
        <v>1073.6699999999837</v>
      </c>
      <c r="M15" s="254">
        <f>'11'!G36</f>
        <v>787.63000000000466</v>
      </c>
      <c r="N15" s="254">
        <f>'11'!G138</f>
        <v>99</v>
      </c>
      <c r="O15" s="254">
        <f>'11'!$G$139</f>
        <v>170</v>
      </c>
      <c r="P15" s="254">
        <f>'11'!$G$140</f>
        <v>13.3599999999999</v>
      </c>
      <c r="Q15" s="254">
        <f>'11'!$G$141</f>
        <v>199.52999999999884</v>
      </c>
      <c r="R15" s="254">
        <f>'11'!$G$142</f>
        <v>86.019999999996799</v>
      </c>
      <c r="S15" s="254">
        <f>'11'!$G$145</f>
        <v>32.140000000000327</v>
      </c>
      <c r="T15" s="251">
        <f>'11'!$G$146</f>
        <v>73</v>
      </c>
      <c r="U15" s="251">
        <f>'11'!$G$144</f>
        <v>230</v>
      </c>
      <c r="V15" s="251">
        <f>'11'!$G$147</f>
        <v>403.59999999997672</v>
      </c>
      <c r="W15" s="251">
        <f>'11'!$G$148</f>
        <v>316.56000000005588</v>
      </c>
      <c r="X15" s="251">
        <f>'11'!$G$143</f>
        <v>28.440000000000509</v>
      </c>
      <c r="Y15" s="251">
        <f>'11'!$G$58</f>
        <v>297.68000000000029</v>
      </c>
      <c r="Z15" s="251">
        <f>'11'!$G$151</f>
        <v>328</v>
      </c>
      <c r="AA15" s="251">
        <f>'11'!G161</f>
        <v>32.080000000016298</v>
      </c>
      <c r="AB15" s="251">
        <f>'11'!G162</f>
        <v>41</v>
      </c>
      <c r="AC15" s="251">
        <f>'11'!G88</f>
        <v>-9.9999999983992893E-3</v>
      </c>
      <c r="AD15" s="251">
        <f>'11'!G163+'11'!G164</f>
        <v>84</v>
      </c>
      <c r="AE15" s="254">
        <f>'11'!$G$116</f>
        <v>419.83000000000175</v>
      </c>
      <c r="AF15" s="254">
        <f>'11'!$G$117</f>
        <v>249.11000000000058</v>
      </c>
      <c r="AG15" s="254">
        <f>'11'!$G$118</f>
        <v>549.9600000000064</v>
      </c>
      <c r="AH15" s="254">
        <f>'11'!$G$119</f>
        <v>235.02999999999884</v>
      </c>
      <c r="AI15" s="254">
        <f>'11'!$G$120</f>
        <v>395.63999999999942</v>
      </c>
      <c r="AJ15" s="254">
        <f>'11'!$G$121</f>
        <v>477.54000000000087</v>
      </c>
      <c r="AK15" s="254">
        <f>'11'!$G$122</f>
        <v>323.2599999999984</v>
      </c>
      <c r="AL15" s="254">
        <f>'11'!$G$123</f>
        <v>329.63999999999942</v>
      </c>
      <c r="AM15" s="254">
        <f>'11'!$G$133</f>
        <v>0</v>
      </c>
      <c r="AN15" s="254">
        <f>'11'!$G$15</f>
        <v>1023.9199999999255</v>
      </c>
      <c r="AO15" s="256">
        <f>'11'!$G$74</f>
        <v>311.25</v>
      </c>
      <c r="AP15" s="256">
        <f>'11'!$G$75</f>
        <v>0</v>
      </c>
      <c r="AQ15" s="256">
        <f>'11'!$G$76</f>
        <v>98.290000000008149</v>
      </c>
      <c r="AR15" s="256">
        <f>'11'!$G$77</f>
        <v>54.599999999998545</v>
      </c>
      <c r="AS15" s="256">
        <f>'11'!$G$78</f>
        <v>-0.3999999999996362</v>
      </c>
      <c r="AT15" s="256">
        <f t="shared" si="0"/>
        <v>560.17999999991844</v>
      </c>
      <c r="AU15" s="254">
        <f>SUM('11'!G91:G92)</f>
        <v>10.659999999999854</v>
      </c>
      <c r="AV15" s="254">
        <f>'11'!$G$88</f>
        <v>-9.9999999983992893E-3</v>
      </c>
      <c r="AW15" s="254">
        <f>'11'!$G$89</f>
        <v>8.4700000000011642</v>
      </c>
      <c r="AX15" s="254">
        <f>'11'!$G$90</f>
        <v>10.650000000008731</v>
      </c>
      <c r="AY15" s="252">
        <f t="shared" si="1"/>
        <v>19.110000000011496</v>
      </c>
      <c r="AZ15" s="311">
        <f t="shared" si="6"/>
        <v>29.197936210131729</v>
      </c>
      <c r="BA15" s="311">
        <f t="shared" si="3"/>
        <v>29.313448456283698</v>
      </c>
      <c r="BB15" s="351">
        <f t="shared" si="4"/>
        <v>4246.8900000000212</v>
      </c>
      <c r="BC15" s="351">
        <f t="shared" si="5"/>
        <v>16.744239410581258</v>
      </c>
    </row>
    <row r="16" spans="1:55">
      <c r="A16" s="359">
        <v>12</v>
      </c>
      <c r="B16" s="511">
        <f>'12'!G7</f>
        <v>26200</v>
      </c>
      <c r="C16" s="511">
        <f>'12'!G8</f>
        <v>26500</v>
      </c>
      <c r="D16" s="511">
        <f>'12'!G15</f>
        <v>1049</v>
      </c>
      <c r="E16" s="511">
        <f>'12'!G20</f>
        <v>205</v>
      </c>
      <c r="F16" s="511">
        <f>SUM('12'!G35,'12'!G49)</f>
        <v>4164.9500000000116</v>
      </c>
      <c r="G16" s="511">
        <f>SUM('12'!G37,'12'!G51)</f>
        <v>1061.3099999999977</v>
      </c>
      <c r="H16" s="511">
        <f>SUM('12'!G38,'12'!G52)</f>
        <v>2208</v>
      </c>
      <c r="I16" s="511">
        <f>SUM('12'!G39,'12'!G53)</f>
        <v>4490</v>
      </c>
      <c r="J16" s="511">
        <f>SUM('12'!G41,'12'!G42,'12'!G55,'12'!G56)</f>
        <v>8888</v>
      </c>
      <c r="K16" s="511">
        <f>SUM('12'!G43,'12'!G57)</f>
        <v>3298.1199999999953</v>
      </c>
      <c r="L16" s="254">
        <f>'12'!G50</f>
        <v>1389.3499999999767</v>
      </c>
      <c r="M16" s="254">
        <f>'12'!G36</f>
        <v>993</v>
      </c>
      <c r="N16" s="254">
        <f>'12'!G138</f>
        <v>101</v>
      </c>
      <c r="O16" s="254">
        <f>'12'!$G$139</f>
        <v>172</v>
      </c>
      <c r="P16" s="254">
        <f>'12'!$G$140</f>
        <v>15.3599999999999</v>
      </c>
      <c r="Q16" s="254">
        <f>'12'!$G$141</f>
        <v>201.52999999999884</v>
      </c>
      <c r="R16" s="254">
        <f>'12'!$G$142</f>
        <v>88.019999999996799</v>
      </c>
      <c r="S16" s="254">
        <f>'12'!$G$145</f>
        <v>34.140000000000327</v>
      </c>
      <c r="T16" s="251">
        <f>'12'!$G$146</f>
        <v>75</v>
      </c>
      <c r="U16" s="251">
        <f>'12'!$G$144</f>
        <v>232</v>
      </c>
      <c r="V16" s="251">
        <f>'12'!$G$147</f>
        <v>405.59999999997672</v>
      </c>
      <c r="W16" s="251">
        <f>'12'!$G$148</f>
        <v>318.56000000005588</v>
      </c>
      <c r="X16" s="251">
        <f>'12'!$G$143</f>
        <v>30.440000000000509</v>
      </c>
      <c r="Y16" s="251">
        <f>'12'!$G$58</f>
        <v>233</v>
      </c>
      <c r="Z16" s="251">
        <f>'12'!$G$151</f>
        <v>330</v>
      </c>
      <c r="AA16" s="251">
        <f>'12'!G161</f>
        <v>35.080000000016298</v>
      </c>
      <c r="AB16" s="251">
        <f>'12'!G162</f>
        <v>44</v>
      </c>
      <c r="AC16" s="251">
        <f>'12'!G88</f>
        <v>9.9999999983992893E-3</v>
      </c>
      <c r="AD16" s="251">
        <f>'12'!G163+'12'!G164</f>
        <v>90</v>
      </c>
      <c r="AE16" s="254">
        <f>'12'!$G$116</f>
        <v>460</v>
      </c>
      <c r="AF16" s="254">
        <f>'12'!$G$117</f>
        <v>223</v>
      </c>
      <c r="AG16" s="254">
        <f>'12'!$G$118</f>
        <v>623</v>
      </c>
      <c r="AH16" s="254">
        <f>'12'!$G$119</f>
        <v>229</v>
      </c>
      <c r="AI16" s="254">
        <f>'12'!$G$120</f>
        <v>416</v>
      </c>
      <c r="AJ16" s="254">
        <f>'12'!$G$121</f>
        <v>476</v>
      </c>
      <c r="AK16" s="254">
        <f>'12'!$G$122</f>
        <v>327</v>
      </c>
      <c r="AL16" s="254">
        <f>'12'!$G$123</f>
        <v>330</v>
      </c>
      <c r="AM16" s="254">
        <f>'12'!$G$133</f>
        <v>0</v>
      </c>
      <c r="AN16" s="254">
        <f>'12'!$G$15</f>
        <v>1049</v>
      </c>
      <c r="AO16" s="256">
        <f>'12'!$G$74</f>
        <v>313.25</v>
      </c>
      <c r="AP16" s="256">
        <f>'12'!$G$75</f>
        <v>-0.30000000000291038</v>
      </c>
      <c r="AQ16" s="256">
        <f>'12'!$G$76</f>
        <v>102.29000000000815</v>
      </c>
      <c r="AR16" s="256">
        <f>'12'!$G$77</f>
        <v>59.599999999998545</v>
      </c>
      <c r="AS16" s="256">
        <f>'12'!$G$78</f>
        <v>0</v>
      </c>
      <c r="AT16" s="256">
        <f t="shared" si="0"/>
        <v>574.15999999999622</v>
      </c>
      <c r="AU16" s="254">
        <f>SUM('12'!G91:G92)</f>
        <v>11.270000000000437</v>
      </c>
      <c r="AV16" s="254">
        <f>'12'!$G$88</f>
        <v>9.9999999983992893E-3</v>
      </c>
      <c r="AW16" s="254">
        <f>'12'!$G$89</f>
        <v>7.7899999999972351</v>
      </c>
      <c r="AX16" s="254">
        <f>'12'!$G$90</f>
        <v>14.649999999994179</v>
      </c>
      <c r="AY16" s="252">
        <f t="shared" si="1"/>
        <v>22.449999999989814</v>
      </c>
      <c r="AZ16" s="311">
        <f t="shared" si="6"/>
        <v>27.795031055899546</v>
      </c>
      <c r="BA16" s="311">
        <f t="shared" si="3"/>
        <v>25.575055679298742</v>
      </c>
      <c r="BB16" s="351">
        <f t="shared" si="4"/>
        <v>2156.6199999999953</v>
      </c>
      <c r="BC16" s="351">
        <f t="shared" si="5"/>
        <v>8.231374045801509</v>
      </c>
    </row>
    <row r="17" spans="1:55">
      <c r="A17" s="359">
        <v>13</v>
      </c>
      <c r="B17" s="511">
        <f>'13'!G7</f>
        <v>26200</v>
      </c>
      <c r="C17" s="511">
        <f>'13'!G8</f>
        <v>26500</v>
      </c>
      <c r="D17" s="511">
        <f>'13'!G15</f>
        <v>1094.0789999999106</v>
      </c>
      <c r="E17" s="511">
        <f>'13'!G20</f>
        <v>210</v>
      </c>
      <c r="F17" s="511">
        <f>SUM('13'!G35,'13'!G49)</f>
        <v>4175.7599999999511</v>
      </c>
      <c r="G17" s="511">
        <f>SUM('13'!G37,'13'!G51)</f>
        <v>1045.9230000000025</v>
      </c>
      <c r="H17" s="511">
        <f>SUM('13'!G38,'13'!G52)</f>
        <v>2296.9899999999907</v>
      </c>
      <c r="I17" s="511">
        <f>SUM('13'!G39,'13'!G53)</f>
        <v>4623.9399999999441</v>
      </c>
      <c r="J17" s="511">
        <f>SUM('13'!G41,'13'!G42,'13'!G55,'13'!G56)</f>
        <v>7829.4999999999563</v>
      </c>
      <c r="K17" s="511">
        <f>SUM('13'!G43,'13'!G57)</f>
        <v>3254.25</v>
      </c>
      <c r="L17" s="254">
        <f>'13'!G50</f>
        <v>1081.3800000000047</v>
      </c>
      <c r="M17" s="254">
        <f>'13'!G36</f>
        <v>747.13000000000466</v>
      </c>
      <c r="N17" s="254">
        <f>'13'!G138</f>
        <v>187</v>
      </c>
      <c r="O17" s="254">
        <f>'13'!$G$139</f>
        <v>120</v>
      </c>
      <c r="P17" s="254">
        <f>'13'!$G$140</f>
        <v>15.290000000000191</v>
      </c>
      <c r="Q17" s="254">
        <f>'13'!$G$141</f>
        <v>212.22000000000116</v>
      </c>
      <c r="R17" s="254">
        <f>'13'!$G$142</f>
        <v>68.660000000003492</v>
      </c>
      <c r="S17" s="254">
        <f>'13'!$G$145</f>
        <v>22.259999999999309</v>
      </c>
      <c r="T17" s="251">
        <f>'13'!$G$146</f>
        <v>85</v>
      </c>
      <c r="U17" s="251">
        <f>'13'!$G$144</f>
        <v>215</v>
      </c>
      <c r="V17" s="251">
        <f>'13'!$G$147</f>
        <v>369.52000000001863</v>
      </c>
      <c r="W17" s="251">
        <f>'13'!$G$148</f>
        <v>286.07999999995809</v>
      </c>
      <c r="X17" s="251">
        <f>'13'!$G$143</f>
        <v>20.949999999998909</v>
      </c>
      <c r="Y17" s="251">
        <f>'13'!$G$58</f>
        <v>235.34999999999854</v>
      </c>
      <c r="Z17" s="251">
        <f>'13'!$G$151</f>
        <v>330</v>
      </c>
      <c r="AA17" s="251">
        <f>'13'!G161</f>
        <v>46.599999999976717</v>
      </c>
      <c r="AB17" s="251">
        <f>'13'!G162</f>
        <v>11.600000000005821</v>
      </c>
      <c r="AC17" s="251">
        <f>'13'!G88</f>
        <v>0</v>
      </c>
      <c r="AD17" s="251">
        <f>'13'!G163+'13'!G164</f>
        <v>189.69999999999982</v>
      </c>
      <c r="AE17" s="254">
        <f>'13'!$G$116</f>
        <v>497.89999999999418</v>
      </c>
      <c r="AF17" s="254">
        <f>'13'!$G$117</f>
        <v>291.16000000000349</v>
      </c>
      <c r="AG17" s="254">
        <f>'13'!$G$118</f>
        <v>620</v>
      </c>
      <c r="AH17" s="254">
        <f>'13'!$G$119</f>
        <v>241.5</v>
      </c>
      <c r="AI17" s="254">
        <f>'13'!$G$120</f>
        <v>435.30000000000291</v>
      </c>
      <c r="AJ17" s="254">
        <f>'13'!$G$121</f>
        <v>474.5</v>
      </c>
      <c r="AK17" s="254">
        <f>'13'!$G$122</f>
        <v>342.11999999999898</v>
      </c>
      <c r="AL17" s="254">
        <f>'13'!$G$123</f>
        <v>331.11000000000058</v>
      </c>
      <c r="AM17" s="254">
        <f>'13'!$G$133</f>
        <v>2509.0799999999872</v>
      </c>
      <c r="AN17" s="254">
        <f>'13'!$G$15</f>
        <v>1094.0789999999106</v>
      </c>
      <c r="AO17" s="256">
        <f>'13'!$G$74</f>
        <v>339.75</v>
      </c>
      <c r="AP17" s="256">
        <f>'13'!$G$75</f>
        <v>0.30000000000291038</v>
      </c>
      <c r="AQ17" s="256">
        <f>'13'!$G$76</f>
        <v>150.72999999998137</v>
      </c>
      <c r="AR17" s="256">
        <f>'13'!$G$77</f>
        <v>49.700000000004366</v>
      </c>
      <c r="AS17" s="256">
        <f>'13'!$G$78</f>
        <v>0</v>
      </c>
      <c r="AT17" s="256">
        <f t="shared" si="0"/>
        <v>553.59899999992194</v>
      </c>
      <c r="AU17" s="254">
        <f>SUM('13'!G91:G92)</f>
        <v>11.169999999999163</v>
      </c>
      <c r="AV17" s="254">
        <f>'13'!$G$88</f>
        <v>0</v>
      </c>
      <c r="AW17" s="254">
        <f>'13'!$G$89</f>
        <v>8.5300000000024738</v>
      </c>
      <c r="AX17" s="254">
        <f>'13'!$G$90</f>
        <v>7.5700000000069849</v>
      </c>
      <c r="AY17" s="252">
        <f t="shared" si="1"/>
        <v>16.100000000009459</v>
      </c>
      <c r="AZ17" s="311">
        <f t="shared" si="6"/>
        <v>30.416293643690729</v>
      </c>
      <c r="BA17" s="311">
        <f t="shared" si="3"/>
        <v>34.385031055875572</v>
      </c>
      <c r="BB17" s="351">
        <f t="shared" si="4"/>
        <v>3038.2870000001567</v>
      </c>
      <c r="BC17" s="351">
        <f t="shared" si="5"/>
        <v>11.596515267176171</v>
      </c>
    </row>
    <row r="18" spans="1:55">
      <c r="A18" s="359">
        <v>14</v>
      </c>
      <c r="B18" s="511">
        <f>'14'!G7</f>
        <v>26041</v>
      </c>
      <c r="C18" s="511">
        <f>'14'!G8</f>
        <v>26500</v>
      </c>
      <c r="D18" s="511">
        <f>'14'!G15</f>
        <v>1061.9210000000894</v>
      </c>
      <c r="E18" s="511">
        <f>'14'!G20</f>
        <v>248</v>
      </c>
      <c r="F18" s="511">
        <f>SUM('14'!G35,'14'!G49)</f>
        <v>4182.2400000000489</v>
      </c>
      <c r="G18" s="511">
        <f>SUM('14'!G37,'14'!G51)</f>
        <v>989.76699999999983</v>
      </c>
      <c r="H18" s="511">
        <f>SUM('14'!G38,'14'!G52)</f>
        <v>2243.2500000000091</v>
      </c>
      <c r="I18" s="511">
        <f>SUM('14'!G39,'14'!G53)</f>
        <v>4402.0600000000559</v>
      </c>
      <c r="J18" s="511">
        <f>SUM('14'!G41,'14'!G42,'14'!G55,'14'!G56)</f>
        <v>7121.3500000000495</v>
      </c>
      <c r="K18" s="511">
        <f>SUM('14'!G43,'14'!G57)</f>
        <v>3090.6300000000047</v>
      </c>
      <c r="L18" s="254">
        <f>'14'!G50</f>
        <v>1137.2700000000186</v>
      </c>
      <c r="M18" s="254">
        <f>'14'!G36</f>
        <v>666.86999999999534</v>
      </c>
      <c r="N18" s="254">
        <f>'14'!G138</f>
        <v>172</v>
      </c>
      <c r="O18" s="254">
        <f>'14'!$G$139</f>
        <v>140</v>
      </c>
      <c r="P18" s="254">
        <f>'14'!$G$140</f>
        <v>13.349999999999909</v>
      </c>
      <c r="Q18" s="254">
        <f>'14'!$G$141</f>
        <v>195.25</v>
      </c>
      <c r="R18" s="254">
        <f>'14'!$G$142</f>
        <v>90.319999999999709</v>
      </c>
      <c r="S18" s="254">
        <f>'14'!$G$145</f>
        <v>28.600000000000364</v>
      </c>
      <c r="T18" s="251">
        <f>'14'!$G$146</f>
        <v>81</v>
      </c>
      <c r="U18" s="251">
        <f>'14'!$G$144</f>
        <v>212</v>
      </c>
      <c r="V18" s="251">
        <f>'14'!$G$147</f>
        <v>412.88000000000466</v>
      </c>
      <c r="W18" s="251">
        <f>'14'!$G$148</f>
        <v>259.35999999998603</v>
      </c>
      <c r="X18" s="251">
        <f>'14'!$G$143</f>
        <v>22.610000000000582</v>
      </c>
      <c r="Y18" s="251">
        <f>'14'!$G$58</f>
        <v>244.65000000000146</v>
      </c>
      <c r="Z18" s="251">
        <f>'14'!$G$151</f>
        <v>119</v>
      </c>
      <c r="AA18" s="251">
        <f>'14'!G161</f>
        <v>49.320000000006985</v>
      </c>
      <c r="AB18" s="251">
        <f>'14'!G162</f>
        <v>17.399999999994179</v>
      </c>
      <c r="AC18" s="251">
        <f>'14'!G88</f>
        <v>0</v>
      </c>
      <c r="AD18" s="251">
        <f>'14'!G163+'14'!G164</f>
        <v>100.30000000000018</v>
      </c>
      <c r="AE18" s="254">
        <f>'14'!$G$116</f>
        <v>593.10000000000582</v>
      </c>
      <c r="AF18" s="254">
        <f>'14'!$G$117</f>
        <v>259.83999999999651</v>
      </c>
      <c r="AG18" s="254">
        <f>'14'!$G$118</f>
        <v>526</v>
      </c>
      <c r="AH18" s="254">
        <f>'14'!$G$119</f>
        <v>224.5</v>
      </c>
      <c r="AI18" s="254">
        <f>'14'!$G$120</f>
        <v>409.69999999999709</v>
      </c>
      <c r="AJ18" s="254">
        <f>'14'!$G$121</f>
        <v>462.5</v>
      </c>
      <c r="AK18" s="254">
        <f>'14'!$G$122</f>
        <v>313.88000000000102</v>
      </c>
      <c r="AL18" s="254">
        <f>'14'!$G$123</f>
        <v>294.88999999999942</v>
      </c>
      <c r="AM18" s="254">
        <f>'14'!$G$133</f>
        <v>1018.3500000000058</v>
      </c>
      <c r="AN18" s="254">
        <f>'14'!$G$15</f>
        <v>1061.9210000000894</v>
      </c>
      <c r="AO18" s="256">
        <f>'14'!$G$74</f>
        <v>329</v>
      </c>
      <c r="AP18" s="256">
        <f>'14'!$G$75</f>
        <v>0</v>
      </c>
      <c r="AQ18" s="256">
        <f>'14'!$G$76</f>
        <v>119.98000000001048</v>
      </c>
      <c r="AR18" s="256">
        <f>'14'!$G$77</f>
        <v>54.69999999999709</v>
      </c>
      <c r="AS18" s="256">
        <f>'14'!$G$78</f>
        <v>0</v>
      </c>
      <c r="AT18" s="256">
        <f t="shared" si="0"/>
        <v>558.24100000008184</v>
      </c>
      <c r="AU18" s="254">
        <f>SUM('14'!G91:G92)</f>
        <v>11.289999999999964</v>
      </c>
      <c r="AV18" s="254">
        <f>'14'!$G$88</f>
        <v>0</v>
      </c>
      <c r="AW18" s="254">
        <f>'14'!$G$89</f>
        <v>7.4399999999986903</v>
      </c>
      <c r="AX18" s="254">
        <f>'14'!$G$90</f>
        <v>10.629999999990105</v>
      </c>
      <c r="AY18" s="252">
        <f t="shared" si="1"/>
        <v>18.069999999988795</v>
      </c>
      <c r="AZ18" s="311">
        <f t="shared" si="6"/>
        <v>29.140832595217098</v>
      </c>
      <c r="BA18" s="311">
        <f t="shared" si="3"/>
        <v>30.893248478164249</v>
      </c>
      <c r="BB18" s="351">
        <f t="shared" si="4"/>
        <v>4226.0529999998325</v>
      </c>
      <c r="BC18" s="351">
        <f t="shared" si="5"/>
        <v>16.228458968548949</v>
      </c>
    </row>
    <row r="19" spans="1:55">
      <c r="A19" s="359">
        <v>15</v>
      </c>
      <c r="B19" s="511">
        <f>'15'!G7</f>
        <v>23168</v>
      </c>
      <c r="C19" s="511">
        <f>'15'!G8</f>
        <v>22866</v>
      </c>
      <c r="D19" s="511">
        <f>'15'!G15</f>
        <v>1067</v>
      </c>
      <c r="E19" s="511">
        <f>'15'!G20</f>
        <v>300</v>
      </c>
      <c r="F19" s="511">
        <f>SUM('15'!G35,'15'!G49)</f>
        <v>3876.0499999999884</v>
      </c>
      <c r="G19" s="511">
        <f>SUM('15'!G37,'15'!G51)</f>
        <v>963.30999999999767</v>
      </c>
      <c r="H19" s="511">
        <f>SUM('15'!G38,'15'!G52)</f>
        <v>2238</v>
      </c>
      <c r="I19" s="511">
        <f>SUM('15'!G39,'15'!G53)</f>
        <v>4430</v>
      </c>
      <c r="J19" s="511">
        <f>SUM('15'!G41,'15'!G42,'15'!G55,'15'!G56)</f>
        <v>4094.1499999999942</v>
      </c>
      <c r="K19" s="511">
        <f>SUM('15'!G43,'15'!G57)</f>
        <v>3052</v>
      </c>
      <c r="L19" s="254">
        <f>'15'!G50</f>
        <v>1089</v>
      </c>
      <c r="M19" s="254">
        <f>'15'!G36</f>
        <v>671</v>
      </c>
      <c r="N19" s="254">
        <f>'15'!G138</f>
        <v>133</v>
      </c>
      <c r="O19" s="254">
        <f>'15'!$G$139</f>
        <v>139</v>
      </c>
      <c r="P19" s="254">
        <f>'15'!$G$140</f>
        <v>8</v>
      </c>
      <c r="Q19" s="254">
        <f>'15'!$G$141</f>
        <v>203</v>
      </c>
      <c r="R19" s="254">
        <f>'15'!$G$142</f>
        <v>89</v>
      </c>
      <c r="S19" s="254">
        <f>'15'!$G$145</f>
        <v>29</v>
      </c>
      <c r="T19" s="251">
        <f>'15'!$G$146</f>
        <v>0</v>
      </c>
      <c r="U19" s="251">
        <f>'15'!$G$144</f>
        <v>230</v>
      </c>
      <c r="V19" s="251">
        <f>'15'!$G$147</f>
        <v>360</v>
      </c>
      <c r="W19" s="251">
        <f>'15'!$G$148</f>
        <v>244</v>
      </c>
      <c r="X19" s="251">
        <f>'15'!$G$143</f>
        <v>22</v>
      </c>
      <c r="Y19" s="251">
        <f>'15'!$G$58</f>
        <v>285</v>
      </c>
      <c r="Z19" s="251">
        <f>'15'!$G$151</f>
        <v>223</v>
      </c>
      <c r="AA19" s="251">
        <f>'15'!G161</f>
        <v>25</v>
      </c>
      <c r="AB19" s="251">
        <f>'15'!G162</f>
        <v>18</v>
      </c>
      <c r="AC19" s="251">
        <f>'15'!G88</f>
        <v>0</v>
      </c>
      <c r="AD19" s="251">
        <f>'15'!G163+'15'!G164</f>
        <v>102</v>
      </c>
      <c r="AE19" s="254">
        <f>'15'!$G$116</f>
        <v>523</v>
      </c>
      <c r="AF19" s="254">
        <f>'15'!$G$117</f>
        <v>276</v>
      </c>
      <c r="AG19" s="254">
        <f>'15'!$G$118</f>
        <v>532</v>
      </c>
      <c r="AH19" s="254">
        <f>'15'!$G$119</f>
        <v>228</v>
      </c>
      <c r="AI19" s="254">
        <f>'15'!$G$120</f>
        <v>412</v>
      </c>
      <c r="AJ19" s="254">
        <f>'15'!$G$121</f>
        <v>463</v>
      </c>
      <c r="AK19" s="254">
        <f>'15'!$G$122</f>
        <v>335</v>
      </c>
      <c r="AL19" s="254">
        <f>'15'!$G$123</f>
        <v>329</v>
      </c>
      <c r="AM19" s="254">
        <f>'15'!$G$133</f>
        <v>938</v>
      </c>
      <c r="AN19" s="254">
        <f>'15'!$G$15</f>
        <v>1067</v>
      </c>
      <c r="AO19" s="256">
        <f>'15'!$G$74</f>
        <v>331</v>
      </c>
      <c r="AP19" s="256">
        <f>'15'!$G$75</f>
        <v>0</v>
      </c>
      <c r="AQ19" s="256">
        <f>'15'!$G$76</f>
        <v>104</v>
      </c>
      <c r="AR19" s="256">
        <f>'15'!$G$77</f>
        <v>54</v>
      </c>
      <c r="AS19" s="256">
        <f>'15'!$G$78</f>
        <v>0</v>
      </c>
      <c r="AT19" s="256">
        <f t="shared" si="0"/>
        <v>578</v>
      </c>
      <c r="AU19" s="254">
        <f>SUM('15'!G91:G92)</f>
        <v>11.390000000000327</v>
      </c>
      <c r="AV19" s="254">
        <f>'15'!$G$88</f>
        <v>0</v>
      </c>
      <c r="AW19" s="254">
        <f>'15'!$G$89</f>
        <v>9.1100000000005821</v>
      </c>
      <c r="AX19" s="254">
        <f>'15'!$G$90</f>
        <v>11.440000000002328</v>
      </c>
      <c r="AY19" s="252">
        <f t="shared" si="1"/>
        <v>20.55000000000291</v>
      </c>
      <c r="AZ19" s="311">
        <f t="shared" si="6"/>
        <v>29.060579455662026</v>
      </c>
      <c r="BA19" s="311">
        <f t="shared" si="3"/>
        <v>28.126520681261223</v>
      </c>
      <c r="BB19" s="351">
        <f t="shared" si="4"/>
        <v>3927.4900000000198</v>
      </c>
      <c r="BC19" s="351">
        <f t="shared" si="5"/>
        <v>16.952218577348152</v>
      </c>
    </row>
    <row r="20" spans="1:55">
      <c r="A20" s="359">
        <v>16</v>
      </c>
      <c r="B20" s="511">
        <f>'16'!G7</f>
        <v>27310</v>
      </c>
      <c r="C20" s="511">
        <f>'16'!G8</f>
        <v>27629</v>
      </c>
      <c r="D20" s="511">
        <f>'16'!G15</f>
        <v>1000</v>
      </c>
      <c r="E20" s="511">
        <f>'16'!G20</f>
        <v>142</v>
      </c>
      <c r="F20" s="511">
        <f>SUM('16'!G35,'16'!G49)</f>
        <v>3791</v>
      </c>
      <c r="G20" s="511">
        <f>SUM('16'!G37,'16'!G51)</f>
        <v>1026</v>
      </c>
      <c r="H20" s="511">
        <f>SUM('16'!G38,'16'!G52)</f>
        <v>2245</v>
      </c>
      <c r="I20" s="511">
        <f>SUM('16'!G39,'16'!G53)</f>
        <v>4282</v>
      </c>
      <c r="J20" s="511">
        <f>SUM('16'!G41,'16'!G42,'16'!G55,'16'!G56)</f>
        <v>7177</v>
      </c>
      <c r="K20" s="511">
        <f>SUM('16'!G43,'16'!G57)</f>
        <v>3335</v>
      </c>
      <c r="L20" s="254">
        <f>'16'!G50</f>
        <v>1867</v>
      </c>
      <c r="M20" s="254">
        <f>'16'!G36</f>
        <v>1151</v>
      </c>
      <c r="N20" s="254">
        <f>'16'!G138</f>
        <v>139</v>
      </c>
      <c r="O20" s="254">
        <f>'16'!$G$139</f>
        <v>167</v>
      </c>
      <c r="P20" s="254">
        <f>'16'!$G$140</f>
        <v>15</v>
      </c>
      <c r="Q20" s="254">
        <f>'16'!$G$141</f>
        <v>220</v>
      </c>
      <c r="R20" s="254">
        <f>'16'!$G$142</f>
        <v>86</v>
      </c>
      <c r="S20" s="254">
        <f>'16'!$G$145</f>
        <v>34</v>
      </c>
      <c r="T20" s="251">
        <f>'16'!$G$146</f>
        <v>147</v>
      </c>
      <c r="U20" s="251">
        <f>'16'!$G$144</f>
        <v>219</v>
      </c>
      <c r="V20" s="251">
        <f>'16'!$G$147</f>
        <v>388</v>
      </c>
      <c r="W20" s="251">
        <f>'16'!$G$148</f>
        <v>373</v>
      </c>
      <c r="X20" s="251">
        <f>'16'!$G$143</f>
        <v>26</v>
      </c>
      <c r="Y20" s="251">
        <f>'16'!$G$58</f>
        <v>276</v>
      </c>
      <c r="Z20" s="251">
        <f>'16'!$G$151</f>
        <v>258</v>
      </c>
      <c r="AA20" s="251">
        <f>'16'!G161</f>
        <v>263</v>
      </c>
      <c r="AB20" s="251">
        <f>'16'!G162</f>
        <v>40</v>
      </c>
      <c r="AC20" s="251">
        <f>'16'!G88</f>
        <v>0</v>
      </c>
      <c r="AD20" s="251">
        <f>'16'!G163+'16'!G164</f>
        <v>82</v>
      </c>
      <c r="AE20" s="254">
        <f>'16'!$G$116</f>
        <v>353</v>
      </c>
      <c r="AF20" s="254">
        <f>'16'!$G$117</f>
        <v>218</v>
      </c>
      <c r="AG20" s="254">
        <f>'16'!$G$118</f>
        <v>527</v>
      </c>
      <c r="AH20" s="254">
        <f>'16'!$G$119</f>
        <v>243</v>
      </c>
      <c r="AI20" s="254">
        <f>'16'!$G$120</f>
        <v>412</v>
      </c>
      <c r="AJ20" s="254">
        <f>'16'!$G$121</f>
        <v>460</v>
      </c>
      <c r="AK20" s="254">
        <f>'16'!$G$122</f>
        <v>332</v>
      </c>
      <c r="AL20" s="254">
        <f>'16'!$G$123</f>
        <v>329</v>
      </c>
      <c r="AM20" s="254">
        <f>'16'!$G$133</f>
        <v>870</v>
      </c>
      <c r="AN20" s="254">
        <f>'16'!$G$15</f>
        <v>1000</v>
      </c>
      <c r="AO20" s="256">
        <f>'16'!$G$74</f>
        <v>314</v>
      </c>
      <c r="AP20" s="256">
        <f>'16'!$G$75</f>
        <v>0</v>
      </c>
      <c r="AQ20" s="256">
        <f>'16'!$G$76</f>
        <v>105</v>
      </c>
      <c r="AR20" s="256">
        <f>'16'!$G$77</f>
        <v>45</v>
      </c>
      <c r="AS20" s="256">
        <f>'16'!$G$78</f>
        <v>0</v>
      </c>
      <c r="AT20" s="256">
        <f t="shared" si="0"/>
        <v>536</v>
      </c>
      <c r="AU20" s="254">
        <f>SUM('16'!G91:G92)</f>
        <v>11.130000000000109</v>
      </c>
      <c r="AV20" s="254">
        <f>'16'!$G$88</f>
        <v>0</v>
      </c>
      <c r="AW20" s="254">
        <f>'16'!$G$89</f>
        <v>8.6300000000010186</v>
      </c>
      <c r="AX20" s="254">
        <f>'16'!$G$90</f>
        <v>10.509999999994761</v>
      </c>
      <c r="AY20" s="252">
        <f t="shared" si="1"/>
        <v>19.13999999999578</v>
      </c>
      <c r="AZ20" s="311">
        <f t="shared" si="6"/>
        <v>28.212039532793973</v>
      </c>
      <c r="BA20" s="311">
        <f t="shared" si="3"/>
        <v>28.004179728323834</v>
      </c>
      <c r="BB20" s="351">
        <f t="shared" si="4"/>
        <v>5497</v>
      </c>
      <c r="BC20" s="351">
        <f t="shared" si="5"/>
        <v>20.128158183815451</v>
      </c>
    </row>
    <row r="21" spans="1:55">
      <c r="A21" s="359">
        <v>17</v>
      </c>
      <c r="B21" s="511">
        <f>'17'!G7</f>
        <v>26491</v>
      </c>
      <c r="C21" s="511">
        <f>'17'!G8</f>
        <v>26748</v>
      </c>
      <c r="D21" s="511">
        <f>'17'!G15</f>
        <v>1001</v>
      </c>
      <c r="E21" s="511">
        <f>'17'!G20</f>
        <v>289</v>
      </c>
      <c r="F21" s="511">
        <f>SUM('17'!G35,'17'!G49)</f>
        <v>3836</v>
      </c>
      <c r="G21" s="511">
        <f>SUM('17'!G37,'17'!G51)</f>
        <v>989</v>
      </c>
      <c r="H21" s="511">
        <f>SUM('17'!G38,'17'!G52)</f>
        <v>2272</v>
      </c>
      <c r="I21" s="511">
        <f>SUM('17'!G39,'17'!G53)</f>
        <v>4339</v>
      </c>
      <c r="J21" s="511">
        <f>SUM('17'!G41,'17'!G42,'17'!G55,'17'!G56)</f>
        <v>7321</v>
      </c>
      <c r="K21" s="511">
        <f>SUM('17'!G43,'17'!G57)</f>
        <v>3232</v>
      </c>
      <c r="L21" s="254">
        <f>'17'!G50</f>
        <v>1862</v>
      </c>
      <c r="M21" s="254">
        <f>'17'!G36</f>
        <v>750</v>
      </c>
      <c r="N21" s="254">
        <f>'18 '!G138</f>
        <v>144</v>
      </c>
      <c r="O21" s="254">
        <f>'17'!$G$139</f>
        <v>174</v>
      </c>
      <c r="P21" s="254">
        <f>'17'!$G$140</f>
        <v>14</v>
      </c>
      <c r="Q21" s="254">
        <f>'17'!$G$141</f>
        <v>215</v>
      </c>
      <c r="R21" s="254">
        <f>'17'!$G$142</f>
        <v>80</v>
      </c>
      <c r="S21" s="254">
        <f>'17'!$G$145</f>
        <v>36</v>
      </c>
      <c r="T21" s="251">
        <f>'17'!$G$146</f>
        <v>52</v>
      </c>
      <c r="U21" s="251">
        <f>'17'!$G$144</f>
        <v>234</v>
      </c>
      <c r="V21" s="251">
        <f>'17'!$G$147</f>
        <v>387</v>
      </c>
      <c r="W21" s="251">
        <f>'17'!$G$148</f>
        <v>284</v>
      </c>
      <c r="X21" s="251">
        <f>'17'!$G$143</f>
        <v>28</v>
      </c>
      <c r="Y21" s="251">
        <f>'17'!$G$58</f>
        <v>259</v>
      </c>
      <c r="Z21" s="251">
        <f>'17'!$G$151</f>
        <v>271</v>
      </c>
      <c r="AA21" s="251">
        <f>'17'!G161</f>
        <v>263</v>
      </c>
      <c r="AB21" s="251">
        <f>'17'!G162</f>
        <v>55</v>
      </c>
      <c r="AC21" s="251">
        <f>'17'!G88</f>
        <v>0</v>
      </c>
      <c r="AD21" s="251">
        <f>'17'!G163+'17'!G164</f>
        <v>121</v>
      </c>
      <c r="AE21" s="254">
        <f>'17'!$G$116</f>
        <v>391</v>
      </c>
      <c r="AF21" s="254">
        <f>'17'!$G$117</f>
        <v>202</v>
      </c>
      <c r="AG21" s="254">
        <f>'17'!$G$118</f>
        <v>599</v>
      </c>
      <c r="AH21" s="254">
        <f>'17'!$G$119</f>
        <v>232</v>
      </c>
      <c r="AI21" s="254">
        <f>'17'!$G$120</f>
        <v>400</v>
      </c>
      <c r="AJ21" s="254">
        <f>'17'!$G$121</f>
        <v>457</v>
      </c>
      <c r="AK21" s="254">
        <f>'17'!$G$122</f>
        <v>332</v>
      </c>
      <c r="AL21" s="254">
        <f>'17'!$G$123</f>
        <v>326</v>
      </c>
      <c r="AM21" s="254">
        <f>'17'!$G$133</f>
        <v>860</v>
      </c>
      <c r="AN21" s="254">
        <f>'17'!$G$15</f>
        <v>1001</v>
      </c>
      <c r="AO21" s="256">
        <f>'17'!$G$74</f>
        <v>311</v>
      </c>
      <c r="AP21" s="256">
        <f>'17'!$G$75</f>
        <v>0</v>
      </c>
      <c r="AQ21" s="256">
        <f>'17'!$G$76</f>
        <v>102</v>
      </c>
      <c r="AR21" s="256">
        <f>'17'!$G$77</f>
        <v>56</v>
      </c>
      <c r="AS21" s="256">
        <f>'17'!$G$78</f>
        <v>0</v>
      </c>
      <c r="AT21" s="256">
        <f t="shared" si="0"/>
        <v>532</v>
      </c>
      <c r="AU21" s="254">
        <f>SUM('17'!G91:G92)</f>
        <v>11.269999999999527</v>
      </c>
      <c r="AV21" s="254">
        <f>'17'!$G$88</f>
        <v>0</v>
      </c>
      <c r="AW21" s="254">
        <f>'17'!$G$89</f>
        <v>8.4599999999991269</v>
      </c>
      <c r="AX21" s="254">
        <f>'17'!$G$90</f>
        <v>9.7400000000052387</v>
      </c>
      <c r="AY21" s="252">
        <f t="shared" si="1"/>
        <v>18.200000000004366</v>
      </c>
      <c r="AZ21" s="311">
        <f t="shared" si="6"/>
        <v>27.595385980480305</v>
      </c>
      <c r="BA21" s="311">
        <f t="shared" si="3"/>
        <v>29.23076923076222</v>
      </c>
      <c r="BB21" s="351">
        <f t="shared" si="4"/>
        <v>4500</v>
      </c>
      <c r="BC21" s="351">
        <f t="shared" si="5"/>
        <v>16.986901211732285</v>
      </c>
    </row>
    <row r="22" spans="1:55">
      <c r="A22" s="359">
        <v>18</v>
      </c>
      <c r="B22" s="511">
        <f>'18 '!G7</f>
        <v>25260.899999999994</v>
      </c>
      <c r="C22" s="511">
        <f>'18 '!G8</f>
        <v>24766</v>
      </c>
      <c r="D22" s="511">
        <f>'18 '!G15</f>
        <v>980.5</v>
      </c>
      <c r="E22" s="511">
        <f>'18 '!G20</f>
        <v>199</v>
      </c>
      <c r="F22" s="511">
        <f>SUM('18 '!G35,'18 '!G49)</f>
        <v>3797.8699999999953</v>
      </c>
      <c r="G22" s="511">
        <f>SUM('18 '!G37,'18 '!G51)</f>
        <v>984.89000000000306</v>
      </c>
      <c r="H22" s="511">
        <f>SUM('18 '!G38,'18 '!G52)</f>
        <v>2135.3099999999977</v>
      </c>
      <c r="I22" s="511">
        <f>SUM('18 '!G39,'18 '!G53)</f>
        <v>4169.2899999999499</v>
      </c>
      <c r="J22" s="511">
        <f>SUM('18 '!G41,'18 '!G42,'18 '!G55,'18 '!G56)</f>
        <v>6000.940000000046</v>
      </c>
      <c r="K22" s="511">
        <f>SUM('18 '!G43,'18 '!G57)</f>
        <v>3086.9099999999744</v>
      </c>
      <c r="L22" s="254">
        <f>'18 '!G50</f>
        <v>1227.0999999999767</v>
      </c>
      <c r="M22" s="254">
        <f>'18 '!G36</f>
        <v>795.17000000001281</v>
      </c>
      <c r="N22" s="254">
        <f>'18 '!G138</f>
        <v>144</v>
      </c>
      <c r="O22" s="254">
        <f>'18 '!$G$139</f>
        <v>174</v>
      </c>
      <c r="P22" s="254">
        <f>'18 '!$G$140</f>
        <v>16</v>
      </c>
      <c r="Q22" s="254">
        <f>'18 '!$G$141</f>
        <v>200.30000000000291</v>
      </c>
      <c r="R22" s="254">
        <f>'18 '!$G$142</f>
        <v>79.129999999997381</v>
      </c>
      <c r="S22" s="254">
        <f>'18 '!$G$145</f>
        <v>38.430000000000291</v>
      </c>
      <c r="T22" s="251">
        <f>'18 '!$G$146</f>
        <v>50</v>
      </c>
      <c r="U22" s="251">
        <f>'18 '!$G$144</f>
        <v>226</v>
      </c>
      <c r="V22" s="256">
        <f>'18 '!$G$147</f>
        <v>377.47999999998137</v>
      </c>
      <c r="W22" s="256">
        <f>'18 '!$G$148</f>
        <v>302.5</v>
      </c>
      <c r="X22" s="256">
        <f>'18 '!$G$143</f>
        <v>27.829999999999927</v>
      </c>
      <c r="Y22" s="256">
        <f>'18 '!$G$58</f>
        <v>228.69999999999709</v>
      </c>
      <c r="Z22" s="256">
        <f>'18 '!$G$151</f>
        <v>229</v>
      </c>
      <c r="AA22" s="256">
        <f>'18 '!G161</f>
        <v>59.599999999976717</v>
      </c>
      <c r="AB22" s="251">
        <f>'18 '!G162</f>
        <v>51.19999999999709</v>
      </c>
      <c r="AC22" s="251">
        <f>'18 '!G88</f>
        <v>0</v>
      </c>
      <c r="AD22" s="251">
        <f>'18 '!G163+'18 '!G164</f>
        <v>114.79999999999927</v>
      </c>
      <c r="AE22" s="254">
        <f>'18 '!$G$116</f>
        <v>340.19999999999709</v>
      </c>
      <c r="AF22" s="254">
        <f>'18 '!$G$117</f>
        <v>246.19999999999709</v>
      </c>
      <c r="AG22" s="254">
        <f>'18 '!$G$118</f>
        <v>591.69999999999709</v>
      </c>
      <c r="AH22" s="254">
        <f>'18 '!$G$119</f>
        <v>139.19999999999709</v>
      </c>
      <c r="AI22" s="254">
        <f>'18 '!$G$120</f>
        <v>396.59999999999854</v>
      </c>
      <c r="AJ22" s="254">
        <f>'18 '!$G$121</f>
        <v>448.69000000000233</v>
      </c>
      <c r="AK22" s="254">
        <f>'18 '!$G$122</f>
        <v>365.08999999999651</v>
      </c>
      <c r="AL22" s="254">
        <f>'18 '!$G$123</f>
        <v>311.69999999999709</v>
      </c>
      <c r="AM22" s="254">
        <f>'18 '!$G$133</f>
        <v>830</v>
      </c>
      <c r="AN22" s="254">
        <f>'18 '!$G$15</f>
        <v>980.5</v>
      </c>
      <c r="AO22" s="256">
        <f>'18 '!$G$74</f>
        <v>306.30000000004657</v>
      </c>
      <c r="AP22" s="256">
        <f>'18 '!$G$75</f>
        <v>-0.80000000000291038</v>
      </c>
      <c r="AQ22" s="256">
        <f>'18 '!$G$76</f>
        <v>95</v>
      </c>
      <c r="AR22" s="256">
        <f>'18 '!$G$77</f>
        <v>43</v>
      </c>
      <c r="AS22" s="256">
        <f>'18 '!$G$78</f>
        <v>0</v>
      </c>
      <c r="AT22" s="256">
        <f t="shared" si="0"/>
        <v>536.99999999995634</v>
      </c>
      <c r="AU22" s="254">
        <f>SUM('18 '!G91:G92)</f>
        <v>11.020000000000437</v>
      </c>
      <c r="AV22" s="254">
        <f>'18 '!$G$88</f>
        <v>0</v>
      </c>
      <c r="AW22" s="254">
        <f>'18 '!$G$89</f>
        <v>9.0599999999976717</v>
      </c>
      <c r="AX22" s="254">
        <f>'18 '!$G$90</f>
        <v>9.1900000000023283</v>
      </c>
      <c r="AY22" s="252">
        <f t="shared" si="1"/>
        <v>18.25</v>
      </c>
      <c r="AZ22" s="311">
        <f t="shared" si="6"/>
        <v>27.794918330311653</v>
      </c>
      <c r="BA22" s="311">
        <f t="shared" si="3"/>
        <v>29.424657534244183</v>
      </c>
      <c r="BB22" s="351">
        <f t="shared" si="4"/>
        <v>4362.0900000000365</v>
      </c>
      <c r="BC22" s="351">
        <f t="shared" si="5"/>
        <v>17.268149590869832</v>
      </c>
    </row>
    <row r="23" spans="1:55" s="313" customFormat="1">
      <c r="A23" s="359">
        <v>19</v>
      </c>
      <c r="B23" s="511">
        <f>'19'!G7</f>
        <v>26393.849999999977</v>
      </c>
      <c r="C23" s="511">
        <f>'19'!G8</f>
        <v>26615.699999999953</v>
      </c>
      <c r="D23" s="511">
        <f>'19'!G15</f>
        <v>945.5</v>
      </c>
      <c r="E23" s="511">
        <f>'19'!G20</f>
        <v>151</v>
      </c>
      <c r="F23" s="511">
        <f>SUM('19'!G35,'19'!G49)</f>
        <v>3973.9599999999627</v>
      </c>
      <c r="G23" s="511">
        <f>SUM('19'!G37,'19'!G51)</f>
        <v>991.04999999999927</v>
      </c>
      <c r="H23" s="511">
        <f>SUM('19'!G38,'19'!G52)</f>
        <v>2170.960000000021</v>
      </c>
      <c r="I23" s="511">
        <f>SUM('19'!G39,'19'!G53)</f>
        <v>4284.6499999999942</v>
      </c>
      <c r="J23" s="511">
        <f>SUM('19'!G41,'19'!G42,'19'!G55,'19'!G56)</f>
        <v>6754.1999999998952</v>
      </c>
      <c r="K23" s="511">
        <f>SUM('19'!G43,'19'!G57)</f>
        <v>3216.9200000000419</v>
      </c>
      <c r="L23" s="251">
        <f>'19'!G50</f>
        <v>1659.1500000000233</v>
      </c>
      <c r="M23" s="251">
        <f>'19'!G36</f>
        <v>813.75999999998021</v>
      </c>
      <c r="N23" s="251">
        <f>'19'!G138</f>
        <v>134</v>
      </c>
      <c r="O23" s="251">
        <f>'19'!$G$139</f>
        <v>124</v>
      </c>
      <c r="P23" s="251">
        <f>'19'!$G$140</f>
        <v>18.400000000000091</v>
      </c>
      <c r="Q23" s="251">
        <f>'19'!$G$141</f>
        <v>216.25999999999476</v>
      </c>
      <c r="R23" s="254">
        <f>'19'!G142</f>
        <v>86.620000000002619</v>
      </c>
      <c r="S23" s="251">
        <f>'19'!$G$145</f>
        <v>32.920000000000073</v>
      </c>
      <c r="T23" s="251">
        <f>'19'!$G$146</f>
        <v>48</v>
      </c>
      <c r="U23" s="251">
        <f>'19'!$G$144</f>
        <v>216</v>
      </c>
      <c r="V23" s="251">
        <f>'19'!$G$147</f>
        <v>384.40000000002328</v>
      </c>
      <c r="W23" s="251">
        <f>'19'!$G$148</f>
        <v>258.6600000000326</v>
      </c>
      <c r="X23" s="251">
        <f>'19'!$G$143</f>
        <v>28</v>
      </c>
      <c r="Y23" s="251">
        <f>'19'!$G$58</f>
        <v>194.51000000000204</v>
      </c>
      <c r="Z23" s="251">
        <f>'19'!$G$151</f>
        <v>231</v>
      </c>
      <c r="AA23" s="251">
        <f>'19'!G161</f>
        <v>71.520000000018626</v>
      </c>
      <c r="AB23" s="251">
        <f>'19'!G162</f>
        <v>44.30000000000291</v>
      </c>
      <c r="AC23" s="251">
        <f>'19'!G88</f>
        <v>0</v>
      </c>
      <c r="AD23" s="251">
        <f>'19'!G163+'19'!G164</f>
        <v>107.00000000000091</v>
      </c>
      <c r="AE23" s="251">
        <f>'19'!$G$116</f>
        <v>449.60000000000582</v>
      </c>
      <c r="AF23" s="251">
        <f>'19'!$G$117</f>
        <v>265.10000000000582</v>
      </c>
      <c r="AG23" s="251">
        <f>'19'!$G$118</f>
        <v>599.19999999999709</v>
      </c>
      <c r="AH23" s="251">
        <f>'19'!$G$119</f>
        <v>86.900000000001455</v>
      </c>
      <c r="AI23" s="251">
        <f>'19'!$G$120</f>
        <v>404.40000000000146</v>
      </c>
      <c r="AJ23" s="251">
        <f>'19'!$G$121</f>
        <v>452.50999999999476</v>
      </c>
      <c r="AK23" s="251">
        <f>'19'!$G$122</f>
        <v>359.7100000000064</v>
      </c>
      <c r="AL23" s="251">
        <f>'19'!$G$123</f>
        <v>321.56999999999971</v>
      </c>
      <c r="AM23" s="251">
        <f>'19'!$G$133</f>
        <v>911.67000000001281</v>
      </c>
      <c r="AN23" s="251">
        <f>'19'!$G$15</f>
        <v>945.5</v>
      </c>
      <c r="AO23" s="256">
        <f>'19'!$G$74</f>
        <v>315.19999999995343</v>
      </c>
      <c r="AP23" s="256">
        <f>'19'!$G$75</f>
        <v>0.80000000000291038</v>
      </c>
      <c r="AQ23" s="256">
        <f>'19'!$G$76</f>
        <v>90</v>
      </c>
      <c r="AR23" s="256">
        <f>'19'!$G$77</f>
        <v>51.30000000000291</v>
      </c>
      <c r="AS23" s="256">
        <f>'19'!$G$78</f>
        <v>0</v>
      </c>
      <c r="AT23" s="256">
        <f t="shared" si="0"/>
        <v>488.20000000004075</v>
      </c>
      <c r="AU23" s="251">
        <f>SUM('19'!G91:G92)</f>
        <v>11.369999999999891</v>
      </c>
      <c r="AV23" s="251">
        <f>'19'!$G$88</f>
        <v>0</v>
      </c>
      <c r="AW23" s="251">
        <f>'19'!$G$89</f>
        <v>6.7600000000020373</v>
      </c>
      <c r="AX23" s="251">
        <f>'19'!$G$90</f>
        <v>10.569999999992433</v>
      </c>
      <c r="AY23" s="255">
        <f t="shared" si="1"/>
        <v>17.32999999999447</v>
      </c>
      <c r="AZ23" s="311">
        <f t="shared" si="6"/>
        <v>27.72207563763909</v>
      </c>
      <c r="BA23" s="311">
        <f t="shared" si="3"/>
        <v>28.170802077333903</v>
      </c>
      <c r="BB23" s="351">
        <f t="shared" si="4"/>
        <v>5029.4500000000371</v>
      </c>
      <c r="BC23" s="351">
        <f t="shared" si="5"/>
        <v>19.055386008483197</v>
      </c>
    </row>
    <row r="24" spans="1:55">
      <c r="A24" s="359">
        <v>20</v>
      </c>
      <c r="B24" s="511">
        <f>'20'!G7</f>
        <v>25757</v>
      </c>
      <c r="C24" s="511">
        <f>'20'!G8</f>
        <v>25977</v>
      </c>
      <c r="D24" s="511">
        <f>'20'!G15</f>
        <v>983</v>
      </c>
      <c r="E24" s="511">
        <f>'20'!G20</f>
        <v>241</v>
      </c>
      <c r="F24" s="511">
        <f>SUM('20'!G35,'20'!G49)</f>
        <v>3879.2800000000279</v>
      </c>
      <c r="G24" s="511">
        <f>SUM('20'!G37,'20'!G51)</f>
        <v>1010.1399999999994</v>
      </c>
      <c r="H24" s="511">
        <f>SUM('20'!G38,'20'!G52)</f>
        <v>2151.5999999999767</v>
      </c>
      <c r="I24" s="511">
        <f>SUM('20'!G39,'20'!G53)</f>
        <v>4205.5099999999948</v>
      </c>
      <c r="J24" s="511">
        <f>SUM('20'!G41,'20'!G42,'20'!G55,'20'!G56)</f>
        <v>7521.4100000000326</v>
      </c>
      <c r="K24" s="511">
        <f>SUM('20'!G43,'20'!G57)</f>
        <v>3222.2799999999697</v>
      </c>
      <c r="L24" s="254">
        <f>'20'!G50</f>
        <v>1214.320000000007</v>
      </c>
      <c r="M24" s="254">
        <f>'20'!G36</f>
        <v>964.07000000000698</v>
      </c>
      <c r="N24" s="254">
        <f>'20'!G138</f>
        <v>122</v>
      </c>
      <c r="O24" s="254">
        <f>'20'!$G$139</f>
        <v>150</v>
      </c>
      <c r="P24" s="254">
        <f>'20'!$G$140</f>
        <v>20.139999999999873</v>
      </c>
      <c r="Q24" s="254">
        <f>'20'!$G$141</f>
        <v>206.57000000000698</v>
      </c>
      <c r="R24" s="254">
        <f>'20'!$G$142</f>
        <v>84.400000000001455</v>
      </c>
      <c r="S24" s="254">
        <f>'20'!$G$145</f>
        <v>30.029999999999745</v>
      </c>
      <c r="T24" s="251">
        <f>'20'!$G$146</f>
        <v>44</v>
      </c>
      <c r="U24" s="251">
        <f>'20'!$G$144</f>
        <v>226</v>
      </c>
      <c r="V24" s="251">
        <f>'20'!$G$147</f>
        <v>378.88000000000466</v>
      </c>
      <c r="W24" s="251">
        <f>'20'!$G$148</f>
        <v>356.98999999999069</v>
      </c>
      <c r="X24" s="251">
        <f>'20'!$G$143</f>
        <v>23.3799999999992</v>
      </c>
      <c r="Y24" s="251">
        <f>'20'!$G$58</f>
        <v>236.33000000000175</v>
      </c>
      <c r="Z24" s="251">
        <f>'20'!$G$151</f>
        <v>261</v>
      </c>
      <c r="AA24" s="251">
        <f>'20'!G161</f>
        <v>53.080000000016298</v>
      </c>
      <c r="AB24" s="251">
        <f>'20'!G162</f>
        <v>43.80000000000291</v>
      </c>
      <c r="AC24" s="251">
        <f>'20'!G88</f>
        <v>1.2700000000004366</v>
      </c>
      <c r="AD24" s="251">
        <f>'20'!G163+'20'!G164</f>
        <v>105.09999999999945</v>
      </c>
      <c r="AE24" s="254">
        <f>'20'!$G$116</f>
        <v>402</v>
      </c>
      <c r="AF24" s="254">
        <f>'20'!$G$117</f>
        <v>247.89999999999418</v>
      </c>
      <c r="AG24" s="254">
        <f>'20'!$G$118</f>
        <v>589.76000000000931</v>
      </c>
      <c r="AH24" s="254">
        <f>'20'!$G$119</f>
        <v>81.069999999999709</v>
      </c>
      <c r="AI24" s="254">
        <f>'20'!$G$120</f>
        <v>413.5</v>
      </c>
      <c r="AJ24" s="254">
        <f>'20'!$G$121</f>
        <v>442.70000000000437</v>
      </c>
      <c r="AK24" s="254">
        <f>'20'!$G$122</f>
        <v>359.5</v>
      </c>
      <c r="AL24" s="254">
        <f>'20'!$G$123</f>
        <v>330.13000000000466</v>
      </c>
      <c r="AM24" s="254">
        <f>'20'!$G$133</f>
        <v>883.11999999999534</v>
      </c>
      <c r="AN24" s="254">
        <f>'20'!$G$15</f>
        <v>983</v>
      </c>
      <c r="AO24" s="256">
        <f>'20'!$G$74</f>
        <v>308.63000000000466</v>
      </c>
      <c r="AP24" s="256">
        <f>'20'!$G$75</f>
        <v>0</v>
      </c>
      <c r="AQ24" s="256">
        <f>'20'!$G$76</f>
        <v>109</v>
      </c>
      <c r="AR24" s="256">
        <f>'20'!$G$77</f>
        <v>53.69999999999709</v>
      </c>
      <c r="AS24" s="256">
        <f>'20'!$G$78</f>
        <v>0</v>
      </c>
      <c r="AT24" s="256">
        <f t="shared" si="0"/>
        <v>511.66999999999825</v>
      </c>
      <c r="AU24" s="254">
        <f>SUM('20'!G91:G92)</f>
        <v>11.119999999999891</v>
      </c>
      <c r="AV24" s="254">
        <f>'20'!$G$88</f>
        <v>1.2700000000004366</v>
      </c>
      <c r="AW24" s="254">
        <f>'20'!$G$89</f>
        <v>6.9700000000011642</v>
      </c>
      <c r="AX24" s="254">
        <f>'20'!$G$90</f>
        <v>9.9000000000087311</v>
      </c>
      <c r="AY24" s="252">
        <f t="shared" si="1"/>
        <v>18.140000000010332</v>
      </c>
      <c r="AZ24" s="311">
        <f t="shared" si="6"/>
        <v>27.754496402878388</v>
      </c>
      <c r="BA24" s="311">
        <f t="shared" si="3"/>
        <v>28.206725468561569</v>
      </c>
      <c r="BB24" s="351">
        <f t="shared" si="4"/>
        <v>3750.4499999999971</v>
      </c>
      <c r="BC24" s="351">
        <f t="shared" si="5"/>
        <v>14.560896067088548</v>
      </c>
    </row>
    <row r="25" spans="1:55">
      <c r="A25" s="359">
        <v>21</v>
      </c>
      <c r="B25" s="511">
        <f>'21'!G7</f>
        <v>24167</v>
      </c>
      <c r="C25" s="511">
        <f>'21'!G8</f>
        <v>24430</v>
      </c>
      <c r="D25" s="511">
        <f>'21'!G15</f>
        <v>959</v>
      </c>
      <c r="E25" s="511">
        <f>'21'!G20</f>
        <v>191</v>
      </c>
      <c r="F25" s="511">
        <f>SUM('21'!G35,'21'!G49)</f>
        <v>3878.8400000000256</v>
      </c>
      <c r="G25" s="511">
        <f>SUM('21'!G37,'21'!G51)</f>
        <v>1018.6100000000006</v>
      </c>
      <c r="H25" s="511">
        <f>SUM('21'!G38,'21'!G52)</f>
        <v>2166.1300000000047</v>
      </c>
      <c r="I25" s="511">
        <f>SUM('21'!G39,'21'!G53)</f>
        <v>4378.5500000000611</v>
      </c>
      <c r="J25" s="511">
        <f>SUM('21'!G41,'21'!G42,'21'!G55,'21'!G56)</f>
        <v>4508.4500000000262</v>
      </c>
      <c r="K25" s="511">
        <f>SUM('21'!G43,'21'!G57)</f>
        <v>3160.890000000014</v>
      </c>
      <c r="L25" s="254">
        <f>'21'!G50</f>
        <v>1353.429999999993</v>
      </c>
      <c r="M25" s="254">
        <f>'21'!G36</f>
        <v>791</v>
      </c>
      <c r="N25" s="254">
        <f>'21'!G138</f>
        <v>137</v>
      </c>
      <c r="O25" s="254">
        <f>'21'!$G$139</f>
        <v>137</v>
      </c>
      <c r="P25" s="254">
        <f>'21'!$G$140</f>
        <v>14.460000000000036</v>
      </c>
      <c r="Q25" s="254">
        <f>'21'!$G$141</f>
        <v>205.86999999999534</v>
      </c>
      <c r="R25" s="254">
        <f>'21'!$G$142</f>
        <v>93.849999999998545</v>
      </c>
      <c r="S25" s="254">
        <f>'21'!$G$145</f>
        <v>33.619999999999891</v>
      </c>
      <c r="T25" s="251">
        <f>'21'!$G$146</f>
        <v>48</v>
      </c>
      <c r="U25" s="251">
        <f>'21'!$G$144</f>
        <v>210</v>
      </c>
      <c r="V25" s="251">
        <f>'21'!$G$147</f>
        <v>418.23999999999069</v>
      </c>
      <c r="W25" s="251">
        <f>'21'!$G$148</f>
        <v>316.84999999997672</v>
      </c>
      <c r="X25" s="251">
        <f>'21'!$G$143</f>
        <v>30.790000000000873</v>
      </c>
      <c r="Y25" s="251">
        <f>'21'!$G$58</f>
        <v>217.45999999999913</v>
      </c>
      <c r="Z25" s="251">
        <f>'21'!$G$151</f>
        <v>232</v>
      </c>
      <c r="AA25" s="251">
        <f>'21'!G161</f>
        <v>67.799999999988358</v>
      </c>
      <c r="AB25" s="251">
        <f>'21'!G162</f>
        <v>34.69999999999709</v>
      </c>
      <c r="AC25" s="251">
        <f>'21'!G88</f>
        <v>-0.22999999999956344</v>
      </c>
      <c r="AD25" s="251">
        <f>'21'!G163+'21'!G164</f>
        <v>136.10000000000036</v>
      </c>
      <c r="AE25" s="254">
        <f>'21'!$G$116</f>
        <v>498.19999999999709</v>
      </c>
      <c r="AF25" s="254">
        <f>'21'!$G$117</f>
        <v>276.80000000000291</v>
      </c>
      <c r="AG25" s="254">
        <f>'21'!$G$118</f>
        <v>603.33999999999651</v>
      </c>
      <c r="AH25" s="254">
        <f>'21'!$G$119</f>
        <v>73.830000000001746</v>
      </c>
      <c r="AI25" s="254">
        <f>'21'!$G$120</f>
        <v>413.5</v>
      </c>
      <c r="AJ25" s="254">
        <f>'21'!$G$121</f>
        <v>436.09999999999854</v>
      </c>
      <c r="AK25" s="254">
        <f>'21'!$G$122</f>
        <v>353.69999999999709</v>
      </c>
      <c r="AL25" s="254">
        <f>'21'!$G$123</f>
        <v>332.59999999999854</v>
      </c>
      <c r="AM25" s="254">
        <f>'21'!$G$133</f>
        <v>885.20999999999185</v>
      </c>
      <c r="AN25" s="254">
        <f>'21'!$G$15</f>
        <v>959</v>
      </c>
      <c r="AO25" s="256">
        <f>'21'!$G$74</f>
        <v>317.86999999999534</v>
      </c>
      <c r="AP25" s="256">
        <f>'21'!$G$75</f>
        <v>0</v>
      </c>
      <c r="AQ25" s="256">
        <f>'21'!$G$76</f>
        <v>95</v>
      </c>
      <c r="AR25" s="256">
        <f>'21'!$G$77</f>
        <v>47</v>
      </c>
      <c r="AS25" s="256">
        <f>'21'!$G$78</f>
        <v>0</v>
      </c>
      <c r="AT25" s="256">
        <f t="shared" si="0"/>
        <v>499.13000000000466</v>
      </c>
      <c r="AU25" s="254">
        <f>SUM('21'!G91:G92)</f>
        <v>11.210000000000036</v>
      </c>
      <c r="AV25" s="254">
        <f>'21'!$G$88</f>
        <v>-0.22999999999956344</v>
      </c>
      <c r="AW25" s="254">
        <f>'21'!$G$89</f>
        <v>7.8999999999978172</v>
      </c>
      <c r="AX25" s="254">
        <f>'21'!$G$90</f>
        <v>10.110000000000582</v>
      </c>
      <c r="AY25" s="252">
        <f t="shared" si="1"/>
        <v>17.779999999998836</v>
      </c>
      <c r="AZ25" s="311">
        <f t="shared" si="6"/>
        <v>28.355932203389322</v>
      </c>
      <c r="BA25" s="311">
        <f t="shared" si="3"/>
        <v>28.072553430823248</v>
      </c>
      <c r="BB25" s="351">
        <f t="shared" si="4"/>
        <v>5101.0699999998687</v>
      </c>
      <c r="BC25" s="351">
        <f t="shared" si="5"/>
        <v>21.107584722968795</v>
      </c>
    </row>
    <row r="26" spans="1:55">
      <c r="A26" s="359">
        <v>22</v>
      </c>
      <c r="B26" s="511">
        <f>'22'!G7</f>
        <v>23473</v>
      </c>
      <c r="C26" s="511">
        <f>'22'!G8</f>
        <v>23577</v>
      </c>
      <c r="D26" s="511">
        <f>'22'!G15</f>
        <v>927</v>
      </c>
      <c r="E26" s="511">
        <f>'22'!G20</f>
        <v>181</v>
      </c>
      <c r="F26" s="511">
        <f>SUM('22'!G35,'22'!G49)</f>
        <v>3797</v>
      </c>
      <c r="G26" s="511">
        <f>SUM('22'!G37,'22'!G51)</f>
        <v>1022.3099999999977</v>
      </c>
      <c r="H26" s="511">
        <f>SUM('22'!G38,'22'!G52)</f>
        <v>2121</v>
      </c>
      <c r="I26" s="511">
        <f>SUM('22'!G39,'22'!G53)</f>
        <v>4205</v>
      </c>
      <c r="J26" s="511">
        <f>SUM('22'!G41,'22'!G42,'22'!G55,'22'!G56)</f>
        <v>5132</v>
      </c>
      <c r="K26" s="511">
        <f>SUM('22'!G43,'22'!G57)</f>
        <v>3122</v>
      </c>
      <c r="L26" s="254">
        <f>'22'!G50</f>
        <v>545</v>
      </c>
      <c r="M26" s="254">
        <f>'22'!G36</f>
        <v>691</v>
      </c>
      <c r="N26" s="254">
        <f>'22'!G138</f>
        <v>109</v>
      </c>
      <c r="O26" s="254">
        <f>'22'!$G$139</f>
        <v>155</v>
      </c>
      <c r="P26" s="254">
        <f>'22'!$G$140</f>
        <v>14</v>
      </c>
      <c r="Q26" s="254">
        <f>'22'!$G$141</f>
        <v>228</v>
      </c>
      <c r="R26" s="254">
        <f>'22'!$G$142</f>
        <v>80</v>
      </c>
      <c r="S26" s="254">
        <f>'22'!$G$145</f>
        <v>46</v>
      </c>
      <c r="T26" s="251">
        <f>'22'!$G$146</f>
        <v>44</v>
      </c>
      <c r="U26" s="251">
        <f>'22'!$G$144</f>
        <v>215</v>
      </c>
      <c r="V26" s="251">
        <f>'22'!$G$147</f>
        <v>364</v>
      </c>
      <c r="W26" s="251">
        <f>'22'!$G$148</f>
        <v>271</v>
      </c>
      <c r="X26" s="251">
        <f>'22'!$G$143</f>
        <v>25</v>
      </c>
      <c r="Y26" s="251">
        <f>'22'!$G$58</f>
        <v>251</v>
      </c>
      <c r="Z26" s="251">
        <f>'22'!$G$151</f>
        <v>222</v>
      </c>
      <c r="AA26" s="251">
        <f>'22'!G161</f>
        <v>83</v>
      </c>
      <c r="AB26" s="251">
        <f>'22'!G162</f>
        <v>36</v>
      </c>
      <c r="AC26" s="251">
        <f>'22'!G88</f>
        <v>9.5</v>
      </c>
      <c r="AD26" s="251">
        <f>'22'!G163+'22'!G164</f>
        <v>149</v>
      </c>
      <c r="AE26" s="254">
        <f>'22'!$G$116</f>
        <v>445</v>
      </c>
      <c r="AF26" s="254">
        <f>'22'!$G$117</f>
        <v>261</v>
      </c>
      <c r="AG26" s="254">
        <f>'22'!$G$118</f>
        <v>635</v>
      </c>
      <c r="AH26" s="254">
        <f>'22'!$G$119</f>
        <v>52</v>
      </c>
      <c r="AI26" s="254">
        <f>'22'!$G$120</f>
        <v>414</v>
      </c>
      <c r="AJ26" s="254">
        <f>'22'!$G$121</f>
        <v>442</v>
      </c>
      <c r="AK26" s="254">
        <f>'22'!$G$122</f>
        <v>347</v>
      </c>
      <c r="AL26" s="254">
        <f>'22'!$G$123</f>
        <v>328</v>
      </c>
      <c r="AM26" s="254">
        <f>'22'!$G$133</f>
        <v>880</v>
      </c>
      <c r="AN26" s="254">
        <f>'22'!$G$15</f>
        <v>927</v>
      </c>
      <c r="AO26" s="256">
        <f>'22'!$G$74</f>
        <v>316</v>
      </c>
      <c r="AP26" s="256">
        <f>'22'!$G$75</f>
        <v>0</v>
      </c>
      <c r="AQ26" s="256">
        <f>'22'!$G$76</f>
        <v>85</v>
      </c>
      <c r="AR26" s="256">
        <f>'22'!$G$77</f>
        <v>56</v>
      </c>
      <c r="AS26" s="256">
        <f>'22'!$G$78</f>
        <v>0</v>
      </c>
      <c r="AT26" s="256">
        <f t="shared" si="0"/>
        <v>470</v>
      </c>
      <c r="AU26" s="254">
        <f>SUM('22'!G91:G92)</f>
        <v>11.489999999999782</v>
      </c>
      <c r="AV26" s="254">
        <f>'22'!$G$88</f>
        <v>9.5</v>
      </c>
      <c r="AW26" s="254">
        <f>'22'!$G$89</f>
        <v>0</v>
      </c>
      <c r="AX26" s="254">
        <f>'22'!$G$90</f>
        <v>10.25</v>
      </c>
      <c r="AY26" s="252">
        <f t="shared" si="1"/>
        <v>19.75</v>
      </c>
      <c r="AZ26" s="311">
        <f t="shared" si="6"/>
        <v>27.502175805048392</v>
      </c>
      <c r="BA26" s="311">
        <f t="shared" si="3"/>
        <v>23.797468354430379</v>
      </c>
      <c r="BB26" s="351">
        <f t="shared" si="4"/>
        <v>3926.6900000000023</v>
      </c>
      <c r="BC26" s="351">
        <f t="shared" si="5"/>
        <v>16.72853917266648</v>
      </c>
    </row>
    <row r="27" spans="1:55">
      <c r="A27" s="359">
        <v>23</v>
      </c>
      <c r="B27" s="511">
        <f>'23'!G7</f>
        <v>23609</v>
      </c>
      <c r="C27" s="511">
        <f>'23'!G8</f>
        <v>23759</v>
      </c>
      <c r="D27" s="511">
        <f>'23'!G15</f>
        <v>951</v>
      </c>
      <c r="E27" s="511">
        <f>'23'!G20</f>
        <v>209</v>
      </c>
      <c r="F27" s="511">
        <f>SUM('23'!G35,'23'!G49)</f>
        <v>3711</v>
      </c>
      <c r="G27" s="511">
        <f>SUM('23'!G37,'23'!G51)</f>
        <v>985</v>
      </c>
      <c r="H27" s="511">
        <f>SUM('23'!G38,'23'!G52)</f>
        <v>2132</v>
      </c>
      <c r="I27" s="511">
        <f>SUM('23'!G39,'23'!G53)</f>
        <v>3942</v>
      </c>
      <c r="J27" s="511">
        <f>SUM('23'!G41,'23'!G42,'23'!G55,'23'!G56)</f>
        <v>6427</v>
      </c>
      <c r="K27" s="511">
        <f>SUM('23'!G43,'23'!G57)</f>
        <v>3100.0300000000279</v>
      </c>
      <c r="L27" s="254">
        <f>'23'!G50</f>
        <v>1411</v>
      </c>
      <c r="M27" s="254">
        <f>'23'!G36</f>
        <v>711</v>
      </c>
      <c r="N27" s="254">
        <f>'23'!G138</f>
        <v>78</v>
      </c>
      <c r="O27" s="254">
        <f>'23'!G139</f>
        <v>141</v>
      </c>
      <c r="P27" s="254">
        <f>'23'!$G$140</f>
        <v>15</v>
      </c>
      <c r="Q27" s="254">
        <f>'23'!$G$141</f>
        <v>222</v>
      </c>
      <c r="R27" s="254">
        <f>'23'!$G$142</f>
        <v>66</v>
      </c>
      <c r="S27" s="254">
        <f>'23'!$G$145</f>
        <v>58</v>
      </c>
      <c r="T27" s="251">
        <f>'23'!$G$146</f>
        <v>48</v>
      </c>
      <c r="U27" s="251">
        <f>'23'!$G$144</f>
        <v>215</v>
      </c>
      <c r="V27" s="251">
        <f>'23'!$G$147</f>
        <v>360</v>
      </c>
      <c r="W27" s="251">
        <f>'23'!$G$148</f>
        <v>293</v>
      </c>
      <c r="X27" s="251">
        <f>'23'!$G$143</f>
        <v>28</v>
      </c>
      <c r="Y27" s="251">
        <f>'23'!$G$58</f>
        <v>241</v>
      </c>
      <c r="Z27" s="251">
        <f>'23'!$G$151</f>
        <v>239</v>
      </c>
      <c r="AA27" s="251">
        <f>'23'!$G$161</f>
        <v>88</v>
      </c>
      <c r="AB27" s="251">
        <f>'23'!G162</f>
        <v>35</v>
      </c>
      <c r="AC27" s="251">
        <f>'23'!G88</f>
        <v>5.5</v>
      </c>
      <c r="AD27" s="251">
        <f>'23'!G163+'23'!G164</f>
        <v>91</v>
      </c>
      <c r="AE27" s="254">
        <f>'23'!$G$116</f>
        <v>258</v>
      </c>
      <c r="AF27" s="254">
        <f>'23'!$G$117</f>
        <v>277</v>
      </c>
      <c r="AG27" s="254">
        <f>'23'!$G$118</f>
        <v>584</v>
      </c>
      <c r="AH27" s="254">
        <f>'23'!$G$119</f>
        <v>31</v>
      </c>
      <c r="AI27" s="254">
        <f>'23'!$G$120</f>
        <v>405</v>
      </c>
      <c r="AJ27" s="254">
        <f>'23'!$G$121</f>
        <v>446</v>
      </c>
      <c r="AK27" s="254">
        <f>'23'!$G$122</f>
        <v>328</v>
      </c>
      <c r="AL27" s="254">
        <f>'23'!$G$123</f>
        <v>331</v>
      </c>
      <c r="AM27" s="254">
        <f>'23'!$G$133</f>
        <v>879</v>
      </c>
      <c r="AN27" s="254">
        <f>'23'!$G$15</f>
        <v>951</v>
      </c>
      <c r="AO27" s="256">
        <f>'23'!$G$74</f>
        <v>306</v>
      </c>
      <c r="AP27" s="256">
        <f>'23'!$G$75</f>
        <v>0</v>
      </c>
      <c r="AQ27" s="256">
        <f>'23'!$G$76</f>
        <v>89</v>
      </c>
      <c r="AR27" s="256">
        <f>'23'!$G$77</f>
        <v>40</v>
      </c>
      <c r="AS27" s="256">
        <f>'23'!$G$78</f>
        <v>0</v>
      </c>
      <c r="AT27" s="256">
        <f t="shared" si="0"/>
        <v>516</v>
      </c>
      <c r="AU27" s="254">
        <f>SUM('23'!G91:G92)</f>
        <v>10.960000000000036</v>
      </c>
      <c r="AV27" s="254">
        <f>'23'!$G$88</f>
        <v>5.5</v>
      </c>
      <c r="AW27" s="254">
        <f>'23'!$G$89</f>
        <v>3.1100000000005821</v>
      </c>
      <c r="AX27" s="254">
        <f>'23'!$G$90</f>
        <v>10.089999999996508</v>
      </c>
      <c r="AY27" s="252">
        <f t="shared" si="1"/>
        <v>18.69999999999709</v>
      </c>
      <c r="AZ27" s="311">
        <f t="shared" si="6"/>
        <v>27.919708029196986</v>
      </c>
      <c r="BA27" s="311">
        <f t="shared" si="3"/>
        <v>27.59358288770483</v>
      </c>
      <c r="BB27" s="351">
        <f t="shared" si="4"/>
        <v>3220.9699999999721</v>
      </c>
      <c r="BC27" s="351">
        <f t="shared" si="5"/>
        <v>13.642975136600331</v>
      </c>
    </row>
    <row r="28" spans="1:55" s="315" customFormat="1">
      <c r="A28" s="359">
        <v>24</v>
      </c>
      <c r="B28" s="511">
        <f>'24'!G7</f>
        <v>23696.109999999986</v>
      </c>
      <c r="C28" s="511">
        <f>'24'!G8</f>
        <v>23812.020000000004</v>
      </c>
      <c r="D28" s="511">
        <f>'24'!G15</f>
        <v>919.81999999983236</v>
      </c>
      <c r="E28" s="511">
        <f>'24'!G20</f>
        <v>297</v>
      </c>
      <c r="F28" s="511">
        <f>SUM('24'!G35,'24'!G49)</f>
        <v>3810.3600000000442</v>
      </c>
      <c r="G28" s="511">
        <f>SUM('24'!G37,'24'!G51)</f>
        <v>1054.5200000000041</v>
      </c>
      <c r="H28" s="511">
        <f>SUM('24'!G38,'24'!G52)</f>
        <v>2229.1500000000233</v>
      </c>
      <c r="I28" s="511">
        <f>SUM('24'!G39,'24'!G53)</f>
        <v>4084.6899999999441</v>
      </c>
      <c r="J28" s="511">
        <f>SUM('24'!G41,'24'!G42,'24'!G55,'24'!G56)</f>
        <v>5457.7799999999552</v>
      </c>
      <c r="K28" s="511">
        <f>SUM('24'!G43,'24'!G57)</f>
        <v>2906.210000000021</v>
      </c>
      <c r="L28" s="254">
        <f>'24'!G50</f>
        <v>1136.5300000000279</v>
      </c>
      <c r="M28" s="251">
        <f>'24'!G36</f>
        <v>776.39000000001397</v>
      </c>
      <c r="N28" s="251">
        <f>'24'!G138</f>
        <v>130</v>
      </c>
      <c r="O28" s="251">
        <f>'24'!G139</f>
        <v>144</v>
      </c>
      <c r="P28" s="251">
        <f>'24'!$G$140</f>
        <v>17.619999999999891</v>
      </c>
      <c r="Q28" s="251">
        <f>'24'!$G$141</f>
        <v>204.83000000000175</v>
      </c>
      <c r="R28" s="251">
        <f>'24'!$G$142</f>
        <v>81.919999999998254</v>
      </c>
      <c r="S28" s="251">
        <f>'24'!$G$145</f>
        <v>70</v>
      </c>
      <c r="T28" s="251">
        <f>'24'!$G$146</f>
        <v>47</v>
      </c>
      <c r="U28" s="251">
        <f>'24'!$G$144</f>
        <v>221</v>
      </c>
      <c r="V28" s="251">
        <f>'24'!$G$147</f>
        <v>377.59999999997672</v>
      </c>
      <c r="W28" s="251">
        <f>'24'!$G$148</f>
        <v>298.71999999997206</v>
      </c>
      <c r="X28" s="251">
        <f>'24'!$G$143</f>
        <v>29.739999999999782</v>
      </c>
      <c r="Y28" s="251">
        <f>'24'!$G$58</f>
        <v>233.45999999999913</v>
      </c>
      <c r="Z28" s="251">
        <f>'24'!$G$151</f>
        <v>263</v>
      </c>
      <c r="AA28" s="251">
        <f>'24'!G161</f>
        <v>65.71999999997206</v>
      </c>
      <c r="AB28" s="251">
        <f>'24'!G162</f>
        <v>41</v>
      </c>
      <c r="AC28" s="251">
        <f>'24'!G88</f>
        <v>0.15999999999985448</v>
      </c>
      <c r="AD28" s="251">
        <f>'24'!G163+'24'!G164</f>
        <v>131.69999999999982</v>
      </c>
      <c r="AE28" s="251">
        <f>'24'!$G$116</f>
        <v>345.47000000000116</v>
      </c>
      <c r="AF28" s="251">
        <f>'24'!$G$117</f>
        <v>292.33000000000175</v>
      </c>
      <c r="AG28" s="251">
        <f>'24'!$G$118</f>
        <v>634.14999999999418</v>
      </c>
      <c r="AH28" s="251">
        <f>'24'!$G$119</f>
        <v>28.44999999999709</v>
      </c>
      <c r="AI28" s="251">
        <f>'24'!$G$120</f>
        <v>425.87999999999738</v>
      </c>
      <c r="AJ28" s="251">
        <f>'24'!$G$121</f>
        <v>450.44000000000233</v>
      </c>
      <c r="AK28" s="251">
        <f>'24'!$G$122</f>
        <v>283.18000000000029</v>
      </c>
      <c r="AL28" s="251">
        <f>'24'!$G$123</f>
        <v>336.80999999999767</v>
      </c>
      <c r="AM28" s="251">
        <f>'24'!$G$133</f>
        <v>893.23000000001048</v>
      </c>
      <c r="AN28" s="251">
        <f>'24'!$G$15</f>
        <v>919.81999999983236</v>
      </c>
      <c r="AO28" s="256">
        <f>'24'!$G$74</f>
        <v>252.5</v>
      </c>
      <c r="AP28" s="256">
        <f>'24'!$G$75</f>
        <v>0</v>
      </c>
      <c r="AQ28" s="256">
        <f>'24'!$G$76</f>
        <v>100.10999999998603</v>
      </c>
      <c r="AR28" s="256">
        <f>'24'!$G$77</f>
        <v>39.900000000001455</v>
      </c>
      <c r="AS28" s="256">
        <f>'24'!$G$78</f>
        <v>0</v>
      </c>
      <c r="AT28" s="256">
        <f>AN28-SUM(AO28:AS28)</f>
        <v>527.30999999984488</v>
      </c>
      <c r="AU28" s="251">
        <f>SUM('24'!G91:G92)</f>
        <v>9.6300000000001091</v>
      </c>
      <c r="AV28" s="251">
        <f>'24'!$G$88</f>
        <v>0.15999999999985448</v>
      </c>
      <c r="AW28" s="251">
        <f>'24'!$G$89</f>
        <v>8.5</v>
      </c>
      <c r="AX28" s="251">
        <f>'24'!$G$90</f>
        <v>9.9400000000023283</v>
      </c>
      <c r="AY28" s="255">
        <f t="shared" si="1"/>
        <v>18.600000000002183</v>
      </c>
      <c r="AZ28" s="311">
        <f t="shared" si="6"/>
        <v>26.220145379023588</v>
      </c>
      <c r="BA28" s="311">
        <f t="shared" si="3"/>
        <v>28.349999999988334</v>
      </c>
      <c r="BB28" s="351">
        <f t="shared" si="4"/>
        <v>4035.8500000000131</v>
      </c>
      <c r="BC28" s="351">
        <f t="shared" si="5"/>
        <v>17.031698451771263</v>
      </c>
    </row>
    <row r="29" spans="1:55">
      <c r="A29" s="359">
        <v>25</v>
      </c>
      <c r="B29" s="511">
        <f>'25'!G7</f>
        <v>26848.959999999963</v>
      </c>
      <c r="C29" s="511">
        <f>'25'!G8</f>
        <v>27100.749999999985</v>
      </c>
      <c r="D29" s="511">
        <f>'25'!G15</f>
        <v>944.3800000003539</v>
      </c>
      <c r="E29" s="511">
        <f>'25'!G20</f>
        <v>129</v>
      </c>
      <c r="F29" s="511">
        <f>SUM('25'!G35,'25'!G49)</f>
        <v>3825.2799999999115</v>
      </c>
      <c r="G29" s="511">
        <f>SUM('25'!G37,'25'!G51)</f>
        <v>1085.3899999999994</v>
      </c>
      <c r="H29" s="511">
        <f>SUM('25'!G38,'25'!G52)</f>
        <v>2198.5999999999767</v>
      </c>
      <c r="I29" s="511">
        <f>SUM('25'!G39,'25'!G53)</f>
        <v>4181.6900000000023</v>
      </c>
      <c r="J29" s="511">
        <f>SUM('25'!G41,'25'!G42,'25'!G55,'25'!G56)</f>
        <v>7479.9199999999837</v>
      </c>
      <c r="K29" s="511">
        <f>SUM('25'!G43,'25'!G57)</f>
        <v>3225.2999999999884</v>
      </c>
      <c r="L29" s="254">
        <f>'25'!G50</f>
        <v>1672.4399999999441</v>
      </c>
      <c r="M29" s="254">
        <f>'25'!G36</f>
        <v>1070.3999999999942</v>
      </c>
      <c r="N29" s="254">
        <f>'25'!G138</f>
        <v>134</v>
      </c>
      <c r="O29" s="254">
        <f>'25'!$G$139</f>
        <v>180</v>
      </c>
      <c r="P29" s="254">
        <f>'25'!$G$140</f>
        <v>15.330000000000155</v>
      </c>
      <c r="Q29" s="254">
        <f>'25'!$G$141</f>
        <v>218.5</v>
      </c>
      <c r="R29" s="254">
        <f>'25'!$G$142</f>
        <v>81.970000000001164</v>
      </c>
      <c r="S29" s="254">
        <f>'25'!$G$145</f>
        <v>60.430000000000291</v>
      </c>
      <c r="T29" s="251">
        <f>'25'!$G$146</f>
        <v>44</v>
      </c>
      <c r="U29" s="251">
        <f>'25'!$G$144</f>
        <v>206</v>
      </c>
      <c r="V29" s="251">
        <f>'25'!$G$147</f>
        <v>409.76000000000931</v>
      </c>
      <c r="W29" s="251">
        <f>'25'!$G$148</f>
        <v>389.35999999998603</v>
      </c>
      <c r="X29" s="251">
        <f>'25'!$G$143</f>
        <v>29.180000000000291</v>
      </c>
      <c r="Y29" s="251">
        <f>'25'!$G$58</f>
        <v>244.15000000000146</v>
      </c>
      <c r="Z29" s="251">
        <f>'25'!$G$151</f>
        <v>251</v>
      </c>
      <c r="AA29" s="251">
        <f>'25'!G161</f>
        <v>57.200000000011642</v>
      </c>
      <c r="AB29" s="251">
        <f>'25'!G162</f>
        <v>35.80000000000291</v>
      </c>
      <c r="AC29" s="251">
        <f>'25'!G88</f>
        <v>0</v>
      </c>
      <c r="AD29" s="251">
        <f>'25'!G163+'25'!G164</f>
        <v>170.90000000000055</v>
      </c>
      <c r="AE29" s="254">
        <f>'25'!$G$116</f>
        <v>402.7899999999936</v>
      </c>
      <c r="AF29" s="254">
        <f>'25'!$G$117</f>
        <v>267.18000000000029</v>
      </c>
      <c r="AG29" s="254">
        <f>'25'!$G$118</f>
        <v>656.95000000001164</v>
      </c>
      <c r="AH29" s="254">
        <f>'25'!$G$119</f>
        <v>26.040000000000873</v>
      </c>
      <c r="AI29" s="254">
        <f>'25'!$G$120</f>
        <v>424.76000000000204</v>
      </c>
      <c r="AJ29" s="254">
        <f>'25'!$G$121</f>
        <v>444.44999999999709</v>
      </c>
      <c r="AK29" s="254">
        <f>'25'!$G$122</f>
        <v>281.48999999999796</v>
      </c>
      <c r="AL29" s="254">
        <f>'25'!$G$123</f>
        <v>334.80000000000291</v>
      </c>
      <c r="AM29" s="254">
        <f>'25'!$G$133</f>
        <v>878.11999999999534</v>
      </c>
      <c r="AN29" s="254">
        <f>'25'!$G$15</f>
        <v>944.3800000003539</v>
      </c>
      <c r="AO29" s="256">
        <f>'25'!$G$74</f>
        <v>312.73999999999069</v>
      </c>
      <c r="AP29" s="256">
        <f>'25'!$G$75</f>
        <v>0</v>
      </c>
      <c r="AQ29" s="256">
        <f>'25'!$G$76</f>
        <v>99.440000000002328</v>
      </c>
      <c r="AR29" s="256">
        <f>'25'!$G$77</f>
        <v>44.099999999998545</v>
      </c>
      <c r="AS29" s="256">
        <f>'25'!$G$78</f>
        <v>0</v>
      </c>
      <c r="AT29" s="256">
        <f t="shared" si="0"/>
        <v>488.10000000036234</v>
      </c>
      <c r="AU29" s="254">
        <f>SUM('25'!G91:G92)</f>
        <v>10.5600000000004</v>
      </c>
      <c r="AV29" s="254">
        <f>'25'!$G$88</f>
        <v>0</v>
      </c>
      <c r="AW29" s="254">
        <f>'25'!$G$89</f>
        <v>8.2200000000011642</v>
      </c>
      <c r="AX29" s="254">
        <f>'25'!$G$90</f>
        <v>10.319999999992433</v>
      </c>
      <c r="AY29" s="252">
        <f t="shared" si="1"/>
        <v>18.539999999993597</v>
      </c>
      <c r="BA29" s="311">
        <f t="shared" si="3"/>
        <v>26.326860841452586</v>
      </c>
      <c r="BB29" s="351">
        <f t="shared" si="4"/>
        <v>4860.4200000001219</v>
      </c>
      <c r="BC29" s="351">
        <f t="shared" si="5"/>
        <v>18.102824094490543</v>
      </c>
    </row>
    <row r="30" spans="1:55">
      <c r="A30" s="359">
        <v>26</v>
      </c>
      <c r="B30" s="511">
        <f>'26'!G7</f>
        <v>25390.680000000051</v>
      </c>
      <c r="C30" s="511">
        <f>'26'!G8</f>
        <v>25581.160000000003</v>
      </c>
      <c r="D30" s="511">
        <f>'26'!G15</f>
        <v>978.12999999988824</v>
      </c>
      <c r="E30" s="511">
        <f>'26'!G20</f>
        <v>270</v>
      </c>
      <c r="F30" s="511">
        <f>SUM('26'!G35,'26'!G49)</f>
        <v>3883.7600000000093</v>
      </c>
      <c r="G30" s="511">
        <f>SUM('26'!G37,'26'!G51)</f>
        <v>1081.6199999999953</v>
      </c>
      <c r="H30" s="511">
        <f>SUM('26'!G38,'26'!G52)</f>
        <v>2171.2000000000116</v>
      </c>
      <c r="I30" s="511">
        <f>SUM('26'!G39,'26'!G53)</f>
        <v>4291.3399999999965</v>
      </c>
      <c r="J30" s="511">
        <f>SUM('26'!G41,'26'!G42,'26'!G55,'26'!G56)</f>
        <v>6455.4000000000815</v>
      </c>
      <c r="K30" s="511">
        <f>SUM('26'!G43,'26'!G57)</f>
        <v>2854.820000000007</v>
      </c>
      <c r="L30" s="254">
        <f>'26'!G50</f>
        <v>1123.4800000000396</v>
      </c>
      <c r="M30" s="254">
        <f>'26'!G36</f>
        <v>1045.6999999999825</v>
      </c>
      <c r="N30" s="254">
        <f>'26'!G138</f>
        <v>157</v>
      </c>
      <c r="O30" s="254">
        <f>'26'!$G$139</f>
        <v>151</v>
      </c>
      <c r="P30" s="254">
        <f>'26'!$G$140</f>
        <v>16.159999999999854</v>
      </c>
      <c r="Q30" s="254">
        <f>'26'!$G$141</f>
        <v>207.94999999999709</v>
      </c>
      <c r="R30" s="254">
        <f>'26'!$G$142</f>
        <v>74.020000000004075</v>
      </c>
      <c r="S30" s="254">
        <f>'26'!$G$145</f>
        <v>80.659999999999854</v>
      </c>
      <c r="T30" s="251">
        <f>'26'!$G$146</f>
        <v>53</v>
      </c>
      <c r="U30" s="251">
        <f>'26'!$G$144</f>
        <v>210</v>
      </c>
      <c r="V30" s="251">
        <f>'26'!$G$147</f>
        <v>401.28000000002794</v>
      </c>
      <c r="W30" s="251">
        <f>'26'!$G$148</f>
        <v>384.32000000006519</v>
      </c>
      <c r="X30" s="251">
        <f>'26'!$G$143</f>
        <v>29.649999999999636</v>
      </c>
      <c r="Y30" s="251">
        <f>'26'!$G$58</f>
        <v>250.97000000000116</v>
      </c>
      <c r="Z30" s="251">
        <f>'26'!$G$151</f>
        <v>284</v>
      </c>
      <c r="AA30" s="251">
        <f>'26'!G161</f>
        <v>59.360000000044238</v>
      </c>
      <c r="AB30" s="251">
        <f>'26'!G162</f>
        <v>44.19999999999709</v>
      </c>
      <c r="AC30" s="251">
        <f>'26'!G88</f>
        <v>0</v>
      </c>
      <c r="AD30" s="251">
        <f>'26'!G163+'26'!G164</f>
        <v>156.09999999999854</v>
      </c>
      <c r="AE30" s="254">
        <f>'26'!$G$116</f>
        <v>503.02000000000407</v>
      </c>
      <c r="AF30" s="254">
        <f>'26'!$G$117</f>
        <v>276.22000000000116</v>
      </c>
      <c r="AG30" s="254">
        <f>'26'!$G$118</f>
        <v>635.84999999999127</v>
      </c>
      <c r="AH30" s="254">
        <f>'26'!$G$119</f>
        <v>24.80000000000291</v>
      </c>
      <c r="AI30" s="254">
        <f>'26'!$G$120</f>
        <v>410.5</v>
      </c>
      <c r="AJ30" s="254">
        <f>'26'!$G$121</f>
        <v>450.94999999999709</v>
      </c>
      <c r="AK30" s="254">
        <f>'26'!$G$122</f>
        <v>299.4800000000032</v>
      </c>
      <c r="AL30" s="254">
        <f>'26'!$G$123</f>
        <v>334.30999999999767</v>
      </c>
      <c r="AM30" s="254">
        <f>'26'!$G$133</f>
        <v>893.29999999998836</v>
      </c>
      <c r="AN30" s="254">
        <f>'26'!$G$15</f>
        <v>978.12999999988824</v>
      </c>
      <c r="AO30" s="256">
        <f>'26'!$G$74</f>
        <v>284.52000000001863</v>
      </c>
      <c r="AP30" s="256">
        <f>'26'!$G$75</f>
        <v>0</v>
      </c>
      <c r="AQ30" s="256">
        <f>'26'!$G$76</f>
        <v>104.45000000001164</v>
      </c>
      <c r="AR30" s="256">
        <f>'26'!$G$77</f>
        <v>52</v>
      </c>
      <c r="AS30" s="256">
        <f>'26'!$G$78</f>
        <v>0</v>
      </c>
      <c r="AT30" s="256">
        <f t="shared" si="0"/>
        <v>537.15999999985797</v>
      </c>
      <c r="AU30" s="254">
        <f>SUM('26'!G91:G92)</f>
        <v>10.469999999999345</v>
      </c>
      <c r="AV30" s="254">
        <f>'26'!$G$88</f>
        <v>0</v>
      </c>
      <c r="AW30" s="254">
        <f>'26'!$G$89</f>
        <v>8.430000000000291</v>
      </c>
      <c r="AX30" s="254">
        <f>'26'!$G$90</f>
        <v>10.400000000008731</v>
      </c>
      <c r="AY30" s="252">
        <f t="shared" si="1"/>
        <v>18.830000000009022</v>
      </c>
      <c r="BA30" s="311">
        <f t="shared" si="3"/>
        <v>28.526818905979852</v>
      </c>
      <c r="BB30" s="351">
        <f t="shared" si="4"/>
        <v>4592.049999999901</v>
      </c>
      <c r="BC30" s="351">
        <f t="shared" si="5"/>
        <v>18.085573131558082</v>
      </c>
    </row>
    <row r="31" spans="1:55">
      <c r="A31" s="359">
        <v>27</v>
      </c>
      <c r="B31" s="511">
        <f>'27'!G7</f>
        <v>24527.5</v>
      </c>
      <c r="C31" s="511">
        <f>'27'!G8</f>
        <v>24717.070000000007</v>
      </c>
      <c r="D31" s="511">
        <f>'27'!G15</f>
        <v>972.77000000001863</v>
      </c>
      <c r="E31" s="511">
        <f>'27'!G20</f>
        <v>270</v>
      </c>
      <c r="F31" s="511">
        <f>SUM('27'!G35,'27'!G49)</f>
        <v>3954</v>
      </c>
      <c r="G31" s="511">
        <f>SUM('27'!G37,'27'!G51)</f>
        <v>1050.5</v>
      </c>
      <c r="H31" s="511">
        <f>SUM('27'!G38,'27'!G52)</f>
        <v>2075.9599999999627</v>
      </c>
      <c r="I31" s="511">
        <f>SUM('27'!G39,'27'!G53)</f>
        <v>4254.2200000000012</v>
      </c>
      <c r="J31" s="511">
        <f>SUM('27'!G41,'27'!G42,'27'!G55,'27'!G56)</f>
        <v>6128.539999999979</v>
      </c>
      <c r="K31" s="511">
        <f>SUM('27'!G43,'27'!G57)</f>
        <v>2857.4799999999814</v>
      </c>
      <c r="L31" s="254">
        <f>'27'!G50</f>
        <v>988.94000000000233</v>
      </c>
      <c r="M31" s="254">
        <f>'27'!G36</f>
        <v>960.36000000001513</v>
      </c>
      <c r="N31" s="254">
        <f>'27'!G138</f>
        <v>42</v>
      </c>
      <c r="O31" s="254">
        <f>'27'!$G$139</f>
        <v>150</v>
      </c>
      <c r="P31" s="254">
        <f>'27'!$G$140</f>
        <v>9.5500000000001819</v>
      </c>
      <c r="Q31" s="254">
        <f>'27'!$G$141</f>
        <v>214.61999999999534</v>
      </c>
      <c r="R31" s="254">
        <f>'27'!$G$142</f>
        <v>85.589999999996508</v>
      </c>
      <c r="S31" s="254">
        <f>'27'!$G$145</f>
        <v>66.099999999999454</v>
      </c>
      <c r="T31" s="251">
        <f>'27'!$G$146</f>
        <v>57</v>
      </c>
      <c r="U31" s="251">
        <f>'27'!$G$144</f>
        <v>213</v>
      </c>
      <c r="V31" s="251">
        <f>'27'!$G$147</f>
        <v>381.67999999993481</v>
      </c>
      <c r="W31" s="251">
        <f>'27'!$G$148</f>
        <v>308.19999999995343</v>
      </c>
      <c r="X31" s="251">
        <f>'27'!$G$143</f>
        <v>27.329999999999927</v>
      </c>
      <c r="Y31" s="251">
        <f>'27'!$G$58</f>
        <v>224.91999999999825</v>
      </c>
      <c r="Z31" s="251">
        <f>'27'!$G$151</f>
        <v>255</v>
      </c>
      <c r="AA31" s="251">
        <f>'27'!G161</f>
        <v>31.759999999951106</v>
      </c>
      <c r="AB31" s="251">
        <f>'27'!G162</f>
        <v>27.100000000005821</v>
      </c>
      <c r="AC31" s="251">
        <f>'27'!G88</f>
        <v>0</v>
      </c>
      <c r="AD31" s="251">
        <f>'27'!G163+'27'!G164</f>
        <v>144.59000000000106</v>
      </c>
      <c r="AE31" s="254">
        <f>'27'!$G$116</f>
        <v>520.83999999999651</v>
      </c>
      <c r="AF31" s="254">
        <f>'27'!$G$117</f>
        <v>291.61999999999534</v>
      </c>
      <c r="AG31" s="254">
        <f>'27'!$G$118</f>
        <v>621.05000000000291</v>
      </c>
      <c r="AH31" s="254">
        <f>'27'!$G$119</f>
        <v>21.510000000002037</v>
      </c>
      <c r="AI31" s="254">
        <f>'27'!$G$120</f>
        <v>411.55999999999767</v>
      </c>
      <c r="AJ31" s="254">
        <f>'27'!$G$121</f>
        <v>438.23000000001048</v>
      </c>
      <c r="AK31" s="254">
        <f>'27'!$G$122</f>
        <v>293.97999999999593</v>
      </c>
      <c r="AL31" s="254">
        <f>'27'!$G$123</f>
        <v>330.26000000000204</v>
      </c>
      <c r="AM31" s="254">
        <f>'27'!$G$133</f>
        <v>871.0800000000163</v>
      </c>
      <c r="AN31" s="254">
        <f>'27'!$G$15</f>
        <v>972.77000000001863</v>
      </c>
      <c r="AO31" s="254">
        <f>'27'!$G$74</f>
        <v>281.47999999998137</v>
      </c>
      <c r="AP31" s="254">
        <f>'27'!$G$75</f>
        <v>0</v>
      </c>
      <c r="AQ31" s="254">
        <f>'27'!$G$76</f>
        <v>93</v>
      </c>
      <c r="AR31" s="254">
        <f>'27'!$G$77</f>
        <v>53.599999999998545</v>
      </c>
      <c r="AS31" s="254">
        <f>'27'!$G$78</f>
        <v>-0.3999999999996362</v>
      </c>
      <c r="AT31" s="254">
        <f t="shared" si="0"/>
        <v>545.09000000003834</v>
      </c>
      <c r="AU31" s="254">
        <f>SUM('27'!G91:G92)</f>
        <v>10.809999999999491</v>
      </c>
      <c r="AV31" s="254">
        <f>'27'!$G$88</f>
        <v>0</v>
      </c>
      <c r="AW31" s="254">
        <f>'27'!$G$89</f>
        <v>8.7699999999967986</v>
      </c>
      <c r="AX31" s="254">
        <f>'27'!$G$90</f>
        <v>10</v>
      </c>
      <c r="AY31" s="252">
        <f t="shared" si="1"/>
        <v>18.769999999996799</v>
      </c>
      <c r="BA31" s="311">
        <f t="shared" si="3"/>
        <v>29.04049014385356</v>
      </c>
      <c r="BB31" s="351">
        <f t="shared" si="4"/>
        <v>4171.4500000000844</v>
      </c>
      <c r="BC31" s="351">
        <f t="shared" si="5"/>
        <v>17.00723677504876</v>
      </c>
    </row>
    <row r="32" spans="1:55">
      <c r="A32" s="359">
        <v>28</v>
      </c>
      <c r="B32" s="511">
        <f>'28'!G7</f>
        <v>21897</v>
      </c>
      <c r="C32" s="511">
        <f>'28'!G8</f>
        <v>21951</v>
      </c>
      <c r="D32" s="511">
        <f>'28'!G15</f>
        <v>967.39999999990687</v>
      </c>
      <c r="E32" s="511">
        <f>'28'!G20</f>
        <v>240</v>
      </c>
      <c r="F32" s="511">
        <f>SUM('28'!G35,'28'!G49)</f>
        <v>3778.0400000000373</v>
      </c>
      <c r="G32" s="511">
        <f>SUM('28'!G37,'28'!G51)</f>
        <v>960.28000000000611</v>
      </c>
      <c r="H32" s="511">
        <f>SUM('28'!G38,'28'!G52)</f>
        <v>2059.320000000007</v>
      </c>
      <c r="I32" s="511">
        <f>SUM('28'!G39,'28'!G53)</f>
        <v>3998.0499999999884</v>
      </c>
      <c r="J32" s="511">
        <f>SUM('28'!G41,'28'!G42,'28'!G55,'28'!G56)</f>
        <v>5701.8800000000047</v>
      </c>
      <c r="K32" s="511">
        <f>SUM('28'!G43,'28'!G57)</f>
        <v>3060.429999999993</v>
      </c>
      <c r="L32" s="254">
        <f>'28'!G50</f>
        <v>970.39999999996508</v>
      </c>
      <c r="M32" s="254">
        <f>'28'!G36</f>
        <v>786.14999999999418</v>
      </c>
      <c r="N32" s="254">
        <f>'28'!G138</f>
        <v>18</v>
      </c>
      <c r="O32" s="254">
        <f>'28'!$G$139</f>
        <v>142</v>
      </c>
      <c r="P32" s="254">
        <f>'28'!$G$140</f>
        <v>13.439999999999827</v>
      </c>
      <c r="Q32" s="254">
        <f>'28'!$G$141</f>
        <v>196.20000000001164</v>
      </c>
      <c r="R32" s="254">
        <f>'28'!$G$142</f>
        <v>73.400000000001455</v>
      </c>
      <c r="S32" s="254">
        <f>'28'!$G$145</f>
        <v>97.260000000000218</v>
      </c>
      <c r="T32" s="251">
        <f>'28'!$G$146</f>
        <v>58</v>
      </c>
      <c r="U32" s="251">
        <f>'28'!$G$144</f>
        <v>223</v>
      </c>
      <c r="V32" s="251">
        <f>'28'!$G$147</f>
        <v>373.36000000010245</v>
      </c>
      <c r="W32" s="251">
        <f>'28'!$G$148</f>
        <v>296.20000000006985</v>
      </c>
      <c r="X32" s="251">
        <f>'28'!$G$143</f>
        <v>26.489999999999782</v>
      </c>
      <c r="Y32" s="251">
        <f>'28'!$G$58</f>
        <v>172.26000000000204</v>
      </c>
      <c r="Z32" s="251">
        <f>'28'!$G$151</f>
        <v>243</v>
      </c>
      <c r="AA32" s="251">
        <f>'28'!G161</f>
        <v>38.360000000044238</v>
      </c>
      <c r="AB32" s="251">
        <f>'28'!G162</f>
        <v>17.299999999988358</v>
      </c>
      <c r="AC32" s="251">
        <f>'28'!G88</f>
        <v>0</v>
      </c>
      <c r="AD32" s="251">
        <f>'28'!G163+'28'!G164</f>
        <v>56.710000000000036</v>
      </c>
      <c r="AE32" s="254">
        <f>'28'!$G$116</f>
        <v>383.01000000000931</v>
      </c>
      <c r="AF32" s="254">
        <f>'28'!$G$117</f>
        <v>291.37000000000262</v>
      </c>
      <c r="AG32" s="254">
        <f>'28'!$G$118</f>
        <v>508.13999999999942</v>
      </c>
      <c r="AH32" s="254">
        <f>'28'!$G$119</f>
        <v>20.19999999999709</v>
      </c>
      <c r="AI32" s="254">
        <f>'28'!$G$120</f>
        <v>400.10000000000582</v>
      </c>
      <c r="AJ32" s="254">
        <f>'28'!$G$121</f>
        <v>433.83999999999651</v>
      </c>
      <c r="AK32" s="254">
        <f>'28'!$G$122</f>
        <v>302.47000000000116</v>
      </c>
      <c r="AL32" s="254">
        <f>'28'!$G$123</f>
        <v>339.81999999999971</v>
      </c>
      <c r="AM32" s="254">
        <f>'28'!$G$133</f>
        <v>889.17999999999302</v>
      </c>
      <c r="AN32" s="254">
        <f>'28'!$G$15</f>
        <v>967.39999999990687</v>
      </c>
      <c r="AO32" s="254">
        <f>'28'!$G$74</f>
        <v>291.6600000000326</v>
      </c>
      <c r="AP32" s="254">
        <f>'28'!$G$75</f>
        <v>-0.80000000000291038</v>
      </c>
      <c r="AQ32" s="254">
        <f>'28'!$G$76</f>
        <v>111</v>
      </c>
      <c r="AR32" s="254">
        <f>'28'!$G$77</f>
        <v>54.400000000001455</v>
      </c>
      <c r="AS32" s="254">
        <f>'28'!$G$78</f>
        <v>0</v>
      </c>
      <c r="AT32" s="254">
        <f t="shared" si="0"/>
        <v>511.13999999987573</v>
      </c>
      <c r="AU32" s="254">
        <f>SUM('28'!G91:G92)</f>
        <v>11.170000000000073</v>
      </c>
      <c r="AV32" s="254">
        <f>'28'!$G$88</f>
        <v>0</v>
      </c>
      <c r="AW32" s="254">
        <f>'28'!$G$89</f>
        <v>7.75</v>
      </c>
      <c r="AX32" s="254">
        <f>'28'!$G$90</f>
        <v>9.0599999999976717</v>
      </c>
      <c r="AY32" s="252">
        <f t="shared" si="1"/>
        <v>16.809999999997672</v>
      </c>
      <c r="BA32" s="311">
        <f t="shared" si="3"/>
        <v>30.406900654369217</v>
      </c>
      <c r="BB32" s="351">
        <f t="shared" si="4"/>
        <v>2220.7399999999616</v>
      </c>
      <c r="BC32" s="351">
        <f t="shared" si="5"/>
        <v>10.141754578252554</v>
      </c>
    </row>
    <row r="33" spans="1:55">
      <c r="A33" s="359">
        <v>29</v>
      </c>
      <c r="B33" s="511">
        <f>'29'!G7</f>
        <v>23592.5</v>
      </c>
      <c r="C33" s="511">
        <f>'29'!G8</f>
        <v>23725</v>
      </c>
      <c r="D33" s="511">
        <f>'29'!G15</f>
        <v>954.5</v>
      </c>
      <c r="E33" s="511">
        <f>'29'!G20</f>
        <v>220</v>
      </c>
      <c r="F33" s="511">
        <f>SUM('29'!G35,'29'!G49)</f>
        <v>3848.609999999986</v>
      </c>
      <c r="G33" s="511">
        <f>SUM('29'!G37,'29'!G51)</f>
        <v>1021.3799999999974</v>
      </c>
      <c r="H33" s="511">
        <f>SUM('29'!G38,'29'!G52)</f>
        <v>2101.7700000000186</v>
      </c>
      <c r="I33" s="511">
        <f>SUM('29'!G39,'29'!G53)</f>
        <v>4216.0100000000675</v>
      </c>
      <c r="J33" s="511">
        <f>SUM('29'!G41,'29'!G42,'29'!G55,'29'!G56)</f>
        <v>6087.8600000000006</v>
      </c>
      <c r="K33" s="511">
        <f>SUM('29'!G43,'29'!G57)</f>
        <v>3270.7299999999814</v>
      </c>
      <c r="L33" s="254">
        <f>'29'!G50</f>
        <v>1084.210000000021</v>
      </c>
      <c r="M33" s="254">
        <f>'29'!G36</f>
        <v>734</v>
      </c>
      <c r="N33" s="254">
        <f>'29'!G138</f>
        <v>70</v>
      </c>
      <c r="O33" s="254">
        <f>'29'!$G$139</f>
        <v>139</v>
      </c>
      <c r="P33" s="254">
        <f>'29'!$G$140</f>
        <v>14.900000000000091</v>
      </c>
      <c r="Q33" s="254">
        <f>'29'!$G$141</f>
        <v>211.89999999999418</v>
      </c>
      <c r="R33" s="254">
        <f>'29'!$G$142</f>
        <v>74.099999999998545</v>
      </c>
      <c r="S33" s="254">
        <f>'29'!$G$145</f>
        <v>133.55000000000018</v>
      </c>
      <c r="T33" s="254">
        <f>'29'!$G$146</f>
        <v>54</v>
      </c>
      <c r="U33" s="254">
        <f>'29'!$G$144</f>
        <v>208</v>
      </c>
      <c r="V33" s="254">
        <f>'29'!$G$147</f>
        <v>364.31999999994878</v>
      </c>
      <c r="W33" s="254">
        <f>'29'!$G$148</f>
        <v>278.19999999995343</v>
      </c>
      <c r="X33" s="254">
        <f>'29'!$G$143</f>
        <v>28.610000000000582</v>
      </c>
      <c r="Y33" s="254">
        <f>'29'!$G$58</f>
        <v>233.23999999999796</v>
      </c>
      <c r="Z33" s="254">
        <f>'29'!$G$151</f>
        <v>233</v>
      </c>
      <c r="AA33" s="254">
        <f>'29'!G161</f>
        <v>34.599999999976717</v>
      </c>
      <c r="AB33" s="254">
        <f>'29'!G162</f>
        <v>41.600000000005821</v>
      </c>
      <c r="AC33" s="254">
        <f>'29'!G88</f>
        <v>-0.15999999999985448</v>
      </c>
      <c r="AD33" s="254">
        <f>'29'!G163+'29'!G164</f>
        <v>127</v>
      </c>
      <c r="AE33" s="254">
        <f>'29'!$G$116</f>
        <v>423.86999999999534</v>
      </c>
      <c r="AF33" s="254">
        <f>'29'!$G$117</f>
        <v>265.27999999999884</v>
      </c>
      <c r="AG33" s="254">
        <f>'29'!$G$118</f>
        <v>618.86000000000058</v>
      </c>
      <c r="AH33" s="254">
        <f>'29'!$G$119</f>
        <v>21</v>
      </c>
      <c r="AI33" s="254">
        <f>'29'!$G$120</f>
        <v>399.19999999999709</v>
      </c>
      <c r="AJ33" s="254">
        <f>'29'!$G$121</f>
        <v>435.08999999999651</v>
      </c>
      <c r="AK33" s="254">
        <f>'29'!$G$122</f>
        <v>335.40000000000146</v>
      </c>
      <c r="AL33" s="254">
        <f>'29'!$G$123</f>
        <v>336</v>
      </c>
      <c r="AM33" s="254">
        <f>'29'!$G$133</f>
        <v>882.08999999999651</v>
      </c>
      <c r="AN33" s="254">
        <f>'29'!$G$15</f>
        <v>954.5</v>
      </c>
      <c r="AO33" s="254">
        <f>'29'!$G$74</f>
        <v>290.09999999997672</v>
      </c>
      <c r="AP33" s="254">
        <f>'29'!$G$75</f>
        <v>0</v>
      </c>
      <c r="AQ33" s="254">
        <f>'29'!$G$76</f>
        <v>86</v>
      </c>
      <c r="AR33" s="254">
        <f>'29'!$G$77</f>
        <v>50</v>
      </c>
      <c r="AS33" s="254">
        <f>'29'!$G$78</f>
        <v>0.3999999999996362</v>
      </c>
      <c r="AT33" s="254">
        <f t="shared" si="0"/>
        <v>528.00000000002365</v>
      </c>
      <c r="AU33" s="254">
        <f>SUM('29'!G91:G92)</f>
        <v>10.860000000000582</v>
      </c>
      <c r="AV33" s="254">
        <f>'29'!$G$88</f>
        <v>-0.15999999999985448</v>
      </c>
      <c r="AW33" s="254">
        <f>'29'!$G$89</f>
        <v>8.3300000000017462</v>
      </c>
      <c r="AX33" s="254">
        <f>'29'!$G$90</f>
        <v>10.279999999998836</v>
      </c>
      <c r="AY33" s="252">
        <f t="shared" si="1"/>
        <v>18.450000000000728</v>
      </c>
      <c r="BA33" s="311">
        <f t="shared" si="3"/>
        <v>28.617886178861941</v>
      </c>
      <c r="BB33" s="351">
        <f t="shared" si="4"/>
        <v>2945.3999999999505</v>
      </c>
      <c r="BC33" s="351">
        <f t="shared" si="5"/>
        <v>12.484475998728199</v>
      </c>
    </row>
    <row r="34" spans="1:55" s="313" customFormat="1">
      <c r="A34" s="359">
        <v>30</v>
      </c>
      <c r="B34" s="511">
        <f>'30'!G7</f>
        <v>23836</v>
      </c>
      <c r="C34" s="511">
        <f>'30'!G8</f>
        <v>24007</v>
      </c>
      <c r="D34" s="511">
        <f>'30'!G15</f>
        <v>905</v>
      </c>
      <c r="E34" s="511">
        <f>'30'!G20</f>
        <v>200</v>
      </c>
      <c r="F34" s="511">
        <f>SUM('30'!G35,'30'!G49)</f>
        <v>3850.4300000000512</v>
      </c>
      <c r="G34" s="511">
        <f>SUM('30'!G37,'30'!G51)</f>
        <v>837.7300000000032</v>
      </c>
      <c r="H34" s="511">
        <f>SUM('30'!G38,'30'!G52)</f>
        <v>2201.710000000021</v>
      </c>
      <c r="I34" s="511">
        <f>SUM('30'!G39,'30'!G53)</f>
        <v>4098.3799999999464</v>
      </c>
      <c r="J34" s="511">
        <f>SUM('30'!G41,'30'!G42,'30'!G55,'30'!G56)</f>
        <v>6423.5400000000373</v>
      </c>
      <c r="K34" s="511">
        <f>SUM('30'!G43,'30'!G57)</f>
        <v>2922.609999999986</v>
      </c>
      <c r="L34" s="251">
        <f>'30'!G50</f>
        <v>1066.2299999999814</v>
      </c>
      <c r="M34" s="251">
        <f>'30'!G36</f>
        <v>794.48999999999069</v>
      </c>
      <c r="N34" s="251">
        <f>'30'!G138</f>
        <v>70</v>
      </c>
      <c r="O34" s="251">
        <f>'30'!$G$139</f>
        <v>140</v>
      </c>
      <c r="P34" s="251">
        <f>'30'!$G$140</f>
        <v>15</v>
      </c>
      <c r="Q34" s="251">
        <f>'30'!$G$141</f>
        <v>218.30000000000291</v>
      </c>
      <c r="R34" s="251">
        <f>'30'!$G$142</f>
        <v>74</v>
      </c>
      <c r="S34" s="251">
        <f>'30'!$G$145</f>
        <v>165.10000000000036</v>
      </c>
      <c r="T34" s="251">
        <f>'30'!$G$146</f>
        <v>46</v>
      </c>
      <c r="U34" s="251">
        <f>'30'!$G$144</f>
        <v>216</v>
      </c>
      <c r="V34" s="251">
        <f>'30'!$G$147</f>
        <v>360</v>
      </c>
      <c r="W34" s="251">
        <f>'30'!$G$148</f>
        <v>270</v>
      </c>
      <c r="X34" s="251">
        <f>'30'!$G$143</f>
        <v>29.299999999999272</v>
      </c>
      <c r="Y34" s="251">
        <f>'30'!$G$58</f>
        <v>221.08000000000175</v>
      </c>
      <c r="Z34" s="251">
        <f>'30'!$G$151</f>
        <v>269</v>
      </c>
      <c r="AA34" s="251">
        <f>'30'!G161</f>
        <v>30</v>
      </c>
      <c r="AB34" s="251">
        <f>'30'!G162</f>
        <v>45.80000000000291</v>
      </c>
      <c r="AC34" s="251">
        <f>'30'!G88</f>
        <v>0.15999999999985448</v>
      </c>
      <c r="AD34" s="251">
        <f>'30'!G163+'30'!G164</f>
        <v>126.19999999999891</v>
      </c>
      <c r="AE34" s="251">
        <f>'30'!$G$116</f>
        <v>384</v>
      </c>
      <c r="AF34" s="251">
        <f>'30'!$G$117</f>
        <v>245</v>
      </c>
      <c r="AG34" s="251">
        <f>'30'!$G$118</f>
        <v>627</v>
      </c>
      <c r="AH34" s="251">
        <f>'30'!$G$119</f>
        <v>21.040000000000873</v>
      </c>
      <c r="AI34" s="251">
        <f>'30'!$G$120</f>
        <v>382</v>
      </c>
      <c r="AJ34" s="251">
        <f>'30'!$G$121</f>
        <v>440.19999999999709</v>
      </c>
      <c r="AK34" s="251">
        <f>'30'!$G$122</f>
        <v>346.80000000000291</v>
      </c>
      <c r="AL34" s="251">
        <f>'30'!$G$123</f>
        <v>331.11000000000058</v>
      </c>
      <c r="AM34" s="251">
        <f>'30'!$G$133</f>
        <v>866.35000000000582</v>
      </c>
      <c r="AN34" s="251">
        <f>'30'!$G$15</f>
        <v>905</v>
      </c>
      <c r="AO34" s="251">
        <f>'30'!$G$74</f>
        <v>281.75</v>
      </c>
      <c r="AP34" s="251">
        <f>'30'!$G$75</f>
        <v>0</v>
      </c>
      <c r="AQ34" s="251">
        <f>'30'!$G$76</f>
        <v>91.700000000011642</v>
      </c>
      <c r="AR34" s="251">
        <f>'30'!$G$77</f>
        <v>48</v>
      </c>
      <c r="AS34" s="251">
        <f>'30'!$G$78</f>
        <v>0</v>
      </c>
      <c r="AT34" s="251">
        <f t="shared" si="0"/>
        <v>483.54999999998836</v>
      </c>
      <c r="AU34" s="251">
        <f>SUM('30'!G91:G92)</f>
        <v>10.770000000000437</v>
      </c>
      <c r="AV34" s="251">
        <f>'30'!$G$88</f>
        <v>0.15999999999985448</v>
      </c>
      <c r="AW34" s="251">
        <f>'30'!$G$89</f>
        <v>8.4599999999991269</v>
      </c>
      <c r="AX34" s="251">
        <f>'30'!$G$90</f>
        <v>7.5500000000029104</v>
      </c>
      <c r="AY34" s="255">
        <f t="shared" si="1"/>
        <v>16.170000000001892</v>
      </c>
      <c r="BA34" s="311">
        <f t="shared" si="3"/>
        <v>29.904143475567828</v>
      </c>
      <c r="BB34" s="351">
        <f t="shared" si="4"/>
        <v>3451.5199999999531</v>
      </c>
      <c r="BC34" s="351">
        <f t="shared" si="5"/>
        <v>14.480281926497538</v>
      </c>
    </row>
    <row r="35" spans="1:55">
      <c r="A35" s="359">
        <v>31</v>
      </c>
      <c r="B35" s="511">
        <f>'31'!G7</f>
        <v>24836</v>
      </c>
      <c r="C35" s="511">
        <f>'31'!G8</f>
        <v>24915</v>
      </c>
      <c r="D35" s="511">
        <f>'31'!G15</f>
        <v>874.60000000009313</v>
      </c>
      <c r="E35" s="511">
        <f>'31'!G20</f>
        <v>181</v>
      </c>
      <c r="F35" s="511">
        <f>SUM('31'!G35,'31'!G49)</f>
        <v>3897.1599999999162</v>
      </c>
      <c r="G35" s="511">
        <f>SUM('31'!G37,'31'!G51)</f>
        <v>1213.5299999999988</v>
      </c>
      <c r="H35" s="511">
        <f>SUM('31'!G38,'31'!G52)</f>
        <v>2258.789999999979</v>
      </c>
      <c r="I35" s="511">
        <f>SUM('31'!G39,'31'!G53)</f>
        <v>4106.5</v>
      </c>
      <c r="J35" s="511">
        <f>SUM('31'!G41,'31'!G42,'31'!G55,'31'!G56)</f>
        <v>8005.140000000014</v>
      </c>
      <c r="K35" s="511">
        <f>SUM('31'!G43,'31'!G57)</f>
        <v>2989.320000000007</v>
      </c>
      <c r="L35" s="251">
        <f>'31'!G50</f>
        <v>1178.6600000000326</v>
      </c>
      <c r="M35" s="251">
        <f>'31'!G36</f>
        <v>691.55999999999767</v>
      </c>
      <c r="N35" s="251">
        <f>'31'!G138</f>
        <v>168</v>
      </c>
      <c r="O35" s="251">
        <f>'31'!$G$139</f>
        <v>161</v>
      </c>
      <c r="P35" s="251">
        <f>'31'!$G$140</f>
        <v>14.759999999999991</v>
      </c>
      <c r="Q35" s="251">
        <f>'31'!$G$141</f>
        <v>224.69999999999709</v>
      </c>
      <c r="R35" s="251">
        <f>'31'!$G$142</f>
        <v>77</v>
      </c>
      <c r="S35" s="251">
        <f>'31'!$G$145</f>
        <v>162.09999999999945</v>
      </c>
      <c r="T35" s="251">
        <f>'31'!$G$146</f>
        <v>42</v>
      </c>
      <c r="U35" s="251">
        <f>'31'!$G$144</f>
        <v>223</v>
      </c>
      <c r="V35" s="251">
        <f>'31'!$G$147</f>
        <v>393.54000000003725</v>
      </c>
      <c r="W35" s="251">
        <f>'31'!$G$148</f>
        <v>249.47999999998137</v>
      </c>
      <c r="X35" s="251">
        <f>'31'!$G$143</f>
        <v>24.700000000000728</v>
      </c>
      <c r="Y35" s="251">
        <f>'31'!$G$58</f>
        <v>207.91999999999825</v>
      </c>
      <c r="Z35" s="251">
        <f>'31'!$G$151</f>
        <v>265</v>
      </c>
      <c r="AA35" s="251">
        <f>'31'!G161</f>
        <v>288.03999999997905</v>
      </c>
      <c r="AB35" s="251">
        <f>'31'!G162</f>
        <v>23.19999999999709</v>
      </c>
      <c r="AC35" s="251">
        <f>'31'!G89</f>
        <v>6.5600000000013097</v>
      </c>
      <c r="AD35" s="251">
        <f>'31'!G163+'31'!G164</f>
        <v>154.50000000000182</v>
      </c>
      <c r="AE35" s="251">
        <f>'31'!$G$116</f>
        <v>340.30000000000291</v>
      </c>
      <c r="AF35" s="251">
        <f>'31'!$G$117</f>
        <v>289</v>
      </c>
      <c r="AG35" s="251">
        <f>'31'!$G$118</f>
        <v>628.80000000000291</v>
      </c>
      <c r="AH35" s="251">
        <f>'31'!$G$119</f>
        <v>20.360000000000582</v>
      </c>
      <c r="AI35" s="251">
        <f>'31'!$G$120</f>
        <v>393.40000000000146</v>
      </c>
      <c r="AJ35" s="251">
        <f>'31'!$G$121</f>
        <v>420.80000000000291</v>
      </c>
      <c r="AK35" s="251">
        <f>'31'!$G$122</f>
        <v>336.09999999999854</v>
      </c>
      <c r="AL35" s="251">
        <f>'31'!$G$123</f>
        <v>334.69000000000233</v>
      </c>
      <c r="AM35" s="251">
        <f>'31'!$G$133</f>
        <v>877.64999999999418</v>
      </c>
      <c r="AN35" s="251">
        <f>'31'!$G$15</f>
        <v>874.60000000009313</v>
      </c>
      <c r="AO35" s="251">
        <f>'31'!$G$74</f>
        <v>285.03000000002794</v>
      </c>
      <c r="AP35" s="251">
        <f>'31'!$G$75</f>
        <v>0.80000000000291038</v>
      </c>
      <c r="AQ35" s="251">
        <f>'31'!$G$76</f>
        <v>84.799999999988358</v>
      </c>
      <c r="AR35" s="251">
        <f>'31'!$G$77</f>
        <v>42</v>
      </c>
      <c r="AS35" s="251">
        <f>'31'!$G$78</f>
        <v>-0.3999999999996362</v>
      </c>
      <c r="AT35" s="251">
        <f t="shared" ref="AT35" si="7">AN35-SUM(AO35:AS35)</f>
        <v>462.37000000007356</v>
      </c>
      <c r="AU35" s="251">
        <f>SUM('31'!G92:G142)</f>
        <v>37841.220055564481</v>
      </c>
      <c r="AV35" s="251">
        <f>'31'!$G$88</f>
        <v>0</v>
      </c>
      <c r="AW35" s="251">
        <f>'31'!$G$89</f>
        <v>6.5600000000013097</v>
      </c>
      <c r="AX35" s="251">
        <f>'30'!$G$90</f>
        <v>7.5500000000029104</v>
      </c>
      <c r="AY35" s="255">
        <f t="shared" ref="AY35" si="8">SUM(AV35:AX35)</f>
        <v>14.11000000000422</v>
      </c>
      <c r="BA35" s="311">
        <f t="shared" si="3"/>
        <v>32.768958185679324</v>
      </c>
      <c r="BB35" s="351">
        <f t="shared" si="4"/>
        <v>2236.6400000000867</v>
      </c>
      <c r="BC35" s="351">
        <f t="shared" si="5"/>
        <v>9.0056369785798296</v>
      </c>
    </row>
    <row r="36" spans="1:55" s="316" customFormat="1">
      <c r="A36" s="304" t="s">
        <v>357</v>
      </c>
      <c r="B36" s="305">
        <f>AVERAGE(B5:B35)</f>
        <v>25379.33870967742</v>
      </c>
      <c r="C36" s="305">
        <f t="shared" ref="C36:BC36" si="9">AVERAGE(C5:C35)</f>
        <v>25617.732258064516</v>
      </c>
      <c r="D36" s="305">
        <f t="shared" si="9"/>
        <v>998.89032258064822</v>
      </c>
      <c r="E36" s="305">
        <f t="shared" si="9"/>
        <v>211.16129032258064</v>
      </c>
      <c r="F36" s="305">
        <f t="shared" si="9"/>
        <v>3921.4077419354826</v>
      </c>
      <c r="G36" s="305">
        <f t="shared" si="9"/>
        <v>1043.6435483870969</v>
      </c>
      <c r="H36" s="305">
        <f t="shared" si="9"/>
        <v>2206.2741935483873</v>
      </c>
      <c r="I36" s="305">
        <f t="shared" si="9"/>
        <v>4303.6735483870953</v>
      </c>
      <c r="J36" s="305">
        <f t="shared" si="9"/>
        <v>6571.7116129032274</v>
      </c>
      <c r="K36" s="305">
        <f t="shared" si="9"/>
        <v>3099.3848387096773</v>
      </c>
      <c r="L36" s="305">
        <f t="shared" si="9"/>
        <v>1225.2545161290327</v>
      </c>
      <c r="M36" s="305">
        <f t="shared" si="9"/>
        <v>847.96935483870925</v>
      </c>
      <c r="N36" s="305">
        <f t="shared" si="9"/>
        <v>126.06451612903226</v>
      </c>
      <c r="O36" s="305">
        <f t="shared" si="9"/>
        <v>151.74193548387098</v>
      </c>
      <c r="P36" s="305">
        <f t="shared" si="9"/>
        <v>14.669677419354839</v>
      </c>
      <c r="Q36" s="305">
        <f t="shared" si="9"/>
        <v>205.64516129032259</v>
      </c>
      <c r="R36" s="305">
        <f t="shared" si="9"/>
        <v>81.096774193548384</v>
      </c>
      <c r="S36" s="305">
        <f t="shared" si="9"/>
        <v>51.554838709677412</v>
      </c>
      <c r="T36" s="305">
        <f t="shared" si="9"/>
        <v>64.774193548387103</v>
      </c>
      <c r="U36" s="305">
        <f t="shared" si="9"/>
        <v>218.93548387096774</v>
      </c>
      <c r="V36" s="305">
        <f t="shared" si="9"/>
        <v>383.95290322580763</v>
      </c>
      <c r="W36" s="305">
        <f t="shared" si="9"/>
        <v>303.88645161290265</v>
      </c>
      <c r="X36" s="305">
        <f t="shared" si="9"/>
        <v>26.70967741935484</v>
      </c>
      <c r="Y36" s="305">
        <f t="shared" si="9"/>
        <v>246.83870967741936</v>
      </c>
      <c r="Z36" s="305">
        <f t="shared" si="9"/>
        <v>260.93548387096774</v>
      </c>
      <c r="AA36" s="305">
        <f t="shared" si="9"/>
        <v>65.227096774192873</v>
      </c>
      <c r="AB36" s="305">
        <f t="shared" si="9"/>
        <v>38.483870967741936</v>
      </c>
      <c r="AC36" s="305">
        <f t="shared" si="9"/>
        <v>1.0838095238096208</v>
      </c>
      <c r="AD36" s="305">
        <f t="shared" si="9"/>
        <v>121.44193548387099</v>
      </c>
      <c r="AE36" s="305">
        <f t="shared" si="9"/>
        <v>417.20322580645171</v>
      </c>
      <c r="AF36" s="305">
        <f t="shared" si="9"/>
        <v>251.19354838709677</v>
      </c>
      <c r="AG36" s="305">
        <f t="shared" si="9"/>
        <v>599.38064516129043</v>
      </c>
      <c r="AH36" s="305">
        <f t="shared" si="9"/>
        <v>149.75483870967747</v>
      </c>
      <c r="AI36" s="305">
        <f t="shared" si="9"/>
        <v>410.81935483870973</v>
      </c>
      <c r="AJ36" s="305">
        <f t="shared" si="9"/>
        <v>458.70967741935482</v>
      </c>
      <c r="AK36" s="305">
        <f t="shared" si="9"/>
        <v>321.38387096774198</v>
      </c>
      <c r="AL36" s="305">
        <f t="shared" si="9"/>
        <v>328.21935483870976</v>
      </c>
      <c r="AM36" s="305">
        <f t="shared" si="9"/>
        <v>597.27193548387072</v>
      </c>
      <c r="AN36" s="305">
        <f t="shared" si="9"/>
        <v>998.89032258064822</v>
      </c>
      <c r="AO36" s="305">
        <f t="shared" si="9"/>
        <v>307.2554838709691</v>
      </c>
      <c r="AP36" s="305">
        <f t="shared" si="9"/>
        <v>0</v>
      </c>
      <c r="AQ36" s="305">
        <f t="shared" si="9"/>
        <v>104.8225806451613</v>
      </c>
      <c r="AR36" s="305">
        <f t="shared" si="9"/>
        <v>49.258064516129032</v>
      </c>
      <c r="AS36" s="305">
        <f t="shared" si="9"/>
        <v>-1.2903225806439877E-2</v>
      </c>
      <c r="AT36" s="305">
        <f t="shared" si="9"/>
        <v>537.56709677419519</v>
      </c>
      <c r="AU36" s="305">
        <f t="shared" si="9"/>
        <v>1231.3422598569186</v>
      </c>
      <c r="AV36" s="305">
        <f t="shared" si="9"/>
        <v>1.0225806451613138</v>
      </c>
      <c r="AW36" s="305">
        <f t="shared" si="9"/>
        <v>7.5938709677419309</v>
      </c>
      <c r="AX36" s="305">
        <f t="shared" si="9"/>
        <v>10.404838709677513</v>
      </c>
      <c r="AY36" s="305">
        <f t="shared" si="9"/>
        <v>19.021290322580757</v>
      </c>
      <c r="AZ36" s="305">
        <f t="shared" si="9"/>
        <v>28.197898360770168</v>
      </c>
      <c r="BA36" s="305">
        <f t="shared" si="9"/>
        <v>28.399298135324553</v>
      </c>
      <c r="BB36" s="305">
        <f t="shared" si="9"/>
        <v>4224.7980645161288</v>
      </c>
      <c r="BC36" s="305">
        <f t="shared" si="9"/>
        <v>16.559688741701081</v>
      </c>
    </row>
    <row r="37" spans="1:55">
      <c r="A37" s="261" t="s">
        <v>196</v>
      </c>
      <c r="B37" s="305">
        <f>SUM(B5:B35)</f>
        <v>786759.5</v>
      </c>
      <c r="C37" s="305">
        <f t="shared" ref="C37:BC37" si="10">SUM(C5:C35)</f>
        <v>794149.7</v>
      </c>
      <c r="D37" s="305">
        <f t="shared" si="10"/>
        <v>30965.600000000093</v>
      </c>
      <c r="E37" s="305">
        <f t="shared" si="10"/>
        <v>6546</v>
      </c>
      <c r="F37" s="305">
        <f>SUM(F5:F35)</f>
        <v>121563.63999999996</v>
      </c>
      <c r="G37" s="305">
        <f t="shared" si="10"/>
        <v>32352.950000000004</v>
      </c>
      <c r="H37" s="305">
        <f t="shared" si="10"/>
        <v>68394.5</v>
      </c>
      <c r="I37" s="305">
        <f t="shared" si="10"/>
        <v>133413.87999999995</v>
      </c>
      <c r="J37" s="305">
        <f t="shared" si="10"/>
        <v>203723.06000000006</v>
      </c>
      <c r="K37" s="305">
        <f t="shared" si="10"/>
        <v>96080.93</v>
      </c>
      <c r="L37" s="305">
        <f t="shared" si="10"/>
        <v>37982.890000000014</v>
      </c>
      <c r="M37" s="305">
        <f t="shared" si="10"/>
        <v>26287.049999999988</v>
      </c>
      <c r="N37" s="305">
        <f t="shared" si="10"/>
        <v>3908</v>
      </c>
      <c r="O37" s="305">
        <f t="shared" si="10"/>
        <v>4704</v>
      </c>
      <c r="P37" s="305">
        <f t="shared" si="10"/>
        <v>454.76</v>
      </c>
      <c r="Q37" s="305">
        <f t="shared" si="10"/>
        <v>6375</v>
      </c>
      <c r="R37" s="305">
        <f t="shared" si="10"/>
        <v>2514</v>
      </c>
      <c r="S37" s="305">
        <f t="shared" si="10"/>
        <v>1598.1999999999998</v>
      </c>
      <c r="T37" s="305">
        <f t="shared" si="10"/>
        <v>2008</v>
      </c>
      <c r="U37" s="305">
        <f t="shared" si="10"/>
        <v>6787</v>
      </c>
      <c r="V37" s="305">
        <f t="shared" si="10"/>
        <v>11902.540000000037</v>
      </c>
      <c r="W37" s="305">
        <f t="shared" si="10"/>
        <v>9420.4799999999814</v>
      </c>
      <c r="X37" s="305">
        <f t="shared" si="10"/>
        <v>828</v>
      </c>
      <c r="Y37" s="305">
        <f t="shared" si="10"/>
        <v>7652</v>
      </c>
      <c r="Z37" s="305">
        <f t="shared" si="10"/>
        <v>8089</v>
      </c>
      <c r="AA37" s="305">
        <f t="shared" si="10"/>
        <v>2022.039999999979</v>
      </c>
      <c r="AB37" s="305">
        <f t="shared" si="10"/>
        <v>1193</v>
      </c>
      <c r="AC37" s="305">
        <f t="shared" si="10"/>
        <v>22.760000000002037</v>
      </c>
      <c r="AD37" s="305">
        <f t="shared" si="10"/>
        <v>3764.7000000000007</v>
      </c>
      <c r="AE37" s="305">
        <f t="shared" si="10"/>
        <v>12933.300000000003</v>
      </c>
      <c r="AF37" s="305">
        <f t="shared" si="10"/>
        <v>7787</v>
      </c>
      <c r="AG37" s="305">
        <f t="shared" si="10"/>
        <v>18580.800000000003</v>
      </c>
      <c r="AH37" s="305">
        <f t="shared" si="10"/>
        <v>4642.4000000000015</v>
      </c>
      <c r="AI37" s="305">
        <f t="shared" si="10"/>
        <v>12735.400000000001</v>
      </c>
      <c r="AJ37" s="305">
        <f t="shared" si="10"/>
        <v>14220</v>
      </c>
      <c r="AK37" s="305">
        <f t="shared" si="10"/>
        <v>9962.9000000000015</v>
      </c>
      <c r="AL37" s="305">
        <f t="shared" si="10"/>
        <v>10174.800000000003</v>
      </c>
      <c r="AM37" s="305">
        <f t="shared" si="10"/>
        <v>18515.429999999993</v>
      </c>
      <c r="AN37" s="305">
        <f t="shared" si="10"/>
        <v>30965.600000000093</v>
      </c>
      <c r="AO37" s="305">
        <f t="shared" si="10"/>
        <v>9524.9200000000419</v>
      </c>
      <c r="AP37" s="305">
        <f t="shared" si="10"/>
        <v>0</v>
      </c>
      <c r="AQ37" s="305">
        <f t="shared" si="10"/>
        <v>3249.5</v>
      </c>
      <c r="AR37" s="305">
        <f t="shared" si="10"/>
        <v>1527</v>
      </c>
      <c r="AS37" s="305">
        <f t="shared" si="10"/>
        <v>-0.3999999999996362</v>
      </c>
      <c r="AT37" s="305">
        <f t="shared" si="10"/>
        <v>16664.580000000053</v>
      </c>
      <c r="AU37" s="305">
        <f t="shared" si="10"/>
        <v>38171.610055564481</v>
      </c>
      <c r="AV37" s="305">
        <f t="shared" si="10"/>
        <v>31.700000000000728</v>
      </c>
      <c r="AW37" s="305">
        <f t="shared" si="10"/>
        <v>235.40999999999985</v>
      </c>
      <c r="AX37" s="305">
        <f t="shared" si="10"/>
        <v>322.55000000000291</v>
      </c>
      <c r="AY37" s="305">
        <f t="shared" si="10"/>
        <v>589.66000000000349</v>
      </c>
      <c r="AZ37" s="305">
        <f t="shared" si="10"/>
        <v>676.74956065848403</v>
      </c>
      <c r="BA37" s="305">
        <f t="shared" si="10"/>
        <v>880.37824219506115</v>
      </c>
      <c r="BB37" s="305">
        <f t="shared" si="10"/>
        <v>130968.74</v>
      </c>
      <c r="BC37" s="305">
        <f t="shared" si="10"/>
        <v>513.35035099273352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512">
        <f t="shared" ref="F39:K39" si="11">F19-F18</f>
        <v>-306.19000000006054</v>
      </c>
      <c r="G39" s="512">
        <f t="shared" si="11"/>
        <v>-26.457000000002154</v>
      </c>
      <c r="H39" s="512">
        <f t="shared" si="11"/>
        <v>-5.2500000000090949</v>
      </c>
      <c r="I39" s="512">
        <f t="shared" si="11"/>
        <v>27.939999999944121</v>
      </c>
      <c r="J39" s="512">
        <f t="shared" si="11"/>
        <v>-3027.2000000000553</v>
      </c>
      <c r="K39" s="512">
        <f t="shared" si="11"/>
        <v>-38.630000000004657</v>
      </c>
      <c r="L39" s="512"/>
      <c r="M39" s="512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zoomScale="60" zoomScaleNormal="61" zoomScalePageLayoutView="70" workbookViewId="0">
      <selection activeCell="O15" sqref="O15"/>
    </sheetView>
  </sheetViews>
  <sheetFormatPr defaultColWidth="22.33203125" defaultRowHeight="21.95" customHeight="1"/>
  <cols>
    <col min="1" max="1" width="50.21875" style="558" customWidth="1"/>
    <col min="2" max="2" width="22.6640625" style="542" customWidth="1"/>
    <col min="3" max="3" width="14.44140625" style="542" customWidth="1"/>
    <col min="4" max="4" width="13.6640625" style="542" customWidth="1"/>
    <col min="5" max="5" width="30" style="414" customWidth="1"/>
    <col min="6" max="6" width="19.44140625" style="592" customWidth="1"/>
    <col min="7" max="7" width="28.88671875" style="593" customWidth="1"/>
    <col min="8" max="8" width="24.6640625" style="594" customWidth="1"/>
    <col min="9" max="9" width="23.5546875" style="592" customWidth="1"/>
    <col min="10" max="10" width="24" style="594" customWidth="1"/>
    <col min="11" max="11" width="43.21875" style="542" hidden="1" customWidth="1"/>
    <col min="12" max="13" width="0" style="542" hidden="1" customWidth="1"/>
    <col min="14" max="14" width="25.109375" style="542" customWidth="1"/>
    <col min="15" max="16" width="22.33203125" style="542"/>
    <col min="17" max="17" width="44.77734375" style="542" customWidth="1"/>
    <col min="18" max="16384" width="22.33203125" style="542"/>
  </cols>
  <sheetData>
    <row r="1" spans="1:15" ht="26.25">
      <c r="A1" s="854" t="s">
        <v>115</v>
      </c>
      <c r="B1" s="855"/>
      <c r="C1" s="855"/>
      <c r="D1" s="855"/>
      <c r="E1" s="855"/>
      <c r="F1" s="855"/>
      <c r="G1" s="855"/>
      <c r="H1" s="855"/>
      <c r="I1" s="855"/>
      <c r="J1" s="856"/>
    </row>
    <row r="2" spans="1:15" ht="26.25">
      <c r="A2" s="543" t="s">
        <v>349</v>
      </c>
      <c r="B2" s="739">
        <v>44774</v>
      </c>
      <c r="C2" s="740" t="s">
        <v>67</v>
      </c>
      <c r="D2" s="741">
        <v>0.88</v>
      </c>
      <c r="E2" s="100"/>
      <c r="F2" s="740"/>
      <c r="G2" s="742" t="s">
        <v>116</v>
      </c>
      <c r="H2" s="740" t="s">
        <v>5</v>
      </c>
      <c r="I2" s="740" t="s">
        <v>7</v>
      </c>
      <c r="J2" s="743" t="s">
        <v>117</v>
      </c>
    </row>
    <row r="3" spans="1:15" ht="26.25">
      <c r="A3" s="544"/>
      <c r="B3" s="744"/>
      <c r="C3" s="740" t="s">
        <v>118</v>
      </c>
      <c r="D3" s="745">
        <v>29</v>
      </c>
      <c r="E3" s="863" t="s">
        <v>119</v>
      </c>
      <c r="F3" s="864"/>
      <c r="G3" s="742"/>
      <c r="H3" s="746"/>
      <c r="I3" s="746"/>
      <c r="J3" s="743"/>
      <c r="K3" s="545"/>
      <c r="L3" s="546"/>
    </row>
    <row r="4" spans="1:15" ht="26.25">
      <c r="A4" s="547"/>
      <c r="B4" s="747"/>
      <c r="C4" s="740" t="s">
        <v>120</v>
      </c>
      <c r="D4" s="741">
        <v>0.78</v>
      </c>
      <c r="E4" s="103"/>
      <c r="F4" s="748"/>
      <c r="G4" s="742"/>
      <c r="H4" s="748"/>
      <c r="I4" s="749"/>
      <c r="J4" s="743"/>
      <c r="K4" s="548"/>
      <c r="L4" s="546"/>
    </row>
    <row r="5" spans="1:15" s="558" customFormat="1" ht="26.25">
      <c r="A5" s="549" t="s">
        <v>121</v>
      </c>
      <c r="B5" s="550"/>
      <c r="C5" s="550"/>
      <c r="D5" s="550" t="s">
        <v>122</v>
      </c>
      <c r="E5" s="106" t="s">
        <v>123</v>
      </c>
      <c r="F5" s="551" t="s">
        <v>110</v>
      </c>
      <c r="G5" s="552" t="s">
        <v>124</v>
      </c>
      <c r="H5" s="553" t="s">
        <v>125</v>
      </c>
      <c r="I5" s="554" t="s">
        <v>126</v>
      </c>
      <c r="J5" s="555" t="s">
        <v>127</v>
      </c>
      <c r="K5" s="556"/>
      <c r="L5" s="557"/>
    </row>
    <row r="6" spans="1:15" s="558" customFormat="1" ht="26.25">
      <c r="A6" s="857" t="s">
        <v>128</v>
      </c>
      <c r="B6" s="858"/>
      <c r="C6" s="859"/>
      <c r="D6" s="559"/>
      <c r="E6" s="110"/>
      <c r="F6" s="560"/>
      <c r="G6" s="561"/>
      <c r="H6" s="560"/>
      <c r="I6" s="560"/>
      <c r="J6" s="562"/>
      <c r="K6" s="563"/>
      <c r="L6" s="557"/>
    </row>
    <row r="7" spans="1:15" ht="27" thickBot="1">
      <c r="A7" s="564" t="s">
        <v>129</v>
      </c>
      <c r="B7" s="614"/>
      <c r="C7" s="614"/>
      <c r="D7" s="565" t="s">
        <v>130</v>
      </c>
      <c r="E7" s="95">
        <v>337130</v>
      </c>
      <c r="F7" s="554">
        <v>362567</v>
      </c>
      <c r="G7" s="615">
        <f>F7-E7</f>
        <v>25437</v>
      </c>
      <c r="H7" s="554">
        <f>G7</f>
        <v>25437</v>
      </c>
      <c r="I7" s="616">
        <v>12000</v>
      </c>
      <c r="J7" s="617">
        <f>H7/DAY(B2)</f>
        <v>25437</v>
      </c>
      <c r="K7" s="566">
        <v>1375467</v>
      </c>
      <c r="L7" s="546"/>
      <c r="N7" s="567"/>
      <c r="O7" s="568"/>
    </row>
    <row r="8" spans="1:15" ht="27" thickBot="1">
      <c r="A8" s="569" t="s">
        <v>131</v>
      </c>
      <c r="B8" s="618"/>
      <c r="C8" s="619"/>
      <c r="D8" s="570" t="s">
        <v>24</v>
      </c>
      <c r="E8" s="95">
        <v>488587</v>
      </c>
      <c r="F8" s="554">
        <v>514370</v>
      </c>
      <c r="G8" s="615">
        <f>F8-E8</f>
        <v>25783</v>
      </c>
      <c r="H8" s="554">
        <f>G8</f>
        <v>25783</v>
      </c>
      <c r="I8" s="620">
        <v>12000</v>
      </c>
      <c r="J8" s="617">
        <f>H8/DAY(B2)</f>
        <v>25783</v>
      </c>
      <c r="K8" s="566">
        <v>1715917</v>
      </c>
      <c r="L8" s="571">
        <v>1728480</v>
      </c>
      <c r="M8" s="567">
        <f>L8-K8</f>
        <v>12563</v>
      </c>
      <c r="N8" s="567"/>
      <c r="O8" s="568"/>
    </row>
    <row r="9" spans="1:15" ht="26.25">
      <c r="A9" s="572" t="s">
        <v>132</v>
      </c>
      <c r="B9" s="621"/>
      <c r="C9" s="621"/>
      <c r="D9" s="565" t="s">
        <v>130</v>
      </c>
      <c r="E9" s="469">
        <v>3279066</v>
      </c>
      <c r="F9" s="622">
        <v>3286708.7</v>
      </c>
      <c r="G9" s="623">
        <f>F9-E9</f>
        <v>7642.7000000001863</v>
      </c>
      <c r="H9" s="554">
        <f t="shared" ref="H9:H13" si="0">G9</f>
        <v>7642.7000000001863</v>
      </c>
      <c r="I9" s="616">
        <f>I8-J8</f>
        <v>-13783</v>
      </c>
      <c r="J9" s="617">
        <f>H9/DAY(B2)</f>
        <v>7642.7000000001863</v>
      </c>
      <c r="K9" s="573">
        <f>K8-100</f>
        <v>1715817</v>
      </c>
      <c r="L9" s="546"/>
      <c r="N9" s="567"/>
      <c r="O9" s="568"/>
    </row>
    <row r="10" spans="1:15" ht="26.25">
      <c r="A10" s="564" t="s">
        <v>133</v>
      </c>
      <c r="B10" s="614"/>
      <c r="C10" s="614"/>
      <c r="D10" s="565" t="s">
        <v>130</v>
      </c>
      <c r="E10" s="353">
        <v>1667158</v>
      </c>
      <c r="F10" s="622">
        <v>1684289.7</v>
      </c>
      <c r="G10" s="623">
        <f t="shared" ref="G10:G11" si="1">F10-E10</f>
        <v>17131.699999999953</v>
      </c>
      <c r="H10" s="554">
        <f t="shared" si="0"/>
        <v>17131.699999999953</v>
      </c>
      <c r="I10" s="554"/>
      <c r="J10" s="617">
        <f>H10/DAY(B2)</f>
        <v>17131.699999999953</v>
      </c>
      <c r="K10" s="573"/>
      <c r="L10" s="546"/>
      <c r="N10" s="567"/>
      <c r="O10" s="568"/>
    </row>
    <row r="11" spans="1:15" ht="26.25">
      <c r="A11" s="564" t="s">
        <v>134</v>
      </c>
      <c r="B11" s="614"/>
      <c r="C11" s="614"/>
      <c r="D11" s="565" t="s">
        <v>130</v>
      </c>
      <c r="E11" s="95">
        <v>37560</v>
      </c>
      <c r="F11" s="554">
        <v>37560</v>
      </c>
      <c r="G11" s="623">
        <f t="shared" si="1"/>
        <v>0</v>
      </c>
      <c r="H11" s="554">
        <f t="shared" si="0"/>
        <v>0</v>
      </c>
      <c r="I11" s="554"/>
      <c r="J11" s="617">
        <f>H11/DAY(B2)</f>
        <v>0</v>
      </c>
      <c r="K11" s="573"/>
      <c r="L11" s="546"/>
      <c r="N11" s="567"/>
      <c r="O11" s="568"/>
    </row>
    <row r="12" spans="1:15" ht="26.25">
      <c r="A12" s="564" t="s">
        <v>135</v>
      </c>
      <c r="B12" s="614"/>
      <c r="C12" s="614"/>
      <c r="D12" s="565" t="s">
        <v>130</v>
      </c>
      <c r="E12" s="117">
        <v>40380</v>
      </c>
      <c r="F12" s="622">
        <v>40380</v>
      </c>
      <c r="G12" s="623">
        <f>F12-E12</f>
        <v>0</v>
      </c>
      <c r="H12" s="554">
        <f t="shared" si="0"/>
        <v>0</v>
      </c>
      <c r="I12" s="554"/>
      <c r="J12" s="617">
        <f>H12/DAY(B2)</f>
        <v>0</v>
      </c>
      <c r="K12" s="573"/>
      <c r="L12" s="546"/>
      <c r="N12" s="567"/>
      <c r="O12" s="568"/>
    </row>
    <row r="13" spans="1:15" ht="26.25">
      <c r="A13" s="574" t="s">
        <v>136</v>
      </c>
      <c r="B13" s="624"/>
      <c r="C13" s="624"/>
      <c r="D13" s="565"/>
      <c r="E13" s="95"/>
      <c r="F13" s="554"/>
      <c r="G13" s="623">
        <v>26109</v>
      </c>
      <c r="H13" s="554">
        <f t="shared" si="0"/>
        <v>26109</v>
      </c>
      <c r="I13" s="616">
        <f>G7-G13</f>
        <v>-672</v>
      </c>
      <c r="J13" s="617">
        <f>H13/DAY(B2)</f>
        <v>26109</v>
      </c>
      <c r="K13" s="573"/>
      <c r="L13" s="546"/>
      <c r="N13" s="567"/>
      <c r="O13" s="568"/>
    </row>
    <row r="14" spans="1:15" ht="26.25">
      <c r="A14" s="860" t="s">
        <v>137</v>
      </c>
      <c r="B14" s="861"/>
      <c r="C14" s="862"/>
      <c r="D14" s="560"/>
      <c r="E14" s="111"/>
      <c r="F14" s="625"/>
      <c r="G14" s="626"/>
      <c r="H14" s="625"/>
      <c r="I14" s="625"/>
      <c r="J14" s="627"/>
      <c r="K14" s="575"/>
      <c r="L14" s="546"/>
      <c r="N14" s="567"/>
      <c r="O14" s="568"/>
    </row>
    <row r="15" spans="1:15" ht="26.25">
      <c r="A15" s="576" t="s">
        <v>138</v>
      </c>
      <c r="B15" s="628"/>
      <c r="C15" s="628"/>
      <c r="D15" s="565" t="s">
        <v>139</v>
      </c>
      <c r="E15" s="469">
        <v>2100868</v>
      </c>
      <c r="F15" s="629">
        <v>2101931.6</v>
      </c>
      <c r="G15" s="630">
        <f>(F15-E15)</f>
        <v>1063.6000000000931</v>
      </c>
      <c r="H15" s="616">
        <f>G15</f>
        <v>1063.6000000000931</v>
      </c>
      <c r="I15" s="616">
        <v>800</v>
      </c>
      <c r="J15" s="617">
        <f>H15/DAY(B2)</f>
        <v>1063.6000000000931</v>
      </c>
      <c r="K15" s="573"/>
      <c r="L15" s="546"/>
      <c r="N15" s="567"/>
      <c r="O15" s="568"/>
    </row>
    <row r="16" spans="1:15" ht="26.25">
      <c r="A16" s="577"/>
      <c r="B16" s="631"/>
      <c r="C16" s="631"/>
      <c r="D16" s="632"/>
      <c r="E16" s="123"/>
      <c r="F16" s="633"/>
      <c r="G16" s="623"/>
      <c r="H16" s="616"/>
      <c r="I16" s="616">
        <f>I15-J15</f>
        <v>-263.60000000009313</v>
      </c>
      <c r="J16" s="634"/>
      <c r="K16" s="573"/>
      <c r="L16" s="546"/>
      <c r="N16" s="567"/>
      <c r="O16" s="568"/>
    </row>
    <row r="17" spans="1:15" ht="26.25">
      <c r="A17" s="860" t="s">
        <v>140</v>
      </c>
      <c r="B17" s="861"/>
      <c r="C17" s="862"/>
      <c r="D17" s="560"/>
      <c r="E17" s="111"/>
      <c r="F17" s="625"/>
      <c r="G17" s="626"/>
      <c r="H17" s="625"/>
      <c r="I17" s="625"/>
      <c r="J17" s="627"/>
      <c r="K17" s="573"/>
      <c r="L17" s="546"/>
      <c r="N17" s="567"/>
      <c r="O17" s="568"/>
    </row>
    <row r="18" spans="1:15" ht="26.25">
      <c r="A18" s="828" t="s">
        <v>141</v>
      </c>
      <c r="B18" s="829"/>
      <c r="C18" s="830"/>
      <c r="D18" s="565" t="s">
        <v>142</v>
      </c>
      <c r="E18" s="164">
        <v>27</v>
      </c>
      <c r="F18" s="635">
        <v>13</v>
      </c>
      <c r="G18" s="600">
        <f>F18*10</f>
        <v>130</v>
      </c>
      <c r="H18" s="554">
        <f>G18</f>
        <v>130</v>
      </c>
      <c r="I18" s="616">
        <v>65</v>
      </c>
      <c r="J18" s="617">
        <f>H18/DAY(B2)</f>
        <v>130</v>
      </c>
      <c r="K18" s="573"/>
      <c r="L18" s="546"/>
      <c r="N18" s="567"/>
      <c r="O18" s="568"/>
    </row>
    <row r="19" spans="1:15" ht="26.25">
      <c r="A19" s="828" t="s">
        <v>69</v>
      </c>
      <c r="B19" s="829"/>
      <c r="C19" s="830"/>
      <c r="D19" s="565" t="s">
        <v>142</v>
      </c>
      <c r="E19" s="122">
        <v>162335</v>
      </c>
      <c r="F19" s="635">
        <v>162387</v>
      </c>
      <c r="G19" s="623">
        <f t="shared" ref="G19" si="2">F19-E19</f>
        <v>52</v>
      </c>
      <c r="H19" s="554">
        <f t="shared" ref="H19" si="3">G19</f>
        <v>52</v>
      </c>
      <c r="I19" s="622"/>
      <c r="J19" s="617">
        <f>H19/DAY(B2)</f>
        <v>52</v>
      </c>
      <c r="K19" s="573"/>
      <c r="L19" s="546"/>
      <c r="N19" s="567"/>
      <c r="O19" s="568"/>
    </row>
    <row r="20" spans="1:15" ht="26.25">
      <c r="A20" s="574" t="s">
        <v>143</v>
      </c>
      <c r="B20" s="624"/>
      <c r="C20" s="624"/>
      <c r="D20" s="636"/>
      <c r="E20" s="126"/>
      <c r="F20" s="637"/>
      <c r="G20" s="638">
        <f>G18+G19</f>
        <v>182</v>
      </c>
      <c r="H20" s="554">
        <f>G20</f>
        <v>182</v>
      </c>
      <c r="I20" s="639">
        <f>I18-J20</f>
        <v>-117</v>
      </c>
      <c r="J20" s="617">
        <f>H20/DAY(B2)</f>
        <v>182</v>
      </c>
      <c r="K20" s="573"/>
      <c r="L20" s="546"/>
      <c r="N20" s="567"/>
      <c r="O20" s="568"/>
    </row>
    <row r="21" spans="1:15" ht="26.25">
      <c r="A21" s="860" t="s">
        <v>144</v>
      </c>
      <c r="B21" s="861"/>
      <c r="C21" s="862"/>
      <c r="D21" s="560"/>
      <c r="E21" s="111"/>
      <c r="F21" s="625"/>
      <c r="G21" s="626"/>
      <c r="H21" s="625"/>
      <c r="I21" s="625"/>
      <c r="J21" s="627"/>
      <c r="K21" s="573"/>
      <c r="L21" s="546"/>
      <c r="N21" s="567"/>
      <c r="O21" s="568"/>
    </row>
    <row r="22" spans="1:15" ht="26.25">
      <c r="A22" s="576" t="s">
        <v>145</v>
      </c>
      <c r="B22" s="628"/>
      <c r="C22" s="628"/>
      <c r="D22" s="565" t="s">
        <v>146</v>
      </c>
      <c r="E22" s="122">
        <v>2970</v>
      </c>
      <c r="F22" s="635">
        <v>2970</v>
      </c>
      <c r="G22" s="600">
        <f>(F22-E22)</f>
        <v>0</v>
      </c>
      <c r="H22" s="554">
        <f>G22</f>
        <v>0</v>
      </c>
      <c r="I22" s="554"/>
      <c r="J22" s="617">
        <f>H22/DAY(B2)</f>
        <v>0</v>
      </c>
      <c r="K22" s="573"/>
      <c r="L22" s="546"/>
      <c r="N22" s="567"/>
      <c r="O22" s="568"/>
    </row>
    <row r="23" spans="1:15" ht="26.25">
      <c r="A23" s="576" t="s">
        <v>147</v>
      </c>
      <c r="B23" s="628"/>
      <c r="C23" s="628"/>
      <c r="D23" s="565" t="s">
        <v>146</v>
      </c>
      <c r="E23" s="122">
        <v>2000</v>
      </c>
      <c r="F23" s="635">
        <v>2000</v>
      </c>
      <c r="G23" s="600">
        <f t="shared" ref="G23" si="4">(F23-E23)</f>
        <v>0</v>
      </c>
      <c r="H23" s="554">
        <f t="shared" ref="H23:H24" si="5">G23</f>
        <v>0</v>
      </c>
      <c r="I23" s="554"/>
      <c r="J23" s="617">
        <f>H23/DAY(B2)</f>
        <v>0</v>
      </c>
      <c r="K23" s="573"/>
      <c r="L23" s="546"/>
      <c r="N23" s="567"/>
      <c r="O23" s="568"/>
    </row>
    <row r="24" spans="1:15" ht="26.25">
      <c r="A24" s="578" t="s">
        <v>148</v>
      </c>
      <c r="B24" s="640"/>
      <c r="C24" s="640"/>
      <c r="D24" s="550" t="s">
        <v>146</v>
      </c>
      <c r="E24" s="128">
        <v>4970</v>
      </c>
      <c r="F24" s="641">
        <v>4970</v>
      </c>
      <c r="G24" s="600">
        <f>SUM(G22:G23)</f>
        <v>0</v>
      </c>
      <c r="H24" s="554">
        <f t="shared" si="5"/>
        <v>0</v>
      </c>
      <c r="I24" s="554"/>
      <c r="J24" s="617">
        <f>H24/DAY(B2)</f>
        <v>0</v>
      </c>
      <c r="K24" s="573"/>
      <c r="L24" s="546"/>
      <c r="N24" s="567"/>
      <c r="O24" s="568"/>
    </row>
    <row r="25" spans="1:15" ht="26.25">
      <c r="A25" s="857" t="s">
        <v>149</v>
      </c>
      <c r="B25" s="858"/>
      <c r="C25" s="859"/>
      <c r="D25" s="559"/>
      <c r="E25" s="110"/>
      <c r="F25" s="625"/>
      <c r="G25" s="626"/>
      <c r="H25" s="625"/>
      <c r="I25" s="642"/>
      <c r="J25" s="627"/>
      <c r="K25" s="573"/>
      <c r="L25" s="546"/>
      <c r="N25" s="567"/>
      <c r="O25" s="568"/>
    </row>
    <row r="26" spans="1:15" ht="26.25">
      <c r="A26" s="579" t="s">
        <v>150</v>
      </c>
      <c r="B26" s="643"/>
      <c r="C26" s="644"/>
      <c r="D26" s="645" t="s">
        <v>151</v>
      </c>
      <c r="E26" s="132"/>
      <c r="F26" s="646"/>
      <c r="G26" s="647"/>
      <c r="H26" s="554"/>
      <c r="I26" s="648"/>
      <c r="J26" s="617"/>
      <c r="K26" s="575"/>
      <c r="L26" s="546"/>
      <c r="N26" s="567"/>
      <c r="O26" s="568"/>
    </row>
    <row r="27" spans="1:15" ht="26.25">
      <c r="A27" s="579" t="s">
        <v>5</v>
      </c>
      <c r="B27" s="643"/>
      <c r="C27" s="644"/>
      <c r="D27" s="649" t="s">
        <v>24</v>
      </c>
      <c r="E27" s="136">
        <f>G8</f>
        <v>25783</v>
      </c>
      <c r="F27" s="136">
        <v>9</v>
      </c>
      <c r="G27" s="650">
        <f>E27*F27</f>
        <v>232047</v>
      </c>
      <c r="H27" s="554">
        <f t="shared" ref="H27:H32" si="6">G27</f>
        <v>232047</v>
      </c>
      <c r="I27" s="651"/>
      <c r="J27" s="617">
        <f>H27/DAY(B2)</f>
        <v>232047</v>
      </c>
      <c r="K27" s="573"/>
      <c r="L27" s="546"/>
      <c r="N27" s="567"/>
      <c r="O27" s="568"/>
    </row>
    <row r="28" spans="1:15" ht="26.25">
      <c r="A28" s="579" t="s">
        <v>152</v>
      </c>
      <c r="B28" s="643"/>
      <c r="C28" s="644"/>
      <c r="D28" s="649" t="s">
        <v>153</v>
      </c>
      <c r="E28" s="136">
        <f>G15</f>
        <v>1063.6000000000931</v>
      </c>
      <c r="F28" s="136">
        <v>70</v>
      </c>
      <c r="G28" s="650">
        <f>E28*F28</f>
        <v>74452.000000006519</v>
      </c>
      <c r="H28" s="554">
        <f t="shared" si="6"/>
        <v>74452.000000006519</v>
      </c>
      <c r="I28" s="648"/>
      <c r="J28" s="617">
        <f>H28/DAY(B2)</f>
        <v>74452.000000006519</v>
      </c>
      <c r="K28" s="573"/>
      <c r="L28" s="546"/>
      <c r="N28" s="567"/>
      <c r="O28" s="568"/>
    </row>
    <row r="29" spans="1:15" ht="26.25">
      <c r="A29" s="579" t="s">
        <v>154</v>
      </c>
      <c r="B29" s="643"/>
      <c r="C29" s="644"/>
      <c r="D29" s="649" t="s">
        <v>155</v>
      </c>
      <c r="E29" s="136">
        <f>G24</f>
        <v>0</v>
      </c>
      <c r="F29" s="136">
        <v>69</v>
      </c>
      <c r="G29" s="650">
        <f>E29*F29</f>
        <v>0</v>
      </c>
      <c r="H29" s="554">
        <f t="shared" si="6"/>
        <v>0</v>
      </c>
      <c r="I29" s="648"/>
      <c r="J29" s="617">
        <f>H29/DAY(B2)</f>
        <v>0</v>
      </c>
      <c r="K29" s="573"/>
      <c r="L29" s="546"/>
      <c r="N29" s="567"/>
      <c r="O29" s="568"/>
    </row>
    <row r="30" spans="1:15" ht="26.25">
      <c r="A30" s="579" t="s">
        <v>156</v>
      </c>
      <c r="B30" s="643"/>
      <c r="C30" s="644"/>
      <c r="D30" s="649" t="s">
        <v>157</v>
      </c>
      <c r="E30" s="136">
        <f>G19</f>
        <v>52</v>
      </c>
      <c r="F30" s="136">
        <v>151</v>
      </c>
      <c r="G30" s="650">
        <f>E30*F30</f>
        <v>7852</v>
      </c>
      <c r="H30" s="554">
        <f t="shared" si="6"/>
        <v>7852</v>
      </c>
      <c r="I30" s="648"/>
      <c r="J30" s="617">
        <f>H30/DAY(B2)</f>
        <v>7852</v>
      </c>
      <c r="K30" s="573"/>
      <c r="L30" s="546"/>
      <c r="N30" s="567"/>
      <c r="O30" s="568"/>
    </row>
    <row r="31" spans="1:15" ht="26.25">
      <c r="A31" s="579" t="s">
        <v>158</v>
      </c>
      <c r="B31" s="643"/>
      <c r="C31" s="644"/>
      <c r="D31" s="649" t="s">
        <v>142</v>
      </c>
      <c r="E31" s="136">
        <f>G18</f>
        <v>130</v>
      </c>
      <c r="F31" s="136">
        <v>80</v>
      </c>
      <c r="G31" s="650">
        <f>E31*F31</f>
        <v>10400</v>
      </c>
      <c r="H31" s="554">
        <f t="shared" si="6"/>
        <v>10400</v>
      </c>
      <c r="I31" s="648"/>
      <c r="J31" s="617">
        <f>H31/DAY(B2)</f>
        <v>10400</v>
      </c>
      <c r="K31" s="573"/>
      <c r="L31" s="546"/>
      <c r="N31" s="567"/>
      <c r="O31" s="568"/>
    </row>
    <row r="32" spans="1:15" ht="26.25">
      <c r="A32" s="580" t="s">
        <v>159</v>
      </c>
      <c r="B32" s="652"/>
      <c r="C32" s="653"/>
      <c r="D32" s="654"/>
      <c r="E32" s="142"/>
      <c r="F32" s="655"/>
      <c r="G32" s="761">
        <f>G27+G28+G29+G30+G31</f>
        <v>324751.00000000652</v>
      </c>
      <c r="H32" s="656">
        <f t="shared" si="6"/>
        <v>324751.00000000652</v>
      </c>
      <c r="I32" s="657"/>
      <c r="J32" s="658">
        <f>H32/DAY(B2)</f>
        <v>324751.00000000652</v>
      </c>
      <c r="K32" s="573"/>
      <c r="L32" s="546"/>
      <c r="N32" s="567"/>
      <c r="O32" s="568"/>
    </row>
    <row r="33" spans="1:15" ht="25.5" customHeight="1">
      <c r="A33" s="865" t="s">
        <v>331</v>
      </c>
      <c r="B33" s="866"/>
      <c r="C33" s="866"/>
      <c r="D33" s="659"/>
      <c r="E33" s="527"/>
      <c r="F33" s="660"/>
      <c r="G33" s="660"/>
      <c r="H33" s="660"/>
      <c r="I33" s="660"/>
      <c r="J33" s="661"/>
      <c r="K33" s="573"/>
      <c r="L33" s="546"/>
      <c r="N33" s="567"/>
      <c r="O33" s="568"/>
    </row>
    <row r="34" spans="1:15" ht="26.25">
      <c r="A34" s="581" t="s">
        <v>160</v>
      </c>
      <c r="B34" s="662"/>
      <c r="C34" s="662"/>
      <c r="D34" s="560"/>
      <c r="E34" s="110"/>
      <c r="F34" s="625"/>
      <c r="G34" s="625"/>
      <c r="H34" s="625"/>
      <c r="I34" s="625"/>
      <c r="J34" s="627"/>
      <c r="K34" s="573"/>
      <c r="L34" s="546"/>
      <c r="N34" s="567"/>
      <c r="O34" s="568"/>
    </row>
    <row r="35" spans="1:15" ht="26.25">
      <c r="A35" s="564" t="s">
        <v>161</v>
      </c>
      <c r="B35" s="614"/>
      <c r="C35" s="614"/>
      <c r="D35" s="565" t="s">
        <v>130</v>
      </c>
      <c r="E35" s="145">
        <v>238713</v>
      </c>
      <c r="F35" s="622">
        <v>238713</v>
      </c>
      <c r="G35" s="623">
        <f t="shared" ref="G35:G46" si="7">F35-E35</f>
        <v>0</v>
      </c>
      <c r="H35" s="554">
        <f t="shared" ref="H35:H47" si="8">G35</f>
        <v>0</v>
      </c>
      <c r="I35" s="554"/>
      <c r="J35" s="617">
        <f>H35/DAY(B2)</f>
        <v>0</v>
      </c>
      <c r="K35" s="573"/>
      <c r="L35" s="546"/>
      <c r="N35" s="567"/>
      <c r="O35" s="568"/>
    </row>
    <row r="36" spans="1:15" ht="26.25">
      <c r="A36" s="564" t="s">
        <v>162</v>
      </c>
      <c r="B36" s="614"/>
      <c r="C36" s="614"/>
      <c r="D36" s="565" t="s">
        <v>130</v>
      </c>
      <c r="E36" s="145">
        <v>215530</v>
      </c>
      <c r="F36" s="622">
        <v>216150.19</v>
      </c>
      <c r="G36" s="623">
        <f t="shared" si="7"/>
        <v>620.19000000000233</v>
      </c>
      <c r="H36" s="554">
        <f t="shared" si="8"/>
        <v>620.19000000000233</v>
      </c>
      <c r="I36" s="554"/>
      <c r="J36" s="617">
        <f>H36/DAY(B2)</f>
        <v>620.19000000000233</v>
      </c>
      <c r="K36" s="573"/>
      <c r="L36" s="546"/>
      <c r="N36" s="567"/>
      <c r="O36" s="582"/>
    </row>
    <row r="37" spans="1:15" ht="26.25">
      <c r="A37" s="564" t="s">
        <v>163</v>
      </c>
      <c r="B37" s="614"/>
      <c r="C37" s="614"/>
      <c r="D37" s="565" t="s">
        <v>130</v>
      </c>
      <c r="E37" s="145">
        <v>322999</v>
      </c>
      <c r="F37" s="622">
        <v>322999</v>
      </c>
      <c r="G37" s="623">
        <f t="shared" si="7"/>
        <v>0</v>
      </c>
      <c r="H37" s="554">
        <f t="shared" si="8"/>
        <v>0</v>
      </c>
      <c r="I37" s="554"/>
      <c r="J37" s="617">
        <f>H37/DAY(B2)</f>
        <v>0</v>
      </c>
      <c r="K37" s="573"/>
      <c r="L37" s="546"/>
      <c r="N37" s="567"/>
      <c r="O37" s="583"/>
    </row>
    <row r="38" spans="1:15" ht="26.25">
      <c r="A38" s="564" t="s">
        <v>164</v>
      </c>
      <c r="B38" s="614"/>
      <c r="C38" s="614"/>
      <c r="D38" s="565" t="s">
        <v>130</v>
      </c>
      <c r="E38" s="108">
        <v>457361</v>
      </c>
      <c r="F38" s="554">
        <v>459621.3</v>
      </c>
      <c r="G38" s="623">
        <f t="shared" si="7"/>
        <v>2260.2999999999884</v>
      </c>
      <c r="H38" s="554">
        <f t="shared" si="8"/>
        <v>2260.2999999999884</v>
      </c>
      <c r="I38" s="554"/>
      <c r="J38" s="617">
        <f>H38/DAY(B2)</f>
        <v>2260.2999999999884</v>
      </c>
      <c r="K38" s="573"/>
      <c r="L38" s="546"/>
      <c r="N38" s="567"/>
      <c r="O38" s="568"/>
    </row>
    <row r="39" spans="1:15" ht="26.25">
      <c r="A39" s="564" t="s">
        <v>165</v>
      </c>
      <c r="B39" s="614"/>
      <c r="C39" s="614"/>
      <c r="D39" s="565" t="s">
        <v>130</v>
      </c>
      <c r="E39" s="145">
        <v>591584</v>
      </c>
      <c r="F39" s="622">
        <v>591584.18999999994</v>
      </c>
      <c r="G39" s="623">
        <f t="shared" si="7"/>
        <v>0.18999999994412065</v>
      </c>
      <c r="H39" s="554">
        <f t="shared" si="8"/>
        <v>0.18999999994412065</v>
      </c>
      <c r="I39" s="554"/>
      <c r="J39" s="617">
        <f>H39/DAY(B2)</f>
        <v>0.18999999994412065</v>
      </c>
      <c r="K39" s="573"/>
      <c r="L39" s="546"/>
      <c r="N39" s="567"/>
      <c r="O39" s="568"/>
    </row>
    <row r="40" spans="1:15" ht="26.25">
      <c r="A40" s="584" t="s">
        <v>166</v>
      </c>
      <c r="B40" s="663"/>
      <c r="C40" s="663"/>
      <c r="D40" s="565" t="s">
        <v>130</v>
      </c>
      <c r="E40" s="145">
        <v>106776</v>
      </c>
      <c r="F40" s="622">
        <v>107613.71</v>
      </c>
      <c r="G40" s="623">
        <f t="shared" si="7"/>
        <v>837.7100000000064</v>
      </c>
      <c r="H40" s="554">
        <f t="shared" si="8"/>
        <v>837.7100000000064</v>
      </c>
      <c r="I40" s="554"/>
      <c r="J40" s="617">
        <f>H40/DAY(B2)</f>
        <v>837.7100000000064</v>
      </c>
      <c r="K40" s="575"/>
      <c r="L40" s="546"/>
      <c r="N40" s="567"/>
      <c r="O40" s="568"/>
    </row>
    <row r="41" spans="1:15" ht="26.25">
      <c r="A41" s="564" t="s">
        <v>167</v>
      </c>
      <c r="B41" s="614"/>
      <c r="C41" s="614"/>
      <c r="D41" s="565" t="s">
        <v>130</v>
      </c>
      <c r="E41" s="145">
        <v>211703</v>
      </c>
      <c r="F41" s="622">
        <v>216646.21</v>
      </c>
      <c r="G41" s="623">
        <f t="shared" si="7"/>
        <v>4943.2099999999919</v>
      </c>
      <c r="H41" s="554">
        <f t="shared" si="8"/>
        <v>4943.2099999999919</v>
      </c>
      <c r="I41" s="554"/>
      <c r="J41" s="617">
        <f>H41/DAY(B2)</f>
        <v>4943.2099999999919</v>
      </c>
      <c r="K41" s="573"/>
      <c r="L41" s="546"/>
      <c r="N41" s="567"/>
      <c r="O41" s="568"/>
    </row>
    <row r="42" spans="1:15" ht="26.25">
      <c r="A42" s="564" t="s">
        <v>168</v>
      </c>
      <c r="B42" s="614"/>
      <c r="C42" s="614"/>
      <c r="D42" s="565" t="s">
        <v>130</v>
      </c>
      <c r="E42" s="145">
        <v>748364</v>
      </c>
      <c r="F42" s="622">
        <v>748364.07</v>
      </c>
      <c r="G42" s="623">
        <f t="shared" si="7"/>
        <v>6.9999999948777258E-2</v>
      </c>
      <c r="H42" s="554">
        <f t="shared" si="8"/>
        <v>6.9999999948777258E-2</v>
      </c>
      <c r="I42" s="554"/>
      <c r="J42" s="617">
        <f>H42/DAY(B2)</f>
        <v>6.9999999948777258E-2</v>
      </c>
      <c r="K42" s="573"/>
      <c r="L42" s="546"/>
      <c r="N42" s="567"/>
      <c r="O42" s="568"/>
    </row>
    <row r="43" spans="1:15" ht="26.25">
      <c r="A43" s="564" t="s">
        <v>169</v>
      </c>
      <c r="B43" s="614"/>
      <c r="C43" s="614"/>
      <c r="D43" s="565" t="s">
        <v>130</v>
      </c>
      <c r="E43" s="145">
        <v>407028</v>
      </c>
      <c r="F43" s="622">
        <v>407028</v>
      </c>
      <c r="G43" s="623">
        <f t="shared" si="7"/>
        <v>0</v>
      </c>
      <c r="H43" s="554">
        <f t="shared" si="8"/>
        <v>0</v>
      </c>
      <c r="I43" s="554"/>
      <c r="J43" s="617">
        <f>H43/DAY(B2)</f>
        <v>0</v>
      </c>
      <c r="K43" s="573"/>
      <c r="L43" s="546"/>
      <c r="N43" s="567"/>
      <c r="O43" s="568"/>
    </row>
    <row r="44" spans="1:15" ht="26.25">
      <c r="A44" s="564" t="s">
        <v>170</v>
      </c>
      <c r="B44" s="614"/>
      <c r="C44" s="614"/>
      <c r="D44" s="565" t="s">
        <v>130</v>
      </c>
      <c r="E44" s="145">
        <v>0</v>
      </c>
      <c r="F44" s="622">
        <v>0</v>
      </c>
      <c r="G44" s="623">
        <f t="shared" si="7"/>
        <v>0</v>
      </c>
      <c r="H44" s="554">
        <f t="shared" si="8"/>
        <v>0</v>
      </c>
      <c r="I44" s="554"/>
      <c r="J44" s="617">
        <f>H44/DAY(B2)</f>
        <v>0</v>
      </c>
      <c r="K44" s="573"/>
      <c r="L44" s="546"/>
      <c r="N44" s="567"/>
      <c r="O44" s="568"/>
    </row>
    <row r="45" spans="1:15" ht="26.25">
      <c r="A45" s="564" t="s">
        <v>171</v>
      </c>
      <c r="B45" s="614"/>
      <c r="C45" s="614"/>
      <c r="D45" s="565" t="s">
        <v>130</v>
      </c>
      <c r="E45" s="145">
        <v>0</v>
      </c>
      <c r="F45" s="622">
        <v>0</v>
      </c>
      <c r="G45" s="623">
        <f t="shared" si="7"/>
        <v>0</v>
      </c>
      <c r="H45" s="554">
        <f t="shared" si="8"/>
        <v>0</v>
      </c>
      <c r="I45" s="554"/>
      <c r="J45" s="617">
        <f>H45/DAY(B2)</f>
        <v>0</v>
      </c>
      <c r="K45" s="573"/>
      <c r="L45" s="546"/>
      <c r="N45" s="567"/>
      <c r="O45" s="568"/>
    </row>
    <row r="46" spans="1:15" ht="26.25">
      <c r="A46" s="564" t="s">
        <v>172</v>
      </c>
      <c r="B46" s="614"/>
      <c r="C46" s="614"/>
      <c r="D46" s="565" t="s">
        <v>130</v>
      </c>
      <c r="E46" s="145">
        <v>0</v>
      </c>
      <c r="F46" s="622">
        <v>0</v>
      </c>
      <c r="G46" s="623">
        <f t="shared" si="7"/>
        <v>0</v>
      </c>
      <c r="H46" s="554">
        <f t="shared" si="8"/>
        <v>0</v>
      </c>
      <c r="I46" s="554"/>
      <c r="J46" s="617">
        <f>H46/DAY(B2)</f>
        <v>0</v>
      </c>
      <c r="K46" s="573"/>
      <c r="L46" s="546"/>
      <c r="N46" s="567"/>
      <c r="O46" s="568"/>
    </row>
    <row r="47" spans="1:15" ht="26.25">
      <c r="A47" s="574" t="s">
        <v>173</v>
      </c>
      <c r="B47" s="624"/>
      <c r="C47" s="624"/>
      <c r="D47" s="664"/>
      <c r="E47" s="146"/>
      <c r="F47" s="554"/>
      <c r="G47" s="600">
        <f>G35+G36+G37+G38+G39+G40+G41+G42+G43+G44+G45+G46</f>
        <v>8661.6699999998818</v>
      </c>
      <c r="H47" s="554">
        <f t="shared" si="8"/>
        <v>8661.6699999998818</v>
      </c>
      <c r="I47" s="554"/>
      <c r="J47" s="617">
        <f>H47/DAY(B2)</f>
        <v>8661.6699999998818</v>
      </c>
      <c r="K47" s="573"/>
      <c r="L47" s="546"/>
      <c r="N47" s="567"/>
      <c r="O47" s="568"/>
    </row>
    <row r="48" spans="1:15" ht="26.25">
      <c r="A48" s="581" t="s">
        <v>174</v>
      </c>
      <c r="B48" s="662"/>
      <c r="C48" s="662"/>
      <c r="D48" s="560"/>
      <c r="E48" s="110"/>
      <c r="F48" s="625"/>
      <c r="G48" s="625"/>
      <c r="H48" s="625"/>
      <c r="I48" s="625"/>
      <c r="J48" s="627"/>
      <c r="K48" s="573"/>
      <c r="L48" s="546"/>
      <c r="N48" s="567"/>
      <c r="O48" s="568"/>
    </row>
    <row r="49" spans="1:15" ht="26.25">
      <c r="A49" s="564" t="s">
        <v>161</v>
      </c>
      <c r="B49" s="665"/>
      <c r="C49" s="665"/>
      <c r="D49" s="565" t="s">
        <v>130</v>
      </c>
      <c r="E49" s="145">
        <v>482054</v>
      </c>
      <c r="F49" s="622">
        <v>486283.35</v>
      </c>
      <c r="G49" s="623">
        <f t="shared" ref="G49:G58" si="9">F49-E49</f>
        <v>4229.3499999999767</v>
      </c>
      <c r="H49" s="554">
        <f t="shared" ref="H49:H60" si="10">G49</f>
        <v>4229.3499999999767</v>
      </c>
      <c r="I49" s="554"/>
      <c r="J49" s="617">
        <f>H49/DAY(B2)</f>
        <v>4229.3499999999767</v>
      </c>
      <c r="K49" s="573"/>
      <c r="L49" s="546"/>
      <c r="N49" s="567"/>
      <c r="O49" s="568"/>
    </row>
    <row r="50" spans="1:15" ht="26.25">
      <c r="A50" s="564" t="s">
        <v>175</v>
      </c>
      <c r="B50" s="665"/>
      <c r="C50" s="665"/>
      <c r="D50" s="565" t="s">
        <v>130</v>
      </c>
      <c r="E50" s="145">
        <v>282750</v>
      </c>
      <c r="F50" s="622">
        <v>283770.39</v>
      </c>
      <c r="G50" s="623">
        <f t="shared" si="9"/>
        <v>1020.390000000014</v>
      </c>
      <c r="H50" s="554">
        <f t="shared" si="10"/>
        <v>1020.390000000014</v>
      </c>
      <c r="I50" s="554"/>
      <c r="J50" s="617">
        <f>H50/DAY(B2)</f>
        <v>1020.390000000014</v>
      </c>
      <c r="K50" s="573"/>
      <c r="L50" s="546"/>
      <c r="N50" s="567"/>
      <c r="O50" s="568"/>
    </row>
    <row r="51" spans="1:15" ht="26.25">
      <c r="A51" s="564" t="s">
        <v>163</v>
      </c>
      <c r="B51" s="665"/>
      <c r="C51" s="665"/>
      <c r="D51" s="565" t="s">
        <v>130</v>
      </c>
      <c r="E51" s="145">
        <v>8508</v>
      </c>
      <c r="F51" s="622">
        <v>9635.2000000000007</v>
      </c>
      <c r="G51" s="623">
        <f t="shared" si="9"/>
        <v>1127.2000000000007</v>
      </c>
      <c r="H51" s="554">
        <f t="shared" si="10"/>
        <v>1127.2000000000007</v>
      </c>
      <c r="I51" s="554"/>
      <c r="J51" s="617">
        <f>H51/DAY(B2)</f>
        <v>1127.2000000000007</v>
      </c>
      <c r="K51" s="573"/>
      <c r="L51" s="546"/>
      <c r="N51" s="567"/>
      <c r="O51" s="568"/>
    </row>
    <row r="52" spans="1:15" ht="26.25">
      <c r="A52" s="564" t="s">
        <v>176</v>
      </c>
      <c r="B52" s="665"/>
      <c r="C52" s="665"/>
      <c r="D52" s="565" t="s">
        <v>130</v>
      </c>
      <c r="E52" s="145">
        <v>10</v>
      </c>
      <c r="F52" s="622">
        <v>9.76</v>
      </c>
      <c r="G52" s="623">
        <f t="shared" si="9"/>
        <v>-0.24000000000000021</v>
      </c>
      <c r="H52" s="554">
        <f t="shared" si="10"/>
        <v>-0.24000000000000021</v>
      </c>
      <c r="I52" s="554"/>
      <c r="J52" s="617">
        <f>H52/DAY(B2)</f>
        <v>-0.24000000000000021</v>
      </c>
      <c r="K52" s="573"/>
      <c r="L52" s="546"/>
      <c r="N52" s="567"/>
      <c r="O52" s="568"/>
    </row>
    <row r="53" spans="1:15" ht="26.25">
      <c r="A53" s="564" t="s">
        <v>165</v>
      </c>
      <c r="B53" s="665"/>
      <c r="C53" s="665"/>
      <c r="D53" s="565" t="s">
        <v>130</v>
      </c>
      <c r="E53" s="145">
        <v>33861</v>
      </c>
      <c r="F53" s="622">
        <v>38209.67</v>
      </c>
      <c r="G53" s="623">
        <f t="shared" si="9"/>
        <v>4348.6699999999983</v>
      </c>
      <c r="H53" s="554">
        <f t="shared" si="10"/>
        <v>4348.6699999999983</v>
      </c>
      <c r="I53" s="554"/>
      <c r="J53" s="617">
        <f>H53/DAY(B2)</f>
        <v>4348.6699999999983</v>
      </c>
      <c r="K53" s="573"/>
      <c r="L53" s="546"/>
      <c r="N53" s="567"/>
      <c r="O53" s="568"/>
    </row>
    <row r="54" spans="1:15" ht="26.25">
      <c r="A54" s="564" t="s">
        <v>177</v>
      </c>
      <c r="B54" s="665"/>
      <c r="C54" s="665"/>
      <c r="D54" s="565" t="s">
        <v>130</v>
      </c>
      <c r="E54" s="145">
        <v>87943</v>
      </c>
      <c r="F54" s="622">
        <v>88284.79</v>
      </c>
      <c r="G54" s="623">
        <f t="shared" si="9"/>
        <v>341.7899999999936</v>
      </c>
      <c r="H54" s="554">
        <f t="shared" si="10"/>
        <v>341.7899999999936</v>
      </c>
      <c r="I54" s="554"/>
      <c r="J54" s="617">
        <f>H54/DAY(B2)</f>
        <v>341.7899999999936</v>
      </c>
      <c r="K54" s="573"/>
      <c r="L54" s="546"/>
      <c r="N54" s="567"/>
      <c r="O54" s="568"/>
    </row>
    <row r="55" spans="1:15" ht="26.25">
      <c r="A55" s="564" t="s">
        <v>178</v>
      </c>
      <c r="B55" s="665"/>
      <c r="C55" s="665"/>
      <c r="D55" s="565" t="s">
        <v>130</v>
      </c>
      <c r="E55" s="145">
        <v>362777</v>
      </c>
      <c r="F55" s="622">
        <v>364756.63</v>
      </c>
      <c r="G55" s="623">
        <f t="shared" si="9"/>
        <v>1979.6300000000047</v>
      </c>
      <c r="H55" s="554">
        <f t="shared" si="10"/>
        <v>1979.6300000000047</v>
      </c>
      <c r="I55" s="554"/>
      <c r="J55" s="617">
        <f>H55/DAY(B2)</f>
        <v>1979.6300000000047</v>
      </c>
      <c r="K55" s="573"/>
      <c r="L55" s="546"/>
      <c r="N55" s="567"/>
      <c r="O55" s="568"/>
    </row>
    <row r="56" spans="1:15" ht="26.25">
      <c r="A56" s="564" t="s">
        <v>179</v>
      </c>
      <c r="B56" s="665"/>
      <c r="C56" s="665"/>
      <c r="D56" s="565" t="s">
        <v>180</v>
      </c>
      <c r="E56" s="145">
        <v>123882</v>
      </c>
      <c r="F56" s="622">
        <v>123882.39</v>
      </c>
      <c r="G56" s="623">
        <f t="shared" si="9"/>
        <v>0.38999999999941792</v>
      </c>
      <c r="H56" s="554">
        <f t="shared" si="10"/>
        <v>0.38999999999941792</v>
      </c>
      <c r="I56" s="554"/>
      <c r="J56" s="617">
        <f>H56/DAY(B2)</f>
        <v>0.38999999999941792</v>
      </c>
      <c r="K56" s="585"/>
      <c r="L56" s="546"/>
      <c r="N56" s="567"/>
      <c r="O56" s="568"/>
    </row>
    <row r="57" spans="1:15" ht="26.25">
      <c r="A57" s="564" t="s">
        <v>169</v>
      </c>
      <c r="B57" s="665"/>
      <c r="C57" s="665"/>
      <c r="D57" s="565" t="s">
        <v>130</v>
      </c>
      <c r="E57" s="145">
        <v>226170</v>
      </c>
      <c r="F57" s="633">
        <v>229295.45</v>
      </c>
      <c r="G57" s="623">
        <f t="shared" si="9"/>
        <v>3125.4500000000116</v>
      </c>
      <c r="H57" s="554">
        <f t="shared" si="10"/>
        <v>3125.4500000000116</v>
      </c>
      <c r="I57" s="554"/>
      <c r="J57" s="617">
        <f>H57/DAY(B2)</f>
        <v>3125.4500000000116</v>
      </c>
      <c r="K57" s="573"/>
      <c r="L57" s="546"/>
      <c r="N57" s="567"/>
      <c r="O57" s="568"/>
    </row>
    <row r="58" spans="1:15" ht="26.25">
      <c r="A58" s="564" t="s">
        <v>181</v>
      </c>
      <c r="B58" s="665"/>
      <c r="C58" s="665"/>
      <c r="D58" s="565" t="s">
        <v>130</v>
      </c>
      <c r="E58" s="145">
        <v>49109</v>
      </c>
      <c r="F58" s="622">
        <v>49386.27</v>
      </c>
      <c r="G58" s="623">
        <f t="shared" si="9"/>
        <v>277.2699999999968</v>
      </c>
      <c r="H58" s="554">
        <f t="shared" si="10"/>
        <v>277.2699999999968</v>
      </c>
      <c r="I58" s="554"/>
      <c r="J58" s="617">
        <f>H58/DAY(B2)</f>
        <v>277.2699999999968</v>
      </c>
      <c r="K58" s="573"/>
      <c r="L58" s="546"/>
      <c r="N58" s="567"/>
      <c r="O58" s="568"/>
    </row>
    <row r="59" spans="1:15" ht="26.25">
      <c r="A59" s="574" t="s">
        <v>173</v>
      </c>
      <c r="B59" s="624"/>
      <c r="C59" s="624"/>
      <c r="D59" s="550"/>
      <c r="E59" s="146"/>
      <c r="F59" s="554"/>
      <c r="G59" s="600">
        <f>G49+G50+G51+G52+G53+G54+G55+G56+G57+G58</f>
        <v>16449.899999999994</v>
      </c>
      <c r="H59" s="554">
        <f t="shared" si="10"/>
        <v>16449.899999999994</v>
      </c>
      <c r="I59" s="554">
        <f>G7-G60</f>
        <v>325.43000000012398</v>
      </c>
      <c r="J59" s="617">
        <f>H59/DAY(B2)</f>
        <v>16449.899999999994</v>
      </c>
      <c r="K59" s="573"/>
      <c r="L59" s="546"/>
      <c r="N59" s="567"/>
      <c r="O59" s="568"/>
    </row>
    <row r="60" spans="1:15" ht="26.25">
      <c r="A60" s="564"/>
      <c r="B60" s="614"/>
      <c r="C60" s="614"/>
      <c r="D60" s="550" t="s">
        <v>182</v>
      </c>
      <c r="E60" s="146"/>
      <c r="F60" s="554"/>
      <c r="G60" s="600">
        <f>G47+G59</f>
        <v>25111.569999999876</v>
      </c>
      <c r="H60" s="554">
        <f t="shared" si="10"/>
        <v>25111.569999999876</v>
      </c>
      <c r="I60" s="554">
        <f>G13-G60</f>
        <v>997.43000000012398</v>
      </c>
      <c r="J60" s="617">
        <f>H60/DAY(B2)</f>
        <v>25111.569999999876</v>
      </c>
      <c r="K60" s="573"/>
      <c r="L60" s="546"/>
      <c r="N60" s="567"/>
      <c r="O60" s="568"/>
    </row>
    <row r="61" spans="1:15" s="588" customFormat="1" ht="26.25">
      <c r="A61" s="848" t="s">
        <v>332</v>
      </c>
      <c r="B61" s="849"/>
      <c r="C61" s="850"/>
      <c r="D61" s="666"/>
      <c r="E61" s="339"/>
      <c r="F61" s="667"/>
      <c r="G61" s="668"/>
      <c r="H61" s="667"/>
      <c r="I61" s="667"/>
      <c r="J61" s="669"/>
      <c r="K61" s="586"/>
      <c r="L61" s="587"/>
      <c r="N61" s="567"/>
      <c r="O61" s="568"/>
    </row>
    <row r="62" spans="1:15" ht="26.25">
      <c r="A62" s="828" t="s">
        <v>198</v>
      </c>
      <c r="B62" s="829"/>
      <c r="C62" s="830"/>
      <c r="D62" s="565" t="s">
        <v>142</v>
      </c>
      <c r="E62" s="122">
        <v>296275</v>
      </c>
      <c r="F62" s="635">
        <v>296372</v>
      </c>
      <c r="G62" s="623">
        <f t="shared" ref="G62:G63" si="11">F62-E62</f>
        <v>97</v>
      </c>
      <c r="H62" s="554">
        <f t="shared" ref="H62:H71" si="12">G62</f>
        <v>97</v>
      </c>
      <c r="I62" s="554"/>
      <c r="J62" s="617">
        <f>H62/DAY(B2)</f>
        <v>97</v>
      </c>
      <c r="K62" s="575"/>
      <c r="L62" s="546"/>
      <c r="N62" s="567"/>
      <c r="O62" s="568"/>
    </row>
    <row r="63" spans="1:15" ht="26.25">
      <c r="A63" s="828" t="s">
        <v>199</v>
      </c>
      <c r="B63" s="829"/>
      <c r="C63" s="830"/>
      <c r="D63" s="565" t="s">
        <v>142</v>
      </c>
      <c r="E63" s="164">
        <v>239133</v>
      </c>
      <c r="F63" s="635">
        <v>239310</v>
      </c>
      <c r="G63" s="623">
        <f t="shared" si="11"/>
        <v>177</v>
      </c>
      <c r="H63" s="554">
        <f t="shared" si="12"/>
        <v>177</v>
      </c>
      <c r="I63" s="554"/>
      <c r="J63" s="617">
        <f>H63/DAY(B2)</f>
        <v>177</v>
      </c>
      <c r="K63" s="586"/>
      <c r="L63" s="546"/>
      <c r="N63" s="567"/>
      <c r="O63" s="568"/>
    </row>
    <row r="64" spans="1:15" ht="26.25">
      <c r="A64" s="822" t="s">
        <v>200</v>
      </c>
      <c r="B64" s="823"/>
      <c r="C64" s="824"/>
      <c r="D64" s="565"/>
      <c r="E64" s="122"/>
      <c r="F64" s="635"/>
      <c r="G64" s="623">
        <f>G62+G63</f>
        <v>274</v>
      </c>
      <c r="H64" s="554">
        <f t="shared" si="12"/>
        <v>274</v>
      </c>
      <c r="I64" s="554"/>
      <c r="J64" s="617">
        <f>H64/DAY(B2)</f>
        <v>274</v>
      </c>
      <c r="K64" s="586"/>
      <c r="L64" s="546"/>
      <c r="N64" s="567"/>
      <c r="O64" s="568"/>
    </row>
    <row r="65" spans="1:15" ht="26.25">
      <c r="A65" s="828" t="s">
        <v>201</v>
      </c>
      <c r="B65" s="829"/>
      <c r="C65" s="830"/>
      <c r="D65" s="565" t="s">
        <v>142</v>
      </c>
      <c r="E65" s="122">
        <v>454710</v>
      </c>
      <c r="F65" s="635">
        <v>454802</v>
      </c>
      <c r="G65" s="623">
        <f t="shared" ref="G65:G70" si="13">F65-E65</f>
        <v>92</v>
      </c>
      <c r="H65" s="554">
        <f t="shared" si="12"/>
        <v>92</v>
      </c>
      <c r="I65" s="554"/>
      <c r="J65" s="617">
        <f>H65/DAY(B2)</f>
        <v>92</v>
      </c>
      <c r="K65" s="586"/>
      <c r="L65" s="546"/>
      <c r="N65" s="567"/>
      <c r="O65" s="568"/>
    </row>
    <row r="66" spans="1:15" ht="26.25">
      <c r="A66" s="576" t="s">
        <v>202</v>
      </c>
      <c r="B66" s="628"/>
      <c r="C66" s="628"/>
      <c r="D66" s="565" t="s">
        <v>142</v>
      </c>
      <c r="E66" s="122">
        <v>111722</v>
      </c>
      <c r="F66" s="635">
        <v>111747</v>
      </c>
      <c r="G66" s="623">
        <f t="shared" si="13"/>
        <v>25</v>
      </c>
      <c r="H66" s="554">
        <f t="shared" si="12"/>
        <v>25</v>
      </c>
      <c r="I66" s="554"/>
      <c r="J66" s="617">
        <f>H66/DAY(B2)</f>
        <v>25</v>
      </c>
      <c r="K66" s="585"/>
      <c r="L66" s="546"/>
      <c r="N66" s="567"/>
      <c r="O66" s="568"/>
    </row>
    <row r="67" spans="1:15" ht="26.25">
      <c r="A67" s="576" t="s">
        <v>203</v>
      </c>
      <c r="B67" s="628"/>
      <c r="C67" s="628"/>
      <c r="D67" s="565" t="s">
        <v>142</v>
      </c>
      <c r="E67" s="122">
        <v>113680</v>
      </c>
      <c r="F67" s="635">
        <v>113680</v>
      </c>
      <c r="G67" s="623">
        <f t="shared" si="13"/>
        <v>0</v>
      </c>
      <c r="H67" s="554">
        <f t="shared" si="12"/>
        <v>0</v>
      </c>
      <c r="I67" s="554"/>
      <c r="J67" s="617">
        <f>H67/DAY(B2)</f>
        <v>0</v>
      </c>
      <c r="K67" s="589"/>
      <c r="L67" s="546"/>
      <c r="N67" s="567"/>
      <c r="O67" s="568"/>
    </row>
    <row r="68" spans="1:15" ht="26.25">
      <c r="A68" s="576" t="s">
        <v>204</v>
      </c>
      <c r="B68" s="628"/>
      <c r="C68" s="628"/>
      <c r="D68" s="565" t="s">
        <v>142</v>
      </c>
      <c r="E68" s="122">
        <v>164662</v>
      </c>
      <c r="F68" s="635">
        <v>164680</v>
      </c>
      <c r="G68" s="623">
        <f t="shared" si="13"/>
        <v>18</v>
      </c>
      <c r="H68" s="554">
        <f t="shared" si="12"/>
        <v>18</v>
      </c>
      <c r="I68" s="554"/>
      <c r="J68" s="617">
        <f>H68/DAY(B2)</f>
        <v>18</v>
      </c>
      <c r="K68" s="586"/>
      <c r="L68" s="546"/>
      <c r="N68" s="567"/>
      <c r="O68" s="568"/>
    </row>
    <row r="69" spans="1:15" ht="26.25">
      <c r="A69" s="576" t="s">
        <v>205</v>
      </c>
      <c r="B69" s="628"/>
      <c r="C69" s="628"/>
      <c r="D69" s="565" t="s">
        <v>142</v>
      </c>
      <c r="E69" s="122">
        <v>12275</v>
      </c>
      <c r="F69" s="635">
        <v>12285</v>
      </c>
      <c r="G69" s="623">
        <f t="shared" si="13"/>
        <v>10</v>
      </c>
      <c r="H69" s="554">
        <f t="shared" si="12"/>
        <v>10</v>
      </c>
      <c r="I69" s="554"/>
      <c r="J69" s="617">
        <f>H69/DAY(B2)</f>
        <v>10</v>
      </c>
      <c r="K69" s="586"/>
      <c r="L69" s="546"/>
      <c r="N69" s="567"/>
      <c r="O69" s="568"/>
    </row>
    <row r="70" spans="1:15" ht="26.25">
      <c r="A70" s="576" t="s">
        <v>206</v>
      </c>
      <c r="B70" s="628"/>
      <c r="C70" s="628"/>
      <c r="D70" s="565" t="s">
        <v>142</v>
      </c>
      <c r="E70" s="122">
        <v>9827</v>
      </c>
      <c r="F70" s="670">
        <v>9833</v>
      </c>
      <c r="G70" s="671">
        <f t="shared" si="13"/>
        <v>6</v>
      </c>
      <c r="H70" s="554">
        <f t="shared" si="12"/>
        <v>6</v>
      </c>
      <c r="I70" s="553"/>
      <c r="J70" s="617">
        <f>H70/DAY(B2)</f>
        <v>6</v>
      </c>
      <c r="K70" s="586"/>
      <c r="L70" s="546"/>
      <c r="N70" s="567"/>
      <c r="O70" s="568"/>
    </row>
    <row r="71" spans="1:15" ht="26.25">
      <c r="A71" s="822" t="s">
        <v>208</v>
      </c>
      <c r="B71" s="823"/>
      <c r="C71" s="824"/>
      <c r="D71" s="632"/>
      <c r="E71" s="152"/>
      <c r="F71" s="632"/>
      <c r="G71" s="672">
        <f>SUM(G65:G70)</f>
        <v>151</v>
      </c>
      <c r="H71" s="554">
        <f t="shared" si="12"/>
        <v>151</v>
      </c>
      <c r="I71" s="673"/>
      <c r="J71" s="617">
        <f>H71/DAY(B2)</f>
        <v>151</v>
      </c>
      <c r="K71" s="586"/>
      <c r="L71" s="546"/>
      <c r="N71" s="567"/>
      <c r="O71" s="568"/>
    </row>
    <row r="72" spans="1:15" ht="26.25">
      <c r="A72" s="867"/>
      <c r="B72" s="820"/>
      <c r="C72" s="674"/>
      <c r="D72" s="557"/>
      <c r="E72" s="412"/>
      <c r="F72" s="675"/>
      <c r="G72" s="676"/>
      <c r="H72" s="677"/>
      <c r="I72" s="675"/>
      <c r="J72" s="678"/>
      <c r="N72" s="567"/>
      <c r="O72" s="568"/>
    </row>
    <row r="73" spans="1:15" ht="26.25">
      <c r="A73" s="848" t="s">
        <v>333</v>
      </c>
      <c r="B73" s="849"/>
      <c r="C73" s="850"/>
      <c r="D73" s="666"/>
      <c r="E73" s="339"/>
      <c r="F73" s="666"/>
      <c r="G73" s="679"/>
      <c r="H73" s="680"/>
      <c r="I73" s="680"/>
      <c r="J73" s="681"/>
      <c r="K73" s="586"/>
      <c r="L73" s="546"/>
      <c r="N73" s="567"/>
      <c r="O73" s="568"/>
    </row>
    <row r="74" spans="1:15" ht="26.25">
      <c r="A74" s="828" t="s">
        <v>220</v>
      </c>
      <c r="B74" s="829"/>
      <c r="C74" s="830"/>
      <c r="D74" s="565" t="s">
        <v>139</v>
      </c>
      <c r="E74" s="123">
        <v>957657.86</v>
      </c>
      <c r="F74" s="682">
        <v>957965.9</v>
      </c>
      <c r="G74" s="671">
        <f t="shared" ref="G74:G78" si="14">F74-E74</f>
        <v>308.04000000003725</v>
      </c>
      <c r="H74" s="554">
        <f t="shared" ref="H74:H79" si="15">G74</f>
        <v>308.04000000003725</v>
      </c>
      <c r="I74" s="673"/>
      <c r="J74" s="617">
        <f>H74/DAY(B2)</f>
        <v>308.04000000003725</v>
      </c>
      <c r="K74" s="586"/>
      <c r="L74" s="546"/>
      <c r="N74" s="567"/>
      <c r="O74" s="568"/>
    </row>
    <row r="75" spans="1:15" ht="26.25">
      <c r="A75" s="828" t="s">
        <v>221</v>
      </c>
      <c r="B75" s="829"/>
      <c r="C75" s="830"/>
      <c r="D75" s="565" t="s">
        <v>139</v>
      </c>
      <c r="E75" s="123">
        <v>73586.8</v>
      </c>
      <c r="F75" s="682">
        <v>73586</v>
      </c>
      <c r="G75" s="671">
        <f t="shared" si="14"/>
        <v>-0.80000000000291038</v>
      </c>
      <c r="H75" s="554">
        <f t="shared" si="15"/>
        <v>-0.80000000000291038</v>
      </c>
      <c r="I75" s="673"/>
      <c r="J75" s="617">
        <f>H75/DAY(B2)</f>
        <v>-0.80000000000291038</v>
      </c>
      <c r="K75" s="586"/>
      <c r="L75" s="546"/>
      <c r="N75" s="567"/>
      <c r="O75" s="568"/>
    </row>
    <row r="76" spans="1:15" ht="26.25">
      <c r="A76" s="851" t="s">
        <v>222</v>
      </c>
      <c r="B76" s="852"/>
      <c r="C76" s="853"/>
      <c r="D76" s="565" t="s">
        <v>139</v>
      </c>
      <c r="E76" s="123">
        <v>190172</v>
      </c>
      <c r="F76" s="682">
        <v>190288.7</v>
      </c>
      <c r="G76" s="671">
        <f t="shared" si="14"/>
        <v>116.70000000001164</v>
      </c>
      <c r="H76" s="554">
        <f t="shared" si="15"/>
        <v>116.70000000001164</v>
      </c>
      <c r="I76" s="673"/>
      <c r="J76" s="617">
        <f>H76/DAY(B2)</f>
        <v>116.70000000001164</v>
      </c>
      <c r="K76" s="586"/>
      <c r="L76" s="546"/>
      <c r="N76" s="567"/>
      <c r="O76" s="568"/>
    </row>
    <row r="77" spans="1:15" ht="26.25">
      <c r="A77" s="851" t="s">
        <v>223</v>
      </c>
      <c r="B77" s="852"/>
      <c r="C77" s="853"/>
      <c r="D77" s="565" t="s">
        <v>139</v>
      </c>
      <c r="E77" s="410">
        <v>50313</v>
      </c>
      <c r="F77" s="682">
        <v>50356</v>
      </c>
      <c r="G77" s="671">
        <f t="shared" si="14"/>
        <v>43</v>
      </c>
      <c r="H77" s="554">
        <f t="shared" si="15"/>
        <v>43</v>
      </c>
      <c r="I77" s="673"/>
      <c r="J77" s="617">
        <f>H77/DAY(B2)</f>
        <v>43</v>
      </c>
      <c r="K77" s="586"/>
      <c r="L77" s="546"/>
      <c r="N77" s="567"/>
      <c r="O77" s="568"/>
    </row>
    <row r="78" spans="1:15" ht="26.25">
      <c r="A78" s="851" t="s">
        <v>224</v>
      </c>
      <c r="B78" s="852"/>
      <c r="C78" s="853"/>
      <c r="D78" s="565" t="s">
        <v>139</v>
      </c>
      <c r="E78" s="410">
        <v>9563</v>
      </c>
      <c r="F78" s="682">
        <v>9563</v>
      </c>
      <c r="G78" s="671">
        <f t="shared" si="14"/>
        <v>0</v>
      </c>
      <c r="H78" s="554">
        <f t="shared" si="15"/>
        <v>0</v>
      </c>
      <c r="I78" s="553"/>
      <c r="J78" s="617">
        <f>H78/DAY(B2)</f>
        <v>0</v>
      </c>
      <c r="K78" s="586"/>
      <c r="L78" s="546"/>
      <c r="N78" s="567"/>
      <c r="O78" s="568"/>
    </row>
    <row r="79" spans="1:15" ht="26.25">
      <c r="A79" s="851" t="s">
        <v>225</v>
      </c>
      <c r="B79" s="852"/>
      <c r="C79" s="853"/>
      <c r="D79" s="565"/>
      <c r="E79" s="123"/>
      <c r="F79" s="682"/>
      <c r="G79" s="671">
        <f>G15-SUM(G74:G78)</f>
        <v>596.66000000004715</v>
      </c>
      <c r="H79" s="554">
        <f t="shared" si="15"/>
        <v>596.66000000004715</v>
      </c>
      <c r="I79" s="553"/>
      <c r="J79" s="617"/>
      <c r="K79" s="586"/>
      <c r="L79" s="546"/>
      <c r="N79" s="567"/>
      <c r="O79" s="568"/>
    </row>
    <row r="80" spans="1:15" ht="26.25">
      <c r="A80" s="822" t="s">
        <v>329</v>
      </c>
      <c r="B80" s="823"/>
      <c r="C80" s="824"/>
      <c r="D80" s="565"/>
      <c r="E80" s="117"/>
      <c r="F80" s="683"/>
      <c r="G80" s="671">
        <f>SUM(G74:G79)</f>
        <v>1063.6000000000931</v>
      </c>
      <c r="H80" s="554"/>
      <c r="I80" s="553"/>
      <c r="J80" s="617"/>
      <c r="K80" s="586"/>
      <c r="L80" s="546"/>
      <c r="N80" s="567"/>
      <c r="O80" s="568"/>
    </row>
    <row r="81" spans="1:15" ht="26.25">
      <c r="A81" s="842" t="s">
        <v>226</v>
      </c>
      <c r="B81" s="843"/>
      <c r="C81" s="844"/>
      <c r="D81" s="559"/>
      <c r="E81" s="110"/>
      <c r="F81" s="560"/>
      <c r="G81" s="684"/>
      <c r="H81" s="685"/>
      <c r="I81" s="685"/>
      <c r="J81" s="686"/>
      <c r="O81" s="568"/>
    </row>
    <row r="82" spans="1:15" ht="26.25">
      <c r="A82" s="576" t="s">
        <v>227</v>
      </c>
      <c r="B82" s="628"/>
      <c r="C82" s="628"/>
      <c r="D82" s="565" t="s">
        <v>228</v>
      </c>
      <c r="E82" s="122">
        <v>0</v>
      </c>
      <c r="F82" s="670">
        <v>0</v>
      </c>
      <c r="G82" s="671">
        <f t="shared" ref="G82:G92" si="16">F82-E82</f>
        <v>0</v>
      </c>
      <c r="H82" s="554">
        <f t="shared" ref="H82:H92" si="17">G82</f>
        <v>0</v>
      </c>
      <c r="I82" s="553"/>
      <c r="J82" s="617">
        <f>H82/DAY(B2)</f>
        <v>0</v>
      </c>
      <c r="O82" s="568"/>
    </row>
    <row r="83" spans="1:15" ht="26.25">
      <c r="A83" s="576" t="s">
        <v>229</v>
      </c>
      <c r="B83" s="628"/>
      <c r="C83" s="628"/>
      <c r="D83" s="565" t="s">
        <v>228</v>
      </c>
      <c r="E83" s="122">
        <v>0</v>
      </c>
      <c r="F83" s="670">
        <v>0</v>
      </c>
      <c r="G83" s="671">
        <f t="shared" si="16"/>
        <v>0</v>
      </c>
      <c r="H83" s="554">
        <f t="shared" si="17"/>
        <v>0</v>
      </c>
      <c r="I83" s="553"/>
      <c r="J83" s="617">
        <f>H83/DAY(B2)</f>
        <v>0</v>
      </c>
      <c r="O83" s="568"/>
    </row>
    <row r="84" spans="1:15" ht="26.25">
      <c r="A84" s="576" t="s">
        <v>230</v>
      </c>
      <c r="B84" s="628"/>
      <c r="C84" s="628"/>
      <c r="D84" s="565" t="s">
        <v>228</v>
      </c>
      <c r="E84" s="164">
        <v>42589</v>
      </c>
      <c r="F84" s="687">
        <v>42611.44</v>
      </c>
      <c r="G84" s="671">
        <f t="shared" si="16"/>
        <v>22.440000000002328</v>
      </c>
      <c r="H84" s="554">
        <f t="shared" si="17"/>
        <v>22.440000000002328</v>
      </c>
      <c r="I84" s="553"/>
      <c r="J84" s="617">
        <f>H84/DAY(B2)</f>
        <v>22.440000000002328</v>
      </c>
      <c r="O84" s="568"/>
    </row>
    <row r="85" spans="1:15" ht="26.25">
      <c r="A85" s="576" t="s">
        <v>231</v>
      </c>
      <c r="B85" s="628"/>
      <c r="C85" s="628"/>
      <c r="D85" s="565" t="s">
        <v>228</v>
      </c>
      <c r="E85" s="164">
        <v>5140.1899999999996</v>
      </c>
      <c r="F85" s="687">
        <v>5140.1899999999996</v>
      </c>
      <c r="G85" s="671">
        <f t="shared" si="16"/>
        <v>0</v>
      </c>
      <c r="H85" s="554">
        <f t="shared" si="17"/>
        <v>0</v>
      </c>
      <c r="I85" s="553"/>
      <c r="J85" s="617">
        <f>H85/DAY(B2)</f>
        <v>0</v>
      </c>
      <c r="O85" s="568"/>
    </row>
    <row r="86" spans="1:15" ht="26.25">
      <c r="A86" s="576" t="s">
        <v>232</v>
      </c>
      <c r="B86" s="628"/>
      <c r="C86" s="628"/>
      <c r="D86" s="565" t="s">
        <v>228</v>
      </c>
      <c r="E86" s="164">
        <v>45379</v>
      </c>
      <c r="F86" s="687">
        <v>45394.01</v>
      </c>
      <c r="G86" s="688">
        <f t="shared" si="16"/>
        <v>15.010000000002037</v>
      </c>
      <c r="H86" s="554">
        <f t="shared" si="17"/>
        <v>15.010000000002037</v>
      </c>
      <c r="I86" s="553"/>
      <c r="J86" s="617">
        <f>H86/DAY(B2)</f>
        <v>15.010000000002037</v>
      </c>
      <c r="O86" s="568"/>
    </row>
    <row r="87" spans="1:15" ht="26.25">
      <c r="A87" s="576" t="s">
        <v>233</v>
      </c>
      <c r="B87" s="628"/>
      <c r="C87" s="628"/>
      <c r="D87" s="565" t="s">
        <v>228</v>
      </c>
      <c r="E87" s="164">
        <v>35457.43</v>
      </c>
      <c r="F87" s="687">
        <v>35457.43</v>
      </c>
      <c r="G87" s="671">
        <f t="shared" si="16"/>
        <v>0</v>
      </c>
      <c r="H87" s="554">
        <f t="shared" si="17"/>
        <v>0</v>
      </c>
      <c r="I87" s="553">
        <f>G84+G85+G86+G87</f>
        <v>37.450000000004366</v>
      </c>
      <c r="J87" s="617">
        <f>H87/DAY(B2)</f>
        <v>0</v>
      </c>
      <c r="O87" s="568"/>
    </row>
    <row r="88" spans="1:15" ht="26.25">
      <c r="A88" s="576" t="s">
        <v>234</v>
      </c>
      <c r="B88" s="628"/>
      <c r="C88" s="628"/>
      <c r="D88" s="565" t="s">
        <v>228</v>
      </c>
      <c r="E88" s="164">
        <v>24303.46</v>
      </c>
      <c r="F88" s="687">
        <v>24303.46</v>
      </c>
      <c r="G88" s="671">
        <f t="shared" si="16"/>
        <v>0</v>
      </c>
      <c r="H88" s="554">
        <f t="shared" si="17"/>
        <v>0</v>
      </c>
      <c r="I88" s="553"/>
      <c r="J88" s="617">
        <f>H88/DAY(B2)</f>
        <v>0</v>
      </c>
      <c r="O88" s="568"/>
    </row>
    <row r="89" spans="1:15" ht="26.25">
      <c r="A89" s="576" t="s">
        <v>235</v>
      </c>
      <c r="B89" s="628"/>
      <c r="C89" s="628"/>
      <c r="D89" s="565" t="s">
        <v>228</v>
      </c>
      <c r="E89" s="164">
        <v>27566.61</v>
      </c>
      <c r="F89" s="687">
        <v>27576.25</v>
      </c>
      <c r="G89" s="671">
        <f t="shared" si="16"/>
        <v>9.6399999999994179</v>
      </c>
      <c r="H89" s="554">
        <f t="shared" si="17"/>
        <v>9.6399999999994179</v>
      </c>
      <c r="I89" s="553">
        <f>G88+G89</f>
        <v>9.6399999999994179</v>
      </c>
      <c r="J89" s="617">
        <f>H89/DAY(B2)</f>
        <v>9.6399999999994179</v>
      </c>
      <c r="O89" s="568"/>
    </row>
    <row r="90" spans="1:15" ht="26.25">
      <c r="A90" s="576" t="s">
        <v>236</v>
      </c>
      <c r="B90" s="628"/>
      <c r="C90" s="628"/>
      <c r="D90" s="565" t="s">
        <v>228</v>
      </c>
      <c r="E90" s="164">
        <v>72606.55</v>
      </c>
      <c r="F90" s="687">
        <v>72618.3</v>
      </c>
      <c r="G90" s="671">
        <f t="shared" si="16"/>
        <v>11.75</v>
      </c>
      <c r="H90" s="554">
        <f t="shared" si="17"/>
        <v>11.75</v>
      </c>
      <c r="I90" s="553">
        <f>G90</f>
        <v>11.75</v>
      </c>
      <c r="J90" s="617">
        <f>H90/DAY(B2)</f>
        <v>11.75</v>
      </c>
      <c r="O90" s="568"/>
    </row>
    <row r="91" spans="1:15" ht="26.25">
      <c r="A91" s="576" t="s">
        <v>237</v>
      </c>
      <c r="B91" s="628"/>
      <c r="C91" s="628"/>
      <c r="D91" s="565" t="s">
        <v>228</v>
      </c>
      <c r="E91" s="122">
        <v>4289.54</v>
      </c>
      <c r="F91" s="670">
        <v>4289.54</v>
      </c>
      <c r="G91" s="671">
        <f t="shared" si="16"/>
        <v>0</v>
      </c>
      <c r="H91" s="554">
        <f t="shared" si="17"/>
        <v>0</v>
      </c>
      <c r="I91" s="612"/>
      <c r="J91" s="617">
        <f>H91/DAY(B2)</f>
        <v>0</v>
      </c>
      <c r="O91" s="568"/>
    </row>
    <row r="92" spans="1:15" ht="26.25">
      <c r="A92" s="576" t="s">
        <v>238</v>
      </c>
      <c r="B92" s="628"/>
      <c r="C92" s="628"/>
      <c r="D92" s="565" t="s">
        <v>228</v>
      </c>
      <c r="E92" s="122">
        <v>6717.33</v>
      </c>
      <c r="F92" s="670">
        <v>6728.19</v>
      </c>
      <c r="G92" s="671">
        <f t="shared" si="16"/>
        <v>10.859999999999673</v>
      </c>
      <c r="H92" s="554">
        <f t="shared" si="17"/>
        <v>10.859999999999673</v>
      </c>
      <c r="I92" s="613">
        <f>G91+G92</f>
        <v>10.859999999999673</v>
      </c>
      <c r="J92" s="617">
        <f>H92/DAY(B2)</f>
        <v>10.859999999999673</v>
      </c>
      <c r="O92" s="568"/>
    </row>
    <row r="93" spans="1:15" ht="26.25">
      <c r="A93" s="845" t="s">
        <v>239</v>
      </c>
      <c r="B93" s="846"/>
      <c r="C93" s="847"/>
      <c r="D93" s="560"/>
      <c r="E93" s="111"/>
      <c r="F93" s="560"/>
      <c r="G93" s="689"/>
      <c r="H93" s="690"/>
      <c r="I93" s="690"/>
      <c r="J93" s="691"/>
      <c r="K93" s="586"/>
      <c r="L93" s="546"/>
      <c r="O93" s="568"/>
    </row>
    <row r="94" spans="1:15" ht="26.25">
      <c r="A94" s="828" t="s">
        <v>240</v>
      </c>
      <c r="B94" s="829"/>
      <c r="C94" s="830"/>
      <c r="D94" s="565" t="s">
        <v>130</v>
      </c>
      <c r="E94" s="151"/>
      <c r="F94" s="565"/>
      <c r="G94" s="692">
        <f>G35+G43+G49+G57</f>
        <v>7354.7999999999884</v>
      </c>
      <c r="H94" s="554">
        <f t="shared" ref="H94:H105" si="18">G94</f>
        <v>7354.7999999999884</v>
      </c>
      <c r="I94" s="553"/>
      <c r="J94" s="617">
        <f>H94/DAY(B2)</f>
        <v>7354.7999999999884</v>
      </c>
      <c r="K94" s="586"/>
      <c r="L94" s="546"/>
      <c r="O94" s="568"/>
    </row>
    <row r="95" spans="1:15" ht="26.25">
      <c r="A95" s="828" t="s">
        <v>241</v>
      </c>
      <c r="B95" s="829"/>
      <c r="C95" s="830"/>
      <c r="D95" s="565" t="s">
        <v>23</v>
      </c>
      <c r="E95" s="146"/>
      <c r="F95" s="565"/>
      <c r="G95" s="693">
        <f>G94/G7</f>
        <v>0.28913787003184294</v>
      </c>
      <c r="H95" s="554">
        <f t="shared" si="18"/>
        <v>0.28913787003184294</v>
      </c>
      <c r="I95" s="694"/>
      <c r="J95" s="617">
        <f>H95/DAY(B2)</f>
        <v>0.28913787003184294</v>
      </c>
      <c r="K95" s="586"/>
      <c r="L95" s="546"/>
      <c r="O95" s="568"/>
    </row>
    <row r="96" spans="1:15" ht="26.25">
      <c r="A96" s="828" t="s">
        <v>242</v>
      </c>
      <c r="B96" s="829"/>
      <c r="C96" s="830"/>
      <c r="D96" s="565" t="s">
        <v>130</v>
      </c>
      <c r="E96" s="95"/>
      <c r="F96" s="553"/>
      <c r="G96" s="692">
        <f>G41+G42+G55+G56</f>
        <v>6923.2999999999447</v>
      </c>
      <c r="H96" s="554">
        <f t="shared" si="18"/>
        <v>6923.2999999999447</v>
      </c>
      <c r="I96" s="553"/>
      <c r="J96" s="617">
        <f>H96/DAY(B2)</f>
        <v>6923.2999999999447</v>
      </c>
      <c r="K96" s="586"/>
      <c r="L96" s="546"/>
      <c r="O96" s="568"/>
    </row>
    <row r="97" spans="1:15" ht="26.25">
      <c r="A97" s="828" t="s">
        <v>243</v>
      </c>
      <c r="B97" s="829"/>
      <c r="C97" s="830"/>
      <c r="D97" s="565" t="s">
        <v>23</v>
      </c>
      <c r="E97" s="95"/>
      <c r="F97" s="553"/>
      <c r="G97" s="693">
        <f>G96/G7</f>
        <v>0.27217439163423141</v>
      </c>
      <c r="H97" s="554">
        <f t="shared" si="18"/>
        <v>0.27217439163423141</v>
      </c>
      <c r="I97" s="694"/>
      <c r="J97" s="617">
        <f>H97/DAY(B2)</f>
        <v>0.27217439163423141</v>
      </c>
      <c r="K97" s="586"/>
      <c r="L97" s="546"/>
      <c r="O97" s="568"/>
    </row>
    <row r="98" spans="1:15" ht="26.25">
      <c r="A98" s="828" t="s">
        <v>244</v>
      </c>
      <c r="B98" s="829"/>
      <c r="C98" s="830"/>
      <c r="D98" s="565" t="s">
        <v>130</v>
      </c>
      <c r="E98" s="95"/>
      <c r="F98" s="553"/>
      <c r="G98" s="692">
        <f>G39+G53</f>
        <v>4348.8599999999424</v>
      </c>
      <c r="H98" s="554">
        <f t="shared" si="18"/>
        <v>4348.8599999999424</v>
      </c>
      <c r="I98" s="600"/>
      <c r="J98" s="617">
        <f>H98/DAY(B2)</f>
        <v>4348.8599999999424</v>
      </c>
      <c r="K98" s="586"/>
      <c r="L98" s="546"/>
      <c r="O98" s="568"/>
    </row>
    <row r="99" spans="1:15" ht="26.25">
      <c r="A99" s="828" t="s">
        <v>245</v>
      </c>
      <c r="B99" s="829"/>
      <c r="C99" s="830"/>
      <c r="D99" s="565" t="s">
        <v>23</v>
      </c>
      <c r="E99" s="95"/>
      <c r="F99" s="553"/>
      <c r="G99" s="693">
        <f>G98/G7</f>
        <v>0.17096591579195433</v>
      </c>
      <c r="H99" s="554">
        <f t="shared" si="18"/>
        <v>0.17096591579195433</v>
      </c>
      <c r="I99" s="600"/>
      <c r="J99" s="617">
        <f>H99/DAY(B2)</f>
        <v>0.17096591579195433</v>
      </c>
      <c r="O99" s="568"/>
    </row>
    <row r="100" spans="1:15" ht="26.25">
      <c r="A100" s="828" t="s">
        <v>246</v>
      </c>
      <c r="B100" s="829"/>
      <c r="C100" s="830"/>
      <c r="D100" s="565" t="s">
        <v>180</v>
      </c>
      <c r="E100" s="95"/>
      <c r="F100" s="553"/>
      <c r="G100" s="692">
        <f>G38+G52</f>
        <v>2260.0599999999886</v>
      </c>
      <c r="H100" s="554">
        <f t="shared" si="18"/>
        <v>2260.0599999999886</v>
      </c>
      <c r="I100" s="553"/>
      <c r="J100" s="617">
        <f>H100/DAY(B2)</f>
        <v>2260.0599999999886</v>
      </c>
      <c r="K100" s="591"/>
      <c r="O100" s="568"/>
    </row>
    <row r="101" spans="1:15" ht="26.25">
      <c r="A101" s="828" t="s">
        <v>247</v>
      </c>
      <c r="B101" s="829"/>
      <c r="C101" s="830"/>
      <c r="D101" s="565" t="s">
        <v>23</v>
      </c>
      <c r="E101" s="95"/>
      <c r="F101" s="553"/>
      <c r="G101" s="693">
        <f>G100/G7</f>
        <v>8.8849313991429354E-2</v>
      </c>
      <c r="H101" s="554">
        <f t="shared" si="18"/>
        <v>8.8849313991429354E-2</v>
      </c>
      <c r="I101" s="600"/>
      <c r="J101" s="617">
        <f>H101/DAY(B2)</f>
        <v>8.8849313991429354E-2</v>
      </c>
      <c r="O101" s="568"/>
    </row>
    <row r="102" spans="1:15" ht="26.25">
      <c r="A102" s="828" t="s">
        <v>248</v>
      </c>
      <c r="B102" s="829"/>
      <c r="C102" s="830"/>
      <c r="D102" s="565" t="s">
        <v>180</v>
      </c>
      <c r="E102" s="95"/>
      <c r="F102" s="553"/>
      <c r="G102" s="692">
        <f>G36+G50</f>
        <v>1640.5800000000163</v>
      </c>
      <c r="H102" s="554">
        <f t="shared" si="18"/>
        <v>1640.5800000000163</v>
      </c>
      <c r="I102" s="600"/>
      <c r="J102" s="617">
        <f>H102/DAY(B2)</f>
        <v>1640.5800000000163</v>
      </c>
      <c r="O102" s="568"/>
    </row>
    <row r="103" spans="1:15" ht="26.25">
      <c r="A103" s="828" t="s">
        <v>249</v>
      </c>
      <c r="B103" s="829"/>
      <c r="C103" s="830"/>
      <c r="D103" s="565" t="s">
        <v>23</v>
      </c>
      <c r="E103" s="95"/>
      <c r="F103" s="553"/>
      <c r="G103" s="693">
        <f>G102/G7</f>
        <v>6.4495813185517795E-2</v>
      </c>
      <c r="H103" s="554">
        <f t="shared" si="18"/>
        <v>6.4495813185517795E-2</v>
      </c>
      <c r="I103" s="553"/>
      <c r="J103" s="617">
        <f>H103/DAY(B2)</f>
        <v>6.4495813185517795E-2</v>
      </c>
      <c r="O103" s="568"/>
    </row>
    <row r="104" spans="1:15" ht="26.25">
      <c r="A104" s="828" t="s">
        <v>250</v>
      </c>
      <c r="B104" s="829"/>
      <c r="C104" s="830"/>
      <c r="D104" s="565" t="s">
        <v>180</v>
      </c>
      <c r="E104" s="95"/>
      <c r="F104" s="553"/>
      <c r="G104" s="692">
        <f>G37+G51</f>
        <v>1127.2000000000007</v>
      </c>
      <c r="H104" s="554">
        <f t="shared" si="18"/>
        <v>1127.2000000000007</v>
      </c>
      <c r="I104" s="553"/>
      <c r="J104" s="617">
        <f>H104/DAY(B2)</f>
        <v>1127.2000000000007</v>
      </c>
      <c r="O104" s="568"/>
    </row>
    <row r="105" spans="1:15" ht="27" thickBot="1">
      <c r="A105" s="835" t="s">
        <v>251</v>
      </c>
      <c r="B105" s="836"/>
      <c r="C105" s="837"/>
      <c r="D105" s="695" t="s">
        <v>23</v>
      </c>
      <c r="E105" s="185"/>
      <c r="F105" s="696"/>
      <c r="G105" s="697">
        <f>G104/G7</f>
        <v>4.4313401737626323E-2</v>
      </c>
      <c r="H105" s="554">
        <f t="shared" si="18"/>
        <v>4.4313401737626323E-2</v>
      </c>
      <c r="I105" s="696"/>
      <c r="J105" s="698">
        <f>H105/DAY(B2)</f>
        <v>4.4313401737626323E-2</v>
      </c>
      <c r="O105" s="568"/>
    </row>
    <row r="106" spans="1:15" ht="26.25">
      <c r="B106" s="558"/>
      <c r="C106" s="558"/>
      <c r="D106" s="558"/>
      <c r="E106" s="413"/>
      <c r="F106" s="699"/>
      <c r="G106" s="700"/>
      <c r="H106" s="701"/>
      <c r="I106" s="699"/>
      <c r="J106" s="701"/>
      <c r="O106" s="568"/>
    </row>
    <row r="107" spans="1:15" ht="26.25">
      <c r="B107" s="558"/>
      <c r="C107" s="558"/>
      <c r="D107" s="558"/>
      <c r="F107" s="699"/>
      <c r="G107" s="700"/>
      <c r="H107" s="701"/>
      <c r="I107" s="699"/>
      <c r="J107" s="701"/>
    </row>
    <row r="108" spans="1:15" ht="26.25">
      <c r="A108" s="838" t="s">
        <v>324</v>
      </c>
      <c r="B108" s="838"/>
      <c r="C108" s="838"/>
      <c r="D108" s="838"/>
      <c r="E108" s="838"/>
      <c r="F108" s="838"/>
      <c r="G108" s="838"/>
      <c r="H108" s="838"/>
      <c r="I108" s="838"/>
      <c r="J108" s="838"/>
    </row>
    <row r="109" spans="1:15" ht="26.25">
      <c r="A109" s="831"/>
      <c r="B109" s="831"/>
      <c r="C109" s="558"/>
      <c r="D109" s="558"/>
      <c r="F109" s="699"/>
      <c r="G109" s="700"/>
      <c r="H109" s="701"/>
      <c r="I109" s="699"/>
      <c r="J109" s="701"/>
    </row>
    <row r="110" spans="1:15" ht="26.25">
      <c r="A110" s="839" t="s">
        <v>165</v>
      </c>
      <c r="B110" s="840"/>
      <c r="C110" s="840"/>
      <c r="D110" s="840"/>
      <c r="E110" s="840"/>
      <c r="F110" s="840"/>
      <c r="G110" s="840"/>
      <c r="H110" s="840"/>
      <c r="I110" s="840"/>
      <c r="J110" s="841"/>
    </row>
    <row r="111" spans="1:15" ht="26.25">
      <c r="A111" s="825"/>
      <c r="B111" s="826"/>
      <c r="C111" s="827"/>
      <c r="D111" s="595"/>
      <c r="E111" s="155"/>
      <c r="F111" s="612"/>
      <c r="G111" s="613"/>
      <c r="H111" s="597"/>
      <c r="I111" s="612"/>
      <c r="J111" s="597"/>
    </row>
    <row r="112" spans="1:15" ht="26.25">
      <c r="A112" s="818" t="s">
        <v>252</v>
      </c>
      <c r="B112" s="819"/>
      <c r="C112" s="820"/>
      <c r="D112" s="550" t="s">
        <v>183</v>
      </c>
      <c r="E112" s="237">
        <v>7265</v>
      </c>
      <c r="F112" s="702">
        <v>7337.75</v>
      </c>
      <c r="G112" s="671">
        <f t="shared" ref="G112:G123" si="19">F112-E112</f>
        <v>72.75</v>
      </c>
      <c r="H112" s="554">
        <f t="shared" ref="H112:H123" si="20">G112</f>
        <v>72.75</v>
      </c>
      <c r="I112" s="612"/>
      <c r="J112" s="703">
        <f>H112/DAY(B2)</f>
        <v>72.75</v>
      </c>
    </row>
    <row r="113" spans="1:18" ht="29.25" customHeight="1">
      <c r="A113" s="818" t="s">
        <v>253</v>
      </c>
      <c r="B113" s="819"/>
      <c r="C113" s="820"/>
      <c r="D113" s="550" t="s">
        <v>183</v>
      </c>
      <c r="E113" s="237">
        <v>15015</v>
      </c>
      <c r="F113" s="704">
        <v>15156.11</v>
      </c>
      <c r="G113" s="671">
        <f t="shared" si="19"/>
        <v>141.11000000000058</v>
      </c>
      <c r="H113" s="554">
        <f t="shared" si="20"/>
        <v>141.11000000000058</v>
      </c>
      <c r="I113" s="612"/>
      <c r="J113" s="703">
        <f>H113/DAY(B2)</f>
        <v>141.11000000000058</v>
      </c>
    </row>
    <row r="114" spans="1:18" ht="29.25" customHeight="1">
      <c r="A114" s="818" t="s">
        <v>254</v>
      </c>
      <c r="B114" s="819"/>
      <c r="C114" s="820"/>
      <c r="D114" s="550" t="s">
        <v>183</v>
      </c>
      <c r="E114" s="237">
        <v>21268</v>
      </c>
      <c r="F114" s="702">
        <v>21484.9</v>
      </c>
      <c r="G114" s="671">
        <f t="shared" si="19"/>
        <v>216.90000000000146</v>
      </c>
      <c r="H114" s="554">
        <f t="shared" si="20"/>
        <v>216.90000000000146</v>
      </c>
      <c r="I114" s="612"/>
      <c r="J114" s="703">
        <f>H114/DAY(B2)</f>
        <v>216.90000000000146</v>
      </c>
    </row>
    <row r="115" spans="1:18" ht="29.25" customHeight="1">
      <c r="A115" s="818" t="s">
        <v>255</v>
      </c>
      <c r="B115" s="819"/>
      <c r="C115" s="820"/>
      <c r="D115" s="550" t="s">
        <v>183</v>
      </c>
      <c r="E115" s="237">
        <v>13430</v>
      </c>
      <c r="F115" s="755">
        <v>13570.93</v>
      </c>
      <c r="G115" s="671">
        <f t="shared" si="19"/>
        <v>140.93000000000029</v>
      </c>
      <c r="H115" s="554">
        <f t="shared" si="20"/>
        <v>140.93000000000029</v>
      </c>
      <c r="I115" s="612"/>
      <c r="J115" s="703">
        <f>H115/DAY(B2)</f>
        <v>140.93000000000029</v>
      </c>
    </row>
    <row r="116" spans="1:18" ht="29.25" customHeight="1">
      <c r="A116" s="832" t="s">
        <v>96</v>
      </c>
      <c r="B116" s="833"/>
      <c r="C116" s="834"/>
      <c r="D116" s="550" t="s">
        <v>183</v>
      </c>
      <c r="E116" s="237">
        <v>70492</v>
      </c>
      <c r="F116" s="702">
        <v>70910.740000000005</v>
      </c>
      <c r="G116" s="671">
        <f t="shared" si="19"/>
        <v>418.74000000000524</v>
      </c>
      <c r="H116" s="554">
        <f t="shared" si="20"/>
        <v>418.74000000000524</v>
      </c>
      <c r="I116" s="612"/>
      <c r="J116" s="703">
        <f>H116/DAY(B2)</f>
        <v>418.74000000000524</v>
      </c>
      <c r="Q116" s="815"/>
      <c r="R116" s="816"/>
    </row>
    <row r="117" spans="1:18" ht="29.25" customHeight="1">
      <c r="A117" s="832" t="s">
        <v>184</v>
      </c>
      <c r="B117" s="833"/>
      <c r="C117" s="834"/>
      <c r="D117" s="550" t="s">
        <v>183</v>
      </c>
      <c r="E117" s="237">
        <v>40922</v>
      </c>
      <c r="F117" s="702">
        <v>41147.519</v>
      </c>
      <c r="G117" s="671">
        <f t="shared" si="19"/>
        <v>225.51900000000023</v>
      </c>
      <c r="H117" s="554">
        <f t="shared" si="20"/>
        <v>225.51900000000023</v>
      </c>
      <c r="I117" s="612"/>
      <c r="J117" s="703">
        <f>H117/DAY(B2)</f>
        <v>225.51900000000023</v>
      </c>
      <c r="Q117" s="815"/>
      <c r="R117" s="816"/>
    </row>
    <row r="118" spans="1:18" ht="26.25">
      <c r="A118" s="814" t="s">
        <v>97</v>
      </c>
      <c r="B118" s="814"/>
      <c r="C118" s="814"/>
      <c r="D118" s="565" t="s">
        <v>183</v>
      </c>
      <c r="E118" s="237">
        <v>64672</v>
      </c>
      <c r="F118" s="702">
        <v>65304.99</v>
      </c>
      <c r="G118" s="671">
        <f t="shared" si="19"/>
        <v>632.98999999999796</v>
      </c>
      <c r="H118" s="554">
        <f t="shared" si="20"/>
        <v>632.98999999999796</v>
      </c>
      <c r="I118" s="612"/>
      <c r="J118" s="703">
        <f>H118/DAY(B2)</f>
        <v>632.98999999999796</v>
      </c>
      <c r="Q118" s="815"/>
      <c r="R118" s="816"/>
    </row>
    <row r="119" spans="1:18" ht="26.25">
      <c r="A119" s="814" t="s">
        <v>98</v>
      </c>
      <c r="B119" s="814"/>
      <c r="C119" s="814"/>
      <c r="D119" s="565" t="s">
        <v>183</v>
      </c>
      <c r="E119" s="237">
        <v>37449</v>
      </c>
      <c r="F119" s="702">
        <v>37673.4</v>
      </c>
      <c r="G119" s="671">
        <f t="shared" si="19"/>
        <v>224.40000000000146</v>
      </c>
      <c r="H119" s="554">
        <f t="shared" si="20"/>
        <v>224.40000000000146</v>
      </c>
      <c r="I119" s="612"/>
      <c r="J119" s="703">
        <f>H119/DAY(B2)</f>
        <v>224.40000000000146</v>
      </c>
    </row>
    <row r="120" spans="1:18" ht="26.25">
      <c r="A120" s="814" t="s">
        <v>99</v>
      </c>
      <c r="B120" s="814"/>
      <c r="C120" s="814"/>
      <c r="D120" s="565" t="s">
        <v>183</v>
      </c>
      <c r="E120" s="237">
        <v>46267</v>
      </c>
      <c r="F120" s="702">
        <v>46679.9</v>
      </c>
      <c r="G120" s="671">
        <f t="shared" si="19"/>
        <v>412.90000000000146</v>
      </c>
      <c r="H120" s="554">
        <f t="shared" si="20"/>
        <v>412.90000000000146</v>
      </c>
      <c r="I120" s="612"/>
      <c r="J120" s="703">
        <f>H120/DAY(B2)</f>
        <v>412.90000000000146</v>
      </c>
    </row>
    <row r="121" spans="1:18" ht="26.25">
      <c r="A121" s="814" t="s">
        <v>100</v>
      </c>
      <c r="B121" s="814"/>
      <c r="C121" s="814"/>
      <c r="D121" s="565" t="s">
        <v>183</v>
      </c>
      <c r="E121" s="237">
        <v>53543</v>
      </c>
      <c r="F121" s="702">
        <v>54020.12</v>
      </c>
      <c r="G121" s="671">
        <f t="shared" si="19"/>
        <v>477.12000000000262</v>
      </c>
      <c r="H121" s="554">
        <f t="shared" si="20"/>
        <v>477.12000000000262</v>
      </c>
      <c r="I121" s="612"/>
      <c r="J121" s="703">
        <f>H121/DAY(B2)</f>
        <v>477.12000000000262</v>
      </c>
    </row>
    <row r="122" spans="1:18" ht="26.25">
      <c r="A122" s="814" t="s">
        <v>101</v>
      </c>
      <c r="B122" s="814"/>
      <c r="C122" s="814"/>
      <c r="D122" s="565" t="s">
        <v>183</v>
      </c>
      <c r="E122" s="237">
        <v>28674</v>
      </c>
      <c r="F122" s="702">
        <v>28944</v>
      </c>
      <c r="G122" s="671">
        <f t="shared" si="19"/>
        <v>270</v>
      </c>
      <c r="H122" s="554">
        <f t="shared" si="20"/>
        <v>270</v>
      </c>
      <c r="I122" s="612"/>
      <c r="J122" s="703">
        <f>H122/DAY(B2)</f>
        <v>270</v>
      </c>
    </row>
    <row r="123" spans="1:18" ht="26.25">
      <c r="A123" s="814" t="s">
        <v>102</v>
      </c>
      <c r="B123" s="814"/>
      <c r="C123" s="814"/>
      <c r="D123" s="565" t="s">
        <v>183</v>
      </c>
      <c r="E123" s="237">
        <v>30188</v>
      </c>
      <c r="F123" s="702">
        <v>30503.9</v>
      </c>
      <c r="G123" s="671">
        <f t="shared" si="19"/>
        <v>315.90000000000146</v>
      </c>
      <c r="H123" s="554">
        <f t="shared" si="20"/>
        <v>315.90000000000146</v>
      </c>
      <c r="I123" s="612"/>
      <c r="J123" s="703">
        <f>H123/DAY(B2)</f>
        <v>315.90000000000146</v>
      </c>
    </row>
    <row r="124" spans="1:18" ht="29.25" customHeight="1">
      <c r="A124" s="825"/>
      <c r="B124" s="826"/>
      <c r="C124" s="827"/>
      <c r="D124" s="595"/>
      <c r="E124" s="155"/>
      <c r="F124" s="612"/>
      <c r="G124" s="613"/>
      <c r="H124" s="597"/>
      <c r="I124" s="612"/>
      <c r="J124" s="597"/>
    </row>
    <row r="125" spans="1:18" ht="26.25">
      <c r="A125" s="822" t="s">
        <v>196</v>
      </c>
      <c r="B125" s="823"/>
      <c r="C125" s="824"/>
      <c r="D125" s="565"/>
      <c r="E125" s="308"/>
      <c r="F125" s="612"/>
      <c r="G125" s="671">
        <f>SUM(G112:G124)</f>
        <v>3549.2590000000127</v>
      </c>
      <c r="H125" s="597"/>
      <c r="I125" s="597">
        <f>G125-(G39+G53)</f>
        <v>-799.60099999992963</v>
      </c>
      <c r="J125" s="597"/>
    </row>
    <row r="126" spans="1:18" ht="26.25">
      <c r="A126" s="808" t="s">
        <v>317</v>
      </c>
      <c r="B126" s="808"/>
      <c r="C126" s="808"/>
      <c r="D126" s="808"/>
      <c r="E126" s="808"/>
      <c r="F126" s="808"/>
      <c r="G126" s="808"/>
      <c r="H126" s="808"/>
      <c r="I126" s="808"/>
      <c r="J126" s="808"/>
    </row>
    <row r="127" spans="1:18" ht="26.25">
      <c r="A127" s="809"/>
      <c r="B127" s="809"/>
      <c r="C127" s="595"/>
      <c r="D127" s="565"/>
      <c r="E127" s="308"/>
      <c r="F127" s="612"/>
      <c r="G127" s="671"/>
      <c r="H127" s="554">
        <f t="shared" ref="H127:H135" si="21">G127</f>
        <v>0</v>
      </c>
      <c r="I127" s="612"/>
      <c r="J127" s="703">
        <f>H127/DAY(B2)</f>
        <v>0</v>
      </c>
    </row>
    <row r="128" spans="1:18" ht="29.25" customHeight="1">
      <c r="A128" s="818" t="s">
        <v>318</v>
      </c>
      <c r="B128" s="819"/>
      <c r="C128" s="820"/>
      <c r="D128" s="565" t="s">
        <v>183</v>
      </c>
      <c r="E128" s="155">
        <v>127644</v>
      </c>
      <c r="F128" s="612">
        <v>128146.7</v>
      </c>
      <c r="G128" s="671">
        <f t="shared" ref="G128:G133" si="22">F128-E128</f>
        <v>502.69999999999709</v>
      </c>
      <c r="H128" s="554">
        <f t="shared" si="21"/>
        <v>502.69999999999709</v>
      </c>
      <c r="I128" s="612"/>
      <c r="J128" s="703">
        <f>H128/DAY(B2)</f>
        <v>502.69999999999709</v>
      </c>
    </row>
    <row r="129" spans="1:15" ht="26.25">
      <c r="A129" s="598" t="s">
        <v>319</v>
      </c>
      <c r="B129" s="705"/>
      <c r="C129" s="706"/>
      <c r="D129" s="565" t="s">
        <v>183</v>
      </c>
      <c r="E129" s="155">
        <v>72503</v>
      </c>
      <c r="F129" s="612">
        <v>72689.210000000006</v>
      </c>
      <c r="G129" s="671">
        <f t="shared" si="22"/>
        <v>186.2100000000064</v>
      </c>
      <c r="H129" s="554">
        <f t="shared" si="21"/>
        <v>186.2100000000064</v>
      </c>
      <c r="I129" s="612"/>
      <c r="J129" s="703">
        <f>H129/DAY(B2)</f>
        <v>186.2100000000064</v>
      </c>
      <c r="N129" s="599"/>
      <c r="O129" s="592"/>
    </row>
    <row r="130" spans="1:15" ht="26.25">
      <c r="A130" s="598" t="s">
        <v>320</v>
      </c>
      <c r="B130" s="705"/>
      <c r="C130" s="706"/>
      <c r="D130" s="565" t="s">
        <v>183</v>
      </c>
      <c r="E130" s="157">
        <v>164597</v>
      </c>
      <c r="F130" s="612">
        <v>165340.66</v>
      </c>
      <c r="G130" s="671">
        <f t="shared" si="22"/>
        <v>743.66000000000349</v>
      </c>
      <c r="H130" s="554">
        <f t="shared" si="21"/>
        <v>743.66000000000349</v>
      </c>
      <c r="I130" s="612"/>
      <c r="J130" s="703">
        <f>H130/DAY(B2)</f>
        <v>743.66000000000349</v>
      </c>
      <c r="N130" s="599"/>
      <c r="O130" s="592"/>
    </row>
    <row r="131" spans="1:15" ht="26.25">
      <c r="A131" s="818" t="s">
        <v>321</v>
      </c>
      <c r="B131" s="819"/>
      <c r="C131" s="820"/>
      <c r="D131" s="565" t="s">
        <v>183</v>
      </c>
      <c r="E131" s="155">
        <v>48449</v>
      </c>
      <c r="F131" s="707">
        <v>48633.82</v>
      </c>
      <c r="G131" s="688">
        <f t="shared" si="22"/>
        <v>184.81999999999971</v>
      </c>
      <c r="H131" s="554">
        <f t="shared" si="21"/>
        <v>184.81999999999971</v>
      </c>
      <c r="I131" s="612"/>
      <c r="J131" s="703">
        <f>H131/DAY(B2)</f>
        <v>184.81999999999971</v>
      </c>
      <c r="N131" s="599"/>
      <c r="O131" s="592"/>
    </row>
    <row r="132" spans="1:15" ht="26.25">
      <c r="A132" s="818" t="s">
        <v>322</v>
      </c>
      <c r="B132" s="819"/>
      <c r="C132" s="820"/>
      <c r="D132" s="565" t="s">
        <v>183</v>
      </c>
      <c r="E132" s="155">
        <v>128174</v>
      </c>
      <c r="F132" s="707">
        <v>128524.4</v>
      </c>
      <c r="G132" s="688">
        <f t="shared" si="22"/>
        <v>350.39999999999418</v>
      </c>
      <c r="H132" s="554">
        <f t="shared" si="21"/>
        <v>350.39999999999418</v>
      </c>
      <c r="I132" s="612"/>
      <c r="J132" s="703">
        <f>H132/DAY(B2)</f>
        <v>350.39999999999418</v>
      </c>
    </row>
    <row r="133" spans="1:15" ht="26.25">
      <c r="A133" s="818" t="s">
        <v>342</v>
      </c>
      <c r="B133" s="819"/>
      <c r="C133" s="820"/>
      <c r="D133" s="565" t="s">
        <v>183</v>
      </c>
      <c r="E133" s="155">
        <v>224035.59</v>
      </c>
      <c r="F133" s="707">
        <v>224035.59</v>
      </c>
      <c r="G133" s="688">
        <f t="shared" si="22"/>
        <v>0</v>
      </c>
      <c r="H133" s="554">
        <f t="shared" si="21"/>
        <v>0</v>
      </c>
      <c r="I133" s="612"/>
      <c r="J133" s="703">
        <f>H133/DAY(B2)</f>
        <v>0</v>
      </c>
    </row>
    <row r="134" spans="1:15" ht="26.25">
      <c r="A134" s="821" t="s">
        <v>340</v>
      </c>
      <c r="B134" s="813"/>
      <c r="C134" s="801"/>
      <c r="D134" s="565" t="s">
        <v>183</v>
      </c>
      <c r="E134" s="155">
        <v>49035</v>
      </c>
      <c r="F134" s="707">
        <v>49234.66</v>
      </c>
      <c r="G134" s="688">
        <f>F134-E134</f>
        <v>199.66000000000349</v>
      </c>
      <c r="H134" s="554">
        <f t="shared" ref="H134" si="23">G134</f>
        <v>199.66000000000349</v>
      </c>
      <c r="I134" s="612"/>
      <c r="J134" s="703">
        <f>H134/DAY(B2)</f>
        <v>199.66000000000349</v>
      </c>
    </row>
    <row r="135" spans="1:15" ht="26.25">
      <c r="A135" s="822" t="s">
        <v>196</v>
      </c>
      <c r="B135" s="823"/>
      <c r="C135" s="824"/>
      <c r="D135" s="565"/>
      <c r="E135" s="155"/>
      <c r="F135" s="612"/>
      <c r="G135" s="671">
        <f>SUM(G128:G134)</f>
        <v>2167.4500000000044</v>
      </c>
      <c r="H135" s="554">
        <f t="shared" si="21"/>
        <v>2167.4500000000044</v>
      </c>
      <c r="I135" s="597">
        <f>G135-(G35+G49)</f>
        <v>-2061.8999999999724</v>
      </c>
      <c r="J135" s="703">
        <f>H135/DAY(B2)</f>
        <v>2167.4500000000044</v>
      </c>
    </row>
    <row r="136" spans="1:15" ht="26.25">
      <c r="A136" s="808" t="s">
        <v>325</v>
      </c>
      <c r="B136" s="808"/>
      <c r="C136" s="808"/>
      <c r="D136" s="808"/>
      <c r="E136" s="808"/>
      <c r="F136" s="808"/>
      <c r="G136" s="808"/>
      <c r="H136" s="808"/>
      <c r="I136" s="808"/>
      <c r="J136" s="808"/>
    </row>
    <row r="137" spans="1:15" ht="26.25">
      <c r="A137" s="595"/>
      <c r="B137" s="595"/>
      <c r="C137" s="595"/>
      <c r="D137" s="595"/>
      <c r="E137" s="155"/>
      <c r="F137" s="612"/>
      <c r="G137" s="613"/>
      <c r="H137" s="597"/>
      <c r="I137" s="612"/>
      <c r="J137" s="597"/>
    </row>
    <row r="138" spans="1:15" ht="26.25">
      <c r="A138" s="814" t="s">
        <v>185</v>
      </c>
      <c r="B138" s="814"/>
      <c r="C138" s="814"/>
      <c r="D138" s="565" t="s">
        <v>183</v>
      </c>
      <c r="E138" s="147">
        <v>891098</v>
      </c>
      <c r="F138" s="708">
        <v>891266</v>
      </c>
      <c r="G138" s="671">
        <f t="shared" ref="G138:G150" si="24">F138-E138</f>
        <v>168</v>
      </c>
      <c r="H138" s="554">
        <f t="shared" ref="H138:H150" si="25">G138</f>
        <v>168</v>
      </c>
      <c r="I138" s="553"/>
      <c r="J138" s="703">
        <f>H138/DAY(B2)</f>
        <v>168</v>
      </c>
    </row>
    <row r="139" spans="1:15" ht="26.25">
      <c r="A139" s="814" t="s">
        <v>186</v>
      </c>
      <c r="B139" s="814"/>
      <c r="C139" s="814"/>
      <c r="D139" s="565" t="s">
        <v>183</v>
      </c>
      <c r="E139" s="148">
        <v>908895</v>
      </c>
      <c r="F139" s="709">
        <v>909034</v>
      </c>
      <c r="G139" s="671">
        <f t="shared" si="24"/>
        <v>139</v>
      </c>
      <c r="H139" s="554">
        <f t="shared" si="25"/>
        <v>139</v>
      </c>
      <c r="I139" s="553"/>
      <c r="J139" s="703">
        <f>H139/DAY(B2)</f>
        <v>139</v>
      </c>
    </row>
    <row r="140" spans="1:15" ht="26.25">
      <c r="A140" s="814" t="s">
        <v>187</v>
      </c>
      <c r="B140" s="814"/>
      <c r="C140" s="814"/>
      <c r="D140" s="565" t="s">
        <v>183</v>
      </c>
      <c r="E140" s="149">
        <v>1513</v>
      </c>
      <c r="F140" s="710">
        <v>1528</v>
      </c>
      <c r="G140" s="671">
        <f t="shared" si="24"/>
        <v>15</v>
      </c>
      <c r="H140" s="554">
        <f t="shared" si="25"/>
        <v>15</v>
      </c>
      <c r="I140" s="553"/>
      <c r="J140" s="703">
        <f>H140/DAY(B2)</f>
        <v>15</v>
      </c>
    </row>
    <row r="141" spans="1:15" ht="26.25">
      <c r="A141" s="817" t="s">
        <v>188</v>
      </c>
      <c r="B141" s="817"/>
      <c r="C141" s="817"/>
      <c r="D141" s="711" t="s">
        <v>183</v>
      </c>
      <c r="E141" s="149">
        <v>90452</v>
      </c>
      <c r="F141" s="709">
        <v>90637.56</v>
      </c>
      <c r="G141" s="688">
        <f t="shared" si="24"/>
        <v>185.55999999999767</v>
      </c>
      <c r="H141" s="712">
        <f t="shared" si="25"/>
        <v>185.55999999999767</v>
      </c>
      <c r="I141" s="713"/>
      <c r="J141" s="714">
        <f>H141/DAY(B2)</f>
        <v>185.55999999999767</v>
      </c>
    </row>
    <row r="142" spans="1:15" ht="26.25">
      <c r="A142" s="817" t="s">
        <v>189</v>
      </c>
      <c r="B142" s="817"/>
      <c r="C142" s="817"/>
      <c r="D142" s="711" t="s">
        <v>183</v>
      </c>
      <c r="E142" s="148">
        <v>36661</v>
      </c>
      <c r="F142" s="709">
        <v>36724.400000000001</v>
      </c>
      <c r="G142" s="688">
        <f t="shared" si="24"/>
        <v>63.400000000001455</v>
      </c>
      <c r="H142" s="712">
        <f t="shared" si="25"/>
        <v>63.400000000001455</v>
      </c>
      <c r="I142" s="715"/>
      <c r="J142" s="714">
        <f>H142/DAY(B2)</f>
        <v>63.400000000001455</v>
      </c>
    </row>
    <row r="143" spans="1:15" ht="26.25">
      <c r="A143" s="872" t="s">
        <v>91</v>
      </c>
      <c r="B143" s="872"/>
      <c r="C143" s="872"/>
      <c r="D143" s="711" t="s">
        <v>183</v>
      </c>
      <c r="E143" s="149">
        <v>9051</v>
      </c>
      <c r="F143" s="709">
        <v>9075.8799999999992</v>
      </c>
      <c r="G143" s="688">
        <f t="shared" si="24"/>
        <v>24.8799999999992</v>
      </c>
      <c r="H143" s="712">
        <f t="shared" si="25"/>
        <v>24.8799999999992</v>
      </c>
      <c r="I143" s="715"/>
      <c r="J143" s="714">
        <f>H143/DAY(B2)</f>
        <v>24.8799999999992</v>
      </c>
    </row>
    <row r="144" spans="1:15" ht="26.25">
      <c r="A144" s="817" t="s">
        <v>90</v>
      </c>
      <c r="B144" s="817"/>
      <c r="C144" s="817"/>
      <c r="D144" s="711" t="s">
        <v>183</v>
      </c>
      <c r="E144" s="149">
        <v>919837</v>
      </c>
      <c r="F144" s="709">
        <v>920044</v>
      </c>
      <c r="G144" s="688">
        <f t="shared" si="24"/>
        <v>207</v>
      </c>
      <c r="H144" s="712">
        <f t="shared" si="25"/>
        <v>207</v>
      </c>
      <c r="I144" s="715"/>
      <c r="J144" s="714">
        <f>H144/DAY(B2)</f>
        <v>207</v>
      </c>
    </row>
    <row r="145" spans="1:10" ht="26.25">
      <c r="A145" s="872" t="s">
        <v>190</v>
      </c>
      <c r="B145" s="872"/>
      <c r="C145" s="872"/>
      <c r="D145" s="711" t="s">
        <v>183</v>
      </c>
      <c r="E145" s="149">
        <v>5807</v>
      </c>
      <c r="F145" s="709">
        <v>5839</v>
      </c>
      <c r="G145" s="688">
        <f t="shared" si="24"/>
        <v>32</v>
      </c>
      <c r="H145" s="712">
        <f t="shared" si="25"/>
        <v>32</v>
      </c>
      <c r="I145" s="715"/>
      <c r="J145" s="714">
        <f>H145/DAY(B2)</f>
        <v>32</v>
      </c>
    </row>
    <row r="146" spans="1:10" ht="26.25">
      <c r="A146" s="873" t="s">
        <v>191</v>
      </c>
      <c r="B146" s="874"/>
      <c r="C146" s="875"/>
      <c r="D146" s="711" t="s">
        <v>183</v>
      </c>
      <c r="E146" s="148">
        <v>780800</v>
      </c>
      <c r="F146" s="709">
        <v>780939</v>
      </c>
      <c r="G146" s="688">
        <f t="shared" si="24"/>
        <v>139</v>
      </c>
      <c r="H146" s="712">
        <f t="shared" si="25"/>
        <v>139</v>
      </c>
      <c r="I146" s="715"/>
      <c r="J146" s="714">
        <f>H146/DAY(B2)</f>
        <v>139</v>
      </c>
    </row>
    <row r="147" spans="1:10" ht="26.25">
      <c r="A147" s="817" t="s">
        <v>192</v>
      </c>
      <c r="B147" s="817"/>
      <c r="C147" s="817"/>
      <c r="D147" s="711" t="s">
        <v>183</v>
      </c>
      <c r="E147" s="148">
        <v>699769</v>
      </c>
      <c r="F147" s="709">
        <v>700134.32</v>
      </c>
      <c r="G147" s="688">
        <f t="shared" si="24"/>
        <v>365.31999999994878</v>
      </c>
      <c r="H147" s="712">
        <f t="shared" si="25"/>
        <v>365.31999999994878</v>
      </c>
      <c r="I147" s="715"/>
      <c r="J147" s="714">
        <f>H147/DAY(B2)</f>
        <v>365.31999999994878</v>
      </c>
    </row>
    <row r="148" spans="1:10" ht="26.25">
      <c r="A148" s="868" t="s">
        <v>193</v>
      </c>
      <c r="B148" s="869"/>
      <c r="C148" s="870"/>
      <c r="D148" s="716" t="s">
        <v>130</v>
      </c>
      <c r="E148" s="150">
        <v>748530</v>
      </c>
      <c r="F148" s="687">
        <v>748853.44</v>
      </c>
      <c r="G148" s="688">
        <f t="shared" si="24"/>
        <v>323.43999999994412</v>
      </c>
      <c r="H148" s="712">
        <f t="shared" si="25"/>
        <v>323.43999999994412</v>
      </c>
      <c r="I148" s="712"/>
      <c r="J148" s="714">
        <f>H148/DAY(B2)</f>
        <v>323.43999999994412</v>
      </c>
    </row>
    <row r="149" spans="1:10" ht="26.25">
      <c r="A149" s="868" t="s">
        <v>336</v>
      </c>
      <c r="B149" s="869"/>
      <c r="C149" s="870"/>
      <c r="D149" s="717" t="s">
        <v>130</v>
      </c>
      <c r="E149" s="146">
        <v>132434</v>
      </c>
      <c r="F149" s="711">
        <v>132904.45000000001</v>
      </c>
      <c r="G149" s="688">
        <f t="shared" si="24"/>
        <v>470.45000000001164</v>
      </c>
      <c r="H149" s="712">
        <f t="shared" si="25"/>
        <v>470.45000000001164</v>
      </c>
      <c r="I149" s="615"/>
      <c r="J149" s="714">
        <f>H149/DAY(B2)</f>
        <v>470.45000000001164</v>
      </c>
    </row>
    <row r="150" spans="1:10" ht="26.25">
      <c r="A150" s="868" t="s">
        <v>337</v>
      </c>
      <c r="B150" s="869"/>
      <c r="C150" s="870"/>
      <c r="D150" s="716" t="s">
        <v>130</v>
      </c>
      <c r="E150" s="233">
        <v>50615</v>
      </c>
      <c r="F150" s="711">
        <v>50831.47</v>
      </c>
      <c r="G150" s="688">
        <f t="shared" si="24"/>
        <v>216.47000000000116</v>
      </c>
      <c r="H150" s="712">
        <f t="shared" si="25"/>
        <v>216.47000000000116</v>
      </c>
      <c r="I150" s="615"/>
      <c r="J150" s="714">
        <f>H150/DAY(B2)</f>
        <v>216.47000000000116</v>
      </c>
    </row>
    <row r="151" spans="1:10" ht="26.25">
      <c r="A151" s="868" t="s">
        <v>338</v>
      </c>
      <c r="B151" s="869"/>
      <c r="C151" s="870"/>
      <c r="D151" s="718" t="s">
        <v>130</v>
      </c>
      <c r="E151" s="233">
        <v>135449</v>
      </c>
      <c r="F151" s="711">
        <v>135786</v>
      </c>
      <c r="G151" s="688">
        <f t="shared" ref="G151:G152" si="26">F151-E151</f>
        <v>337</v>
      </c>
      <c r="H151" s="712">
        <f t="shared" ref="H151:H158" si="27">G151</f>
        <v>337</v>
      </c>
      <c r="I151" s="615"/>
      <c r="J151" s="714">
        <f>H151/DAY(B2)</f>
        <v>337</v>
      </c>
    </row>
    <row r="152" spans="1:10" ht="26.25">
      <c r="A152" s="868" t="s">
        <v>339</v>
      </c>
      <c r="B152" s="869"/>
      <c r="C152" s="870"/>
      <c r="D152" s="718" t="s">
        <v>130</v>
      </c>
      <c r="E152" s="233">
        <v>23154</v>
      </c>
      <c r="F152" s="711">
        <v>23261.22</v>
      </c>
      <c r="G152" s="688">
        <f t="shared" si="26"/>
        <v>107.22000000000116</v>
      </c>
      <c r="H152" s="712">
        <f t="shared" si="27"/>
        <v>107.22000000000116</v>
      </c>
      <c r="I152" s="615"/>
      <c r="J152" s="714">
        <f>H152/DAY(B2)</f>
        <v>107.22000000000116</v>
      </c>
    </row>
    <row r="153" spans="1:10" ht="26.25">
      <c r="A153" s="822" t="s">
        <v>196</v>
      </c>
      <c r="B153" s="823"/>
      <c r="C153" s="824"/>
      <c r="D153" s="718"/>
      <c r="E153" s="361"/>
      <c r="F153" s="719"/>
      <c r="G153" s="720">
        <f>SUM(G138:G152)</f>
        <v>2793.7399999999052</v>
      </c>
      <c r="H153" s="721">
        <f t="shared" si="27"/>
        <v>2793.7399999999052</v>
      </c>
      <c r="I153" s="600">
        <f>G153-(G38+G52)</f>
        <v>533.67999999991662</v>
      </c>
      <c r="J153" s="722"/>
    </row>
    <row r="154" spans="1:10" ht="26.2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 customHeight="1">
      <c r="A155" s="817" t="s">
        <v>345</v>
      </c>
      <c r="B155" s="817"/>
      <c r="C155" s="817"/>
      <c r="D155" s="683" t="s">
        <v>130</v>
      </c>
      <c r="E155" s="389">
        <v>148149</v>
      </c>
      <c r="F155" s="707">
        <v>148729</v>
      </c>
      <c r="G155" s="688">
        <f t="shared" ref="G155:G158" si="28">F155-E155</f>
        <v>580</v>
      </c>
      <c r="H155" s="712">
        <f t="shared" si="27"/>
        <v>580</v>
      </c>
      <c r="I155" s="707"/>
      <c r="J155" s="714">
        <f>H155/DAY(B2)</f>
        <v>580</v>
      </c>
    </row>
    <row r="156" spans="1:10" ht="25.5" customHeight="1">
      <c r="A156" s="817" t="s">
        <v>368</v>
      </c>
      <c r="B156" s="817"/>
      <c r="C156" s="817"/>
      <c r="D156" s="683" t="s">
        <v>130</v>
      </c>
      <c r="E156" s="155">
        <v>14734</v>
      </c>
      <c r="F156" s="707">
        <v>14816</v>
      </c>
      <c r="G156" s="688">
        <f t="shared" si="28"/>
        <v>82</v>
      </c>
      <c r="H156" s="712">
        <f t="shared" si="27"/>
        <v>82</v>
      </c>
      <c r="I156" s="707"/>
      <c r="J156" s="714">
        <f>H156/DAY(B2)</f>
        <v>82</v>
      </c>
    </row>
    <row r="157" spans="1:10" ht="25.5" customHeight="1">
      <c r="A157" s="792" t="s">
        <v>360</v>
      </c>
      <c r="B157" s="793"/>
      <c r="C157" s="794"/>
      <c r="D157" s="683" t="s">
        <v>130</v>
      </c>
      <c r="E157" s="95">
        <v>27446</v>
      </c>
      <c r="F157" s="707">
        <v>27649.91</v>
      </c>
      <c r="G157" s="688">
        <f t="shared" si="28"/>
        <v>203.90999999999985</v>
      </c>
      <c r="H157" s="712">
        <f t="shared" si="27"/>
        <v>203.90999999999985</v>
      </c>
      <c r="I157" s="707"/>
      <c r="J157" s="714"/>
    </row>
    <row r="158" spans="1:10" ht="25.5" customHeight="1">
      <c r="A158" s="792" t="s">
        <v>361</v>
      </c>
      <c r="B158" s="793"/>
      <c r="C158" s="794"/>
      <c r="D158" s="683" t="s">
        <v>130</v>
      </c>
      <c r="E158" s="155">
        <v>236</v>
      </c>
      <c r="F158" s="707">
        <v>238</v>
      </c>
      <c r="G158" s="688">
        <f t="shared" si="28"/>
        <v>2</v>
      </c>
      <c r="H158" s="712">
        <f t="shared" si="27"/>
        <v>2</v>
      </c>
      <c r="I158" s="707"/>
      <c r="J158" s="714"/>
    </row>
    <row r="159" spans="1:10" ht="25.5" customHeight="1">
      <c r="A159" s="795"/>
      <c r="B159" s="796"/>
      <c r="C159" s="797"/>
      <c r="D159" s="723"/>
      <c r="E159" s="155"/>
      <c r="F159" s="707"/>
      <c r="G159" s="688"/>
      <c r="H159" s="724"/>
      <c r="I159" s="707"/>
      <c r="J159" s="714"/>
    </row>
    <row r="160" spans="1:10" ht="26.25">
      <c r="A160" s="808" t="s">
        <v>326</v>
      </c>
      <c r="B160" s="808"/>
      <c r="C160" s="808"/>
      <c r="D160" s="808"/>
      <c r="E160" s="808"/>
      <c r="F160" s="808"/>
      <c r="G160" s="808"/>
      <c r="H160" s="808"/>
      <c r="I160" s="808"/>
      <c r="J160" s="808"/>
    </row>
    <row r="161" spans="1:10" ht="26.25">
      <c r="A161" s="601" t="s">
        <v>92</v>
      </c>
      <c r="B161" s="725"/>
      <c r="C161" s="725"/>
      <c r="D161" s="726" t="s">
        <v>180</v>
      </c>
      <c r="E161" s="235">
        <v>480053</v>
      </c>
      <c r="F161" s="727">
        <v>480070.64</v>
      </c>
      <c r="G161" s="728">
        <f t="shared" ref="G161:G168" si="29">F161-E161</f>
        <v>17.64000000001397</v>
      </c>
      <c r="H161" s="554">
        <f t="shared" ref="H161:H168" si="30">G161</f>
        <v>17.64000000001397</v>
      </c>
      <c r="I161" s="615"/>
      <c r="J161" s="729">
        <f>H161/DAY(B2)</f>
        <v>17.64000000001397</v>
      </c>
    </row>
    <row r="162" spans="1:10" ht="26.25">
      <c r="A162" s="601" t="s">
        <v>93</v>
      </c>
      <c r="B162" s="725"/>
      <c r="C162" s="725"/>
      <c r="D162" s="726" t="s">
        <v>180</v>
      </c>
      <c r="E162" s="235">
        <v>94928</v>
      </c>
      <c r="F162" s="727">
        <v>94969.3</v>
      </c>
      <c r="G162" s="728">
        <f t="shared" si="29"/>
        <v>41.30000000000291</v>
      </c>
      <c r="H162" s="554">
        <f t="shared" si="30"/>
        <v>41.30000000000291</v>
      </c>
      <c r="I162" s="615"/>
      <c r="J162" s="729">
        <f>H162/DAY(B2)</f>
        <v>41.30000000000291</v>
      </c>
    </row>
    <row r="163" spans="1:10" ht="26.25">
      <c r="A163" s="601" t="s">
        <v>367</v>
      </c>
      <c r="B163" s="725"/>
      <c r="C163" s="725"/>
      <c r="D163" s="726" t="s">
        <v>180</v>
      </c>
      <c r="E163" s="235">
        <v>6501</v>
      </c>
      <c r="F163" s="727">
        <v>6657.1</v>
      </c>
      <c r="G163" s="728">
        <f t="shared" si="29"/>
        <v>156.10000000000036</v>
      </c>
      <c r="H163" s="554">
        <f t="shared" si="30"/>
        <v>156.10000000000036</v>
      </c>
      <c r="I163" s="615"/>
      <c r="J163" s="729">
        <f>H163/DAY(B2)</f>
        <v>156.10000000000036</v>
      </c>
    </row>
    <row r="164" spans="1:10" ht="26.25">
      <c r="A164" s="601" t="s">
        <v>367</v>
      </c>
      <c r="B164" s="725"/>
      <c r="C164" s="725"/>
      <c r="D164" s="726" t="s">
        <v>180</v>
      </c>
      <c r="E164" s="235">
        <v>6280</v>
      </c>
      <c r="F164" s="727">
        <v>6285</v>
      </c>
      <c r="G164" s="728">
        <f>F164-E164</f>
        <v>5</v>
      </c>
      <c r="H164" s="554">
        <f t="shared" si="30"/>
        <v>5</v>
      </c>
      <c r="I164" s="615"/>
      <c r="J164" s="729">
        <f>H164/DAY(B2)</f>
        <v>5</v>
      </c>
    </row>
    <row r="165" spans="1:10" ht="26.25">
      <c r="A165" s="601" t="s">
        <v>309</v>
      </c>
      <c r="B165" s="725"/>
      <c r="C165" s="725"/>
      <c r="D165" s="726" t="s">
        <v>180</v>
      </c>
      <c r="E165" s="235">
        <v>31634</v>
      </c>
      <c r="F165" s="727">
        <v>31642.61</v>
      </c>
      <c r="G165" s="728">
        <f t="shared" si="29"/>
        <v>8.6100000000005821</v>
      </c>
      <c r="H165" s="554">
        <f t="shared" si="30"/>
        <v>8.6100000000005821</v>
      </c>
      <c r="I165" s="615"/>
      <c r="J165" s="729">
        <f>H165/DAY(B2)</f>
        <v>8.6100000000005821</v>
      </c>
    </row>
    <row r="166" spans="1:10" ht="26.25">
      <c r="A166" s="809"/>
      <c r="B166" s="809"/>
      <c r="C166" s="595"/>
      <c r="D166" s="726" t="s">
        <v>180</v>
      </c>
      <c r="E166" s="155"/>
      <c r="F166" s="612"/>
      <c r="G166" s="728">
        <f t="shared" si="29"/>
        <v>0</v>
      </c>
      <c r="H166" s="554">
        <f t="shared" si="30"/>
        <v>0</v>
      </c>
      <c r="I166" s="612"/>
      <c r="J166" s="597"/>
    </row>
    <row r="167" spans="1:10" ht="26.25">
      <c r="A167" s="809"/>
      <c r="B167" s="809"/>
      <c r="C167" s="595"/>
      <c r="D167" s="726" t="s">
        <v>180</v>
      </c>
      <c r="E167" s="155"/>
      <c r="F167" s="612"/>
      <c r="G167" s="728">
        <f t="shared" si="29"/>
        <v>0</v>
      </c>
      <c r="H167" s="554">
        <f t="shared" si="30"/>
        <v>0</v>
      </c>
      <c r="I167" s="612"/>
      <c r="J167" s="597"/>
    </row>
    <row r="168" spans="1:10" ht="26.25">
      <c r="A168" s="809"/>
      <c r="B168" s="809"/>
      <c r="C168" s="595"/>
      <c r="D168" s="726" t="s">
        <v>180</v>
      </c>
      <c r="E168" s="155"/>
      <c r="F168" s="612"/>
      <c r="G168" s="728">
        <f t="shared" si="29"/>
        <v>0</v>
      </c>
      <c r="H168" s="554">
        <f t="shared" si="30"/>
        <v>0</v>
      </c>
      <c r="I168" s="612"/>
      <c r="J168" s="597"/>
    </row>
    <row r="169" spans="1:10" ht="26.25">
      <c r="B169" s="558"/>
      <c r="C169" s="558"/>
      <c r="D169" s="558"/>
      <c r="F169" s="699"/>
      <c r="G169" s="700"/>
      <c r="H169" s="701"/>
      <c r="I169" s="699"/>
      <c r="J169" s="701"/>
    </row>
    <row r="170" spans="1:10" ht="26.25">
      <c r="B170" s="558"/>
      <c r="C170" s="558"/>
      <c r="D170" s="558"/>
      <c r="F170" s="699"/>
      <c r="G170" s="700"/>
      <c r="H170" s="701"/>
      <c r="I170" s="699"/>
      <c r="J170" s="701"/>
    </row>
    <row r="171" spans="1:10" ht="26.25">
      <c r="A171" s="810" t="s">
        <v>330</v>
      </c>
      <c r="B171" s="811"/>
      <c r="C171" s="811"/>
      <c r="D171" s="811"/>
      <c r="E171" s="811"/>
      <c r="F171" s="811"/>
      <c r="G171" s="811"/>
      <c r="H171" s="811"/>
      <c r="I171" s="811"/>
      <c r="J171" s="812"/>
    </row>
    <row r="172" spans="1:10" ht="26.25">
      <c r="A172" s="806"/>
      <c r="B172" s="807"/>
      <c r="C172" s="730"/>
      <c r="D172" s="731"/>
      <c r="E172" s="155"/>
      <c r="F172" s="612"/>
      <c r="G172" s="613"/>
      <c r="H172" s="597"/>
      <c r="I172" s="612"/>
      <c r="J172" s="732">
        <f>H172/DAY(B2)</f>
        <v>0</v>
      </c>
    </row>
    <row r="173" spans="1:10" ht="26.25">
      <c r="A173" s="800" t="s">
        <v>209</v>
      </c>
      <c r="B173" s="801"/>
      <c r="C173" s="733"/>
      <c r="D173" s="731" t="s">
        <v>142</v>
      </c>
      <c r="E173" s="157">
        <v>8235</v>
      </c>
      <c r="F173" s="612">
        <v>8235</v>
      </c>
      <c r="G173" s="613">
        <f>F173-E173</f>
        <v>0</v>
      </c>
      <c r="H173" s="554">
        <f t="shared" ref="H173:H189" si="31">G173</f>
        <v>0</v>
      </c>
      <c r="I173" s="612"/>
      <c r="J173" s="732">
        <f>H173/DAY(B2)</f>
        <v>0</v>
      </c>
    </row>
    <row r="174" spans="1:10" ht="26.25">
      <c r="A174" s="800" t="s">
        <v>75</v>
      </c>
      <c r="B174" s="801"/>
      <c r="C174" s="733"/>
      <c r="D174" s="731" t="s">
        <v>142</v>
      </c>
      <c r="E174" s="157">
        <v>41204</v>
      </c>
      <c r="F174" s="707">
        <v>41217</v>
      </c>
      <c r="G174" s="613">
        <f t="shared" ref="G174:G175" si="32">F174-E174</f>
        <v>13</v>
      </c>
      <c r="H174" s="554">
        <f t="shared" si="31"/>
        <v>13</v>
      </c>
      <c r="I174" s="612"/>
      <c r="J174" s="732">
        <f>H174/DAY(B2)</f>
        <v>13</v>
      </c>
    </row>
    <row r="175" spans="1:10" ht="26.25">
      <c r="A175" s="800" t="s">
        <v>76</v>
      </c>
      <c r="B175" s="813"/>
      <c r="C175" s="801"/>
      <c r="D175" s="731" t="s">
        <v>142</v>
      </c>
      <c r="E175" s="155">
        <v>24031</v>
      </c>
      <c r="F175" s="612">
        <v>24042</v>
      </c>
      <c r="G175" s="613">
        <f t="shared" si="32"/>
        <v>11</v>
      </c>
      <c r="H175" s="554">
        <f t="shared" si="31"/>
        <v>11</v>
      </c>
      <c r="I175" s="612"/>
      <c r="J175" s="732"/>
    </row>
    <row r="176" spans="1:10" ht="26.25">
      <c r="A176" s="798" t="s">
        <v>196</v>
      </c>
      <c r="B176" s="799"/>
      <c r="C176" s="733"/>
      <c r="D176" s="731"/>
      <c r="E176" s="155"/>
      <c r="F176" s="612"/>
      <c r="G176" s="613">
        <f>SUM(G173:G175)</f>
        <v>24</v>
      </c>
      <c r="H176" s="554">
        <f t="shared" si="31"/>
        <v>24</v>
      </c>
      <c r="I176" s="612"/>
      <c r="J176" s="732">
        <f>H176/DAY(B2)</f>
        <v>24</v>
      </c>
    </row>
    <row r="177" spans="1:10" ht="26.25">
      <c r="A177" s="800" t="s">
        <v>77</v>
      </c>
      <c r="B177" s="801"/>
      <c r="C177" s="733"/>
      <c r="D177" s="731" t="s">
        <v>142</v>
      </c>
      <c r="E177" s="155"/>
      <c r="F177" s="612"/>
      <c r="G177" s="613"/>
      <c r="H177" s="554">
        <f t="shared" si="31"/>
        <v>0</v>
      </c>
      <c r="I177" s="612"/>
      <c r="J177" s="732">
        <f>H177/DAY(B2)</f>
        <v>0</v>
      </c>
    </row>
    <row r="178" spans="1:10" ht="26.25">
      <c r="A178" s="800" t="s">
        <v>210</v>
      </c>
      <c r="B178" s="801"/>
      <c r="C178" s="733"/>
      <c r="D178" s="731" t="s">
        <v>142</v>
      </c>
      <c r="E178" s="155">
        <v>97713</v>
      </c>
      <c r="F178" s="612">
        <v>97822</v>
      </c>
      <c r="G178" s="613">
        <f>F178-E178</f>
        <v>109</v>
      </c>
      <c r="H178" s="554">
        <f t="shared" si="31"/>
        <v>109</v>
      </c>
      <c r="I178" s="612"/>
      <c r="J178" s="732">
        <f>H178/DAY(B2)</f>
        <v>109</v>
      </c>
    </row>
    <row r="179" spans="1:10" ht="26.25">
      <c r="A179" s="800" t="s">
        <v>211</v>
      </c>
      <c r="B179" s="801"/>
      <c r="C179" s="733"/>
      <c r="D179" s="731" t="s">
        <v>142</v>
      </c>
      <c r="E179" s="157">
        <v>36002</v>
      </c>
      <c r="F179" s="612">
        <v>36002</v>
      </c>
      <c r="G179" s="613">
        <f t="shared" ref="G179:G180" si="33">F179-E179</f>
        <v>0</v>
      </c>
      <c r="H179" s="554">
        <f t="shared" si="31"/>
        <v>0</v>
      </c>
      <c r="I179" s="612"/>
      <c r="J179" s="732">
        <f>H179/DAY(B2)</f>
        <v>0</v>
      </c>
    </row>
    <row r="180" spans="1:10" ht="26.25">
      <c r="A180" s="800" t="s">
        <v>212</v>
      </c>
      <c r="B180" s="801"/>
      <c r="C180" s="733"/>
      <c r="D180" s="731" t="s">
        <v>142</v>
      </c>
      <c r="E180" s="157">
        <v>7169</v>
      </c>
      <c r="F180" s="612">
        <v>7176</v>
      </c>
      <c r="G180" s="613">
        <f t="shared" si="33"/>
        <v>7</v>
      </c>
      <c r="H180" s="554">
        <f t="shared" si="31"/>
        <v>7</v>
      </c>
      <c r="I180" s="612"/>
      <c r="J180" s="732">
        <f>H180/DAY(B2)</f>
        <v>7</v>
      </c>
    </row>
    <row r="181" spans="1:10" ht="26.25">
      <c r="A181" s="798" t="s">
        <v>108</v>
      </c>
      <c r="B181" s="799"/>
      <c r="C181" s="733"/>
      <c r="D181" s="731"/>
      <c r="E181" s="157"/>
      <c r="F181" s="612"/>
      <c r="G181" s="613">
        <f>SUM(G178:G180)</f>
        <v>116</v>
      </c>
      <c r="H181" s="554">
        <f t="shared" si="31"/>
        <v>116</v>
      </c>
      <c r="I181" s="612"/>
      <c r="J181" s="732">
        <f>H181/DAY(B2)</f>
        <v>116</v>
      </c>
    </row>
    <row r="182" spans="1:10" ht="21.95" customHeight="1">
      <c r="A182" s="800" t="s">
        <v>213</v>
      </c>
      <c r="B182" s="801"/>
      <c r="C182" s="733"/>
      <c r="D182" s="731"/>
      <c r="E182" s="155"/>
      <c r="F182" s="612"/>
      <c r="G182" s="613"/>
      <c r="H182" s="554">
        <f t="shared" si="31"/>
        <v>0</v>
      </c>
      <c r="I182" s="612"/>
      <c r="J182" s="732">
        <f>H182/DAY(B2)</f>
        <v>0</v>
      </c>
    </row>
    <row r="183" spans="1:10" ht="21.95" customHeight="1">
      <c r="A183" s="800" t="s">
        <v>214</v>
      </c>
      <c r="B183" s="801"/>
      <c r="C183" s="733"/>
      <c r="D183" s="731" t="s">
        <v>142</v>
      </c>
      <c r="E183" s="157">
        <v>17473</v>
      </c>
      <c r="F183" s="707">
        <v>17485</v>
      </c>
      <c r="G183" s="734">
        <f>F183-E183</f>
        <v>12</v>
      </c>
      <c r="H183" s="554">
        <f t="shared" si="31"/>
        <v>12</v>
      </c>
      <c r="I183" s="612"/>
      <c r="J183" s="732">
        <f>H183/DAY(B2)</f>
        <v>12</v>
      </c>
    </row>
    <row r="184" spans="1:10" ht="21.95" customHeight="1">
      <c r="A184" s="800" t="s">
        <v>215</v>
      </c>
      <c r="B184" s="801"/>
      <c r="C184" s="733"/>
      <c r="D184" s="731" t="s">
        <v>142</v>
      </c>
      <c r="E184" s="157">
        <v>11935</v>
      </c>
      <c r="F184" s="707">
        <v>11940</v>
      </c>
      <c r="G184" s="734">
        <f t="shared" ref="G184:G185" si="34">F184-E184</f>
        <v>5</v>
      </c>
      <c r="H184" s="554">
        <f t="shared" si="31"/>
        <v>5</v>
      </c>
      <c r="I184" s="612"/>
      <c r="J184" s="732">
        <f>H184/DAY(B2)</f>
        <v>5</v>
      </c>
    </row>
    <row r="185" spans="1:10" ht="26.25">
      <c r="A185" s="800" t="s">
        <v>216</v>
      </c>
      <c r="B185" s="801"/>
      <c r="C185" s="733"/>
      <c r="D185" s="731" t="s">
        <v>142</v>
      </c>
      <c r="E185" s="157"/>
      <c r="F185" s="707"/>
      <c r="G185" s="734">
        <f t="shared" si="34"/>
        <v>0</v>
      </c>
      <c r="H185" s="554">
        <f t="shared" si="31"/>
        <v>0</v>
      </c>
      <c r="I185" s="612"/>
      <c r="J185" s="735">
        <f>H185/DAY(B2)</f>
        <v>0</v>
      </c>
    </row>
    <row r="186" spans="1:10" ht="26.25">
      <c r="A186" s="798" t="s">
        <v>196</v>
      </c>
      <c r="B186" s="799"/>
      <c r="C186" s="733"/>
      <c r="D186" s="736"/>
      <c r="E186" s="157"/>
      <c r="F186" s="707"/>
      <c r="G186" s="734">
        <f>SUM(G183:G185)</f>
        <v>17</v>
      </c>
      <c r="H186" s="554">
        <f t="shared" si="31"/>
        <v>17</v>
      </c>
      <c r="I186" s="707"/>
      <c r="J186" s="735">
        <f>H186/DAY(B2)</f>
        <v>17</v>
      </c>
    </row>
    <row r="187" spans="1:10" ht="26.25">
      <c r="A187" s="800" t="s">
        <v>217</v>
      </c>
      <c r="B187" s="801"/>
      <c r="C187" s="733"/>
      <c r="D187" s="737" t="s">
        <v>142</v>
      </c>
      <c r="E187" s="159"/>
      <c r="F187" s="724"/>
      <c r="G187" s="734">
        <f>G62+G19</f>
        <v>149</v>
      </c>
      <c r="H187" s="554">
        <f t="shared" si="31"/>
        <v>149</v>
      </c>
      <c r="I187" s="707"/>
      <c r="J187" s="735">
        <f>H187/DAY(B2)</f>
        <v>149</v>
      </c>
    </row>
    <row r="188" spans="1:10" ht="26.25">
      <c r="A188" s="800" t="s">
        <v>218</v>
      </c>
      <c r="B188" s="801"/>
      <c r="C188" s="733"/>
      <c r="D188" s="737" t="s">
        <v>142</v>
      </c>
      <c r="E188" s="159"/>
      <c r="F188" s="724"/>
      <c r="G188" s="734">
        <f>G65+G66+G67+G69+G70</f>
        <v>133</v>
      </c>
      <c r="H188" s="554">
        <f t="shared" si="31"/>
        <v>133</v>
      </c>
      <c r="I188" s="707"/>
      <c r="J188" s="678"/>
    </row>
    <row r="189" spans="1:10" ht="26.25">
      <c r="A189" s="800" t="s">
        <v>219</v>
      </c>
      <c r="B189" s="801"/>
      <c r="C189" s="733"/>
      <c r="D189" s="737" t="s">
        <v>142</v>
      </c>
      <c r="E189" s="157"/>
      <c r="F189" s="707"/>
      <c r="G189" s="734">
        <f>G181</f>
        <v>116</v>
      </c>
      <c r="H189" s="554">
        <f t="shared" si="31"/>
        <v>116</v>
      </c>
      <c r="I189" s="707"/>
      <c r="J189" s="729">
        <f>H189/DAY(B2)</f>
        <v>116</v>
      </c>
    </row>
    <row r="190" spans="1:10" ht="26.25">
      <c r="A190" s="804" t="s">
        <v>358</v>
      </c>
      <c r="B190" s="805"/>
      <c r="C190" s="602"/>
      <c r="D190" s="603"/>
      <c r="E190" s="415"/>
      <c r="F190" s="604">
        <v>53763</v>
      </c>
      <c r="G190" s="738">
        <f>F190-E190</f>
        <v>53763</v>
      </c>
      <c r="H190" s="605"/>
      <c r="I190" s="604"/>
      <c r="J190" s="605"/>
    </row>
    <row r="191" spans="1:10" ht="26.25">
      <c r="A191" s="802"/>
      <c r="B191" s="803"/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37" zoomScale="55" zoomScaleSheetLayoutView="55" workbookViewId="0">
      <selection activeCell="A67" sqref="A67:XFD67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6" s="57" customFormat="1" ht="23.25">
      <c r="A2" s="191" t="s">
        <v>349</v>
      </c>
      <c r="B2" s="262">
        <v>44775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'1'!F7</f>
        <v>362567</v>
      </c>
      <c r="F7" s="95">
        <v>388084</v>
      </c>
      <c r="G7" s="112">
        <f>F7-E7</f>
        <v>25517</v>
      </c>
      <c r="H7" s="99">
        <f>G7+'1'!H7</f>
        <v>50954</v>
      </c>
      <c r="I7" s="113">
        <f>'[1]1'!I7</f>
        <v>12000</v>
      </c>
      <c r="J7" s="175">
        <f>H7/DAY(B2)</f>
        <v>25477</v>
      </c>
      <c r="K7" s="172">
        <v>1375467</v>
      </c>
      <c r="L7" s="66"/>
      <c r="N7" s="87"/>
      <c r="O7" s="373"/>
      <c r="P7" s="57"/>
    </row>
    <row r="8" spans="1:16" ht="27" thickBot="1">
      <c r="A8" s="196" t="s">
        <v>131</v>
      </c>
      <c r="B8" s="197"/>
      <c r="C8" s="198"/>
      <c r="D8" s="224" t="s">
        <v>24</v>
      </c>
      <c r="E8" s="95">
        <f>'1'!F8</f>
        <v>514370</v>
      </c>
      <c r="F8" s="114">
        <v>540215</v>
      </c>
      <c r="G8" s="115">
        <f>F8-E8</f>
        <v>25845</v>
      </c>
      <c r="H8" s="99">
        <f>G8+'1'!H8</f>
        <v>51628</v>
      </c>
      <c r="I8" s="116">
        <v>12000</v>
      </c>
      <c r="J8" s="175">
        <f>H8/DAY(B2)</f>
        <v>25814</v>
      </c>
      <c r="K8" s="172">
        <v>1715917</v>
      </c>
      <c r="L8" s="76">
        <v>1728480</v>
      </c>
      <c r="M8" s="87">
        <f>L8-K8</f>
        <v>12563</v>
      </c>
      <c r="N8" s="87"/>
      <c r="O8" s="373"/>
      <c r="P8" s="57"/>
    </row>
    <row r="9" spans="1:16" ht="26.25">
      <c r="A9" s="199" t="s">
        <v>132</v>
      </c>
      <c r="B9" s="200"/>
      <c r="C9" s="200"/>
      <c r="D9" s="151" t="s">
        <v>130</v>
      </c>
      <c r="E9" s="95">
        <f>'1'!F9</f>
        <v>3286708.7</v>
      </c>
      <c r="F9" s="353">
        <v>3292068.7</v>
      </c>
      <c r="G9" s="112">
        <f t="shared" ref="G9:G11" si="0">F9-E9</f>
        <v>5360</v>
      </c>
      <c r="H9" s="99">
        <f>G9+'1'!H9</f>
        <v>13002.700000000186</v>
      </c>
      <c r="I9" s="124">
        <f>I8-J8</f>
        <v>-13814</v>
      </c>
      <c r="J9" s="175">
        <f>H9/DAY(B2)</f>
        <v>6501.3500000000931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'1'!F10</f>
        <v>1684289.7</v>
      </c>
      <c r="F10" s="117">
        <v>1703766.5</v>
      </c>
      <c r="G10" s="112">
        <f t="shared" si="0"/>
        <v>19476.800000000047</v>
      </c>
      <c r="H10" s="99">
        <f>G10+'1'!H10</f>
        <v>36608.5</v>
      </c>
      <c r="I10" s="118"/>
      <c r="J10" s="175">
        <f>H10/DAY(B2)</f>
        <v>18304.25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'1'!F11</f>
        <v>37560</v>
      </c>
      <c r="F11" s="95">
        <v>37560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'1'!F12</f>
        <v>40380</v>
      </c>
      <c r="F12" s="117">
        <v>40380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24836.800000000047</v>
      </c>
      <c r="H13" s="99">
        <f>G13+'1'!H13</f>
        <v>50945.800000000047</v>
      </c>
      <c r="I13" s="120">
        <f>G7-G13</f>
        <v>680.19999999995343</v>
      </c>
      <c r="J13" s="175">
        <f>H13/DAY(B2)</f>
        <v>25472.900000000023</v>
      </c>
      <c r="K13" s="79"/>
      <c r="L13" s="66"/>
      <c r="N13" s="87"/>
      <c r="O13" s="71"/>
    </row>
    <row r="14" spans="1:16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'1'!F15</f>
        <v>2101931.6</v>
      </c>
      <c r="F15" s="352">
        <v>2102932.2999999998</v>
      </c>
      <c r="G15" s="356">
        <f>(F15-E15)</f>
        <v>1000.6999999997206</v>
      </c>
      <c r="H15" s="99">
        <f>G15+'1'!H15</f>
        <v>2064.2999999998137</v>
      </c>
      <c r="I15" s="113">
        <v>800</v>
      </c>
      <c r="J15" s="175">
        <f>H15/DAY(B2)</f>
        <v>1032.1499999999069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-232.14999999990687</v>
      </c>
      <c r="J16" s="176"/>
      <c r="K16" s="79"/>
      <c r="L16" s="66"/>
      <c r="N16" s="87"/>
      <c r="O16" s="71"/>
      <c r="P16" s="71"/>
    </row>
    <row r="17" spans="1:16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/>
    </row>
    <row r="18" spans="1:16" ht="25.5">
      <c r="A18" s="919" t="s">
        <v>141</v>
      </c>
      <c r="B18" s="920"/>
      <c r="C18" s="921"/>
      <c r="D18" s="151" t="s">
        <v>142</v>
      </c>
      <c r="E18" s="95">
        <f>'1'!F18</f>
        <v>13</v>
      </c>
      <c r="F18" s="117">
        <v>18</v>
      </c>
      <c r="G18" s="119">
        <f>F18*10</f>
        <v>180</v>
      </c>
      <c r="H18" s="99">
        <f>G18+'1'!H18</f>
        <v>310</v>
      </c>
      <c r="I18" s="113">
        <f>'[1]1'!I18</f>
        <v>65</v>
      </c>
      <c r="J18" s="175">
        <f>H18/DAY(B2)</f>
        <v>155</v>
      </c>
      <c r="K18" s="79"/>
      <c r="L18" s="66"/>
      <c r="N18" s="87"/>
      <c r="O18" s="71"/>
    </row>
    <row r="19" spans="1:16" ht="25.5">
      <c r="A19" s="919" t="s">
        <v>69</v>
      </c>
      <c r="B19" s="920"/>
      <c r="C19" s="921"/>
      <c r="D19" s="151" t="s">
        <v>142</v>
      </c>
      <c r="E19" s="95">
        <f>'1'!F19</f>
        <v>162387</v>
      </c>
      <c r="F19" s="353">
        <v>162438</v>
      </c>
      <c r="G19" s="112">
        <f>F19-E19</f>
        <v>51</v>
      </c>
      <c r="H19" s="99">
        <f>G19+'1'!H19</f>
        <v>103</v>
      </c>
      <c r="I19" s="354"/>
      <c r="J19" s="175">
        <f>H19/DAY(B2)</f>
        <v>51.5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51"/>
      <c r="G20" s="355">
        <f>G18+G19</f>
        <v>231</v>
      </c>
      <c r="H20" s="99">
        <f>G20+'1'!H20</f>
        <v>413</v>
      </c>
      <c r="I20" s="336">
        <f>I18-J20</f>
        <v>-141.5</v>
      </c>
      <c r="J20" s="175">
        <f>H20/DAY(B2)</f>
        <v>206.5</v>
      </c>
      <c r="K20" s="79"/>
      <c r="L20" s="66"/>
      <c r="N20" s="87"/>
      <c r="O20" s="71"/>
    </row>
    <row r="21" spans="1:16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6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f>'1'!F24</f>
        <v>4970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25845</v>
      </c>
      <c r="F27" s="136">
        <v>9</v>
      </c>
      <c r="G27" s="137">
        <f>E27*F27</f>
        <v>232605</v>
      </c>
      <c r="H27" s="99">
        <f>G27+'1'!H27</f>
        <v>464652</v>
      </c>
      <c r="I27" s="138"/>
      <c r="J27" s="175">
        <f>H27/DAY(B2)</f>
        <v>232326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1000.6999999997206</v>
      </c>
      <c r="F28" s="136">
        <v>70</v>
      </c>
      <c r="G28" s="137">
        <f t="shared" ref="G28:G31" si="2">E28*F28</f>
        <v>70048.999999980442</v>
      </c>
      <c r="H28" s="99">
        <f>G28+'1'!H28</f>
        <v>144500.99999998696</v>
      </c>
      <c r="I28" s="140"/>
      <c r="J28" s="175">
        <f>H28/DAY(B2)</f>
        <v>72250.499999993481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 t="shared" si="2"/>
        <v>7701</v>
      </c>
      <c r="H30" s="99">
        <f>G30+'1'!H30</f>
        <v>15553</v>
      </c>
      <c r="I30" s="140"/>
      <c r="J30" s="175">
        <f>H30/DAY(B2)</f>
        <v>7776.5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 t="shared" si="2"/>
        <v>14400</v>
      </c>
      <c r="H31" s="99">
        <f>G31+'1'!H31</f>
        <v>24800</v>
      </c>
      <c r="I31" s="140"/>
      <c r="J31" s="175">
        <f>H31/DAY(B2)</f>
        <v>12400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324754.99999998044</v>
      </c>
      <c r="H32" s="99">
        <f>G32+'1'!H32</f>
        <v>649505.99999998696</v>
      </c>
      <c r="I32" s="144"/>
      <c r="J32" s="175">
        <f>H32/DAY(B2)</f>
        <v>324752.99999999348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'1'!F35</f>
        <v>238713</v>
      </c>
      <c r="F35" s="145">
        <v>238713.05</v>
      </c>
      <c r="G35" s="112">
        <f t="shared" ref="G35:G46" si="3">F35-E35</f>
        <v>4.9999999988358468E-2</v>
      </c>
      <c r="H35" s="99">
        <f>G35+'1'!H35</f>
        <v>4.9999999988358468E-2</v>
      </c>
      <c r="I35" s="95"/>
      <c r="J35" s="175">
        <f>H35/DAY(B2)</f>
        <v>2.4999999994179234E-2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'1'!F36</f>
        <v>216150.19</v>
      </c>
      <c r="F36" s="145">
        <v>216925.85</v>
      </c>
      <c r="G36" s="112">
        <f t="shared" si="3"/>
        <v>775.66000000000349</v>
      </c>
      <c r="H36" s="99">
        <f>G36+'1'!H36</f>
        <v>1395.8500000000058</v>
      </c>
      <c r="I36" s="95"/>
      <c r="J36" s="175">
        <f>H36/DAY(B2)</f>
        <v>697.92500000000291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'1'!F37</f>
        <v>322999</v>
      </c>
      <c r="F37" s="145">
        <v>322998.69</v>
      </c>
      <c r="G37" s="112">
        <f t="shared" si="3"/>
        <v>-0.30999999999767169</v>
      </c>
      <c r="H37" s="99">
        <f>G37+'1'!H37</f>
        <v>-0.30999999999767169</v>
      </c>
      <c r="I37" s="95"/>
      <c r="J37" s="175">
        <f>H37/DAY(B2)</f>
        <v>-0.15499999999883585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'1'!F38</f>
        <v>459621.3</v>
      </c>
      <c r="F38" s="108">
        <v>461842.35</v>
      </c>
      <c r="G38" s="112">
        <f t="shared" si="3"/>
        <v>2221.0499999999884</v>
      </c>
      <c r="H38" s="99">
        <f>G38+'1'!H38</f>
        <v>4481.3499999999767</v>
      </c>
      <c r="I38" s="95"/>
      <c r="J38" s="175">
        <f>H38/DAY(B2)</f>
        <v>2240.6749999999884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'1'!F39</f>
        <v>591584.18999999994</v>
      </c>
      <c r="F39" s="145">
        <v>591584.18999999994</v>
      </c>
      <c r="G39" s="112">
        <f t="shared" si="3"/>
        <v>0</v>
      </c>
      <c r="H39" s="99">
        <f>G39+'1'!H39</f>
        <v>0.18999999994412065</v>
      </c>
      <c r="I39" s="95"/>
      <c r="J39" s="175">
        <f>H39/DAY(B2)</f>
        <v>9.4999999972060323E-2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'1'!F40</f>
        <v>107613.71</v>
      </c>
      <c r="F40" s="145">
        <v>108469.94</v>
      </c>
      <c r="G40" s="112">
        <f t="shared" si="3"/>
        <v>856.22999999999593</v>
      </c>
      <c r="H40" s="99">
        <f>G40+'1'!H40</f>
        <v>1693.9400000000023</v>
      </c>
      <c r="I40" s="95"/>
      <c r="J40" s="175">
        <f>H40/DAY(B2)</f>
        <v>846.97000000000116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'1'!F41</f>
        <v>216646.21</v>
      </c>
      <c r="F41" s="145">
        <v>219097.35</v>
      </c>
      <c r="G41" s="112">
        <f t="shared" si="3"/>
        <v>2451.140000000014</v>
      </c>
      <c r="H41" s="99">
        <f>G41+'1'!H41</f>
        <v>7394.3500000000058</v>
      </c>
      <c r="I41" s="95"/>
      <c r="J41" s="175">
        <f>H41/DAY(B2)</f>
        <v>3697.1750000000029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'1'!F42</f>
        <v>748364.07</v>
      </c>
      <c r="F42" s="145">
        <v>748364.07</v>
      </c>
      <c r="G42" s="112">
        <f t="shared" si="3"/>
        <v>0</v>
      </c>
      <c r="H42" s="99">
        <f>G42+'1'!H42</f>
        <v>6.9999999948777258E-2</v>
      </c>
      <c r="I42" s="95"/>
      <c r="J42" s="175">
        <f>H42/DAY(B2)</f>
        <v>3.4999999974388629E-2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'1'!F43</f>
        <v>407028</v>
      </c>
      <c r="F43" s="145">
        <v>407028</v>
      </c>
      <c r="G43" s="112">
        <f t="shared" si="3"/>
        <v>0</v>
      </c>
      <c r="H43" s="99">
        <f>G43+'1'!H43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6303.8199999999924</v>
      </c>
      <c r="H47" s="99">
        <f>G47+'1'!H47</f>
        <v>14965.489999999874</v>
      </c>
      <c r="I47" s="95"/>
      <c r="J47" s="175">
        <f>H47/DAY(B2)</f>
        <v>7482.7449999999371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'1'!F49</f>
        <v>486283.35</v>
      </c>
      <c r="F49" s="145">
        <v>490686</v>
      </c>
      <c r="G49" s="112">
        <f t="shared" ref="G49:G58" si="4">F49-E49</f>
        <v>4402.6500000000233</v>
      </c>
      <c r="H49" s="99">
        <f>G49+'1'!H49</f>
        <v>8632</v>
      </c>
      <c r="I49" s="95"/>
      <c r="J49" s="175">
        <f>H49/DAY(B2)</f>
        <v>4316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'1'!F50</f>
        <v>283770.39</v>
      </c>
      <c r="F50" s="145">
        <v>284824.23</v>
      </c>
      <c r="G50" s="112">
        <f t="shared" si="4"/>
        <v>1053.8399999999674</v>
      </c>
      <c r="H50" s="99">
        <f>G50+'1'!H50</f>
        <v>2074.2299999999814</v>
      </c>
      <c r="I50" s="95"/>
      <c r="J50" s="175">
        <f>H50/DAY(B2)</f>
        <v>1037.1149999999907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'1'!F51</f>
        <v>9635.2000000000007</v>
      </c>
      <c r="F51" s="145">
        <v>10718.82</v>
      </c>
      <c r="G51" s="112">
        <f t="shared" si="4"/>
        <v>1083.619999999999</v>
      </c>
      <c r="H51" s="99">
        <f>G51+'1'!H51</f>
        <v>2210.8199999999997</v>
      </c>
      <c r="I51" s="95"/>
      <c r="J51" s="175">
        <f>H51/DAY(B2)</f>
        <v>1105.4099999999999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-0.24000000000000021</v>
      </c>
      <c r="I52" s="95"/>
      <c r="J52" s="175">
        <f>H52/DAY(B2)</f>
        <v>-0.12000000000000011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'1'!F53</f>
        <v>38209.67</v>
      </c>
      <c r="F53" s="145">
        <v>42633.3</v>
      </c>
      <c r="G53" s="112">
        <f t="shared" si="4"/>
        <v>4423.6300000000047</v>
      </c>
      <c r="H53" s="99">
        <f>G53+'1'!H53</f>
        <v>8772.3000000000029</v>
      </c>
      <c r="I53" s="95"/>
      <c r="J53" s="175">
        <f>H53/DAY(B2)</f>
        <v>4386.1500000000015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'1'!F54</f>
        <v>88284.79</v>
      </c>
      <c r="F54" s="145">
        <v>88630.07</v>
      </c>
      <c r="G54" s="112">
        <f t="shared" si="4"/>
        <v>345.28000000001339</v>
      </c>
      <c r="H54" s="99">
        <f>G54+'1'!H54</f>
        <v>687.07000000000698</v>
      </c>
      <c r="I54" s="95"/>
      <c r="J54" s="175">
        <f>H54/DAY(B2)</f>
        <v>343.53500000000349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'1'!F55</f>
        <v>364756.63</v>
      </c>
      <c r="F55" s="145">
        <v>368408.91</v>
      </c>
      <c r="G55" s="112">
        <f t="shared" si="4"/>
        <v>3652.2799999999697</v>
      </c>
      <c r="H55" s="99">
        <f>G55+'1'!H55</f>
        <v>5631.9099999999744</v>
      </c>
      <c r="I55" s="95"/>
      <c r="J55" s="175">
        <f>H55/DAY(B2)</f>
        <v>2815.9549999999872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'1'!F56</f>
        <v>123882.39</v>
      </c>
      <c r="F56" s="145">
        <v>123882.39</v>
      </c>
      <c r="G56" s="112">
        <f t="shared" si="4"/>
        <v>0</v>
      </c>
      <c r="H56" s="99">
        <f>G56+'1'!H56</f>
        <v>0.38999999999941792</v>
      </c>
      <c r="I56" s="95"/>
      <c r="J56" s="175">
        <f>H56/DAY(B2)</f>
        <v>0.19499999999970896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'1'!F57</f>
        <v>229295.45</v>
      </c>
      <c r="F57" s="145">
        <v>232238.07</v>
      </c>
      <c r="G57" s="112">
        <f t="shared" si="4"/>
        <v>2942.6199999999953</v>
      </c>
      <c r="H57" s="99">
        <f>G57+'1'!H57</f>
        <v>6068.070000000007</v>
      </c>
      <c r="I57" s="95"/>
      <c r="J57" s="175">
        <f>H57/DAY(B2)</f>
        <v>3034.0350000000035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'1'!F58</f>
        <v>49386.27</v>
      </c>
      <c r="F58" s="145">
        <v>49637.94</v>
      </c>
      <c r="G58" s="112">
        <f t="shared" si="4"/>
        <v>251.67000000000553</v>
      </c>
      <c r="H58" s="99">
        <f>G58+'1'!H58</f>
        <v>528.94000000000233</v>
      </c>
      <c r="I58" s="95"/>
      <c r="J58" s="175">
        <f>H58/DAY(B2)</f>
        <v>264.47000000000116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18155.589999999978</v>
      </c>
      <c r="H59" s="99">
        <f>G59+'1'!H59</f>
        <v>34605.489999999976</v>
      </c>
      <c r="I59" s="95">
        <f>G7-G60</f>
        <v>1057.5900000000292</v>
      </c>
      <c r="J59" s="175">
        <f>H59/DAY(B2)</f>
        <v>17302.744999999988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24459.409999999971</v>
      </c>
      <c r="H60" s="99">
        <f>G60+'1'!H60</f>
        <v>49570.97999999985</v>
      </c>
      <c r="I60" s="95">
        <f>G13-G60</f>
        <v>377.39000000007582</v>
      </c>
      <c r="J60" s="175">
        <f>H60/DAY(B2)</f>
        <v>24785.489999999925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'1'!F62</f>
        <v>296372</v>
      </c>
      <c r="F62" s="122">
        <v>296469</v>
      </c>
      <c r="G62" s="112">
        <f t="shared" ref="G62:G63" si="5">F62-E62</f>
        <v>97</v>
      </c>
      <c r="H62" s="99">
        <f>G62+'1'!H62</f>
        <v>194</v>
      </c>
      <c r="I62" s="118"/>
      <c r="J62" s="175">
        <f>H62/DAY(B2)</f>
        <v>97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'1'!F63</f>
        <v>239310</v>
      </c>
      <c r="F63" s="122">
        <v>239457</v>
      </c>
      <c r="G63" s="112">
        <f t="shared" si="5"/>
        <v>147</v>
      </c>
      <c r="H63" s="99">
        <f>G63+'1'!H63</f>
        <v>324</v>
      </c>
      <c r="I63" s="118"/>
      <c r="J63" s="175">
        <f>H63/DAY(B2)</f>
        <v>162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'1'!F64</f>
        <v>0</v>
      </c>
      <c r="F64" s="122"/>
      <c r="G64" s="112">
        <f>G62+G63</f>
        <v>244</v>
      </c>
      <c r="H64" s="99">
        <f>G64+'1'!H64</f>
        <v>518</v>
      </c>
      <c r="I64" s="118"/>
      <c r="J64" s="175">
        <f>H64/DAY(B2)</f>
        <v>259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'1'!F65</f>
        <v>454802</v>
      </c>
      <c r="F65" s="122">
        <v>454905</v>
      </c>
      <c r="G65" s="112">
        <f t="shared" ref="G65:G70" si="6">F65-E65</f>
        <v>103</v>
      </c>
      <c r="H65" s="99">
        <f>G65+'1'!H65</f>
        <v>195</v>
      </c>
      <c r="I65" s="118"/>
      <c r="J65" s="175">
        <f>H65/DAY(B2)</f>
        <v>97.5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'1'!F66</f>
        <v>111747</v>
      </c>
      <c r="F66" s="122">
        <v>111764</v>
      </c>
      <c r="G66" s="112">
        <f t="shared" si="6"/>
        <v>17</v>
      </c>
      <c r="H66" s="99">
        <f>G66+'1'!H66</f>
        <v>42</v>
      </c>
      <c r="I66" s="118"/>
      <c r="J66" s="175">
        <f>H66/DAY(B2)</f>
        <v>21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'1'!F67</f>
        <v>113680</v>
      </c>
      <c r="F67" s="122">
        <v>113680</v>
      </c>
      <c r="G67" s="112">
        <f t="shared" si="6"/>
        <v>0</v>
      </c>
      <c r="H67" s="99">
        <f>G67+'1'!H67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'1'!F68</f>
        <v>164680</v>
      </c>
      <c r="F68" s="122">
        <v>164714</v>
      </c>
      <c r="G68" s="112">
        <f t="shared" si="6"/>
        <v>34</v>
      </c>
      <c r="H68" s="99">
        <f>G68+'1'!H68</f>
        <v>52</v>
      </c>
      <c r="I68" s="118"/>
      <c r="J68" s="175">
        <f>H68/DAY(B2)</f>
        <v>26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'1'!F69</f>
        <v>12285</v>
      </c>
      <c r="F69" s="122">
        <v>12288</v>
      </c>
      <c r="G69" s="236">
        <f t="shared" si="6"/>
        <v>3</v>
      </c>
      <c r="H69" s="99">
        <f>G69+'1'!H69</f>
        <v>13</v>
      </c>
      <c r="I69" s="118"/>
      <c r="J69" s="175">
        <f>H69/DAY(B2)</f>
        <v>6.5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'1'!F70</f>
        <v>9833</v>
      </c>
      <c r="F70" s="122">
        <v>9844</v>
      </c>
      <c r="G70" s="112">
        <f t="shared" si="6"/>
        <v>11</v>
      </c>
      <c r="H70" s="99">
        <f>G70+'1'!H70</f>
        <v>17</v>
      </c>
      <c r="I70" s="118"/>
      <c r="J70" s="175">
        <f>H70/DAY(B2)</f>
        <v>8.5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168</v>
      </c>
      <c r="H71" s="99">
        <f>G71+'1'!H71</f>
        <v>319</v>
      </c>
      <c r="I71" s="154"/>
      <c r="J71" s="175">
        <f>H71/DAY(B2)</f>
        <v>159.5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'1'!F74</f>
        <v>957965.9</v>
      </c>
      <c r="F74" s="123">
        <v>958252.23</v>
      </c>
      <c r="G74" s="112">
        <f>F74-E74</f>
        <v>286.32999999995809</v>
      </c>
      <c r="H74" s="99">
        <f>G74+'1'!H74</f>
        <v>594.36999999999534</v>
      </c>
      <c r="I74" s="154"/>
      <c r="J74" s="175">
        <f>H74/DAY(B2)</f>
        <v>297.18499999999767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'1'!F75</f>
        <v>73586</v>
      </c>
      <c r="F75" s="123">
        <v>73586.8</v>
      </c>
      <c r="G75" s="112">
        <f t="shared" ref="G75:G78" si="7">F75-E75</f>
        <v>0.80000000000291038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'1'!F76</f>
        <v>190288.7</v>
      </c>
      <c r="F76" s="123">
        <v>190401</v>
      </c>
      <c r="G76" s="112">
        <f t="shared" si="7"/>
        <v>112.29999999998836</v>
      </c>
      <c r="H76" s="99">
        <f>G76+'1'!H76</f>
        <v>229</v>
      </c>
      <c r="I76" s="154"/>
      <c r="J76" s="175">
        <f>H76/DAY(B2)</f>
        <v>114.5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'1'!F77</f>
        <v>50356</v>
      </c>
      <c r="F77" s="123">
        <v>50406.8</v>
      </c>
      <c r="G77" s="112">
        <f t="shared" si="7"/>
        <v>50.80000000000291</v>
      </c>
      <c r="H77" s="99">
        <f>G77+'1'!H77</f>
        <v>93.80000000000291</v>
      </c>
      <c r="I77" s="154"/>
      <c r="J77" s="175">
        <f>H77/DAY(B2)</f>
        <v>46.900000000001455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'1'!F78</f>
        <v>9563</v>
      </c>
      <c r="F78" s="123">
        <v>9563</v>
      </c>
      <c r="G78" s="112">
        <f t="shared" si="7"/>
        <v>0</v>
      </c>
      <c r="H78" s="99">
        <f>G78+'1'!H78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'1'!F79</f>
        <v>0</v>
      </c>
      <c r="F79" s="123"/>
      <c r="G79" s="112">
        <f>G15-SUM(G74:G78)</f>
        <v>550.46999999976833</v>
      </c>
      <c r="H79" s="99">
        <f>G79+'1'!H79</f>
        <v>1147.1299999998155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1000.6999999997206</v>
      </c>
      <c r="H80" s="99">
        <f>G80+'1'!H80</f>
        <v>1000.6999999997206</v>
      </c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'1'!F84</f>
        <v>42611.44</v>
      </c>
      <c r="F84" s="164">
        <v>42623.12</v>
      </c>
      <c r="G84" s="112">
        <f t="shared" si="8"/>
        <v>11.680000000000291</v>
      </c>
      <c r="H84" s="99">
        <f>G84+'1'!H84</f>
        <v>34.120000000002619</v>
      </c>
      <c r="I84" s="571"/>
      <c r="J84" s="175">
        <f>H84/DAY(B2)</f>
        <v>17.06000000000131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'1'!F85</f>
        <v>5140.1899999999996</v>
      </c>
      <c r="F85" s="164">
        <v>5140.1899999999996</v>
      </c>
      <c r="G85" s="112">
        <f t="shared" si="8"/>
        <v>0</v>
      </c>
      <c r="H85" s="99">
        <f>G85+'1'!H85</f>
        <v>0</v>
      </c>
      <c r="I85" s="571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'1'!F86</f>
        <v>45394.01</v>
      </c>
      <c r="F86" s="164">
        <v>45418</v>
      </c>
      <c r="G86" s="112">
        <f t="shared" si="8"/>
        <v>23.989999999997963</v>
      </c>
      <c r="H86" s="99">
        <f>G86+'1'!H86</f>
        <v>39</v>
      </c>
      <c r="I86" s="571"/>
      <c r="J86" s="175">
        <f>H86/DAY(B2)</f>
        <v>19.5</v>
      </c>
      <c r="O86" s="71">
        <f>24-8</f>
        <v>16</v>
      </c>
    </row>
    <row r="87" spans="1:15" ht="26.25">
      <c r="A87" s="345" t="s">
        <v>233</v>
      </c>
      <c r="B87" s="346"/>
      <c r="C87" s="346"/>
      <c r="D87" s="151" t="s">
        <v>228</v>
      </c>
      <c r="E87" s="95">
        <f>'1'!F87</f>
        <v>35457.43</v>
      </c>
      <c r="F87" s="164">
        <v>35457.43</v>
      </c>
      <c r="G87" s="112">
        <f t="shared" si="8"/>
        <v>0</v>
      </c>
      <c r="H87" s="99">
        <f>G87+'1'!H87</f>
        <v>0</v>
      </c>
      <c r="I87" s="571">
        <f>G84+G85+G86+G87</f>
        <v>35.669999999998254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'1'!F88</f>
        <v>24303.46</v>
      </c>
      <c r="F88" s="164">
        <v>24303.46</v>
      </c>
      <c r="G88" s="112">
        <f t="shared" si="8"/>
        <v>0</v>
      </c>
      <c r="H88" s="99">
        <f>G88+'1'!H88</f>
        <v>0</v>
      </c>
      <c r="I88" s="571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'1'!F89</f>
        <v>27576.25</v>
      </c>
      <c r="F89" s="164">
        <v>27585.59</v>
      </c>
      <c r="G89" s="112">
        <f t="shared" si="8"/>
        <v>9.3400000000001455</v>
      </c>
      <c r="H89" s="99">
        <f>G89+'1'!H89</f>
        <v>18.979999999999563</v>
      </c>
      <c r="I89" s="571">
        <f>G88+G89</f>
        <v>9.3400000000001455</v>
      </c>
      <c r="J89" s="175">
        <f>H89/DAY(B2)</f>
        <v>9.4899999999997817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'1'!F90</f>
        <v>72618.3</v>
      </c>
      <c r="F90" s="164">
        <v>72628.39</v>
      </c>
      <c r="G90" s="112">
        <f t="shared" si="8"/>
        <v>10.089999999996508</v>
      </c>
      <c r="H90" s="99">
        <f>G90+'1'!H90</f>
        <v>21.839999999996508</v>
      </c>
      <c r="I90" s="571">
        <f>G90</f>
        <v>10.089999999996508</v>
      </c>
      <c r="J90" s="175">
        <f>H90/DAY(B2)</f>
        <v>10.919999999998254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'1'!F91</f>
        <v>4289.54</v>
      </c>
      <c r="F91" s="122">
        <v>4289.54</v>
      </c>
      <c r="G91" s="112">
        <f t="shared" si="8"/>
        <v>0</v>
      </c>
      <c r="H91" s="99">
        <f>G91+'1'!H91</f>
        <v>0</v>
      </c>
      <c r="I91" s="590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'1'!F92</f>
        <v>6728.19</v>
      </c>
      <c r="F92" s="122">
        <v>6738.48</v>
      </c>
      <c r="G92" s="112">
        <f t="shared" si="8"/>
        <v>10.289999999999964</v>
      </c>
      <c r="H92" s="99">
        <f>G92+'1'!H92</f>
        <v>21.149999999999636</v>
      </c>
      <c r="I92" s="596">
        <f>G91+G92</f>
        <v>10.289999999999964</v>
      </c>
      <c r="J92" s="175">
        <f>H92/DAY(B2)</f>
        <v>10.574999999999818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7345.320000000007</v>
      </c>
      <c r="H94" s="99">
        <f>G94+'1'!H94</f>
        <v>14700.119999999995</v>
      </c>
      <c r="I94" s="118"/>
      <c r="J94" s="175">
        <f>H94/DAY(B2)</f>
        <v>7350.0599999999977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0.28785985813379344</v>
      </c>
      <c r="H95" s="99">
        <f>G95+'1'!H95</f>
        <v>0.57699772816563644</v>
      </c>
      <c r="I95" s="167"/>
      <c r="J95" s="175">
        <f>H95/DAY(B2)</f>
        <v>0.28849886408281822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6103.4199999999837</v>
      </c>
      <c r="H96" s="99">
        <f>G96+'1'!H96</f>
        <v>13026.719999999928</v>
      </c>
      <c r="I96" s="118"/>
      <c r="J96" s="175">
        <f>H96/DAY(B2)</f>
        <v>6513.3599999999642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0.23919034369243969</v>
      </c>
      <c r="H97" s="99">
        <f>G97+'1'!H97</f>
        <v>0.51136473532667104</v>
      </c>
      <c r="I97" s="167"/>
      <c r="J97" s="175">
        <f>H97/DAY(B2)</f>
        <v>0.25568236766333552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4423.6300000000047</v>
      </c>
      <c r="H98" s="99">
        <f>G98+'1'!H98</f>
        <v>8772.489999999947</v>
      </c>
      <c r="I98" s="168"/>
      <c r="J98" s="175">
        <f>H98/DAY(B2)</f>
        <v>4386.2449999999735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0.1733601128659327</v>
      </c>
      <c r="H99" s="99">
        <f>G99+'1'!H99</f>
        <v>0.34432602865788703</v>
      </c>
      <c r="I99" s="168"/>
      <c r="J99" s="175">
        <f>H99/DAY(B2)</f>
        <v>0.17216301432894351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2221.0499999999884</v>
      </c>
      <c r="H100" s="99">
        <f>G100+'1'!H100</f>
        <v>4481.1099999999769</v>
      </c>
      <c r="I100" s="118"/>
      <c r="J100" s="175">
        <f>H100/DAY(B2)</f>
        <v>2240.5549999999885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8.7041972018653768E-2</v>
      </c>
      <c r="H101" s="99">
        <f>G101+'1'!H101</f>
        <v>0.17589128601008314</v>
      </c>
      <c r="I101" s="168"/>
      <c r="J101" s="175">
        <f>H101/DAY(B2)</f>
        <v>8.7945643005041568E-2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1829.4999999999709</v>
      </c>
      <c r="H102" s="99">
        <f>G102+'1'!H102</f>
        <v>3470.0799999999872</v>
      </c>
      <c r="I102" s="168"/>
      <c r="J102" s="175">
        <f>H102/DAY(B2)</f>
        <v>1735.0399999999936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7.169729983932166E-2</v>
      </c>
      <c r="H103" s="99">
        <f>G103+'1'!H103</f>
        <v>0.13619311302483944</v>
      </c>
      <c r="I103" s="118"/>
      <c r="J103" s="175">
        <f>H103/DAY(B2)</f>
        <v>6.809655651241972E-2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1083.3100000000013</v>
      </c>
      <c r="H104" s="99">
        <f>G104+'1'!H104</f>
        <v>2210.510000000002</v>
      </c>
      <c r="I104" s="118"/>
      <c r="J104" s="175">
        <f>H104/DAY(B2)</f>
        <v>1105.255000000001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4.245444213661486E-2</v>
      </c>
      <c r="H105" s="99">
        <f>G105+'1'!H105</f>
        <v>8.6767843874241191E-2</v>
      </c>
      <c r="I105" s="187"/>
      <c r="J105" s="188">
        <f>H105/DAY(B2)</f>
        <v>4.3383921937120595E-2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'1'!F112</f>
        <v>7337.75</v>
      </c>
      <c r="F112" s="237">
        <v>7410.72</v>
      </c>
      <c r="G112" s="112">
        <f t="shared" ref="G112:G123" si="9">F112-E112</f>
        <v>72.970000000000255</v>
      </c>
      <c r="H112" s="99">
        <f>G112+'1'!H112</f>
        <v>145.72000000000025</v>
      </c>
      <c r="I112" s="165"/>
      <c r="J112" s="328">
        <f>H112/DAY(B2)</f>
        <v>72.860000000000127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'1'!F113</f>
        <v>15156.11</v>
      </c>
      <c r="F113" s="417">
        <v>15298</v>
      </c>
      <c r="G113" s="112">
        <f t="shared" si="9"/>
        <v>141.88999999999942</v>
      </c>
      <c r="H113" s="99">
        <f>G113+'1'!H113</f>
        <v>283</v>
      </c>
      <c r="I113" s="165"/>
      <c r="J113" s="328">
        <f>H113/DAY(B2)</f>
        <v>141.5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'1'!F114</f>
        <v>21484.9</v>
      </c>
      <c r="F114" s="762">
        <v>21754.9</v>
      </c>
      <c r="G114" s="112">
        <f t="shared" si="9"/>
        <v>270</v>
      </c>
      <c r="H114" s="99">
        <f>G114+'1'!H114</f>
        <v>486.90000000000146</v>
      </c>
      <c r="I114" s="165"/>
      <c r="J114" s="328">
        <f>H114/DAY(B2)</f>
        <v>243.45000000000073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'1'!F115</f>
        <v>13570.93</v>
      </c>
      <c r="F115" s="417">
        <v>13732</v>
      </c>
      <c r="G115" s="112">
        <f t="shared" si="9"/>
        <v>161.06999999999971</v>
      </c>
      <c r="H115" s="99">
        <f>G115+'1'!H115</f>
        <v>302</v>
      </c>
      <c r="I115" s="165"/>
      <c r="J115" s="328">
        <f>H115/DAY(B2)</f>
        <v>151</v>
      </c>
    </row>
    <row r="116" spans="1:18" ht="29.25" customHeight="1">
      <c r="A116" s="905" t="s">
        <v>96</v>
      </c>
      <c r="B116" s="906"/>
      <c r="C116" s="907"/>
      <c r="D116" s="516" t="s">
        <v>183</v>
      </c>
      <c r="E116" s="95">
        <f>'1'!F116</f>
        <v>70910.740000000005</v>
      </c>
      <c r="F116" s="417">
        <v>71317.58</v>
      </c>
      <c r="G116" s="112">
        <f t="shared" si="9"/>
        <v>406.83999999999651</v>
      </c>
      <c r="H116" s="99">
        <f>G116+'1'!H116</f>
        <v>825.58000000000175</v>
      </c>
      <c r="I116" s="165"/>
      <c r="J116" s="328">
        <f>H116/DAY(B2)</f>
        <v>412.79000000000087</v>
      </c>
      <c r="Q116" s="898"/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'1'!F117</f>
        <v>41147.519</v>
      </c>
      <c r="F117" s="417">
        <v>41410.17</v>
      </c>
      <c r="G117" s="112">
        <f t="shared" si="9"/>
        <v>262.65099999999802</v>
      </c>
      <c r="H117" s="99">
        <f>G117+'1'!H117</f>
        <v>488.16999999999825</v>
      </c>
      <c r="I117" s="165"/>
      <c r="J117" s="328">
        <f>H117/DAY(B2)</f>
        <v>244.08499999999913</v>
      </c>
      <c r="Q117" s="898"/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'1'!F118</f>
        <v>65304.99</v>
      </c>
      <c r="F118" s="762">
        <v>65934.989999999991</v>
      </c>
      <c r="G118" s="112">
        <f t="shared" si="9"/>
        <v>629.99999999999272</v>
      </c>
      <c r="H118" s="99">
        <f>G118+'1'!H118</f>
        <v>1262.9899999999907</v>
      </c>
      <c r="I118" s="165"/>
      <c r="J118" s="328">
        <f>H118/DAY(B2)</f>
        <v>631.49499999999534</v>
      </c>
      <c r="Q118" s="898"/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'1'!F119</f>
        <v>37673.4</v>
      </c>
      <c r="F119" s="417">
        <v>37905.56</v>
      </c>
      <c r="G119" s="112">
        <f t="shared" si="9"/>
        <v>232.15999999999622</v>
      </c>
      <c r="H119" s="99">
        <f>G119+'1'!H119</f>
        <v>456.55999999999767</v>
      </c>
      <c r="I119" s="165"/>
      <c r="J119" s="328">
        <f>H119/DAY(B2)</f>
        <v>228.27999999999884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'1'!F120</f>
        <v>46679.9</v>
      </c>
      <c r="F120" s="237">
        <v>47075.37</v>
      </c>
      <c r="G120" s="112">
        <f t="shared" si="9"/>
        <v>395.47000000000116</v>
      </c>
      <c r="H120" s="99">
        <f>G120+'1'!H120</f>
        <v>808.37000000000262</v>
      </c>
      <c r="I120" s="165"/>
      <c r="J120" s="328">
        <f>H120/DAY(B2)</f>
        <v>404.18500000000131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'1'!F121</f>
        <v>54020.12</v>
      </c>
      <c r="F121" s="237">
        <v>54501.62</v>
      </c>
      <c r="G121" s="112">
        <f t="shared" si="9"/>
        <v>481.5</v>
      </c>
      <c r="H121" s="99">
        <f>G121+'1'!H121</f>
        <v>958.62000000000262</v>
      </c>
      <c r="I121" s="165"/>
      <c r="J121" s="328">
        <f>H121/DAY(B2)</f>
        <v>479.31000000000131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'1'!F122</f>
        <v>28944</v>
      </c>
      <c r="F122" s="237">
        <v>29222.86</v>
      </c>
      <c r="G122" s="112">
        <f t="shared" si="9"/>
        <v>278.86000000000058</v>
      </c>
      <c r="H122" s="99">
        <f>G122+'1'!H122</f>
        <v>548.86000000000058</v>
      </c>
      <c r="I122" s="165"/>
      <c r="J122" s="328">
        <f>H122/DAY(B2)</f>
        <v>274.43000000000029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'1'!F123</f>
        <v>30503.9</v>
      </c>
      <c r="F123" s="237">
        <v>30823.83</v>
      </c>
      <c r="G123" s="112">
        <f t="shared" si="9"/>
        <v>319.93000000000029</v>
      </c>
      <c r="H123" s="99">
        <f>G123+'1'!H123</f>
        <v>635.83000000000175</v>
      </c>
      <c r="I123" s="165"/>
      <c r="J123" s="328">
        <f>H123/DAY(B2)</f>
        <v>317.91500000000087</v>
      </c>
    </row>
    <row r="124" spans="1:18" ht="29.25" customHeight="1">
      <c r="A124" s="902"/>
      <c r="B124" s="903"/>
      <c r="C124" s="904"/>
      <c r="D124" s="165"/>
      <c r="E124" s="165"/>
      <c r="F124" s="165"/>
      <c r="G124" s="327"/>
      <c r="H124" s="156"/>
      <c r="I124" s="165"/>
      <c r="J124" s="327"/>
    </row>
    <row r="125" spans="1:18" ht="25.5">
      <c r="A125" s="880" t="s">
        <v>196</v>
      </c>
      <c r="B125" s="881"/>
      <c r="C125" s="245"/>
      <c r="D125" s="307"/>
      <c r="E125" s="308"/>
      <c r="F125" s="308"/>
      <c r="G125" s="309">
        <f>SUM(G112:G124)</f>
        <v>3653.3409999999849</v>
      </c>
      <c r="H125" s="156"/>
      <c r="I125" s="327">
        <f>G125-(G39+G53)</f>
        <v>-770.28900000001977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'1'!F128</f>
        <v>128146.7</v>
      </c>
      <c r="F128" s="165">
        <v>128665.35</v>
      </c>
      <c r="G128" s="112">
        <f t="shared" ref="G128:G133" si="10">F128-E128</f>
        <v>518.65000000000873</v>
      </c>
      <c r="H128" s="99">
        <f>G128+'1'!H128</f>
        <v>1021.3500000000058</v>
      </c>
      <c r="I128" s="165"/>
      <c r="J128" s="328">
        <f>H128/DAY(B2)</f>
        <v>510.67500000000291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'1'!F129</f>
        <v>72689.210000000006</v>
      </c>
      <c r="F129" s="165">
        <v>72878.509999999995</v>
      </c>
      <c r="G129" s="112">
        <f t="shared" si="10"/>
        <v>189.29999999998836</v>
      </c>
      <c r="H129" s="99">
        <f>G129+'1'!H129</f>
        <v>375.50999999999476</v>
      </c>
      <c r="I129" s="165"/>
      <c r="J129" s="328">
        <f>H129/DAY(B2)</f>
        <v>187.75499999999738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'1'!F130</f>
        <v>165340.66</v>
      </c>
      <c r="F130" s="165">
        <v>166017.32999999999</v>
      </c>
      <c r="G130" s="112">
        <f t="shared" si="10"/>
        <v>676.6699999999837</v>
      </c>
      <c r="H130" s="99">
        <f>G130+'1'!H130</f>
        <v>1420.3299999999872</v>
      </c>
      <c r="I130" s="165"/>
      <c r="J130" s="328">
        <f>H130/DAY(B2)</f>
        <v>710.1649999999936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'1'!F131</f>
        <v>48633.82</v>
      </c>
      <c r="F131" s="165">
        <v>48847.58</v>
      </c>
      <c r="G131" s="112">
        <f t="shared" si="10"/>
        <v>213.76000000000204</v>
      </c>
      <c r="H131" s="99">
        <f>G131+'1'!H131</f>
        <v>398.58000000000175</v>
      </c>
      <c r="I131" s="165"/>
      <c r="J131" s="328">
        <f>H131/DAY(B2)</f>
        <v>199.29000000000087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'1'!F132</f>
        <v>128524.4</v>
      </c>
      <c r="F132" s="165">
        <v>128940.71</v>
      </c>
      <c r="G132" s="112">
        <f t="shared" si="10"/>
        <v>416.31000000001222</v>
      </c>
      <c r="H132" s="99">
        <f>G132+'1'!H132</f>
        <v>766.7100000000064</v>
      </c>
      <c r="I132" s="165"/>
      <c r="J132" s="328">
        <f>H132/DAY(B2)</f>
        <v>383.3550000000032</v>
      </c>
    </row>
    <row r="133" spans="1:15" ht="25.5">
      <c r="A133" s="898" t="s">
        <v>342</v>
      </c>
      <c r="B133" s="899"/>
      <c r="C133" s="900"/>
      <c r="D133" s="151" t="s">
        <v>183</v>
      </c>
      <c r="E133" s="95">
        <f>'1'!F133</f>
        <v>224035.59</v>
      </c>
      <c r="F133" s="165">
        <v>224035.59</v>
      </c>
      <c r="G133" s="112">
        <f t="shared" si="10"/>
        <v>0</v>
      </c>
      <c r="H133" s="99">
        <f>G133+'1'!H133</f>
        <v>0</v>
      </c>
      <c r="I133" s="165"/>
      <c r="J133" s="328">
        <f>H133/DAY(B2)</f>
        <v>0</v>
      </c>
    </row>
    <row r="134" spans="1:15" ht="25.5">
      <c r="A134" s="898" t="s">
        <v>340</v>
      </c>
      <c r="B134" s="899"/>
      <c r="C134" s="900"/>
      <c r="D134" s="514" t="s">
        <v>183</v>
      </c>
      <c r="E134" s="95">
        <f>'1'!F134</f>
        <v>49234.66</v>
      </c>
      <c r="F134" s="158">
        <v>49440.38</v>
      </c>
      <c r="G134" s="112">
        <f>F134-E134</f>
        <v>205.71999999999389</v>
      </c>
      <c r="H134" s="99">
        <f>G134+'1'!H134</f>
        <v>405.37999999999738</v>
      </c>
      <c r="I134" s="165"/>
      <c r="J134" s="328">
        <f>H134/DAY(B2)</f>
        <v>202.68999999999869</v>
      </c>
    </row>
    <row r="135" spans="1:15" ht="25.5">
      <c r="A135" s="880" t="s">
        <v>196</v>
      </c>
      <c r="B135" s="881"/>
      <c r="C135" s="331"/>
      <c r="D135" s="151"/>
      <c r="E135" s="95"/>
      <c r="F135" s="165"/>
      <c r="G135" s="112">
        <f>SUM(G128:G134)</f>
        <v>2220.4099999999889</v>
      </c>
      <c r="H135" s="99">
        <f>G135+'1'!H135</f>
        <v>4387.8599999999933</v>
      </c>
      <c r="I135" s="327">
        <f>G135-(G35+G49)</f>
        <v>-2182.2900000000227</v>
      </c>
      <c r="J135" s="328">
        <f>H135/DAY(B2)</f>
        <v>2193.9299999999967</v>
      </c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514" t="s">
        <v>183</v>
      </c>
      <c r="E138" s="95">
        <f>'1'!F138</f>
        <v>891266</v>
      </c>
      <c r="F138" s="147">
        <v>891407</v>
      </c>
      <c r="G138" s="112">
        <f t="shared" ref="G138:G152" si="11">F138-E138</f>
        <v>141</v>
      </c>
      <c r="H138" s="99">
        <f>G138+'1'!H138</f>
        <v>309</v>
      </c>
      <c r="I138" s="118"/>
      <c r="J138" s="328">
        <f>H138/DAY(B2)</f>
        <v>154.5</v>
      </c>
    </row>
    <row r="139" spans="1:15" ht="25.5">
      <c r="A139" s="897" t="s">
        <v>186</v>
      </c>
      <c r="B139" s="897"/>
      <c r="C139" s="897"/>
      <c r="D139" s="514" t="s">
        <v>183</v>
      </c>
      <c r="E139" s="95">
        <f>'1'!F139</f>
        <v>909034</v>
      </c>
      <c r="F139" s="148">
        <v>909174</v>
      </c>
      <c r="G139" s="112">
        <f t="shared" si="11"/>
        <v>140</v>
      </c>
      <c r="H139" s="99">
        <f>G139+'1'!H139</f>
        <v>279</v>
      </c>
      <c r="I139" s="118"/>
      <c r="J139" s="328">
        <f>H139/DAY(B2)</f>
        <v>139.5</v>
      </c>
    </row>
    <row r="140" spans="1:15" ht="25.5">
      <c r="A140" s="897" t="s">
        <v>187</v>
      </c>
      <c r="B140" s="897"/>
      <c r="C140" s="897"/>
      <c r="D140" s="514" t="s">
        <v>183</v>
      </c>
      <c r="E140" s="95">
        <f>'1'!F140</f>
        <v>1528</v>
      </c>
      <c r="F140" s="149">
        <v>1543.2</v>
      </c>
      <c r="G140" s="112">
        <f t="shared" si="11"/>
        <v>15.200000000000045</v>
      </c>
      <c r="H140" s="99">
        <f>G140+'1'!H140</f>
        <v>30.200000000000045</v>
      </c>
      <c r="I140" s="118"/>
      <c r="J140" s="328">
        <f>H140/DAY(B2)</f>
        <v>15.100000000000023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'1'!F141</f>
        <v>90637.56</v>
      </c>
      <c r="F141" s="149">
        <v>90828.160000000003</v>
      </c>
      <c r="G141" s="112">
        <f t="shared" si="11"/>
        <v>190.60000000000582</v>
      </c>
      <c r="H141" s="99">
        <f>G141+'1'!H141</f>
        <v>376.16000000000349</v>
      </c>
      <c r="I141" s="118"/>
      <c r="J141" s="328">
        <f>H141/DAY(B2)</f>
        <v>188.08000000000175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'1'!F142</f>
        <v>36724.400000000001</v>
      </c>
      <c r="F142" s="148">
        <v>36788.53</v>
      </c>
      <c r="G142" s="112">
        <f t="shared" si="11"/>
        <v>64.129999999997381</v>
      </c>
      <c r="H142" s="99">
        <f>G142+'1'!H142</f>
        <v>127.52999999999884</v>
      </c>
      <c r="I142" s="140"/>
      <c r="J142" s="328">
        <f>H142/DAY(B2)</f>
        <v>63.764999999999418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'1'!F143</f>
        <v>9075.8799999999992</v>
      </c>
      <c r="F143" s="149">
        <v>9104.9</v>
      </c>
      <c r="G143" s="112">
        <f t="shared" si="11"/>
        <v>29.020000000000437</v>
      </c>
      <c r="H143" s="99">
        <f>G143+'1'!H143</f>
        <v>53.899999999999636</v>
      </c>
      <c r="I143" s="140"/>
      <c r="J143" s="328">
        <f>H143/DAY(B2)</f>
        <v>26.949999999999818</v>
      </c>
    </row>
    <row r="144" spans="1:15" ht="25.5">
      <c r="A144" s="876" t="s">
        <v>90</v>
      </c>
      <c r="B144" s="876"/>
      <c r="C144" s="876"/>
      <c r="D144" s="514" t="s">
        <v>183</v>
      </c>
      <c r="E144" s="95">
        <f>'1'!F144</f>
        <v>920044</v>
      </c>
      <c r="F144" s="149">
        <v>920257</v>
      </c>
      <c r="G144" s="112">
        <f t="shared" si="11"/>
        <v>213</v>
      </c>
      <c r="H144" s="99">
        <f>G144+'1'!H144</f>
        <v>420</v>
      </c>
      <c r="I144" s="140"/>
      <c r="J144" s="328">
        <f>H144/DAY(B2)</f>
        <v>210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'1'!F145</f>
        <v>5839</v>
      </c>
      <c r="F145" s="149">
        <v>5875.74</v>
      </c>
      <c r="G145" s="112">
        <f t="shared" si="11"/>
        <v>36.739999999999782</v>
      </c>
      <c r="H145" s="99">
        <f>G145+'1'!H145</f>
        <v>68.739999999999782</v>
      </c>
      <c r="I145" s="140"/>
      <c r="J145" s="328">
        <f>H145/DAY(B2)</f>
        <v>34.369999999999891</v>
      </c>
    </row>
    <row r="146" spans="1:10" ht="25.5">
      <c r="A146" s="932" t="s">
        <v>191</v>
      </c>
      <c r="B146" s="917"/>
      <c r="C146" s="918"/>
      <c r="D146" s="514" t="s">
        <v>183</v>
      </c>
      <c r="E146" s="95">
        <f>'1'!F146</f>
        <v>780939</v>
      </c>
      <c r="F146" s="148">
        <v>781019</v>
      </c>
      <c r="G146" s="112">
        <f t="shared" si="11"/>
        <v>80</v>
      </c>
      <c r="H146" s="99">
        <f>G146+'1'!H146</f>
        <v>219</v>
      </c>
      <c r="I146" s="140"/>
      <c r="J146" s="328">
        <f>H146/DAY(B2)</f>
        <v>109.5</v>
      </c>
    </row>
    <row r="147" spans="1:10" ht="25.5">
      <c r="A147" s="876" t="s">
        <v>192</v>
      </c>
      <c r="B147" s="876"/>
      <c r="C147" s="876"/>
      <c r="D147" s="514" t="s">
        <v>183</v>
      </c>
      <c r="E147" s="95">
        <f>'1'!F147</f>
        <v>700134.32</v>
      </c>
      <c r="F147" s="148">
        <v>700499</v>
      </c>
      <c r="G147" s="112">
        <f t="shared" si="11"/>
        <v>364.68000000005122</v>
      </c>
      <c r="H147" s="99">
        <f>G147+'1'!H147</f>
        <v>730</v>
      </c>
      <c r="I147" s="140"/>
      <c r="J147" s="328">
        <f>H147/DAY(B2)</f>
        <v>365</v>
      </c>
    </row>
    <row r="148" spans="1:10" ht="25.5">
      <c r="A148" s="877" t="s">
        <v>193</v>
      </c>
      <c r="B148" s="878"/>
      <c r="C148" s="879"/>
      <c r="D148" s="515" t="s">
        <v>130</v>
      </c>
      <c r="E148" s="95">
        <f>'1'!F148</f>
        <v>748853.44</v>
      </c>
      <c r="F148" s="164">
        <v>749102.96</v>
      </c>
      <c r="G148" s="112">
        <f t="shared" si="11"/>
        <v>249.52000000001863</v>
      </c>
      <c r="H148" s="99">
        <f>G148+'1'!H148</f>
        <v>572.95999999996275</v>
      </c>
      <c r="I148" s="124"/>
      <c r="J148" s="328">
        <f>H148/DAY(B2)</f>
        <v>286.47999999998137</v>
      </c>
    </row>
    <row r="149" spans="1:10" ht="25.5">
      <c r="A149" s="877" t="s">
        <v>336</v>
      </c>
      <c r="B149" s="878"/>
      <c r="C149" s="879"/>
      <c r="D149" s="516" t="s">
        <v>130</v>
      </c>
      <c r="E149" s="95">
        <f>'1'!F149</f>
        <v>132904.45000000001</v>
      </c>
      <c r="F149" s="146">
        <v>133324.70000000001</v>
      </c>
      <c r="G149" s="112">
        <f t="shared" si="11"/>
        <v>420.25</v>
      </c>
      <c r="H149" s="99">
        <f>G149+'1'!H149</f>
        <v>890.70000000001164</v>
      </c>
      <c r="I149" s="119"/>
      <c r="J149" s="328">
        <f>H149/DAY(B2)</f>
        <v>445.35000000000582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'1'!F150</f>
        <v>50831.47</v>
      </c>
      <c r="F150" s="233">
        <v>51051.3</v>
      </c>
      <c r="G150" s="112">
        <f t="shared" si="11"/>
        <v>219.83000000000175</v>
      </c>
      <c r="H150" s="99">
        <f>G150+'1'!H150</f>
        <v>436.30000000000291</v>
      </c>
      <c r="I150" s="119"/>
      <c r="J150" s="328">
        <f>H150/DAY(B2)</f>
        <v>218.15000000000146</v>
      </c>
    </row>
    <row r="151" spans="1:10" ht="25.5">
      <c r="A151" s="877" t="s">
        <v>338</v>
      </c>
      <c r="B151" s="878"/>
      <c r="C151" s="879"/>
      <c r="D151" s="515" t="s">
        <v>130</v>
      </c>
      <c r="E151" s="95">
        <f>'1'!F151</f>
        <v>135786</v>
      </c>
      <c r="F151" s="233">
        <v>136117</v>
      </c>
      <c r="G151" s="112">
        <f t="shared" si="11"/>
        <v>331</v>
      </c>
      <c r="H151" s="99">
        <f>G151+'1'!H151</f>
        <v>668</v>
      </c>
      <c r="I151" s="119"/>
      <c r="J151" s="328">
        <f>H151/DAY(B2)</f>
        <v>334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'1'!F152</f>
        <v>23261.22</v>
      </c>
      <c r="F152" s="233">
        <v>23376.5</v>
      </c>
      <c r="G152" s="112">
        <f t="shared" si="11"/>
        <v>115.27999999999884</v>
      </c>
      <c r="H152" s="99">
        <f>G152+'1'!H152</f>
        <v>222.5</v>
      </c>
      <c r="I152" s="119"/>
      <c r="J152" s="328">
        <f>H152/DAY(B2)</f>
        <v>111.25</v>
      </c>
    </row>
    <row r="153" spans="1:10" ht="25.5">
      <c r="A153" s="880" t="s">
        <v>196</v>
      </c>
      <c r="B153" s="881"/>
      <c r="C153" s="365"/>
      <c r="D153" s="358"/>
      <c r="E153" s="360"/>
      <c r="F153" s="361"/>
      <c r="G153" s="362">
        <f>SUM(G138:G152)</f>
        <v>2610.2500000000737</v>
      </c>
      <c r="H153" s="363"/>
      <c r="I153" s="119">
        <f>G153-(G38+G52)</f>
        <v>389.20000000008531</v>
      </c>
      <c r="J153" s="366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517" t="s">
        <v>130</v>
      </c>
      <c r="E155" s="95">
        <f>'1'!F155</f>
        <v>148729</v>
      </c>
      <c r="F155" s="422">
        <v>149289</v>
      </c>
      <c r="G155" s="112">
        <f t="shared" ref="G155:G158" si="12">F155-E155</f>
        <v>560</v>
      </c>
      <c r="H155" s="99">
        <f>G155+'1'!H155</f>
        <v>1140</v>
      </c>
      <c r="I155" s="364"/>
      <c r="J155" s="328">
        <f>H155/DAY(B2)</f>
        <v>570</v>
      </c>
    </row>
    <row r="156" spans="1:10" ht="25.5">
      <c r="A156" s="876" t="s">
        <v>347</v>
      </c>
      <c r="B156" s="876"/>
      <c r="C156" s="876"/>
      <c r="D156" s="517" t="s">
        <v>130</v>
      </c>
      <c r="E156" s="95">
        <f>'1'!F156</f>
        <v>14816</v>
      </c>
      <c r="F156" s="155">
        <v>14898</v>
      </c>
      <c r="G156" s="112">
        <f t="shared" si="12"/>
        <v>82</v>
      </c>
      <c r="H156" s="99">
        <f>G156+'1'!H156</f>
        <v>164</v>
      </c>
      <c r="I156" s="165"/>
      <c r="J156" s="328">
        <f>H156/DAY(B2)</f>
        <v>82</v>
      </c>
    </row>
    <row r="157" spans="1:10" ht="25.5">
      <c r="A157" s="877" t="s">
        <v>360</v>
      </c>
      <c r="B157" s="878"/>
      <c r="C157" s="879"/>
      <c r="D157" s="517" t="s">
        <v>130</v>
      </c>
      <c r="E157" s="95">
        <f>'1'!F157</f>
        <v>27649.91</v>
      </c>
      <c r="F157" s="155">
        <v>27777.71</v>
      </c>
      <c r="G157" s="112">
        <f t="shared" si="12"/>
        <v>127.79999999999927</v>
      </c>
      <c r="H157" s="99">
        <f>G157+'1'!H157</f>
        <v>331.70999999999913</v>
      </c>
      <c r="I157" s="165"/>
      <c r="J157" s="328"/>
    </row>
    <row r="158" spans="1:10" ht="25.5">
      <c r="A158" s="877" t="s">
        <v>361</v>
      </c>
      <c r="B158" s="878"/>
      <c r="C158" s="879"/>
      <c r="D158" s="117" t="s">
        <v>130</v>
      </c>
      <c r="E158" s="95">
        <v>90.42</v>
      </c>
      <c r="F158" s="155">
        <v>238.7</v>
      </c>
      <c r="G158" s="112">
        <f t="shared" si="12"/>
        <v>148.27999999999997</v>
      </c>
      <c r="H158" s="99">
        <f>G158+'1'!H158</f>
        <v>150.27999999999997</v>
      </c>
      <c r="I158" s="165"/>
      <c r="J158" s="328"/>
    </row>
    <row r="159" spans="1:10" ht="25.5">
      <c r="A159" s="877"/>
      <c r="B159" s="878"/>
      <c r="C159" s="879"/>
      <c r="D159" s="117"/>
      <c r="E159" s="95"/>
      <c r="F159" s="165"/>
      <c r="G159" s="112"/>
      <c r="H159" s="99"/>
      <c r="I159" s="165"/>
      <c r="J159" s="328"/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4" ht="26.25">
      <c r="A161" s="242" t="s">
        <v>92</v>
      </c>
      <c r="B161" s="243"/>
      <c r="C161" s="243"/>
      <c r="D161" s="244" t="s">
        <v>180</v>
      </c>
      <c r="E161" s="95">
        <f>'1'!F161</f>
        <v>480070.64</v>
      </c>
      <c r="F161" s="235">
        <v>480109.72</v>
      </c>
      <c r="G161" s="238">
        <f t="shared" ref="G161:G165" si="13">F161-E161</f>
        <v>39.07999999995809</v>
      </c>
      <c r="H161" s="99">
        <f>G161+'1'!H161</f>
        <v>56.71999999997206</v>
      </c>
      <c r="I161" s="236"/>
      <c r="J161" s="239">
        <f>H161/DAY(B2)</f>
        <v>28.35999999998603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'1'!F162</f>
        <v>94969.3</v>
      </c>
      <c r="F162" s="235">
        <v>95015.3</v>
      </c>
      <c r="G162" s="238">
        <f t="shared" si="13"/>
        <v>46</v>
      </c>
      <c r="H162" s="99">
        <f>G162+'1'!H162</f>
        <v>87.30000000000291</v>
      </c>
      <c r="I162" s="236"/>
      <c r="J162" s="239">
        <f>H162/DAY(B2)</f>
        <v>43.650000000001455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'1'!F163</f>
        <v>6657.1</v>
      </c>
      <c r="F163" s="235">
        <v>6802.4</v>
      </c>
      <c r="G163" s="238">
        <f t="shared" si="13"/>
        <v>145.29999999999927</v>
      </c>
      <c r="H163" s="99">
        <f>G163+'1'!H163</f>
        <v>301.39999999999964</v>
      </c>
      <c r="I163" s="236"/>
      <c r="J163" s="239">
        <f>H163/DAY(B2)</f>
        <v>150.69999999999982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'1'!F164</f>
        <v>6285</v>
      </c>
      <c r="F164" s="235">
        <v>6286.1</v>
      </c>
      <c r="G164" s="238">
        <f t="shared" si="13"/>
        <v>1.1000000000003638</v>
      </c>
      <c r="H164" s="99">
        <f>G164+'1'!H164</f>
        <v>6.1000000000003638</v>
      </c>
      <c r="I164" s="236"/>
      <c r="J164" s="239">
        <f>H164/DAY(B2)</f>
        <v>3.0500000000001819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'1'!F165</f>
        <v>31642.61</v>
      </c>
      <c r="F165" s="235">
        <v>31651.74</v>
      </c>
      <c r="G165" s="238">
        <f t="shared" si="13"/>
        <v>9.1300000000010186</v>
      </c>
      <c r="H165" s="99">
        <f>G165+'1'!H165</f>
        <v>17.740000000001601</v>
      </c>
      <c r="I165" s="236"/>
      <c r="J165" s="239">
        <f>H165/DAY(B2)</f>
        <v>8.8700000000008004</v>
      </c>
    </row>
    <row r="166" spans="1:14" ht="29.25" customHeight="1">
      <c r="A166" s="885"/>
      <c r="B166" s="885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6.25">
      <c r="A167" s="885"/>
      <c r="B167" s="885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6.25">
      <c r="A168" s="885"/>
      <c r="B168" s="885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6.25"/>
    <row r="170" spans="1:14" ht="26.25"/>
    <row r="171" spans="1:14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4" ht="25.5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891" t="s">
        <v>209</v>
      </c>
      <c r="B173" s="892"/>
      <c r="C173" s="333"/>
      <c r="D173" s="228" t="s">
        <v>142</v>
      </c>
      <c r="E173" s="95">
        <f>'1'!F173</f>
        <v>8235</v>
      </c>
      <c r="F173" s="155">
        <v>8240</v>
      </c>
      <c r="G173" s="155">
        <f>F173-E173</f>
        <v>5</v>
      </c>
      <c r="H173" s="99">
        <f>G173+'1'!H173</f>
        <v>5</v>
      </c>
      <c r="I173" s="155"/>
      <c r="J173" s="178">
        <f>H173/DAY(B2)</f>
        <v>2.5</v>
      </c>
    </row>
    <row r="174" spans="1:14" ht="25.5">
      <c r="A174" s="891" t="s">
        <v>75</v>
      </c>
      <c r="B174" s="892"/>
      <c r="C174" s="333"/>
      <c r="D174" s="228" t="s">
        <v>142</v>
      </c>
      <c r="E174" s="95">
        <f>'1'!F174</f>
        <v>41217</v>
      </c>
      <c r="F174" s="157">
        <v>41230</v>
      </c>
      <c r="G174" s="155">
        <f t="shared" ref="G174:G175" si="14">F174-E174</f>
        <v>13</v>
      </c>
      <c r="H174" s="99">
        <f>G174+'1'!H174</f>
        <v>26</v>
      </c>
      <c r="I174" s="155"/>
      <c r="J174" s="178">
        <f>H174/DAY(B2)</f>
        <v>13</v>
      </c>
    </row>
    <row r="175" spans="1:14" ht="25.5">
      <c r="A175" s="891" t="s">
        <v>76</v>
      </c>
      <c r="B175" s="931"/>
      <c r="C175" s="892"/>
      <c r="D175" s="228" t="s">
        <v>142</v>
      </c>
      <c r="E175" s="95">
        <f>'1'!F175</f>
        <v>24042</v>
      </c>
      <c r="F175" s="155">
        <v>24054</v>
      </c>
      <c r="G175" s="155">
        <f t="shared" si="14"/>
        <v>12</v>
      </c>
      <c r="H175" s="99">
        <f>G175+'1'!H175</f>
        <v>23</v>
      </c>
      <c r="I175" s="155"/>
      <c r="J175" s="178">
        <f>H175/DAY(B2)</f>
        <v>11.5</v>
      </c>
      <c r="N175" s="470"/>
    </row>
    <row r="176" spans="1:14" ht="25.5">
      <c r="A176" s="880" t="s">
        <v>196</v>
      </c>
      <c r="B176" s="881"/>
      <c r="C176" s="401"/>
      <c r="D176" s="228"/>
      <c r="E176" s="95"/>
      <c r="F176" s="155"/>
      <c r="G176" s="155">
        <f>SUM(G173:G175)</f>
        <v>30</v>
      </c>
      <c r="H176" s="99">
        <f>G176+'1'!H176</f>
        <v>54</v>
      </c>
      <c r="I176" s="155"/>
      <c r="J176" s="178">
        <f>H176/DAY(B2)</f>
        <v>27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5.5">
      <c r="A178" s="891" t="s">
        <v>210</v>
      </c>
      <c r="B178" s="892"/>
      <c r="C178" s="333"/>
      <c r="D178" s="228" t="s">
        <v>142</v>
      </c>
      <c r="E178" s="95">
        <f>'1'!F178</f>
        <v>97822</v>
      </c>
      <c r="F178" s="157">
        <v>97907</v>
      </c>
      <c r="G178" s="155">
        <f>F178-E178</f>
        <v>85</v>
      </c>
      <c r="H178" s="99">
        <f>G178+'1'!H178</f>
        <v>194</v>
      </c>
      <c r="I178" s="155"/>
      <c r="J178" s="178">
        <f>H178/DAY(B2)</f>
        <v>97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'1'!F179</f>
        <v>36002</v>
      </c>
      <c r="F179" s="155">
        <v>36002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'1'!F180</f>
        <v>7176</v>
      </c>
      <c r="F180" s="155">
        <v>7176</v>
      </c>
      <c r="G180" s="155">
        <f t="shared" si="15"/>
        <v>0</v>
      </c>
      <c r="H180" s="99">
        <f>G180+'1'!H180</f>
        <v>7</v>
      </c>
      <c r="I180" s="155"/>
      <c r="J180" s="178">
        <f>H180/DAY(B2)</f>
        <v>3.5</v>
      </c>
    </row>
    <row r="181" spans="1:10" ht="25.5">
      <c r="A181" s="893" t="s">
        <v>108</v>
      </c>
      <c r="B181" s="894"/>
      <c r="C181" s="401"/>
      <c r="D181" s="228"/>
      <c r="E181" s="95"/>
      <c r="F181" s="155"/>
      <c r="G181" s="155">
        <f>SUM(G178:G180)</f>
        <v>85</v>
      </c>
      <c r="H181" s="99">
        <f>G181+'1'!H181</f>
        <v>201</v>
      </c>
      <c r="I181" s="155"/>
      <c r="J181" s="178">
        <f>H181/DAY(B2)</f>
        <v>100.5</v>
      </c>
    </row>
    <row r="182" spans="1:10" ht="31.5" customHeight="1">
      <c r="A182" s="891" t="s">
        <v>213</v>
      </c>
      <c r="B182" s="892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891" t="s">
        <v>214</v>
      </c>
      <c r="B183" s="892"/>
      <c r="C183" s="334"/>
      <c r="D183" s="228" t="s">
        <v>142</v>
      </c>
      <c r="E183" s="95">
        <f>'1'!F183</f>
        <v>17485</v>
      </c>
      <c r="F183" s="157">
        <v>17489</v>
      </c>
      <c r="G183" s="157">
        <f>F183-E183</f>
        <v>4</v>
      </c>
      <c r="H183" s="99">
        <f>G183+'1'!H183</f>
        <v>16</v>
      </c>
      <c r="I183" s="155"/>
      <c r="J183" s="178">
        <f>H183/DAY(B2)</f>
        <v>8</v>
      </c>
    </row>
    <row r="184" spans="1:10" ht="27.75" customHeight="1">
      <c r="A184" s="891" t="s">
        <v>215</v>
      </c>
      <c r="B184" s="892"/>
      <c r="C184" s="334"/>
      <c r="D184" s="228" t="s">
        <v>142</v>
      </c>
      <c r="E184" s="95">
        <f>'1'!F184</f>
        <v>11940</v>
      </c>
      <c r="F184" s="157">
        <v>11949</v>
      </c>
      <c r="G184" s="157">
        <f t="shared" ref="G184:G185" si="16">F184-E184</f>
        <v>9</v>
      </c>
      <c r="H184" s="99">
        <f>G184+'1'!H184</f>
        <v>14</v>
      </c>
      <c r="I184" s="155"/>
      <c r="J184" s="178">
        <f>H184/DAY(B2)</f>
        <v>7</v>
      </c>
    </row>
    <row r="185" spans="1:10" ht="24.75" customHeight="1">
      <c r="A185" s="891" t="s">
        <v>216</v>
      </c>
      <c r="B185" s="892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880" t="s">
        <v>196</v>
      </c>
      <c r="B186" s="881"/>
      <c r="C186" s="400"/>
      <c r="D186" s="229"/>
      <c r="E186" s="95"/>
      <c r="F186" s="157"/>
      <c r="G186" s="157">
        <f>SUM(G183:G185)</f>
        <v>13</v>
      </c>
      <c r="H186" s="99">
        <f>G186+'1'!H186</f>
        <v>30</v>
      </c>
      <c r="I186" s="157"/>
      <c r="J186" s="178">
        <f>H186/DAY(B2)</f>
        <v>15</v>
      </c>
    </row>
    <row r="187" spans="1:10" ht="28.5" customHeight="1">
      <c r="A187" s="882" t="s">
        <v>217</v>
      </c>
      <c r="B187" s="883"/>
      <c r="C187" s="333"/>
      <c r="D187" s="230" t="s">
        <v>142</v>
      </c>
      <c r="E187" s="95"/>
      <c r="F187" s="159"/>
      <c r="G187" s="378">
        <f>G62+G19</f>
        <v>148</v>
      </c>
      <c r="H187" s="99">
        <f>G187+'1'!H187</f>
        <v>297</v>
      </c>
      <c r="I187" s="158"/>
      <c r="J187" s="179">
        <f>H187/DAY(B2)</f>
        <v>148.5</v>
      </c>
    </row>
    <row r="188" spans="1:10" ht="24" customHeight="1">
      <c r="A188" s="882" t="s">
        <v>218</v>
      </c>
      <c r="B188" s="883"/>
      <c r="C188" s="333"/>
      <c r="D188" s="230" t="s">
        <v>142</v>
      </c>
      <c r="E188" s="95"/>
      <c r="F188" s="159"/>
      <c r="G188" s="378">
        <f>G65+G66+G67+G69+G70</f>
        <v>134</v>
      </c>
      <c r="H188" s="99">
        <f>G188+'1'!H188</f>
        <v>267</v>
      </c>
      <c r="I188" s="158"/>
      <c r="J188" s="179">
        <f>H188/DAY(B2)</f>
        <v>133.5</v>
      </c>
    </row>
    <row r="189" spans="1:10" ht="24.75" customHeight="1">
      <c r="A189" s="882" t="s">
        <v>219</v>
      </c>
      <c r="B189" s="883"/>
      <c r="C189" s="333"/>
      <c r="D189" s="230" t="s">
        <v>142</v>
      </c>
      <c r="E189" s="95"/>
      <c r="F189" s="157"/>
      <c r="G189" s="377">
        <f>G181</f>
        <v>85</v>
      </c>
      <c r="H189" s="99">
        <f>G189+'1'!H189</f>
        <v>201</v>
      </c>
      <c r="I189" s="158"/>
      <c r="J189" s="179">
        <f>H189/DAY(B2)</f>
        <v>100.5</v>
      </c>
    </row>
    <row r="190" spans="1:10" ht="25.5">
      <c r="A190" s="889"/>
      <c r="B190" s="89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zoomScale="55" zoomScaleSheetLayoutView="55" workbookViewId="0">
      <selection activeCell="F178" sqref="F17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6" s="57" customFormat="1" ht="23.25">
      <c r="A2" s="191" t="s">
        <v>349</v>
      </c>
      <c r="B2" s="375">
        <v>44776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350</v>
      </c>
      <c r="P2" s="57">
        <v>19293.8</v>
      </c>
    </row>
    <row r="3" spans="1:16" s="57" customFormat="1" ht="23.25">
      <c r="A3" s="189"/>
      <c r="B3" s="221"/>
      <c r="C3" s="348" t="s">
        <v>118</v>
      </c>
      <c r="D3" s="219">
        <v>29</v>
      </c>
      <c r="E3" s="946" t="s">
        <v>119</v>
      </c>
      <c r="F3" s="947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  <c r="O4" s="57" t="s">
        <v>351</v>
      </c>
      <c r="P4" s="57">
        <v>28131.4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6.25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'2'!F7</f>
        <v>388084</v>
      </c>
      <c r="F7" s="95">
        <v>415712.19</v>
      </c>
      <c r="G7" s="112">
        <f>F7-E7</f>
        <v>27628.190000000002</v>
      </c>
      <c r="H7" s="99">
        <f>G7+'2'!H7</f>
        <v>78582.19</v>
      </c>
      <c r="I7" s="113">
        <f>'1'!I7</f>
        <v>12000</v>
      </c>
      <c r="J7" s="175">
        <f>H7/DAY(B2)</f>
        <v>26194.063333333335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'2'!F8</f>
        <v>540215</v>
      </c>
      <c r="F8" s="114">
        <v>568270</v>
      </c>
      <c r="G8" s="115">
        <f>F8-E8</f>
        <v>28055</v>
      </c>
      <c r="H8" s="99">
        <f>G8+'2'!H8</f>
        <v>79683</v>
      </c>
      <c r="I8" s="116"/>
      <c r="J8" s="175">
        <f>H8/DAY(B2)</f>
        <v>26561</v>
      </c>
      <c r="K8" s="172">
        <v>1715917</v>
      </c>
      <c r="L8" s="76">
        <v>1728480</v>
      </c>
      <c r="M8" s="87">
        <f>L8-K8</f>
        <v>12563</v>
      </c>
      <c r="N8" s="87">
        <f>G8-G7</f>
        <v>426.80999999999767</v>
      </c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'2'!F9</f>
        <v>3292068.7</v>
      </c>
      <c r="F9" s="117">
        <v>3299187.9</v>
      </c>
      <c r="G9" s="112">
        <f>F9-E9</f>
        <v>7119.1999999997206</v>
      </c>
      <c r="H9" s="99">
        <f>G9+'2'!H9</f>
        <v>20121.899999999907</v>
      </c>
      <c r="I9" s="124">
        <f>I7-J7</f>
        <v>-14194.063333333335</v>
      </c>
      <c r="J9" s="175">
        <f>H9/DAY(B2)</f>
        <v>6707.2999999999693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'2'!F10</f>
        <v>1703766.5</v>
      </c>
      <c r="F10" s="117">
        <v>1723543.5</v>
      </c>
      <c r="G10" s="112">
        <f t="shared" ref="G10:G12" si="0">F10-E10</f>
        <v>19777</v>
      </c>
      <c r="H10" s="99">
        <f>G10+'2'!H10</f>
        <v>56385.5</v>
      </c>
      <c r="I10" s="282"/>
      <c r="J10" s="175">
        <f>H10/DAY(B2)</f>
        <v>18795.166666666668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'2'!F11</f>
        <v>37560</v>
      </c>
      <c r="F11" s="95">
        <v>37560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'2'!F12</f>
        <v>40380</v>
      </c>
      <c r="F12" s="117">
        <v>40380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26896.199999999721</v>
      </c>
      <c r="H13" s="99">
        <f>G13+'2'!H13</f>
        <v>77841.999999999767</v>
      </c>
      <c r="I13" s="120">
        <f>G7-G13</f>
        <v>731.99000000028173</v>
      </c>
      <c r="J13" s="175">
        <f>H13/DAY(B2)</f>
        <v>25947.333333333256</v>
      </c>
      <c r="K13" s="79"/>
      <c r="L13" s="66"/>
      <c r="N13" s="87"/>
      <c r="O13" s="71"/>
    </row>
    <row r="14" spans="1:16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'2'!F15</f>
        <v>2102932.2999999998</v>
      </c>
      <c r="F15" s="410">
        <v>2103911.5</v>
      </c>
      <c r="G15" s="112">
        <f>(F15-E15)</f>
        <v>979.20000000018626</v>
      </c>
      <c r="H15" s="99">
        <f>G15+'2'!H15</f>
        <v>3043.5</v>
      </c>
      <c r="I15" s="113">
        <f>'1'!I15</f>
        <v>800</v>
      </c>
      <c r="J15" s="175">
        <f>H15/DAY(B2)</f>
        <v>1014.5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-214.5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'2'!F18</f>
        <v>18</v>
      </c>
      <c r="F18" s="122">
        <v>10</v>
      </c>
      <c r="G18" s="119">
        <f>F18*10</f>
        <v>100</v>
      </c>
      <c r="H18" s="99">
        <f>G18+'2'!H18</f>
        <v>410</v>
      </c>
      <c r="I18" s="113">
        <f>'1'!I18</f>
        <v>65</v>
      </c>
      <c r="J18" s="175">
        <f>H18/DAY(B2)</f>
        <v>136.66666666666666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'2'!F19</f>
        <v>162438</v>
      </c>
      <c r="F19" s="122">
        <v>162493</v>
      </c>
      <c r="G19" s="112">
        <f t="shared" ref="G19" si="1">F19-E19</f>
        <v>55</v>
      </c>
      <c r="H19" s="99">
        <f>G19+'2'!H19</f>
        <v>158</v>
      </c>
      <c r="I19" s="335"/>
      <c r="J19" s="175">
        <f>H19/DAY(B2)</f>
        <v>52.666666666666664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155</v>
      </c>
      <c r="H20" s="99">
        <f>G20+'2'!H20</f>
        <v>568</v>
      </c>
      <c r="I20" s="336">
        <f>I18-J20</f>
        <v>-124.33333333333334</v>
      </c>
      <c r="J20" s="175">
        <f>H20/DAY(B2)</f>
        <v>189.33333333333334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28055</v>
      </c>
      <c r="F27" s="136">
        <v>9</v>
      </c>
      <c r="G27" s="137">
        <f>E27*F27</f>
        <v>252495</v>
      </c>
      <c r="H27" s="99">
        <f>G27+'2'!H27</f>
        <v>717147</v>
      </c>
      <c r="I27" s="138"/>
      <c r="J27" s="175">
        <f>H27/DAY(B2)</f>
        <v>239049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979.20000000018626</v>
      </c>
      <c r="F28" s="136">
        <v>70</v>
      </c>
      <c r="G28" s="137">
        <f>E28*F28</f>
        <v>68544.000000013039</v>
      </c>
      <c r="H28" s="99">
        <f>G28+'2'!H28</f>
        <v>213045</v>
      </c>
      <c r="I28" s="140"/>
      <c r="J28" s="175">
        <f>H28/DAY(B2)</f>
        <v>71015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G30+'2'!H30</f>
        <v>23858</v>
      </c>
      <c r="I30" s="140"/>
      <c r="J30" s="175">
        <f>H30/DAY(B2)</f>
        <v>7952.666666666667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G31+'2'!H31</f>
        <v>32800</v>
      </c>
      <c r="I31" s="140"/>
      <c r="J31" s="175">
        <f>H31/DAY(B2)</f>
        <v>10933.333333333334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337344.00000001304</v>
      </c>
      <c r="H32" s="99">
        <f>G32+'2'!H32</f>
        <v>986850</v>
      </c>
      <c r="I32" s="144"/>
      <c r="J32" s="175">
        <f>H32/DAY(B2)</f>
        <v>328950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'2'!F35</f>
        <v>238713.05</v>
      </c>
      <c r="F35" s="145">
        <v>238713.05</v>
      </c>
      <c r="G35" s="112">
        <f t="shared" ref="G35:G46" si="3">F35-E35</f>
        <v>0</v>
      </c>
      <c r="H35" s="99">
        <f>G35+'2'!H35</f>
        <v>4.9999999988358468E-2</v>
      </c>
      <c r="I35" s="95"/>
      <c r="J35" s="175">
        <f>H35/DAY(B2)</f>
        <v>1.6666666662786156E-2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'2'!F36</f>
        <v>216925.85</v>
      </c>
      <c r="F36" s="145">
        <v>218099.97</v>
      </c>
      <c r="G36" s="112">
        <f t="shared" si="3"/>
        <v>1174.1199999999953</v>
      </c>
      <c r="H36" s="99">
        <f>G36+'2'!H36</f>
        <v>2569.9700000000012</v>
      </c>
      <c r="I36" s="95"/>
      <c r="J36" s="175">
        <f>H36/DAY(B2)</f>
        <v>856.65666666666709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'2'!F37</f>
        <v>322998.69</v>
      </c>
      <c r="F37" s="145">
        <v>322998.69</v>
      </c>
      <c r="G37" s="112">
        <f t="shared" si="3"/>
        <v>0</v>
      </c>
      <c r="H37" s="99">
        <f>G37+'2'!H37</f>
        <v>-0.30999999999767169</v>
      </c>
      <c r="I37" s="95"/>
      <c r="J37" s="175">
        <f>H37/DAY(B2)</f>
        <v>-0.10333333333255723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'2'!F38</f>
        <v>461842.35</v>
      </c>
      <c r="F38" s="108">
        <v>464089.47</v>
      </c>
      <c r="G38" s="112">
        <f t="shared" si="3"/>
        <v>2247.1199999999953</v>
      </c>
      <c r="H38" s="99">
        <f>G38+'2'!H38</f>
        <v>6728.4699999999721</v>
      </c>
      <c r="I38" s="95"/>
      <c r="J38" s="175">
        <f>H38/DAY(B2)</f>
        <v>2242.8233333333242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'2'!F39</f>
        <v>591584.18999999994</v>
      </c>
      <c r="F39" s="145">
        <v>591584.18999999994</v>
      </c>
      <c r="G39" s="112">
        <f t="shared" si="3"/>
        <v>0</v>
      </c>
      <c r="H39" s="99">
        <f>G39+'2'!H39</f>
        <v>0.18999999994412065</v>
      </c>
      <c r="I39" s="95"/>
      <c r="J39" s="175">
        <f>H39/DAY(B2)</f>
        <v>6.3333333314706877E-2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'2'!F40</f>
        <v>108469.94</v>
      </c>
      <c r="F40" s="145">
        <v>109313.94</v>
      </c>
      <c r="G40" s="112">
        <f t="shared" si="3"/>
        <v>844</v>
      </c>
      <c r="H40" s="99">
        <f>G40+'2'!H40</f>
        <v>2537.9400000000023</v>
      </c>
      <c r="I40" s="95"/>
      <c r="J40" s="175">
        <f>H40/DAY(B2)</f>
        <v>845.98000000000081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'2'!F41</f>
        <v>219097.35</v>
      </c>
      <c r="F41" s="145">
        <v>219097.35</v>
      </c>
      <c r="G41" s="112">
        <f t="shared" si="3"/>
        <v>0</v>
      </c>
      <c r="H41" s="99">
        <f>G41+'2'!H41</f>
        <v>7394.3500000000058</v>
      </c>
      <c r="I41" s="95"/>
      <c r="J41" s="175">
        <f>H41/DAY(B2)</f>
        <v>2464.7833333333351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'2'!F42</f>
        <v>748364.07</v>
      </c>
      <c r="F42" s="145">
        <v>752205.83</v>
      </c>
      <c r="G42" s="112">
        <f t="shared" si="3"/>
        <v>3841.7600000000093</v>
      </c>
      <c r="H42" s="99">
        <f>G42+'2'!H42</f>
        <v>3841.8299999999581</v>
      </c>
      <c r="I42" s="95"/>
      <c r="J42" s="175">
        <f>H42/DAY(B2)</f>
        <v>1280.609999999986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'2'!F43</f>
        <v>407028</v>
      </c>
      <c r="F43" s="145">
        <v>407028</v>
      </c>
      <c r="G43" s="112">
        <f t="shared" si="3"/>
        <v>0</v>
      </c>
      <c r="H43" s="99">
        <f>G43+'2'!H43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8107</v>
      </c>
      <c r="H47" s="99">
        <f>G47+'2'!H47</f>
        <v>23072.489999999874</v>
      </c>
      <c r="I47" s="95"/>
      <c r="J47" s="175">
        <f>H47/DAY(B2)</f>
        <v>7690.8299999999581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'2'!F49</f>
        <v>490686</v>
      </c>
      <c r="F49" s="145">
        <v>494760.19</v>
      </c>
      <c r="G49" s="112">
        <f t="shared" ref="G49:G58" si="4">F49-E49</f>
        <v>4074.1900000000023</v>
      </c>
      <c r="H49" s="99">
        <f>G49+'2'!H49</f>
        <v>12706.190000000002</v>
      </c>
      <c r="I49" s="95"/>
      <c r="J49" s="175">
        <f>H49/DAY(B2)</f>
        <v>4235.3966666666674</v>
      </c>
      <c r="K49" s="79"/>
      <c r="L49" s="66"/>
      <c r="N49" s="87">
        <f>G35+G49</f>
        <v>4074.1900000000023</v>
      </c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'2'!F50</f>
        <v>284824.23</v>
      </c>
      <c r="F50" s="145">
        <v>286410.77</v>
      </c>
      <c r="G50" s="112">
        <f t="shared" si="4"/>
        <v>1586.5400000000373</v>
      </c>
      <c r="H50" s="99">
        <f>G50+'2'!H50</f>
        <v>3660.7700000000186</v>
      </c>
      <c r="I50" s="95"/>
      <c r="J50" s="175">
        <f>H50/DAY(B2)</f>
        <v>1220.2566666666728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'2'!F51</f>
        <v>10718.82</v>
      </c>
      <c r="F51" s="145">
        <v>11810.51</v>
      </c>
      <c r="G51" s="112">
        <f t="shared" si="4"/>
        <v>1091.6900000000005</v>
      </c>
      <c r="H51" s="99">
        <f>G51+'2'!H51</f>
        <v>3302.51</v>
      </c>
      <c r="I51" s="95"/>
      <c r="J51" s="175">
        <f>H51/DAY(B2)</f>
        <v>1100.8366666666668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9.76</v>
      </c>
      <c r="G52" s="112">
        <f t="shared" si="4"/>
        <v>0</v>
      </c>
      <c r="H52" s="99">
        <f>G52+'2'!H52</f>
        <v>-0.24000000000000021</v>
      </c>
      <c r="I52" s="95"/>
      <c r="J52" s="175">
        <f>H52/DAY(B2)</f>
        <v>-8.0000000000000071E-2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'2'!F53</f>
        <v>42633.3</v>
      </c>
      <c r="F53" s="145">
        <v>46917.26</v>
      </c>
      <c r="G53" s="112">
        <f t="shared" si="4"/>
        <v>4283.9599999999991</v>
      </c>
      <c r="H53" s="99">
        <f>G53+'2'!H53</f>
        <v>13056.260000000002</v>
      </c>
      <c r="I53" s="95"/>
      <c r="J53" s="175">
        <f>H53/DAY(B2)</f>
        <v>4352.086666666667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'2'!F54</f>
        <v>88630.07</v>
      </c>
      <c r="F54" s="145">
        <v>88971.37</v>
      </c>
      <c r="G54" s="112">
        <f t="shared" si="4"/>
        <v>341.29999999998836</v>
      </c>
      <c r="H54" s="99">
        <f>G54+'2'!H54</f>
        <v>1028.3699999999953</v>
      </c>
      <c r="I54" s="95"/>
      <c r="J54" s="175">
        <f>H54/DAY(B2)</f>
        <v>342.78999999999843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'2'!F55</f>
        <v>368408.91</v>
      </c>
      <c r="F55" s="145">
        <v>371926.56</v>
      </c>
      <c r="G55" s="112">
        <f t="shared" si="4"/>
        <v>3517.6500000000233</v>
      </c>
      <c r="H55" s="99">
        <f>G55+'2'!H55</f>
        <v>9149.5599999999977</v>
      </c>
      <c r="I55" s="95"/>
      <c r="J55" s="175">
        <f>H55/DAY(B2)</f>
        <v>3049.8533333333326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'2'!F56</f>
        <v>123882.39</v>
      </c>
      <c r="F56" s="145">
        <v>123882.39</v>
      </c>
      <c r="G56" s="112">
        <f t="shared" si="4"/>
        <v>0</v>
      </c>
      <c r="H56" s="99">
        <f>G56+'2'!H56</f>
        <v>0.38999999999941792</v>
      </c>
      <c r="I56" s="95"/>
      <c r="J56" s="175">
        <f>H56/DAY(B2)</f>
        <v>0.12999999999980597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'2'!F57</f>
        <v>232238.07</v>
      </c>
      <c r="F57" s="145">
        <v>235413.19</v>
      </c>
      <c r="G57" s="112">
        <f t="shared" si="4"/>
        <v>3175.1199999999953</v>
      </c>
      <c r="H57" s="99">
        <f>G57+'2'!H57</f>
        <v>9243.1900000000023</v>
      </c>
      <c r="I57" s="95"/>
      <c r="J57" s="175">
        <f>H57/DAY(B2)</f>
        <v>3081.063333333334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'2'!F58</f>
        <v>49637.94</v>
      </c>
      <c r="F58" s="145">
        <v>49871.4</v>
      </c>
      <c r="G58" s="112">
        <f t="shared" si="4"/>
        <v>233.45999999999913</v>
      </c>
      <c r="H58" s="99">
        <f>G58+'2'!H58</f>
        <v>762.40000000000146</v>
      </c>
      <c r="I58" s="95"/>
      <c r="J58" s="175">
        <f>H58/DAY(B2)</f>
        <v>254.13333333333381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18303.910000000047</v>
      </c>
      <c r="H59" s="99">
        <f>G59+'2'!H59</f>
        <v>52909.400000000023</v>
      </c>
      <c r="I59" s="95">
        <f>G7-G60</f>
        <v>1217.2799999999552</v>
      </c>
      <c r="J59" s="175">
        <f>H59/DAY(B2)</f>
        <v>17636.466666666674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26410.910000000047</v>
      </c>
      <c r="H60" s="99">
        <f>G60+'2'!H60</f>
        <v>75981.889999999898</v>
      </c>
      <c r="I60" s="95">
        <f>G13-G60</f>
        <v>485.28999999967346</v>
      </c>
      <c r="J60" s="175">
        <f>H60/DAY(B2)</f>
        <v>25327.296666666633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'2'!F62</f>
        <v>296469</v>
      </c>
      <c r="F62" s="164">
        <v>296570</v>
      </c>
      <c r="G62" s="112">
        <f t="shared" ref="G62:G63" si="5">F62-E62</f>
        <v>101</v>
      </c>
      <c r="H62" s="99">
        <f>G62+'2'!H62</f>
        <v>295</v>
      </c>
      <c r="I62" s="118"/>
      <c r="J62" s="175">
        <f>H62/DAY(B2)</f>
        <v>98.333333333333329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'2'!F63</f>
        <v>239457</v>
      </c>
      <c r="F63" s="122">
        <v>239573</v>
      </c>
      <c r="G63" s="112">
        <f t="shared" si="5"/>
        <v>116</v>
      </c>
      <c r="H63" s="99">
        <f>G63+'2'!H63</f>
        <v>440</v>
      </c>
      <c r="I63" s="118"/>
      <c r="J63" s="175">
        <f>H63/DAY(B2)</f>
        <v>146.66666666666666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'2'!F64</f>
        <v>0</v>
      </c>
      <c r="F64" s="122"/>
      <c r="G64" s="112">
        <f>G62+G63</f>
        <v>217</v>
      </c>
      <c r="H64" s="99">
        <f>G64+'2'!H64</f>
        <v>735</v>
      </c>
      <c r="I64" s="118"/>
      <c r="J64" s="175">
        <f>H64/DAY(B2)</f>
        <v>245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'2'!F65</f>
        <v>454905</v>
      </c>
      <c r="F65" s="122">
        <v>455009</v>
      </c>
      <c r="G65" s="112">
        <f t="shared" ref="G65:G70" si="6">F65-E65</f>
        <v>104</v>
      </c>
      <c r="H65" s="99">
        <f>G65+'2'!H65</f>
        <v>299</v>
      </c>
      <c r="I65" s="118"/>
      <c r="J65" s="175">
        <f>H65/DAY(B2)</f>
        <v>99.666666666666671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'2'!F66</f>
        <v>111764</v>
      </c>
      <c r="F66" s="122">
        <v>111784</v>
      </c>
      <c r="G66" s="112">
        <f t="shared" si="6"/>
        <v>20</v>
      </c>
      <c r="H66" s="99">
        <f>G66+'2'!H66</f>
        <v>62</v>
      </c>
      <c r="I66" s="118"/>
      <c r="J66" s="175">
        <f>H66/DAY(B2)</f>
        <v>20.666666666666668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'2'!F67</f>
        <v>113680</v>
      </c>
      <c r="F67" s="150">
        <v>113680</v>
      </c>
      <c r="G67" s="112">
        <f t="shared" si="6"/>
        <v>0</v>
      </c>
      <c r="H67" s="99">
        <f>G67+'2'!H67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'2'!F68</f>
        <v>164714</v>
      </c>
      <c r="F68" s="122">
        <v>164731</v>
      </c>
      <c r="G68" s="112">
        <f t="shared" si="6"/>
        <v>17</v>
      </c>
      <c r="H68" s="99">
        <f>G68+'2'!H68</f>
        <v>69</v>
      </c>
      <c r="I68" s="118"/>
      <c r="J68" s="175">
        <f>H68/DAY(B2)</f>
        <v>23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'2'!F69</f>
        <v>12288</v>
      </c>
      <c r="F69" s="122">
        <v>12291</v>
      </c>
      <c r="G69" s="112">
        <f t="shared" si="6"/>
        <v>3</v>
      </c>
      <c r="H69" s="99">
        <f>G69+'2'!H69</f>
        <v>16</v>
      </c>
      <c r="I69" s="118"/>
      <c r="J69" s="175">
        <f>H69/DAY(B2)</f>
        <v>5.333333333333333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'2'!F70</f>
        <v>9844</v>
      </c>
      <c r="F70" s="150">
        <v>9850</v>
      </c>
      <c r="G70" s="112">
        <f t="shared" si="6"/>
        <v>6</v>
      </c>
      <c r="H70" s="99">
        <f>G70+'2'!H70</f>
        <v>23</v>
      </c>
      <c r="I70" s="118"/>
      <c r="J70" s="175">
        <f>H70/DAY(B2)</f>
        <v>7.666666666666667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150</v>
      </c>
      <c r="H71" s="99">
        <f>G71+'2'!H71</f>
        <v>469</v>
      </c>
      <c r="I71" s="154"/>
      <c r="J71" s="175">
        <f>H71/DAY(B2)</f>
        <v>156.33333333333334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'2'!F74</f>
        <v>958252.23</v>
      </c>
      <c r="F74" s="117">
        <v>958533.51</v>
      </c>
      <c r="G74" s="112">
        <f t="shared" ref="G74:G78" si="7">F74-E74</f>
        <v>281.28000000002794</v>
      </c>
      <c r="H74" s="99">
        <f>G74+'2'!H74</f>
        <v>875.65000000002328</v>
      </c>
      <c r="I74" s="154"/>
      <c r="J74" s="175">
        <f>H74/DAY(B2)</f>
        <v>291.88333333334111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'2'!F75</f>
        <v>73586.8</v>
      </c>
      <c r="F75" s="123">
        <v>73586</v>
      </c>
      <c r="G75" s="112">
        <f t="shared" si="7"/>
        <v>-0.80000000000291038</v>
      </c>
      <c r="H75" s="99">
        <f>G75+'2'!H75</f>
        <v>-0.80000000000291038</v>
      </c>
      <c r="I75" s="154"/>
      <c r="J75" s="175">
        <f>H75/DAY(B2)</f>
        <v>-0.26666666666763678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'2'!F76</f>
        <v>190401</v>
      </c>
      <c r="F76" s="123">
        <v>190509</v>
      </c>
      <c r="G76" s="112">
        <f t="shared" si="7"/>
        <v>108</v>
      </c>
      <c r="H76" s="99">
        <f>G76+'2'!H76</f>
        <v>337</v>
      </c>
      <c r="I76" s="154"/>
      <c r="J76" s="175">
        <f>H76/DAY(B2)</f>
        <v>112.33333333333333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'2'!F77</f>
        <v>50406.8</v>
      </c>
      <c r="F77" s="123">
        <v>50455</v>
      </c>
      <c r="G77" s="112">
        <f t="shared" si="7"/>
        <v>48.19999999999709</v>
      </c>
      <c r="H77" s="99">
        <f>G77+'2'!H77</f>
        <v>142</v>
      </c>
      <c r="I77" s="154"/>
      <c r="J77" s="175">
        <f>H77/DAY(B2)</f>
        <v>47.333333333333336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'2'!F78</f>
        <v>9563</v>
      </c>
      <c r="F78" s="123">
        <v>9563</v>
      </c>
      <c r="G78" s="112">
        <f t="shared" si="7"/>
        <v>0</v>
      </c>
      <c r="H78" s="99">
        <f>G78+'2'!H78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'2'!F79</f>
        <v>0</v>
      </c>
      <c r="F79" s="117"/>
      <c r="G79" s="112">
        <f>G15-SUM(G74:G78)</f>
        <v>542.52000000016415</v>
      </c>
      <c r="H79" s="99">
        <f>G79+'2'!H79</f>
        <v>1689.6499999999796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979.20000000018626</v>
      </c>
      <c r="H80" s="99">
        <f>G80+'2'!H80</f>
        <v>1979.8999999999069</v>
      </c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'2'!F84</f>
        <v>42623.12</v>
      </c>
      <c r="F84" s="164">
        <v>42623.12</v>
      </c>
      <c r="G84" s="112">
        <f t="shared" si="8"/>
        <v>0</v>
      </c>
      <c r="H84" s="99">
        <f>G84+'2'!H84</f>
        <v>34.120000000002619</v>
      </c>
      <c r="I84" s="571"/>
      <c r="J84" s="175">
        <f>H84/DAY(B2)</f>
        <v>11.373333333334207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'2'!F85</f>
        <v>5140.1899999999996</v>
      </c>
      <c r="F85" s="164">
        <v>5156.4799999999996</v>
      </c>
      <c r="G85" s="112">
        <f t="shared" si="8"/>
        <v>16.289999999999964</v>
      </c>
      <c r="H85" s="99">
        <f>G85+'2'!H85</f>
        <v>16.289999999999964</v>
      </c>
      <c r="I85" s="571"/>
      <c r="J85" s="175">
        <f>H85/DAY(B2)</f>
        <v>5.4299999999999882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'2'!F86</f>
        <v>45418</v>
      </c>
      <c r="F86" s="164">
        <v>45442.239999999998</v>
      </c>
      <c r="G86" s="112">
        <f t="shared" si="8"/>
        <v>24.239999999997963</v>
      </c>
      <c r="H86" s="99">
        <f>G86+'2'!H86</f>
        <v>63.239999999997963</v>
      </c>
      <c r="I86" s="571"/>
      <c r="J86" s="175">
        <f>H86/DAY(B2)</f>
        <v>21.07999999999932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'2'!F87</f>
        <v>35457.43</v>
      </c>
      <c r="F87" s="164">
        <v>35457.43</v>
      </c>
      <c r="G87" s="112">
        <f t="shared" si="8"/>
        <v>0</v>
      </c>
      <c r="H87" s="99">
        <f>G87+'2'!H87</f>
        <v>0</v>
      </c>
      <c r="I87" s="571">
        <f>G84+G85+G86+G87</f>
        <v>40.529999999997926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'2'!F88</f>
        <v>24303.46</v>
      </c>
      <c r="F88" s="164">
        <v>24303.46</v>
      </c>
      <c r="G88" s="112">
        <f t="shared" si="8"/>
        <v>0</v>
      </c>
      <c r="H88" s="99">
        <f>G88+'2'!H88</f>
        <v>0</v>
      </c>
      <c r="I88" s="571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'2'!F89</f>
        <v>27585.59</v>
      </c>
      <c r="F89" s="164">
        <v>27594.14</v>
      </c>
      <c r="G89" s="112">
        <f t="shared" si="8"/>
        <v>8.5499999999992724</v>
      </c>
      <c r="H89" s="99">
        <f>G89+'2'!H89</f>
        <v>27.529999999998836</v>
      </c>
      <c r="I89" s="571">
        <f>G88+G89</f>
        <v>8.5499999999992724</v>
      </c>
      <c r="J89" s="175">
        <f>H89/DAY(B2)</f>
        <v>9.1766666666662786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'2'!F90</f>
        <v>72628.39</v>
      </c>
      <c r="F90" s="164">
        <v>72639.12</v>
      </c>
      <c r="G90" s="112">
        <f t="shared" si="8"/>
        <v>10.729999999995925</v>
      </c>
      <c r="H90" s="99">
        <f>G90+'2'!H90</f>
        <v>32.569999999992433</v>
      </c>
      <c r="I90" s="571">
        <f>G90</f>
        <v>10.729999999995925</v>
      </c>
      <c r="J90" s="175">
        <f>H90/DAY(B2)</f>
        <v>10.856666666664145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'2'!F91</f>
        <v>4289.54</v>
      </c>
      <c r="F91" s="164">
        <v>4289.5600000000004</v>
      </c>
      <c r="G91" s="112">
        <f t="shared" si="8"/>
        <v>2.0000000000436557E-2</v>
      </c>
      <c r="H91" s="99">
        <f>G91+'2'!H91</f>
        <v>2.0000000000436557E-2</v>
      </c>
      <c r="I91" s="590"/>
      <c r="J91" s="175">
        <f>H91/DAY(B2)</f>
        <v>6.6666666668121861E-3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'2'!F92</f>
        <v>6738.48</v>
      </c>
      <c r="F92" s="122">
        <v>6748.56</v>
      </c>
      <c r="G92" s="112">
        <f t="shared" si="8"/>
        <v>10.080000000000837</v>
      </c>
      <c r="H92" s="99">
        <f>G92+'2'!H92</f>
        <v>31.230000000000473</v>
      </c>
      <c r="I92" s="596">
        <f>G91+G92</f>
        <v>10.100000000001273</v>
      </c>
      <c r="J92" s="175">
        <f>H92/DAY(B2)</f>
        <v>10.410000000000158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7249.3099999999977</v>
      </c>
      <c r="H94" s="99">
        <f>G94+'2'!H94</f>
        <v>21949.429999999993</v>
      </c>
      <c r="I94" s="118"/>
      <c r="J94" s="175">
        <f>H94/DAY(B2)</f>
        <v>7316.4766666666646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0.26238816223574535</v>
      </c>
      <c r="H95" s="99">
        <f>G95+'2'!H95</f>
        <v>0.83938589040138178</v>
      </c>
      <c r="I95" s="167"/>
      <c r="J95" s="175">
        <f>H95/DAY(B2)</f>
        <v>0.27979529680046061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7359.4100000000326</v>
      </c>
      <c r="H96" s="99">
        <f>G96+'2'!H96</f>
        <v>20386.129999999961</v>
      </c>
      <c r="I96" s="118"/>
      <c r="J96" s="175">
        <f>H96/DAY(B2)</f>
        <v>6795.3766666666534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0.2663732224224617</v>
      </c>
      <c r="H97" s="99">
        <f>G97+'2'!H97</f>
        <v>0.77773795774913279</v>
      </c>
      <c r="I97" s="167"/>
      <c r="J97" s="175">
        <f>H97/DAY(B2)</f>
        <v>0.2592459859163776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4283.9599999999991</v>
      </c>
      <c r="H98" s="99">
        <f>G98+'2'!H98</f>
        <v>13056.449999999946</v>
      </c>
      <c r="I98" s="168"/>
      <c r="J98" s="175">
        <f>H98/DAY(B2)</f>
        <v>4352.1499999999824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0.15505756982270641</v>
      </c>
      <c r="H99" s="99">
        <f>G99+'2'!H99</f>
        <v>0.49938359848059344</v>
      </c>
      <c r="I99" s="168"/>
      <c r="J99" s="175">
        <f>H99/DAY(B2)</f>
        <v>0.16646119949353114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2247.1199999999953</v>
      </c>
      <c r="H100" s="99">
        <f>G100+'2'!H100</f>
        <v>6728.2299999999723</v>
      </c>
      <c r="I100" s="118"/>
      <c r="J100" s="175">
        <f>H100/DAY(B2)</f>
        <v>2242.7433333333242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8.1334318317631202E-2</v>
      </c>
      <c r="H101" s="99">
        <f>G101+'2'!H101</f>
        <v>0.25722560432771435</v>
      </c>
      <c r="I101" s="168"/>
      <c r="J101" s="175">
        <f>H101/DAY(B2)</f>
        <v>8.5741868109238117E-2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2760.6600000000326</v>
      </c>
      <c r="H102" s="99">
        <f>G102+'2'!H102</f>
        <v>6230.7400000000198</v>
      </c>
      <c r="I102" s="168"/>
      <c r="J102" s="175">
        <f>H102/DAY(B2)</f>
        <v>2076.9133333333398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9.9921855177629526E-2</v>
      </c>
      <c r="H103" s="99">
        <f>G103+'2'!H103</f>
        <v>0.23611496820246897</v>
      </c>
      <c r="I103" s="118"/>
      <c r="J103" s="175">
        <f>H103/DAY(B2)</f>
        <v>7.8704989400822989E-2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1091.6900000000005</v>
      </c>
      <c r="H104" s="99">
        <f>G104+'2'!H104</f>
        <v>3302.2000000000025</v>
      </c>
      <c r="I104" s="118"/>
      <c r="J104" s="175">
        <f>H104/DAY(B2)</f>
        <v>1100.7333333333343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3.9513627204677555E-2</v>
      </c>
      <c r="H105" s="99">
        <f>G105+'2'!H105</f>
        <v>0.12628147107891874</v>
      </c>
      <c r="I105" s="187"/>
      <c r="J105" s="188">
        <f>H105/DAY(B2)</f>
        <v>4.2093823692972911E-2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'2'!F112</f>
        <v>7410.72</v>
      </c>
      <c r="F112" s="237">
        <v>7483.16</v>
      </c>
      <c r="G112" s="112">
        <f t="shared" ref="G112:G123" si="9">F112-E112</f>
        <v>72.4399999999996</v>
      </c>
      <c r="H112" s="99">
        <f>G112+'2'!H112</f>
        <v>218.15999999999985</v>
      </c>
      <c r="I112" s="165"/>
      <c r="J112" s="328">
        <f>H112/DAY(B2)</f>
        <v>72.719999999999956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'2'!F113</f>
        <v>15298</v>
      </c>
      <c r="F113" s="237">
        <v>15434.55</v>
      </c>
      <c r="G113" s="112">
        <f t="shared" si="9"/>
        <v>136.54999999999927</v>
      </c>
      <c r="H113" s="99">
        <f>G113+'2'!H113</f>
        <v>419.54999999999927</v>
      </c>
      <c r="I113" s="165"/>
      <c r="J113" s="328">
        <f>H113/DAY(B2)</f>
        <v>139.84999999999977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'2'!F114</f>
        <v>21754.9</v>
      </c>
      <c r="F114" s="237">
        <v>21918.47</v>
      </c>
      <c r="G114" s="112">
        <f t="shared" si="9"/>
        <v>163.56999999999971</v>
      </c>
      <c r="H114" s="99">
        <f>G114+'2'!H114</f>
        <v>650.47000000000116</v>
      </c>
      <c r="I114" s="165"/>
      <c r="J114" s="328">
        <f>H114/DAY(B2)</f>
        <v>216.82333333333372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'2'!F115</f>
        <v>13732</v>
      </c>
      <c r="F115" s="237">
        <v>13889.91</v>
      </c>
      <c r="G115" s="112">
        <f t="shared" si="9"/>
        <v>157.90999999999985</v>
      </c>
      <c r="H115" s="99">
        <f>G115+'2'!H115</f>
        <v>459.90999999999985</v>
      </c>
      <c r="I115" s="165"/>
      <c r="J115" s="328">
        <f>H115/DAY(B2)</f>
        <v>153.30333333333328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'2'!F116</f>
        <v>71317.58</v>
      </c>
      <c r="F116" s="237">
        <v>71727.600000000006</v>
      </c>
      <c r="G116" s="112">
        <f t="shared" si="9"/>
        <v>410.02000000000407</v>
      </c>
      <c r="H116" s="99">
        <f>G116+'2'!H116</f>
        <v>1235.6000000000058</v>
      </c>
      <c r="I116" s="165"/>
      <c r="J116" s="328">
        <f>H116/DAY(B2)</f>
        <v>411.86666666666861</v>
      </c>
      <c r="Q116" s="898"/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'2'!F117</f>
        <v>41410.17</v>
      </c>
      <c r="F117" s="237">
        <v>41587.29</v>
      </c>
      <c r="G117" s="112">
        <f t="shared" si="9"/>
        <v>177.12000000000262</v>
      </c>
      <c r="H117" s="99">
        <f>G117+'2'!H117</f>
        <v>665.29000000000087</v>
      </c>
      <c r="I117" s="165"/>
      <c r="J117" s="328">
        <f>H117/DAY(B2)</f>
        <v>221.76333333333363</v>
      </c>
      <c r="Q117" s="898"/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'2'!F118</f>
        <v>65934.989999999991</v>
      </c>
      <c r="F118" s="237">
        <v>66526.149999999994</v>
      </c>
      <c r="G118" s="112">
        <f t="shared" si="9"/>
        <v>591.16000000000349</v>
      </c>
      <c r="H118" s="99">
        <f>G118+'2'!H118</f>
        <v>1854.1499999999942</v>
      </c>
      <c r="I118" s="165"/>
      <c r="J118" s="328">
        <f>H118/DAY(B2)</f>
        <v>618.04999999999802</v>
      </c>
      <c r="Q118" s="898"/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'2'!F119</f>
        <v>37905.56</v>
      </c>
      <c r="F119" s="237">
        <v>38133.199999999997</v>
      </c>
      <c r="G119" s="112">
        <f t="shared" si="9"/>
        <v>227.63999999999942</v>
      </c>
      <c r="H119" s="99">
        <f>G119+'2'!H119</f>
        <v>684.19999999999709</v>
      </c>
      <c r="I119" s="165"/>
      <c r="J119" s="328">
        <f>H119/DAY(B2)</f>
        <v>228.0666666666657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'2'!F120</f>
        <v>47075.37</v>
      </c>
      <c r="F120" s="237">
        <v>47487.53</v>
      </c>
      <c r="G120" s="112">
        <f t="shared" si="9"/>
        <v>412.15999999999622</v>
      </c>
      <c r="H120" s="99">
        <f>G120+'2'!H120</f>
        <v>1220.5299999999988</v>
      </c>
      <c r="I120" s="165"/>
      <c r="J120" s="328">
        <f>H120/DAY(B2)</f>
        <v>406.84333333333296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'2'!F121</f>
        <v>54501.62</v>
      </c>
      <c r="F121" s="237">
        <v>54980.33</v>
      </c>
      <c r="G121" s="112">
        <f t="shared" si="9"/>
        <v>478.70999999999913</v>
      </c>
      <c r="H121" s="99">
        <f>G121+'2'!H121</f>
        <v>1437.3300000000017</v>
      </c>
      <c r="I121" s="165"/>
      <c r="J121" s="328">
        <f>H121/DAY(B2)</f>
        <v>479.11000000000058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'2'!F122</f>
        <v>29222.86</v>
      </c>
      <c r="F122" s="237">
        <v>29510.89</v>
      </c>
      <c r="G122" s="112">
        <f t="shared" si="9"/>
        <v>288.02999999999884</v>
      </c>
      <c r="H122" s="99">
        <f>G122+'2'!H122</f>
        <v>836.88999999999942</v>
      </c>
      <c r="I122" s="165"/>
      <c r="J122" s="328">
        <f>H122/DAY(B2)</f>
        <v>278.96333333333314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'2'!F123</f>
        <v>30823.83</v>
      </c>
      <c r="F123" s="417">
        <v>31191</v>
      </c>
      <c r="G123" s="112">
        <f t="shared" si="9"/>
        <v>367.16999999999825</v>
      </c>
      <c r="H123" s="99">
        <f>G123+'2'!H123</f>
        <v>1003</v>
      </c>
      <c r="I123" s="165"/>
      <c r="J123" s="328">
        <f>H123/DAY(B2)</f>
        <v>334.33333333333331</v>
      </c>
    </row>
    <row r="124" spans="1:18" ht="29.25" customHeight="1">
      <c r="A124" s="902"/>
      <c r="B124" s="903"/>
      <c r="C124" s="904"/>
      <c r="D124" s="165"/>
      <c r="E124" s="165"/>
      <c r="F124" s="165"/>
      <c r="G124" s="327"/>
      <c r="H124" s="156"/>
      <c r="I124" s="165"/>
      <c r="J124" s="327"/>
    </row>
    <row r="125" spans="1:18" ht="26.25">
      <c r="A125" s="928" t="s">
        <v>196</v>
      </c>
      <c r="B125" s="929"/>
      <c r="C125" s="930"/>
      <c r="D125" s="307"/>
      <c r="E125" s="308"/>
      <c r="F125" s="308"/>
      <c r="G125" s="309">
        <f>SUM(G112:G124)</f>
        <v>3482.4800000000005</v>
      </c>
      <c r="H125" s="156"/>
      <c r="I125" s="327">
        <f>G125-(G39+G53)</f>
        <v>-801.47999999999865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'2'!F128</f>
        <v>128665.35</v>
      </c>
      <c r="F128" s="165">
        <v>129157.6</v>
      </c>
      <c r="G128" s="112">
        <f t="shared" ref="G128:G134" si="10">F128-E128</f>
        <v>492.25</v>
      </c>
      <c r="H128" s="99">
        <f>G128+'2'!H128</f>
        <v>1513.6000000000058</v>
      </c>
      <c r="I128" s="165"/>
      <c r="J128" s="328">
        <f>H128/DAY(B2)</f>
        <v>504.53333333333529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'2'!F129</f>
        <v>72878.509999999995</v>
      </c>
      <c r="F129" s="165">
        <v>73081.7</v>
      </c>
      <c r="G129" s="112">
        <f t="shared" si="10"/>
        <v>203.19000000000233</v>
      </c>
      <c r="H129" s="99">
        <f>G129+'2'!H129</f>
        <v>578.69999999999709</v>
      </c>
      <c r="I129" s="165"/>
      <c r="J129" s="328">
        <f>H129/DAY(B2)</f>
        <v>192.89999999999904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'2'!F130</f>
        <v>166017.32999999999</v>
      </c>
      <c r="F130" s="165">
        <v>166701.47</v>
      </c>
      <c r="G130" s="112">
        <f t="shared" si="10"/>
        <v>684.14000000001397</v>
      </c>
      <c r="H130" s="99">
        <f>G130+'2'!H130</f>
        <v>2104.4700000000012</v>
      </c>
      <c r="I130" s="165"/>
      <c r="J130" s="328">
        <f>H130/DAY(B2)</f>
        <v>701.49000000000035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'2'!F131</f>
        <v>48847.58</v>
      </c>
      <c r="F131" s="165">
        <v>49048.6</v>
      </c>
      <c r="G131" s="112">
        <f t="shared" si="10"/>
        <v>201.0199999999968</v>
      </c>
      <c r="H131" s="99">
        <f>G131+'2'!H131</f>
        <v>599.59999999999854</v>
      </c>
      <c r="I131" s="165"/>
      <c r="J131" s="328">
        <f>H131/DAY(B2)</f>
        <v>199.86666666666619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'2'!F132</f>
        <v>128940.71</v>
      </c>
      <c r="F132" s="158">
        <v>129348.54</v>
      </c>
      <c r="G132" s="112">
        <f t="shared" si="10"/>
        <v>407.82999999998719</v>
      </c>
      <c r="H132" s="99">
        <f>G132+'2'!H132</f>
        <v>1174.5399999999936</v>
      </c>
      <c r="I132" s="165"/>
      <c r="J132" s="328">
        <f>H132/DAY(B2)</f>
        <v>391.51333333333122</v>
      </c>
    </row>
    <row r="133" spans="1:15" ht="25.5">
      <c r="A133" s="898" t="s">
        <v>342</v>
      </c>
      <c r="B133" s="899"/>
      <c r="C133" s="900"/>
      <c r="D133" s="151" t="s">
        <v>183</v>
      </c>
      <c r="E133" s="95">
        <f>'2'!F133</f>
        <v>224035.59</v>
      </c>
      <c r="F133" s="165">
        <v>224035.59</v>
      </c>
      <c r="G133" s="112">
        <f t="shared" si="10"/>
        <v>0</v>
      </c>
      <c r="H133" s="99">
        <f>G133+'2'!H133</f>
        <v>0</v>
      </c>
      <c r="I133" s="165"/>
      <c r="J133" s="328">
        <f>H133/DAY(B2)</f>
        <v>0</v>
      </c>
    </row>
    <row r="134" spans="1:15" ht="25.5">
      <c r="A134" s="960" t="s">
        <v>340</v>
      </c>
      <c r="B134" s="961"/>
      <c r="C134" s="883"/>
      <c r="D134" s="151" t="s">
        <v>183</v>
      </c>
      <c r="E134" s="95">
        <f>'2'!F134</f>
        <v>49440.38</v>
      </c>
      <c r="F134" s="165">
        <v>49643.13</v>
      </c>
      <c r="G134" s="112">
        <f t="shared" si="10"/>
        <v>202.75</v>
      </c>
      <c r="H134" s="99">
        <f>G134+'2'!H134</f>
        <v>608.12999999999738</v>
      </c>
      <c r="I134" s="165"/>
      <c r="J134" s="328">
        <f>H134/DAY(B2)</f>
        <v>202.70999999999913</v>
      </c>
    </row>
    <row r="135" spans="1:15" ht="26.25">
      <c r="A135" s="928" t="s">
        <v>196</v>
      </c>
      <c r="B135" s="929"/>
      <c r="C135" s="930"/>
      <c r="D135" s="151"/>
      <c r="E135" s="95"/>
      <c r="F135" s="165"/>
      <c r="G135" s="112">
        <f>SUM(G128:G134)</f>
        <v>2191.1800000000003</v>
      </c>
      <c r="H135" s="99">
        <f>G135+'2'!H135</f>
        <v>6579.0399999999936</v>
      </c>
      <c r="I135" s="327">
        <f>G135-(G35+G49)</f>
        <v>-1883.010000000002</v>
      </c>
      <c r="J135" s="328">
        <f>H135/DAY(B2)</f>
        <v>2193.013333333331</v>
      </c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'2'!F138</f>
        <v>891407</v>
      </c>
      <c r="F138" s="147">
        <v>891552</v>
      </c>
      <c r="G138" s="112">
        <f t="shared" ref="G138:G152" si="11">F138-E138</f>
        <v>145</v>
      </c>
      <c r="H138" s="99">
        <f>G138+'2'!H138</f>
        <v>454</v>
      </c>
      <c r="I138" s="118"/>
      <c r="J138" s="328">
        <f>H138/DAY(B2)</f>
        <v>151.33333333333334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'2'!F139</f>
        <v>909174</v>
      </c>
      <c r="F139" s="148">
        <v>909358</v>
      </c>
      <c r="G139" s="112">
        <f t="shared" si="11"/>
        <v>184</v>
      </c>
      <c r="H139" s="99">
        <f>G139+'2'!H139</f>
        <v>463</v>
      </c>
      <c r="I139" s="118"/>
      <c r="J139" s="328">
        <f>H139/DAY(B2)</f>
        <v>154.33333333333334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'2'!F140</f>
        <v>1543.2</v>
      </c>
      <c r="F140" s="149">
        <v>1557</v>
      </c>
      <c r="G140" s="112">
        <f t="shared" si="11"/>
        <v>13.799999999999955</v>
      </c>
      <c r="H140" s="99">
        <f>G140+'2'!H140</f>
        <v>44</v>
      </c>
      <c r="I140" s="118"/>
      <c r="J140" s="328">
        <f>H140/DAY(B2)</f>
        <v>14.666666666666666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'2'!F141</f>
        <v>90828.160000000003</v>
      </c>
      <c r="F141" s="149">
        <v>91024.43</v>
      </c>
      <c r="G141" s="112">
        <f t="shared" si="11"/>
        <v>196.26999999998952</v>
      </c>
      <c r="H141" s="99">
        <f>G141+'2'!H141</f>
        <v>572.42999999999302</v>
      </c>
      <c r="I141" s="118"/>
      <c r="J141" s="328">
        <f>H141/DAY(B2)</f>
        <v>190.80999999999767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'2'!F142</f>
        <v>36788.53</v>
      </c>
      <c r="F142" s="148">
        <v>36858.699999999997</v>
      </c>
      <c r="G142" s="112">
        <f t="shared" si="11"/>
        <v>70.169999999998254</v>
      </c>
      <c r="H142" s="99">
        <f>G142+'2'!H142</f>
        <v>197.69999999999709</v>
      </c>
      <c r="I142" s="140"/>
      <c r="J142" s="328">
        <f>H142/DAY(B2)</f>
        <v>65.899999999999025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'2'!F143</f>
        <v>9104.9</v>
      </c>
      <c r="F143" s="149">
        <v>9129.43</v>
      </c>
      <c r="G143" s="112">
        <f t="shared" si="11"/>
        <v>24.530000000000655</v>
      </c>
      <c r="H143" s="99">
        <f>G143+'2'!H143</f>
        <v>78.430000000000291</v>
      </c>
      <c r="I143" s="140"/>
      <c r="J143" s="328">
        <f>H143/DAY(B2)</f>
        <v>26.14333333333343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'2'!F144</f>
        <v>920257</v>
      </c>
      <c r="F144" s="149">
        <v>920470</v>
      </c>
      <c r="G144" s="112">
        <f t="shared" si="11"/>
        <v>213</v>
      </c>
      <c r="H144" s="99">
        <f>G144+'2'!H144</f>
        <v>633</v>
      </c>
      <c r="I144" s="140"/>
      <c r="J144" s="328">
        <f>H144/DAY(B2)</f>
        <v>211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'2'!F145</f>
        <v>5875.74</v>
      </c>
      <c r="F145" s="149">
        <v>5912</v>
      </c>
      <c r="G145" s="112">
        <f t="shared" si="11"/>
        <v>36.260000000000218</v>
      </c>
      <c r="H145" s="99">
        <f>G145+'2'!H145</f>
        <v>105</v>
      </c>
      <c r="I145" s="140"/>
      <c r="J145" s="328">
        <f>H145/DAY(B2)</f>
        <v>35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'2'!F146</f>
        <v>781019</v>
      </c>
      <c r="F146" s="147">
        <v>781091</v>
      </c>
      <c r="G146" s="112">
        <f t="shared" si="11"/>
        <v>72</v>
      </c>
      <c r="H146" s="99">
        <f>G146+'2'!H146</f>
        <v>291</v>
      </c>
      <c r="I146" s="140"/>
      <c r="J146" s="328">
        <f>H146/DAY(B2)</f>
        <v>97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'2'!F147</f>
        <v>700499</v>
      </c>
      <c r="F147" s="148">
        <v>700894.64</v>
      </c>
      <c r="G147" s="112">
        <f t="shared" si="11"/>
        <v>395.64000000001397</v>
      </c>
      <c r="H147" s="99">
        <f>G147+'2'!H147</f>
        <v>1125.640000000014</v>
      </c>
      <c r="I147" s="140"/>
      <c r="J147" s="328">
        <f>H147/DAY(B2)</f>
        <v>375.21333333333797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'2'!F148</f>
        <v>749102.96</v>
      </c>
      <c r="F148" s="150">
        <v>749395.28</v>
      </c>
      <c r="G148" s="112">
        <f t="shared" si="11"/>
        <v>292.32000000006519</v>
      </c>
      <c r="H148" s="99">
        <f>G148+'2'!H148</f>
        <v>865.28000000002794</v>
      </c>
      <c r="I148" s="124"/>
      <c r="J148" s="328">
        <f>H148/DAY(B2)</f>
        <v>288.426666666676</v>
      </c>
    </row>
    <row r="149" spans="1:10" ht="25.5">
      <c r="A149" s="956" t="s">
        <v>336</v>
      </c>
      <c r="B149" s="957"/>
      <c r="C149" s="958"/>
      <c r="D149" s="227" t="s">
        <v>130</v>
      </c>
      <c r="E149" s="95">
        <f>'2'!F149</f>
        <v>133324.70000000001</v>
      </c>
      <c r="F149" s="146">
        <v>133764.82999999999</v>
      </c>
      <c r="G149" s="112">
        <f t="shared" si="11"/>
        <v>440.12999999997555</v>
      </c>
      <c r="H149" s="99">
        <f>G149+'2'!H149</f>
        <v>1330.8299999999872</v>
      </c>
      <c r="I149" s="119"/>
      <c r="J149" s="328">
        <f>H149/DAY(B2)</f>
        <v>443.60999999999575</v>
      </c>
    </row>
    <row r="150" spans="1:10" ht="25.5">
      <c r="A150" s="956" t="s">
        <v>337</v>
      </c>
      <c r="B150" s="957"/>
      <c r="C150" s="958"/>
      <c r="D150" s="117" t="s">
        <v>130</v>
      </c>
      <c r="E150" s="95">
        <f>'2'!F150</f>
        <v>51051.3</v>
      </c>
      <c r="F150" s="233">
        <v>51269.25</v>
      </c>
      <c r="G150" s="112">
        <f t="shared" si="11"/>
        <v>217.94999999999709</v>
      </c>
      <c r="H150" s="99">
        <f>G150+'2'!H150</f>
        <v>654.25</v>
      </c>
      <c r="I150" s="119"/>
      <c r="J150" s="328">
        <f>H150/DAY(B2)</f>
        <v>218.08333333333334</v>
      </c>
    </row>
    <row r="151" spans="1:10" ht="29.25" customHeight="1">
      <c r="A151" s="956" t="s">
        <v>338</v>
      </c>
      <c r="B151" s="957"/>
      <c r="C151" s="958"/>
      <c r="D151" s="117" t="s">
        <v>130</v>
      </c>
      <c r="E151" s="95">
        <f>'2'!F151</f>
        <v>136117</v>
      </c>
      <c r="F151" s="233">
        <v>136436</v>
      </c>
      <c r="G151" s="112">
        <f t="shared" si="11"/>
        <v>319</v>
      </c>
      <c r="H151" s="99">
        <f>G151+'2'!H151</f>
        <v>987</v>
      </c>
      <c r="I151" s="119"/>
      <c r="J151" s="328">
        <f>H151/DAY(B2)</f>
        <v>329</v>
      </c>
    </row>
    <row r="152" spans="1:10" ht="29.25" customHeight="1">
      <c r="A152" s="956" t="s">
        <v>339</v>
      </c>
      <c r="B152" s="957"/>
      <c r="C152" s="958"/>
      <c r="D152" s="117" t="s">
        <v>130</v>
      </c>
      <c r="E152" s="95">
        <f>'2'!F152</f>
        <v>23376.5</v>
      </c>
      <c r="F152" s="233">
        <v>24391.59</v>
      </c>
      <c r="G152" s="112">
        <f t="shared" si="11"/>
        <v>1015.0900000000001</v>
      </c>
      <c r="H152" s="99">
        <f>G152+'2'!H152</f>
        <v>1237.5900000000001</v>
      </c>
      <c r="I152" s="119"/>
      <c r="J152" s="328">
        <f>H152/DAY(B2)</f>
        <v>412.53000000000003</v>
      </c>
    </row>
    <row r="153" spans="1:10" ht="29.25" customHeight="1">
      <c r="A153" s="928" t="s">
        <v>196</v>
      </c>
      <c r="B153" s="929"/>
      <c r="C153" s="930"/>
      <c r="D153" s="367"/>
      <c r="E153" s="368"/>
      <c r="F153" s="369"/>
      <c r="G153" s="370">
        <f>SUM(G138:G152)</f>
        <v>3635.1600000000408</v>
      </c>
      <c r="H153" s="371"/>
      <c r="I153" s="119">
        <f>G153-(G38+G52)</f>
        <v>1388.0400000000454</v>
      </c>
      <c r="J153" s="372"/>
    </row>
    <row r="154" spans="1:10" ht="29.25" customHeight="1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9.25" customHeight="1">
      <c r="A155" s="876" t="s">
        <v>345</v>
      </c>
      <c r="B155" s="876"/>
      <c r="C155" s="876"/>
      <c r="D155" s="117" t="s">
        <v>130</v>
      </c>
      <c r="E155" s="95">
        <f>'2'!F155</f>
        <v>149289</v>
      </c>
      <c r="F155" s="389">
        <v>150123.29</v>
      </c>
      <c r="G155" s="112">
        <f t="shared" ref="G155:G158" si="12">F155-E155</f>
        <v>834.29000000000815</v>
      </c>
      <c r="H155" s="99">
        <f>G155+'2'!H155</f>
        <v>1974.2900000000081</v>
      </c>
      <c r="I155" s="364"/>
      <c r="J155" s="328">
        <f>H155/DAY(B2)</f>
        <v>658.09666666666942</v>
      </c>
    </row>
    <row r="156" spans="1:10" ht="29.25" customHeight="1">
      <c r="A156" s="959" t="s">
        <v>346</v>
      </c>
      <c r="B156" s="959"/>
      <c r="C156" s="959"/>
      <c r="D156" s="117" t="s">
        <v>130</v>
      </c>
      <c r="E156" s="95">
        <f>'2'!F156</f>
        <v>14898</v>
      </c>
      <c r="F156" s="389">
        <v>15041.169</v>
      </c>
      <c r="G156" s="112">
        <f t="shared" si="12"/>
        <v>143.16899999999987</v>
      </c>
      <c r="H156" s="99">
        <f>G156+'2'!H156</f>
        <v>307.16899999999987</v>
      </c>
      <c r="I156" s="165"/>
      <c r="J156" s="328">
        <f>H156/DAY(B2)</f>
        <v>102.38966666666663</v>
      </c>
    </row>
    <row r="157" spans="1:10" ht="29.25" customHeight="1">
      <c r="A157" s="877" t="s">
        <v>360</v>
      </c>
      <c r="B157" s="878"/>
      <c r="C157" s="879"/>
      <c r="D157" s="117" t="s">
        <v>130</v>
      </c>
      <c r="E157" s="95">
        <f>'2'!F157</f>
        <v>27777.71</v>
      </c>
      <c r="F157" s="389">
        <v>27904.33</v>
      </c>
      <c r="G157" s="112">
        <f t="shared" si="12"/>
        <v>126.62000000000262</v>
      </c>
      <c r="H157" s="99">
        <f>G157+'2'!H157</f>
        <v>458.33000000000175</v>
      </c>
      <c r="I157" s="165"/>
      <c r="J157" s="328"/>
    </row>
    <row r="158" spans="1:10" ht="29.25" customHeight="1">
      <c r="A158" s="877" t="s">
        <v>361</v>
      </c>
      <c r="B158" s="878"/>
      <c r="C158" s="879"/>
      <c r="D158" s="117" t="s">
        <v>130</v>
      </c>
      <c r="E158" s="95">
        <f>'2'!F158</f>
        <v>238.7</v>
      </c>
      <c r="F158" s="389">
        <v>239.04</v>
      </c>
      <c r="G158" s="112">
        <f t="shared" si="12"/>
        <v>0.34000000000000341</v>
      </c>
      <c r="H158" s="99">
        <f>G158+'2'!H158</f>
        <v>150.61999999999998</v>
      </c>
      <c r="I158" s="165"/>
      <c r="J158" s="328"/>
    </row>
    <row r="159" spans="1:10" ht="29.25" customHeight="1">
      <c r="A159" s="956"/>
      <c r="B159" s="957"/>
      <c r="C159" s="958"/>
      <c r="D159" s="117"/>
      <c r="E159" s="95"/>
      <c r="F159" s="165"/>
      <c r="G159" s="112"/>
      <c r="H159" s="99"/>
      <c r="I159" s="165"/>
      <c r="J159" s="328"/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'2'!F161</f>
        <v>480109.72</v>
      </c>
      <c r="F161" s="235">
        <v>480140.64</v>
      </c>
      <c r="G161" s="238">
        <f t="shared" ref="G161:G165" si="13">F161-E161</f>
        <v>30.92000000004191</v>
      </c>
      <c r="H161" s="99">
        <f>G161+'2'!H161</f>
        <v>87.64000000001397</v>
      </c>
      <c r="I161" s="236"/>
      <c r="J161" s="239">
        <f>H161/DAY(B2)</f>
        <v>29.213333333337989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'2'!F162</f>
        <v>95015.3</v>
      </c>
      <c r="F162" s="235">
        <v>95062</v>
      </c>
      <c r="G162" s="238">
        <f t="shared" si="13"/>
        <v>46.69999999999709</v>
      </c>
      <c r="H162" s="99">
        <f>G162+'2'!H162</f>
        <v>134</v>
      </c>
      <c r="I162" s="236"/>
      <c r="J162" s="239">
        <f>H162/DAY(B2)</f>
        <v>44.666666666666664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'2'!F163</f>
        <v>6802.4</v>
      </c>
      <c r="F163" s="235">
        <v>6910.2</v>
      </c>
      <c r="G163" s="238">
        <f t="shared" si="13"/>
        <v>107.80000000000018</v>
      </c>
      <c r="H163" s="99">
        <f>G163+'2'!H163</f>
        <v>409.19999999999982</v>
      </c>
      <c r="I163" s="236"/>
      <c r="J163" s="239">
        <f>H163/DAY(B2)</f>
        <v>136.39999999999995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'2'!F164</f>
        <v>6286.1</v>
      </c>
      <c r="F164" s="235">
        <v>6288.2</v>
      </c>
      <c r="G164" s="238">
        <f t="shared" si="13"/>
        <v>2.0999999999994543</v>
      </c>
      <c r="H164" s="99">
        <f>G164+'2'!H164</f>
        <v>8.1999999999998181</v>
      </c>
      <c r="I164" s="236"/>
      <c r="J164" s="239">
        <f>H164/DAY(B2)</f>
        <v>2.7333333333332726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'2'!F165</f>
        <v>31651.74</v>
      </c>
      <c r="F165" s="235">
        <v>31659.5</v>
      </c>
      <c r="G165" s="238">
        <f t="shared" si="13"/>
        <v>7.7599999999983993</v>
      </c>
      <c r="H165" s="99">
        <f>G165+'2'!H165</f>
        <v>25.5</v>
      </c>
      <c r="I165" s="236"/>
      <c r="J165" s="239">
        <f>H165/DAY(B2)</f>
        <v>8.5</v>
      </c>
    </row>
    <row r="166" spans="1:10" ht="26.25">
      <c r="A166" s="885"/>
      <c r="B166" s="885"/>
      <c r="C166" s="246"/>
      <c r="D166" s="244" t="s">
        <v>180</v>
      </c>
      <c r="E166" s="95">
        <f>'2'!F166</f>
        <v>0</v>
      </c>
      <c r="F166" s="158"/>
      <c r="G166" s="165"/>
      <c r="H166" s="99">
        <f>G166+'2'!H166</f>
        <v>0</v>
      </c>
      <c r="I166" s="165"/>
      <c r="J166" s="327"/>
    </row>
    <row r="167" spans="1:10" ht="26.25">
      <c r="A167" s="885"/>
      <c r="B167" s="885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6.25">
      <c r="A168" s="885"/>
      <c r="B168" s="885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'2'!F173</f>
        <v>8240</v>
      </c>
      <c r="F173" s="157">
        <v>8240</v>
      </c>
      <c r="G173" s="155">
        <f>F173-E173</f>
        <v>0</v>
      </c>
      <c r="H173" s="99">
        <f>G173+'2'!H173</f>
        <v>5</v>
      </c>
      <c r="I173" s="155"/>
      <c r="J173" s="178">
        <f>H173/DAY(B2)</f>
        <v>1.6666666666666667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'2'!F174</f>
        <v>41230</v>
      </c>
      <c r="F174" s="157">
        <v>41243</v>
      </c>
      <c r="G174" s="155">
        <f t="shared" ref="G174:G175" si="14">F174-E174</f>
        <v>13</v>
      </c>
      <c r="H174" s="99">
        <f>G174+'2'!H174</f>
        <v>39</v>
      </c>
      <c r="I174" s="155"/>
      <c r="J174" s="178">
        <f>H174/DAY(B2)</f>
        <v>13</v>
      </c>
    </row>
    <row r="175" spans="1:10" ht="21.75" customHeight="1">
      <c r="A175" s="891" t="s">
        <v>76</v>
      </c>
      <c r="B175" s="931"/>
      <c r="C175" s="892"/>
      <c r="D175" s="228" t="s">
        <v>142</v>
      </c>
      <c r="E175" s="95">
        <f>'2'!F175</f>
        <v>24054</v>
      </c>
      <c r="F175" s="155">
        <v>24066</v>
      </c>
      <c r="G175" s="155">
        <f t="shared" si="14"/>
        <v>12</v>
      </c>
      <c r="H175" s="99">
        <f>G175+'2'!H175</f>
        <v>35</v>
      </c>
      <c r="I175" s="155"/>
      <c r="J175" s="178">
        <f>H175/DAY(B2)</f>
        <v>11.666666666666666</v>
      </c>
    </row>
    <row r="176" spans="1:10" ht="21.75" customHeight="1">
      <c r="A176" s="928" t="s">
        <v>196</v>
      </c>
      <c r="B176" s="929"/>
      <c r="C176" s="930"/>
      <c r="D176" s="228"/>
      <c r="E176" s="95"/>
      <c r="F176" s="155"/>
      <c r="G176" s="155">
        <f>SUM(G173:G175)</f>
        <v>25</v>
      </c>
      <c r="H176" s="99">
        <f>G176+'2'!H176</f>
        <v>79</v>
      </c>
      <c r="I176" s="155"/>
      <c r="J176" s="178">
        <f>H176/DAY(B2)</f>
        <v>26.333333333333332</v>
      </c>
    </row>
    <row r="177" spans="1:10" ht="21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>
      <c r="A178" s="891" t="s">
        <v>210</v>
      </c>
      <c r="B178" s="892"/>
      <c r="C178" s="333"/>
      <c r="D178" s="228" t="s">
        <v>142</v>
      </c>
      <c r="E178" s="95">
        <f>'2'!F178</f>
        <v>97907</v>
      </c>
      <c r="F178" s="157">
        <v>98017</v>
      </c>
      <c r="G178" s="155">
        <f>F178-E178</f>
        <v>110</v>
      </c>
      <c r="H178" s="99">
        <f>G178+'2'!H178</f>
        <v>304</v>
      </c>
      <c r="I178" s="155"/>
      <c r="J178" s="178">
        <f>H178/DAY(B2)</f>
        <v>101.33333333333333</v>
      </c>
    </row>
    <row r="179" spans="1:10" ht="24" customHeight="1">
      <c r="A179" s="891" t="s">
        <v>211</v>
      </c>
      <c r="B179" s="892"/>
      <c r="C179" s="333"/>
      <c r="D179" s="228" t="s">
        <v>142</v>
      </c>
      <c r="E179" s="95">
        <f>'2'!F179</f>
        <v>36002</v>
      </c>
      <c r="F179" s="155">
        <v>36002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2.5" customHeight="1">
      <c r="A180" s="891" t="s">
        <v>212</v>
      </c>
      <c r="B180" s="892"/>
      <c r="C180" s="333"/>
      <c r="D180" s="228" t="s">
        <v>142</v>
      </c>
      <c r="E180" s="95">
        <f>'2'!F180</f>
        <v>7176</v>
      </c>
      <c r="F180" s="155">
        <v>7176</v>
      </c>
      <c r="G180" s="155">
        <f t="shared" si="15"/>
        <v>0</v>
      </c>
      <c r="H180" s="99">
        <f>G180+'2'!H180</f>
        <v>7</v>
      </c>
      <c r="I180" s="155"/>
      <c r="J180" s="178">
        <f>H180/DAY(B2)</f>
        <v>2.3333333333333335</v>
      </c>
    </row>
    <row r="181" spans="1:10" ht="26.25">
      <c r="A181" s="928" t="s">
        <v>196</v>
      </c>
      <c r="B181" s="929"/>
      <c r="C181" s="930"/>
      <c r="D181" s="228"/>
      <c r="E181" s="95"/>
      <c r="F181" s="155"/>
      <c r="G181" s="155">
        <f>SUM(G178:G180)</f>
        <v>110</v>
      </c>
      <c r="H181" s="99">
        <f>G181+'2'!H181</f>
        <v>311</v>
      </c>
      <c r="I181" s="155"/>
      <c r="J181" s="178">
        <f>H181/DAY(B2)</f>
        <v>103.66666666666667</v>
      </c>
    </row>
    <row r="182" spans="1:10" ht="27" customHeight="1">
      <c r="A182" s="891" t="s">
        <v>213</v>
      </c>
      <c r="B182" s="892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>
      <c r="A183" s="891" t="s">
        <v>214</v>
      </c>
      <c r="B183" s="892"/>
      <c r="C183" s="334"/>
      <c r="D183" s="228" t="s">
        <v>142</v>
      </c>
      <c r="E183" s="95">
        <f>'2'!F183</f>
        <v>17489</v>
      </c>
      <c r="F183" s="157">
        <v>17494</v>
      </c>
      <c r="G183" s="157">
        <f>F183-E183</f>
        <v>5</v>
      </c>
      <c r="H183" s="99">
        <f>G183+'2'!H183</f>
        <v>21</v>
      </c>
      <c r="I183" s="155"/>
      <c r="J183" s="178">
        <f>H183/DAY(B2)</f>
        <v>7</v>
      </c>
    </row>
    <row r="184" spans="1:10" ht="25.5" customHeight="1">
      <c r="A184" s="891" t="s">
        <v>215</v>
      </c>
      <c r="B184" s="892"/>
      <c r="C184" s="334"/>
      <c r="D184" s="228" t="s">
        <v>142</v>
      </c>
      <c r="E184" s="95">
        <f>'2'!F184</f>
        <v>11949</v>
      </c>
      <c r="F184" s="157">
        <v>11954</v>
      </c>
      <c r="G184" s="157">
        <f t="shared" ref="G184:G185" si="16">F184-E184</f>
        <v>5</v>
      </c>
      <c r="H184" s="99">
        <f>G184+'2'!H184</f>
        <v>19</v>
      </c>
      <c r="I184" s="155"/>
      <c r="J184" s="178">
        <f>H184/DAY(B2)</f>
        <v>6.333333333333333</v>
      </c>
    </row>
    <row r="185" spans="1:10" ht="25.5">
      <c r="A185" s="891" t="s">
        <v>216</v>
      </c>
      <c r="B185" s="892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6.25">
      <c r="A186" s="928" t="s">
        <v>196</v>
      </c>
      <c r="B186" s="929"/>
      <c r="C186" s="930"/>
      <c r="D186" s="229"/>
      <c r="E186" s="95"/>
      <c r="F186" s="157"/>
      <c r="G186" s="157">
        <f>SUM(G183:G185)</f>
        <v>10</v>
      </c>
      <c r="H186" s="99">
        <f>G186+'2'!H186</f>
        <v>40</v>
      </c>
      <c r="I186" s="157"/>
      <c r="J186" s="178">
        <f>H186/DAY(B2)</f>
        <v>13.333333333333334</v>
      </c>
    </row>
    <row r="187" spans="1:10" ht="25.5">
      <c r="A187" s="882" t="s">
        <v>217</v>
      </c>
      <c r="B187" s="883"/>
      <c r="C187" s="333"/>
      <c r="D187" s="230" t="s">
        <v>142</v>
      </c>
      <c r="E187" s="95"/>
      <c r="F187" s="159"/>
      <c r="G187" s="378">
        <f>G62+G19</f>
        <v>156</v>
      </c>
      <c r="H187" s="99">
        <f>G187+'2'!H187</f>
        <v>453</v>
      </c>
      <c r="I187" s="158"/>
      <c r="J187" s="179">
        <f>H187/DAY(B2)</f>
        <v>151</v>
      </c>
    </row>
    <row r="188" spans="1:10" ht="25.5">
      <c r="A188" s="882" t="s">
        <v>218</v>
      </c>
      <c r="B188" s="883"/>
      <c r="C188" s="333"/>
      <c r="D188" s="230" t="s">
        <v>142</v>
      </c>
      <c r="E188" s="95"/>
      <c r="F188" s="159"/>
      <c r="G188" s="378">
        <f>G65+G66+G67+G69+G70</f>
        <v>133</v>
      </c>
      <c r="H188" s="99">
        <f>G188+'2'!H188</f>
        <v>400</v>
      </c>
      <c r="I188" s="158"/>
      <c r="J188" s="179">
        <f>H188/DAY(B2)</f>
        <v>133.33333333333334</v>
      </c>
    </row>
    <row r="189" spans="1:10" ht="25.5">
      <c r="A189" s="882" t="s">
        <v>219</v>
      </c>
      <c r="B189" s="883"/>
      <c r="C189" s="333"/>
      <c r="D189" s="230" t="s">
        <v>142</v>
      </c>
      <c r="E189" s="95"/>
      <c r="F189" s="157"/>
      <c r="G189" s="377">
        <f>G181</f>
        <v>110</v>
      </c>
      <c r="H189" s="99">
        <f>G189+'2'!H189</f>
        <v>311</v>
      </c>
      <c r="I189" s="158"/>
      <c r="J189" s="179">
        <f>H189/DAY(B2)</f>
        <v>103.66666666666667</v>
      </c>
    </row>
    <row r="190" spans="1:10" ht="25.5">
      <c r="A190" s="882"/>
      <c r="B190" s="883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55" zoomScale="55" zoomScaleNormal="48" zoomScaleSheetLayoutView="55" workbookViewId="0">
      <selection activeCell="A67" sqref="A67:XFD6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349</v>
      </c>
      <c r="B2" s="262">
        <v>44777</v>
      </c>
      <c r="C2" s="348" t="s">
        <v>67</v>
      </c>
      <c r="D2" s="218">
        <v>0.53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46" t="s">
        <v>119</v>
      </c>
      <c r="F3" s="947"/>
      <c r="G3" s="101"/>
      <c r="H3" s="102"/>
      <c r="I3" s="102"/>
      <c r="J3" s="222"/>
      <c r="K3" s="61"/>
      <c r="L3" s="58"/>
      <c r="N3" s="57" t="s">
        <v>352</v>
      </c>
      <c r="O3" s="57">
        <v>19294.8</v>
      </c>
    </row>
    <row r="4" spans="1:15" s="57" customFormat="1" ht="23.25">
      <c r="A4" s="192"/>
      <c r="B4" s="223"/>
      <c r="C4" s="348" t="s">
        <v>120</v>
      </c>
      <c r="D4" s="218">
        <v>0.93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351</v>
      </c>
      <c r="O5" s="65">
        <v>28135.7</v>
      </c>
    </row>
    <row r="6" spans="1:15" ht="26.25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'3'!F7</f>
        <v>415712.19</v>
      </c>
      <c r="F7" s="95">
        <v>441178.19</v>
      </c>
      <c r="G7" s="112">
        <f>F7-E7</f>
        <v>25466</v>
      </c>
      <c r="H7" s="99">
        <f>G7+'3'!H7</f>
        <v>104048.19</v>
      </c>
      <c r="I7" s="113">
        <f>'1'!I7</f>
        <v>12000</v>
      </c>
      <c r="J7" s="175">
        <f>H7/DAY(B2)</f>
        <v>26012.047500000001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'3'!F8</f>
        <v>568270</v>
      </c>
      <c r="F8" s="114">
        <v>594162</v>
      </c>
      <c r="G8" s="115">
        <f>F8-E8</f>
        <v>25892</v>
      </c>
      <c r="H8" s="99">
        <f>G8+'3'!H8</f>
        <v>105575</v>
      </c>
      <c r="I8" s="116"/>
      <c r="J8" s="175">
        <f>H8/DAY(B2)</f>
        <v>26393.75</v>
      </c>
      <c r="K8" s="172">
        <v>1715917</v>
      </c>
      <c r="L8" s="76">
        <v>1728480</v>
      </c>
      <c r="M8" s="87">
        <f>L8-K8</f>
        <v>12563</v>
      </c>
      <c r="N8" s="87">
        <f>G8-426</f>
        <v>25466</v>
      </c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'3'!F9</f>
        <v>3299187.9</v>
      </c>
      <c r="F9" s="117">
        <v>3304598.1</v>
      </c>
      <c r="G9" s="112">
        <f>F9-E9</f>
        <v>5410.2000000001863</v>
      </c>
      <c r="H9" s="99">
        <f>G9+'3'!H9</f>
        <v>25532.100000000093</v>
      </c>
      <c r="I9" s="124">
        <f>I7-J7</f>
        <v>-14012.047500000001</v>
      </c>
      <c r="J9" s="175">
        <f>H9/DAY(B2)</f>
        <v>6383.0250000000233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'3'!F10</f>
        <v>1723543.5</v>
      </c>
      <c r="F10" s="117">
        <v>1743070.9</v>
      </c>
      <c r="G10" s="112">
        <f t="shared" ref="G10:G12" si="0">F10-E10</f>
        <v>19527.399999999907</v>
      </c>
      <c r="H10" s="99">
        <f>G10+'3'!H10</f>
        <v>75912.899999999907</v>
      </c>
      <c r="I10" s="282"/>
      <c r="J10" s="175">
        <f>H10/DAY(B2)</f>
        <v>18978.224999999977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'3'!F11</f>
        <v>37560</v>
      </c>
      <c r="F11" s="95">
        <v>37560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'3'!F12</f>
        <v>40380</v>
      </c>
      <c r="F12" s="117">
        <v>40380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24937.600000000093</v>
      </c>
      <c r="H13" s="99">
        <f>G13+'3'!H13</f>
        <v>102779.59999999986</v>
      </c>
      <c r="I13" s="120">
        <f>G7-G13</f>
        <v>528.39999999990687</v>
      </c>
      <c r="J13" s="175">
        <f>H13/DAY(B2)</f>
        <v>25694.899999999965</v>
      </c>
      <c r="K13" s="79"/>
      <c r="L13" s="66"/>
      <c r="N13" s="87"/>
      <c r="O13" s="71"/>
    </row>
    <row r="14" spans="1:15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'3'!F15</f>
        <v>2103911.5</v>
      </c>
      <c r="F15" s="469">
        <v>2104913.7999999998</v>
      </c>
      <c r="G15" s="112">
        <f>(F15-E15)</f>
        <v>1002.2999999998137</v>
      </c>
      <c r="H15" s="99">
        <f>G15+'3'!H15</f>
        <v>4045.7999999998137</v>
      </c>
      <c r="I15" s="113">
        <f>'1'!I15</f>
        <v>800</v>
      </c>
      <c r="J15" s="175">
        <f>H15/DAY(B2)</f>
        <v>1011.4499999999534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-211.44999999995343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'3'!F18</f>
        <v>10</v>
      </c>
      <c r="F18" s="122">
        <v>13</v>
      </c>
      <c r="G18" s="119">
        <f>F18*10</f>
        <v>130</v>
      </c>
      <c r="H18" s="99">
        <f>G18+'3'!H18</f>
        <v>540</v>
      </c>
      <c r="I18" s="113">
        <f>'1'!I18</f>
        <v>65</v>
      </c>
      <c r="J18" s="175">
        <f>H18/DAY(B2)</f>
        <v>135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'3'!F19</f>
        <v>162493</v>
      </c>
      <c r="F19" s="122">
        <v>162546</v>
      </c>
      <c r="G19" s="112">
        <f t="shared" ref="G19" si="1">F19-E19</f>
        <v>53</v>
      </c>
      <c r="H19" s="99">
        <f>G19+'3'!H19</f>
        <v>211</v>
      </c>
      <c r="I19" s="335"/>
      <c r="J19" s="175">
        <f>H19/DAY(B2)</f>
        <v>52.75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183</v>
      </c>
      <c r="H20" s="99">
        <f>G20+'3'!H20</f>
        <v>751</v>
      </c>
      <c r="I20" s="336">
        <f>I18-J20</f>
        <v>-122.75</v>
      </c>
      <c r="J20" s="175">
        <f>H20/DAY(B2)</f>
        <v>187.75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25892</v>
      </c>
      <c r="F27" s="136">
        <v>9</v>
      </c>
      <c r="G27" s="137">
        <f>E27*F27</f>
        <v>233028</v>
      </c>
      <c r="H27" s="99">
        <f>G27+'3'!H27</f>
        <v>950175</v>
      </c>
      <c r="I27" s="138"/>
      <c r="J27" s="175">
        <f>H27/DAY(B2)</f>
        <v>237543.75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1002.2999999998137</v>
      </c>
      <c r="F28" s="136">
        <v>70</v>
      </c>
      <c r="G28" s="137">
        <f>E28*F28</f>
        <v>70160.999999986961</v>
      </c>
      <c r="H28" s="99">
        <f>G28+'3'!H28</f>
        <v>283205.99999998696</v>
      </c>
      <c r="I28" s="140"/>
      <c r="J28" s="175">
        <f>H28/DAY(B2)</f>
        <v>70801.49999999674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G30+'3'!H30</f>
        <v>31861</v>
      </c>
      <c r="I30" s="140"/>
      <c r="J30" s="175">
        <f>H30/DAY(B2)</f>
        <v>7965.25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80</v>
      </c>
      <c r="G31" s="137">
        <f>E31*F31</f>
        <v>10400</v>
      </c>
      <c r="H31" s="99">
        <f>G31+'3'!H31</f>
        <v>43200</v>
      </c>
      <c r="I31" s="140"/>
      <c r="J31" s="175">
        <f>H31/DAY(B2)</f>
        <v>10800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321591.99999998696</v>
      </c>
      <c r="H32" s="99">
        <f>G32+'3'!H32</f>
        <v>1308441.999999987</v>
      </c>
      <c r="I32" s="144"/>
      <c r="J32" s="175">
        <f>H32/DAY(B2)</f>
        <v>327110.49999999674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'3'!F35</f>
        <v>238713.05</v>
      </c>
      <c r="F35" s="145">
        <v>238713</v>
      </c>
      <c r="G35" s="112">
        <f t="shared" ref="G35:G46" si="3">F35-E35</f>
        <v>-4.9999999988358468E-2</v>
      </c>
      <c r="H35" s="99">
        <f>G35+'3'!H35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'3'!F36</f>
        <v>218099.97</v>
      </c>
      <c r="F36" s="145">
        <v>218910.55</v>
      </c>
      <c r="G36" s="112">
        <f t="shared" si="3"/>
        <v>810.57999999998719</v>
      </c>
      <c r="H36" s="99">
        <f>G36+'3'!H36</f>
        <v>3380.5499999999884</v>
      </c>
      <c r="I36" s="95"/>
      <c r="J36" s="175">
        <f>H36/DAY(B2)</f>
        <v>845.13749999999709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'3'!F37</f>
        <v>322998.69</v>
      </c>
      <c r="F37" s="145">
        <v>322998.69</v>
      </c>
      <c r="G37" s="112">
        <f t="shared" si="3"/>
        <v>0</v>
      </c>
      <c r="H37" s="99">
        <f>G37+'3'!H37</f>
        <v>-0.30999999999767169</v>
      </c>
      <c r="I37" s="95"/>
      <c r="J37" s="175">
        <f>H37/DAY(B2)</f>
        <v>-7.7499999999417923E-2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'3'!F38</f>
        <v>464089.47</v>
      </c>
      <c r="F38" s="108">
        <v>466343.63</v>
      </c>
      <c r="G38" s="112">
        <f t="shared" si="3"/>
        <v>2254.1600000000326</v>
      </c>
      <c r="H38" s="99">
        <f>G38+'3'!H38</f>
        <v>8982.6300000000047</v>
      </c>
      <c r="I38" s="95"/>
      <c r="J38" s="175">
        <f>H38/DAY(B2)</f>
        <v>2245.6575000000012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'3'!F39</f>
        <v>591584.18999999994</v>
      </c>
      <c r="F39" s="145">
        <v>591584.18999999994</v>
      </c>
      <c r="G39" s="112">
        <f t="shared" si="3"/>
        <v>0</v>
      </c>
      <c r="H39" s="99">
        <f>G39+'3'!H39</f>
        <v>0.18999999994412065</v>
      </c>
      <c r="I39" s="95"/>
      <c r="J39" s="175">
        <f>H39/DAY(B2)</f>
        <v>4.7499999986030161E-2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'3'!F40</f>
        <v>109313.94</v>
      </c>
      <c r="F40" s="145">
        <v>110195</v>
      </c>
      <c r="G40" s="112">
        <f t="shared" si="3"/>
        <v>881.05999999999767</v>
      </c>
      <c r="H40" s="99">
        <f>G40+'3'!H40</f>
        <v>3419</v>
      </c>
      <c r="I40" s="95"/>
      <c r="J40" s="175">
        <f>H40/DAY(B2)</f>
        <v>854.75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'3'!F41</f>
        <v>219097.35</v>
      </c>
      <c r="F41" s="145">
        <v>221525.79</v>
      </c>
      <c r="G41" s="112">
        <f t="shared" si="3"/>
        <v>2428.4400000000023</v>
      </c>
      <c r="H41" s="99">
        <f>G41+'3'!H41</f>
        <v>9822.7900000000081</v>
      </c>
      <c r="I41" s="95"/>
      <c r="J41" s="175">
        <f>H41/DAY(B2)</f>
        <v>2455.697500000002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'3'!F42</f>
        <v>752205.83</v>
      </c>
      <c r="F42" s="145">
        <v>752205.83</v>
      </c>
      <c r="G42" s="112">
        <f t="shared" si="3"/>
        <v>0</v>
      </c>
      <c r="H42" s="99">
        <f>G42+'3'!H42</f>
        <v>3841.8299999999581</v>
      </c>
      <c r="I42" s="95"/>
      <c r="J42" s="175">
        <f>H42/DAY(B2)</f>
        <v>960.45749999998952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'3'!F43</f>
        <v>407028</v>
      </c>
      <c r="F43" s="145">
        <v>407028</v>
      </c>
      <c r="G43" s="112">
        <f t="shared" si="3"/>
        <v>0</v>
      </c>
      <c r="H43" s="99">
        <f>G43+'3'!H43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6374.1900000000314</v>
      </c>
      <c r="H47" s="99">
        <f>G47+'3'!H47</f>
        <v>29446.679999999906</v>
      </c>
      <c r="I47" s="95"/>
      <c r="J47" s="175">
        <f>H47/DAY(B2)</f>
        <v>7361.6699999999764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'3'!F49</f>
        <v>494760.19</v>
      </c>
      <c r="F49" s="423">
        <v>498945.99</v>
      </c>
      <c r="G49" s="112">
        <f t="shared" ref="G49:G58" si="4">F49-E49</f>
        <v>4185.7999999999884</v>
      </c>
      <c r="H49" s="99">
        <f>G49+'3'!H49</f>
        <v>16891.989999999991</v>
      </c>
      <c r="I49" s="95"/>
      <c r="J49" s="175">
        <f>H49/DAY(B2)</f>
        <v>4222.9974999999977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'3'!F50</f>
        <v>286410.77</v>
      </c>
      <c r="F50" s="145">
        <v>287533.99</v>
      </c>
      <c r="G50" s="112">
        <f t="shared" si="4"/>
        <v>1123.2199999999721</v>
      </c>
      <c r="H50" s="99">
        <f>G50+'3'!H50</f>
        <v>4783.9899999999907</v>
      </c>
      <c r="I50" s="95"/>
      <c r="J50" s="175">
        <f>H50/DAY(B2)</f>
        <v>1195.9974999999977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'3'!F51</f>
        <v>11810.51</v>
      </c>
      <c r="F51" s="145">
        <v>12923.59</v>
      </c>
      <c r="G51" s="112">
        <f t="shared" si="4"/>
        <v>1113.08</v>
      </c>
      <c r="H51" s="99">
        <f>G51+'3'!H51</f>
        <v>4415.59</v>
      </c>
      <c r="I51" s="95"/>
      <c r="J51" s="175">
        <f>H51/DAY(B2)</f>
        <v>1103.8975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'3'!F52</f>
        <v>9.76</v>
      </c>
      <c r="F52" s="145">
        <v>9.75</v>
      </c>
      <c r="G52" s="112">
        <f t="shared" si="4"/>
        <v>-9.9999999999997868E-3</v>
      </c>
      <c r="H52" s="99">
        <f>G52+'3'!H52</f>
        <v>-0.25</v>
      </c>
      <c r="I52" s="95"/>
      <c r="J52" s="175">
        <f>H52/DAY(B2)</f>
        <v>-6.25E-2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'3'!F53</f>
        <v>46917.26</v>
      </c>
      <c r="F53" s="145">
        <v>51268.39</v>
      </c>
      <c r="G53" s="112">
        <f t="shared" si="4"/>
        <v>4351.1299999999974</v>
      </c>
      <c r="H53" s="99">
        <f>G53+'3'!H53</f>
        <v>17407.39</v>
      </c>
      <c r="I53" s="95"/>
      <c r="J53" s="175">
        <f>H53/DAY(B2)</f>
        <v>4351.8474999999999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'3'!F54</f>
        <v>88971.37</v>
      </c>
      <c r="F54" s="145">
        <v>89231.98</v>
      </c>
      <c r="G54" s="112">
        <f t="shared" si="4"/>
        <v>260.61000000000058</v>
      </c>
      <c r="H54" s="99">
        <f>G54+'3'!H54</f>
        <v>1288.9799999999959</v>
      </c>
      <c r="I54" s="95"/>
      <c r="J54" s="175">
        <f>H54/DAY(B2)</f>
        <v>322.24499999999898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'3'!F55</f>
        <v>371926.56</v>
      </c>
      <c r="F55" s="145">
        <v>375551.8</v>
      </c>
      <c r="G55" s="112">
        <f t="shared" si="4"/>
        <v>3625.2399999999907</v>
      </c>
      <c r="H55" s="99">
        <f>G55+'3'!H55</f>
        <v>12774.799999999988</v>
      </c>
      <c r="I55" s="95"/>
      <c r="J55" s="175">
        <f>H55/DAY(B2)</f>
        <v>3193.6999999999971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'3'!F56</f>
        <v>123882.39</v>
      </c>
      <c r="F56" s="145">
        <v>123882.39</v>
      </c>
      <c r="G56" s="112">
        <f t="shared" si="4"/>
        <v>0</v>
      </c>
      <c r="H56" s="99">
        <f>G56+'3'!H56</f>
        <v>0.38999999999941792</v>
      </c>
      <c r="I56" s="95"/>
      <c r="J56" s="175">
        <f>H56/DAY(B2)</f>
        <v>9.7499999999854481E-2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'3'!F57</f>
        <v>235413.19</v>
      </c>
      <c r="F57" s="145">
        <v>238572.19</v>
      </c>
      <c r="G57" s="112">
        <f t="shared" si="4"/>
        <v>3159</v>
      </c>
      <c r="H57" s="99">
        <f>G57+'3'!H57</f>
        <v>12402.190000000002</v>
      </c>
      <c r="I57" s="95"/>
      <c r="J57" s="175">
        <f>H57/DAY(B2)</f>
        <v>3100.5475000000006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'3'!F58</f>
        <v>49871.4</v>
      </c>
      <c r="F58" s="145">
        <v>50132.57</v>
      </c>
      <c r="G58" s="112">
        <f t="shared" si="4"/>
        <v>261.16999999999825</v>
      </c>
      <c r="H58" s="99">
        <f>G58+'3'!H58</f>
        <v>1023.5699999999997</v>
      </c>
      <c r="I58" s="95"/>
      <c r="J58" s="175">
        <f>H58/DAY(B2)</f>
        <v>255.89249999999993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18079.239999999947</v>
      </c>
      <c r="H59" s="99">
        <f>G59+'3'!H59</f>
        <v>70988.63999999997</v>
      </c>
      <c r="I59" s="95">
        <f>G7-G60</f>
        <v>1012.5700000000215</v>
      </c>
      <c r="J59" s="175">
        <f>H59/DAY(B2)</f>
        <v>17747.159999999993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24453.429999999978</v>
      </c>
      <c r="H60" s="99">
        <f>G60+'3'!H60</f>
        <v>100435.31999999988</v>
      </c>
      <c r="I60" s="95">
        <f>G13-G60</f>
        <v>484.17000000011467</v>
      </c>
      <c r="J60" s="175">
        <f>H60/DAY(B2)</f>
        <v>25108.829999999969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'3'!F62</f>
        <v>296570</v>
      </c>
      <c r="F62" s="122">
        <v>296665</v>
      </c>
      <c r="G62" s="112">
        <f t="shared" ref="G62:G63" si="5">F62-E62</f>
        <v>95</v>
      </c>
      <c r="H62" s="99">
        <f>G62+'3'!H62</f>
        <v>390</v>
      </c>
      <c r="I62" s="118"/>
      <c r="J62" s="175">
        <f>H62/DAY(B2)</f>
        <v>97.5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'3'!F63</f>
        <v>239573</v>
      </c>
      <c r="F63" s="122">
        <v>239717</v>
      </c>
      <c r="G63" s="112">
        <f t="shared" si="5"/>
        <v>144</v>
      </c>
      <c r="H63" s="99">
        <f>G63+'3'!H63</f>
        <v>584</v>
      </c>
      <c r="I63" s="118"/>
      <c r="J63" s="175">
        <f>H63/DAY(B2)</f>
        <v>146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122"/>
      <c r="F64" s="122"/>
      <c r="G64" s="112">
        <f>G62+G63</f>
        <v>239</v>
      </c>
      <c r="H64" s="99">
        <f>G64+'3'!H64</f>
        <v>974</v>
      </c>
      <c r="I64" s="118"/>
      <c r="J64" s="175">
        <f>H64/DAY(B2)</f>
        <v>243.5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'3'!F65</f>
        <v>455009</v>
      </c>
      <c r="F65" s="122">
        <v>455117</v>
      </c>
      <c r="G65" s="112">
        <f t="shared" ref="G65:G70" si="6">F65-E65</f>
        <v>108</v>
      </c>
      <c r="H65" s="99">
        <f>G65+'3'!H65</f>
        <v>407</v>
      </c>
      <c r="I65" s="118"/>
      <c r="J65" s="175">
        <f>H65/DAY(B2)</f>
        <v>101.75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'3'!F66</f>
        <v>111784</v>
      </c>
      <c r="F66" s="122">
        <v>111806</v>
      </c>
      <c r="G66" s="112">
        <f t="shared" si="6"/>
        <v>22</v>
      </c>
      <c r="H66" s="99">
        <f>G66+'3'!H66</f>
        <v>84</v>
      </c>
      <c r="I66" s="118"/>
      <c r="J66" s="175">
        <f>H66/DAY(B2)</f>
        <v>21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'3'!F67</f>
        <v>113680</v>
      </c>
      <c r="F67" s="404">
        <v>113680</v>
      </c>
      <c r="G67" s="112">
        <f t="shared" si="6"/>
        <v>0</v>
      </c>
      <c r="H67" s="99">
        <f>G67+'3'!H67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'3'!F68</f>
        <v>164731</v>
      </c>
      <c r="F68" s="122">
        <v>164750</v>
      </c>
      <c r="G68" s="112">
        <f t="shared" si="6"/>
        <v>19</v>
      </c>
      <c r="H68" s="99">
        <f>G68+'3'!H68</f>
        <v>88</v>
      </c>
      <c r="I68" s="118"/>
      <c r="J68" s="175">
        <f>H68/DAY(B2)</f>
        <v>22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'3'!F69</f>
        <v>12291</v>
      </c>
      <c r="F69" s="164">
        <v>12293</v>
      </c>
      <c r="G69" s="112">
        <f t="shared" si="6"/>
        <v>2</v>
      </c>
      <c r="H69" s="99">
        <f>G69+'3'!H69</f>
        <v>18</v>
      </c>
      <c r="I69" s="118"/>
      <c r="J69" s="175">
        <f>H69/DAY(B2)</f>
        <v>4.5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'3'!F70</f>
        <v>9850</v>
      </c>
      <c r="F70" s="404">
        <v>9864</v>
      </c>
      <c r="G70" s="112">
        <f t="shared" si="6"/>
        <v>14</v>
      </c>
      <c r="H70" s="99">
        <f>G70+'3'!H70</f>
        <v>37</v>
      </c>
      <c r="I70" s="118"/>
      <c r="J70" s="175">
        <f>H70/DAY(B2)</f>
        <v>9.25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165</v>
      </c>
      <c r="H71" s="99">
        <f>G71+'3'!H71</f>
        <v>634</v>
      </c>
      <c r="I71" s="154"/>
      <c r="J71" s="175">
        <f>H71/DAY(B2)</f>
        <v>158.5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'3'!F74</f>
        <v>958533.51</v>
      </c>
      <c r="F74" s="117">
        <v>958825.86</v>
      </c>
      <c r="G74" s="112">
        <f t="shared" ref="G74:G78" si="7">F74-E74</f>
        <v>292.34999999997672</v>
      </c>
      <c r="H74" s="99">
        <f>G74+'3'!H74</f>
        <v>1168</v>
      </c>
      <c r="I74" s="154"/>
      <c r="J74" s="175">
        <f>H74/DAY(B2)</f>
        <v>292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'3'!F75</f>
        <v>73586</v>
      </c>
      <c r="F75" s="123">
        <v>73586</v>
      </c>
      <c r="G75" s="112">
        <f t="shared" si="7"/>
        <v>0</v>
      </c>
      <c r="H75" s="99">
        <f>G75+'3'!H75</f>
        <v>-0.80000000000291038</v>
      </c>
      <c r="I75" s="154"/>
      <c r="J75" s="175">
        <f>H75/DAY(B2)</f>
        <v>-0.2000000000007276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'3'!F76</f>
        <v>190509</v>
      </c>
      <c r="F76" s="123">
        <v>190615</v>
      </c>
      <c r="G76" s="112">
        <f t="shared" si="7"/>
        <v>106</v>
      </c>
      <c r="H76" s="99">
        <f>G76+'3'!H76</f>
        <v>443</v>
      </c>
      <c r="I76" s="154"/>
      <c r="J76" s="175">
        <f>H76/DAY(B2)</f>
        <v>110.75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'3'!F77</f>
        <v>50455</v>
      </c>
      <c r="F77" s="123">
        <v>50499</v>
      </c>
      <c r="G77" s="112">
        <f t="shared" si="7"/>
        <v>44</v>
      </c>
      <c r="H77" s="99">
        <f>G77+'3'!H77</f>
        <v>186</v>
      </c>
      <c r="I77" s="154"/>
      <c r="J77" s="175">
        <f>H77/DAY(B2)</f>
        <v>46.5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'3'!F78</f>
        <v>9563</v>
      </c>
      <c r="F78" s="123">
        <v>9563</v>
      </c>
      <c r="G78" s="112">
        <f t="shared" si="7"/>
        <v>0</v>
      </c>
      <c r="H78" s="99">
        <f>G78+'3'!H78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'3'!F79</f>
        <v>0</v>
      </c>
      <c r="F79" s="117"/>
      <c r="G79" s="112">
        <f>G15-SUM(G74:G78)</f>
        <v>559.94999999983702</v>
      </c>
      <c r="H79" s="99">
        <f>G79+'3'!H79</f>
        <v>2249.5999999998166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1002.2999999998137</v>
      </c>
      <c r="H80" s="99">
        <f>G80+'3'!H80</f>
        <v>2982.1999999997206</v>
      </c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'3'!F84</f>
        <v>42623.12</v>
      </c>
      <c r="F84" s="164">
        <v>42635.59</v>
      </c>
      <c r="G84" s="236">
        <f t="shared" si="8"/>
        <v>12.469999999993888</v>
      </c>
      <c r="H84" s="99">
        <f>G84+'3'!H84</f>
        <v>46.589999999996508</v>
      </c>
      <c r="I84" s="571"/>
      <c r="J84" s="175">
        <f>H84/DAY(B2)</f>
        <v>11.647499999999127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'3'!F85</f>
        <v>5156.4799999999996</v>
      </c>
      <c r="F85" s="164">
        <v>5156.4799999999996</v>
      </c>
      <c r="G85" s="236">
        <f t="shared" si="8"/>
        <v>0</v>
      </c>
      <c r="H85" s="99">
        <f>G85+'3'!H85</f>
        <v>16.289999999999964</v>
      </c>
      <c r="I85" s="571"/>
      <c r="J85" s="175">
        <f>H85/DAY(B2)</f>
        <v>4.0724999999999909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'3'!F86</f>
        <v>45442.239999999998</v>
      </c>
      <c r="F86" s="164">
        <v>45466.57</v>
      </c>
      <c r="G86" s="112">
        <f t="shared" si="8"/>
        <v>24.330000000001746</v>
      </c>
      <c r="H86" s="99">
        <f>G86+'3'!H86</f>
        <v>87.569999999999709</v>
      </c>
      <c r="I86" s="571"/>
      <c r="J86" s="175">
        <f>H86/DAY(B2)</f>
        <v>21.892499999999927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'3'!F87</f>
        <v>35457.43</v>
      </c>
      <c r="F87" s="164">
        <v>35457.43</v>
      </c>
      <c r="G87" s="112">
        <f t="shared" si="8"/>
        <v>0</v>
      </c>
      <c r="H87" s="99">
        <f>G87+'3'!H87</f>
        <v>0</v>
      </c>
      <c r="I87" s="571">
        <f>G84+G85+G86+G87</f>
        <v>36.799999999995634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'3'!F88</f>
        <v>24303.46</v>
      </c>
      <c r="F88" s="164">
        <v>24303.66</v>
      </c>
      <c r="G88" s="112">
        <f t="shared" si="8"/>
        <v>0.2000000000007276</v>
      </c>
      <c r="H88" s="99">
        <f>G88+'3'!H88</f>
        <v>0.2000000000007276</v>
      </c>
      <c r="I88" s="571"/>
      <c r="J88" s="175">
        <f>H88/DAY(B2)</f>
        <v>5.0000000000181899E-2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'3'!F89</f>
        <v>27594.14</v>
      </c>
      <c r="F89" s="164">
        <v>27603.29</v>
      </c>
      <c r="G89" s="112">
        <f t="shared" si="8"/>
        <v>9.1500000000014552</v>
      </c>
      <c r="H89" s="99">
        <f>G89+'3'!H89</f>
        <v>36.680000000000291</v>
      </c>
      <c r="I89" s="571">
        <f>G88+G89</f>
        <v>9.3500000000021828</v>
      </c>
      <c r="J89" s="175">
        <f>H89/DAY(B2)</f>
        <v>9.1700000000000728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'3'!F90</f>
        <v>72639.12</v>
      </c>
      <c r="F90" s="164">
        <v>72650.429999999993</v>
      </c>
      <c r="G90" s="112">
        <f t="shared" si="8"/>
        <v>11.309999999997672</v>
      </c>
      <c r="H90" s="99">
        <f>G90+'3'!H90</f>
        <v>43.879999999990105</v>
      </c>
      <c r="I90" s="571">
        <f>G90</f>
        <v>11.309999999997672</v>
      </c>
      <c r="J90" s="175">
        <f>H90/DAY(B2)</f>
        <v>10.969999999997526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'3'!F91</f>
        <v>4289.5600000000004</v>
      </c>
      <c r="F91" s="122">
        <v>4289.5600000000004</v>
      </c>
      <c r="G91" s="112">
        <f t="shared" si="8"/>
        <v>0</v>
      </c>
      <c r="H91" s="99">
        <f>G91+'3'!H91</f>
        <v>2.0000000000436557E-2</v>
      </c>
      <c r="I91" s="590"/>
      <c r="J91" s="175">
        <f>H91/DAY(B2)</f>
        <v>5.0000000001091394E-3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'3'!F92</f>
        <v>6748.56</v>
      </c>
      <c r="F92" s="122">
        <v>6759.08</v>
      </c>
      <c r="G92" s="112">
        <f t="shared" si="8"/>
        <v>10.519999999999527</v>
      </c>
      <c r="H92" s="99">
        <f>G92+'3'!H92</f>
        <v>41.75</v>
      </c>
      <c r="I92" s="596">
        <f>G91+G92</f>
        <v>10.519999999999527</v>
      </c>
      <c r="J92" s="175">
        <f>H92/DAY(B2)</f>
        <v>10.4375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7344.75</v>
      </c>
      <c r="H94" s="99">
        <f>G94+'3'!H94</f>
        <v>29294.179999999993</v>
      </c>
      <c r="I94" s="118"/>
      <c r="J94" s="175">
        <f>H94/DAY(B2)</f>
        <v>7323.5449999999983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0.28841396371632766</v>
      </c>
      <c r="H95" s="99">
        <f>G95+'3'!H95</f>
        <v>1.1277998541177094</v>
      </c>
      <c r="I95" s="167"/>
      <c r="J95" s="175">
        <f>H95/DAY(B2)</f>
        <v>0.28194996352942736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6053.679999999993</v>
      </c>
      <c r="H96" s="99">
        <f>G96+'3'!H96</f>
        <v>26439.809999999954</v>
      </c>
      <c r="I96" s="118"/>
      <c r="J96" s="175">
        <f>H96/DAY(B2)</f>
        <v>6609.9524999999885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0.23771617058038141</v>
      </c>
      <c r="H97" s="99">
        <f>G97+'3'!H97</f>
        <v>1.0154541283295142</v>
      </c>
      <c r="I97" s="167"/>
      <c r="J97" s="175">
        <f>H97/DAY(B2)</f>
        <v>0.25386353208237855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4351.1299999999974</v>
      </c>
      <c r="H98" s="99">
        <f>G98+'3'!H98</f>
        <v>17407.579999999944</v>
      </c>
      <c r="I98" s="168"/>
      <c r="J98" s="175">
        <f>H98/DAY(B2)</f>
        <v>4351.8949999999859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0.17086036283672337</v>
      </c>
      <c r="H99" s="99">
        <f>G99+'3'!H99</f>
        <v>0.67024396131731678</v>
      </c>
      <c r="I99" s="168"/>
      <c r="J99" s="175">
        <f>H99/DAY(B2)</f>
        <v>0.1675609903293292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2254.1500000000324</v>
      </c>
      <c r="H100" s="99">
        <f>G100+'3'!H100</f>
        <v>8982.3800000000047</v>
      </c>
      <c r="I100" s="118"/>
      <c r="J100" s="175">
        <f>H100/DAY(B2)</f>
        <v>2245.5950000000012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8.8516060629860685E-2</v>
      </c>
      <c r="H101" s="99">
        <f>G101+'3'!H101</f>
        <v>0.34574166495757502</v>
      </c>
      <c r="I101" s="168"/>
      <c r="J101" s="175">
        <f>H101/DAY(B2)</f>
        <v>8.6435416239393756E-2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1933.7999999999593</v>
      </c>
      <c r="H102" s="99">
        <f>G102+'3'!H102</f>
        <v>8164.539999999979</v>
      </c>
      <c r="I102" s="168"/>
      <c r="J102" s="175">
        <f>H102/DAY(B2)</f>
        <v>2041.1349999999948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7.5936542841434043E-2</v>
      </c>
      <c r="H103" s="99">
        <f>G103+'3'!H103</f>
        <v>0.312051511043903</v>
      </c>
      <c r="I103" s="118"/>
      <c r="J103" s="175">
        <f>H103/DAY(B2)</f>
        <v>7.8012877760975749E-2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1113.08</v>
      </c>
      <c r="H104" s="99">
        <f>G104+'3'!H104</f>
        <v>4415.2800000000025</v>
      </c>
      <c r="I104" s="118"/>
      <c r="J104" s="175">
        <f>H104/DAY(B2)</f>
        <v>1103.8200000000006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4.3708474043823137E-2</v>
      </c>
      <c r="H105" s="99">
        <f>G105+'3'!H105</f>
        <v>0.16998994512274188</v>
      </c>
      <c r="I105" s="187"/>
      <c r="J105" s="188">
        <f>H105/DAY(B2)</f>
        <v>4.2497486280685469E-2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'3'!F112</f>
        <v>7483.16</v>
      </c>
      <c r="F112" s="237">
        <v>7557.06</v>
      </c>
      <c r="G112" s="112">
        <f t="shared" ref="G112:G123" si="9">F112-E112</f>
        <v>73.900000000000546</v>
      </c>
      <c r="H112" s="99">
        <f>G112+'3'!H112</f>
        <v>292.0600000000004</v>
      </c>
      <c r="I112" s="165"/>
      <c r="J112" s="328">
        <f>H112/DAY(B2)</f>
        <v>73.0150000000001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'3'!F113</f>
        <v>15434.55</v>
      </c>
      <c r="F113" s="237">
        <v>15577.3</v>
      </c>
      <c r="G113" s="112">
        <f t="shared" si="9"/>
        <v>142.75</v>
      </c>
      <c r="H113" s="99">
        <f>G113+'3'!H113</f>
        <v>562.29999999999927</v>
      </c>
      <c r="I113" s="165"/>
      <c r="J113" s="328">
        <f>H113/DAY(B2)</f>
        <v>140.57499999999982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'3'!F114</f>
        <v>21918.47</v>
      </c>
      <c r="F114" s="237">
        <v>22140.25</v>
      </c>
      <c r="G114" s="112">
        <f t="shared" si="9"/>
        <v>221.77999999999884</v>
      </c>
      <c r="H114" s="99">
        <f>G114+'3'!H114</f>
        <v>872.25</v>
      </c>
      <c r="I114" s="165"/>
      <c r="J114" s="328">
        <f>H114/DAY(B2)</f>
        <v>218.0625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'3'!F115</f>
        <v>13889.91</v>
      </c>
      <c r="F115" s="237">
        <v>14033.93</v>
      </c>
      <c r="G115" s="112">
        <f t="shared" si="9"/>
        <v>144.02000000000044</v>
      </c>
      <c r="H115" s="99">
        <f>G115+'3'!H115</f>
        <v>603.93000000000029</v>
      </c>
      <c r="I115" s="165"/>
      <c r="J115" s="328">
        <f>H115/DAY(B2)</f>
        <v>150.98250000000007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'3'!F116</f>
        <v>71727.600000000006</v>
      </c>
      <c r="F116" s="237">
        <v>72114.789999999994</v>
      </c>
      <c r="G116" s="112">
        <f t="shared" si="9"/>
        <v>387.18999999998778</v>
      </c>
      <c r="H116" s="99">
        <f>G116+'3'!H116</f>
        <v>1622.7899999999936</v>
      </c>
      <c r="I116" s="165"/>
      <c r="J116" s="328">
        <f>H116/DAY(B2)</f>
        <v>405.6974999999984</v>
      </c>
      <c r="Q116" s="898" t="s">
        <v>311</v>
      </c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'3'!F117</f>
        <v>41587.29</v>
      </c>
      <c r="F117" s="237">
        <v>41826.129999999997</v>
      </c>
      <c r="G117" s="112">
        <f t="shared" si="9"/>
        <v>238.83999999999651</v>
      </c>
      <c r="H117" s="99">
        <f>G117+'3'!H117</f>
        <v>904.12999999999738</v>
      </c>
      <c r="I117" s="165"/>
      <c r="J117" s="328">
        <f>H117/DAY(B2)</f>
        <v>226.03249999999935</v>
      </c>
      <c r="Q117" s="898" t="s">
        <v>312</v>
      </c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'3'!F118</f>
        <v>66526.149999999994</v>
      </c>
      <c r="F118" s="757">
        <v>66526.53</v>
      </c>
      <c r="G118" s="112">
        <f t="shared" si="9"/>
        <v>0.38000000000465661</v>
      </c>
      <c r="H118" s="99">
        <f>G118+'3'!H118</f>
        <v>1854.5299999999988</v>
      </c>
      <c r="I118" s="165"/>
      <c r="J118" s="328">
        <f>H118/DAY(B2)</f>
        <v>463.63249999999971</v>
      </c>
      <c r="Q118" s="898" t="s">
        <v>311</v>
      </c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'3'!F119</f>
        <v>38133.199999999997</v>
      </c>
      <c r="F119" s="237">
        <v>38363.339999999997</v>
      </c>
      <c r="G119" s="112">
        <f t="shared" si="9"/>
        <v>230.13999999999942</v>
      </c>
      <c r="H119" s="99">
        <f>G119+'3'!H119</f>
        <v>914.33999999999651</v>
      </c>
      <c r="I119" s="165"/>
      <c r="J119" s="328">
        <f>H119/DAY(B2)</f>
        <v>228.58499999999913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'3'!F120</f>
        <v>47487.53</v>
      </c>
      <c r="F120" s="237">
        <v>47901.13</v>
      </c>
      <c r="G120" s="112">
        <f t="shared" si="9"/>
        <v>413.59999999999854</v>
      </c>
      <c r="H120" s="99">
        <f>G120+'3'!H120</f>
        <v>1634.1299999999974</v>
      </c>
      <c r="I120" s="165"/>
      <c r="J120" s="328">
        <f>H120/DAY(B2)</f>
        <v>408.53249999999935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'3'!F121</f>
        <v>54980.33</v>
      </c>
      <c r="F121" s="237">
        <v>55455.15</v>
      </c>
      <c r="G121" s="112">
        <f t="shared" si="9"/>
        <v>474.81999999999971</v>
      </c>
      <c r="H121" s="99">
        <f>G121+'3'!H121</f>
        <v>1912.1500000000015</v>
      </c>
      <c r="I121" s="165"/>
      <c r="J121" s="328">
        <f>H121/DAY(B2)</f>
        <v>478.03750000000036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'3'!F122</f>
        <v>29510.89</v>
      </c>
      <c r="F122" s="237">
        <v>29787.09</v>
      </c>
      <c r="G122" s="112">
        <f t="shared" si="9"/>
        <v>276.20000000000073</v>
      </c>
      <c r="H122" s="99">
        <f>G122+'3'!H122</f>
        <v>1113.0900000000001</v>
      </c>
      <c r="I122" s="165"/>
      <c r="J122" s="328">
        <f>H122/DAY(B2)</f>
        <v>278.27250000000004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'3'!F123</f>
        <v>31191</v>
      </c>
      <c r="F123" s="237">
        <v>31476.15</v>
      </c>
      <c r="G123" s="112">
        <f t="shared" si="9"/>
        <v>285.15000000000146</v>
      </c>
      <c r="H123" s="99">
        <f>G123+'3'!H123</f>
        <v>1288.1500000000015</v>
      </c>
      <c r="I123" s="165"/>
      <c r="J123" s="328">
        <f>H123/DAY(B2)</f>
        <v>322.03750000000036</v>
      </c>
    </row>
    <row r="124" spans="1:18" ht="29.25" customHeight="1">
      <c r="A124" s="902"/>
      <c r="B124" s="903"/>
      <c r="C124" s="904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6.25">
      <c r="A125" s="460" t="s">
        <v>196</v>
      </c>
      <c r="B125" s="461"/>
      <c r="C125" s="462"/>
      <c r="D125" s="307"/>
      <c r="E125" s="308"/>
      <c r="F125" s="308"/>
      <c r="G125" s="309">
        <f>SUM(G112:G124)</f>
        <v>2888.7699999999886</v>
      </c>
      <c r="H125" s="156"/>
      <c r="I125" s="327">
        <f>G125-(G39+G53)</f>
        <v>-1462.3600000000088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'3'!F128</f>
        <v>129157.6</v>
      </c>
      <c r="F128" s="165">
        <v>129668.18</v>
      </c>
      <c r="G128" s="112">
        <f t="shared" ref="G128:G134" si="10">F128-E128</f>
        <v>510.57999999998719</v>
      </c>
      <c r="H128" s="99">
        <f>G128+'3'!H128</f>
        <v>2024.179999999993</v>
      </c>
      <c r="I128" s="165"/>
      <c r="J128" s="328">
        <f>H128/DAY(B2)</f>
        <v>506.04499999999825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'3'!F129</f>
        <v>73081.7</v>
      </c>
      <c r="F129" s="165">
        <v>73290.53</v>
      </c>
      <c r="G129" s="112">
        <f t="shared" si="10"/>
        <v>208.83000000000175</v>
      </c>
      <c r="H129" s="99">
        <f>G129+'3'!H129</f>
        <v>787.52999999999884</v>
      </c>
      <c r="I129" s="165"/>
      <c r="J129" s="328">
        <f>H129/DAY(B2)</f>
        <v>196.88249999999971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'3'!F130</f>
        <v>166701.47</v>
      </c>
      <c r="F130" s="165">
        <v>167285.99</v>
      </c>
      <c r="G130" s="112">
        <f t="shared" si="10"/>
        <v>584.51999999998952</v>
      </c>
      <c r="H130" s="99">
        <f>G130+'3'!H130</f>
        <v>2688.9899999999907</v>
      </c>
      <c r="I130" s="165"/>
      <c r="J130" s="328">
        <f>H130/DAY(B2)</f>
        <v>672.24749999999767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'3'!F131</f>
        <v>49048.6</v>
      </c>
      <c r="F131" s="165">
        <v>49248.74</v>
      </c>
      <c r="G131" s="112">
        <f t="shared" si="10"/>
        <v>200.13999999999942</v>
      </c>
      <c r="H131" s="99">
        <f>G131+'3'!H131</f>
        <v>799.73999999999796</v>
      </c>
      <c r="I131" s="165"/>
      <c r="J131" s="328">
        <f>H131/DAY(B2)</f>
        <v>199.93499999999949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'3'!F132</f>
        <v>129348.54</v>
      </c>
      <c r="F132" s="165">
        <v>129768.03</v>
      </c>
      <c r="G132" s="112">
        <f t="shared" si="10"/>
        <v>419.49000000000524</v>
      </c>
      <c r="H132" s="99">
        <f>G132+'3'!H132</f>
        <v>1594.0299999999988</v>
      </c>
      <c r="I132" s="165"/>
      <c r="J132" s="328">
        <f>H132/DAY(B2)</f>
        <v>398.50749999999971</v>
      </c>
    </row>
    <row r="133" spans="1:15" ht="25.5">
      <c r="A133" s="898" t="s">
        <v>323</v>
      </c>
      <c r="B133" s="899"/>
      <c r="C133" s="900"/>
      <c r="D133" s="151" t="s">
        <v>183</v>
      </c>
      <c r="E133" s="95">
        <f>'3'!F133</f>
        <v>224035.59</v>
      </c>
      <c r="F133" s="165">
        <v>224035.59</v>
      </c>
      <c r="G133" s="112">
        <f t="shared" si="10"/>
        <v>0</v>
      </c>
      <c r="H133" s="99">
        <f>G133+'3'!H133</f>
        <v>0</v>
      </c>
      <c r="I133" s="165"/>
      <c r="J133" s="328">
        <f>H133/DAY(B2)</f>
        <v>0</v>
      </c>
    </row>
    <row r="134" spans="1:15" ht="25.5">
      <c r="A134" s="898" t="s">
        <v>340</v>
      </c>
      <c r="B134" s="899"/>
      <c r="C134" s="900"/>
      <c r="D134" s="151" t="s">
        <v>183</v>
      </c>
      <c r="E134" s="95">
        <f>'3'!F134</f>
        <v>49643.13</v>
      </c>
      <c r="F134" s="165">
        <v>49854.32</v>
      </c>
      <c r="G134" s="112">
        <f t="shared" si="10"/>
        <v>211.19000000000233</v>
      </c>
      <c r="H134" s="99">
        <f>G134+'3'!H134</f>
        <v>819.31999999999971</v>
      </c>
      <c r="I134" s="165"/>
      <c r="J134" s="328">
        <f>H134/DAY(B2)</f>
        <v>204.82999999999993</v>
      </c>
    </row>
    <row r="135" spans="1:15" ht="26.25">
      <c r="A135" s="928" t="s">
        <v>196</v>
      </c>
      <c r="B135" s="929"/>
      <c r="C135" s="930"/>
      <c r="D135" s="151"/>
      <c r="E135" s="95"/>
      <c r="F135" s="165"/>
      <c r="G135" s="112">
        <f>SUM(G128:G134)</f>
        <v>2134.7499999999854</v>
      </c>
      <c r="H135" s="99">
        <f>G135+'3'!H135</f>
        <v>8713.789999999979</v>
      </c>
      <c r="I135" s="327">
        <f>G135-(G35+G49)</f>
        <v>-2051.0000000000146</v>
      </c>
      <c r="J135" s="328">
        <f>H135/DAY(B2)</f>
        <v>2178.4474999999948</v>
      </c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'3'!F138</f>
        <v>891552</v>
      </c>
      <c r="F138" s="147">
        <v>891694</v>
      </c>
      <c r="G138" s="112">
        <f t="shared" ref="G138:G152" si="11">F138-E138</f>
        <v>142</v>
      </c>
      <c r="H138" s="99">
        <f>G138+'3'!H138</f>
        <v>596</v>
      </c>
      <c r="I138" s="118"/>
      <c r="J138" s="328">
        <f>H138/DAY(B2)</f>
        <v>149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'3'!F139</f>
        <v>909358</v>
      </c>
      <c r="F139" s="148">
        <v>909510</v>
      </c>
      <c r="G139" s="112">
        <f t="shared" si="11"/>
        <v>152</v>
      </c>
      <c r="H139" s="99">
        <f>G139+'3'!H139</f>
        <v>615</v>
      </c>
      <c r="I139" s="118"/>
      <c r="J139" s="328">
        <f>H139/DAY(B2)</f>
        <v>153.75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'3'!F140</f>
        <v>1557</v>
      </c>
      <c r="F140" s="149">
        <v>1573.7</v>
      </c>
      <c r="G140" s="112">
        <f t="shared" si="11"/>
        <v>16.700000000000045</v>
      </c>
      <c r="H140" s="99">
        <f>G140+'3'!H140</f>
        <v>60.700000000000045</v>
      </c>
      <c r="I140" s="118"/>
      <c r="J140" s="328">
        <f>H140/DAY(B2)</f>
        <v>15.175000000000011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'3'!F141</f>
        <v>91024.43</v>
      </c>
      <c r="F141" s="149">
        <v>91223.51</v>
      </c>
      <c r="G141" s="112">
        <f t="shared" si="11"/>
        <v>199.08000000000175</v>
      </c>
      <c r="H141" s="99">
        <f>G141+'3'!H141</f>
        <v>771.50999999999476</v>
      </c>
      <c r="I141" s="118"/>
      <c r="J141" s="328">
        <f>H141/DAY(B2)</f>
        <v>192.87749999999869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'3'!F142</f>
        <v>36858.699999999997</v>
      </c>
      <c r="F142" s="148">
        <v>36945.25</v>
      </c>
      <c r="G142" s="112">
        <f t="shared" si="11"/>
        <v>86.55000000000291</v>
      </c>
      <c r="H142" s="99">
        <f>G142+'3'!H142</f>
        <v>284.25</v>
      </c>
      <c r="I142" s="140"/>
      <c r="J142" s="328">
        <f>H142/DAY(B2)</f>
        <v>71.0625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'3'!F143</f>
        <v>9129.43</v>
      </c>
      <c r="F143" s="149">
        <v>9153.9599999999991</v>
      </c>
      <c r="G143" s="112">
        <f t="shared" si="11"/>
        <v>24.529999999998836</v>
      </c>
      <c r="H143" s="99">
        <f>G143+'3'!H143</f>
        <v>102.95999999999913</v>
      </c>
      <c r="I143" s="140"/>
      <c r="J143" s="328">
        <f>H143/DAY(B2)</f>
        <v>25.739999999999782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'3'!F144</f>
        <v>920470</v>
      </c>
      <c r="F144" s="149">
        <v>920691</v>
      </c>
      <c r="G144" s="112">
        <f t="shared" si="11"/>
        <v>221</v>
      </c>
      <c r="H144" s="99">
        <f>G144+'3'!H144</f>
        <v>854</v>
      </c>
      <c r="I144" s="140"/>
      <c r="J144" s="328">
        <f>H144/DAY(B2)</f>
        <v>213.5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'3'!F145</f>
        <v>5912</v>
      </c>
      <c r="F145" s="149">
        <v>5951.82</v>
      </c>
      <c r="G145" s="112">
        <f t="shared" si="11"/>
        <v>39.819999999999709</v>
      </c>
      <c r="H145" s="99">
        <f>G145+'3'!H145</f>
        <v>144.81999999999971</v>
      </c>
      <c r="I145" s="140"/>
      <c r="J145" s="328">
        <f>H145/DAY(B2)</f>
        <v>36.204999999999927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'3'!F146</f>
        <v>781091</v>
      </c>
      <c r="F146" s="148">
        <v>781164</v>
      </c>
      <c r="G146" s="112">
        <f t="shared" si="11"/>
        <v>73</v>
      </c>
      <c r="H146" s="99">
        <f>G146+'3'!H146</f>
        <v>364</v>
      </c>
      <c r="I146" s="140"/>
      <c r="J146" s="328">
        <f>H146/DAY(B2)</f>
        <v>91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'3'!F147</f>
        <v>700894.64</v>
      </c>
      <c r="F147" s="148">
        <v>701269.44</v>
      </c>
      <c r="G147" s="112">
        <f t="shared" si="11"/>
        <v>374.79999999993015</v>
      </c>
      <c r="H147" s="99">
        <f>G147+'3'!H147</f>
        <v>1500.4399999999441</v>
      </c>
      <c r="I147" s="140"/>
      <c r="J147" s="328">
        <f>H147/DAY(B2)</f>
        <v>375.10999999998603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'3'!F148</f>
        <v>749395.28</v>
      </c>
      <c r="F148" s="150">
        <v>749641.04</v>
      </c>
      <c r="G148" s="112">
        <f t="shared" si="11"/>
        <v>245.76000000000931</v>
      </c>
      <c r="H148" s="99">
        <f>G148+'3'!H148</f>
        <v>1111.0400000000373</v>
      </c>
      <c r="I148" s="124"/>
      <c r="J148" s="328">
        <f>H148/DAY(B2)</f>
        <v>277.76000000000931</v>
      </c>
    </row>
    <row r="149" spans="1:10" ht="25.5">
      <c r="A149" s="877" t="s">
        <v>336</v>
      </c>
      <c r="B149" s="878"/>
      <c r="C149" s="879"/>
      <c r="D149" s="227" t="s">
        <v>130</v>
      </c>
      <c r="E149" s="95">
        <f>'3'!F149</f>
        <v>133764.82999999999</v>
      </c>
      <c r="F149" s="146">
        <v>134212.73000000001</v>
      </c>
      <c r="G149" s="112">
        <f t="shared" si="11"/>
        <v>447.90000000002328</v>
      </c>
      <c r="H149" s="99">
        <f>G149+'3'!H149</f>
        <v>1778.7300000000105</v>
      </c>
      <c r="I149" s="119"/>
      <c r="J149" s="328">
        <f>H149/DAY(B2)</f>
        <v>444.68250000000262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'3'!F150</f>
        <v>51269.25</v>
      </c>
      <c r="F150" s="233">
        <v>51494.9</v>
      </c>
      <c r="G150" s="112">
        <f t="shared" si="11"/>
        <v>225.65000000000146</v>
      </c>
      <c r="H150" s="99">
        <f>G150+'3'!H150</f>
        <v>879.90000000000146</v>
      </c>
      <c r="I150" s="119"/>
      <c r="J150" s="328">
        <f>H150/DAY(B2)</f>
        <v>219.97500000000036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'3'!F151</f>
        <v>136436</v>
      </c>
      <c r="F151" s="233">
        <v>136686</v>
      </c>
      <c r="G151" s="112">
        <f t="shared" si="11"/>
        <v>250</v>
      </c>
      <c r="H151" s="99">
        <f>G151+'3'!H151</f>
        <v>1237</v>
      </c>
      <c r="I151" s="119"/>
      <c r="J151" s="328">
        <f>H151/DAY(B2)</f>
        <v>309.25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'3'!F152</f>
        <v>24391.59</v>
      </c>
      <c r="F152" s="763">
        <v>23612.41</v>
      </c>
      <c r="G152" s="112">
        <f t="shared" si="11"/>
        <v>-779.18000000000029</v>
      </c>
      <c r="H152" s="99">
        <f>G152+'3'!H152</f>
        <v>458.40999999999985</v>
      </c>
      <c r="I152" s="119"/>
      <c r="J152" s="328">
        <f>H152/DAY(B2)</f>
        <v>114.60249999999996</v>
      </c>
    </row>
    <row r="153" spans="1:10" ht="26.25">
      <c r="A153" s="928" t="s">
        <v>196</v>
      </c>
      <c r="B153" s="929"/>
      <c r="C153" s="930"/>
      <c r="D153" s="358"/>
      <c r="E153" s="360"/>
      <c r="F153" s="361"/>
      <c r="G153" s="362">
        <f>SUM(G138:G152)</f>
        <v>1719.6099999999669</v>
      </c>
      <c r="H153" s="363"/>
      <c r="I153" s="119">
        <f>G153-(G38+G52)</f>
        <v>-534.54000000006545</v>
      </c>
      <c r="J153" s="366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95">
        <f>'3'!F155</f>
        <v>150123.29</v>
      </c>
      <c r="F155" s="374">
        <v>150703.29</v>
      </c>
      <c r="G155" s="112">
        <f t="shared" ref="G155:G158" si="12">F155-E155</f>
        <v>580</v>
      </c>
      <c r="H155" s="99">
        <f>G155+'3'!H155</f>
        <v>2554.2900000000081</v>
      </c>
      <c r="I155" s="364"/>
      <c r="J155" s="328">
        <f>H155/DAY(B2)</f>
        <v>638.57250000000204</v>
      </c>
    </row>
    <row r="156" spans="1:10" ht="25.5">
      <c r="A156" s="876" t="s">
        <v>346</v>
      </c>
      <c r="B156" s="876"/>
      <c r="C156" s="876"/>
      <c r="D156" s="117" t="s">
        <v>130</v>
      </c>
      <c r="E156" s="95">
        <f>'3'!F156</f>
        <v>15041.169</v>
      </c>
      <c r="F156" s="155">
        <v>15123.17</v>
      </c>
      <c r="G156" s="112">
        <f t="shared" si="12"/>
        <v>82.001000000000204</v>
      </c>
      <c r="H156" s="99">
        <f>G156+'3'!H156</f>
        <v>389.17000000000007</v>
      </c>
      <c r="I156" s="165"/>
      <c r="J156" s="328">
        <f>H156/DAY(B2)</f>
        <v>97.292500000000018</v>
      </c>
    </row>
    <row r="157" spans="1:10" ht="25.5">
      <c r="A157" s="877" t="s">
        <v>360</v>
      </c>
      <c r="B157" s="878"/>
      <c r="C157" s="879"/>
      <c r="D157" s="117" t="s">
        <v>130</v>
      </c>
      <c r="E157" s="95">
        <f>'3'!F157</f>
        <v>27904.33</v>
      </c>
      <c r="F157" s="155">
        <v>28037.47</v>
      </c>
      <c r="G157" s="112">
        <f t="shared" si="12"/>
        <v>133.13999999999942</v>
      </c>
      <c r="H157" s="99">
        <f>G157+'3'!H157</f>
        <v>591.47000000000116</v>
      </c>
      <c r="I157" s="165"/>
      <c r="J157" s="328">
        <f>H157/DAY(B2)</f>
        <v>147.86750000000029</v>
      </c>
    </row>
    <row r="158" spans="1:10" ht="25.5">
      <c r="A158" s="877" t="s">
        <v>361</v>
      </c>
      <c r="B158" s="878"/>
      <c r="C158" s="879"/>
      <c r="D158" s="117" t="s">
        <v>130</v>
      </c>
      <c r="E158" s="95">
        <f>'3'!F158</f>
        <v>239.04</v>
      </c>
      <c r="F158" s="155">
        <v>239.87</v>
      </c>
      <c r="G158" s="112">
        <f t="shared" si="12"/>
        <v>0.83000000000001251</v>
      </c>
      <c r="H158" s="99">
        <f>G158+'3'!H158</f>
        <v>151.44999999999999</v>
      </c>
      <c r="I158" s="165"/>
      <c r="J158" s="328">
        <f>H158/DAY(B2)</f>
        <v>37.862499999999997</v>
      </c>
    </row>
    <row r="159" spans="1:10" ht="25.5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'3'!F161</f>
        <v>480140.64</v>
      </c>
      <c r="F161" s="235">
        <v>480166.44</v>
      </c>
      <c r="G161" s="238">
        <f t="shared" ref="G161:G168" si="13">F161-E161</f>
        <v>25.799999999988358</v>
      </c>
      <c r="H161" s="99">
        <f>G161+'3'!H161</f>
        <v>113.44000000000233</v>
      </c>
      <c r="I161" s="236"/>
      <c r="J161" s="239">
        <f>H161/DAY(B2)</f>
        <v>28.360000000000582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'3'!F162</f>
        <v>95062</v>
      </c>
      <c r="F162" s="235">
        <v>95105.9</v>
      </c>
      <c r="G162" s="238">
        <f t="shared" si="13"/>
        <v>43.899999999994179</v>
      </c>
      <c r="H162" s="99">
        <f>G162+'3'!H162</f>
        <v>177.89999999999418</v>
      </c>
      <c r="I162" s="236"/>
      <c r="J162" s="239">
        <f>H162/DAY(B2)</f>
        <v>44.474999999998545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'3'!F163</f>
        <v>6910.2</v>
      </c>
      <c r="F163" s="235">
        <v>7018.4</v>
      </c>
      <c r="G163" s="238">
        <f t="shared" si="13"/>
        <v>108.19999999999982</v>
      </c>
      <c r="H163" s="99">
        <f>G163+'3'!H163</f>
        <v>517.39999999999964</v>
      </c>
      <c r="I163" s="236"/>
      <c r="J163" s="239">
        <f>H163/DAY(B2)</f>
        <v>129.34999999999991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'3'!F164</f>
        <v>6288.2</v>
      </c>
      <c r="F164" s="235">
        <v>6289.8</v>
      </c>
      <c r="G164" s="238">
        <f t="shared" si="13"/>
        <v>1.6000000000003638</v>
      </c>
      <c r="H164" s="99">
        <f>G164+'3'!H164</f>
        <v>9.8000000000001819</v>
      </c>
      <c r="I164" s="236"/>
      <c r="J164" s="239">
        <f>H164/DAY(B2)</f>
        <v>2.4500000000000455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'3'!F165</f>
        <v>31659.5</v>
      </c>
      <c r="F165" s="235">
        <v>31666.93</v>
      </c>
      <c r="G165" s="238">
        <f t="shared" si="13"/>
        <v>7.430000000000291</v>
      </c>
      <c r="H165" s="99">
        <f>G165+'3'!H165</f>
        <v>32.930000000000291</v>
      </c>
      <c r="I165" s="236"/>
      <c r="J165" s="239">
        <f>H165/DAY(B2)</f>
        <v>8.2325000000000728</v>
      </c>
    </row>
    <row r="166" spans="1:10" ht="26.25">
      <c r="A166" s="885"/>
      <c r="B166" s="885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6.25">
      <c r="A167" s="885"/>
      <c r="B167" s="885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6.25">
      <c r="A168" s="885"/>
      <c r="B168" s="885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'3'!F173</f>
        <v>8240</v>
      </c>
      <c r="F173" s="155">
        <v>8245</v>
      </c>
      <c r="G173" s="155">
        <f>F173-E173</f>
        <v>5</v>
      </c>
      <c r="H173" s="99">
        <f>G173+'3'!H173</f>
        <v>10</v>
      </c>
      <c r="I173" s="155"/>
      <c r="J173" s="178">
        <f>H173/DAY(B2)</f>
        <v>2.5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'3'!F174</f>
        <v>41243</v>
      </c>
      <c r="F174" s="157">
        <v>41258</v>
      </c>
      <c r="G174" s="155">
        <f t="shared" ref="G174:G175" si="14">F174-E174</f>
        <v>15</v>
      </c>
      <c r="H174" s="99">
        <f>G174+'3'!H174</f>
        <v>54</v>
      </c>
      <c r="I174" s="155"/>
      <c r="J174" s="178">
        <f>H174/DAY(B2)</f>
        <v>13.5</v>
      </c>
    </row>
    <row r="175" spans="1:10" ht="25.5" customHeight="1">
      <c r="A175" s="891" t="s">
        <v>76</v>
      </c>
      <c r="B175" s="931"/>
      <c r="C175" s="892"/>
      <c r="D175" s="228" t="s">
        <v>142</v>
      </c>
      <c r="E175" s="95">
        <f>'3'!F175</f>
        <v>24066</v>
      </c>
      <c r="F175" s="155">
        <v>24078</v>
      </c>
      <c r="G175" s="155">
        <f t="shared" si="14"/>
        <v>12</v>
      </c>
      <c r="H175" s="99">
        <f>G175+'3'!H175</f>
        <v>47</v>
      </c>
      <c r="I175" s="155"/>
      <c r="J175" s="178">
        <f>H175/DAY(B2)</f>
        <v>11.75</v>
      </c>
    </row>
    <row r="176" spans="1:10" ht="24.75" customHeight="1">
      <c r="A176" s="928" t="s">
        <v>196</v>
      </c>
      <c r="B176" s="929"/>
      <c r="C176" s="930"/>
      <c r="D176" s="228"/>
      <c r="E176" s="95"/>
      <c r="F176" s="155"/>
      <c r="G176" s="155">
        <f>SUM(G173:G175)</f>
        <v>32</v>
      </c>
      <c r="H176" s="99">
        <f>G176+'3'!H176</f>
        <v>111</v>
      </c>
      <c r="I176" s="155"/>
      <c r="J176" s="178">
        <f>H176/DAY(B2)</f>
        <v>27.75</v>
      </c>
    </row>
    <row r="177" spans="1:10" ht="28.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891" t="s">
        <v>210</v>
      </c>
      <c r="B178" s="892"/>
      <c r="C178" s="333"/>
      <c r="D178" s="228" t="s">
        <v>142</v>
      </c>
      <c r="E178" s="95">
        <f>'3'!F178</f>
        <v>98017</v>
      </c>
      <c r="F178" s="157">
        <v>98082</v>
      </c>
      <c r="G178" s="155">
        <f>F178-E178</f>
        <v>65</v>
      </c>
      <c r="H178" s="99">
        <f>G178+'3'!H178</f>
        <v>369</v>
      </c>
      <c r="I178" s="155"/>
      <c r="J178" s="178">
        <f>H178/DAY(B2)</f>
        <v>92.25</v>
      </c>
    </row>
    <row r="179" spans="1:10" ht="24" customHeight="1">
      <c r="A179" s="891" t="s">
        <v>211</v>
      </c>
      <c r="B179" s="892"/>
      <c r="C179" s="333"/>
      <c r="D179" s="228" t="s">
        <v>142</v>
      </c>
      <c r="E179" s="95">
        <f>'3'!F179</f>
        <v>36002</v>
      </c>
      <c r="F179" s="155">
        <v>36002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'3'!F180</f>
        <v>7176</v>
      </c>
      <c r="F180" s="155">
        <v>7176</v>
      </c>
      <c r="G180" s="155">
        <f t="shared" si="15"/>
        <v>0</v>
      </c>
      <c r="H180" s="99">
        <f>G180+'3'!H180</f>
        <v>7</v>
      </c>
      <c r="I180" s="155"/>
      <c r="J180" s="178">
        <f>H180/DAY(B2)</f>
        <v>1.75</v>
      </c>
    </row>
    <row r="181" spans="1:10" ht="21.95" customHeight="1">
      <c r="A181" s="928" t="s">
        <v>196</v>
      </c>
      <c r="B181" s="929"/>
      <c r="C181" s="930"/>
      <c r="D181" s="228"/>
      <c r="E181" s="95"/>
      <c r="F181" s="155"/>
      <c r="G181" s="155">
        <f>SUM(G178:G180)</f>
        <v>65</v>
      </c>
      <c r="H181" s="99">
        <f>G181+'3'!H181</f>
        <v>376</v>
      </c>
      <c r="I181" s="155"/>
      <c r="J181" s="178">
        <f>H181/DAY(B2)</f>
        <v>94</v>
      </c>
    </row>
    <row r="182" spans="1:10" ht="21.95" customHeight="1">
      <c r="A182" s="891" t="s">
        <v>213</v>
      </c>
      <c r="B182" s="892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'3'!F183</f>
        <v>17494</v>
      </c>
      <c r="F183" s="157">
        <v>17499</v>
      </c>
      <c r="G183" s="157">
        <f>F183-E183</f>
        <v>5</v>
      </c>
      <c r="H183" s="99">
        <f>G183+'3'!H183</f>
        <v>26</v>
      </c>
      <c r="I183" s="155"/>
      <c r="J183" s="178">
        <f>H183/DAY(B2)</f>
        <v>6.5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'3'!F184</f>
        <v>11954</v>
      </c>
      <c r="F184" s="157">
        <v>11961</v>
      </c>
      <c r="G184" s="157">
        <f t="shared" ref="G184:G185" si="16">F184-E184</f>
        <v>7</v>
      </c>
      <c r="H184" s="99">
        <f>G184+'3'!H184</f>
        <v>26</v>
      </c>
      <c r="I184" s="155"/>
      <c r="J184" s="178">
        <f>H184/DAY(B2)</f>
        <v>6.5</v>
      </c>
    </row>
    <row r="185" spans="1:10" ht="25.5">
      <c r="A185" s="891" t="s">
        <v>216</v>
      </c>
      <c r="B185" s="892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6.25">
      <c r="A186" s="928" t="s">
        <v>196</v>
      </c>
      <c r="B186" s="929"/>
      <c r="C186" s="930"/>
      <c r="D186" s="229"/>
      <c r="E186" s="95"/>
      <c r="F186" s="157"/>
      <c r="G186" s="157">
        <f>SUM(G183:G185)</f>
        <v>12</v>
      </c>
      <c r="H186" s="99">
        <f>G186+'3'!H186</f>
        <v>52</v>
      </c>
      <c r="I186" s="157"/>
      <c r="J186" s="178">
        <f>H186/DAY(B2)</f>
        <v>13</v>
      </c>
    </row>
    <row r="187" spans="1:10" ht="25.5" customHeight="1">
      <c r="A187" s="882" t="s">
        <v>217</v>
      </c>
      <c r="B187" s="883"/>
      <c r="C187" s="333"/>
      <c r="D187" s="230" t="s">
        <v>142</v>
      </c>
      <c r="E187" s="95"/>
      <c r="F187" s="99"/>
      <c r="G187" s="159">
        <f>G62+G19</f>
        <v>148</v>
      </c>
      <c r="H187" s="99">
        <f>G187+'3'!H187</f>
        <v>601</v>
      </c>
      <c r="I187" s="158"/>
      <c r="J187" s="179">
        <f>H187/DAY(B2)</f>
        <v>150.25</v>
      </c>
    </row>
    <row r="188" spans="1:10" ht="25.5">
      <c r="A188" s="882" t="s">
        <v>218</v>
      </c>
      <c r="B188" s="883"/>
      <c r="C188" s="333"/>
      <c r="D188" s="230" t="s">
        <v>142</v>
      </c>
      <c r="E188" s="95"/>
      <c r="F188" s="159"/>
      <c r="G188" s="159">
        <f>G65+G66+G67+G69+G70</f>
        <v>146</v>
      </c>
      <c r="H188" s="99">
        <f>G188+'3'!H188</f>
        <v>546</v>
      </c>
      <c r="I188" s="158"/>
      <c r="J188" s="179">
        <f>H188/DAY(B2)</f>
        <v>136.5</v>
      </c>
    </row>
    <row r="189" spans="1:10" ht="25.5">
      <c r="A189" s="882" t="s">
        <v>219</v>
      </c>
      <c r="B189" s="883"/>
      <c r="C189" s="333"/>
      <c r="D189" s="230" t="s">
        <v>142</v>
      </c>
      <c r="E189" s="95"/>
      <c r="F189" s="157"/>
      <c r="G189" s="157">
        <f>G181</f>
        <v>65</v>
      </c>
      <c r="H189" s="99">
        <f>G189+'3'!H189</f>
        <v>376</v>
      </c>
      <c r="I189" s="158"/>
      <c r="J189" s="179">
        <f>H189/DAY(B2)</f>
        <v>94</v>
      </c>
    </row>
    <row r="190" spans="1:10" ht="25.5">
      <c r="A190" s="882"/>
      <c r="B190" s="883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157" zoomScale="51" zoomScaleNormal="48" zoomScaleSheetLayoutView="51" workbookViewId="0">
      <selection activeCell="F74" sqref="F7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355</v>
      </c>
      <c r="B2" s="262">
        <v>44778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'4'!F7</f>
        <v>441178.19</v>
      </c>
      <c r="F7" s="95">
        <v>467952</v>
      </c>
      <c r="G7" s="112">
        <f>F7-E7</f>
        <v>26773.809999999998</v>
      </c>
      <c r="H7" s="99">
        <f>G7+'4'!H7</f>
        <v>130822</v>
      </c>
      <c r="I7" s="113">
        <f>'1'!I7</f>
        <v>12000</v>
      </c>
      <c r="J7" s="175">
        <f>H7/DAY(B2)</f>
        <v>26164.400000000001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'4'!F8</f>
        <v>594162</v>
      </c>
      <c r="F8" s="114">
        <v>621280</v>
      </c>
      <c r="G8" s="115">
        <f>F8-E8</f>
        <v>27118</v>
      </c>
      <c r="H8" s="99">
        <f>G8+'4'!H8</f>
        <v>132693</v>
      </c>
      <c r="I8" s="116"/>
      <c r="J8" s="175">
        <f>H8/DAY(B2)</f>
        <v>26538.6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'4'!F9</f>
        <v>3304598.1</v>
      </c>
      <c r="F9" s="117">
        <v>3311008</v>
      </c>
      <c r="G9" s="112">
        <f>F9-E9</f>
        <v>6409.8999999999069</v>
      </c>
      <c r="H9" s="99">
        <f>G9+'4'!H9</f>
        <v>31942</v>
      </c>
      <c r="I9" s="124">
        <f>I7-J7</f>
        <v>-14164.400000000001</v>
      </c>
      <c r="J9" s="175">
        <f>H9/DAY(B2)</f>
        <v>6388.4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'4'!F10</f>
        <v>1743070.9</v>
      </c>
      <c r="F10" s="117">
        <v>1762551</v>
      </c>
      <c r="G10" s="112">
        <f t="shared" ref="G10:G12" si="0">F10-E10</f>
        <v>19480.100000000093</v>
      </c>
      <c r="H10" s="99">
        <f>G10+'4'!H10</f>
        <v>95393</v>
      </c>
      <c r="I10" s="282"/>
      <c r="J10" s="175">
        <f>H10/DAY(B2)</f>
        <v>19078.599999999999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'4'!F11</f>
        <v>37560</v>
      </c>
      <c r="F11" s="95">
        <v>37560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'4'!F12</f>
        <v>40380</v>
      </c>
      <c r="F12" s="117">
        <v>40380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25890</v>
      </c>
      <c r="H13" s="99">
        <f>G13+'4'!H13</f>
        <v>128669.59999999986</v>
      </c>
      <c r="I13" s="120">
        <f>G7-G13</f>
        <v>883.80999999999767</v>
      </c>
      <c r="J13" s="175">
        <f>H13/DAY(B2)</f>
        <v>25733.919999999973</v>
      </c>
      <c r="K13" s="79"/>
      <c r="L13" s="66"/>
      <c r="N13" s="87"/>
      <c r="O13" s="71"/>
    </row>
    <row r="14" spans="1:15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'4'!F15</f>
        <v>2104913.7999999998</v>
      </c>
      <c r="F15" s="469">
        <v>2105961</v>
      </c>
      <c r="G15" s="112">
        <f>(F15-E15)</f>
        <v>1047.2000000001863</v>
      </c>
      <c r="H15" s="99">
        <f>G15+'4'!H15</f>
        <v>5093</v>
      </c>
      <c r="I15" s="113">
        <f>'1'!I15</f>
        <v>800</v>
      </c>
      <c r="J15" s="175">
        <f>H15/DAY(B2)</f>
        <v>1018.6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-218.60000000000002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'4'!F18</f>
        <v>13</v>
      </c>
      <c r="F18" s="122">
        <v>14</v>
      </c>
      <c r="G18" s="119">
        <f>F18*10</f>
        <v>140</v>
      </c>
      <c r="H18" s="99">
        <f>G18+'4'!H18</f>
        <v>680</v>
      </c>
      <c r="I18" s="113">
        <f>'1'!I18</f>
        <v>65</v>
      </c>
      <c r="J18" s="175">
        <f>H18/DAY(B2)</f>
        <v>136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'4'!F19</f>
        <v>162546</v>
      </c>
      <c r="F19" s="122">
        <v>162598</v>
      </c>
      <c r="G19" s="112">
        <f t="shared" ref="G19" si="1">F19-E19</f>
        <v>52</v>
      </c>
      <c r="H19" s="99">
        <f>G19+'4'!H19</f>
        <v>263</v>
      </c>
      <c r="I19" s="335"/>
      <c r="J19" s="175">
        <f>H19/DAY(B2)</f>
        <v>52.6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192</v>
      </c>
      <c r="H20" s="99">
        <f>G20+'4'!H20</f>
        <v>943</v>
      </c>
      <c r="I20" s="336">
        <f>I18-J20</f>
        <v>-123.6</v>
      </c>
      <c r="J20" s="175">
        <f>H20/DAY(B2)</f>
        <v>188.6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27118</v>
      </c>
      <c r="F27" s="136">
        <v>9</v>
      </c>
      <c r="G27" s="137">
        <f>E27*F27</f>
        <v>244062</v>
      </c>
      <c r="H27" s="99">
        <f>G27+'4'!H27</f>
        <v>1194237</v>
      </c>
      <c r="I27" s="138"/>
      <c r="J27" s="175">
        <f>H27/DAY(B2)</f>
        <v>238847.4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1047.2000000001863</v>
      </c>
      <c r="F28" s="136">
        <v>70</v>
      </c>
      <c r="G28" s="137">
        <f>E28*F28</f>
        <v>73304.000000013039</v>
      </c>
      <c r="H28" s="99">
        <f>G28+'4'!H28</f>
        <v>356510</v>
      </c>
      <c r="I28" s="140"/>
      <c r="J28" s="175">
        <f>H28/DAY(B2)</f>
        <v>71302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G30+'4'!H30</f>
        <v>39713</v>
      </c>
      <c r="I30" s="140"/>
      <c r="J30" s="175">
        <f>H30/DAY(B2)</f>
        <v>7942.6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G31+'4'!H31</f>
        <v>54400</v>
      </c>
      <c r="I31" s="140"/>
      <c r="J31" s="175">
        <f>H31/DAY(B2)</f>
        <v>10880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336418.00000001304</v>
      </c>
      <c r="H32" s="99">
        <f>G32+'4'!H32</f>
        <v>1644860</v>
      </c>
      <c r="I32" s="144"/>
      <c r="J32" s="175">
        <f>H32/DAY(B2)</f>
        <v>328972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'4'!F35</f>
        <v>238713</v>
      </c>
      <c r="F35" s="145">
        <v>238713</v>
      </c>
      <c r="G35" s="112">
        <f t="shared" ref="G35:G46" si="3">F35-E35</f>
        <v>0</v>
      </c>
      <c r="H35" s="99">
        <f>G35+'4'!H35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'4'!F36</f>
        <v>218910.55</v>
      </c>
      <c r="F36" s="145">
        <v>220064</v>
      </c>
      <c r="G36" s="112">
        <f t="shared" si="3"/>
        <v>1153.4500000000116</v>
      </c>
      <c r="H36" s="99">
        <f>G36+'4'!H36</f>
        <v>4534</v>
      </c>
      <c r="I36" s="95"/>
      <c r="J36" s="175">
        <f>H36/DAY(B2)</f>
        <v>906.8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'4'!F37</f>
        <v>322998.69</v>
      </c>
      <c r="F37" s="145">
        <v>322998.69</v>
      </c>
      <c r="G37" s="112">
        <f t="shared" si="3"/>
        <v>0</v>
      </c>
      <c r="H37" s="99">
        <f>G37+'4'!H37</f>
        <v>-0.30999999999767169</v>
      </c>
      <c r="I37" s="95"/>
      <c r="J37" s="175">
        <f>H37/DAY(B2)</f>
        <v>-6.1999999999534337E-2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'4'!F38</f>
        <v>466343.63</v>
      </c>
      <c r="F38" s="108">
        <v>468583</v>
      </c>
      <c r="G38" s="112">
        <f t="shared" si="3"/>
        <v>2239.3699999999953</v>
      </c>
      <c r="H38" s="99">
        <f>G38+'4'!H38</f>
        <v>11222</v>
      </c>
      <c r="I38" s="95"/>
      <c r="J38" s="175">
        <f>H38/DAY(B2)</f>
        <v>2244.4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'4'!F39</f>
        <v>591584.18999999994</v>
      </c>
      <c r="F39" s="145">
        <v>591584</v>
      </c>
      <c r="G39" s="112">
        <f t="shared" si="3"/>
        <v>-0.18999999994412065</v>
      </c>
      <c r="H39" s="99">
        <f>G39+'4'!H39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'4'!F40</f>
        <v>110195</v>
      </c>
      <c r="F40" s="145">
        <v>111056</v>
      </c>
      <c r="G40" s="112">
        <f t="shared" si="3"/>
        <v>861</v>
      </c>
      <c r="H40" s="99">
        <f>G40+'4'!H40</f>
        <v>4280</v>
      </c>
      <c r="I40" s="95"/>
      <c r="J40" s="175">
        <f>H40/DAY(B2)</f>
        <v>856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'4'!F41</f>
        <v>221525.79</v>
      </c>
      <c r="F41" s="145">
        <v>224656</v>
      </c>
      <c r="G41" s="112">
        <f t="shared" si="3"/>
        <v>3130.2099999999919</v>
      </c>
      <c r="H41" s="99">
        <f>G41+'4'!H41</f>
        <v>12953</v>
      </c>
      <c r="I41" s="95"/>
      <c r="J41" s="175">
        <f>H41/DAY(B2)</f>
        <v>2590.6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'4'!F42</f>
        <v>752205.83</v>
      </c>
      <c r="F42" s="145">
        <v>752205.83</v>
      </c>
      <c r="G42" s="112">
        <f t="shared" si="3"/>
        <v>0</v>
      </c>
      <c r="H42" s="99">
        <f>G42+'4'!H42</f>
        <v>3841.8299999999581</v>
      </c>
      <c r="I42" s="95"/>
      <c r="J42" s="175">
        <f>H42/DAY(B2)</f>
        <v>768.36599999999157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'4'!F43</f>
        <v>407028</v>
      </c>
      <c r="F43" s="145">
        <v>407028</v>
      </c>
      <c r="G43" s="112">
        <f t="shared" si="3"/>
        <v>0</v>
      </c>
      <c r="H43" s="99">
        <f>G43+'4'!H43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7383.8400000000547</v>
      </c>
      <c r="H47" s="99">
        <f>G47+'4'!H47</f>
        <v>36830.51999999996</v>
      </c>
      <c r="I47" s="95"/>
      <c r="J47" s="175">
        <f>H47/DAY(B2)</f>
        <v>7366.1039999999921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'4'!F49</f>
        <v>498945.99</v>
      </c>
      <c r="F49" s="145">
        <v>503296</v>
      </c>
      <c r="G49" s="112">
        <f t="shared" ref="G49:G58" si="4">F49-E49</f>
        <v>4350.0100000000093</v>
      </c>
      <c r="H49" s="99">
        <f>G49+'4'!H49</f>
        <v>21242</v>
      </c>
      <c r="I49" s="95"/>
      <c r="J49" s="175">
        <f>H49/DAY(B2)</f>
        <v>4248.3999999999996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'4'!F50</f>
        <v>287533.99</v>
      </c>
      <c r="F50" s="145">
        <v>288564</v>
      </c>
      <c r="G50" s="112">
        <f t="shared" si="4"/>
        <v>1030.0100000000093</v>
      </c>
      <c r="H50" s="99">
        <f>G50+'4'!H50</f>
        <v>5814</v>
      </c>
      <c r="I50" s="95"/>
      <c r="J50" s="175">
        <f>H50/DAY(B2)</f>
        <v>1162.8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'4'!F51</f>
        <v>12923.59</v>
      </c>
      <c r="F51" s="145">
        <v>14024</v>
      </c>
      <c r="G51" s="112">
        <f t="shared" si="4"/>
        <v>1100.4099999999999</v>
      </c>
      <c r="H51" s="99">
        <f>G51+'4'!H51</f>
        <v>5516</v>
      </c>
      <c r="I51" s="95"/>
      <c r="J51" s="175">
        <f>H51/DAY(B2)</f>
        <v>1103.2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-0.24000000000000021</v>
      </c>
      <c r="I52" s="95"/>
      <c r="J52" s="175">
        <f>H52/DAY(B2)</f>
        <v>-4.8000000000000043E-2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'4'!F53</f>
        <v>51268.39</v>
      </c>
      <c r="F53" s="145">
        <v>55484</v>
      </c>
      <c r="G53" s="112">
        <f t="shared" si="4"/>
        <v>4215.6100000000006</v>
      </c>
      <c r="H53" s="99">
        <f>G53+'4'!H53</f>
        <v>21623</v>
      </c>
      <c r="I53" s="95"/>
      <c r="J53" s="175">
        <f>H53/DAY(B2)</f>
        <v>4324.6000000000004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'4'!F54</f>
        <v>89231.98</v>
      </c>
      <c r="F54" s="145">
        <v>89664</v>
      </c>
      <c r="G54" s="112">
        <f t="shared" si="4"/>
        <v>432.02000000000407</v>
      </c>
      <c r="H54" s="99">
        <f>G54+'4'!H54</f>
        <v>1721</v>
      </c>
      <c r="I54" s="95"/>
      <c r="J54" s="175">
        <f>H54/DAY(B2)</f>
        <v>344.2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'4'!F55</f>
        <v>375551.8</v>
      </c>
      <c r="F55" s="145">
        <v>379084</v>
      </c>
      <c r="G55" s="112">
        <f t="shared" si="4"/>
        <v>3532.2000000000116</v>
      </c>
      <c r="H55" s="99">
        <f>G55+'4'!H55</f>
        <v>16307</v>
      </c>
      <c r="I55" s="95"/>
      <c r="J55" s="175">
        <f>H55/DAY(B2)</f>
        <v>3261.4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'4'!F56</f>
        <v>123882.39</v>
      </c>
      <c r="F56" s="145">
        <v>123882</v>
      </c>
      <c r="G56" s="112">
        <f t="shared" si="4"/>
        <v>-0.38999999999941792</v>
      </c>
      <c r="H56" s="99">
        <f>G56+'4'!H56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'4'!F57</f>
        <v>238572.19</v>
      </c>
      <c r="F57" s="145">
        <v>241961</v>
      </c>
      <c r="G57" s="112">
        <f t="shared" si="4"/>
        <v>3388.8099999999977</v>
      </c>
      <c r="H57" s="99">
        <f>G57+'4'!H57</f>
        <v>15791</v>
      </c>
      <c r="I57" s="95"/>
      <c r="J57" s="175">
        <f>H57/DAY(B2)</f>
        <v>3158.2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'4'!F58</f>
        <v>50132.57</v>
      </c>
      <c r="F58" s="145">
        <v>50390</v>
      </c>
      <c r="G58" s="112">
        <f t="shared" si="4"/>
        <v>257.43000000000029</v>
      </c>
      <c r="H58" s="99">
        <f>G58+'4'!H58</f>
        <v>1281</v>
      </c>
      <c r="I58" s="95"/>
      <c r="J58" s="175">
        <f>H58/DAY(B2)</f>
        <v>256.2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18306.120000000032</v>
      </c>
      <c r="H59" s="99">
        <f>G59+'4'!H59</f>
        <v>89294.760000000009</v>
      </c>
      <c r="I59" s="95">
        <f>G7-G60</f>
        <v>1083.8499999999112</v>
      </c>
      <c r="J59" s="175">
        <f>H59/DAY(B2)</f>
        <v>17858.952000000001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25689.960000000086</v>
      </c>
      <c r="H60" s="99">
        <f>G60+'4'!H60</f>
        <v>126125.27999999997</v>
      </c>
      <c r="I60" s="95">
        <f>G13-G60</f>
        <v>200.03999999991356</v>
      </c>
      <c r="J60" s="175">
        <f>H60/DAY(B2)</f>
        <v>25225.055999999993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'4'!F62</f>
        <v>296665</v>
      </c>
      <c r="F62" s="122">
        <v>296771</v>
      </c>
      <c r="G62" s="112">
        <f t="shared" ref="G62:G63" si="5">F62-E62</f>
        <v>106</v>
      </c>
      <c r="H62" s="99">
        <f>G62+'4'!H62</f>
        <v>496</v>
      </c>
      <c r="I62" s="118"/>
      <c r="J62" s="175">
        <f>H62/DAY(B2)</f>
        <v>99.2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'4'!F63</f>
        <v>239717</v>
      </c>
      <c r="F63" s="122">
        <v>239854</v>
      </c>
      <c r="G63" s="112">
        <f t="shared" si="5"/>
        <v>137</v>
      </c>
      <c r="H63" s="99">
        <f>G63+'4'!H63</f>
        <v>721</v>
      </c>
      <c r="I63" s="118"/>
      <c r="J63" s="175">
        <f>H63/DAY(B2)</f>
        <v>144.19999999999999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'4'!F64</f>
        <v>0</v>
      </c>
      <c r="F64" s="122"/>
      <c r="G64" s="112">
        <f>G62+G63</f>
        <v>243</v>
      </c>
      <c r="H64" s="99">
        <f>G64+'4'!H64</f>
        <v>1217</v>
      </c>
      <c r="I64" s="118"/>
      <c r="J64" s="175">
        <f>H64/DAY(B2)</f>
        <v>243.4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'4'!F65</f>
        <v>455117</v>
      </c>
      <c r="F65" s="122">
        <v>455219</v>
      </c>
      <c r="G65" s="112">
        <f t="shared" ref="G65:G70" si="6">F65-E65</f>
        <v>102</v>
      </c>
      <c r="H65" s="99">
        <f>G65+'4'!H65</f>
        <v>509</v>
      </c>
      <c r="I65" s="118"/>
      <c r="J65" s="175">
        <f>H65/DAY(B2)</f>
        <v>101.8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'4'!F66</f>
        <v>111806</v>
      </c>
      <c r="F66" s="122">
        <v>111831</v>
      </c>
      <c r="G66" s="112">
        <f t="shared" si="6"/>
        <v>25</v>
      </c>
      <c r="H66" s="99">
        <f>G66+'4'!H66</f>
        <v>109</v>
      </c>
      <c r="I66" s="118"/>
      <c r="J66" s="175">
        <f>H66/DAY(B2)</f>
        <v>21.8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'4'!F67</f>
        <v>113680</v>
      </c>
      <c r="F67" s="122">
        <v>113680</v>
      </c>
      <c r="G67" s="112">
        <f t="shared" si="6"/>
        <v>0</v>
      </c>
      <c r="H67" s="99">
        <f>G67+'4'!H67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'4'!F68</f>
        <v>164750</v>
      </c>
      <c r="F68" s="122">
        <v>164767</v>
      </c>
      <c r="G68" s="112">
        <f t="shared" si="6"/>
        <v>17</v>
      </c>
      <c r="H68" s="99">
        <f>G68+'4'!H68</f>
        <v>105</v>
      </c>
      <c r="I68" s="118"/>
      <c r="J68" s="175">
        <f>H68/DAY(B2)</f>
        <v>21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'4'!F69</f>
        <v>12293</v>
      </c>
      <c r="F69" s="122">
        <v>12305</v>
      </c>
      <c r="G69" s="112">
        <f t="shared" si="6"/>
        <v>12</v>
      </c>
      <c r="H69" s="99">
        <f>G69+'4'!H69</f>
        <v>30</v>
      </c>
      <c r="I69" s="118"/>
      <c r="J69" s="175">
        <f>H69/DAY(B2)</f>
        <v>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'4'!F70</f>
        <v>9864</v>
      </c>
      <c r="F70" s="122">
        <v>9875</v>
      </c>
      <c r="G70" s="112">
        <f t="shared" si="6"/>
        <v>11</v>
      </c>
      <c r="H70" s="99">
        <f>G70+'4'!H70</f>
        <v>48</v>
      </c>
      <c r="I70" s="118"/>
      <c r="J70" s="175">
        <f>H70/DAY(B2)</f>
        <v>9.6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167</v>
      </c>
      <c r="H71" s="99">
        <f>G71+'4'!H71</f>
        <v>801</v>
      </c>
      <c r="I71" s="154"/>
      <c r="J71" s="175">
        <f>H71/DAY(B2)</f>
        <v>160.19999999999999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'4'!F74</f>
        <v>958825.86</v>
      </c>
      <c r="F74" s="123">
        <v>959112</v>
      </c>
      <c r="G74" s="112">
        <f t="shared" ref="G74:G78" si="7">F74-E74</f>
        <v>286.14000000001397</v>
      </c>
      <c r="H74" s="99">
        <f>G74+'4'!H74</f>
        <v>1454.140000000014</v>
      </c>
      <c r="I74" s="154"/>
      <c r="J74" s="175">
        <f>H74/DAY(B2)</f>
        <v>290.82800000000282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'4'!F75</f>
        <v>73586</v>
      </c>
      <c r="F75" s="123">
        <v>73586</v>
      </c>
      <c r="G75" s="112">
        <f t="shared" si="7"/>
        <v>0</v>
      </c>
      <c r="H75" s="99">
        <f>G75+'4'!H75</f>
        <v>-0.80000000000291038</v>
      </c>
      <c r="I75" s="154"/>
      <c r="J75" s="175">
        <f>H75/DAY(B2)</f>
        <v>-0.16000000000058207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'4'!F76</f>
        <v>190615</v>
      </c>
      <c r="F76" s="123">
        <v>190731</v>
      </c>
      <c r="G76" s="112">
        <f t="shared" si="7"/>
        <v>116</v>
      </c>
      <c r="H76" s="99">
        <f>G76+'4'!H76</f>
        <v>559</v>
      </c>
      <c r="I76" s="154"/>
      <c r="J76" s="175">
        <f>H76/DAY(B2)</f>
        <v>111.8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'4'!F77</f>
        <v>50499</v>
      </c>
      <c r="F77" s="123">
        <v>50592</v>
      </c>
      <c r="G77" s="112">
        <f t="shared" si="7"/>
        <v>93</v>
      </c>
      <c r="H77" s="99">
        <f>G77+'4'!H77</f>
        <v>279</v>
      </c>
      <c r="I77" s="154"/>
      <c r="J77" s="175">
        <f>H77/DAY(B2)</f>
        <v>55.8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'4'!F78</f>
        <v>9563</v>
      </c>
      <c r="F78" s="123">
        <v>9563</v>
      </c>
      <c r="G78" s="112">
        <f t="shared" si="7"/>
        <v>0</v>
      </c>
      <c r="H78" s="99">
        <f>G78+'4'!H78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117"/>
      <c r="F79" s="117"/>
      <c r="G79" s="112">
        <f>G15-SUM(G74:G78)</f>
        <v>552.06000000017229</v>
      </c>
      <c r="H79" s="99">
        <f>G79+'4'!H79</f>
        <v>2801.6599999999889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1047.2000000001863</v>
      </c>
      <c r="H80" s="99"/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'4'!F84</f>
        <v>42635.59</v>
      </c>
      <c r="F84" s="164">
        <v>42649.55</v>
      </c>
      <c r="G84" s="112">
        <f t="shared" si="8"/>
        <v>13.960000000006403</v>
      </c>
      <c r="H84" s="99">
        <f>G84+'4'!H84</f>
        <v>60.55000000000291</v>
      </c>
      <c r="I84" s="571"/>
      <c r="J84" s="175">
        <f>H84/DAY(B2)</f>
        <v>12.110000000000582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'4'!F85</f>
        <v>5156.4799999999996</v>
      </c>
      <c r="F85" s="164">
        <v>5156.4799999999996</v>
      </c>
      <c r="G85" s="112">
        <f t="shared" si="8"/>
        <v>0</v>
      </c>
      <c r="H85" s="99">
        <f>G85+'4'!H85</f>
        <v>16.289999999999964</v>
      </c>
      <c r="I85" s="571"/>
      <c r="J85" s="175">
        <f>H85/DAY(B2)</f>
        <v>3.2579999999999929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'4'!F86</f>
        <v>45466.57</v>
      </c>
      <c r="F86" s="164">
        <v>45491</v>
      </c>
      <c r="G86" s="112">
        <f t="shared" si="8"/>
        <v>24.430000000000291</v>
      </c>
      <c r="H86" s="99">
        <f>G86+'4'!H86</f>
        <v>112</v>
      </c>
      <c r="I86" s="571"/>
      <c r="J86" s="175">
        <f>H86/DAY(B2)</f>
        <v>22.4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'4'!F87</f>
        <v>35457.43</v>
      </c>
      <c r="F87" s="164">
        <v>35457.43</v>
      </c>
      <c r="G87" s="112">
        <f t="shared" si="8"/>
        <v>0</v>
      </c>
      <c r="H87" s="99">
        <f>G87+'4'!H87</f>
        <v>0</v>
      </c>
      <c r="I87" s="553">
        <f>G84+G85+G86+G87</f>
        <v>38.390000000006694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'4'!F88</f>
        <v>24303.66</v>
      </c>
      <c r="F88" s="164">
        <v>24303.46</v>
      </c>
      <c r="G88" s="112">
        <f t="shared" si="8"/>
        <v>-0.2000000000007276</v>
      </c>
      <c r="H88" s="99">
        <f>G88+'4'!H88</f>
        <v>0</v>
      </c>
      <c r="I88" s="553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'4'!F89</f>
        <v>27603.29</v>
      </c>
      <c r="F89" s="164">
        <v>27612.35</v>
      </c>
      <c r="G89" s="112">
        <f t="shared" si="8"/>
        <v>9.0599999999976717</v>
      </c>
      <c r="H89" s="99">
        <f>G89+'4'!H89</f>
        <v>45.739999999997963</v>
      </c>
      <c r="I89" s="553">
        <f>G88+G89</f>
        <v>8.8599999999969441</v>
      </c>
      <c r="J89" s="175">
        <f>H89/DAY(B2)</f>
        <v>9.1479999999995929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'4'!F90</f>
        <v>72650.429999999993</v>
      </c>
      <c r="F90" s="164">
        <v>72662.97</v>
      </c>
      <c r="G90" s="112">
        <f t="shared" si="8"/>
        <v>12.540000000008149</v>
      </c>
      <c r="H90" s="99">
        <f>G90+'4'!H90</f>
        <v>56.419999999998254</v>
      </c>
      <c r="I90" s="553">
        <f>G90</f>
        <v>12.540000000008149</v>
      </c>
      <c r="J90" s="175">
        <f>H90/DAY(B2)</f>
        <v>11.283999999999651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'4'!F91</f>
        <v>4289.5600000000004</v>
      </c>
      <c r="F91" s="122">
        <v>4289.5600000000004</v>
      </c>
      <c r="G91" s="112">
        <f t="shared" si="8"/>
        <v>0</v>
      </c>
      <c r="H91" s="99">
        <f>G91+'4'!H91</f>
        <v>2.0000000000436557E-2</v>
      </c>
      <c r="I91" s="612"/>
      <c r="J91" s="175">
        <f>H91/DAY(B2)</f>
        <v>4.0000000000873113E-3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'4'!F92</f>
        <v>6759.08</v>
      </c>
      <c r="F92" s="122">
        <v>6769.33</v>
      </c>
      <c r="G92" s="112">
        <f t="shared" si="8"/>
        <v>10.25</v>
      </c>
      <c r="H92" s="99">
        <f>G92+'4'!H92</f>
        <v>52</v>
      </c>
      <c r="I92" s="613">
        <f>G91+G92</f>
        <v>10.25</v>
      </c>
      <c r="J92" s="175">
        <f>H92/DAY(B2)</f>
        <v>10.4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7738.820000000007</v>
      </c>
      <c r="H94" s="99">
        <f>G94+'4'!H94</f>
        <v>37033</v>
      </c>
      <c r="I94" s="118"/>
      <c r="J94" s="175">
        <f>H94/DAY(B2)</f>
        <v>7406.6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0.28904440570841461</v>
      </c>
      <c r="H95" s="99">
        <f>G95+'4'!H95</f>
        <v>1.4168442598261239</v>
      </c>
      <c r="I95" s="167"/>
      <c r="J95" s="175">
        <f>H95/DAY(B2)</f>
        <v>0.28336885196522477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6662.0200000000041</v>
      </c>
      <c r="H96" s="99">
        <f>G96+'4'!H96</f>
        <v>33101.829999999958</v>
      </c>
      <c r="I96" s="118"/>
      <c r="J96" s="175">
        <f>H96/DAY(B2)</f>
        <v>6620.3659999999918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0.24882599824231236</v>
      </c>
      <c r="H97" s="99">
        <f>G97+'4'!H97</f>
        <v>1.2642801265718266</v>
      </c>
      <c r="I97" s="167"/>
      <c r="J97" s="175">
        <f>H97/DAY(B2)</f>
        <v>0.25285602531436535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4215.4200000000565</v>
      </c>
      <c r="H98" s="99">
        <f>G98+'4'!H98</f>
        <v>21623</v>
      </c>
      <c r="I98" s="168"/>
      <c r="J98" s="175">
        <f>H98/DAY(B2)</f>
        <v>4324.6000000000004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0.15744565304676686</v>
      </c>
      <c r="H99" s="99">
        <f>G99+'4'!H99</f>
        <v>0.82768961436408361</v>
      </c>
      <c r="I99" s="168"/>
      <c r="J99" s="175">
        <f>H99/DAY(B2)</f>
        <v>0.16553792287281671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2239.3799999999956</v>
      </c>
      <c r="H100" s="99">
        <f>G100+'4'!H100</f>
        <v>11221.76</v>
      </c>
      <c r="I100" s="118"/>
      <c r="J100" s="175">
        <f>H100/DAY(B2)</f>
        <v>2244.3519999999999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8.3640692154011542E-2</v>
      </c>
      <c r="H101" s="99">
        <f>G101+'4'!H101</f>
        <v>0.42938235711158657</v>
      </c>
      <c r="I101" s="168"/>
      <c r="J101" s="175">
        <f>H101/DAY(B2)</f>
        <v>8.5876471422317316E-2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2183.460000000021</v>
      </c>
      <c r="H102" s="99">
        <f>G102+'4'!H102</f>
        <v>10348</v>
      </c>
      <c r="I102" s="168"/>
      <c r="J102" s="175">
        <f>H102/DAY(B2)</f>
        <v>2069.6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8.1552083920817434E-2</v>
      </c>
      <c r="H103" s="99">
        <f>G103+'4'!H103</f>
        <v>0.39360359496472042</v>
      </c>
      <c r="I103" s="118"/>
      <c r="J103" s="175">
        <f>H103/DAY(B2)</f>
        <v>7.8720718992944083E-2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1100.4099999999999</v>
      </c>
      <c r="H104" s="99">
        <f>G104+'4'!H104</f>
        <v>5515.6900000000023</v>
      </c>
      <c r="I104" s="118"/>
      <c r="J104" s="175">
        <f>H104/DAY(B2)</f>
        <v>1103.1380000000004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4.1100239375718287E-2</v>
      </c>
      <c r="H105" s="99">
        <f>G105+'4'!H105</f>
        <v>0.21109018449846018</v>
      </c>
      <c r="I105" s="187"/>
      <c r="J105" s="188">
        <f>H105/DAY(B2)</f>
        <v>4.2218036899692037E-2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'4'!F112</f>
        <v>7557.06</v>
      </c>
      <c r="F112" s="237">
        <v>7627</v>
      </c>
      <c r="G112" s="112">
        <f t="shared" ref="G112:G123" si="9">F112-E112</f>
        <v>69.9399999999996</v>
      </c>
      <c r="H112" s="99">
        <f>G112+'4'!H112</f>
        <v>362</v>
      </c>
      <c r="I112" s="165"/>
      <c r="J112" s="328">
        <f>H112/DAY(B2)</f>
        <v>72.400000000000006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'4'!F113</f>
        <v>15577.3</v>
      </c>
      <c r="F113" s="237">
        <v>15714</v>
      </c>
      <c r="G113" s="112">
        <f t="shared" si="9"/>
        <v>136.70000000000073</v>
      </c>
      <c r="H113" s="99">
        <f>G113+'4'!H113</f>
        <v>699</v>
      </c>
      <c r="I113" s="165"/>
      <c r="J113" s="328">
        <f>H113/DAY(B2)</f>
        <v>139.80000000000001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'4'!F114</f>
        <v>22140.25</v>
      </c>
      <c r="F114" s="237">
        <v>22356</v>
      </c>
      <c r="G114" s="112">
        <f t="shared" si="9"/>
        <v>215.75</v>
      </c>
      <c r="H114" s="99">
        <f>G114+'4'!H114</f>
        <v>1088</v>
      </c>
      <c r="I114" s="165"/>
      <c r="J114" s="328">
        <f>H114/DAY(B2)</f>
        <v>217.6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'4'!F115</f>
        <v>14033.93</v>
      </c>
      <c r="F115" s="237">
        <v>14156</v>
      </c>
      <c r="G115" s="112">
        <f t="shared" si="9"/>
        <v>122.06999999999971</v>
      </c>
      <c r="H115" s="99">
        <f>G115+'4'!H115</f>
        <v>726</v>
      </c>
      <c r="I115" s="165"/>
      <c r="J115" s="328">
        <f>H115/DAY(B2)</f>
        <v>145.19999999999999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'4'!F116</f>
        <v>72114.789999999994</v>
      </c>
      <c r="F116" s="237">
        <v>72401</v>
      </c>
      <c r="G116" s="112">
        <f t="shared" si="9"/>
        <v>286.2100000000064</v>
      </c>
      <c r="H116" s="99">
        <f>G116+'4'!H116</f>
        <v>1909</v>
      </c>
      <c r="I116" s="165"/>
      <c r="J116" s="328">
        <f>H116/DAY(B2)</f>
        <v>381.8</v>
      </c>
      <c r="Q116" s="971"/>
      <c r="R116" s="971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'4'!F117</f>
        <v>41826.129999999997</v>
      </c>
      <c r="F117" s="237">
        <v>42066</v>
      </c>
      <c r="G117" s="112">
        <f t="shared" si="9"/>
        <v>239.87000000000262</v>
      </c>
      <c r="H117" s="99">
        <f>G117+'4'!H117</f>
        <v>1144</v>
      </c>
      <c r="I117" s="165"/>
      <c r="J117" s="328">
        <f>H117/DAY(B2)</f>
        <v>228.8</v>
      </c>
      <c r="Q117" s="971"/>
      <c r="R117" s="971"/>
    </row>
    <row r="118" spans="1:18" ht="25.5">
      <c r="A118" s="897" t="s">
        <v>97</v>
      </c>
      <c r="B118" s="897"/>
      <c r="C118" s="897"/>
      <c r="D118" s="151" t="s">
        <v>183</v>
      </c>
      <c r="E118" s="95">
        <f>'4'!F118</f>
        <v>66526.53</v>
      </c>
      <c r="F118" s="237">
        <v>67685</v>
      </c>
      <c r="G118" s="112">
        <f t="shared" si="9"/>
        <v>1158.4700000000012</v>
      </c>
      <c r="H118" s="99">
        <f>G118+'4'!H118</f>
        <v>3013</v>
      </c>
      <c r="I118" s="165"/>
      <c r="J118" s="328">
        <f>H118/DAY(B2)</f>
        <v>602.6</v>
      </c>
      <c r="Q118" s="971"/>
      <c r="R118" s="971"/>
    </row>
    <row r="119" spans="1:18" ht="25.5">
      <c r="A119" s="897" t="s">
        <v>98</v>
      </c>
      <c r="B119" s="897"/>
      <c r="C119" s="897"/>
      <c r="D119" s="151" t="s">
        <v>183</v>
      </c>
      <c r="E119" s="95">
        <f>'4'!F119</f>
        <v>38363.339999999997</v>
      </c>
      <c r="F119" s="237">
        <v>38596</v>
      </c>
      <c r="G119" s="112">
        <f t="shared" si="9"/>
        <v>232.66000000000349</v>
      </c>
      <c r="H119" s="99">
        <f>G119+'4'!H119</f>
        <v>1147</v>
      </c>
      <c r="I119" s="165"/>
      <c r="J119" s="328">
        <f>H119/DAY(B2)</f>
        <v>229.4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'4'!F120</f>
        <v>47901.13</v>
      </c>
      <c r="F120" s="468">
        <v>48318</v>
      </c>
      <c r="G120" s="112">
        <f t="shared" si="9"/>
        <v>416.87000000000262</v>
      </c>
      <c r="H120" s="99">
        <f>G120+'4'!H120</f>
        <v>2051</v>
      </c>
      <c r="I120" s="165"/>
      <c r="J120" s="328">
        <f>H120/DAY(B2)</f>
        <v>410.2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'4'!F121</f>
        <v>55455.15</v>
      </c>
      <c r="F121" s="237">
        <v>55923</v>
      </c>
      <c r="G121" s="112">
        <f t="shared" si="9"/>
        <v>467.84999999999854</v>
      </c>
      <c r="H121" s="99">
        <f>G121+'4'!H121</f>
        <v>2380</v>
      </c>
      <c r="I121" s="165"/>
      <c r="J121" s="328">
        <f>H121/DAY(B2)</f>
        <v>476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'4'!F122</f>
        <v>29787.09</v>
      </c>
      <c r="F122" s="237">
        <v>30068</v>
      </c>
      <c r="G122" s="112">
        <f t="shared" si="9"/>
        <v>280.90999999999985</v>
      </c>
      <c r="H122" s="99">
        <f>G122+'4'!H122</f>
        <v>1394</v>
      </c>
      <c r="I122" s="165"/>
      <c r="J122" s="328">
        <f>H122/DAY(B2)</f>
        <v>278.8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'4'!F123</f>
        <v>31476.15</v>
      </c>
      <c r="F123" s="237">
        <v>31798</v>
      </c>
      <c r="G123" s="112">
        <f t="shared" si="9"/>
        <v>321.84999999999854</v>
      </c>
      <c r="H123" s="99">
        <f>G123+'4'!H123</f>
        <v>1610</v>
      </c>
      <c r="I123" s="165"/>
      <c r="J123" s="328">
        <f>H123/DAY(B2)</f>
        <v>322</v>
      </c>
    </row>
    <row r="124" spans="1:18" ht="29.25" customHeight="1">
      <c r="A124" s="902"/>
      <c r="B124" s="903"/>
      <c r="C124" s="904"/>
      <c r="D124" s="165"/>
      <c r="E124" s="165"/>
      <c r="F124" s="165"/>
      <c r="G124" s="327"/>
      <c r="H124" s="156"/>
      <c r="I124" s="165"/>
      <c r="J124" s="327"/>
    </row>
    <row r="125" spans="1:18" ht="25.5">
      <c r="A125" s="966" t="s">
        <v>196</v>
      </c>
      <c r="B125" s="966"/>
      <c r="C125" s="245"/>
      <c r="D125" s="307"/>
      <c r="E125" s="308"/>
      <c r="F125" s="308"/>
      <c r="G125" s="309">
        <f>SUM(G112:G124)</f>
        <v>3949.1500000000133</v>
      </c>
      <c r="H125" s="156"/>
      <c r="I125" s="327">
        <f>G125-(G39+G53)</f>
        <v>-266.27000000004318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87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'4'!F128</f>
        <v>129668.18</v>
      </c>
      <c r="F128" s="388">
        <v>130200</v>
      </c>
      <c r="G128" s="112">
        <f t="shared" ref="G128:G134" si="10">F128-E128</f>
        <v>531.82000000000698</v>
      </c>
      <c r="H128" s="99">
        <f>G128+'4'!H128</f>
        <v>2556</v>
      </c>
      <c r="I128" s="165"/>
      <c r="J128" s="328">
        <f>H128/DAY(B2)</f>
        <v>511.2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'4'!F129</f>
        <v>73290.53</v>
      </c>
      <c r="F129" s="388">
        <v>73478</v>
      </c>
      <c r="G129" s="112">
        <f t="shared" si="10"/>
        <v>187.47000000000116</v>
      </c>
      <c r="H129" s="99">
        <f>G129+'4'!H129</f>
        <v>975</v>
      </c>
      <c r="I129" s="165"/>
      <c r="J129" s="328">
        <f>H129/DAY(B2)</f>
        <v>195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'4'!F130</f>
        <v>167285.99</v>
      </c>
      <c r="F130" s="388">
        <v>168059</v>
      </c>
      <c r="G130" s="112">
        <f t="shared" si="10"/>
        <v>773.01000000000931</v>
      </c>
      <c r="H130" s="99">
        <f>G130+'4'!H130</f>
        <v>3462</v>
      </c>
      <c r="I130" s="165"/>
      <c r="J130" s="328">
        <f>H130/DAY(B2)</f>
        <v>692.4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'4'!F131</f>
        <v>49248.74</v>
      </c>
      <c r="F131" s="388">
        <v>49430</v>
      </c>
      <c r="G131" s="112">
        <f t="shared" si="10"/>
        <v>181.26000000000204</v>
      </c>
      <c r="H131" s="99">
        <f>G131+'4'!H131</f>
        <v>981</v>
      </c>
      <c r="I131" s="165"/>
      <c r="J131" s="328">
        <f>H131/DAY(B2)</f>
        <v>196.2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'4'!F132</f>
        <v>129768.03</v>
      </c>
      <c r="F132" s="388">
        <v>130174</v>
      </c>
      <c r="G132" s="112">
        <f t="shared" si="10"/>
        <v>405.97000000000116</v>
      </c>
      <c r="H132" s="99">
        <f>G132+'4'!H132</f>
        <v>2000</v>
      </c>
      <c r="I132" s="165"/>
      <c r="J132" s="328">
        <f>H132/DAY(B2)</f>
        <v>400</v>
      </c>
    </row>
    <row r="133" spans="1:15" ht="25.5">
      <c r="A133" s="898" t="s">
        <v>323</v>
      </c>
      <c r="B133" s="899"/>
      <c r="C133" s="900"/>
      <c r="D133" s="151" t="s">
        <v>183</v>
      </c>
      <c r="E133" s="95">
        <f>'4'!F133</f>
        <v>224035.59</v>
      </c>
      <c r="F133" s="388">
        <v>224035.59</v>
      </c>
      <c r="G133" s="112">
        <f t="shared" si="10"/>
        <v>0</v>
      </c>
      <c r="H133" s="99">
        <f>G133+'4'!H133</f>
        <v>0</v>
      </c>
      <c r="I133" s="165"/>
      <c r="J133" s="328">
        <f>H133/DAY(B2)</f>
        <v>0</v>
      </c>
    </row>
    <row r="134" spans="1:15" ht="25.5">
      <c r="A134" s="898" t="s">
        <v>340</v>
      </c>
      <c r="B134" s="899"/>
      <c r="C134" s="900"/>
      <c r="D134" s="151" t="s">
        <v>183</v>
      </c>
      <c r="E134" s="95">
        <f>'4'!F134</f>
        <v>49854.32</v>
      </c>
      <c r="F134" s="388">
        <v>50060</v>
      </c>
      <c r="G134" s="112">
        <f t="shared" si="10"/>
        <v>205.68000000000029</v>
      </c>
      <c r="H134" s="99">
        <f>G134+'4'!H134</f>
        <v>1025</v>
      </c>
      <c r="I134" s="165"/>
      <c r="J134" s="328">
        <f>H134/DAY(B2)</f>
        <v>205</v>
      </c>
    </row>
    <row r="135" spans="1:15" ht="25.5">
      <c r="A135" s="966" t="s">
        <v>196</v>
      </c>
      <c r="B135" s="966"/>
      <c r="C135" s="331"/>
      <c r="D135" s="151"/>
      <c r="E135" s="95"/>
      <c r="F135" s="165"/>
      <c r="G135" s="112">
        <f>SUM(G128:G134)</f>
        <v>2285.210000000021</v>
      </c>
      <c r="H135" s="99">
        <f>G135+'4'!H135</f>
        <v>10999</v>
      </c>
      <c r="I135" s="327">
        <f>G135-(G35+G49)</f>
        <v>-2064.7999999999884</v>
      </c>
      <c r="J135" s="328">
        <f>H135/DAY(B2)</f>
        <v>2199.8000000000002</v>
      </c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'4'!F138</f>
        <v>891694</v>
      </c>
      <c r="F138" s="147">
        <v>891844</v>
      </c>
      <c r="G138" s="112">
        <f t="shared" ref="G138:G152" si="11">F138-E138</f>
        <v>150</v>
      </c>
      <c r="H138" s="99">
        <f>G138+'4'!H138</f>
        <v>746</v>
      </c>
      <c r="I138" s="118"/>
      <c r="J138" s="328">
        <f>H138/DAY(B2)</f>
        <v>149.19999999999999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'4'!F139</f>
        <v>909510</v>
      </c>
      <c r="F139" s="148">
        <v>909660</v>
      </c>
      <c r="G139" s="112">
        <f t="shared" si="11"/>
        <v>150</v>
      </c>
      <c r="H139" s="99">
        <f>G139+'4'!H139</f>
        <v>765</v>
      </c>
      <c r="I139" s="118"/>
      <c r="J139" s="328">
        <f>H139/DAY(B2)</f>
        <v>153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'4'!F140</f>
        <v>1573.7</v>
      </c>
      <c r="F140" s="149">
        <v>1589</v>
      </c>
      <c r="G140" s="112">
        <f t="shared" si="11"/>
        <v>15.299999999999955</v>
      </c>
      <c r="H140" s="99">
        <f>G140+'4'!H140</f>
        <v>76</v>
      </c>
      <c r="I140" s="118"/>
      <c r="J140" s="328">
        <f>H140/DAY(B2)</f>
        <v>15.2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'4'!F141</f>
        <v>91223.51</v>
      </c>
      <c r="F141" s="149">
        <v>91414</v>
      </c>
      <c r="G141" s="112">
        <f t="shared" si="11"/>
        <v>190.49000000000524</v>
      </c>
      <c r="H141" s="99">
        <f>G141+'4'!H141</f>
        <v>962</v>
      </c>
      <c r="I141" s="118"/>
      <c r="J141" s="328">
        <f>H141/DAY(B2)</f>
        <v>192.4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'4'!F142</f>
        <v>36945.25</v>
      </c>
      <c r="F142" s="148">
        <v>37033</v>
      </c>
      <c r="G142" s="112">
        <f t="shared" si="11"/>
        <v>87.75</v>
      </c>
      <c r="H142" s="99">
        <f>G142+'4'!H142</f>
        <v>372</v>
      </c>
      <c r="I142" s="140"/>
      <c r="J142" s="328">
        <f>H142/DAY(B2)</f>
        <v>74.400000000000006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'4'!F143</f>
        <v>9153.9599999999991</v>
      </c>
      <c r="F143" s="149">
        <v>9180</v>
      </c>
      <c r="G143" s="112">
        <f t="shared" si="11"/>
        <v>26.040000000000873</v>
      </c>
      <c r="H143" s="99">
        <f>G143+'4'!H143</f>
        <v>129</v>
      </c>
      <c r="I143" s="140"/>
      <c r="J143" s="328">
        <f>H143/DAY(B2)</f>
        <v>25.8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'4'!F144</f>
        <v>920691</v>
      </c>
      <c r="F144" s="149">
        <v>920908</v>
      </c>
      <c r="G144" s="112">
        <f t="shared" si="11"/>
        <v>217</v>
      </c>
      <c r="H144" s="99">
        <f>G144+'4'!H144</f>
        <v>1071</v>
      </c>
      <c r="I144" s="140"/>
      <c r="J144" s="328">
        <f>H144/DAY(B2)</f>
        <v>214.2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'4'!F145</f>
        <v>5951.82</v>
      </c>
      <c r="F145" s="149">
        <v>5981</v>
      </c>
      <c r="G145" s="112">
        <f t="shared" si="11"/>
        <v>29.180000000000291</v>
      </c>
      <c r="H145" s="99">
        <f>G145+'4'!H145</f>
        <v>174</v>
      </c>
      <c r="I145" s="140"/>
      <c r="J145" s="328">
        <f>H145/DAY(B2)</f>
        <v>34.799999999999997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'4'!F146</f>
        <v>781164</v>
      </c>
      <c r="F146" s="148">
        <v>781242</v>
      </c>
      <c r="G146" s="112">
        <f t="shared" si="11"/>
        <v>78</v>
      </c>
      <c r="H146" s="99">
        <f>G146+'4'!H146</f>
        <v>442</v>
      </c>
      <c r="I146" s="140"/>
      <c r="J146" s="328">
        <f>H146/DAY(B2)</f>
        <v>88.4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'4'!F147</f>
        <v>701269.44</v>
      </c>
      <c r="F147" s="148">
        <v>701648</v>
      </c>
      <c r="G147" s="112">
        <f t="shared" si="11"/>
        <v>378.56000000005588</v>
      </c>
      <c r="H147" s="99">
        <f>G147+'4'!H147</f>
        <v>1879</v>
      </c>
      <c r="I147" s="140"/>
      <c r="J147" s="328">
        <f>H147/DAY(B2)</f>
        <v>375.8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'4'!F148</f>
        <v>749641.04</v>
      </c>
      <c r="F148" s="150">
        <v>749992</v>
      </c>
      <c r="G148" s="112">
        <f t="shared" si="11"/>
        <v>350.95999999996275</v>
      </c>
      <c r="H148" s="99">
        <f>G148+'4'!H148</f>
        <v>1462</v>
      </c>
      <c r="I148" s="124"/>
      <c r="J148" s="328">
        <f>H148/DAY(B2)</f>
        <v>292.39999999999998</v>
      </c>
    </row>
    <row r="149" spans="1:10" ht="25.5">
      <c r="A149" s="877" t="s">
        <v>336</v>
      </c>
      <c r="B149" s="878"/>
      <c r="C149" s="879"/>
      <c r="D149" s="227" t="s">
        <v>130</v>
      </c>
      <c r="E149" s="95">
        <f>'4'!F149</f>
        <v>134212.73000000001</v>
      </c>
      <c r="F149" s="146">
        <v>134692</v>
      </c>
      <c r="G149" s="112">
        <f t="shared" si="11"/>
        <v>479.26999999998952</v>
      </c>
      <c r="H149" s="99">
        <f>G149+'4'!H149</f>
        <v>2258</v>
      </c>
      <c r="I149" s="119"/>
      <c r="J149" s="328">
        <f>H149/DAY(B2)</f>
        <v>451.6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'4'!F150</f>
        <v>51494.9</v>
      </c>
      <c r="F150" s="233">
        <v>51718</v>
      </c>
      <c r="G150" s="112">
        <f t="shared" si="11"/>
        <v>223.09999999999854</v>
      </c>
      <c r="H150" s="99">
        <f>G150+'4'!H150</f>
        <v>1103</v>
      </c>
      <c r="I150" s="119"/>
      <c r="J150" s="328">
        <f>H150/DAY(B2)</f>
        <v>220.6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'4'!F151</f>
        <v>136686</v>
      </c>
      <c r="F151" s="233">
        <v>136949</v>
      </c>
      <c r="G151" s="112">
        <f t="shared" si="11"/>
        <v>263</v>
      </c>
      <c r="H151" s="99">
        <f>G151+'4'!H151</f>
        <v>1500</v>
      </c>
      <c r="I151" s="119"/>
      <c r="J151" s="328">
        <f>H151/DAY(B2)</f>
        <v>300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'4'!F152</f>
        <v>23612.41</v>
      </c>
      <c r="F152" s="233">
        <v>23728</v>
      </c>
      <c r="G152" s="112">
        <f t="shared" si="11"/>
        <v>115.59000000000015</v>
      </c>
      <c r="H152" s="99">
        <f>G152+'4'!H152</f>
        <v>574</v>
      </c>
      <c r="I152" s="119"/>
      <c r="J152" s="328">
        <f>H152/DAY(B2)</f>
        <v>114.8</v>
      </c>
    </row>
    <row r="153" spans="1:10" ht="25.5">
      <c r="A153" s="966" t="s">
        <v>196</v>
      </c>
      <c r="B153" s="966"/>
      <c r="C153" s="365"/>
      <c r="D153" s="358"/>
      <c r="E153" s="360"/>
      <c r="F153" s="361"/>
      <c r="G153" s="362">
        <f>SUM(G138:G152)</f>
        <v>2754.2400000000134</v>
      </c>
      <c r="H153" s="363"/>
      <c r="I153" s="119">
        <f>G153-(G38+G52)</f>
        <v>514.86000000001786</v>
      </c>
      <c r="J153" s="366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95">
        <f>'4'!F155</f>
        <v>150703.29</v>
      </c>
      <c r="F155" s="374">
        <v>151439</v>
      </c>
      <c r="G155" s="112">
        <f t="shared" ref="G155:G158" si="12">F155-E155</f>
        <v>735.70999999999185</v>
      </c>
      <c r="H155" s="99">
        <f>G155+'4'!H155</f>
        <v>3290</v>
      </c>
      <c r="I155" s="364"/>
      <c r="J155" s="328">
        <f>H155/DAY(B2)</f>
        <v>658</v>
      </c>
    </row>
    <row r="156" spans="1:10" ht="25.5">
      <c r="A156" s="876" t="s">
        <v>346</v>
      </c>
      <c r="B156" s="876"/>
      <c r="C156" s="876"/>
      <c r="D156" s="117" t="s">
        <v>130</v>
      </c>
      <c r="E156" s="95">
        <f>'4'!F156</f>
        <v>15123.17</v>
      </c>
      <c r="F156" s="155">
        <v>15248</v>
      </c>
      <c r="G156" s="112">
        <f t="shared" si="12"/>
        <v>124.82999999999993</v>
      </c>
      <c r="H156" s="99">
        <f>G156+'4'!H156</f>
        <v>514</v>
      </c>
      <c r="I156" s="165"/>
      <c r="J156" s="328">
        <f>H156/DAY(B2)</f>
        <v>102.8</v>
      </c>
    </row>
    <row r="157" spans="1:10" ht="25.5">
      <c r="A157" s="877" t="s">
        <v>360</v>
      </c>
      <c r="B157" s="878"/>
      <c r="C157" s="879"/>
      <c r="D157" s="117" t="s">
        <v>130</v>
      </c>
      <c r="E157" s="95">
        <f>'4'!F157</f>
        <v>28037.47</v>
      </c>
      <c r="F157" s="155">
        <v>28171</v>
      </c>
      <c r="G157" s="112">
        <f t="shared" si="12"/>
        <v>133.52999999999884</v>
      </c>
      <c r="H157" s="99">
        <f>G157+'4'!H157</f>
        <v>725</v>
      </c>
      <c r="I157" s="165"/>
      <c r="J157" s="328">
        <f>H157/DAY(B2)</f>
        <v>145</v>
      </c>
    </row>
    <row r="158" spans="1:10" ht="25.5">
      <c r="A158" s="877" t="s">
        <v>361</v>
      </c>
      <c r="B158" s="878"/>
      <c r="C158" s="879"/>
      <c r="D158" s="117" t="s">
        <v>130</v>
      </c>
      <c r="E158" s="95">
        <f>'4'!F158</f>
        <v>239.87</v>
      </c>
      <c r="F158" s="155">
        <v>239.98</v>
      </c>
      <c r="G158" s="112">
        <f t="shared" si="12"/>
        <v>0.10999999999998522</v>
      </c>
      <c r="H158" s="99">
        <f>G158+'4'!H158</f>
        <v>151.55999999999997</v>
      </c>
      <c r="I158" s="165"/>
      <c r="J158" s="328">
        <f>H158/DAY(B2)</f>
        <v>30.311999999999994</v>
      </c>
    </row>
    <row r="159" spans="1:10" ht="25.5">
      <c r="A159" s="962"/>
      <c r="B159" s="963"/>
      <c r="C159" s="964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'4'!F161</f>
        <v>480166.44</v>
      </c>
      <c r="F161" s="235">
        <v>480191</v>
      </c>
      <c r="G161" s="238">
        <f t="shared" ref="G161:G165" si="13">F161-E161</f>
        <v>24.559999999997672</v>
      </c>
      <c r="H161" s="99">
        <f>G161+'4'!H161</f>
        <v>138</v>
      </c>
      <c r="I161" s="236"/>
      <c r="J161" s="239">
        <f>H161/DAY(B2)</f>
        <v>27.6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'4'!F162</f>
        <v>95105.9</v>
      </c>
      <c r="F162" s="235">
        <v>95157</v>
      </c>
      <c r="G162" s="238">
        <f t="shared" si="13"/>
        <v>51.100000000005821</v>
      </c>
      <c r="H162" s="99">
        <f>G162+'4'!H162</f>
        <v>229</v>
      </c>
      <c r="I162" s="236"/>
      <c r="J162" s="239">
        <f>H162/DAY(B2)</f>
        <v>45.8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'4'!F163</f>
        <v>7018.4</v>
      </c>
      <c r="F163" s="235">
        <v>7111</v>
      </c>
      <c r="G163" s="238">
        <f t="shared" si="13"/>
        <v>92.600000000000364</v>
      </c>
      <c r="H163" s="99">
        <f>G163+'4'!H163</f>
        <v>610</v>
      </c>
      <c r="I163" s="236"/>
      <c r="J163" s="239">
        <f>H163/DAY(B2)</f>
        <v>122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'4'!F164</f>
        <v>6289.8</v>
      </c>
      <c r="F164" s="235">
        <v>6290</v>
      </c>
      <c r="G164" s="238">
        <f t="shared" si="13"/>
        <v>0.1999999999998181</v>
      </c>
      <c r="H164" s="99">
        <f>G164+'4'!H164</f>
        <v>10</v>
      </c>
      <c r="I164" s="236"/>
      <c r="J164" s="239">
        <f>H164/DAY(B2)</f>
        <v>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'4'!F165</f>
        <v>31666.93</v>
      </c>
      <c r="F165" s="235">
        <v>31676</v>
      </c>
      <c r="G165" s="238">
        <f t="shared" si="13"/>
        <v>9.069999999999709</v>
      </c>
      <c r="H165" s="99">
        <f>G165+'4'!H165</f>
        <v>42</v>
      </c>
      <c r="I165" s="236"/>
      <c r="J165" s="239">
        <f>H165/DAY(B2)</f>
        <v>8.4</v>
      </c>
    </row>
    <row r="166" spans="1:10" ht="26.25">
      <c r="A166" s="885"/>
      <c r="B166" s="885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6.25">
      <c r="A167" s="885"/>
      <c r="B167" s="885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6.25">
      <c r="A168" s="885"/>
      <c r="B168" s="885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967"/>
      <c r="B172" s="967"/>
      <c r="C172" s="390"/>
      <c r="D172" s="155"/>
      <c r="E172" s="155"/>
      <c r="F172" s="155"/>
      <c r="G172" s="155"/>
      <c r="H172" s="156"/>
      <c r="I172" s="155"/>
      <c r="J172" s="156"/>
    </row>
    <row r="173" spans="1:10" ht="25.5">
      <c r="A173" s="965" t="s">
        <v>209</v>
      </c>
      <c r="B173" s="965"/>
      <c r="C173" s="333"/>
      <c r="D173" s="155" t="s">
        <v>142</v>
      </c>
      <c r="E173" s="95">
        <f>'4'!F173</f>
        <v>8245</v>
      </c>
      <c r="F173" s="155">
        <v>8245</v>
      </c>
      <c r="G173" s="155">
        <f>F173-E173</f>
        <v>0</v>
      </c>
      <c r="H173" s="99">
        <f>G173+'4'!H173</f>
        <v>10</v>
      </c>
      <c r="I173" s="155"/>
      <c r="J173" s="156">
        <f>H173/DAY(B2)</f>
        <v>2</v>
      </c>
    </row>
    <row r="174" spans="1:10" ht="25.5">
      <c r="A174" s="965" t="s">
        <v>75</v>
      </c>
      <c r="B174" s="965"/>
      <c r="C174" s="333"/>
      <c r="D174" s="155" t="s">
        <v>142</v>
      </c>
      <c r="E174" s="95">
        <f>'4'!F174</f>
        <v>41258</v>
      </c>
      <c r="F174" s="157">
        <v>41272</v>
      </c>
      <c r="G174" s="155">
        <f t="shared" ref="G174:G175" si="14">F174-E174</f>
        <v>14</v>
      </c>
      <c r="H174" s="99">
        <f>G174+'4'!H174</f>
        <v>68</v>
      </c>
      <c r="I174" s="155"/>
      <c r="J174" s="156">
        <f>H174/DAY(B2)</f>
        <v>13.6</v>
      </c>
    </row>
    <row r="175" spans="1:10" ht="25.5">
      <c r="A175" s="965" t="s">
        <v>76</v>
      </c>
      <c r="B175" s="965"/>
      <c r="C175" s="965"/>
      <c r="D175" s="155" t="s">
        <v>142</v>
      </c>
      <c r="E175" s="95">
        <f>'4'!F175</f>
        <v>24078</v>
      </c>
      <c r="F175" s="157">
        <v>24089</v>
      </c>
      <c r="G175" s="155">
        <f t="shared" si="14"/>
        <v>11</v>
      </c>
      <c r="H175" s="99">
        <f>G175+'4'!H175</f>
        <v>58</v>
      </c>
      <c r="I175" s="155"/>
      <c r="J175" s="156">
        <f>H175/DAY(B2)</f>
        <v>11.6</v>
      </c>
    </row>
    <row r="176" spans="1:10" ht="25.5">
      <c r="A176" s="966" t="s">
        <v>196</v>
      </c>
      <c r="B176" s="966"/>
      <c r="C176" s="333"/>
      <c r="D176" s="155"/>
      <c r="E176" s="95">
        <f>'4'!F176</f>
        <v>0</v>
      </c>
      <c r="F176" s="155"/>
      <c r="G176" s="155">
        <f>SUM(G173:G175)</f>
        <v>25</v>
      </c>
      <c r="H176" s="99">
        <f>G176+'4'!H176</f>
        <v>136</v>
      </c>
      <c r="I176" s="155"/>
      <c r="J176" s="156">
        <f>H176/DAY(B2)</f>
        <v>27.2</v>
      </c>
    </row>
    <row r="177" spans="1:10" ht="25.5">
      <c r="A177" s="965" t="s">
        <v>77</v>
      </c>
      <c r="B177" s="965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5.5">
      <c r="A178" s="965" t="s">
        <v>210</v>
      </c>
      <c r="B178" s="965"/>
      <c r="C178" s="333"/>
      <c r="D178" s="155" t="s">
        <v>142</v>
      </c>
      <c r="E178" s="95">
        <f>'4'!F178</f>
        <v>98082</v>
      </c>
      <c r="F178" s="155">
        <v>98176</v>
      </c>
      <c r="G178" s="155">
        <f>F178-E178</f>
        <v>94</v>
      </c>
      <c r="H178" s="99">
        <f>G178+'4'!H178</f>
        <v>463</v>
      </c>
      <c r="I178" s="155"/>
      <c r="J178" s="156">
        <f>H178/DAY(B2)</f>
        <v>92.6</v>
      </c>
    </row>
    <row r="179" spans="1:10" ht="25.5">
      <c r="A179" s="965" t="s">
        <v>211</v>
      </c>
      <c r="B179" s="965"/>
      <c r="C179" s="333"/>
      <c r="D179" s="155" t="s">
        <v>142</v>
      </c>
      <c r="E179" s="95">
        <f>'4'!F179</f>
        <v>36002</v>
      </c>
      <c r="F179" s="155">
        <v>36002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5.5">
      <c r="A180" s="965" t="s">
        <v>212</v>
      </c>
      <c r="B180" s="965"/>
      <c r="C180" s="333"/>
      <c r="D180" s="155" t="s">
        <v>142</v>
      </c>
      <c r="E180" s="95">
        <f>'4'!F180</f>
        <v>7176</v>
      </c>
      <c r="F180" s="155">
        <v>7176</v>
      </c>
      <c r="G180" s="155">
        <f t="shared" si="15"/>
        <v>0</v>
      </c>
      <c r="H180" s="99">
        <f>G180+'4'!H180</f>
        <v>7</v>
      </c>
      <c r="I180" s="155"/>
      <c r="J180" s="156">
        <f>H180/DAY(B2)</f>
        <v>1.4</v>
      </c>
    </row>
    <row r="181" spans="1:10" ht="25.5">
      <c r="A181" s="970" t="s">
        <v>108</v>
      </c>
      <c r="B181" s="970"/>
      <c r="C181" s="333"/>
      <c r="D181" s="155"/>
      <c r="E181" s="95">
        <f>'4'!F181</f>
        <v>0</v>
      </c>
      <c r="F181" s="155"/>
      <c r="G181" s="155">
        <f>SUM(G178:G180)</f>
        <v>94</v>
      </c>
      <c r="H181" s="99">
        <f>G181+'4'!H181</f>
        <v>470</v>
      </c>
      <c r="I181" s="155"/>
      <c r="J181" s="156">
        <f>H181/DAY(B2)</f>
        <v>94</v>
      </c>
    </row>
    <row r="182" spans="1:10" ht="25.5">
      <c r="A182" s="965" t="s">
        <v>213</v>
      </c>
      <c r="B182" s="965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5.5">
      <c r="A183" s="965" t="s">
        <v>214</v>
      </c>
      <c r="B183" s="965"/>
      <c r="C183" s="334"/>
      <c r="D183" s="155" t="s">
        <v>142</v>
      </c>
      <c r="E183" s="95">
        <f>'4'!F183</f>
        <v>17499</v>
      </c>
      <c r="F183" s="157">
        <v>17514</v>
      </c>
      <c r="G183" s="157">
        <f>F183-E183</f>
        <v>15</v>
      </c>
      <c r="H183" s="99">
        <f>G183+'4'!H183</f>
        <v>41</v>
      </c>
      <c r="I183" s="155"/>
      <c r="J183" s="156">
        <f>H183/DAY(B2)</f>
        <v>8.1999999999999993</v>
      </c>
    </row>
    <row r="184" spans="1:10" ht="25.5">
      <c r="A184" s="965" t="s">
        <v>215</v>
      </c>
      <c r="B184" s="965"/>
      <c r="C184" s="334"/>
      <c r="D184" s="155" t="s">
        <v>142</v>
      </c>
      <c r="E184" s="95">
        <f>'4'!F184</f>
        <v>11961</v>
      </c>
      <c r="F184" s="157">
        <v>11973</v>
      </c>
      <c r="G184" s="157">
        <f t="shared" ref="G184:G185" si="16">F184-E184</f>
        <v>12</v>
      </c>
      <c r="H184" s="99">
        <f>G184+'4'!H184</f>
        <v>38</v>
      </c>
      <c r="I184" s="155"/>
      <c r="J184" s="156">
        <f>H184/DAY(B2)</f>
        <v>7.6</v>
      </c>
    </row>
    <row r="185" spans="1:10" ht="29.25" customHeight="1">
      <c r="A185" s="965" t="s">
        <v>216</v>
      </c>
      <c r="B185" s="965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5.5">
      <c r="A186" s="966" t="s">
        <v>196</v>
      </c>
      <c r="B186" s="966"/>
      <c r="C186" s="334"/>
      <c r="D186" s="379"/>
      <c r="E186" s="95"/>
      <c r="F186" s="157"/>
      <c r="G186" s="157">
        <f>SUM(G183:G185)</f>
        <v>27</v>
      </c>
      <c r="H186" s="99">
        <f>G186+'4'!H186</f>
        <v>79</v>
      </c>
      <c r="I186" s="157"/>
      <c r="J186" s="156">
        <f>H186/DAY(B2)</f>
        <v>15.8</v>
      </c>
    </row>
    <row r="187" spans="1:10" ht="25.5">
      <c r="A187" s="969" t="s">
        <v>217</v>
      </c>
      <c r="B187" s="969"/>
      <c r="C187" s="333"/>
      <c r="D187" s="157" t="s">
        <v>142</v>
      </c>
      <c r="E187" s="95"/>
      <c r="F187" s="159"/>
      <c r="G187" s="378">
        <f>G62+G19</f>
        <v>158</v>
      </c>
      <c r="H187" s="99">
        <f>G187+'4'!H187</f>
        <v>759</v>
      </c>
      <c r="I187" s="158"/>
      <c r="J187" s="159">
        <f>H187/DAY(B2)</f>
        <v>151.80000000000001</v>
      </c>
    </row>
    <row r="188" spans="1:10" ht="25.5">
      <c r="A188" s="969" t="s">
        <v>218</v>
      </c>
      <c r="B188" s="969"/>
      <c r="C188" s="333"/>
      <c r="D188" s="157" t="s">
        <v>142</v>
      </c>
      <c r="E188" s="95"/>
      <c r="F188" s="159"/>
      <c r="G188" s="378">
        <f>G65+G66+G67+G69+G70</f>
        <v>150</v>
      </c>
      <c r="H188" s="99">
        <f>G188+'4'!H188</f>
        <v>696</v>
      </c>
      <c r="I188" s="158"/>
      <c r="J188" s="159">
        <f>H188/DAY(B2)</f>
        <v>139.19999999999999</v>
      </c>
    </row>
    <row r="189" spans="1:10" ht="25.5">
      <c r="A189" s="969" t="s">
        <v>219</v>
      </c>
      <c r="B189" s="969"/>
      <c r="C189" s="333"/>
      <c r="D189" s="157" t="s">
        <v>142</v>
      </c>
      <c r="E189" s="95"/>
      <c r="F189" s="157"/>
      <c r="G189" s="377">
        <f>G181</f>
        <v>94</v>
      </c>
      <c r="H189" s="99">
        <f>G189+'4'!H189</f>
        <v>470</v>
      </c>
      <c r="I189" s="158"/>
      <c r="J189" s="159">
        <f>H189/DAY(B2)</f>
        <v>94</v>
      </c>
    </row>
    <row r="190" spans="1:10" ht="25.5">
      <c r="A190" s="968"/>
      <c r="B190" s="968"/>
      <c r="C190" s="391"/>
      <c r="D190" s="392"/>
      <c r="E190" s="393"/>
      <c r="F190" s="392"/>
      <c r="G190" s="392"/>
      <c r="H190" s="394"/>
      <c r="I190" s="392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76" zoomScale="50" zoomScaleSheetLayoutView="50" workbookViewId="0">
      <selection activeCell="N134" sqref="N13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355</v>
      </c>
      <c r="B2" s="262">
        <v>44779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467952</v>
      </c>
      <c r="F7" s="95">
        <v>493730</v>
      </c>
      <c r="G7" s="112">
        <f>F7-E7</f>
        <v>25778</v>
      </c>
      <c r="H7" s="99">
        <f>G7+'5'!H7</f>
        <v>156600</v>
      </c>
      <c r="I7" s="113">
        <f>'1'!I7</f>
        <v>12000</v>
      </c>
      <c r="J7" s="175">
        <f>H7/DAY(B2)</f>
        <v>26100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621280</v>
      </c>
      <c r="F8" s="114">
        <v>647436</v>
      </c>
      <c r="G8" s="115">
        <f>F8-E8</f>
        <v>26156</v>
      </c>
      <c r="H8" s="99">
        <f>G8+'5'!H8</f>
        <v>158849</v>
      </c>
      <c r="I8" s="116"/>
      <c r="J8" s="175">
        <f>H8/DAY(B2)</f>
        <v>26474.833333333332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3311008</v>
      </c>
      <c r="F9" s="117">
        <v>3316891</v>
      </c>
      <c r="G9" s="112">
        <f>F9-E9</f>
        <v>5883</v>
      </c>
      <c r="H9" s="99">
        <f>G9+'5'!H9</f>
        <v>37825</v>
      </c>
      <c r="I9" s="124">
        <f>I7-J7</f>
        <v>-14100</v>
      </c>
      <c r="J9" s="175">
        <f>H9/DAY(B2)</f>
        <v>6304.166666666667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1762551</v>
      </c>
      <c r="F10" s="117">
        <v>1781753</v>
      </c>
      <c r="G10" s="112">
        <f t="shared" ref="G10:G12" si="0">F10-E10</f>
        <v>19202</v>
      </c>
      <c r="H10" s="99">
        <f>G10+'5'!H10</f>
        <v>114595</v>
      </c>
      <c r="I10" s="282"/>
      <c r="J10" s="175">
        <f>H10/DAY(B2)</f>
        <v>19099.166666666668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40380</v>
      </c>
      <c r="F12" s="117">
        <v>40380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25085</v>
      </c>
      <c r="H13" s="99">
        <f>G13+'5'!H13</f>
        <v>153754.59999999986</v>
      </c>
      <c r="I13" s="120">
        <f>G7-G13</f>
        <v>693</v>
      </c>
      <c r="J13" s="175">
        <f>H13/DAY(B2)</f>
        <v>25625.766666666645</v>
      </c>
      <c r="K13" s="79"/>
      <c r="L13" s="66"/>
      <c r="N13" s="87"/>
      <c r="O13" s="71"/>
    </row>
    <row r="14" spans="1:15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'5'!F15</f>
        <v>2105961</v>
      </c>
      <c r="F15" s="469">
        <v>2106942</v>
      </c>
      <c r="G15" s="112">
        <f>(F15-E15)</f>
        <v>981</v>
      </c>
      <c r="H15" s="99">
        <f>G15+'5'!H15</f>
        <v>6074</v>
      </c>
      <c r="I15" s="113">
        <f>'1'!I15</f>
        <v>800</v>
      </c>
      <c r="J15" s="175">
        <f>H15/DAY(B2)</f>
        <v>1012.3333333333334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-212.33333333333337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'5'!F18</f>
        <v>14</v>
      </c>
      <c r="F18" s="122">
        <v>20</v>
      </c>
      <c r="G18" s="119">
        <f>F18*10</f>
        <v>200</v>
      </c>
      <c r="H18" s="99">
        <f>G18+'5'!H18</f>
        <v>880</v>
      </c>
      <c r="I18" s="113">
        <f>'1'!I18</f>
        <v>65</v>
      </c>
      <c r="J18" s="175">
        <f>H18/DAY(B2)</f>
        <v>146.66666666666666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'5'!F19</f>
        <v>162598</v>
      </c>
      <c r="F19" s="122">
        <v>162645</v>
      </c>
      <c r="G19" s="112">
        <f t="shared" ref="G19" si="1">F19-E19</f>
        <v>47</v>
      </c>
      <c r="H19" s="99">
        <f>G19+'5'!H19</f>
        <v>310</v>
      </c>
      <c r="I19" s="335"/>
      <c r="J19" s="175">
        <f>H19/DAY(B2)</f>
        <v>51.666666666666664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247</v>
      </c>
      <c r="H20" s="99">
        <f>G20+'5'!H20</f>
        <v>1190</v>
      </c>
      <c r="I20" s="336">
        <f>I18-J20</f>
        <v>-133.33333333333334</v>
      </c>
      <c r="J20" s="175">
        <f>H20/DAY(B2)</f>
        <v>198.33333333333334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26156</v>
      </c>
      <c r="F27" s="136">
        <v>9</v>
      </c>
      <c r="G27" s="137">
        <f>E27*F27</f>
        <v>235404</v>
      </c>
      <c r="H27" s="99">
        <f>G27+'5'!H27</f>
        <v>1429641</v>
      </c>
      <c r="I27" s="138"/>
      <c r="J27" s="175">
        <f>H27/DAY(B2)</f>
        <v>238273.5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981</v>
      </c>
      <c r="F28" s="136">
        <v>70</v>
      </c>
      <c r="G28" s="137">
        <f>E28*F28</f>
        <v>68670</v>
      </c>
      <c r="H28" s="99">
        <f>G28+'5'!H28</f>
        <v>425180</v>
      </c>
      <c r="I28" s="140"/>
      <c r="J28" s="175">
        <f>H28/DAY(B2)</f>
        <v>70863.333333333328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G30+'5'!H30</f>
        <v>46810</v>
      </c>
      <c r="I30" s="140"/>
      <c r="J30" s="175">
        <f>H30/DAY(B2)</f>
        <v>7801.666666666667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G31+'5'!H31</f>
        <v>70400</v>
      </c>
      <c r="I31" s="140"/>
      <c r="J31" s="175">
        <f>H31/DAY(B2)</f>
        <v>11733.333333333334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327171</v>
      </c>
      <c r="H32" s="99">
        <f>G32+'5'!H32</f>
        <v>1972031</v>
      </c>
      <c r="I32" s="144"/>
      <c r="J32" s="175">
        <f>H32/DAY(B2)</f>
        <v>328671.83333333331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238713</v>
      </c>
      <c r="F35" s="145">
        <v>238713</v>
      </c>
      <c r="G35" s="112">
        <f t="shared" ref="G35:G46" si="3">F35-E35</f>
        <v>0</v>
      </c>
      <c r="H35" s="99">
        <f>G35+'5'!H35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220064</v>
      </c>
      <c r="F36" s="145">
        <v>220943</v>
      </c>
      <c r="G36" s="112">
        <f t="shared" si="3"/>
        <v>879</v>
      </c>
      <c r="H36" s="99">
        <f>G36+'5'!H36</f>
        <v>5413</v>
      </c>
      <c r="I36" s="95"/>
      <c r="J36" s="175">
        <f>H36/DAY(B2)</f>
        <v>902.16666666666663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322998.69</v>
      </c>
      <c r="F37" s="145">
        <v>322998.69</v>
      </c>
      <c r="G37" s="112">
        <f t="shared" si="3"/>
        <v>0</v>
      </c>
      <c r="H37" s="99">
        <f>G37+'5'!H37</f>
        <v>-0.30999999999767169</v>
      </c>
      <c r="I37" s="95"/>
      <c r="J37" s="175">
        <f>H37/DAY(B2)</f>
        <v>-5.1666666666278616E-2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468583</v>
      </c>
      <c r="F38" s="108">
        <v>470808</v>
      </c>
      <c r="G38" s="112">
        <f t="shared" si="3"/>
        <v>2225</v>
      </c>
      <c r="H38" s="99">
        <f>G38+'5'!H38</f>
        <v>13447</v>
      </c>
      <c r="I38" s="95"/>
      <c r="J38" s="175">
        <f>H38/DAY(B2)</f>
        <v>2241.1666666666665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591584</v>
      </c>
      <c r="F39" s="145">
        <v>591584</v>
      </c>
      <c r="G39" s="112">
        <f t="shared" si="3"/>
        <v>0</v>
      </c>
      <c r="H39" s="99">
        <f>G39+'5'!H39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111056</v>
      </c>
      <c r="F40" s="145">
        <v>111907.67</v>
      </c>
      <c r="G40" s="112">
        <f t="shared" si="3"/>
        <v>851.66999999999825</v>
      </c>
      <c r="H40" s="99">
        <f>G40+'5'!H40</f>
        <v>5131.6699999999983</v>
      </c>
      <c r="I40" s="95"/>
      <c r="J40" s="175">
        <f>H40/DAY(B2)</f>
        <v>855.27833333333308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224656</v>
      </c>
      <c r="F41" s="145">
        <v>227539</v>
      </c>
      <c r="G41" s="112">
        <f t="shared" si="3"/>
        <v>2883</v>
      </c>
      <c r="H41" s="99">
        <f>G41+'5'!H41</f>
        <v>15836</v>
      </c>
      <c r="I41" s="95"/>
      <c r="J41" s="175">
        <f>H41/DAY(B2)</f>
        <v>2639.3333333333335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752205.83</v>
      </c>
      <c r="F42" s="145">
        <v>752206</v>
      </c>
      <c r="G42" s="112">
        <f t="shared" si="3"/>
        <v>0.17000000004190952</v>
      </c>
      <c r="H42" s="99">
        <f>G42+'5'!H42</f>
        <v>3842</v>
      </c>
      <c r="I42" s="95"/>
      <c r="J42" s="175">
        <f>H42/DAY(B2)</f>
        <v>640.33333333333337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407028</v>
      </c>
      <c r="F43" s="145">
        <v>407028</v>
      </c>
      <c r="G43" s="112">
        <f t="shared" si="3"/>
        <v>0</v>
      </c>
      <c r="H43" s="99">
        <f>G43+'5'!H43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6838.8400000000402</v>
      </c>
      <c r="H47" s="99">
        <f>G47+'5'!H47</f>
        <v>43669.36</v>
      </c>
      <c r="I47" s="95"/>
      <c r="J47" s="175">
        <f>H47/DAY(B2)</f>
        <v>7278.2266666666665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503296</v>
      </c>
      <c r="F49" s="145">
        <v>507569</v>
      </c>
      <c r="G49" s="112">
        <f t="shared" ref="G49:G58" si="4">F49-E49</f>
        <v>4273</v>
      </c>
      <c r="H49" s="99">
        <f>G49+'5'!H49</f>
        <v>25515</v>
      </c>
      <c r="I49" s="95"/>
      <c r="J49" s="175">
        <f>H49/DAY(B2)</f>
        <v>4252.5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288564</v>
      </c>
      <c r="F50" s="145">
        <v>289557</v>
      </c>
      <c r="G50" s="112">
        <f t="shared" si="4"/>
        <v>993</v>
      </c>
      <c r="H50" s="99">
        <f>G50+'5'!H50</f>
        <v>6807</v>
      </c>
      <c r="I50" s="95"/>
      <c r="J50" s="175">
        <f>H50/DAY(B2)</f>
        <v>1134.5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14024</v>
      </c>
      <c r="F51" s="145">
        <v>15140</v>
      </c>
      <c r="G51" s="112">
        <f t="shared" si="4"/>
        <v>1116</v>
      </c>
      <c r="H51" s="99">
        <f>G51+'5'!H51</f>
        <v>6632</v>
      </c>
      <c r="I51" s="95"/>
      <c r="J51" s="175">
        <f>H51/DAY(B2)</f>
        <v>1105.3333333333333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55484</v>
      </c>
      <c r="F53" s="145">
        <v>59731</v>
      </c>
      <c r="G53" s="112">
        <f t="shared" si="4"/>
        <v>4247</v>
      </c>
      <c r="H53" s="99">
        <f>G53+'5'!H53</f>
        <v>25870</v>
      </c>
      <c r="I53" s="95"/>
      <c r="J53" s="175">
        <f>H53/DAY(B2)</f>
        <v>4311.666666666667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89664</v>
      </c>
      <c r="F54" s="145">
        <v>90009</v>
      </c>
      <c r="G54" s="112">
        <f t="shared" si="4"/>
        <v>345</v>
      </c>
      <c r="H54" s="99">
        <f>G54+'5'!H54</f>
        <v>2066</v>
      </c>
      <c r="I54" s="95"/>
      <c r="J54" s="175">
        <f>H54/DAY(B2)</f>
        <v>344.33333333333331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379084</v>
      </c>
      <c r="F55" s="145">
        <v>382592</v>
      </c>
      <c r="G55" s="112">
        <f t="shared" si="4"/>
        <v>3508</v>
      </c>
      <c r="H55" s="99">
        <f>G55+'5'!H55</f>
        <v>19815</v>
      </c>
      <c r="I55" s="95"/>
      <c r="J55" s="175">
        <f>H55/DAY(B2)</f>
        <v>3302.5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123882</v>
      </c>
      <c r="F56" s="145">
        <v>123882</v>
      </c>
      <c r="G56" s="112">
        <f t="shared" si="4"/>
        <v>0</v>
      </c>
      <c r="H56" s="99">
        <f>G56+'5'!H56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241961</v>
      </c>
      <c r="F57" s="145">
        <v>245077</v>
      </c>
      <c r="G57" s="112">
        <f t="shared" si="4"/>
        <v>3116</v>
      </c>
      <c r="H57" s="99">
        <f>G57+'5'!H57</f>
        <v>18907</v>
      </c>
      <c r="I57" s="95"/>
      <c r="J57" s="175">
        <f>H57/DAY(B2)</f>
        <v>3151.1666666666665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50390</v>
      </c>
      <c r="F58" s="145">
        <v>50673</v>
      </c>
      <c r="G58" s="112">
        <f t="shared" si="4"/>
        <v>283</v>
      </c>
      <c r="H58" s="99">
        <f>G58+'5'!H58</f>
        <v>1564</v>
      </c>
      <c r="I58" s="95"/>
      <c r="J58" s="175">
        <f>H58/DAY(B2)</f>
        <v>260.66666666666669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17881</v>
      </c>
      <c r="H59" s="99">
        <f>G59+'5'!H59</f>
        <v>107175.76000000001</v>
      </c>
      <c r="I59" s="95">
        <f>G7-G60</f>
        <v>1058.1599999999598</v>
      </c>
      <c r="J59" s="175">
        <f>H59/DAY(B2)</f>
        <v>17862.626666666667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24719.84000000004</v>
      </c>
      <c r="H60" s="99">
        <f>G60+'5'!H60</f>
        <v>150845.12</v>
      </c>
      <c r="I60" s="95">
        <f>G13-G60</f>
        <v>365.15999999995984</v>
      </c>
      <c r="J60" s="175">
        <f>H60/DAY(B2)</f>
        <v>25140.853333333333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'5'!F62</f>
        <v>296771</v>
      </c>
      <c r="F62" s="122">
        <v>296901</v>
      </c>
      <c r="G62" s="112">
        <f t="shared" ref="G62:G63" si="5">F62-E62</f>
        <v>130</v>
      </c>
      <c r="H62" s="99">
        <f>G62+'5'!H62</f>
        <v>626</v>
      </c>
      <c r="I62" s="118"/>
      <c r="J62" s="175">
        <f>H62/DAY(B2)</f>
        <v>104.33333333333333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'5'!F63</f>
        <v>239854</v>
      </c>
      <c r="F63" s="122">
        <v>239952</v>
      </c>
      <c r="G63" s="112">
        <f t="shared" si="5"/>
        <v>98</v>
      </c>
      <c r="H63" s="99">
        <f>G63+'5'!H63</f>
        <v>819</v>
      </c>
      <c r="I63" s="118"/>
      <c r="J63" s="175">
        <f>H63/DAY(B2)</f>
        <v>136.5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'5'!F64</f>
        <v>0</v>
      </c>
      <c r="F64" s="122"/>
      <c r="G64" s="112">
        <f>G62+G63</f>
        <v>228</v>
      </c>
      <c r="H64" s="99">
        <f>G64+'5'!H64</f>
        <v>1445</v>
      </c>
      <c r="I64" s="118"/>
      <c r="J64" s="175">
        <f>H64/DAY(B2)</f>
        <v>240.83333333333334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'5'!F65</f>
        <v>455219</v>
      </c>
      <c r="F65" s="122">
        <v>455323</v>
      </c>
      <c r="G65" s="112">
        <f t="shared" ref="G65:G70" si="6">F65-E65</f>
        <v>104</v>
      </c>
      <c r="H65" s="99">
        <f>G65+'5'!H65</f>
        <v>613</v>
      </c>
      <c r="I65" s="118"/>
      <c r="J65" s="175">
        <f>H65/DAY(B2)</f>
        <v>102.16666666666667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'5'!F66</f>
        <v>111831</v>
      </c>
      <c r="F66" s="122">
        <v>111854</v>
      </c>
      <c r="G66" s="112">
        <f t="shared" si="6"/>
        <v>23</v>
      </c>
      <c r="H66" s="99">
        <f>G66+'5'!H66</f>
        <v>132</v>
      </c>
      <c r="I66" s="118"/>
      <c r="J66" s="175">
        <f>H66/DAY(B2)</f>
        <v>22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'5'!F67</f>
        <v>113680</v>
      </c>
      <c r="F67" s="122">
        <v>113680</v>
      </c>
      <c r="G67" s="112">
        <f t="shared" si="6"/>
        <v>0</v>
      </c>
      <c r="H67" s="99">
        <f>G67+'5'!H67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'5'!F68</f>
        <v>164767</v>
      </c>
      <c r="F68" s="122">
        <v>164786</v>
      </c>
      <c r="G68" s="112">
        <f t="shared" si="6"/>
        <v>19</v>
      </c>
      <c r="H68" s="99">
        <f>G68+'5'!H68</f>
        <v>124</v>
      </c>
      <c r="I68" s="118"/>
      <c r="J68" s="175">
        <f>H68/DAY(B2)</f>
        <v>20.666666666666668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'5'!F69</f>
        <v>12305</v>
      </c>
      <c r="F69" s="122">
        <v>12311</v>
      </c>
      <c r="G69" s="112">
        <f t="shared" si="6"/>
        <v>6</v>
      </c>
      <c r="H69" s="99">
        <f>G69+'5'!H69</f>
        <v>36</v>
      </c>
      <c r="I69" s="118"/>
      <c r="J69" s="175">
        <f>H69/DAY(B2)</f>
        <v>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'5'!F70</f>
        <v>9875</v>
      </c>
      <c r="F70" s="122">
        <v>9883</v>
      </c>
      <c r="G70" s="112">
        <f t="shared" si="6"/>
        <v>8</v>
      </c>
      <c r="H70" s="99">
        <f>G70+'5'!H70</f>
        <v>56</v>
      </c>
      <c r="I70" s="118"/>
      <c r="J70" s="175">
        <f>H70/DAY(B2)</f>
        <v>9.3333333333333339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160</v>
      </c>
      <c r="H71" s="99">
        <f>G71+'5'!H71</f>
        <v>961</v>
      </c>
      <c r="I71" s="154"/>
      <c r="J71" s="175">
        <f>H71/DAY(B2)</f>
        <v>160.16666666666666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'5'!F74</f>
        <v>959112</v>
      </c>
      <c r="F74" s="123">
        <v>959424</v>
      </c>
      <c r="G74" s="112">
        <f t="shared" ref="G74:G78" si="7">F74-E74</f>
        <v>312</v>
      </c>
      <c r="H74" s="99">
        <f>G74+'5'!H74</f>
        <v>1766.140000000014</v>
      </c>
      <c r="I74" s="154"/>
      <c r="J74" s="175">
        <f>H74/DAY(B2)</f>
        <v>294.35666666666901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'5'!F75</f>
        <v>73586</v>
      </c>
      <c r="F75" s="123">
        <v>73586</v>
      </c>
      <c r="G75" s="112">
        <f t="shared" si="7"/>
        <v>0</v>
      </c>
      <c r="H75" s="99">
        <f>G75+'5'!H75</f>
        <v>-0.80000000000291038</v>
      </c>
      <c r="I75" s="154"/>
      <c r="J75" s="175">
        <f>H75/DAY(B2)</f>
        <v>-0.13333333333381839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'5'!F76</f>
        <v>190731</v>
      </c>
      <c r="F76" s="123">
        <v>190845</v>
      </c>
      <c r="G76" s="112">
        <f t="shared" si="7"/>
        <v>114</v>
      </c>
      <c r="H76" s="99">
        <f>G76+'5'!H76</f>
        <v>673</v>
      </c>
      <c r="I76" s="154"/>
      <c r="J76" s="175">
        <f>H76/DAY(B2)</f>
        <v>112.16666666666667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'5'!F77</f>
        <v>50592</v>
      </c>
      <c r="F77" s="123">
        <v>50595</v>
      </c>
      <c r="G77" s="112">
        <f t="shared" si="7"/>
        <v>3</v>
      </c>
      <c r="H77" s="99">
        <f>G77+'5'!H77</f>
        <v>282</v>
      </c>
      <c r="I77" s="154"/>
      <c r="J77" s="175">
        <f>H77/DAY(B2)</f>
        <v>47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'5'!F78</f>
        <v>9563</v>
      </c>
      <c r="F78" s="123">
        <v>9563.4</v>
      </c>
      <c r="G78" s="112">
        <f t="shared" si="7"/>
        <v>0.3999999999996362</v>
      </c>
      <c r="H78" s="99">
        <f>G78+'5'!H78</f>
        <v>0.3999999999996362</v>
      </c>
      <c r="I78" s="118"/>
      <c r="J78" s="175">
        <f>H78/DAY(B2)</f>
        <v>6.6666666666606034E-2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117"/>
      <c r="F79" s="117"/>
      <c r="G79" s="112">
        <f>G15-SUM(G74:G78)</f>
        <v>551.60000000000036</v>
      </c>
      <c r="H79" s="99">
        <f>G79+'5'!H79</f>
        <v>3353.2599999999893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981</v>
      </c>
      <c r="H80" s="99"/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'5'!F84</f>
        <v>42649.55</v>
      </c>
      <c r="F84" s="164">
        <v>42663</v>
      </c>
      <c r="G84" s="112">
        <f t="shared" si="8"/>
        <v>13.44999999999709</v>
      </c>
      <c r="H84" s="99">
        <f>G84+'5'!H84</f>
        <v>74</v>
      </c>
      <c r="I84" s="571"/>
      <c r="J84" s="175">
        <f>H84/DAY(B2)</f>
        <v>12.333333333333334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'5'!F85</f>
        <v>5156.4799999999996</v>
      </c>
      <c r="F85" s="164">
        <v>5156.4799999999996</v>
      </c>
      <c r="G85" s="112">
        <f t="shared" si="8"/>
        <v>0</v>
      </c>
      <c r="H85" s="99">
        <f>G85+'5'!H85</f>
        <v>16.289999999999964</v>
      </c>
      <c r="I85" s="571"/>
      <c r="J85" s="175">
        <f>H85/DAY(B2)</f>
        <v>2.7149999999999941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'5'!F86</f>
        <v>45491</v>
      </c>
      <c r="F86" s="164">
        <v>45515</v>
      </c>
      <c r="G86" s="112">
        <f t="shared" si="8"/>
        <v>24</v>
      </c>
      <c r="H86" s="99">
        <f>G86+'5'!H86</f>
        <v>136</v>
      </c>
      <c r="I86" s="571"/>
      <c r="J86" s="175">
        <f>H86/DAY(B2)</f>
        <v>22.666666666666668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'5'!F87</f>
        <v>35457.43</v>
      </c>
      <c r="F87" s="164">
        <v>35457.43</v>
      </c>
      <c r="G87" s="112">
        <f t="shared" si="8"/>
        <v>0</v>
      </c>
      <c r="H87" s="99">
        <f>G87+'5'!H87</f>
        <v>0</v>
      </c>
      <c r="I87" s="553">
        <f>G84+G85+G86+G87</f>
        <v>37.44999999999709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'5'!F88</f>
        <v>24303.46</v>
      </c>
      <c r="F88" s="164">
        <v>24314</v>
      </c>
      <c r="G88" s="112">
        <f t="shared" si="8"/>
        <v>10.540000000000873</v>
      </c>
      <c r="H88" s="99">
        <f>G88+'5'!H88</f>
        <v>10.540000000000873</v>
      </c>
      <c r="I88" s="553"/>
      <c r="J88" s="175">
        <f>H88/DAY(B2)</f>
        <v>1.7566666666668123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'5'!F89</f>
        <v>27612.35</v>
      </c>
      <c r="F89" s="164">
        <v>27612.35</v>
      </c>
      <c r="G89" s="112">
        <f t="shared" si="8"/>
        <v>0</v>
      </c>
      <c r="H89" s="99">
        <f>G89+'5'!H89</f>
        <v>45.739999999997963</v>
      </c>
      <c r="I89" s="553">
        <f>G88+G89</f>
        <v>10.540000000000873</v>
      </c>
      <c r="J89" s="175">
        <f>H89/DAY(B2)</f>
        <v>7.6233333333329938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'5'!F90</f>
        <v>72662.97</v>
      </c>
      <c r="F90" s="404">
        <v>72674</v>
      </c>
      <c r="G90" s="112">
        <f t="shared" si="8"/>
        <v>11.029999999998836</v>
      </c>
      <c r="H90" s="99">
        <f>G90+'5'!H90</f>
        <v>67.44999999999709</v>
      </c>
      <c r="I90" s="553">
        <f>G90</f>
        <v>11.029999999998836</v>
      </c>
      <c r="J90" s="175">
        <f>H90/DAY(B2)</f>
        <v>11.241666666666182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'5'!F91</f>
        <v>4289.5600000000004</v>
      </c>
      <c r="F91" s="122">
        <v>4289.5600000000004</v>
      </c>
      <c r="G91" s="112">
        <f t="shared" si="8"/>
        <v>0</v>
      </c>
      <c r="H91" s="99">
        <f>G91+'5'!H91</f>
        <v>2.0000000000436557E-2</v>
      </c>
      <c r="I91" s="612"/>
      <c r="J91" s="175">
        <f>H91/DAY(B2)</f>
        <v>3.3333333334060931E-3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'5'!F92</f>
        <v>6769.33</v>
      </c>
      <c r="F92" s="122">
        <v>6780.56</v>
      </c>
      <c r="G92" s="112">
        <f t="shared" si="8"/>
        <v>11.230000000000473</v>
      </c>
      <c r="H92" s="99">
        <f>G92+'5'!H92</f>
        <v>63.230000000000473</v>
      </c>
      <c r="I92" s="613">
        <f>G91+G92</f>
        <v>11.230000000000473</v>
      </c>
      <c r="J92" s="175">
        <f>H92/DAY(B2)</f>
        <v>10.538333333333412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7389</v>
      </c>
      <c r="H94" s="99">
        <f>G94+'5'!H94</f>
        <v>44422</v>
      </c>
      <c r="I94" s="118"/>
      <c r="J94" s="175">
        <f>H94/DAY(B2)</f>
        <v>7403.666666666667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0.28663977034680738</v>
      </c>
      <c r="H95" s="99">
        <f>G95+'5'!H95</f>
        <v>1.7034840301729313</v>
      </c>
      <c r="I95" s="167"/>
      <c r="J95" s="175">
        <f>H95/DAY(B2)</f>
        <v>0.28391400502882186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6391.1700000000419</v>
      </c>
      <c r="H96" s="99">
        <f>G96+'5'!H96</f>
        <v>39493</v>
      </c>
      <c r="I96" s="118"/>
      <c r="J96" s="175">
        <f>H96/DAY(B2)</f>
        <v>6582.166666666667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0.24793118162774622</v>
      </c>
      <c r="H97" s="99">
        <f>G97+'5'!H97</f>
        <v>1.5122113081995729</v>
      </c>
      <c r="I97" s="167"/>
      <c r="J97" s="175">
        <f>H97/DAY(B2)</f>
        <v>0.25203521803326218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4247</v>
      </c>
      <c r="H98" s="99">
        <f>G98+'5'!H98</f>
        <v>25870</v>
      </c>
      <c r="I98" s="168"/>
      <c r="J98" s="175">
        <f>H98/DAY(B2)</f>
        <v>4311.666666666667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0.16475289006129257</v>
      </c>
      <c r="H99" s="99">
        <f>G99+'5'!H99</f>
        <v>0.99244250442537618</v>
      </c>
      <c r="I99" s="168"/>
      <c r="J99" s="175">
        <f>H99/DAY(B2)</f>
        <v>0.16540708407089602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2225</v>
      </c>
      <c r="H100" s="99">
        <f>G100+'5'!H100</f>
        <v>13446.76</v>
      </c>
      <c r="I100" s="118"/>
      <c r="J100" s="175">
        <f>H100/DAY(B2)</f>
        <v>2241.1266666666666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8.6313911086973394E-2</v>
      </c>
      <c r="H101" s="99">
        <f>G101+'5'!H101</f>
        <v>0.51569626819855996</v>
      </c>
      <c r="I101" s="168"/>
      <c r="J101" s="175">
        <f>H101/DAY(B2)</f>
        <v>8.5949378033093327E-2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1872</v>
      </c>
      <c r="H102" s="99">
        <f>G102+'5'!H102</f>
        <v>12220</v>
      </c>
      <c r="I102" s="168"/>
      <c r="J102" s="175">
        <f>H102/DAY(B2)</f>
        <v>2036.6666666666667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7.2620063620141201E-2</v>
      </c>
      <c r="H103" s="99">
        <f>G103+'5'!H103</f>
        <v>0.46622365858486159</v>
      </c>
      <c r="I103" s="118"/>
      <c r="J103" s="175">
        <f>H103/DAY(B2)</f>
        <v>7.7703943097476927E-2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1116</v>
      </c>
      <c r="H104" s="99">
        <f>G104+'5'!H104</f>
        <v>6631.6900000000023</v>
      </c>
      <c r="I104" s="118"/>
      <c r="J104" s="175">
        <f>H104/DAY(B2)</f>
        <v>1105.281666666667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4.3292730235084183E-2</v>
      </c>
      <c r="H105" s="99">
        <f>G105+'5'!H105</f>
        <v>0.25438291473354435</v>
      </c>
      <c r="I105" s="187"/>
      <c r="J105" s="188">
        <f>H105/DAY(B2)</f>
        <v>4.2397152455590725E-2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'5'!F112</f>
        <v>7627</v>
      </c>
      <c r="F112" s="237">
        <v>7700</v>
      </c>
      <c r="G112" s="112">
        <f t="shared" ref="G112:G123" si="9">F112-E112</f>
        <v>73</v>
      </c>
      <c r="H112" s="99">
        <f>G112+'5'!H112</f>
        <v>435</v>
      </c>
      <c r="I112" s="165"/>
      <c r="J112" s="328">
        <f>H112/DAY(B2)</f>
        <v>72.5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'5'!F113</f>
        <v>15714</v>
      </c>
      <c r="F113" s="237">
        <v>15851</v>
      </c>
      <c r="G113" s="112">
        <f t="shared" si="9"/>
        <v>137</v>
      </c>
      <c r="H113" s="99">
        <f>G113+'5'!H113</f>
        <v>836</v>
      </c>
      <c r="I113" s="165"/>
      <c r="J113" s="328">
        <f>H113/DAY(B2)</f>
        <v>139.33333333333334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'5'!F114</f>
        <v>22356</v>
      </c>
      <c r="F114" s="237">
        <v>22575</v>
      </c>
      <c r="G114" s="112">
        <f t="shared" si="9"/>
        <v>219</v>
      </c>
      <c r="H114" s="99">
        <f>G114+'5'!H114</f>
        <v>1307</v>
      </c>
      <c r="I114" s="165"/>
      <c r="J114" s="328">
        <f>H114/DAY(B2)</f>
        <v>217.83333333333334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'5'!F115</f>
        <v>14156</v>
      </c>
      <c r="F115" s="237">
        <v>14265</v>
      </c>
      <c r="G115" s="112">
        <f t="shared" si="9"/>
        <v>109</v>
      </c>
      <c r="H115" s="99">
        <f>G115+'5'!H115</f>
        <v>835</v>
      </c>
      <c r="I115" s="165"/>
      <c r="J115" s="328">
        <f>H115/DAY(B2)</f>
        <v>139.16666666666666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'5'!F116</f>
        <v>72401</v>
      </c>
      <c r="F116" s="237">
        <v>72720</v>
      </c>
      <c r="G116" s="112">
        <f t="shared" si="9"/>
        <v>319</v>
      </c>
      <c r="H116" s="99">
        <f>G116+'5'!H116</f>
        <v>2228</v>
      </c>
      <c r="I116" s="165"/>
      <c r="J116" s="328">
        <f>H116/DAY(B2)</f>
        <v>371.33333333333331</v>
      </c>
      <c r="Q116" s="898"/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'5'!F117</f>
        <v>42066</v>
      </c>
      <c r="F117" s="237">
        <v>42282</v>
      </c>
      <c r="G117" s="112">
        <f t="shared" si="9"/>
        <v>216</v>
      </c>
      <c r="H117" s="99">
        <f>G117+'5'!H117</f>
        <v>1360</v>
      </c>
      <c r="I117" s="165"/>
      <c r="J117" s="328">
        <f>H117/DAY(B2)</f>
        <v>226.66666666666666</v>
      </c>
      <c r="Q117" s="898"/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'5'!F118</f>
        <v>67685</v>
      </c>
      <c r="F118" s="237">
        <v>68225</v>
      </c>
      <c r="G118" s="112">
        <f t="shared" si="9"/>
        <v>540</v>
      </c>
      <c r="H118" s="99">
        <f>G118+'5'!H118</f>
        <v>3553</v>
      </c>
      <c r="I118" s="165"/>
      <c r="J118" s="328">
        <f>H118/DAY(B2)</f>
        <v>592.16666666666663</v>
      </c>
      <c r="Q118" s="898"/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'5'!F119</f>
        <v>38596</v>
      </c>
      <c r="F119" s="237">
        <v>38844</v>
      </c>
      <c r="G119" s="112">
        <f t="shared" si="9"/>
        <v>248</v>
      </c>
      <c r="H119" s="99">
        <f>G119+'5'!H119</f>
        <v>1395</v>
      </c>
      <c r="I119" s="165"/>
      <c r="J119" s="328">
        <f>H119/DAY(B2)</f>
        <v>232.5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'5'!F120</f>
        <v>48318</v>
      </c>
      <c r="F120" s="237">
        <v>48742</v>
      </c>
      <c r="G120" s="112">
        <f t="shared" si="9"/>
        <v>424</v>
      </c>
      <c r="H120" s="99">
        <f>G120+'5'!H120</f>
        <v>2475</v>
      </c>
      <c r="I120" s="165"/>
      <c r="J120" s="328">
        <f>H120/DAY(B2)</f>
        <v>412.5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'5'!F121</f>
        <v>55923</v>
      </c>
      <c r="F121" s="237">
        <v>56393</v>
      </c>
      <c r="G121" s="112">
        <f t="shared" si="9"/>
        <v>470</v>
      </c>
      <c r="H121" s="99">
        <f>G121+'5'!H121</f>
        <v>2850</v>
      </c>
      <c r="I121" s="165"/>
      <c r="J121" s="328">
        <f>H121/DAY(B2)</f>
        <v>475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'5'!F122</f>
        <v>30068</v>
      </c>
      <c r="F122" s="237">
        <v>30396</v>
      </c>
      <c r="G122" s="112">
        <f t="shared" si="9"/>
        <v>328</v>
      </c>
      <c r="H122" s="99">
        <f>G122+'5'!H122</f>
        <v>1722</v>
      </c>
      <c r="I122" s="165"/>
      <c r="J122" s="328">
        <f>H122/DAY(B2)</f>
        <v>287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'5'!F123</f>
        <v>31798</v>
      </c>
      <c r="F123" s="237">
        <v>32129</v>
      </c>
      <c r="G123" s="112">
        <f t="shared" si="9"/>
        <v>331</v>
      </c>
      <c r="H123" s="99">
        <f>G123+'5'!H123</f>
        <v>1941</v>
      </c>
      <c r="I123" s="165"/>
      <c r="J123" s="328">
        <f>H123/DAY(B2)</f>
        <v>323.5</v>
      </c>
    </row>
    <row r="124" spans="1:18" ht="29.25" customHeight="1">
      <c r="A124" s="902"/>
      <c r="B124" s="903"/>
      <c r="C124" s="904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5.5">
      <c r="A125" s="880" t="s">
        <v>196</v>
      </c>
      <c r="B125" s="881"/>
      <c r="C125" s="245"/>
      <c r="D125" s="307"/>
      <c r="E125" s="308"/>
      <c r="F125" s="308"/>
      <c r="G125" s="309">
        <f>SUM(G112:G124)</f>
        <v>3414</v>
      </c>
      <c r="H125" s="156"/>
      <c r="I125" s="327">
        <f>G125-(G39+G53)</f>
        <v>-833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'5'!F128</f>
        <v>130200</v>
      </c>
      <c r="F128" s="165">
        <v>130745</v>
      </c>
      <c r="G128" s="112">
        <f t="shared" ref="G128:G134" si="10">F128-E128</f>
        <v>545</v>
      </c>
      <c r="H128" s="99">
        <f>G128+'5'!H128</f>
        <v>3101</v>
      </c>
      <c r="I128" s="165"/>
      <c r="J128" s="328">
        <f>H128/DAY(B2)</f>
        <v>516.83333333333337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'5'!F129</f>
        <v>73478</v>
      </c>
      <c r="F129" s="165">
        <v>73714</v>
      </c>
      <c r="G129" s="112">
        <f t="shared" si="10"/>
        <v>236</v>
      </c>
      <c r="H129" s="99">
        <f>G129+'5'!H129</f>
        <v>1211</v>
      </c>
      <c r="I129" s="165"/>
      <c r="J129" s="328">
        <f>H129/DAY(B2)</f>
        <v>201.83333333333334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'5'!F130</f>
        <v>168059</v>
      </c>
      <c r="F130" s="165">
        <v>168761</v>
      </c>
      <c r="G130" s="112">
        <f t="shared" si="10"/>
        <v>702</v>
      </c>
      <c r="H130" s="99">
        <f>G130+'5'!H130</f>
        <v>4164</v>
      </c>
      <c r="I130" s="165"/>
      <c r="J130" s="328">
        <f>H130/DAY(B2)</f>
        <v>694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'5'!F131</f>
        <v>49430</v>
      </c>
      <c r="F131" s="165">
        <v>49566</v>
      </c>
      <c r="G131" s="112">
        <f t="shared" si="10"/>
        <v>136</v>
      </c>
      <c r="H131" s="99">
        <f>G131+'5'!H131</f>
        <v>1117</v>
      </c>
      <c r="I131" s="165"/>
      <c r="J131" s="328">
        <f>H131/DAY(B2)</f>
        <v>186.16666666666666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'5'!F132</f>
        <v>130174</v>
      </c>
      <c r="F132" s="165">
        <v>130586</v>
      </c>
      <c r="G132" s="112">
        <f t="shared" si="10"/>
        <v>412</v>
      </c>
      <c r="H132" s="99">
        <f>G132+'5'!H132</f>
        <v>2412</v>
      </c>
      <c r="I132" s="165"/>
      <c r="J132" s="328">
        <f>H132/DAY(B2)</f>
        <v>402</v>
      </c>
    </row>
    <row r="133" spans="1:15" ht="25.5">
      <c r="A133" s="898" t="s">
        <v>323</v>
      </c>
      <c r="B133" s="899"/>
      <c r="C133" s="900"/>
      <c r="D133" s="151" t="s">
        <v>183</v>
      </c>
      <c r="E133" s="95">
        <f>'5'!F133</f>
        <v>224035.59</v>
      </c>
      <c r="F133" s="165">
        <v>224036</v>
      </c>
      <c r="G133" s="112">
        <f t="shared" si="10"/>
        <v>0.41000000000349246</v>
      </c>
      <c r="H133" s="99">
        <f>G133+'5'!H133</f>
        <v>0.41000000000349246</v>
      </c>
      <c r="I133" s="165"/>
      <c r="J133" s="328">
        <f>H133/DAY(B2)</f>
        <v>6.8333333333915405E-2</v>
      </c>
    </row>
    <row r="134" spans="1:15" ht="25.5">
      <c r="A134" s="898" t="s">
        <v>340</v>
      </c>
      <c r="B134" s="899"/>
      <c r="C134" s="900"/>
      <c r="D134" s="151" t="s">
        <v>183</v>
      </c>
      <c r="E134" s="95">
        <f>'5'!F134</f>
        <v>50060</v>
      </c>
      <c r="F134" s="165">
        <v>50270</v>
      </c>
      <c r="G134" s="112">
        <f t="shared" si="10"/>
        <v>210</v>
      </c>
      <c r="H134" s="99">
        <f>G134+'5'!H134</f>
        <v>1235</v>
      </c>
      <c r="I134" s="165"/>
      <c r="J134" s="328">
        <f>H134/DAY(B2)</f>
        <v>205.83333333333334</v>
      </c>
    </row>
    <row r="135" spans="1:15" ht="25.5">
      <c r="A135" s="880" t="s">
        <v>196</v>
      </c>
      <c r="B135" s="881"/>
      <c r="C135" s="331"/>
      <c r="D135" s="151"/>
      <c r="E135" s="95"/>
      <c r="F135" s="112"/>
      <c r="G135" s="112">
        <f>SUM(G128:G134)</f>
        <v>2241.4100000000035</v>
      </c>
      <c r="H135" s="99">
        <f>G135+'5'!H135</f>
        <v>13240.410000000003</v>
      </c>
      <c r="I135" s="327">
        <f>G135-(G35+G49)</f>
        <v>-2031.5899999999965</v>
      </c>
      <c r="J135" s="328">
        <f>H135/DAY(B2)</f>
        <v>2206.7350000000006</v>
      </c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'5'!F138</f>
        <v>891844</v>
      </c>
      <c r="F138" s="518">
        <v>891991</v>
      </c>
      <c r="G138" s="112">
        <f t="shared" ref="G138:G152" si="11">F138-E138</f>
        <v>147</v>
      </c>
      <c r="H138" s="99">
        <f>G138+'5'!H138</f>
        <v>893</v>
      </c>
      <c r="I138" s="118"/>
      <c r="J138" s="328">
        <f>H138/DAY(B2)</f>
        <v>148.83333333333334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'5'!F139</f>
        <v>909660</v>
      </c>
      <c r="F139" s="518">
        <v>909817</v>
      </c>
      <c r="G139" s="112">
        <f t="shared" si="11"/>
        <v>157</v>
      </c>
      <c r="H139" s="99">
        <f>G139+'5'!H139</f>
        <v>922</v>
      </c>
      <c r="I139" s="118"/>
      <c r="J139" s="328">
        <f>H139/DAY(B2)</f>
        <v>153.66666666666666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'5'!F140</f>
        <v>1589</v>
      </c>
      <c r="F140" s="149">
        <v>1603</v>
      </c>
      <c r="G140" s="112">
        <f t="shared" si="11"/>
        <v>14</v>
      </c>
      <c r="H140" s="99">
        <f>G140+'5'!H140</f>
        <v>90</v>
      </c>
      <c r="I140" s="118"/>
      <c r="J140" s="328">
        <f>H140/DAY(B2)</f>
        <v>15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'5'!F141</f>
        <v>91414</v>
      </c>
      <c r="F141" s="149">
        <v>91609</v>
      </c>
      <c r="G141" s="112">
        <f t="shared" si="11"/>
        <v>195</v>
      </c>
      <c r="H141" s="99">
        <f>G141+'5'!H141</f>
        <v>1157</v>
      </c>
      <c r="I141" s="118"/>
      <c r="J141" s="328">
        <f>H141/DAY(B2)</f>
        <v>192.83333333333334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'5'!F142</f>
        <v>37033</v>
      </c>
      <c r="F142" s="148">
        <v>37122</v>
      </c>
      <c r="G142" s="112">
        <f t="shared" si="11"/>
        <v>89</v>
      </c>
      <c r="H142" s="99">
        <f>G142+'5'!H142</f>
        <v>461</v>
      </c>
      <c r="I142" s="140"/>
      <c r="J142" s="328">
        <f>H142/DAY(B2)</f>
        <v>76.833333333333329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'5'!F143</f>
        <v>9180</v>
      </c>
      <c r="F143" s="149">
        <v>9205</v>
      </c>
      <c r="G143" s="112">
        <f t="shared" si="11"/>
        <v>25</v>
      </c>
      <c r="H143" s="99">
        <f>G143+'5'!H143</f>
        <v>154</v>
      </c>
      <c r="I143" s="140"/>
      <c r="J143" s="328">
        <f>H143/DAY(B2)</f>
        <v>25.666666666666668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'5'!F144</f>
        <v>920908</v>
      </c>
      <c r="F144" s="149">
        <v>921134</v>
      </c>
      <c r="G144" s="112">
        <f t="shared" si="11"/>
        <v>226</v>
      </c>
      <c r="H144" s="99">
        <f>G144+'5'!H144</f>
        <v>1297</v>
      </c>
      <c r="I144" s="140"/>
      <c r="J144" s="328">
        <f>H144/DAY(B2)</f>
        <v>216.16666666666666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'5'!F145</f>
        <v>5981</v>
      </c>
      <c r="F145" s="148">
        <v>6008</v>
      </c>
      <c r="G145" s="112">
        <f t="shared" si="11"/>
        <v>27</v>
      </c>
      <c r="H145" s="99">
        <f>G145+'5'!H145</f>
        <v>201</v>
      </c>
      <c r="I145" s="140"/>
      <c r="J145" s="328">
        <f>H145/DAY(B2)</f>
        <v>33.5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'5'!F146</f>
        <v>781242</v>
      </c>
      <c r="F146" s="148">
        <v>781314</v>
      </c>
      <c r="G146" s="112">
        <f t="shared" si="11"/>
        <v>72</v>
      </c>
      <c r="H146" s="99">
        <f>G146+'5'!H146</f>
        <v>514</v>
      </c>
      <c r="I146" s="140"/>
      <c r="J146" s="328">
        <f>H146/DAY(B2)</f>
        <v>85.666666666666671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'5'!F147</f>
        <v>701648</v>
      </c>
      <c r="F147" s="518">
        <v>702027</v>
      </c>
      <c r="G147" s="112">
        <f t="shared" si="11"/>
        <v>379</v>
      </c>
      <c r="H147" s="99">
        <f>G147+'5'!H147</f>
        <v>2258</v>
      </c>
      <c r="I147" s="140"/>
      <c r="J147" s="328">
        <f>H147/DAY(B2)</f>
        <v>376.33333333333331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'5'!F148</f>
        <v>749992</v>
      </c>
      <c r="F148" s="404">
        <v>750292</v>
      </c>
      <c r="G148" s="112">
        <f t="shared" si="11"/>
        <v>300</v>
      </c>
      <c r="H148" s="99">
        <f>G148+'5'!H148</f>
        <v>1762</v>
      </c>
      <c r="I148" s="124"/>
      <c r="J148" s="328">
        <f>H148/DAY(B2)</f>
        <v>293.66666666666669</v>
      </c>
    </row>
    <row r="149" spans="1:10" ht="25.5">
      <c r="A149" s="877" t="s">
        <v>336</v>
      </c>
      <c r="B149" s="878"/>
      <c r="C149" s="879"/>
      <c r="D149" s="227" t="s">
        <v>130</v>
      </c>
      <c r="E149" s="95">
        <f>'5'!F149</f>
        <v>134692</v>
      </c>
      <c r="F149" s="146">
        <v>135196</v>
      </c>
      <c r="G149" s="112">
        <f t="shared" si="11"/>
        <v>504</v>
      </c>
      <c r="H149" s="99">
        <f>G149+'5'!H149</f>
        <v>2762</v>
      </c>
      <c r="I149" s="119"/>
      <c r="J149" s="328">
        <f>H149/DAY(B2)</f>
        <v>460.33333333333331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'5'!F150</f>
        <v>51718</v>
      </c>
      <c r="F150" s="233">
        <v>51946</v>
      </c>
      <c r="G150" s="112">
        <f t="shared" si="11"/>
        <v>228</v>
      </c>
      <c r="H150" s="99">
        <f>G150+'5'!H150</f>
        <v>1331</v>
      </c>
      <c r="I150" s="119"/>
      <c r="J150" s="328">
        <f>H150/DAY(B2)</f>
        <v>221.83333333333334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'5'!F151</f>
        <v>136949</v>
      </c>
      <c r="F151" s="233">
        <v>137196</v>
      </c>
      <c r="G151" s="112">
        <f t="shared" si="11"/>
        <v>247</v>
      </c>
      <c r="H151" s="99">
        <f>G151+'5'!H151</f>
        <v>1747</v>
      </c>
      <c r="I151" s="119"/>
      <c r="J151" s="328">
        <f>H151/DAY(B2)</f>
        <v>291.16666666666669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'5'!F152</f>
        <v>23728</v>
      </c>
      <c r="F152" s="233">
        <v>23848</v>
      </c>
      <c r="G152" s="112">
        <f t="shared" si="11"/>
        <v>120</v>
      </c>
      <c r="H152" s="99">
        <f>G152+'5'!H152</f>
        <v>694</v>
      </c>
      <c r="I152" s="119"/>
      <c r="J152" s="328">
        <f>H152/DAY(B2)</f>
        <v>115.66666666666667</v>
      </c>
    </row>
    <row r="153" spans="1:10" ht="25.5">
      <c r="A153" s="880" t="s">
        <v>196</v>
      </c>
      <c r="B153" s="881"/>
      <c r="C153" s="365"/>
      <c r="D153" s="358"/>
      <c r="E153" s="360"/>
      <c r="F153" s="361"/>
      <c r="G153" s="362">
        <f>SUM(G138:G152)</f>
        <v>2730</v>
      </c>
      <c r="H153" s="363"/>
      <c r="I153" s="119">
        <f>G153-(G38+G52)</f>
        <v>505</v>
      </c>
      <c r="J153" s="366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95">
        <f>'5'!F155</f>
        <v>151439</v>
      </c>
      <c r="F155" s="374">
        <v>152122</v>
      </c>
      <c r="G155" s="112">
        <f t="shared" ref="G155:G158" si="12">F155-E155</f>
        <v>683</v>
      </c>
      <c r="H155" s="99">
        <f>G155+'5'!H155</f>
        <v>3973</v>
      </c>
      <c r="I155" s="364"/>
      <c r="J155" s="328">
        <f>H155/DAY(B2)</f>
        <v>662.16666666666663</v>
      </c>
    </row>
    <row r="156" spans="1:10" ht="25.5">
      <c r="A156" s="876" t="s">
        <v>346</v>
      </c>
      <c r="B156" s="876"/>
      <c r="C156" s="876"/>
      <c r="D156" s="117" t="s">
        <v>130</v>
      </c>
      <c r="E156" s="95">
        <f>'5'!F156</f>
        <v>15248</v>
      </c>
      <c r="F156" s="155">
        <v>15345</v>
      </c>
      <c r="G156" s="112">
        <f t="shared" si="12"/>
        <v>97</v>
      </c>
      <c r="H156" s="99">
        <f>G156+'5'!H156</f>
        <v>611</v>
      </c>
      <c r="I156" s="165"/>
      <c r="J156" s="328">
        <f>H156/DAY(B2)</f>
        <v>101.83333333333333</v>
      </c>
    </row>
    <row r="157" spans="1:10" ht="25.5">
      <c r="A157" s="877" t="s">
        <v>360</v>
      </c>
      <c r="B157" s="878"/>
      <c r="C157" s="879"/>
      <c r="D157" s="117" t="s">
        <v>130</v>
      </c>
      <c r="E157" s="95">
        <f>'5'!F157</f>
        <v>28171</v>
      </c>
      <c r="F157" s="155">
        <v>28325</v>
      </c>
      <c r="G157" s="112">
        <f t="shared" si="12"/>
        <v>154</v>
      </c>
      <c r="H157" s="99">
        <f>G157+'5'!H157</f>
        <v>879</v>
      </c>
      <c r="I157" s="165"/>
      <c r="J157" s="328">
        <f>H157/DAY(B2)</f>
        <v>146.5</v>
      </c>
    </row>
    <row r="158" spans="1:10" ht="25.5">
      <c r="A158" s="877" t="s">
        <v>361</v>
      </c>
      <c r="B158" s="878"/>
      <c r="C158" s="879"/>
      <c r="D158" s="117" t="s">
        <v>130</v>
      </c>
      <c r="E158" s="95">
        <f>'5'!F158</f>
        <v>239.98</v>
      </c>
      <c r="F158" s="155">
        <v>240</v>
      </c>
      <c r="G158" s="112">
        <f t="shared" si="12"/>
        <v>2.0000000000010232E-2</v>
      </c>
      <c r="H158" s="99">
        <f>G158+'5'!H158</f>
        <v>151.57999999999998</v>
      </c>
      <c r="I158" s="165"/>
      <c r="J158" s="328">
        <f>H158/DAY(B2)</f>
        <v>25.263333333333332</v>
      </c>
    </row>
    <row r="159" spans="1:10" ht="25.5">
      <c r="A159" s="962"/>
      <c r="B159" s="963"/>
      <c r="C159" s="964"/>
      <c r="D159" s="117"/>
      <c r="E159" s="95"/>
      <c r="F159" s="155"/>
      <c r="G159" s="112"/>
      <c r="H159" s="99"/>
      <c r="I159" s="165"/>
      <c r="J159" s="328"/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480191</v>
      </c>
      <c r="F161" s="764">
        <v>480221</v>
      </c>
      <c r="G161" s="238">
        <f t="shared" ref="G161:G165" si="13">F161-E161</f>
        <v>30</v>
      </c>
      <c r="H161" s="99">
        <f>G161+'5'!H161</f>
        <v>168</v>
      </c>
      <c r="I161" s="236"/>
      <c r="J161" s="239">
        <f>H161/DAY(B2)</f>
        <v>28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95157</v>
      </c>
      <c r="F162" s="235">
        <v>95201</v>
      </c>
      <c r="G162" s="238">
        <f t="shared" si="13"/>
        <v>44</v>
      </c>
      <c r="H162" s="99">
        <f>G162+'5'!H162</f>
        <v>273</v>
      </c>
      <c r="I162" s="236"/>
      <c r="J162" s="239">
        <f>H162/DAY(B2)</f>
        <v>45.5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7111</v>
      </c>
      <c r="F163" s="235">
        <v>7168</v>
      </c>
      <c r="G163" s="238">
        <f t="shared" si="13"/>
        <v>57</v>
      </c>
      <c r="H163" s="99">
        <f>G163+'5'!H163</f>
        <v>667</v>
      </c>
      <c r="I163" s="236"/>
      <c r="J163" s="239">
        <f>H163/DAY(B2)</f>
        <v>111.16666666666667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6290</v>
      </c>
      <c r="F164" s="235">
        <v>6291</v>
      </c>
      <c r="G164" s="238">
        <f t="shared" si="13"/>
        <v>1</v>
      </c>
      <c r="H164" s="99">
        <f>G164+'5'!H164</f>
        <v>11</v>
      </c>
      <c r="I164" s="236"/>
      <c r="J164" s="239">
        <f>H164/DAY(B2)</f>
        <v>1.8333333333333333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31676</v>
      </c>
      <c r="F165" s="235">
        <v>31686</v>
      </c>
      <c r="G165" s="238">
        <f t="shared" si="13"/>
        <v>10</v>
      </c>
      <c r="H165" s="99">
        <f>G165+'5'!H165</f>
        <v>52</v>
      </c>
      <c r="I165" s="236"/>
      <c r="J165" s="239">
        <f>H165/DAY(B2)</f>
        <v>8.6666666666666661</v>
      </c>
    </row>
    <row r="166" spans="1:10" ht="26.25">
      <c r="A166" s="885"/>
      <c r="B166" s="885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885"/>
      <c r="B167" s="885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885"/>
      <c r="B168" s="885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'5'!F173</f>
        <v>8245</v>
      </c>
      <c r="F173" s="155">
        <v>8247</v>
      </c>
      <c r="G173" s="155">
        <f>F173-E173</f>
        <v>2</v>
      </c>
      <c r="H173" s="99">
        <f>G173+'5'!H173</f>
        <v>12</v>
      </c>
      <c r="I173" s="155"/>
      <c r="J173" s="178">
        <f>H173/DAY(B2)</f>
        <v>2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'5'!F174</f>
        <v>41272</v>
      </c>
      <c r="F174" s="157">
        <v>41286</v>
      </c>
      <c r="G174" s="155">
        <f t="shared" ref="G174:G175" si="14">F174-E174</f>
        <v>14</v>
      </c>
      <c r="H174" s="99">
        <f>G174+'5'!H174</f>
        <v>82</v>
      </c>
      <c r="I174" s="155"/>
      <c r="J174" s="178">
        <f>H174/DAY(B2)</f>
        <v>13.666666666666666</v>
      </c>
    </row>
    <row r="175" spans="1:10" ht="25.5">
      <c r="A175" s="891" t="s">
        <v>76</v>
      </c>
      <c r="B175" s="931"/>
      <c r="C175" s="892"/>
      <c r="D175" s="228" t="s">
        <v>142</v>
      </c>
      <c r="E175" s="95">
        <f>'5'!F175</f>
        <v>24089</v>
      </c>
      <c r="F175" s="155">
        <v>24103</v>
      </c>
      <c r="G175" s="155">
        <f t="shared" si="14"/>
        <v>14</v>
      </c>
      <c r="H175" s="99">
        <f>G175+'5'!H175</f>
        <v>72</v>
      </c>
      <c r="I175" s="155"/>
      <c r="J175" s="178">
        <f>H175/DAY(B2)</f>
        <v>12</v>
      </c>
    </row>
    <row r="176" spans="1:10" ht="25.5">
      <c r="A176" s="463" t="s">
        <v>196</v>
      </c>
      <c r="B176" s="464"/>
      <c r="C176" s="333"/>
      <c r="D176" s="228"/>
      <c r="E176" s="95">
        <f>'5'!F176</f>
        <v>0</v>
      </c>
      <c r="F176" s="155"/>
      <c r="G176" s="155">
        <f>SUM(G173:G175)</f>
        <v>30</v>
      </c>
      <c r="H176" s="99">
        <f>G176+'5'!H176</f>
        <v>166</v>
      </c>
      <c r="I176" s="155"/>
      <c r="J176" s="178">
        <f>H176/DAY(B2)</f>
        <v>27.666666666666668</v>
      </c>
    </row>
    <row r="177" spans="1:14" ht="25.5">
      <c r="A177" s="891" t="s">
        <v>77</v>
      </c>
      <c r="B177" s="892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4" ht="25.5">
      <c r="A178" s="891" t="s">
        <v>210</v>
      </c>
      <c r="B178" s="892"/>
      <c r="C178" s="333"/>
      <c r="D178" s="228" t="s">
        <v>142</v>
      </c>
      <c r="E178" s="95">
        <f>'5'!F178</f>
        <v>98176</v>
      </c>
      <c r="F178" s="155">
        <v>98230</v>
      </c>
      <c r="G178" s="155">
        <f>F178-E178</f>
        <v>54</v>
      </c>
      <c r="H178" s="99">
        <f>G178+'5'!H178</f>
        <v>517</v>
      </c>
      <c r="I178" s="155"/>
      <c r="J178" s="178">
        <f>H178/DAY(B2)</f>
        <v>86.166666666666671</v>
      </c>
    </row>
    <row r="179" spans="1:14" ht="25.5">
      <c r="A179" s="891" t="s">
        <v>211</v>
      </c>
      <c r="B179" s="892"/>
      <c r="C179" s="333"/>
      <c r="D179" s="228" t="s">
        <v>142</v>
      </c>
      <c r="E179" s="95">
        <f>'5'!F179</f>
        <v>36002</v>
      </c>
      <c r="F179" s="157">
        <v>36002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  <c r="N179" s="65" t="s">
        <v>372</v>
      </c>
    </row>
    <row r="180" spans="1:14" ht="25.5">
      <c r="A180" s="891" t="s">
        <v>212</v>
      </c>
      <c r="B180" s="892"/>
      <c r="C180" s="333"/>
      <c r="D180" s="228" t="s">
        <v>142</v>
      </c>
      <c r="E180" s="95">
        <f>'5'!F180</f>
        <v>7176</v>
      </c>
      <c r="F180" s="155">
        <v>7178</v>
      </c>
      <c r="G180" s="155">
        <f t="shared" si="15"/>
        <v>2</v>
      </c>
      <c r="H180" s="99">
        <f>G180+'5'!H180</f>
        <v>9</v>
      </c>
      <c r="I180" s="155"/>
      <c r="J180" s="178">
        <f>H180/DAY(B2)</f>
        <v>1.5</v>
      </c>
    </row>
    <row r="181" spans="1:14" ht="25.5">
      <c r="A181" s="893" t="s">
        <v>108</v>
      </c>
      <c r="B181" s="894"/>
      <c r="C181" s="333"/>
      <c r="D181" s="228"/>
      <c r="E181" s="95">
        <f>'5'!F181</f>
        <v>0</v>
      </c>
      <c r="F181" s="155"/>
      <c r="G181" s="155">
        <f>SUM(G178:G180)</f>
        <v>56</v>
      </c>
      <c r="H181" s="99">
        <f>G181+'5'!H181</f>
        <v>526</v>
      </c>
      <c r="I181" s="155"/>
      <c r="J181" s="178">
        <f>H181/DAY(B2)</f>
        <v>87.666666666666671</v>
      </c>
    </row>
    <row r="182" spans="1:14" ht="25.5">
      <c r="A182" s="891" t="s">
        <v>213</v>
      </c>
      <c r="B182" s="892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4" ht="25.5">
      <c r="A183" s="891" t="s">
        <v>214</v>
      </c>
      <c r="B183" s="892"/>
      <c r="C183" s="334"/>
      <c r="D183" s="228" t="s">
        <v>142</v>
      </c>
      <c r="E183" s="95">
        <f>'5'!F183</f>
        <v>17514</v>
      </c>
      <c r="F183" s="157">
        <v>17519</v>
      </c>
      <c r="G183" s="157">
        <f>F183-E183</f>
        <v>5</v>
      </c>
      <c r="H183" s="99">
        <f>G183+'5'!H183</f>
        <v>46</v>
      </c>
      <c r="I183" s="155"/>
      <c r="J183" s="178">
        <f>H183/DAY(B2)</f>
        <v>7.666666666666667</v>
      </c>
    </row>
    <row r="184" spans="1:14" ht="25.5">
      <c r="A184" s="891" t="s">
        <v>215</v>
      </c>
      <c r="B184" s="892"/>
      <c r="C184" s="334"/>
      <c r="D184" s="228" t="s">
        <v>142</v>
      </c>
      <c r="E184" s="95">
        <f>'5'!F184</f>
        <v>11973</v>
      </c>
      <c r="F184" s="157">
        <v>11979</v>
      </c>
      <c r="G184" s="157">
        <f t="shared" ref="G184:G185" si="16">F184-E184</f>
        <v>6</v>
      </c>
      <c r="H184" s="99">
        <f>G184+'5'!H184</f>
        <v>44</v>
      </c>
      <c r="I184" s="155"/>
      <c r="J184" s="178">
        <f>H184/DAY(B2)</f>
        <v>7.333333333333333</v>
      </c>
    </row>
    <row r="185" spans="1:14" ht="25.5">
      <c r="A185" s="891" t="s">
        <v>216</v>
      </c>
      <c r="B185" s="892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4" ht="25.5">
      <c r="A186" s="880" t="s">
        <v>196</v>
      </c>
      <c r="B186" s="881"/>
      <c r="C186" s="334"/>
      <c r="D186" s="229"/>
      <c r="E186" s="95"/>
      <c r="F186" s="157"/>
      <c r="G186" s="157">
        <f>SUM(G183:G185)</f>
        <v>11</v>
      </c>
      <c r="H186" s="99">
        <f>G186+'5'!H186</f>
        <v>90</v>
      </c>
      <c r="I186" s="157"/>
      <c r="J186" s="178">
        <f>H186/DAY(B2)</f>
        <v>15</v>
      </c>
    </row>
    <row r="187" spans="1:14" ht="25.5">
      <c r="A187" s="882" t="s">
        <v>217</v>
      </c>
      <c r="B187" s="883"/>
      <c r="C187" s="333"/>
      <c r="D187" s="230" t="s">
        <v>142</v>
      </c>
      <c r="E187" s="95"/>
      <c r="F187" s="159"/>
      <c r="G187" s="159">
        <f>G62+G19</f>
        <v>177</v>
      </c>
      <c r="H187" s="99">
        <f>G187+'5'!H187</f>
        <v>936</v>
      </c>
      <c r="I187" s="158"/>
      <c r="J187" s="179">
        <f>H187/DAY(B2)</f>
        <v>156</v>
      </c>
    </row>
    <row r="188" spans="1:14" ht="25.5">
      <c r="A188" s="882" t="s">
        <v>218</v>
      </c>
      <c r="B188" s="883"/>
      <c r="C188" s="333"/>
      <c r="D188" s="230" t="s">
        <v>142</v>
      </c>
      <c r="E188" s="95"/>
      <c r="F188" s="159"/>
      <c r="G188" s="159">
        <f>G65+G66+G67+G69+G70</f>
        <v>141</v>
      </c>
      <c r="H188" s="99">
        <f>G188+'5'!H188</f>
        <v>837</v>
      </c>
      <c r="I188" s="158"/>
      <c r="J188" s="179">
        <f>H188/DAY(B2)</f>
        <v>139.5</v>
      </c>
    </row>
    <row r="189" spans="1:14" ht="25.5">
      <c r="A189" s="882" t="s">
        <v>219</v>
      </c>
      <c r="B189" s="883"/>
      <c r="C189" s="333"/>
      <c r="D189" s="230" t="s">
        <v>142</v>
      </c>
      <c r="E189" s="95"/>
      <c r="F189" s="157"/>
      <c r="G189" s="157">
        <f>G181</f>
        <v>56</v>
      </c>
      <c r="H189" s="99">
        <f>G189+'5'!H189</f>
        <v>526</v>
      </c>
      <c r="I189" s="158"/>
      <c r="J189" s="179">
        <f>H189/DAY(B2)</f>
        <v>87.666666666666671</v>
      </c>
    </row>
    <row r="190" spans="1:14" ht="25.5">
      <c r="A190" s="889"/>
      <c r="B190" s="890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4" ht="26.25"/>
    <row r="192" spans="1:14" ht="26.25">
      <c r="E192" s="160">
        <v>822937</v>
      </c>
      <c r="F192" s="160">
        <v>26832</v>
      </c>
    </row>
    <row r="193" spans="5:6" ht="26.25">
      <c r="E193" s="160">
        <v>943836</v>
      </c>
      <c r="F193" s="160">
        <v>27996</v>
      </c>
    </row>
    <row r="194" spans="5:6" ht="26.25"/>
    <row r="195" spans="5:6" ht="26.25">
      <c r="E195" s="160">
        <f>E193-E192</f>
        <v>120899</v>
      </c>
      <c r="F195" s="160">
        <f>F193-F192</f>
        <v>1164</v>
      </c>
    </row>
    <row r="196" spans="5:6" ht="26.25"/>
    <row r="197" spans="5:6" ht="26.25"/>
    <row r="198" spans="5:6" ht="26.25"/>
    <row r="199" spans="5:6" ht="26.25"/>
    <row r="200" spans="5:6" ht="26.25"/>
    <row r="201" spans="5:6" ht="26.25"/>
    <row r="202" spans="5:6" ht="26.25"/>
    <row r="203" spans="5:6" ht="26.25"/>
    <row r="204" spans="5:6" ht="26.25"/>
    <row r="205" spans="5:6" ht="26.25"/>
    <row r="206" spans="5:6" ht="26.25"/>
    <row r="207" spans="5:6" ht="26.25"/>
    <row r="208" spans="5:6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70" zoomScale="60" zoomScaleNormal="77" workbookViewId="0">
      <selection activeCell="F55" sqref="F5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374</v>
      </c>
      <c r="B2" s="262">
        <v>44780</v>
      </c>
      <c r="C2" s="348" t="s">
        <v>67</v>
      </c>
      <c r="D2" s="218">
        <v>0.82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40" t="s">
        <v>128</v>
      </c>
      <c r="B6" s="941"/>
      <c r="C6" s="942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493730</v>
      </c>
      <c r="F7" s="95">
        <v>519228</v>
      </c>
      <c r="G7" s="112">
        <f>F7-E7</f>
        <v>25498</v>
      </c>
      <c r="H7" s="99">
        <f>G7+'6'!H7</f>
        <v>182098</v>
      </c>
      <c r="I7" s="113">
        <f>'1'!I7</f>
        <v>12000</v>
      </c>
      <c r="J7" s="175">
        <f>H7/DAY(B2)</f>
        <v>26014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647436</v>
      </c>
      <c r="F8" s="114">
        <v>673353</v>
      </c>
      <c r="G8" s="115">
        <f>F8-E8</f>
        <v>25917</v>
      </c>
      <c r="H8" s="99">
        <f>G8+'6'!H8</f>
        <v>184766</v>
      </c>
      <c r="I8" s="116"/>
      <c r="J8" s="175">
        <f>H8/DAY(B2)</f>
        <v>26395.142857142859</v>
      </c>
      <c r="K8" s="172">
        <v>1715917</v>
      </c>
      <c r="L8" s="76">
        <v>1728480</v>
      </c>
      <c r="M8" s="87">
        <f>L8-K8</f>
        <v>12563</v>
      </c>
      <c r="N8" s="87"/>
      <c r="O8" s="71">
        <f>G8-G7</f>
        <v>419</v>
      </c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3316891</v>
      </c>
      <c r="F9" s="117">
        <v>3322535</v>
      </c>
      <c r="G9" s="112">
        <f>F9-E9</f>
        <v>5644</v>
      </c>
      <c r="H9" s="99">
        <f>G9+'6'!H9</f>
        <v>43469</v>
      </c>
      <c r="I9" s="124">
        <f>I7-J7</f>
        <v>-14014</v>
      </c>
      <c r="J9" s="175">
        <f>H9/DAY(B2)</f>
        <v>6209.8571428571431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1781753</v>
      </c>
      <c r="F10" s="117">
        <v>1800927</v>
      </c>
      <c r="G10" s="112">
        <f t="shared" ref="G10:G12" si="0">F10-E10</f>
        <v>19174</v>
      </c>
      <c r="H10" s="99">
        <f>G10+'6'!H10</f>
        <v>133769</v>
      </c>
      <c r="I10" s="282"/>
      <c r="J10" s="175">
        <f>H10/DAY(B2)</f>
        <v>19109.857142857141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40380</v>
      </c>
      <c r="F12" s="117">
        <v>40380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24818</v>
      </c>
      <c r="H13" s="99">
        <f>G13+'6'!H13</f>
        <v>178572.59999999986</v>
      </c>
      <c r="I13" s="120">
        <f>G7-G13</f>
        <v>680</v>
      </c>
      <c r="J13" s="175">
        <f>H13/DAY(B2)</f>
        <v>25510.371428571409</v>
      </c>
      <c r="K13" s="79"/>
      <c r="L13" s="66"/>
      <c r="N13" s="87"/>
      <c r="O13" s="71"/>
    </row>
    <row r="14" spans="1:15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'6'!F15</f>
        <v>2106942</v>
      </c>
      <c r="F15" s="469">
        <v>2108008</v>
      </c>
      <c r="G15" s="112">
        <f>(F15-E15)</f>
        <v>1066</v>
      </c>
      <c r="H15" s="99">
        <f>G15+'6'!H15</f>
        <v>7140</v>
      </c>
      <c r="I15" s="113">
        <f>'1'!I15</f>
        <v>800</v>
      </c>
      <c r="J15" s="175">
        <f>H15/DAY(B2)</f>
        <v>1020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-220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'6'!F18</f>
        <v>20</v>
      </c>
      <c r="F18" s="122">
        <v>24</v>
      </c>
      <c r="G18" s="119">
        <f>F18*10</f>
        <v>240</v>
      </c>
      <c r="H18" s="99">
        <f>G18+'6'!H18</f>
        <v>1120</v>
      </c>
      <c r="I18" s="113">
        <f>'1'!I18</f>
        <v>65</v>
      </c>
      <c r="J18" s="175">
        <f>H18/DAY(B2)</f>
        <v>160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'6'!F19</f>
        <v>162645</v>
      </c>
      <c r="F19" s="122">
        <v>162692</v>
      </c>
      <c r="G19" s="112">
        <f t="shared" ref="G19" si="1">F19-E19</f>
        <v>47</v>
      </c>
      <c r="H19" s="99">
        <f>G19+'6'!H19</f>
        <v>357</v>
      </c>
      <c r="I19" s="335"/>
      <c r="J19" s="175">
        <f>H19/DAY(B2)</f>
        <v>51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287</v>
      </c>
      <c r="H20" s="99">
        <f>G20+'6'!H20</f>
        <v>1477</v>
      </c>
      <c r="I20" s="336">
        <f>I18-J20</f>
        <v>-146</v>
      </c>
      <c r="J20" s="175">
        <f>H20/DAY(B2)</f>
        <v>211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25917</v>
      </c>
      <c r="F27" s="136">
        <v>9</v>
      </c>
      <c r="G27" s="137">
        <f>E27*F27</f>
        <v>233253</v>
      </c>
      <c r="H27" s="99">
        <f>G27+'6'!H27</f>
        <v>1662894</v>
      </c>
      <c r="I27" s="138"/>
      <c r="J27" s="175">
        <f>H27/DAY(B2)</f>
        <v>237556.28571428571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1066</v>
      </c>
      <c r="F28" s="136">
        <v>70</v>
      </c>
      <c r="G28" s="137">
        <f>E28*F28</f>
        <v>74620</v>
      </c>
      <c r="H28" s="99">
        <f>G28+'6'!H28</f>
        <v>499800</v>
      </c>
      <c r="I28" s="140"/>
      <c r="J28" s="175">
        <f>H28/DAY(B2)</f>
        <v>71400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G30+'6'!H30</f>
        <v>53907</v>
      </c>
      <c r="I30" s="140"/>
      <c r="J30" s="175">
        <f>H30/DAY(B2)</f>
        <v>7701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G31+'6'!H31</f>
        <v>89600</v>
      </c>
      <c r="I31" s="140"/>
      <c r="J31" s="175">
        <f>H31/DAY(B2)</f>
        <v>12800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334170</v>
      </c>
      <c r="H32" s="99">
        <f>G32+'6'!H32</f>
        <v>2306201</v>
      </c>
      <c r="I32" s="144"/>
      <c r="J32" s="175">
        <f>H32/DAY(B2)</f>
        <v>329457.28571428574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238713</v>
      </c>
      <c r="F35" s="145">
        <v>238713</v>
      </c>
      <c r="G35" s="112">
        <f t="shared" ref="G35:G46" si="3">F35-E35</f>
        <v>0</v>
      </c>
      <c r="H35" s="99">
        <f>G35+'6'!H35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220943</v>
      </c>
      <c r="F36" s="145">
        <v>221744</v>
      </c>
      <c r="G36" s="112">
        <f t="shared" si="3"/>
        <v>801</v>
      </c>
      <c r="H36" s="99">
        <f>G36+'6'!H36</f>
        <v>6214</v>
      </c>
      <c r="I36" s="95"/>
      <c r="J36" s="175">
        <f>H36/DAY(B2)</f>
        <v>887.71428571428567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322998.69</v>
      </c>
      <c r="F37" s="145">
        <v>322998.69</v>
      </c>
      <c r="G37" s="112">
        <f t="shared" si="3"/>
        <v>0</v>
      </c>
      <c r="H37" s="99">
        <f>G37+'6'!H37</f>
        <v>-0.30999999999767169</v>
      </c>
      <c r="I37" s="95"/>
      <c r="J37" s="175">
        <f>H37/DAY(B2)</f>
        <v>-4.4285714285381673E-2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470808</v>
      </c>
      <c r="F38" s="108">
        <v>473065</v>
      </c>
      <c r="G38" s="112">
        <f t="shared" si="3"/>
        <v>2257</v>
      </c>
      <c r="H38" s="99">
        <f>G38+'6'!H38</f>
        <v>15704</v>
      </c>
      <c r="I38" s="95"/>
      <c r="J38" s="175">
        <f>H38/DAY(B2)</f>
        <v>2243.4285714285716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591584</v>
      </c>
      <c r="F39" s="145">
        <v>591584</v>
      </c>
      <c r="G39" s="112">
        <f t="shared" si="3"/>
        <v>0</v>
      </c>
      <c r="H39" s="99">
        <f>G39+'6'!H39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111907.67</v>
      </c>
      <c r="F40" s="145">
        <v>112779</v>
      </c>
      <c r="G40" s="112">
        <f t="shared" si="3"/>
        <v>871.33000000000175</v>
      </c>
      <c r="H40" s="99">
        <f>G40+'6'!H40</f>
        <v>6003</v>
      </c>
      <c r="I40" s="95"/>
      <c r="J40" s="175">
        <f>H40/DAY(B2)</f>
        <v>857.57142857142856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227539</v>
      </c>
      <c r="F41" s="145">
        <v>230221</v>
      </c>
      <c r="G41" s="112">
        <f t="shared" si="3"/>
        <v>2682</v>
      </c>
      <c r="H41" s="99">
        <f>G41+'6'!H41</f>
        <v>18518</v>
      </c>
      <c r="I41" s="95"/>
      <c r="J41" s="175">
        <f>H41/DAY(B2)</f>
        <v>2645.4285714285716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752206</v>
      </c>
      <c r="F42" s="145">
        <v>752206</v>
      </c>
      <c r="G42" s="112">
        <f t="shared" si="3"/>
        <v>0</v>
      </c>
      <c r="H42" s="99">
        <f>G42+'6'!H42</f>
        <v>3842</v>
      </c>
      <c r="I42" s="95"/>
      <c r="J42" s="175">
        <f>H42/DAY(B2)</f>
        <v>548.85714285714289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407028</v>
      </c>
      <c r="F43" s="423">
        <v>407028</v>
      </c>
      <c r="G43" s="112">
        <f t="shared" si="3"/>
        <v>0</v>
      </c>
      <c r="H43" s="99">
        <f>G43+'6'!H43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6611.3300000000017</v>
      </c>
      <c r="H47" s="99">
        <f>G47+'6'!H47</f>
        <v>50280.69</v>
      </c>
      <c r="I47" s="95"/>
      <c r="J47" s="175">
        <f>H47/DAY(B2)</f>
        <v>7182.9557142857147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507569</v>
      </c>
      <c r="F49" s="145">
        <v>511904</v>
      </c>
      <c r="G49" s="112">
        <f t="shared" ref="G49:G58" si="4">F49-E49</f>
        <v>4335</v>
      </c>
      <c r="H49" s="99">
        <f>G49+'6'!H49</f>
        <v>29850</v>
      </c>
      <c r="I49" s="95"/>
      <c r="J49" s="175">
        <f>H49/DAY(B2)</f>
        <v>4264.2857142857147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289557</v>
      </c>
      <c r="F50" s="145">
        <v>290694</v>
      </c>
      <c r="G50" s="112">
        <f t="shared" si="4"/>
        <v>1137</v>
      </c>
      <c r="H50" s="99">
        <f>G50+'6'!H50</f>
        <v>7944</v>
      </c>
      <c r="I50" s="95"/>
      <c r="J50" s="175">
        <f>H50/DAY(B2)</f>
        <v>1134.8571428571429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15140</v>
      </c>
      <c r="F51" s="145">
        <v>16205</v>
      </c>
      <c r="G51" s="112">
        <f t="shared" si="4"/>
        <v>1065</v>
      </c>
      <c r="H51" s="99">
        <f>G51+'6'!H51</f>
        <v>7697</v>
      </c>
      <c r="I51" s="95"/>
      <c r="J51" s="175">
        <f>H51/DAY(B2)</f>
        <v>1099.5714285714287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59731</v>
      </c>
      <c r="F53" s="145">
        <v>64074</v>
      </c>
      <c r="G53" s="112">
        <f t="shared" si="4"/>
        <v>4343</v>
      </c>
      <c r="H53" s="99">
        <f>G53+'6'!H53</f>
        <v>30213</v>
      </c>
      <c r="I53" s="95"/>
      <c r="J53" s="175">
        <f>H53/DAY(B2)</f>
        <v>4316.1428571428569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90009</v>
      </c>
      <c r="F54" s="145">
        <v>90359</v>
      </c>
      <c r="G54" s="112">
        <f t="shared" si="4"/>
        <v>350</v>
      </c>
      <c r="H54" s="99">
        <f>G54+'6'!H54</f>
        <v>2416</v>
      </c>
      <c r="I54" s="95"/>
      <c r="J54" s="175">
        <f>H54/DAY(B2)</f>
        <v>345.14285714285717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382592</v>
      </c>
      <c r="F55" s="145">
        <v>386083</v>
      </c>
      <c r="G55" s="112">
        <f t="shared" si="4"/>
        <v>3491</v>
      </c>
      <c r="H55" s="99">
        <f>G55+'6'!H55</f>
        <v>23306</v>
      </c>
      <c r="I55" s="95"/>
      <c r="J55" s="175">
        <f>H55/DAY(B2)</f>
        <v>3329.4285714285716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123882</v>
      </c>
      <c r="F56" s="145">
        <v>123882</v>
      </c>
      <c r="G56" s="112">
        <f t="shared" si="4"/>
        <v>0</v>
      </c>
      <c r="H56" s="99">
        <f>G56+'6'!H56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245077</v>
      </c>
      <c r="F57" s="145">
        <v>248168</v>
      </c>
      <c r="G57" s="112">
        <f t="shared" si="4"/>
        <v>3091</v>
      </c>
      <c r="H57" s="99">
        <f>G57+'6'!H57</f>
        <v>21998</v>
      </c>
      <c r="I57" s="95"/>
      <c r="J57" s="175">
        <f>H57/DAY(B2)</f>
        <v>3142.5714285714284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50673</v>
      </c>
      <c r="F58" s="145">
        <v>50937</v>
      </c>
      <c r="G58" s="112">
        <f t="shared" si="4"/>
        <v>264</v>
      </c>
      <c r="H58" s="99">
        <f>G58+'6'!H58</f>
        <v>1828</v>
      </c>
      <c r="I58" s="95"/>
      <c r="J58" s="175">
        <f>H58/DAY(B2)</f>
        <v>261.14285714285717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18076</v>
      </c>
      <c r="H59" s="99">
        <f>G59+'6'!H59</f>
        <v>125251.76000000001</v>
      </c>
      <c r="I59" s="95">
        <f>G7-G60</f>
        <v>810.66999999999825</v>
      </c>
      <c r="J59" s="175">
        <f>H59/DAY(B2)</f>
        <v>17893.108571428573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24687.33</v>
      </c>
      <c r="H60" s="99">
        <f>G60+'6'!H60</f>
        <v>175532.45</v>
      </c>
      <c r="I60" s="95">
        <f>G13-G60</f>
        <v>130.66999999999825</v>
      </c>
      <c r="J60" s="175">
        <f>H60/DAY(B2)</f>
        <v>25076.064285714288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'6'!F62</f>
        <v>296901</v>
      </c>
      <c r="F62" s="122">
        <v>297045</v>
      </c>
      <c r="G62" s="112">
        <f t="shared" ref="G62:G63" si="5">F62-E62</f>
        <v>144</v>
      </c>
      <c r="H62" s="99">
        <f>G62+'6'!H62</f>
        <v>770</v>
      </c>
      <c r="I62" s="118"/>
      <c r="J62" s="175">
        <f>H62/DAY(B2)</f>
        <v>110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'6'!F63</f>
        <v>239952</v>
      </c>
      <c r="F63" s="122">
        <v>240058</v>
      </c>
      <c r="G63" s="112">
        <f t="shared" si="5"/>
        <v>106</v>
      </c>
      <c r="H63" s="99">
        <f>G63+'6'!H63</f>
        <v>925</v>
      </c>
      <c r="I63" s="118"/>
      <c r="J63" s="175">
        <f>H63/DAY(B2)</f>
        <v>132.14285714285714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'6'!F64</f>
        <v>0</v>
      </c>
      <c r="F64" s="122"/>
      <c r="G64" s="112">
        <f>G62+G63</f>
        <v>250</v>
      </c>
      <c r="H64" s="99">
        <f>G64+'6'!H64</f>
        <v>1695</v>
      </c>
      <c r="I64" s="118"/>
      <c r="J64" s="175">
        <f>H64/DAY(B2)</f>
        <v>242.14285714285714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'6'!F65</f>
        <v>455323</v>
      </c>
      <c r="F65" s="122">
        <v>455424</v>
      </c>
      <c r="G65" s="112">
        <f t="shared" ref="G65:G70" si="6">F65-E65</f>
        <v>101</v>
      </c>
      <c r="H65" s="99">
        <f>G65+'6'!H65</f>
        <v>714</v>
      </c>
      <c r="I65" s="118"/>
      <c r="J65" s="175">
        <f>H65/DAY(B2)</f>
        <v>102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'6'!F66</f>
        <v>111854</v>
      </c>
      <c r="F66" s="122">
        <v>111885</v>
      </c>
      <c r="G66" s="112">
        <f t="shared" si="6"/>
        <v>31</v>
      </c>
      <c r="H66" s="99">
        <f>G66+'6'!H66</f>
        <v>163</v>
      </c>
      <c r="I66" s="118"/>
      <c r="J66" s="175">
        <f>H66/DAY(B2)</f>
        <v>23.285714285714285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'6'!F67</f>
        <v>113680</v>
      </c>
      <c r="F67" s="150">
        <v>113680</v>
      </c>
      <c r="G67" s="112">
        <f t="shared" si="6"/>
        <v>0</v>
      </c>
      <c r="H67" s="99">
        <f>G67+'6'!H67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'6'!F68</f>
        <v>164786</v>
      </c>
      <c r="F68" s="122">
        <v>164821</v>
      </c>
      <c r="G68" s="112">
        <f t="shared" si="6"/>
        <v>35</v>
      </c>
      <c r="H68" s="99">
        <f>G68+'6'!H68</f>
        <v>159</v>
      </c>
      <c r="I68" s="118"/>
      <c r="J68" s="175">
        <f>H68/DAY(B2)</f>
        <v>22.714285714285715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'6'!F69</f>
        <v>12311</v>
      </c>
      <c r="F69" s="122">
        <v>12317</v>
      </c>
      <c r="G69" s="112">
        <f t="shared" si="6"/>
        <v>6</v>
      </c>
      <c r="H69" s="99">
        <f>G69+'6'!H69</f>
        <v>42</v>
      </c>
      <c r="I69" s="118"/>
      <c r="J69" s="175">
        <f>H69/DAY(B2)</f>
        <v>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'6'!F70</f>
        <v>9883</v>
      </c>
      <c r="F70" s="150">
        <v>9891</v>
      </c>
      <c r="G70" s="112">
        <f t="shared" si="6"/>
        <v>8</v>
      </c>
      <c r="H70" s="99">
        <f>G70+'6'!H70</f>
        <v>64</v>
      </c>
      <c r="I70" s="118"/>
      <c r="J70" s="175">
        <f>H70/DAY(B2)</f>
        <v>9.1428571428571423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181</v>
      </c>
      <c r="H71" s="99">
        <f>G71+'6'!H71</f>
        <v>1142</v>
      </c>
      <c r="I71" s="154"/>
      <c r="J71" s="175">
        <f>H71/DAY(B2)</f>
        <v>163.14285714285714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'6'!F74</f>
        <v>959424</v>
      </c>
      <c r="F74" s="123">
        <v>959783</v>
      </c>
      <c r="G74" s="112">
        <f t="shared" ref="G74:G78" si="7">F74-E74</f>
        <v>359</v>
      </c>
      <c r="H74" s="99">
        <f>G74+'6'!H74</f>
        <v>2125.140000000014</v>
      </c>
      <c r="I74" s="154"/>
      <c r="J74" s="175">
        <f>H74/DAY(B2)</f>
        <v>303.59142857143058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'6'!F75</f>
        <v>73586</v>
      </c>
      <c r="F75" s="123">
        <v>73586</v>
      </c>
      <c r="G75" s="112">
        <f t="shared" si="7"/>
        <v>0</v>
      </c>
      <c r="H75" s="99">
        <f>G75+'6'!H75</f>
        <v>-0.80000000000291038</v>
      </c>
      <c r="I75" s="154"/>
      <c r="J75" s="175">
        <f>H75/DAY(B2)</f>
        <v>-0.11428571428613006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'6'!F76</f>
        <v>190845</v>
      </c>
      <c r="F76" s="123">
        <v>190956</v>
      </c>
      <c r="G76" s="112">
        <f t="shared" si="7"/>
        <v>111</v>
      </c>
      <c r="H76" s="99">
        <f>G76+'6'!H76</f>
        <v>784</v>
      </c>
      <c r="I76" s="154"/>
      <c r="J76" s="175">
        <f>H76/DAY(B2)</f>
        <v>112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'6'!F77</f>
        <v>50595</v>
      </c>
      <c r="F77" s="123">
        <v>50642</v>
      </c>
      <c r="G77" s="112">
        <f t="shared" si="7"/>
        <v>47</v>
      </c>
      <c r="H77" s="99">
        <f>G77+'6'!H77</f>
        <v>329</v>
      </c>
      <c r="I77" s="154"/>
      <c r="J77" s="175">
        <f>H77/DAY(B2)</f>
        <v>47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'6'!F78</f>
        <v>9563.4</v>
      </c>
      <c r="F78" s="123">
        <v>9563.4</v>
      </c>
      <c r="G78" s="112">
        <f t="shared" si="7"/>
        <v>0</v>
      </c>
      <c r="H78" s="99">
        <f>G78+'6'!H78</f>
        <v>0.3999999999996362</v>
      </c>
      <c r="I78" s="118"/>
      <c r="J78" s="175">
        <f>H78/DAY(B2)</f>
        <v>5.7142857142805169E-2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'6'!F79</f>
        <v>0</v>
      </c>
      <c r="F79" s="123"/>
      <c r="G79" s="112">
        <f>G15-SUM(G74:G78)</f>
        <v>549</v>
      </c>
      <c r="H79" s="99">
        <f>G79+'6'!H79</f>
        <v>3902.2599999999893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1066</v>
      </c>
      <c r="H80" s="99">
        <f>G80+'6'!H80</f>
        <v>1066</v>
      </c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'6'!F84</f>
        <v>42663</v>
      </c>
      <c r="F84" s="164">
        <v>42677</v>
      </c>
      <c r="G84" s="112">
        <f t="shared" si="8"/>
        <v>14</v>
      </c>
      <c r="H84" s="99">
        <f>G84+'6'!H84</f>
        <v>88</v>
      </c>
      <c r="I84" s="571"/>
      <c r="J84" s="175">
        <f>H84/DAY(B2)</f>
        <v>12.571428571428571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'6'!F85</f>
        <v>5156.4799999999996</v>
      </c>
      <c r="F85" s="164">
        <v>5156.4799999999996</v>
      </c>
      <c r="G85" s="112">
        <f t="shared" si="8"/>
        <v>0</v>
      </c>
      <c r="H85" s="99">
        <f>G85+'6'!H85</f>
        <v>16.289999999999964</v>
      </c>
      <c r="I85" s="571"/>
      <c r="J85" s="175">
        <f>H85/DAY(B2)</f>
        <v>2.3271428571428521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'6'!F86</f>
        <v>45515</v>
      </c>
      <c r="F86" s="164">
        <v>45539</v>
      </c>
      <c r="G86" s="112">
        <f t="shared" si="8"/>
        <v>24</v>
      </c>
      <c r="H86" s="99">
        <f>G86+'6'!H86</f>
        <v>160</v>
      </c>
      <c r="I86" s="571"/>
      <c r="J86" s="175">
        <f>H86/DAY(B2)</f>
        <v>22.857142857142858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'6'!F87</f>
        <v>35457.43</v>
      </c>
      <c r="F87" s="164">
        <v>35457</v>
      </c>
      <c r="G87" s="112">
        <f t="shared" si="8"/>
        <v>-0.43000000000029104</v>
      </c>
      <c r="H87" s="99">
        <f>G87+'6'!H87</f>
        <v>-0.43000000000029104</v>
      </c>
      <c r="I87" s="553">
        <f>G84+G85+G86+G87</f>
        <v>37.569999999999709</v>
      </c>
      <c r="J87" s="175">
        <f>H87/DAY(B2)</f>
        <v>-6.1428571428613007E-2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'6'!F88</f>
        <v>24314</v>
      </c>
      <c r="F88" s="164">
        <v>24318.959999999999</v>
      </c>
      <c r="G88" s="112">
        <f t="shared" si="8"/>
        <v>4.9599999999991269</v>
      </c>
      <c r="H88" s="99">
        <f>G88+'6'!H88</f>
        <v>15.5</v>
      </c>
      <c r="I88" s="553"/>
      <c r="J88" s="175">
        <f>H88/DAY(B2)</f>
        <v>2.2142857142857144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'6'!F89</f>
        <v>27612.35</v>
      </c>
      <c r="F89" s="164">
        <v>27617</v>
      </c>
      <c r="G89" s="112">
        <f t="shared" si="8"/>
        <v>4.6500000000014552</v>
      </c>
      <c r="H89" s="99">
        <f>G89+'6'!H89</f>
        <v>50.389999999999418</v>
      </c>
      <c r="I89" s="553">
        <f>G88+G89</f>
        <v>9.6100000000005821</v>
      </c>
      <c r="J89" s="175">
        <f>H89/DAY(B2)</f>
        <v>7.1985714285713458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'6'!F90</f>
        <v>72674</v>
      </c>
      <c r="F90" s="164">
        <v>72685</v>
      </c>
      <c r="G90" s="112">
        <f t="shared" si="8"/>
        <v>11</v>
      </c>
      <c r="H90" s="99">
        <f>G90+'6'!H90</f>
        <v>78.44999999999709</v>
      </c>
      <c r="I90" s="553">
        <f>G90</f>
        <v>11</v>
      </c>
      <c r="J90" s="175">
        <f>H90/DAY(B2)</f>
        <v>11.207142857142442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'6'!F91</f>
        <v>4289.5600000000004</v>
      </c>
      <c r="F91" s="122">
        <v>4289.5600000000004</v>
      </c>
      <c r="G91" s="112">
        <f t="shared" si="8"/>
        <v>0</v>
      </c>
      <c r="H91" s="99">
        <f>G91+'6'!H91</f>
        <v>2.0000000000436557E-2</v>
      </c>
      <c r="I91" s="612"/>
      <c r="J91" s="175">
        <f>H91/DAY(B2)</f>
        <v>2.8571428572052226E-3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'6'!F92</f>
        <v>6780.56</v>
      </c>
      <c r="F92" s="122">
        <v>6793.45</v>
      </c>
      <c r="G92" s="112">
        <f t="shared" si="8"/>
        <v>12.889999999999418</v>
      </c>
      <c r="H92" s="99">
        <f>G92+'6'!H92</f>
        <v>76.119999999999891</v>
      </c>
      <c r="I92" s="613">
        <f>G91+G92</f>
        <v>12.889999999999418</v>
      </c>
      <c r="J92" s="175">
        <f>H92/DAY(B2)</f>
        <v>10.874285714285699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7426</v>
      </c>
      <c r="H94" s="99">
        <f>G94+'6'!H94</f>
        <v>51848</v>
      </c>
      <c r="I94" s="118"/>
      <c r="J94" s="175">
        <f>H94/DAY(B2)</f>
        <v>7406.8571428571431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0.29123852851204018</v>
      </c>
      <c r="H95" s="99">
        <f>G95+'6'!H95</f>
        <v>1.9947225586849715</v>
      </c>
      <c r="I95" s="167"/>
      <c r="J95" s="175">
        <f>H95/DAY(B2)</f>
        <v>0.28496036552642451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6173</v>
      </c>
      <c r="H96" s="99">
        <f>G96+'6'!H96</f>
        <v>45666</v>
      </c>
      <c r="I96" s="118"/>
      <c r="J96" s="175">
        <f>H96/DAY(B2)</f>
        <v>6523.7142857142853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0.24209741940544358</v>
      </c>
      <c r="H97" s="99">
        <f>G97+'6'!H97</f>
        <v>1.7543087276050164</v>
      </c>
      <c r="I97" s="167"/>
      <c r="J97" s="175">
        <f>H97/DAY(B2)</f>
        <v>0.25061553251500235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4343</v>
      </c>
      <c r="H98" s="99">
        <f>G98+'6'!H98</f>
        <v>30213</v>
      </c>
      <c r="I98" s="168"/>
      <c r="J98" s="175">
        <f>H98/DAY(B2)</f>
        <v>4316.1428571428569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0.1703270844772139</v>
      </c>
      <c r="H99" s="99">
        <f>G99+'6'!H99</f>
        <v>1.1627695889025902</v>
      </c>
      <c r="I99" s="168"/>
      <c r="J99" s="175">
        <f>H99/DAY(B2)</f>
        <v>0.16610994127179859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2257</v>
      </c>
      <c r="H100" s="99">
        <f>G100+'6'!H100</f>
        <v>15703.76</v>
      </c>
      <c r="I100" s="118"/>
      <c r="J100" s="175">
        <f>H100/DAY(B2)</f>
        <v>2243.3942857142856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8.8516746411483258E-2</v>
      </c>
      <c r="H101" s="99">
        <f>G101+'6'!H101</f>
        <v>0.60421301461004318</v>
      </c>
      <c r="I101" s="168"/>
      <c r="J101" s="175">
        <f>H101/DAY(B2)</f>
        <v>8.6316144944291878E-2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1938</v>
      </c>
      <c r="H102" s="99">
        <f>G102+'6'!H102</f>
        <v>14158</v>
      </c>
      <c r="I102" s="168"/>
      <c r="J102" s="175">
        <f>H102/DAY(B2)</f>
        <v>2022.5714285714287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7.6005961251862889E-2</v>
      </c>
      <c r="H103" s="99">
        <f>G103+'6'!H103</f>
        <v>0.54222961983672446</v>
      </c>
      <c r="I103" s="118"/>
      <c r="J103" s="175">
        <f>H103/DAY(B2)</f>
        <v>7.7461374262389207E-2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1065</v>
      </c>
      <c r="H104" s="99">
        <f>G104+'6'!H104</f>
        <v>7696.6900000000023</v>
      </c>
      <c r="I104" s="118"/>
      <c r="J104" s="175">
        <f>H104/DAY(B2)</f>
        <v>1099.5271428571432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4.1767981802494317E-2</v>
      </c>
      <c r="H105" s="99">
        <f>G105+'6'!H105</f>
        <v>0.29615089653603865</v>
      </c>
      <c r="I105" s="187"/>
      <c r="J105" s="188">
        <f>H105/DAY(B2)</f>
        <v>4.2307270933719811E-2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'6'!F112</f>
        <v>7700</v>
      </c>
      <c r="F112" s="237">
        <v>7772</v>
      </c>
      <c r="G112" s="112">
        <f t="shared" ref="G112:G123" si="9">F112-E112</f>
        <v>72</v>
      </c>
      <c r="H112" s="99">
        <f>G112+'6'!H112</f>
        <v>507</v>
      </c>
      <c r="I112" s="165"/>
      <c r="J112" s="328">
        <f>H112/DAY(B2)</f>
        <v>72.428571428571431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'6'!F113</f>
        <v>15851</v>
      </c>
      <c r="F113" s="237">
        <v>15986</v>
      </c>
      <c r="G113" s="112">
        <f t="shared" si="9"/>
        <v>135</v>
      </c>
      <c r="H113" s="99">
        <f>G113+'6'!H113</f>
        <v>971</v>
      </c>
      <c r="I113" s="165"/>
      <c r="J113" s="328">
        <f>H113/DAY(B2)</f>
        <v>138.71428571428572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'6'!F114</f>
        <v>22575</v>
      </c>
      <c r="F114" s="237">
        <v>22790</v>
      </c>
      <c r="G114" s="112">
        <f t="shared" si="9"/>
        <v>215</v>
      </c>
      <c r="H114" s="99">
        <f>G114+'6'!H114</f>
        <v>1522</v>
      </c>
      <c r="I114" s="165"/>
      <c r="J114" s="328">
        <f>H114/DAY(B2)</f>
        <v>217.42857142857142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'6'!F115</f>
        <v>14265</v>
      </c>
      <c r="F115" s="237">
        <v>14386</v>
      </c>
      <c r="G115" s="112">
        <f t="shared" si="9"/>
        <v>121</v>
      </c>
      <c r="H115" s="99">
        <f>G115+'6'!H115</f>
        <v>956</v>
      </c>
      <c r="I115" s="165"/>
      <c r="J115" s="328">
        <f>H115/DAY(B2)</f>
        <v>136.57142857142858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'6'!F116</f>
        <v>72720</v>
      </c>
      <c r="F116" s="237">
        <v>73110</v>
      </c>
      <c r="G116" s="112">
        <f t="shared" si="9"/>
        <v>390</v>
      </c>
      <c r="H116" s="99">
        <f>G116+'6'!H116</f>
        <v>2618</v>
      </c>
      <c r="I116" s="165"/>
      <c r="J116" s="328">
        <f>H116/DAY(B2)</f>
        <v>374</v>
      </c>
      <c r="Q116" s="898" t="s">
        <v>311</v>
      </c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'6'!F117</f>
        <v>42282</v>
      </c>
      <c r="F117" s="237">
        <v>42469</v>
      </c>
      <c r="G117" s="112">
        <f t="shared" si="9"/>
        <v>187</v>
      </c>
      <c r="H117" s="99">
        <f>G117+'6'!H117</f>
        <v>1547</v>
      </c>
      <c r="I117" s="165"/>
      <c r="J117" s="328">
        <f>H117/DAY(B2)</f>
        <v>221</v>
      </c>
      <c r="Q117" s="898" t="s">
        <v>312</v>
      </c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'6'!F118</f>
        <v>68225</v>
      </c>
      <c r="F118" s="237">
        <v>68775</v>
      </c>
      <c r="G118" s="112">
        <f t="shared" si="9"/>
        <v>550</v>
      </c>
      <c r="H118" s="99">
        <f>G118+'6'!H118</f>
        <v>4103</v>
      </c>
      <c r="I118" s="165"/>
      <c r="J118" s="328">
        <f>H118/DAY(B2)</f>
        <v>586.14285714285711</v>
      </c>
      <c r="Q118" s="898" t="s">
        <v>311</v>
      </c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'6'!F119</f>
        <v>38844</v>
      </c>
      <c r="F119" s="237">
        <v>39098</v>
      </c>
      <c r="G119" s="112">
        <f t="shared" si="9"/>
        <v>254</v>
      </c>
      <c r="H119" s="99">
        <f>G119+'6'!H119</f>
        <v>1649</v>
      </c>
      <c r="I119" s="165"/>
      <c r="J119" s="328">
        <f>H119/DAY(B2)</f>
        <v>235.57142857142858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'6'!F120</f>
        <v>48742</v>
      </c>
      <c r="F120" s="237">
        <v>49173</v>
      </c>
      <c r="G120" s="112">
        <f t="shared" si="9"/>
        <v>431</v>
      </c>
      <c r="H120" s="99">
        <f>G120+'6'!H120</f>
        <v>2906</v>
      </c>
      <c r="I120" s="165"/>
      <c r="J120" s="328">
        <f>H120/DAY(B2)</f>
        <v>415.14285714285717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'6'!F121</f>
        <v>56393</v>
      </c>
      <c r="F121" s="237">
        <v>56867</v>
      </c>
      <c r="G121" s="112">
        <f t="shared" si="9"/>
        <v>474</v>
      </c>
      <c r="H121" s="99">
        <f>G121+'6'!H121</f>
        <v>3324</v>
      </c>
      <c r="I121" s="165"/>
      <c r="J121" s="328">
        <f>H121/DAY(B2)</f>
        <v>474.85714285714283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'6'!F122</f>
        <v>30396</v>
      </c>
      <c r="F122" s="237">
        <v>30726</v>
      </c>
      <c r="G122" s="112">
        <f t="shared" si="9"/>
        <v>330</v>
      </c>
      <c r="H122" s="99">
        <f>G122+'6'!H122</f>
        <v>2052</v>
      </c>
      <c r="I122" s="165"/>
      <c r="J122" s="328">
        <f>H122/DAY(B2)</f>
        <v>293.14285714285717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'6'!F123</f>
        <v>32129</v>
      </c>
      <c r="F123" s="237">
        <v>32460</v>
      </c>
      <c r="G123" s="112">
        <f t="shared" si="9"/>
        <v>331</v>
      </c>
      <c r="H123" s="99">
        <f>G123+'6'!H123</f>
        <v>2272</v>
      </c>
      <c r="I123" s="165"/>
      <c r="J123" s="328">
        <f>H123/DAY(B2)</f>
        <v>324.57142857142856</v>
      </c>
    </row>
    <row r="124" spans="1:18" ht="29.25" customHeight="1">
      <c r="A124" s="902"/>
      <c r="B124" s="903"/>
      <c r="C124" s="904"/>
      <c r="D124" s="165"/>
      <c r="E124" s="165"/>
      <c r="F124" s="165"/>
      <c r="G124" s="327"/>
      <c r="H124" s="156"/>
      <c r="I124" s="165"/>
      <c r="J124" s="328"/>
    </row>
    <row r="125" spans="1:18" ht="25.5">
      <c r="A125" s="880" t="s">
        <v>196</v>
      </c>
      <c r="B125" s="881"/>
      <c r="C125" s="245"/>
      <c r="D125" s="307"/>
      <c r="E125" s="308"/>
      <c r="F125" s="308"/>
      <c r="G125" s="309">
        <f>SUM(G112:G124)</f>
        <v>3490</v>
      </c>
      <c r="H125" s="156"/>
      <c r="I125" s="327">
        <f>G125-(G39+G53)</f>
        <v>-853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'6'!F128</f>
        <v>130745</v>
      </c>
      <c r="F128" s="165">
        <v>131290</v>
      </c>
      <c r="G128" s="112">
        <f t="shared" ref="G128:G134" si="10">F128-E128</f>
        <v>545</v>
      </c>
      <c r="H128" s="99">
        <f>G128+'6'!H128</f>
        <v>3646</v>
      </c>
      <c r="I128" s="165"/>
      <c r="J128" s="328">
        <f>H128/DAY(B2)</f>
        <v>520.85714285714289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'6'!F129</f>
        <v>73714</v>
      </c>
      <c r="F129" s="165">
        <v>73951</v>
      </c>
      <c r="G129" s="112">
        <f t="shared" si="10"/>
        <v>237</v>
      </c>
      <c r="H129" s="99">
        <f>G129+'6'!H129</f>
        <v>1448</v>
      </c>
      <c r="I129" s="165"/>
      <c r="J129" s="328">
        <f>H129/DAY(B2)</f>
        <v>206.85714285714286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'6'!F130</f>
        <v>168761</v>
      </c>
      <c r="F130" s="165">
        <v>169471</v>
      </c>
      <c r="G130" s="112">
        <f t="shared" si="10"/>
        <v>710</v>
      </c>
      <c r="H130" s="99">
        <f>G130+'6'!H130</f>
        <v>4874</v>
      </c>
      <c r="I130" s="165"/>
      <c r="J130" s="328">
        <f>H130/DAY(B2)</f>
        <v>696.28571428571433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'6'!F131</f>
        <v>49566</v>
      </c>
      <c r="F131" s="165">
        <v>49722</v>
      </c>
      <c r="G131" s="112">
        <f t="shared" si="10"/>
        <v>156</v>
      </c>
      <c r="H131" s="99">
        <f>G131+'6'!H131</f>
        <v>1273</v>
      </c>
      <c r="I131" s="165"/>
      <c r="J131" s="328">
        <f>H131/DAY(B2)</f>
        <v>181.85714285714286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'6'!F132</f>
        <v>130586</v>
      </c>
      <c r="F132" s="165">
        <v>130997</v>
      </c>
      <c r="G132" s="112">
        <f t="shared" si="10"/>
        <v>411</v>
      </c>
      <c r="H132" s="99">
        <f>G132+'6'!H132</f>
        <v>2823</v>
      </c>
      <c r="I132" s="165"/>
      <c r="J132" s="328">
        <f>H132/DAY(B2)</f>
        <v>403.28571428571428</v>
      </c>
    </row>
    <row r="133" spans="1:15" ht="25.5">
      <c r="A133" s="898" t="s">
        <v>323</v>
      </c>
      <c r="B133" s="899"/>
      <c r="C133" s="900"/>
      <c r="D133" s="151" t="s">
        <v>183</v>
      </c>
      <c r="E133" s="95">
        <f>'6'!F133</f>
        <v>224036</v>
      </c>
      <c r="F133" s="165">
        <v>224036</v>
      </c>
      <c r="G133" s="112">
        <f t="shared" si="10"/>
        <v>0</v>
      </c>
      <c r="H133" s="99">
        <f>G133+'6'!H133</f>
        <v>0.41000000000349246</v>
      </c>
      <c r="I133" s="165"/>
      <c r="J133" s="328">
        <f>H133/DAY(B2)</f>
        <v>5.8571428571927493E-2</v>
      </c>
    </row>
    <row r="134" spans="1:15" ht="25.5">
      <c r="A134" s="898" t="s">
        <v>340</v>
      </c>
      <c r="B134" s="899"/>
      <c r="C134" s="900"/>
      <c r="D134" s="151" t="s">
        <v>183</v>
      </c>
      <c r="E134" s="95">
        <f>'6'!F134</f>
        <v>50270</v>
      </c>
      <c r="F134" s="165">
        <v>50485</v>
      </c>
      <c r="G134" s="112">
        <f t="shared" si="10"/>
        <v>215</v>
      </c>
      <c r="H134" s="99">
        <f>G134+'6'!H134</f>
        <v>1450</v>
      </c>
      <c r="I134" s="165"/>
      <c r="J134" s="328">
        <f>H134/DAY(B2)</f>
        <v>207.14285714285714</v>
      </c>
    </row>
    <row r="135" spans="1:15" ht="25.5">
      <c r="A135" s="880" t="s">
        <v>196</v>
      </c>
      <c r="B135" s="881"/>
      <c r="C135" s="331"/>
      <c r="D135" s="151"/>
      <c r="E135" s="95"/>
      <c r="F135" s="165"/>
      <c r="G135" s="112">
        <f>SUM(G128:G134)</f>
        <v>2274</v>
      </c>
      <c r="H135" s="99">
        <f>G135+'6'!H135</f>
        <v>15514.410000000003</v>
      </c>
      <c r="I135" s="327">
        <f>G135-(G35+G49)</f>
        <v>-2061</v>
      </c>
      <c r="J135" s="328">
        <f>H135/DAY(B2)</f>
        <v>2216.3442857142863</v>
      </c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'6'!F138</f>
        <v>891991</v>
      </c>
      <c r="F138" s="147">
        <v>892125</v>
      </c>
      <c r="G138" s="112">
        <f t="shared" ref="G138:G152" si="11">F138-E138</f>
        <v>134</v>
      </c>
      <c r="H138" s="99">
        <f>G138+'6'!H138</f>
        <v>1027</v>
      </c>
      <c r="I138" s="118"/>
      <c r="J138" s="328">
        <f>H138/DAY(B2)</f>
        <v>146.71428571428572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'6'!F139</f>
        <v>909817</v>
      </c>
      <c r="F139" s="148">
        <v>909950</v>
      </c>
      <c r="G139" s="112">
        <f t="shared" si="11"/>
        <v>133</v>
      </c>
      <c r="H139" s="99">
        <f>G139+'6'!H139</f>
        <v>1055</v>
      </c>
      <c r="I139" s="118"/>
      <c r="J139" s="328">
        <f>H139/DAY(B2)</f>
        <v>150.71428571428572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'6'!F140</f>
        <v>1603</v>
      </c>
      <c r="F140" s="149">
        <v>1617</v>
      </c>
      <c r="G140" s="112">
        <f t="shared" si="11"/>
        <v>14</v>
      </c>
      <c r="H140" s="99">
        <f>G140+'6'!H140</f>
        <v>104</v>
      </c>
      <c r="I140" s="118"/>
      <c r="J140" s="328">
        <f>H140/DAY(B2)</f>
        <v>14.857142857142858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'6'!F141</f>
        <v>91609</v>
      </c>
      <c r="F141" s="149">
        <v>91815</v>
      </c>
      <c r="G141" s="112">
        <f t="shared" si="11"/>
        <v>206</v>
      </c>
      <c r="H141" s="99">
        <f>G141+'6'!H141</f>
        <v>1363</v>
      </c>
      <c r="I141" s="118"/>
      <c r="J141" s="328">
        <f>H141/DAY(B2)</f>
        <v>194.71428571428572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'6'!F142</f>
        <v>37122</v>
      </c>
      <c r="F142" s="148">
        <v>37203</v>
      </c>
      <c r="G142" s="112">
        <f t="shared" si="11"/>
        <v>81</v>
      </c>
      <c r="H142" s="99">
        <f>G142+'6'!H142</f>
        <v>542</v>
      </c>
      <c r="I142" s="140"/>
      <c r="J142" s="328">
        <f>H142/DAY(B2)</f>
        <v>77.428571428571431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'6'!F143</f>
        <v>9205</v>
      </c>
      <c r="F143" s="149">
        <v>9230</v>
      </c>
      <c r="G143" s="112">
        <f t="shared" si="11"/>
        <v>25</v>
      </c>
      <c r="H143" s="99">
        <f>G143+'6'!H143</f>
        <v>179</v>
      </c>
      <c r="I143" s="140"/>
      <c r="J143" s="328">
        <f>H143/DAY(B2)</f>
        <v>25.571428571428573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'6'!F144</f>
        <v>921134</v>
      </c>
      <c r="F144" s="149">
        <v>921360</v>
      </c>
      <c r="G144" s="112">
        <f t="shared" si="11"/>
        <v>226</v>
      </c>
      <c r="H144" s="99">
        <f>G144+'6'!H144</f>
        <v>1523</v>
      </c>
      <c r="I144" s="140"/>
      <c r="J144" s="328">
        <f>H144/DAY(B2)</f>
        <v>217.57142857142858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'6'!F145</f>
        <v>6008</v>
      </c>
      <c r="F145" s="149">
        <v>6033</v>
      </c>
      <c r="G145" s="112">
        <f t="shared" si="11"/>
        <v>25</v>
      </c>
      <c r="H145" s="99">
        <f>G145+'6'!H145</f>
        <v>226</v>
      </c>
      <c r="I145" s="140"/>
      <c r="J145" s="328">
        <f>H145/DAY(B2)</f>
        <v>32.285714285714285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'6'!F146</f>
        <v>781314</v>
      </c>
      <c r="F146" s="148">
        <v>781389</v>
      </c>
      <c r="G146" s="112">
        <f t="shared" si="11"/>
        <v>75</v>
      </c>
      <c r="H146" s="99">
        <f>G146+'6'!H146</f>
        <v>589</v>
      </c>
      <c r="I146" s="140"/>
      <c r="J146" s="328">
        <f>H146/DAY(B2)</f>
        <v>84.142857142857139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'6'!F147</f>
        <v>702027</v>
      </c>
      <c r="F147" s="148">
        <v>702401</v>
      </c>
      <c r="G147" s="112">
        <f t="shared" si="11"/>
        <v>374</v>
      </c>
      <c r="H147" s="99">
        <f>G147+'6'!H147</f>
        <v>2632</v>
      </c>
      <c r="I147" s="140"/>
      <c r="J147" s="328">
        <f>H147/DAY(B2)</f>
        <v>376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'6'!F148</f>
        <v>750292</v>
      </c>
      <c r="F148" s="150">
        <v>750586</v>
      </c>
      <c r="G148" s="112">
        <f t="shared" si="11"/>
        <v>294</v>
      </c>
      <c r="H148" s="99">
        <f>G148+'6'!H148</f>
        <v>2056</v>
      </c>
      <c r="I148" s="124"/>
      <c r="J148" s="328">
        <f>H148/DAY(B2)</f>
        <v>293.71428571428572</v>
      </c>
    </row>
    <row r="149" spans="1:10" ht="25.5">
      <c r="A149" s="877" t="s">
        <v>336</v>
      </c>
      <c r="B149" s="878"/>
      <c r="C149" s="879"/>
      <c r="D149" s="227" t="s">
        <v>130</v>
      </c>
      <c r="E149" s="95">
        <f>'6'!F149</f>
        <v>135196</v>
      </c>
      <c r="F149" s="146">
        <v>135740</v>
      </c>
      <c r="G149" s="112">
        <f t="shared" si="11"/>
        <v>544</v>
      </c>
      <c r="H149" s="99">
        <f>G149+'6'!H149</f>
        <v>3306</v>
      </c>
      <c r="I149" s="119"/>
      <c r="J149" s="328">
        <f>H149/DAY(B2)</f>
        <v>472.28571428571428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'6'!F150</f>
        <v>51946</v>
      </c>
      <c r="F150" s="233">
        <v>52175</v>
      </c>
      <c r="G150" s="112">
        <f t="shared" si="11"/>
        <v>229</v>
      </c>
      <c r="H150" s="99">
        <f>G150+'6'!H150</f>
        <v>1560</v>
      </c>
      <c r="I150" s="119"/>
      <c r="J150" s="328">
        <f>H150/DAY(B2)</f>
        <v>222.85714285714286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'6'!F151</f>
        <v>137196</v>
      </c>
      <c r="F151" s="233">
        <v>137441</v>
      </c>
      <c r="G151" s="112">
        <f t="shared" si="11"/>
        <v>245</v>
      </c>
      <c r="H151" s="99">
        <f>G151+'6'!H151</f>
        <v>1992</v>
      </c>
      <c r="I151" s="119"/>
      <c r="J151" s="328">
        <f>H151/DAY(B2)</f>
        <v>284.57142857142856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'6'!F152</f>
        <v>23848</v>
      </c>
      <c r="F152" s="233">
        <v>23972</v>
      </c>
      <c r="G152" s="112">
        <f t="shared" si="11"/>
        <v>124</v>
      </c>
      <c r="H152" s="99">
        <f>G152+'6'!H152</f>
        <v>818</v>
      </c>
      <c r="I152" s="119"/>
      <c r="J152" s="328">
        <f>H152/DAY(B2)</f>
        <v>116.85714285714286</v>
      </c>
    </row>
    <row r="153" spans="1:10" ht="25.5">
      <c r="A153" s="880" t="s">
        <v>196</v>
      </c>
      <c r="B153" s="881"/>
      <c r="C153" s="365"/>
      <c r="D153" s="358"/>
      <c r="E153" s="360"/>
      <c r="F153" s="361"/>
      <c r="G153" s="362">
        <f>SUM(G138:G152)</f>
        <v>2729</v>
      </c>
      <c r="H153" s="363"/>
      <c r="I153" s="119" t="s">
        <v>207</v>
      </c>
      <c r="J153" s="366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95">
        <f>'6'!F155</f>
        <v>152122</v>
      </c>
      <c r="F155" s="374">
        <v>152774</v>
      </c>
      <c r="G155" s="112">
        <f t="shared" ref="G155:G158" si="12">F155-E155</f>
        <v>652</v>
      </c>
      <c r="H155" s="99">
        <f>G155+'6'!H155</f>
        <v>4625</v>
      </c>
      <c r="I155" s="364"/>
      <c r="J155" s="328">
        <f>H155/DAY(B2)</f>
        <v>660.71428571428567</v>
      </c>
    </row>
    <row r="156" spans="1:10" ht="25.5">
      <c r="A156" s="876" t="s">
        <v>346</v>
      </c>
      <c r="B156" s="876"/>
      <c r="C156" s="876"/>
      <c r="D156" s="117" t="s">
        <v>130</v>
      </c>
      <c r="E156" s="95">
        <f>'6'!F156</f>
        <v>15345</v>
      </c>
      <c r="F156" s="155">
        <v>15444</v>
      </c>
      <c r="G156" s="112">
        <f t="shared" si="12"/>
        <v>99</v>
      </c>
      <c r="H156" s="99">
        <f>G156+'6'!H156</f>
        <v>710</v>
      </c>
      <c r="I156" s="165"/>
      <c r="J156" s="328">
        <f>H156/DAY(B2)</f>
        <v>101.42857142857143</v>
      </c>
    </row>
    <row r="157" spans="1:10" ht="25.5">
      <c r="A157" s="877" t="s">
        <v>360</v>
      </c>
      <c r="B157" s="878"/>
      <c r="C157" s="879"/>
      <c r="D157" s="117" t="s">
        <v>130</v>
      </c>
      <c r="E157" s="95">
        <f>'6'!F157</f>
        <v>28325</v>
      </c>
      <c r="F157" s="155">
        <v>28466</v>
      </c>
      <c r="G157" s="112">
        <f t="shared" si="12"/>
        <v>141</v>
      </c>
      <c r="H157" s="99">
        <f>G157+'6'!H157</f>
        <v>1020</v>
      </c>
      <c r="I157" s="165"/>
      <c r="J157" s="328">
        <f>H157/DAY(B2)</f>
        <v>145.71428571428572</v>
      </c>
    </row>
    <row r="158" spans="1:10" ht="25.5">
      <c r="A158" s="877" t="s">
        <v>361</v>
      </c>
      <c r="B158" s="878"/>
      <c r="C158" s="879"/>
      <c r="D158" s="117" t="s">
        <v>130</v>
      </c>
      <c r="E158" s="95">
        <f>'6'!F158</f>
        <v>240</v>
      </c>
      <c r="F158" s="155">
        <v>240</v>
      </c>
      <c r="G158" s="112">
        <f t="shared" si="12"/>
        <v>0</v>
      </c>
      <c r="H158" s="99">
        <f>G158+'6'!H158</f>
        <v>151.57999999999998</v>
      </c>
      <c r="I158" s="165"/>
      <c r="J158" s="328">
        <f>H158/DAY(B2)</f>
        <v>21.654285714285713</v>
      </c>
    </row>
    <row r="159" spans="1:10" ht="25.5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480221</v>
      </c>
      <c r="F161" s="235">
        <v>480249</v>
      </c>
      <c r="G161" s="238">
        <f t="shared" ref="G161:G165" si="13">F161-E161</f>
        <v>28</v>
      </c>
      <c r="H161" s="99">
        <f>G161+'6'!H161</f>
        <v>196</v>
      </c>
      <c r="I161" s="236"/>
      <c r="J161" s="239">
        <f>H161/DAY(B2)</f>
        <v>28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95201</v>
      </c>
      <c r="F162" s="235">
        <v>95227</v>
      </c>
      <c r="G162" s="238">
        <f t="shared" si="13"/>
        <v>26</v>
      </c>
      <c r="H162" s="99">
        <f>G162+'6'!H162</f>
        <v>299</v>
      </c>
      <c r="I162" s="236"/>
      <c r="J162" s="239">
        <f>H162/DAY(B2)</f>
        <v>42.714285714285715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7168</v>
      </c>
      <c r="F163" s="235">
        <v>7247</v>
      </c>
      <c r="G163" s="238">
        <f t="shared" si="13"/>
        <v>79</v>
      </c>
      <c r="H163" s="99">
        <f>G163+'6'!H163</f>
        <v>746</v>
      </c>
      <c r="I163" s="236"/>
      <c r="J163" s="239">
        <f>H163/DAY(B2)</f>
        <v>106.57142857142857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6291</v>
      </c>
      <c r="F164" s="235">
        <v>6292</v>
      </c>
      <c r="G164" s="238">
        <f t="shared" si="13"/>
        <v>1</v>
      </c>
      <c r="H164" s="99">
        <f>G164+'6'!H164</f>
        <v>12</v>
      </c>
      <c r="I164" s="236"/>
      <c r="J164" s="239">
        <f>H164/DAY(B2)</f>
        <v>1.7142857142857142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31686</v>
      </c>
      <c r="F165" s="235">
        <v>31691</v>
      </c>
      <c r="G165" s="238">
        <f t="shared" si="13"/>
        <v>5</v>
      </c>
      <c r="H165" s="99">
        <f>G165+'6'!H165</f>
        <v>57</v>
      </c>
      <c r="I165" s="236"/>
      <c r="J165" s="239">
        <f>H165/DAY(B2)</f>
        <v>8.1428571428571423</v>
      </c>
    </row>
    <row r="166" spans="1:10" ht="25.5" customHeight="1">
      <c r="A166" s="885"/>
      <c r="B166" s="885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885"/>
      <c r="B167" s="885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885"/>
      <c r="B168" s="885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'6'!F173</f>
        <v>8247</v>
      </c>
      <c r="F173" s="155">
        <v>8247</v>
      </c>
      <c r="G173" s="155">
        <f>F173-E173</f>
        <v>0</v>
      </c>
      <c r="H173" s="99">
        <f>G173+'6'!H173</f>
        <v>12</v>
      </c>
      <c r="I173" s="155"/>
      <c r="J173" s="178">
        <f>H173/DAY(B2)</f>
        <v>1.7142857142857142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'6'!F174</f>
        <v>41286</v>
      </c>
      <c r="F174" s="157">
        <v>41298</v>
      </c>
      <c r="G174" s="155">
        <f t="shared" ref="G174:G175" si="14">F174-E174</f>
        <v>12</v>
      </c>
      <c r="H174" s="99">
        <f>G174+'6'!H174</f>
        <v>94</v>
      </c>
      <c r="I174" s="155"/>
      <c r="J174" s="178">
        <f>H174/DAY(B2)</f>
        <v>13.428571428571429</v>
      </c>
    </row>
    <row r="175" spans="1:10" ht="25.5">
      <c r="A175" s="891" t="s">
        <v>76</v>
      </c>
      <c r="B175" s="931"/>
      <c r="C175" s="892"/>
      <c r="D175" s="228" t="s">
        <v>142</v>
      </c>
      <c r="E175" s="95">
        <f>'6'!F175</f>
        <v>24103</v>
      </c>
      <c r="F175" s="155">
        <v>24115</v>
      </c>
      <c r="G175" s="155">
        <f t="shared" si="14"/>
        <v>12</v>
      </c>
      <c r="H175" s="99">
        <f>G175+'6'!H175</f>
        <v>84</v>
      </c>
      <c r="I175" s="155"/>
      <c r="J175" s="178">
        <f>H175/DAY(B2)</f>
        <v>12</v>
      </c>
    </row>
    <row r="176" spans="1:10" ht="25.5">
      <c r="A176" s="463" t="s">
        <v>196</v>
      </c>
      <c r="B176" s="464"/>
      <c r="C176" s="333"/>
      <c r="D176" s="228" t="s">
        <v>142</v>
      </c>
      <c r="E176" s="95"/>
      <c r="F176" s="155"/>
      <c r="G176" s="155">
        <f>SUM(G173:G175)</f>
        <v>24</v>
      </c>
      <c r="H176" s="99">
        <f>G176+'6'!H176</f>
        <v>190</v>
      </c>
      <c r="I176" s="155"/>
      <c r="J176" s="178">
        <f>H176/DAY(B2)</f>
        <v>27.142857142857142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'6'!F178</f>
        <v>98230</v>
      </c>
      <c r="F178" s="155">
        <v>98296</v>
      </c>
      <c r="G178" s="155">
        <f>F178-E178</f>
        <v>66</v>
      </c>
      <c r="H178" s="99">
        <f>G178+'6'!H178</f>
        <v>583</v>
      </c>
      <c r="I178" s="155"/>
      <c r="J178" s="178">
        <f>H178/DAY(B2)</f>
        <v>83.285714285714292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'6'!F179</f>
        <v>36002</v>
      </c>
      <c r="F179" s="155">
        <v>36002</v>
      </c>
      <c r="G179" s="155">
        <f t="shared" ref="G179:G180" si="15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'6'!F180</f>
        <v>7178</v>
      </c>
      <c r="F180" s="155">
        <v>7183</v>
      </c>
      <c r="G180" s="155">
        <f t="shared" si="15"/>
        <v>5</v>
      </c>
      <c r="H180" s="99">
        <f>G180+'6'!H180</f>
        <v>14</v>
      </c>
      <c r="I180" s="155"/>
      <c r="J180" s="178">
        <f>H180/DAY(B2)</f>
        <v>2</v>
      </c>
    </row>
    <row r="181" spans="1:10" ht="25.5">
      <c r="A181" s="893" t="s">
        <v>108</v>
      </c>
      <c r="B181" s="894"/>
      <c r="C181" s="333"/>
      <c r="D181" s="228" t="s">
        <v>142</v>
      </c>
      <c r="E181" s="95"/>
      <c r="F181" s="155"/>
      <c r="G181" s="155">
        <f>SUM(G178:G180)</f>
        <v>71</v>
      </c>
      <c r="H181" s="99">
        <f>G181+'6'!H181</f>
        <v>597</v>
      </c>
      <c r="I181" s="155"/>
      <c r="J181" s="178">
        <f>H181/DAY(B2)</f>
        <v>85.285714285714292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'6'!F183</f>
        <v>17519</v>
      </c>
      <c r="F183" s="157">
        <v>17527</v>
      </c>
      <c r="G183" s="157">
        <f>F183-E183</f>
        <v>8</v>
      </c>
      <c r="H183" s="99">
        <f>G183+'6'!H183</f>
        <v>54</v>
      </c>
      <c r="I183" s="155"/>
      <c r="J183" s="178">
        <f>H183/DAY(B2)</f>
        <v>7.7142857142857144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'6'!F184</f>
        <v>11979</v>
      </c>
      <c r="F184" s="157">
        <v>11987</v>
      </c>
      <c r="G184" s="157">
        <f t="shared" ref="G184:G185" si="16">F184-E184</f>
        <v>8</v>
      </c>
      <c r="H184" s="99">
        <f>G184+'6'!H184</f>
        <v>52</v>
      </c>
      <c r="I184" s="155"/>
      <c r="J184" s="178">
        <f>H184/DAY(B2)</f>
        <v>7.4285714285714288</v>
      </c>
    </row>
    <row r="185" spans="1:10" ht="25.5">
      <c r="A185" s="891" t="s">
        <v>216</v>
      </c>
      <c r="B185" s="892"/>
      <c r="C185" s="334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880" t="s">
        <v>196</v>
      </c>
      <c r="B186" s="881"/>
      <c r="C186" s="334"/>
      <c r="D186" s="228" t="s">
        <v>142</v>
      </c>
      <c r="E186" s="95"/>
      <c r="F186" s="157"/>
      <c r="G186" s="157">
        <f>SUM(G183:G185)</f>
        <v>16</v>
      </c>
      <c r="H186" s="99">
        <f>G186+'6'!H186</f>
        <v>106</v>
      </c>
      <c r="I186" s="157"/>
      <c r="J186" s="178">
        <f>H186/DAY(B2)</f>
        <v>15.142857142857142</v>
      </c>
    </row>
    <row r="187" spans="1:10" ht="25.5">
      <c r="A187" s="882" t="s">
        <v>217</v>
      </c>
      <c r="B187" s="883"/>
      <c r="C187" s="333"/>
      <c r="D187" s="228" t="s">
        <v>142</v>
      </c>
      <c r="E187" s="95"/>
      <c r="F187" s="159"/>
      <c r="G187" s="378">
        <f>G62+G19</f>
        <v>191</v>
      </c>
      <c r="H187" s="99">
        <f>G187+'6'!H187</f>
        <v>1127</v>
      </c>
      <c r="I187" s="158"/>
      <c r="J187" s="179">
        <f>H187/DAY(B2)</f>
        <v>161</v>
      </c>
    </row>
    <row r="188" spans="1:10" ht="25.5">
      <c r="A188" s="882" t="s">
        <v>218</v>
      </c>
      <c r="B188" s="883"/>
      <c r="C188" s="333"/>
      <c r="D188" s="230" t="s">
        <v>142</v>
      </c>
      <c r="E188" s="95"/>
      <c r="F188" s="159"/>
      <c r="G188" s="378">
        <f>G65+G66+G67+G69+G70</f>
        <v>146</v>
      </c>
      <c r="H188" s="99">
        <f>G188+'6'!H188</f>
        <v>983</v>
      </c>
      <c r="I188" s="158"/>
      <c r="J188" s="179">
        <f>H188/DAY(B2)</f>
        <v>140.42857142857142</v>
      </c>
    </row>
    <row r="189" spans="1:10" ht="25.5">
      <c r="A189" s="882" t="s">
        <v>219</v>
      </c>
      <c r="B189" s="883"/>
      <c r="C189" s="333"/>
      <c r="D189" s="230" t="s">
        <v>142</v>
      </c>
      <c r="E189" s="95"/>
      <c r="F189" s="157"/>
      <c r="G189" s="377">
        <f>G181</f>
        <v>71</v>
      </c>
      <c r="H189" s="99">
        <f>G189+'6'!H189</f>
        <v>597</v>
      </c>
      <c r="I189" s="158"/>
      <c r="J189" s="179">
        <f>H189/DAY(B2)</f>
        <v>85.285714285714292</v>
      </c>
    </row>
    <row r="190" spans="1:10" ht="25.5">
      <c r="A190" s="889"/>
      <c r="B190" s="890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55" zoomScale="55" zoomScaleSheetLayoutView="55" workbookViewId="0">
      <selection activeCell="F86" sqref="F8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6" s="57" customFormat="1" ht="23.25">
      <c r="A2" s="191" t="s">
        <v>354</v>
      </c>
      <c r="B2" s="262">
        <v>44781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  <c r="O6" s="65">
        <v>903668</v>
      </c>
    </row>
    <row r="7" spans="1:16" ht="27" thickBot="1">
      <c r="A7" s="194" t="s">
        <v>129</v>
      </c>
      <c r="B7" s="195"/>
      <c r="C7" s="195"/>
      <c r="D7" s="151" t="s">
        <v>130</v>
      </c>
      <c r="E7" s="95">
        <f>'7'!F7</f>
        <v>519228</v>
      </c>
      <c r="F7" s="95">
        <v>546055.15</v>
      </c>
      <c r="G7" s="112">
        <f>F7-E7</f>
        <v>26827.150000000023</v>
      </c>
      <c r="H7" s="99">
        <f>G7+'7'!H7</f>
        <v>208925.15000000002</v>
      </c>
      <c r="I7" s="113">
        <f>'1'!I7</f>
        <v>12000</v>
      </c>
      <c r="J7" s="175">
        <f>H7/DAY(B2)</f>
        <v>26115.643750000003</v>
      </c>
      <c r="K7" s="172">
        <v>1375467</v>
      </c>
      <c r="L7" s="66"/>
      <c r="N7" s="87" t="s">
        <v>373</v>
      </c>
      <c r="O7" s="71">
        <v>1028046.66</v>
      </c>
    </row>
    <row r="8" spans="1:16" ht="27" thickBot="1">
      <c r="A8" s="196" t="s">
        <v>131</v>
      </c>
      <c r="B8" s="197"/>
      <c r="C8" s="198"/>
      <c r="D8" s="224" t="s">
        <v>24</v>
      </c>
      <c r="E8" s="95">
        <f>'7'!F8</f>
        <v>673353</v>
      </c>
      <c r="F8" s="95">
        <v>700573.03</v>
      </c>
      <c r="G8" s="115">
        <f>F8-E8</f>
        <v>27220.030000000028</v>
      </c>
      <c r="H8" s="99">
        <f>G8+'7'!H8</f>
        <v>211986.03000000003</v>
      </c>
      <c r="I8" s="116"/>
      <c r="J8" s="175">
        <f>H8/DAY(B2)</f>
        <v>26498.253750000003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'7'!F9</f>
        <v>3322535</v>
      </c>
      <c r="F9" s="117">
        <v>3328840.1</v>
      </c>
      <c r="G9" s="112">
        <f>F9-E9</f>
        <v>6305.1000000000931</v>
      </c>
      <c r="H9" s="99">
        <f>G9+'7'!H9</f>
        <v>49774.100000000093</v>
      </c>
      <c r="I9" s="124">
        <f>I7-J7</f>
        <v>-14115.643750000003</v>
      </c>
      <c r="J9" s="175">
        <f>H9/DAY(B2)</f>
        <v>6221.7625000000116</v>
      </c>
      <c r="K9" s="79">
        <f>K8-100</f>
        <v>1715817</v>
      </c>
      <c r="L9" s="66"/>
      <c r="N9" s="87"/>
      <c r="O9" s="71">
        <f>G8-1160</f>
        <v>26060.030000000028</v>
      </c>
      <c r="P9" s="71">
        <f>G7-O9</f>
        <v>767.11999999999534</v>
      </c>
    </row>
    <row r="10" spans="1:16" ht="26.25">
      <c r="A10" s="194" t="s">
        <v>133</v>
      </c>
      <c r="B10" s="195"/>
      <c r="C10" s="195"/>
      <c r="D10" s="151" t="s">
        <v>130</v>
      </c>
      <c r="E10" s="95">
        <f>'7'!F10</f>
        <v>1800927</v>
      </c>
      <c r="F10" s="117">
        <v>1820733.7</v>
      </c>
      <c r="G10" s="112">
        <f t="shared" ref="G10:G12" si="0">F10-E10</f>
        <v>19806.699999999953</v>
      </c>
      <c r="H10" s="99">
        <f>G10+'7'!H10</f>
        <v>153575.69999999995</v>
      </c>
      <c r="I10" s="282"/>
      <c r="J10" s="175">
        <f>H10/DAY(B2)</f>
        <v>19196.962499999994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'7'!F12</f>
        <v>40380</v>
      </c>
      <c r="F12" s="117">
        <v>40380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26111.800000000047</v>
      </c>
      <c r="H13" s="99">
        <f>G13+'7'!H13</f>
        <v>204684.39999999991</v>
      </c>
      <c r="I13" s="120">
        <f>G7-G13</f>
        <v>715.34999999997672</v>
      </c>
      <c r="J13" s="175">
        <f>H13/DAY(B2)</f>
        <v>25585.549999999988</v>
      </c>
      <c r="K13" s="79"/>
      <c r="L13" s="66"/>
      <c r="N13" s="87"/>
      <c r="O13" s="71"/>
    </row>
    <row r="14" spans="1:16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'7'!F15</f>
        <v>2108008</v>
      </c>
      <c r="F15" s="469">
        <v>2109045</v>
      </c>
      <c r="G15" s="112">
        <f>(F15-E15)</f>
        <v>1037</v>
      </c>
      <c r="H15" s="99">
        <f>G15+'7'!H15</f>
        <v>8177</v>
      </c>
      <c r="I15" s="113">
        <f>'1'!I15</f>
        <v>800</v>
      </c>
      <c r="J15" s="175">
        <f>H15/DAY(B2)</f>
        <v>1022.125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-222.125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'7'!F18</f>
        <v>24</v>
      </c>
      <c r="F18" s="122">
        <v>16</v>
      </c>
      <c r="G18" s="119">
        <f>F18*10</f>
        <v>160</v>
      </c>
      <c r="H18" s="99">
        <f>G18+'7'!H18</f>
        <v>1280</v>
      </c>
      <c r="I18" s="113">
        <f>'1'!I18</f>
        <v>65</v>
      </c>
      <c r="J18" s="175">
        <f>H18/DAY(B2)</f>
        <v>160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'7'!F19</f>
        <v>162692</v>
      </c>
      <c r="F19" s="122">
        <v>162744</v>
      </c>
      <c r="G19" s="112">
        <f t="shared" ref="G19" si="1">F19-E19</f>
        <v>52</v>
      </c>
      <c r="H19" s="99">
        <f>G19+'7'!H19</f>
        <v>409</v>
      </c>
      <c r="I19" s="335"/>
      <c r="J19" s="175">
        <f>H19/DAY(B2)</f>
        <v>51.125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212</v>
      </c>
      <c r="H20" s="99">
        <f>G20+'7'!H20</f>
        <v>1689</v>
      </c>
      <c r="I20" s="336">
        <f>I18-J20</f>
        <v>-146.125</v>
      </c>
      <c r="J20" s="175">
        <f>H20/DAY(B2)</f>
        <v>211.125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2970</v>
      </c>
      <c r="F24" s="128">
        <v>2970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27220.030000000028</v>
      </c>
      <c r="F27" s="136">
        <v>9</v>
      </c>
      <c r="G27" s="137">
        <f>E27*F27</f>
        <v>244980.27000000025</v>
      </c>
      <c r="H27" s="99">
        <f>G27+'7'!H27</f>
        <v>1907874.2700000003</v>
      </c>
      <c r="I27" s="138"/>
      <c r="J27" s="175">
        <f>H27/DAY(B2)</f>
        <v>238484.28375000003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1037</v>
      </c>
      <c r="F28" s="136">
        <v>70</v>
      </c>
      <c r="G28" s="137">
        <f>E28*F28</f>
        <v>72590</v>
      </c>
      <c r="H28" s="99">
        <f>G28+'7'!H28</f>
        <v>572390</v>
      </c>
      <c r="I28" s="140"/>
      <c r="J28" s="175">
        <f>H28/DAY(B2)</f>
        <v>71548.75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G30+'7'!H30</f>
        <v>61759</v>
      </c>
      <c r="I30" s="140"/>
      <c r="J30" s="175">
        <f>H30/DAY(B2)</f>
        <v>7719.875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G31+'7'!H31</f>
        <v>102400</v>
      </c>
      <c r="I31" s="140"/>
      <c r="J31" s="175">
        <f>H31/DAY(B2)</f>
        <v>12800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338222.27000000025</v>
      </c>
      <c r="H32" s="99">
        <f>G32+'7'!H32</f>
        <v>2644423.2700000005</v>
      </c>
      <c r="I32" s="144"/>
      <c r="J32" s="175">
        <f>H32/DAY(B2)</f>
        <v>330552.90875000006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238713</v>
      </c>
      <c r="F35" s="145">
        <v>238713.05</v>
      </c>
      <c r="G35" s="112">
        <f t="shared" ref="G35:G46" si="3">F35-E35</f>
        <v>4.9999999988358468E-2</v>
      </c>
      <c r="H35" s="99">
        <f>G35+'7'!H35</f>
        <v>4.9999999988358468E-2</v>
      </c>
      <c r="I35" s="95"/>
      <c r="J35" s="175">
        <f>H35/DAY(B2)</f>
        <v>6.2499999985448085E-3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221744</v>
      </c>
      <c r="F36" s="145">
        <v>222605.95</v>
      </c>
      <c r="G36" s="112">
        <f t="shared" si="3"/>
        <v>861.95000000001164</v>
      </c>
      <c r="H36" s="99">
        <f>G36+'7'!H36</f>
        <v>7075.9500000000116</v>
      </c>
      <c r="I36" s="95"/>
      <c r="J36" s="175">
        <f>H36/DAY(B2)</f>
        <v>884.49375000000146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322998.69</v>
      </c>
      <c r="F37" s="145">
        <v>322998.69</v>
      </c>
      <c r="G37" s="112">
        <f t="shared" si="3"/>
        <v>0</v>
      </c>
      <c r="H37" s="99">
        <f>G37+'7'!H37</f>
        <v>-0.30999999999767169</v>
      </c>
      <c r="I37" s="95"/>
      <c r="J37" s="175">
        <f>H37/DAY(B2)</f>
        <v>-3.8749999999708962E-2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473065</v>
      </c>
      <c r="F38" s="108">
        <v>475371.35</v>
      </c>
      <c r="G38" s="112">
        <f t="shared" si="3"/>
        <v>2306.3499999999767</v>
      </c>
      <c r="H38" s="99">
        <f>G38+'7'!H38</f>
        <v>18010.349999999977</v>
      </c>
      <c r="I38" s="95"/>
      <c r="J38" s="175">
        <f>H38/DAY(B2)</f>
        <v>2251.2937499999971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591584</v>
      </c>
      <c r="F39" s="145">
        <v>591584.18999999994</v>
      </c>
      <c r="G39" s="112">
        <f t="shared" si="3"/>
        <v>0.18999999994412065</v>
      </c>
      <c r="H39" s="99">
        <f>G39+'7'!H39</f>
        <v>0.18999999994412065</v>
      </c>
      <c r="I39" s="95"/>
      <c r="J39" s="175">
        <f>H39/DAY(B2)</f>
        <v>2.3749999993015081E-2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112779</v>
      </c>
      <c r="F40" s="145">
        <v>113640.97</v>
      </c>
      <c r="G40" s="112">
        <f t="shared" si="3"/>
        <v>861.97000000000116</v>
      </c>
      <c r="H40" s="99">
        <f>G40+'7'!H40</f>
        <v>6864.9700000000012</v>
      </c>
      <c r="I40" s="95"/>
      <c r="J40" s="175">
        <f>H40/DAY(B2)</f>
        <v>858.12125000000015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230221</v>
      </c>
      <c r="F41" s="145">
        <v>230221.15</v>
      </c>
      <c r="G41" s="112">
        <f t="shared" si="3"/>
        <v>0.14999999999417923</v>
      </c>
      <c r="H41" s="99">
        <f>G41+'7'!H41</f>
        <v>18518.149999999994</v>
      </c>
      <c r="I41" s="95"/>
      <c r="J41" s="175">
        <f>H41/DAY(B2)</f>
        <v>2314.7687499999993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752206</v>
      </c>
      <c r="F42" s="145">
        <v>755463.51</v>
      </c>
      <c r="G42" s="112">
        <f t="shared" si="3"/>
        <v>3257.5100000000093</v>
      </c>
      <c r="H42" s="99">
        <f>G42+'7'!H42</f>
        <v>7099.5100000000093</v>
      </c>
      <c r="I42" s="95"/>
      <c r="J42" s="175">
        <f>H42/DAY(B2)</f>
        <v>887.43875000000116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407028</v>
      </c>
      <c r="F43" s="145">
        <v>407028</v>
      </c>
      <c r="G43" s="112">
        <f t="shared" si="3"/>
        <v>0</v>
      </c>
      <c r="H43" s="99">
        <f>G43+'7'!H43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7288.1699999999255</v>
      </c>
      <c r="H47" s="99">
        <f>G47+'7'!H47</f>
        <v>57568.859999999928</v>
      </c>
      <c r="I47" s="95"/>
      <c r="J47" s="175">
        <f>H47/DAY(B2)</f>
        <v>7196.107499999991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511904</v>
      </c>
      <c r="F49" s="145">
        <v>516230.43</v>
      </c>
      <c r="G49" s="112">
        <f t="shared" ref="G49:G58" si="4">F49-E49</f>
        <v>4326.429999999993</v>
      </c>
      <c r="H49" s="99">
        <f>G49+'7'!H49</f>
        <v>34176.429999999993</v>
      </c>
      <c r="I49" s="95"/>
      <c r="J49" s="175">
        <f>H49/DAY(B2)</f>
        <v>4272.0537499999991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290694</v>
      </c>
      <c r="F50" s="145">
        <v>292084.33</v>
      </c>
      <c r="G50" s="112">
        <f t="shared" si="4"/>
        <v>1390.3300000000163</v>
      </c>
      <c r="H50" s="99">
        <f>G50+'7'!H50</f>
        <v>9334.3300000000163</v>
      </c>
      <c r="I50" s="95"/>
      <c r="J50" s="175">
        <f>H50/DAY(B2)</f>
        <v>1166.791250000002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16205</v>
      </c>
      <c r="F51" s="145">
        <v>17297.150000000001</v>
      </c>
      <c r="G51" s="112">
        <f t="shared" si="4"/>
        <v>1092.1500000000015</v>
      </c>
      <c r="H51" s="99">
        <f>G51+'7'!H51</f>
        <v>8789.1500000000015</v>
      </c>
      <c r="I51" s="95"/>
      <c r="J51" s="175">
        <f>H51/DAY(B2)</f>
        <v>1098.6437500000002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64074</v>
      </c>
      <c r="F53" s="145">
        <v>68795.94</v>
      </c>
      <c r="G53" s="112">
        <f t="shared" si="4"/>
        <v>4721.9400000000023</v>
      </c>
      <c r="H53" s="99">
        <f>G53+'7'!H53</f>
        <v>34934.94</v>
      </c>
      <c r="I53" s="95"/>
      <c r="J53" s="175">
        <f>H53/DAY(B2)</f>
        <v>4366.8675000000003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90359</v>
      </c>
      <c r="F54" s="145">
        <v>90742.99</v>
      </c>
      <c r="G54" s="112">
        <f t="shared" si="4"/>
        <v>383.99000000000524</v>
      </c>
      <c r="H54" s="99">
        <f>G54+'7'!H54</f>
        <v>2799.9900000000052</v>
      </c>
      <c r="I54" s="95"/>
      <c r="J54" s="175">
        <f>H54/DAY(B2)</f>
        <v>349.99875000000065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386083</v>
      </c>
      <c r="F55" s="145">
        <v>389561.23</v>
      </c>
      <c r="G55" s="112">
        <f t="shared" si="4"/>
        <v>3478.2299999999814</v>
      </c>
      <c r="H55" s="99">
        <f>G55+'7'!H55</f>
        <v>26784.229999999981</v>
      </c>
      <c r="I55" s="95"/>
      <c r="J55" s="175">
        <f>H55/DAY(B2)</f>
        <v>3348.0287499999977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123882</v>
      </c>
      <c r="F56" s="145">
        <v>123882.39</v>
      </c>
      <c r="G56" s="112">
        <f t="shared" si="4"/>
        <v>0.38999999999941792</v>
      </c>
      <c r="H56" s="99">
        <f>G56+'7'!H56</f>
        <v>0.38999999999941792</v>
      </c>
      <c r="I56" s="95"/>
      <c r="J56" s="175">
        <f>H56/DAY(B2)</f>
        <v>4.874999999992724E-2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248168</v>
      </c>
      <c r="F57" s="145">
        <v>251165.81</v>
      </c>
      <c r="G57" s="112">
        <f t="shared" si="4"/>
        <v>2997.8099999999977</v>
      </c>
      <c r="H57" s="99">
        <f>G57+'7'!H57</f>
        <v>24995.809999999998</v>
      </c>
      <c r="I57" s="95"/>
      <c r="J57" s="175">
        <f>H57/DAY(B2)</f>
        <v>3124.4762499999997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50937</v>
      </c>
      <c r="F58" s="145">
        <v>51194.89</v>
      </c>
      <c r="G58" s="112">
        <f t="shared" si="4"/>
        <v>257.88999999999942</v>
      </c>
      <c r="H58" s="99">
        <f>G58+'7'!H58</f>
        <v>2085.8899999999994</v>
      </c>
      <c r="I58" s="95"/>
      <c r="J58" s="175">
        <f>H58/DAY(B2)</f>
        <v>260.73624999999993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18649.159999999996</v>
      </c>
      <c r="H59" s="99">
        <f>G59+'7'!H59</f>
        <v>143900.92000000001</v>
      </c>
      <c r="I59" s="95">
        <f>G7-G60</f>
        <v>889.82000000010157</v>
      </c>
      <c r="J59" s="175">
        <f>H59/DAY(B2)</f>
        <v>17987.615000000002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25937.329999999922</v>
      </c>
      <c r="H60" s="99">
        <f>G60+'7'!H60</f>
        <v>201469.77999999994</v>
      </c>
      <c r="I60" s="95">
        <f>G13-G60</f>
        <v>174.47000000012486</v>
      </c>
      <c r="J60" s="175">
        <f>H60/DAY(B2)</f>
        <v>25183.722499999993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'7'!F62</f>
        <v>297045</v>
      </c>
      <c r="F62" s="122">
        <v>297170</v>
      </c>
      <c r="G62" s="112">
        <f t="shared" ref="G62:G63" si="5">F62-E62</f>
        <v>125</v>
      </c>
      <c r="H62" s="99">
        <f>G62+'7'!H62</f>
        <v>895</v>
      </c>
      <c r="I62" s="118"/>
      <c r="J62" s="175">
        <f>H62/DAY(B2)</f>
        <v>111.875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'7'!F63</f>
        <v>240058</v>
      </c>
      <c r="F63" s="122">
        <v>240136</v>
      </c>
      <c r="G63" s="112">
        <f t="shared" si="5"/>
        <v>78</v>
      </c>
      <c r="H63" s="99">
        <f>G63+'7'!H63</f>
        <v>1003</v>
      </c>
      <c r="I63" s="118"/>
      <c r="J63" s="175">
        <f>H63/DAY(B2)</f>
        <v>125.375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'7'!F64</f>
        <v>0</v>
      </c>
      <c r="F64" s="122"/>
      <c r="G64" s="112">
        <f>G62+G63</f>
        <v>203</v>
      </c>
      <c r="H64" s="99">
        <f>G64+'7'!H64</f>
        <v>1898</v>
      </c>
      <c r="I64" s="118"/>
      <c r="J64" s="175">
        <f>H64/DAY(B2)</f>
        <v>237.25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'7'!F65</f>
        <v>455424</v>
      </c>
      <c r="F65" s="122">
        <v>455529</v>
      </c>
      <c r="G65" s="112">
        <f t="shared" ref="G65:G70" si="6">F65-E65</f>
        <v>105</v>
      </c>
      <c r="H65" s="99">
        <f>G65+'7'!H65</f>
        <v>819</v>
      </c>
      <c r="I65" s="118"/>
      <c r="J65" s="175">
        <f>H65/DAY(B2)</f>
        <v>102.375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'7'!F66</f>
        <v>111885</v>
      </c>
      <c r="F66" s="122">
        <v>111916</v>
      </c>
      <c r="G66" s="112">
        <f t="shared" si="6"/>
        <v>31</v>
      </c>
      <c r="H66" s="99">
        <f>G66+'7'!H66</f>
        <v>194</v>
      </c>
      <c r="I66" s="118"/>
      <c r="J66" s="175">
        <f>H66/DAY(B2)</f>
        <v>24.25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'7'!F67</f>
        <v>113680</v>
      </c>
      <c r="F67" s="122">
        <v>113680</v>
      </c>
      <c r="G67" s="112">
        <f t="shared" si="6"/>
        <v>0</v>
      </c>
      <c r="H67" s="99">
        <f>G67+'7'!H67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'7'!F68</f>
        <v>164821</v>
      </c>
      <c r="F68" s="122">
        <v>164860</v>
      </c>
      <c r="G68" s="112">
        <f t="shared" si="6"/>
        <v>39</v>
      </c>
      <c r="H68" s="99">
        <f>G68+'7'!H68</f>
        <v>198</v>
      </c>
      <c r="I68" s="118"/>
      <c r="J68" s="175">
        <f>H68/DAY(B2)</f>
        <v>24.75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'7'!F69</f>
        <v>12317</v>
      </c>
      <c r="F69" s="122">
        <v>12325</v>
      </c>
      <c r="G69" s="112">
        <f t="shared" si="6"/>
        <v>8</v>
      </c>
      <c r="H69" s="99">
        <f>G69+'7'!H69</f>
        <v>50</v>
      </c>
      <c r="I69" s="118"/>
      <c r="J69" s="175">
        <f>H69/DAY(B2)</f>
        <v>6.25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'7'!F70</f>
        <v>9891</v>
      </c>
      <c r="F70" s="122">
        <v>9899</v>
      </c>
      <c r="G70" s="112">
        <f t="shared" si="6"/>
        <v>8</v>
      </c>
      <c r="H70" s="99">
        <f>G70+'7'!H70</f>
        <v>72</v>
      </c>
      <c r="I70" s="118"/>
      <c r="J70" s="175">
        <f>H70/DAY(B2)</f>
        <v>9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191</v>
      </c>
      <c r="H71" s="99">
        <f>G71+'7'!H71</f>
        <v>1333</v>
      </c>
      <c r="I71" s="154"/>
      <c r="J71" s="175">
        <f>H71/DAY(B2)</f>
        <v>166.625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'7'!F74</f>
        <v>959783</v>
      </c>
      <c r="F74" s="123">
        <v>960085.82</v>
      </c>
      <c r="G74" s="112">
        <f t="shared" ref="G74:G78" si="7">F74-E74</f>
        <v>302.81999999994878</v>
      </c>
      <c r="H74" s="99">
        <f>G74+'7'!H74</f>
        <v>2427.9599999999627</v>
      </c>
      <c r="I74" s="154"/>
      <c r="J74" s="175">
        <f>H74/DAY(B2)</f>
        <v>303.49499999999534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'7'!F75</f>
        <v>73586</v>
      </c>
      <c r="F75" s="123">
        <v>73586.8</v>
      </c>
      <c r="G75" s="112">
        <f t="shared" si="7"/>
        <v>0.80000000000291038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'7'!F76</f>
        <v>190956</v>
      </c>
      <c r="F76" s="123">
        <v>191060.37</v>
      </c>
      <c r="G76" s="112">
        <f t="shared" si="7"/>
        <v>104.36999999999534</v>
      </c>
      <c r="H76" s="99">
        <f>G76+'7'!H76</f>
        <v>888.36999999999534</v>
      </c>
      <c r="I76" s="154"/>
      <c r="J76" s="175">
        <f>H76/DAY(B2)</f>
        <v>111.04624999999942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'7'!F77</f>
        <v>50642</v>
      </c>
      <c r="F77" s="123">
        <v>50691</v>
      </c>
      <c r="G77" s="112">
        <f t="shared" si="7"/>
        <v>49</v>
      </c>
      <c r="H77" s="99">
        <f>G77+'7'!H77</f>
        <v>378</v>
      </c>
      <c r="I77" s="154"/>
      <c r="J77" s="175">
        <f>H77/DAY(B2)</f>
        <v>47.25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'7'!F78</f>
        <v>9563.4</v>
      </c>
      <c r="F78" s="123">
        <v>9563.4</v>
      </c>
      <c r="G78" s="112">
        <f t="shared" si="7"/>
        <v>0</v>
      </c>
      <c r="H78" s="99">
        <f>G78+'7'!H78</f>
        <v>0.3999999999996362</v>
      </c>
      <c r="I78" s="118"/>
      <c r="J78" s="175">
        <f>H78/DAY(B2)</f>
        <v>4.9999999999954525E-2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'7'!F79</f>
        <v>0</v>
      </c>
      <c r="F79" s="117"/>
      <c r="G79" s="112">
        <f>G15-SUM(G74:G78)</f>
        <v>580.01000000005297</v>
      </c>
      <c r="H79" s="99">
        <f>G79+'7'!H79</f>
        <v>4482.2700000000423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1037</v>
      </c>
      <c r="H80" s="99"/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'7'!F84</f>
        <v>42677</v>
      </c>
      <c r="F84" s="164">
        <v>42677</v>
      </c>
      <c r="G84" s="112">
        <f t="shared" si="8"/>
        <v>0</v>
      </c>
      <c r="H84" s="99">
        <f>G84+'7'!H84</f>
        <v>88</v>
      </c>
      <c r="I84" s="571"/>
      <c r="J84" s="175">
        <f>H84/DAY(B2)</f>
        <v>11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'7'!F85</f>
        <v>5156.4799999999996</v>
      </c>
      <c r="F85" s="164">
        <v>5171.4399999999996</v>
      </c>
      <c r="G85" s="112">
        <f t="shared" si="8"/>
        <v>14.960000000000036</v>
      </c>
      <c r="H85" s="99">
        <f>G85+'7'!H85</f>
        <v>31.25</v>
      </c>
      <c r="I85" s="571"/>
      <c r="J85" s="175">
        <f>H85/DAY(B2)</f>
        <v>3.90625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'7'!F86</f>
        <v>45539</v>
      </c>
      <c r="F86" s="164">
        <v>45563</v>
      </c>
      <c r="G86" s="112">
        <f t="shared" si="8"/>
        <v>24</v>
      </c>
      <c r="H86" s="99">
        <f>G86+'7'!H86</f>
        <v>184</v>
      </c>
      <c r="I86" s="571"/>
      <c r="J86" s="175">
        <f>H86/DAY(B2)</f>
        <v>23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'7'!F87</f>
        <v>35457</v>
      </c>
      <c r="F87" s="164">
        <v>35457</v>
      </c>
      <c r="G87" s="112">
        <f t="shared" si="8"/>
        <v>0</v>
      </c>
      <c r="H87" s="99">
        <f>G87+'7'!H87</f>
        <v>-0.43000000000029104</v>
      </c>
      <c r="I87" s="553">
        <f>G84+G85+G86+G87</f>
        <v>38.960000000000036</v>
      </c>
      <c r="J87" s="175">
        <f>H87/DAY(B2)</f>
        <v>-5.375000000003638E-2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'7'!F88</f>
        <v>24318.959999999999</v>
      </c>
      <c r="F88" s="164">
        <v>24318.959999999999</v>
      </c>
      <c r="G88" s="112">
        <f t="shared" si="8"/>
        <v>0</v>
      </c>
      <c r="H88" s="99">
        <f>G88+'7'!H88</f>
        <v>15.5</v>
      </c>
      <c r="I88" s="553"/>
      <c r="J88" s="175">
        <f>H88/DAY(B2)</f>
        <v>1.9375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'7'!F89</f>
        <v>27617</v>
      </c>
      <c r="F89" s="164">
        <v>27625.48</v>
      </c>
      <c r="G89" s="112">
        <f t="shared" si="8"/>
        <v>8.4799999999995634</v>
      </c>
      <c r="H89" s="99">
        <f>G89+'7'!H89</f>
        <v>58.869999999998981</v>
      </c>
      <c r="I89" s="553">
        <f>G88+G89</f>
        <v>8.4799999999995634</v>
      </c>
      <c r="J89" s="175">
        <f>H89/DAY(B2)</f>
        <v>7.3587499999998727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'7'!F90</f>
        <v>72685</v>
      </c>
      <c r="F90" s="164">
        <v>72696.460000000006</v>
      </c>
      <c r="G90" s="112">
        <f t="shared" si="8"/>
        <v>11.460000000006403</v>
      </c>
      <c r="H90" s="99">
        <f>G90+'7'!H90</f>
        <v>89.910000000003492</v>
      </c>
      <c r="I90" s="553">
        <f>G90</f>
        <v>11.460000000006403</v>
      </c>
      <c r="J90" s="175">
        <f>H90/DAY(B2)</f>
        <v>11.238750000000437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'7'!F91</f>
        <v>4289.5600000000004</v>
      </c>
      <c r="F91" s="122">
        <v>4289.5600000000004</v>
      </c>
      <c r="G91" s="112">
        <f t="shared" si="8"/>
        <v>0</v>
      </c>
      <c r="H91" s="99">
        <f>G91+'7'!H91</f>
        <v>2.0000000000436557E-2</v>
      </c>
      <c r="I91" s="612"/>
      <c r="J91" s="175">
        <f>H91/DAY(B2)</f>
        <v>2.5000000000545697E-3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'7'!F92</f>
        <v>6793.45</v>
      </c>
      <c r="F92" s="122">
        <v>6803.9</v>
      </c>
      <c r="G92" s="112">
        <f t="shared" si="8"/>
        <v>10.449999999999818</v>
      </c>
      <c r="H92" s="99">
        <f>G92+'7'!H92</f>
        <v>86.569999999999709</v>
      </c>
      <c r="I92" s="613">
        <f>G91+G92</f>
        <v>10.449999999999818</v>
      </c>
      <c r="J92" s="175">
        <f>H92/DAY(B2)</f>
        <v>10.821249999999964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7324.289999999979</v>
      </c>
      <c r="H94" s="99">
        <f>G94+'7'!H94</f>
        <v>59172.289999999979</v>
      </c>
      <c r="I94" s="118"/>
      <c r="J94" s="175">
        <f>H94/DAY(B2)</f>
        <v>7396.5362499999974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0.27301781963421284</v>
      </c>
      <c r="H95" s="99">
        <f>G95+'7'!H95</f>
        <v>2.2677403783191843</v>
      </c>
      <c r="I95" s="167"/>
      <c r="J95" s="175">
        <f>H95/DAY(B2)</f>
        <v>0.28346754728989804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6736.2799999999843</v>
      </c>
      <c r="H96" s="99">
        <f>G96+'7'!H96</f>
        <v>52402.279999999984</v>
      </c>
      <c r="I96" s="118"/>
      <c r="J96" s="175">
        <f>H96/DAY(B2)</f>
        <v>6550.284999999998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0.25109935270798345</v>
      </c>
      <c r="H97" s="99">
        <f>G97+'7'!H97</f>
        <v>2.0054080803129999</v>
      </c>
      <c r="I97" s="167"/>
      <c r="J97" s="175">
        <f>H97/DAY(B2)</f>
        <v>0.25067601003912499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4722.1299999999464</v>
      </c>
      <c r="H98" s="99">
        <f>G98+'7'!H98</f>
        <v>34935.129999999946</v>
      </c>
      <c r="I98" s="168"/>
      <c r="J98" s="175">
        <f>H98/DAY(B2)</f>
        <v>4366.8912499999933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0.17602056125976639</v>
      </c>
      <c r="H99" s="99">
        <f>G99+'7'!H99</f>
        <v>1.3387901501623567</v>
      </c>
      <c r="I99" s="168"/>
      <c r="J99" s="175">
        <f>H99/DAY(B2)</f>
        <v>0.16734876877029459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2306.3499999999767</v>
      </c>
      <c r="H100" s="99">
        <f>G100+'7'!H100</f>
        <v>18010.109999999979</v>
      </c>
      <c r="I100" s="118"/>
      <c r="J100" s="175">
        <f>H100/DAY(B2)</f>
        <v>2251.2637499999973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8.5970742326336363E-2</v>
      </c>
      <c r="H101" s="99">
        <f>G101+'7'!H101</f>
        <v>0.69018375693637957</v>
      </c>
      <c r="I101" s="168"/>
      <c r="J101" s="175">
        <f>H101/DAY(B2)</f>
        <v>8.6272969617047446E-2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2252.2800000000279</v>
      </c>
      <c r="H102" s="99">
        <f>G102+'7'!H102</f>
        <v>16410.280000000028</v>
      </c>
      <c r="I102" s="168"/>
      <c r="J102" s="175">
        <f>H102/DAY(B2)</f>
        <v>2051.2850000000035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8.3955246830171151E-2</v>
      </c>
      <c r="H103" s="99">
        <f>G103+'7'!H103</f>
        <v>0.62618486666689566</v>
      </c>
      <c r="I103" s="118"/>
      <c r="J103" s="175">
        <f>H103/DAY(B2)</f>
        <v>7.8273108333361957E-2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1092.1500000000015</v>
      </c>
      <c r="H104" s="99">
        <f>G104+'7'!H104</f>
        <v>8788.8400000000038</v>
      </c>
      <c r="I104" s="118"/>
      <c r="J104" s="175">
        <f>H104/DAY(B2)</f>
        <v>1098.6050000000005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4.0710623379673225E-2</v>
      </c>
      <c r="H105" s="99">
        <f>G105+'7'!H105</f>
        <v>0.33686151991571189</v>
      </c>
      <c r="I105" s="187"/>
      <c r="J105" s="188">
        <f>H105/DAY(B2)</f>
        <v>4.2107689989463987E-2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'7'!F112</f>
        <v>7772</v>
      </c>
      <c r="F112" s="237">
        <v>7846.29</v>
      </c>
      <c r="G112" s="112">
        <f t="shared" ref="G112:G123" si="9">F112-E112</f>
        <v>74.289999999999964</v>
      </c>
      <c r="H112" s="99">
        <f>G112+'7'!H112</f>
        <v>581.29</v>
      </c>
      <c r="I112" s="165"/>
      <c r="J112" s="328">
        <f>H112/DAY(B2)</f>
        <v>72.661249999999995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'7'!F113</f>
        <v>15986</v>
      </c>
      <c r="F113" s="237">
        <v>16132.11</v>
      </c>
      <c r="G113" s="112">
        <f t="shared" si="9"/>
        <v>146.11000000000058</v>
      </c>
      <c r="H113" s="99">
        <f>G113+'7'!H113</f>
        <v>1117.1100000000006</v>
      </c>
      <c r="I113" s="165"/>
      <c r="J113" s="328">
        <f>H113/DAY(B2)</f>
        <v>139.63875000000007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'7'!F114</f>
        <v>22790</v>
      </c>
      <c r="F114" s="237">
        <v>23014.13</v>
      </c>
      <c r="G114" s="112">
        <f t="shared" si="9"/>
        <v>224.13000000000102</v>
      </c>
      <c r="H114" s="99">
        <f>G114+'7'!H114</f>
        <v>1746.130000000001</v>
      </c>
      <c r="I114" s="165"/>
      <c r="J114" s="328">
        <f>H114/DAY(B2)</f>
        <v>218.26625000000013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'7'!F115</f>
        <v>14386</v>
      </c>
      <c r="F115" s="237">
        <v>14557.65</v>
      </c>
      <c r="G115" s="112">
        <f t="shared" si="9"/>
        <v>171.64999999999964</v>
      </c>
      <c r="H115" s="99">
        <f>G115+'7'!H115</f>
        <v>1127.6499999999996</v>
      </c>
      <c r="I115" s="165"/>
      <c r="J115" s="328">
        <f>H115/DAY(B2)</f>
        <v>140.95624999999995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'7'!F116</f>
        <v>73110</v>
      </c>
      <c r="F116" s="237">
        <v>73593.27</v>
      </c>
      <c r="G116" s="112">
        <f t="shared" si="9"/>
        <v>483.27000000000407</v>
      </c>
      <c r="H116" s="99">
        <f>G116+'7'!H116</f>
        <v>3101.2700000000041</v>
      </c>
      <c r="I116" s="165"/>
      <c r="J116" s="328">
        <f>H116/DAY(B2)</f>
        <v>387.65875000000051</v>
      </c>
      <c r="Q116" s="898" t="s">
        <v>311</v>
      </c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'7'!F117</f>
        <v>42469</v>
      </c>
      <c r="F117" s="237">
        <v>42735.31</v>
      </c>
      <c r="G117" s="112">
        <f t="shared" si="9"/>
        <v>266.30999999999767</v>
      </c>
      <c r="H117" s="99">
        <f>G117+'7'!H117</f>
        <v>1813.3099999999977</v>
      </c>
      <c r="I117" s="165"/>
      <c r="J117" s="328">
        <f>H117/DAY(B2)</f>
        <v>226.66374999999971</v>
      </c>
      <c r="Q117" s="898" t="s">
        <v>312</v>
      </c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'7'!F118</f>
        <v>68775</v>
      </c>
      <c r="F118" s="237">
        <v>69441.86</v>
      </c>
      <c r="G118" s="112">
        <f t="shared" si="9"/>
        <v>666.86000000000058</v>
      </c>
      <c r="H118" s="99">
        <f>G118+'7'!H118</f>
        <v>4769.8600000000006</v>
      </c>
      <c r="I118" s="165"/>
      <c r="J118" s="328">
        <f>H118/DAY(B2)</f>
        <v>596.23250000000007</v>
      </c>
      <c r="Q118" s="898" t="s">
        <v>311</v>
      </c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'7'!F119</f>
        <v>39098</v>
      </c>
      <c r="F119" s="237">
        <v>39343.79</v>
      </c>
      <c r="G119" s="112">
        <f t="shared" si="9"/>
        <v>245.79000000000087</v>
      </c>
      <c r="H119" s="99">
        <f>G119+'7'!H119</f>
        <v>1894.7900000000009</v>
      </c>
      <c r="I119" s="165"/>
      <c r="J119" s="328">
        <f>H119/DAY(B2)</f>
        <v>236.84875000000011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'7'!F120</f>
        <v>49173</v>
      </c>
      <c r="F120" s="237">
        <v>49605.45</v>
      </c>
      <c r="G120" s="112">
        <f t="shared" si="9"/>
        <v>432.44999999999709</v>
      </c>
      <c r="H120" s="99">
        <f>G120+'7'!H120</f>
        <v>3338.4499999999971</v>
      </c>
      <c r="I120" s="165"/>
      <c r="J120" s="328">
        <f>H120/DAY(B2)</f>
        <v>417.30624999999964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'7'!F121</f>
        <v>56867</v>
      </c>
      <c r="F121" s="237">
        <v>57349.84</v>
      </c>
      <c r="G121" s="112">
        <f t="shared" si="9"/>
        <v>482.83999999999651</v>
      </c>
      <c r="H121" s="99">
        <f>G121+'7'!H121</f>
        <v>3806.8399999999965</v>
      </c>
      <c r="I121" s="165"/>
      <c r="J121" s="328">
        <f>H121/DAY(B2)</f>
        <v>475.85499999999956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'7'!F122</f>
        <v>30726</v>
      </c>
      <c r="F122" s="237">
        <v>31085.45</v>
      </c>
      <c r="G122" s="112">
        <f t="shared" si="9"/>
        <v>359.45000000000073</v>
      </c>
      <c r="H122" s="99">
        <f>G122+'7'!H122</f>
        <v>2411.4500000000007</v>
      </c>
      <c r="I122" s="165"/>
      <c r="J122" s="328">
        <f>H122/DAY(B2)</f>
        <v>301.43125000000009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'7'!F123</f>
        <v>32460</v>
      </c>
      <c r="F123" s="237">
        <v>32800.160000000003</v>
      </c>
      <c r="G123" s="112">
        <f t="shared" si="9"/>
        <v>340.16000000000349</v>
      </c>
      <c r="H123" s="99">
        <f>G123+'7'!H123</f>
        <v>2612.1600000000035</v>
      </c>
      <c r="I123" s="165"/>
      <c r="J123" s="328">
        <f>H123/DAY(B2)</f>
        <v>326.52000000000044</v>
      </c>
    </row>
    <row r="124" spans="1:18" ht="29.25" customHeight="1">
      <c r="A124" s="902"/>
      <c r="B124" s="903"/>
      <c r="C124" s="904"/>
      <c r="D124" s="165"/>
      <c r="E124" s="165"/>
      <c r="F124" s="165"/>
      <c r="G124" s="327"/>
      <c r="H124" s="156"/>
      <c r="I124" s="165"/>
      <c r="J124" s="327"/>
    </row>
    <row r="125" spans="1:18" ht="25.5">
      <c r="A125" s="880" t="s">
        <v>196</v>
      </c>
      <c r="B125" s="881"/>
      <c r="C125" s="245"/>
      <c r="D125" s="307"/>
      <c r="E125" s="308"/>
      <c r="F125" s="308"/>
      <c r="G125" s="309">
        <f>SUM(G112:G124)</f>
        <v>3893.3100000000022</v>
      </c>
      <c r="H125" s="156"/>
      <c r="I125" s="327">
        <f>G125-(G39+G53)</f>
        <v>-828.81999999994423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'7'!F128</f>
        <v>131290</v>
      </c>
      <c r="F128" s="165">
        <v>131841.39000000001</v>
      </c>
      <c r="G128" s="112">
        <f t="shared" ref="G128:G134" si="10">F128-E128</f>
        <v>551.39000000001397</v>
      </c>
      <c r="H128" s="99">
        <f>G128+'7'!H128</f>
        <v>4197.390000000014</v>
      </c>
      <c r="I128" s="165"/>
      <c r="J128" s="328">
        <f>H128/DAY(B2)</f>
        <v>524.67375000000175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'7'!F129</f>
        <v>73951</v>
      </c>
      <c r="F129" s="165">
        <v>74187.89</v>
      </c>
      <c r="G129" s="112">
        <f t="shared" si="10"/>
        <v>236.88999999999942</v>
      </c>
      <c r="H129" s="99">
        <f>G129+'7'!H129</f>
        <v>1684.8899999999994</v>
      </c>
      <c r="I129" s="165"/>
      <c r="J129" s="328">
        <f>H129/DAY(B2)</f>
        <v>210.61124999999993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'7'!F130</f>
        <v>169471</v>
      </c>
      <c r="F130" s="165">
        <v>170090.27</v>
      </c>
      <c r="G130" s="112">
        <f t="shared" si="10"/>
        <v>619.26999999998952</v>
      </c>
      <c r="H130" s="99">
        <f>G130+'7'!H130</f>
        <v>5493.2699999999895</v>
      </c>
      <c r="I130" s="165"/>
      <c r="J130" s="328">
        <f>H130/DAY(B2)</f>
        <v>686.65874999999869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'7'!F131</f>
        <v>49722</v>
      </c>
      <c r="F131" s="165">
        <v>49979.41</v>
      </c>
      <c r="G131" s="112">
        <f t="shared" si="10"/>
        <v>257.41000000000349</v>
      </c>
      <c r="H131" s="99">
        <f>G131+'7'!H131</f>
        <v>1530.4100000000035</v>
      </c>
      <c r="I131" s="165"/>
      <c r="J131" s="328">
        <f>H131/DAY(B2)</f>
        <v>191.30125000000044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'7'!F132</f>
        <v>130997</v>
      </c>
      <c r="F132" s="165">
        <v>131418.78</v>
      </c>
      <c r="G132" s="112">
        <f t="shared" si="10"/>
        <v>421.77999999999884</v>
      </c>
      <c r="H132" s="99">
        <f>G132+'7'!H132</f>
        <v>3244.7799999999988</v>
      </c>
      <c r="I132" s="165"/>
      <c r="J132" s="328">
        <f>H132/DAY(B2)</f>
        <v>405.59749999999985</v>
      </c>
    </row>
    <row r="133" spans="1:15" ht="25.5">
      <c r="A133" s="898" t="s">
        <v>323</v>
      </c>
      <c r="B133" s="899"/>
      <c r="C133" s="900"/>
      <c r="D133" s="151" t="s">
        <v>183</v>
      </c>
      <c r="E133" s="95">
        <f>'7'!F133</f>
        <v>224036</v>
      </c>
      <c r="F133" s="165">
        <v>224035.59</v>
      </c>
      <c r="G133" s="112">
        <f t="shared" si="10"/>
        <v>-0.41000000000349246</v>
      </c>
      <c r="H133" s="99">
        <f>G133+'7'!H133</f>
        <v>0</v>
      </c>
      <c r="I133" s="165"/>
      <c r="J133" s="328">
        <f>H133/DAY(B2)</f>
        <v>0</v>
      </c>
    </row>
    <row r="134" spans="1:15" ht="25.5">
      <c r="A134" s="898" t="s">
        <v>340</v>
      </c>
      <c r="B134" s="899"/>
      <c r="C134" s="900"/>
      <c r="D134" s="151" t="s">
        <v>183</v>
      </c>
      <c r="E134" s="95">
        <f>'7'!F134</f>
        <v>50485</v>
      </c>
      <c r="F134" s="165">
        <v>50702.22</v>
      </c>
      <c r="G134" s="112">
        <f t="shared" si="10"/>
        <v>217.22000000000116</v>
      </c>
      <c r="H134" s="99">
        <f>G134+'7'!H134</f>
        <v>1667.2200000000012</v>
      </c>
      <c r="I134" s="165"/>
      <c r="J134" s="328">
        <f>H134/DAY(B2)</f>
        <v>208.40250000000015</v>
      </c>
    </row>
    <row r="135" spans="1:15" ht="25.5">
      <c r="A135" s="880" t="s">
        <v>196</v>
      </c>
      <c r="B135" s="881"/>
      <c r="C135" s="331"/>
      <c r="D135" s="151"/>
      <c r="E135" s="95"/>
      <c r="F135" s="165"/>
      <c r="G135" s="112">
        <f>SUM(G128:G134)</f>
        <v>2303.5500000000029</v>
      </c>
      <c r="H135" s="99">
        <f>G135+'7'!H135</f>
        <v>17817.960000000006</v>
      </c>
      <c r="I135" s="327">
        <f>G135-(G35+G49)</f>
        <v>-2022.9299999999785</v>
      </c>
      <c r="J135" s="328">
        <f>H135/DAY(B2)</f>
        <v>2227.2450000000008</v>
      </c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'7'!F138</f>
        <v>892125</v>
      </c>
      <c r="F138" s="147">
        <v>892277</v>
      </c>
      <c r="G138" s="112">
        <f t="shared" ref="G138:G152" si="11">F138-E138</f>
        <v>152</v>
      </c>
      <c r="H138" s="99">
        <f>G138+'7'!H138</f>
        <v>1179</v>
      </c>
      <c r="I138" s="118"/>
      <c r="J138" s="328">
        <f>H138/DAY(B2)</f>
        <v>147.375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'7'!F139</f>
        <v>909950</v>
      </c>
      <c r="F139" s="148">
        <v>910116</v>
      </c>
      <c r="G139" s="112">
        <f t="shared" si="11"/>
        <v>166</v>
      </c>
      <c r="H139" s="99">
        <f>G139+'7'!H139</f>
        <v>1221</v>
      </c>
      <c r="I139" s="118"/>
      <c r="J139" s="328">
        <f>H139/DAY(B2)</f>
        <v>152.625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'7'!F140</f>
        <v>1617</v>
      </c>
      <c r="F140" s="149">
        <v>1632.89</v>
      </c>
      <c r="G140" s="112">
        <f t="shared" si="11"/>
        <v>15.8900000000001</v>
      </c>
      <c r="H140" s="99">
        <f>G140+'7'!H140</f>
        <v>119.8900000000001</v>
      </c>
      <c r="I140" s="118"/>
      <c r="J140" s="328">
        <f>H140/DAY(B2)</f>
        <v>14.986250000000013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'7'!F141</f>
        <v>91815</v>
      </c>
      <c r="F141" s="149">
        <v>92018.04</v>
      </c>
      <c r="G141" s="112">
        <f t="shared" si="11"/>
        <v>203.0399999999936</v>
      </c>
      <c r="H141" s="99">
        <f>G141+'7'!H141</f>
        <v>1566.0399999999936</v>
      </c>
      <c r="I141" s="118"/>
      <c r="J141" s="328">
        <f>H141/DAY(B2)</f>
        <v>195.7549999999992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'7'!F142</f>
        <v>37203</v>
      </c>
      <c r="F142" s="148">
        <v>37301.9</v>
      </c>
      <c r="G142" s="112">
        <f t="shared" si="11"/>
        <v>98.900000000001455</v>
      </c>
      <c r="H142" s="99">
        <f>G142+'7'!H142</f>
        <v>640.90000000000146</v>
      </c>
      <c r="I142" s="140"/>
      <c r="J142" s="328">
        <f>H142/DAY(B2)</f>
        <v>80.112500000000182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'7'!F143</f>
        <v>9230</v>
      </c>
      <c r="F143" s="149">
        <v>9257.19</v>
      </c>
      <c r="G143" s="112">
        <f t="shared" si="11"/>
        <v>27.190000000000509</v>
      </c>
      <c r="H143" s="99">
        <f>G143+'7'!H143</f>
        <v>206.19000000000051</v>
      </c>
      <c r="I143" s="140"/>
      <c r="J143" s="328">
        <f>H143/DAY(B2)</f>
        <v>25.773750000000064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'7'!F144</f>
        <v>921360</v>
      </c>
      <c r="F144" s="149">
        <v>921576</v>
      </c>
      <c r="G144" s="112">
        <f t="shared" si="11"/>
        <v>216</v>
      </c>
      <c r="H144" s="99">
        <f>G144+'7'!H144</f>
        <v>1739</v>
      </c>
      <c r="I144" s="140"/>
      <c r="J144" s="328">
        <f>H144/DAY(B2)</f>
        <v>217.375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'7'!F145</f>
        <v>6033</v>
      </c>
      <c r="F145" s="148">
        <v>6059.79</v>
      </c>
      <c r="G145" s="112">
        <f t="shared" si="11"/>
        <v>26.789999999999964</v>
      </c>
      <c r="H145" s="99">
        <f>G145+'7'!H145</f>
        <v>252.78999999999996</v>
      </c>
      <c r="I145" s="140"/>
      <c r="J145" s="328">
        <f>H145/DAY(B2)</f>
        <v>31.598749999999995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'7'!F146</f>
        <v>781389</v>
      </c>
      <c r="F146" s="148">
        <v>781462</v>
      </c>
      <c r="G146" s="112">
        <f t="shared" si="11"/>
        <v>73</v>
      </c>
      <c r="H146" s="99">
        <f>G146+'7'!H146</f>
        <v>662</v>
      </c>
      <c r="I146" s="140"/>
      <c r="J146" s="328">
        <f>H146/DAY(B2)</f>
        <v>82.75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'7'!F147</f>
        <v>702401</v>
      </c>
      <c r="F147" s="148">
        <v>702797.68</v>
      </c>
      <c r="G147" s="112">
        <f t="shared" si="11"/>
        <v>396.68000000005122</v>
      </c>
      <c r="H147" s="99">
        <f>G147+'7'!H147</f>
        <v>3028.6800000000512</v>
      </c>
      <c r="I147" s="140"/>
      <c r="J147" s="328">
        <f>H147/DAY(B2)</f>
        <v>378.5850000000064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'7'!F148</f>
        <v>750586</v>
      </c>
      <c r="F148" s="150">
        <v>750883.92</v>
      </c>
      <c r="G148" s="112">
        <f t="shared" si="11"/>
        <v>297.92000000004191</v>
      </c>
      <c r="H148" s="99">
        <f>G148+'7'!H148</f>
        <v>2353.9200000000419</v>
      </c>
      <c r="I148" s="124"/>
      <c r="J148" s="328">
        <f>H148/DAY(B2)</f>
        <v>294.24000000000524</v>
      </c>
    </row>
    <row r="149" spans="1:10" ht="25.5">
      <c r="A149" s="877" t="s">
        <v>336</v>
      </c>
      <c r="B149" s="878"/>
      <c r="C149" s="879"/>
      <c r="D149" s="227" t="s">
        <v>130</v>
      </c>
      <c r="E149" s="95">
        <f>'7'!F149</f>
        <v>135740</v>
      </c>
      <c r="F149" s="146">
        <v>136223.09</v>
      </c>
      <c r="G149" s="112">
        <f t="shared" si="11"/>
        <v>483.08999999999651</v>
      </c>
      <c r="H149" s="99">
        <f>G149+'7'!H149</f>
        <v>3789.0899999999965</v>
      </c>
      <c r="I149" s="119"/>
      <c r="J149" s="328">
        <f>H149/DAY(B2)</f>
        <v>473.63624999999956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'7'!F150</f>
        <v>52175</v>
      </c>
      <c r="F150" s="233">
        <v>52399.09</v>
      </c>
      <c r="G150" s="112">
        <f t="shared" si="11"/>
        <v>224.08999999999651</v>
      </c>
      <c r="H150" s="99">
        <f>G150+'7'!H150</f>
        <v>1784.0899999999965</v>
      </c>
      <c r="I150" s="119"/>
      <c r="J150" s="328">
        <f>H150/DAY(B2)</f>
        <v>223.01124999999956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'7'!F151</f>
        <v>137441</v>
      </c>
      <c r="F151" s="233">
        <v>137673</v>
      </c>
      <c r="G151" s="112">
        <f t="shared" si="11"/>
        <v>232</v>
      </c>
      <c r="H151" s="99">
        <f>G151+'7'!H151</f>
        <v>2224</v>
      </c>
      <c r="I151" s="119"/>
      <c r="J151" s="328">
        <f>H151/DAY(B2)</f>
        <v>278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'7'!F152</f>
        <v>23972</v>
      </c>
      <c r="F152" s="233">
        <v>24099.55</v>
      </c>
      <c r="G152" s="112">
        <f t="shared" si="11"/>
        <v>127.54999999999927</v>
      </c>
      <c r="H152" s="99">
        <f>G152+'7'!H152</f>
        <v>945.54999999999927</v>
      </c>
      <c r="I152" s="119"/>
      <c r="J152" s="328">
        <f>H152/DAY(B2)</f>
        <v>118.19374999999991</v>
      </c>
    </row>
    <row r="153" spans="1:10" ht="25.5">
      <c r="A153" s="880" t="s">
        <v>196</v>
      </c>
      <c r="B153" s="881"/>
      <c r="C153" s="365"/>
      <c r="D153" s="358"/>
      <c r="E153" s="360"/>
      <c r="F153" s="361"/>
      <c r="G153" s="362">
        <f>SUM(G138:G152)</f>
        <v>2740.1400000000813</v>
      </c>
      <c r="H153" s="363"/>
      <c r="I153" s="119">
        <f>G153-(G38+G52)</f>
        <v>433.79000000010456</v>
      </c>
      <c r="J153" s="366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95">
        <f>'7'!F155</f>
        <v>152774</v>
      </c>
      <c r="F155" s="374">
        <v>153441.1</v>
      </c>
      <c r="G155" s="112">
        <f t="shared" ref="G155:G158" si="12">F155-E155</f>
        <v>667.10000000000582</v>
      </c>
      <c r="H155" s="99">
        <f>G155+'7'!H155</f>
        <v>5292.1000000000058</v>
      </c>
      <c r="I155" s="364"/>
      <c r="J155" s="328">
        <f>H155/DAY(B2)</f>
        <v>661.51250000000073</v>
      </c>
    </row>
    <row r="156" spans="1:10" ht="25.5">
      <c r="A156" s="876" t="s">
        <v>346</v>
      </c>
      <c r="B156" s="876"/>
      <c r="C156" s="876"/>
      <c r="D156" s="117" t="s">
        <v>130</v>
      </c>
      <c r="E156" s="95">
        <f>'7'!F156</f>
        <v>15444</v>
      </c>
      <c r="F156" s="155">
        <v>15549.63</v>
      </c>
      <c r="G156" s="112">
        <f t="shared" si="12"/>
        <v>105.6299999999992</v>
      </c>
      <c r="H156" s="99">
        <f>G156+'7'!H156</f>
        <v>815.6299999999992</v>
      </c>
      <c r="I156" s="165"/>
      <c r="J156" s="328">
        <f>H156/DAY(B2)</f>
        <v>101.9537499999999</v>
      </c>
    </row>
    <row r="157" spans="1:10" ht="25.5">
      <c r="A157" s="877" t="s">
        <v>360</v>
      </c>
      <c r="B157" s="878"/>
      <c r="C157" s="879"/>
      <c r="D157" s="117" t="s">
        <v>130</v>
      </c>
      <c r="E157" s="95">
        <f>'7'!F157</f>
        <v>28466</v>
      </c>
      <c r="F157" s="155">
        <v>28616.1</v>
      </c>
      <c r="G157" s="112">
        <f t="shared" si="12"/>
        <v>150.09999999999854</v>
      </c>
      <c r="H157" s="99">
        <f>G157+'7'!H157</f>
        <v>1170.0999999999985</v>
      </c>
      <c r="I157" s="165"/>
      <c r="J157" s="328">
        <f>H157/DAY(B2)</f>
        <v>146.26249999999982</v>
      </c>
    </row>
    <row r="158" spans="1:10" ht="25.5">
      <c r="A158" s="877" t="s">
        <v>361</v>
      </c>
      <c r="B158" s="878"/>
      <c r="C158" s="879"/>
      <c r="D158" s="117" t="s">
        <v>130</v>
      </c>
      <c r="E158" s="95">
        <f>'7'!F158</f>
        <v>240</v>
      </c>
      <c r="F158" s="155">
        <v>240.42</v>
      </c>
      <c r="G158" s="112">
        <f t="shared" si="12"/>
        <v>0.41999999999998749</v>
      </c>
      <c r="H158" s="99">
        <f>G158+'7'!H158</f>
        <v>151.99999999999997</v>
      </c>
      <c r="I158" s="165"/>
      <c r="J158" s="328">
        <f>H158/DAY(B2)</f>
        <v>18.999999999999996</v>
      </c>
    </row>
    <row r="159" spans="1:10" ht="25.5">
      <c r="A159" s="962"/>
      <c r="B159" s="963"/>
      <c r="C159" s="964"/>
      <c r="D159" s="117"/>
      <c r="E159" s="95"/>
      <c r="F159" s="155"/>
      <c r="G159" s="112"/>
      <c r="H159" s="99"/>
      <c r="I159" s="165"/>
      <c r="J159" s="328"/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480249</v>
      </c>
      <c r="F161" s="235">
        <v>480278.04</v>
      </c>
      <c r="G161" s="238">
        <f t="shared" ref="G161:G165" si="13">F161-E161</f>
        <v>29.039999999979045</v>
      </c>
      <c r="H161" s="99">
        <f>G161+'7'!H161</f>
        <v>225.03999999997905</v>
      </c>
      <c r="I161" s="236"/>
      <c r="J161" s="239">
        <f>H161/DAY(B2)</f>
        <v>28.129999999997381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95227</v>
      </c>
      <c r="F162" s="235">
        <v>95268.5</v>
      </c>
      <c r="G162" s="238">
        <f t="shared" si="13"/>
        <v>41.5</v>
      </c>
      <c r="H162" s="99">
        <f>G162+'7'!H162</f>
        <v>340.5</v>
      </c>
      <c r="I162" s="236"/>
      <c r="J162" s="239">
        <f>H162/DAY(B2)</f>
        <v>42.5625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7247</v>
      </c>
      <c r="F163" s="235">
        <v>7405.7</v>
      </c>
      <c r="G163" s="238">
        <f t="shared" si="13"/>
        <v>158.69999999999982</v>
      </c>
      <c r="H163" s="99">
        <f>G163+'7'!H163</f>
        <v>904.69999999999982</v>
      </c>
      <c r="I163" s="236"/>
      <c r="J163" s="239">
        <f>H163/DAY(B2)</f>
        <v>113.08749999999998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6292</v>
      </c>
      <c r="F164" s="235">
        <v>6294.4</v>
      </c>
      <c r="G164" s="238">
        <f t="shared" si="13"/>
        <v>2.3999999999996362</v>
      </c>
      <c r="H164" s="99">
        <f>G164+'7'!H164</f>
        <v>14.399999999999636</v>
      </c>
      <c r="I164" s="236"/>
      <c r="J164" s="239">
        <f>H164/DAY(B2)</f>
        <v>1.7999999999999545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31691</v>
      </c>
      <c r="F165" s="235">
        <v>31699.21</v>
      </c>
      <c r="G165" s="238">
        <f t="shared" si="13"/>
        <v>8.2099999999991269</v>
      </c>
      <c r="H165" s="99">
        <f>G165+'7'!H165</f>
        <v>65.209999999999127</v>
      </c>
      <c r="I165" s="236"/>
      <c r="J165" s="239">
        <f>H165/DAY(B2)</f>
        <v>8.1512499999998909</v>
      </c>
    </row>
    <row r="166" spans="1:10" ht="26.25">
      <c r="A166" s="885"/>
      <c r="B166" s="885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885"/>
      <c r="B167" s="885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885"/>
      <c r="B168" s="885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'7'!F173</f>
        <v>8247</v>
      </c>
      <c r="F173" s="155">
        <v>8247</v>
      </c>
      <c r="G173" s="155">
        <f>F173-E173</f>
        <v>0</v>
      </c>
      <c r="H173" s="99">
        <f>G173+'7'!H173</f>
        <v>12</v>
      </c>
      <c r="I173" s="155"/>
      <c r="J173" s="178">
        <f>H173/DAY(B2)</f>
        <v>1.5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'7'!F174</f>
        <v>41298</v>
      </c>
      <c r="F174" s="157">
        <v>41312</v>
      </c>
      <c r="G174" s="155">
        <f t="shared" ref="G174:G175" si="14">F174-E174</f>
        <v>14</v>
      </c>
      <c r="H174" s="99">
        <f>G174+'7'!H174</f>
        <v>108</v>
      </c>
      <c r="I174" s="155"/>
      <c r="J174" s="178">
        <f>H174/DAY(B2)</f>
        <v>13.5</v>
      </c>
    </row>
    <row r="175" spans="1:10" ht="25.5">
      <c r="A175" s="891" t="s">
        <v>76</v>
      </c>
      <c r="B175" s="931"/>
      <c r="C175" s="892"/>
      <c r="D175" s="228" t="s">
        <v>142</v>
      </c>
      <c r="E175" s="95">
        <f>'7'!F175</f>
        <v>24115</v>
      </c>
      <c r="F175" s="155">
        <v>24126</v>
      </c>
      <c r="G175" s="155">
        <f t="shared" si="14"/>
        <v>11</v>
      </c>
      <c r="H175" s="99">
        <f>G175+'7'!H175</f>
        <v>95</v>
      </c>
      <c r="I175" s="155"/>
      <c r="J175" s="178">
        <f>H175/DAY(B2)</f>
        <v>11.875</v>
      </c>
    </row>
    <row r="176" spans="1:10" ht="25.5">
      <c r="A176" s="880" t="s">
        <v>196</v>
      </c>
      <c r="B176" s="881"/>
      <c r="C176" s="333"/>
      <c r="D176" s="228" t="s">
        <v>142</v>
      </c>
      <c r="E176" s="95"/>
      <c r="F176" s="155"/>
      <c r="G176" s="155">
        <f>SUM(G173:G175)</f>
        <v>25</v>
      </c>
      <c r="H176" s="99">
        <f>G176+'7'!H176</f>
        <v>215</v>
      </c>
      <c r="I176" s="155"/>
      <c r="J176" s="178">
        <f>H176/DAY(B2)</f>
        <v>26.875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'7'!F178</f>
        <v>98296</v>
      </c>
      <c r="F178" s="157">
        <v>98358</v>
      </c>
      <c r="G178" s="155">
        <f>F178-E178</f>
        <v>62</v>
      </c>
      <c r="H178" s="99">
        <f>G178+'7'!H178</f>
        <v>645</v>
      </c>
      <c r="I178" s="155"/>
      <c r="J178" s="178">
        <f>H178/DAY(B2)</f>
        <v>80.625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'7'!F179</f>
        <v>36002</v>
      </c>
      <c r="F179" s="155">
        <v>36002</v>
      </c>
      <c r="G179" s="155">
        <f t="shared" ref="G179:G180" si="15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v>7176</v>
      </c>
      <c r="F180" s="155">
        <v>7176</v>
      </c>
      <c r="G180" s="155">
        <f t="shared" si="15"/>
        <v>0</v>
      </c>
      <c r="H180" s="99">
        <f>G180+'7'!H180</f>
        <v>14</v>
      </c>
      <c r="I180" s="155"/>
      <c r="J180" s="178">
        <f>H180/DAY(B2)</f>
        <v>1.75</v>
      </c>
    </row>
    <row r="181" spans="1:10" ht="25.5">
      <c r="A181" s="893" t="s">
        <v>108</v>
      </c>
      <c r="B181" s="894"/>
      <c r="C181" s="333"/>
      <c r="D181" s="228" t="s">
        <v>142</v>
      </c>
      <c r="E181" s="95"/>
      <c r="F181" s="155"/>
      <c r="G181" s="155">
        <f>SUM(G178:G180)</f>
        <v>62</v>
      </c>
      <c r="H181" s="99">
        <f>G181+'7'!H181</f>
        <v>659</v>
      </c>
      <c r="I181" s="155"/>
      <c r="J181" s="178">
        <f>H181/DAY(B2)</f>
        <v>82.375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'7'!F183</f>
        <v>17527</v>
      </c>
      <c r="F183" s="157">
        <v>17536</v>
      </c>
      <c r="G183" s="157">
        <f>F183-E183</f>
        <v>9</v>
      </c>
      <c r="H183" s="99">
        <f>G183+'7'!H183</f>
        <v>63</v>
      </c>
      <c r="I183" s="155"/>
      <c r="J183" s="178">
        <f>H183/DAY(B2)</f>
        <v>7.875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'7'!F184</f>
        <v>11987</v>
      </c>
      <c r="F184" s="157">
        <v>11993</v>
      </c>
      <c r="G184" s="157">
        <f t="shared" ref="G184:G185" si="16">F184-E184</f>
        <v>6</v>
      </c>
      <c r="H184" s="99">
        <f>G184+'7'!H184</f>
        <v>58</v>
      </c>
      <c r="I184" s="155"/>
      <c r="J184" s="178">
        <f>H184/DAY(B2)</f>
        <v>7.25</v>
      </c>
    </row>
    <row r="185" spans="1:10" ht="25.5">
      <c r="A185" s="891" t="s">
        <v>216</v>
      </c>
      <c r="B185" s="892"/>
      <c r="C185" s="334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880" t="s">
        <v>196</v>
      </c>
      <c r="B186" s="881"/>
      <c r="C186" s="334"/>
      <c r="D186" s="228" t="s">
        <v>142</v>
      </c>
      <c r="E186" s="95"/>
      <c r="F186" s="157"/>
      <c r="G186" s="157">
        <f>SUM(G183:G185)</f>
        <v>15</v>
      </c>
      <c r="H186" s="99">
        <f>G186+'7'!H186</f>
        <v>121</v>
      </c>
      <c r="I186" s="157"/>
      <c r="J186" s="178">
        <f>H186/DAY(B2)</f>
        <v>15.125</v>
      </c>
    </row>
    <row r="187" spans="1:10" ht="25.5">
      <c r="A187" s="882" t="s">
        <v>217</v>
      </c>
      <c r="B187" s="883"/>
      <c r="C187" s="333"/>
      <c r="D187" s="230" t="s">
        <v>142</v>
      </c>
      <c r="E187" s="95"/>
      <c r="F187" s="159"/>
      <c r="G187" s="159">
        <f>G62+G19</f>
        <v>177</v>
      </c>
      <c r="H187" s="99">
        <f>G187+'7'!H187</f>
        <v>1304</v>
      </c>
      <c r="I187" s="158"/>
      <c r="J187" s="179">
        <f>H187/DAY(B2)</f>
        <v>163</v>
      </c>
    </row>
    <row r="188" spans="1:10" ht="25.5">
      <c r="A188" s="882" t="s">
        <v>218</v>
      </c>
      <c r="B188" s="883"/>
      <c r="C188" s="333"/>
      <c r="D188" s="230" t="s">
        <v>142</v>
      </c>
      <c r="E188" s="95"/>
      <c r="F188" s="159"/>
      <c r="G188" s="159">
        <f>G65+G66+G67+G69+G70</f>
        <v>152</v>
      </c>
      <c r="H188" s="99">
        <f>G188+'7'!H188</f>
        <v>1135</v>
      </c>
      <c r="I188" s="158"/>
      <c r="J188" s="179">
        <f>H188/DAY(B2)</f>
        <v>141.875</v>
      </c>
    </row>
    <row r="189" spans="1:10" ht="25.5">
      <c r="A189" s="882" t="s">
        <v>219</v>
      </c>
      <c r="B189" s="883"/>
      <c r="C189" s="333"/>
      <c r="D189" s="230" t="s">
        <v>142</v>
      </c>
      <c r="E189" s="95"/>
      <c r="F189" s="157"/>
      <c r="G189" s="157">
        <f>G181</f>
        <v>62</v>
      </c>
      <c r="H189" s="99">
        <f>G189+'7'!H189</f>
        <v>659</v>
      </c>
      <c r="I189" s="158"/>
      <c r="J189" s="179">
        <f>H189/DAY(B2)</f>
        <v>82.375</v>
      </c>
    </row>
    <row r="190" spans="1:10" ht="25.5">
      <c r="A190" s="889"/>
      <c r="B190" s="890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73" zoomScale="55" zoomScaleNormal="80" zoomScaleSheetLayoutView="55" workbookViewId="0">
      <selection activeCell="F19" sqref="F1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370</v>
      </c>
      <c r="B2" s="262">
        <v>44782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'8'!F7</f>
        <v>546055.15</v>
      </c>
      <c r="F7" s="95">
        <v>572804.39</v>
      </c>
      <c r="G7" s="112">
        <f>F7-E7</f>
        <v>26749.239999999991</v>
      </c>
      <c r="H7" s="99">
        <f>G7+'8'!H7</f>
        <v>235674.39</v>
      </c>
      <c r="I7" s="113">
        <f>'1'!I7</f>
        <v>12000</v>
      </c>
      <c r="J7" s="175">
        <f>H7/DAY(B2)</f>
        <v>26186.043333333335</v>
      </c>
      <c r="K7" s="172">
        <v>1375467</v>
      </c>
      <c r="L7" s="66"/>
      <c r="N7" s="87">
        <f>G7+600</f>
        <v>27349.239999999991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'8'!F8</f>
        <v>700573.03</v>
      </c>
      <c r="F8" s="95">
        <v>727772.31</v>
      </c>
      <c r="G8" s="115">
        <f>F8-E8</f>
        <v>27199.280000000028</v>
      </c>
      <c r="H8" s="99">
        <f>G8+'8'!H8</f>
        <v>239185.31000000006</v>
      </c>
      <c r="I8" s="116"/>
      <c r="J8" s="175">
        <f>H8/DAY(B2)</f>
        <v>26576.145555555562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'8'!F9</f>
        <v>3328840.1</v>
      </c>
      <c r="F9" s="352">
        <v>3335065.3</v>
      </c>
      <c r="G9" s="112">
        <f>F9-E9</f>
        <v>6225.1999999997206</v>
      </c>
      <c r="H9" s="99">
        <f>G9+'8'!H9</f>
        <v>55999.299999999814</v>
      </c>
      <c r="I9" s="124">
        <f>I7-J7</f>
        <v>-14186.043333333335</v>
      </c>
      <c r="J9" s="175">
        <f>H9/DAY(B2)</f>
        <v>6222.1444444444242</v>
      </c>
      <c r="K9" s="79">
        <f>K8-100</f>
        <v>1715817</v>
      </c>
      <c r="L9" s="66"/>
      <c r="N9" s="87">
        <f>E8+234223+600</f>
        <v>935396.03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'8'!F10</f>
        <v>1820733.7</v>
      </c>
      <c r="F10" s="117">
        <v>1840551.1</v>
      </c>
      <c r="G10" s="112">
        <f t="shared" ref="G10:G12" si="0">F10-E10</f>
        <v>19817.40000000014</v>
      </c>
      <c r="H10" s="99">
        <f>G10+'8'!H10</f>
        <v>173393.10000000009</v>
      </c>
      <c r="I10" s="282"/>
      <c r="J10" s="175">
        <f>H10/DAY(B2)</f>
        <v>19265.900000000009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40380</v>
      </c>
      <c r="F12" s="117">
        <v>40380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26042.59999999986</v>
      </c>
      <c r="H13" s="99">
        <f>G13+'8'!H13</f>
        <v>230726.99999999977</v>
      </c>
      <c r="I13" s="120">
        <f>G7-G13</f>
        <v>706.64000000013039</v>
      </c>
      <c r="J13" s="175">
        <f>H13/DAY(B2)</f>
        <v>25636.333333333307</v>
      </c>
      <c r="K13" s="79"/>
      <c r="L13" s="66"/>
      <c r="N13" s="87"/>
      <c r="O13" s="71"/>
    </row>
    <row r="14" spans="1:15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'8'!F15</f>
        <v>2109045</v>
      </c>
      <c r="F15" s="469">
        <v>2110123.7400000002</v>
      </c>
      <c r="G15" s="112">
        <f>(F15-E15)</f>
        <v>1078.7400000002235</v>
      </c>
      <c r="H15" s="99">
        <f>G15+'8'!H15</f>
        <v>9255.7400000002235</v>
      </c>
      <c r="I15" s="113">
        <f>'1'!I15</f>
        <v>800</v>
      </c>
      <c r="J15" s="175">
        <f>H15/DAY(B2)</f>
        <v>1028.4155555555803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-228.41555555558034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'8'!F18</f>
        <v>16</v>
      </c>
      <c r="F18" s="164">
        <v>3</v>
      </c>
      <c r="G18" s="119">
        <f>F18*10</f>
        <v>30</v>
      </c>
      <c r="H18" s="99">
        <f>G18+'8'!H18</f>
        <v>1310</v>
      </c>
      <c r="I18" s="113">
        <f>'1'!I18</f>
        <v>65</v>
      </c>
      <c r="J18" s="175">
        <f>H18/DAY(B2)</f>
        <v>145.55555555555554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'8'!F19</f>
        <v>162744</v>
      </c>
      <c r="F19" s="122">
        <v>162798</v>
      </c>
      <c r="G19" s="112">
        <f t="shared" ref="G19" si="1">F19-E19</f>
        <v>54</v>
      </c>
      <c r="H19" s="99">
        <f>G19+'8'!H19</f>
        <v>463</v>
      </c>
      <c r="I19" s="335"/>
      <c r="J19" s="175">
        <f>H19/DAY(B2)</f>
        <v>51.444444444444443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84</v>
      </c>
      <c r="H20" s="99">
        <f>G20+'8'!H20</f>
        <v>1773</v>
      </c>
      <c r="I20" s="336">
        <f>I18-J20</f>
        <v>-132</v>
      </c>
      <c r="J20" s="175">
        <f>H20/DAY(B2)</f>
        <v>197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'8'!F24</f>
        <v>2970</v>
      </c>
      <c r="F24" s="128">
        <v>2970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27199.280000000028</v>
      </c>
      <c r="F27" s="136">
        <v>9</v>
      </c>
      <c r="G27" s="137">
        <f>E27*F27</f>
        <v>244793.52000000025</v>
      </c>
      <c r="H27" s="99">
        <f>G27+'8'!H27</f>
        <v>2152667.7900000005</v>
      </c>
      <c r="I27" s="138"/>
      <c r="J27" s="175">
        <f>H27/DAY(B2)</f>
        <v>239185.31000000006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1078.7400000002235</v>
      </c>
      <c r="F28" s="136">
        <v>70</v>
      </c>
      <c r="G28" s="137">
        <f>E28*F28</f>
        <v>75511.800000015646</v>
      </c>
      <c r="H28" s="99">
        <f>G28+'8'!H28</f>
        <v>647901.80000001565</v>
      </c>
      <c r="I28" s="140"/>
      <c r="J28" s="175">
        <f>H28/DAY(B2)</f>
        <v>71989.088888890634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G30+'8'!H30</f>
        <v>69913</v>
      </c>
      <c r="I30" s="140"/>
      <c r="J30" s="175">
        <f>H30/DAY(B2)</f>
        <v>7768.1111111111113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</v>
      </c>
      <c r="F31" s="136">
        <v>80</v>
      </c>
      <c r="G31" s="137">
        <f>E31*F31</f>
        <v>2400</v>
      </c>
      <c r="H31" s="99">
        <f>G31+'8'!H31</f>
        <v>104800</v>
      </c>
      <c r="I31" s="140"/>
      <c r="J31" s="175">
        <f>H31/DAY(B2)</f>
        <v>11644.444444444445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330859.3200000159</v>
      </c>
      <c r="H32" s="99">
        <f>G32+'8'!H32</f>
        <v>2975282.5900000166</v>
      </c>
      <c r="I32" s="144"/>
      <c r="J32" s="175">
        <f>H32/DAY(B2)</f>
        <v>330586.95444444631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238713.05</v>
      </c>
      <c r="F35" s="145">
        <v>238713.05</v>
      </c>
      <c r="G35" s="112">
        <f t="shared" ref="G35:G46" si="3">F35-E35</f>
        <v>0</v>
      </c>
      <c r="H35" s="99">
        <f>G35+'8'!H35</f>
        <v>4.9999999988358468E-2</v>
      </c>
      <c r="I35" s="95"/>
      <c r="J35" s="175">
        <f>H35/DAY(B2)</f>
        <v>5.5555555542620523E-3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222605.95</v>
      </c>
      <c r="F36" s="145">
        <v>223382.71</v>
      </c>
      <c r="G36" s="112">
        <f t="shared" si="3"/>
        <v>776.75999999998021</v>
      </c>
      <c r="H36" s="99">
        <f>G36+'8'!H36</f>
        <v>7852.7099999999919</v>
      </c>
      <c r="I36" s="95"/>
      <c r="J36" s="175">
        <f>H36/DAY(B2)</f>
        <v>872.5233333333324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322998.69</v>
      </c>
      <c r="F37" s="145">
        <v>322998.69</v>
      </c>
      <c r="G37" s="112">
        <f t="shared" si="3"/>
        <v>0</v>
      </c>
      <c r="H37" s="99">
        <f>G37+'8'!H37</f>
        <v>-0.30999999999767169</v>
      </c>
      <c r="I37" s="95"/>
      <c r="J37" s="175">
        <f>H37/DAY(B2)</f>
        <v>-3.4444444444185741E-2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45">
        <f>'8'!F38</f>
        <v>475371.35</v>
      </c>
      <c r="F38" s="108">
        <v>477614.23</v>
      </c>
      <c r="G38" s="112">
        <f t="shared" si="3"/>
        <v>2242.8800000000047</v>
      </c>
      <c r="H38" s="99">
        <f>G38+'8'!H38</f>
        <v>20253.229999999981</v>
      </c>
      <c r="I38" s="95"/>
      <c r="J38" s="175">
        <f>H38/DAY(B2)</f>
        <v>2250.3588888888867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'8'!F39</f>
        <v>591584.18999999994</v>
      </c>
      <c r="F39" s="145">
        <v>591584.18999999994</v>
      </c>
      <c r="G39" s="112">
        <f t="shared" si="3"/>
        <v>0</v>
      </c>
      <c r="H39" s="99">
        <f>G39+'8'!H39</f>
        <v>0.18999999994412065</v>
      </c>
      <c r="I39" s="95"/>
      <c r="J39" s="175">
        <f>H39/DAY(B2)</f>
        <v>2.1111111104902294E-2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113640.97</v>
      </c>
      <c r="F40" s="145">
        <v>114474.68</v>
      </c>
      <c r="G40" s="112">
        <f t="shared" si="3"/>
        <v>833.70999999999185</v>
      </c>
      <c r="H40" s="99">
        <f>G40+'8'!H40</f>
        <v>7698.679999999993</v>
      </c>
      <c r="I40" s="95"/>
      <c r="J40" s="175">
        <f>H40/DAY(B2)</f>
        <v>855.4088888888881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f>'8'!F41</f>
        <v>230221.15</v>
      </c>
      <c r="F41" s="145">
        <v>233549.29</v>
      </c>
      <c r="G41" s="112">
        <f t="shared" si="3"/>
        <v>3328.140000000014</v>
      </c>
      <c r="H41" s="99">
        <f>G41+'8'!H41</f>
        <v>21846.290000000008</v>
      </c>
      <c r="I41" s="95"/>
      <c r="J41" s="175">
        <f>H41/DAY(B2)</f>
        <v>2427.3655555555565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</f>
        <v>755463.51</v>
      </c>
      <c r="F42" s="145">
        <v>755463.51</v>
      </c>
      <c r="G42" s="112">
        <f t="shared" si="3"/>
        <v>0</v>
      </c>
      <c r="H42" s="99">
        <f>G42+'8'!H42</f>
        <v>7099.5100000000093</v>
      </c>
      <c r="I42" s="95"/>
      <c r="J42" s="175">
        <f>H42/DAY(B2)</f>
        <v>788.83444444444547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407028</v>
      </c>
      <c r="F43" s="145">
        <v>407028</v>
      </c>
      <c r="G43" s="112">
        <f t="shared" si="3"/>
        <v>0</v>
      </c>
      <c r="H43" s="99">
        <f>G43+'8'!H43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7181.4899999999907</v>
      </c>
      <c r="H47" s="99">
        <f>G47+'8'!H47</f>
        <v>64750.349999999919</v>
      </c>
      <c r="I47" s="95"/>
      <c r="J47" s="175">
        <f>H47/DAY(B2)</f>
        <v>7194.4833333333245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'8'!F49+3000</f>
        <v>519230.43</v>
      </c>
      <c r="F49" s="145">
        <v>520437.15</v>
      </c>
      <c r="G49" s="112">
        <f t="shared" ref="G49:G58" si="4">F49-E49</f>
        <v>1206.7200000000303</v>
      </c>
      <c r="H49" s="99">
        <f>G49+'8'!H49</f>
        <v>35383.150000000023</v>
      </c>
      <c r="I49" s="95"/>
      <c r="J49" s="175">
        <f>H49/DAY(B2)</f>
        <v>3931.4611111111135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292084.33</v>
      </c>
      <c r="F50" s="145">
        <v>293361.53000000003</v>
      </c>
      <c r="G50" s="112">
        <f t="shared" si="4"/>
        <v>1277.2000000000116</v>
      </c>
      <c r="H50" s="99">
        <f>G50+'8'!H50</f>
        <v>10611.530000000028</v>
      </c>
      <c r="I50" s="95"/>
      <c r="J50" s="175">
        <f>H50/DAY(B2)</f>
        <v>1179.0588888888919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17297.150000000001</v>
      </c>
      <c r="F51" s="145">
        <v>18374.7</v>
      </c>
      <c r="G51" s="112">
        <f t="shared" si="4"/>
        <v>1077.5499999999993</v>
      </c>
      <c r="H51" s="99">
        <f>G51+'8'!H51</f>
        <v>9866.7000000000007</v>
      </c>
      <c r="I51" s="95"/>
      <c r="J51" s="175">
        <f>H51/DAY(B2)</f>
        <v>1096.3000000000002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9.76</v>
      </c>
      <c r="G52" s="112">
        <f t="shared" si="4"/>
        <v>0</v>
      </c>
      <c r="H52" s="99">
        <f>G52+'8'!H52</f>
        <v>-0.24000000000000021</v>
      </c>
      <c r="I52" s="95"/>
      <c r="J52" s="175">
        <f>H52/DAY(B2)</f>
        <v>-2.6666666666666689E-2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68795.94</v>
      </c>
      <c r="F53" s="145">
        <v>73369.67</v>
      </c>
      <c r="G53" s="112">
        <f t="shared" si="4"/>
        <v>4573.7299999999959</v>
      </c>
      <c r="H53" s="99">
        <f>G53+'8'!H53</f>
        <v>39508.67</v>
      </c>
      <c r="I53" s="95"/>
      <c r="J53" s="175">
        <f>H53/DAY(B2)</f>
        <v>4389.8522222222218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90742.99</v>
      </c>
      <c r="F54" s="145">
        <v>91172.95</v>
      </c>
      <c r="G54" s="112">
        <f t="shared" si="4"/>
        <v>429.95999999999185</v>
      </c>
      <c r="H54" s="99">
        <f>G54+'8'!H54</f>
        <v>3229.9499999999971</v>
      </c>
      <c r="I54" s="95"/>
      <c r="J54" s="175">
        <f>H54/DAY(B2)</f>
        <v>358.88333333333298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389561.23</v>
      </c>
      <c r="F55" s="145">
        <v>393216.99</v>
      </c>
      <c r="G55" s="112">
        <f t="shared" si="4"/>
        <v>3655.7600000000093</v>
      </c>
      <c r="H55" s="99">
        <f>G55+'8'!H55</f>
        <v>30439.989999999991</v>
      </c>
      <c r="I55" s="95"/>
      <c r="J55" s="175">
        <f>H55/DAY(B2)</f>
        <v>3382.2211111111101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123882.39</v>
      </c>
      <c r="F56" s="145">
        <v>123882.39</v>
      </c>
      <c r="G56" s="112">
        <f t="shared" si="4"/>
        <v>0</v>
      </c>
      <c r="H56" s="99">
        <f>G56+'8'!H56</f>
        <v>0.38999999999941792</v>
      </c>
      <c r="I56" s="95"/>
      <c r="J56" s="175">
        <f>H56/DAY(B2)</f>
        <v>4.3333333333268657E-2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251165.81</v>
      </c>
      <c r="F57" s="145">
        <v>254180.85</v>
      </c>
      <c r="G57" s="112">
        <f t="shared" si="4"/>
        <v>3015.0400000000081</v>
      </c>
      <c r="H57" s="99">
        <f>G57+'8'!H57</f>
        <v>28010.850000000006</v>
      </c>
      <c r="I57" s="95"/>
      <c r="J57" s="175">
        <f>H57/DAY(B2)</f>
        <v>3112.3166666666675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</f>
        <v>51194.89</v>
      </c>
      <c r="F58" s="145">
        <v>51464.36</v>
      </c>
      <c r="G58" s="112">
        <f t="shared" si="4"/>
        <v>269.47000000000116</v>
      </c>
      <c r="H58" s="99">
        <f>G58+'8'!H58</f>
        <v>2355.3600000000006</v>
      </c>
      <c r="I58" s="95"/>
      <c r="J58" s="175">
        <f>H58/DAY(B2)</f>
        <v>261.70666666666671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15505.430000000048</v>
      </c>
      <c r="H59" s="99">
        <f>G59+'8'!H59</f>
        <v>159406.35000000006</v>
      </c>
      <c r="I59" s="95">
        <f>G7-G60</f>
        <v>4062.3199999999524</v>
      </c>
      <c r="J59" s="175">
        <f>H59/DAY(B2)</f>
        <v>17711.816666666673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22686.920000000038</v>
      </c>
      <c r="H60" s="99">
        <f>G60+'8'!H60</f>
        <v>224156.69999999998</v>
      </c>
      <c r="I60" s="95">
        <f>G13-G60</f>
        <v>3355.679999999822</v>
      </c>
      <c r="J60" s="175">
        <f>H60/DAY(B2)</f>
        <v>24906.3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122">
        <f>'8'!F62</f>
        <v>297170</v>
      </c>
      <c r="F62" s="122">
        <v>297288</v>
      </c>
      <c r="G62" s="112">
        <f t="shared" ref="G62:G63" si="5">F62-E62</f>
        <v>118</v>
      </c>
      <c r="H62" s="99">
        <f>G62+'8'!H62</f>
        <v>1013</v>
      </c>
      <c r="I62" s="118"/>
      <c r="J62" s="175">
        <f>H62/DAY(B2)</f>
        <v>112.55555555555556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'8'!F63</f>
        <v>240136</v>
      </c>
      <c r="F63" s="122">
        <v>240222</v>
      </c>
      <c r="G63" s="112">
        <f t="shared" si="5"/>
        <v>86</v>
      </c>
      <c r="H63" s="99">
        <f>G63+'8'!H63</f>
        <v>1089</v>
      </c>
      <c r="I63" s="118"/>
      <c r="J63" s="175">
        <f>H63/DAY(B2)</f>
        <v>121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'8'!F64</f>
        <v>0</v>
      </c>
      <c r="F64" s="122">
        <v>0</v>
      </c>
      <c r="G64" s="112">
        <f>G62+G63</f>
        <v>204</v>
      </c>
      <c r="H64" s="99">
        <f>G64+'8'!H64</f>
        <v>2102</v>
      </c>
      <c r="I64" s="118"/>
      <c r="J64" s="175">
        <f>H64/DAY(B2)</f>
        <v>233.55555555555554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'8'!F65</f>
        <v>455529</v>
      </c>
      <c r="F65" s="122">
        <v>455643</v>
      </c>
      <c r="G65" s="112">
        <f t="shared" ref="G65:G70" si="6">F65-E65</f>
        <v>114</v>
      </c>
      <c r="H65" s="99">
        <f>G65+'8'!H65</f>
        <v>933</v>
      </c>
      <c r="I65" s="118"/>
      <c r="J65" s="175">
        <f>H65/DAY(B2)</f>
        <v>103.66666666666667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'8'!F66</f>
        <v>111916</v>
      </c>
      <c r="F66" s="122">
        <v>111937</v>
      </c>
      <c r="G66" s="112">
        <f t="shared" si="6"/>
        <v>21</v>
      </c>
      <c r="H66" s="99">
        <f>G66+'8'!H66</f>
        <v>215</v>
      </c>
      <c r="I66" s="118"/>
      <c r="J66" s="175">
        <f>H66/DAY(B2)</f>
        <v>23.888888888888889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'8'!F67</f>
        <v>113680</v>
      </c>
      <c r="F67" s="122">
        <v>113680</v>
      </c>
      <c r="G67" s="112">
        <f t="shared" si="6"/>
        <v>0</v>
      </c>
      <c r="H67" s="99">
        <f>G67+'8'!H67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'8'!F68</f>
        <v>164860</v>
      </c>
      <c r="F68" s="122">
        <v>164895</v>
      </c>
      <c r="G68" s="112">
        <f t="shared" si="6"/>
        <v>35</v>
      </c>
      <c r="H68" s="99">
        <f>G68+'8'!H68</f>
        <v>233</v>
      </c>
      <c r="I68" s="118"/>
      <c r="J68" s="175">
        <f>H68/DAY(B2)</f>
        <v>25.888888888888889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'8'!F69</f>
        <v>12325</v>
      </c>
      <c r="F69" s="122">
        <v>12338</v>
      </c>
      <c r="G69" s="112">
        <f t="shared" si="6"/>
        <v>13</v>
      </c>
      <c r="H69" s="99">
        <f>G69+'8'!H69</f>
        <v>63</v>
      </c>
      <c r="I69" s="118"/>
      <c r="J69" s="175">
        <f>H69/DAY(B2)</f>
        <v>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'8'!F70</f>
        <v>9899</v>
      </c>
      <c r="F70" s="122">
        <v>9910</v>
      </c>
      <c r="G70" s="112">
        <f t="shared" si="6"/>
        <v>11</v>
      </c>
      <c r="H70" s="99">
        <f>G70+'8'!H70</f>
        <v>83</v>
      </c>
      <c r="I70" s="118"/>
      <c r="J70" s="175">
        <f>H70/DAY(B2)</f>
        <v>9.2222222222222214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194</v>
      </c>
      <c r="H71" s="99">
        <f>G71+'8'!H71</f>
        <v>1527</v>
      </c>
      <c r="I71" s="154"/>
      <c r="J71" s="175">
        <f>H71/DAY(B2)</f>
        <v>169.66666666666666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'8'!F74</f>
        <v>960085.82</v>
      </c>
      <c r="F74" s="117">
        <v>960417.93</v>
      </c>
      <c r="G74" s="112">
        <f t="shared" ref="G74:G78" si="7">F74-E74</f>
        <v>332.11000000010245</v>
      </c>
      <c r="H74" s="99">
        <f>G74+'8'!H74</f>
        <v>2760.0700000000652</v>
      </c>
      <c r="I74" s="154"/>
      <c r="J74" s="175">
        <f>H74/DAY(B2)</f>
        <v>306.67444444445169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'8'!F76</f>
        <v>191060.37</v>
      </c>
      <c r="F76" s="123">
        <v>191176.2</v>
      </c>
      <c r="G76" s="112">
        <f t="shared" si="7"/>
        <v>115.8300000000163</v>
      </c>
      <c r="H76" s="99">
        <f>G76+'8'!H76</f>
        <v>1004.2000000000116</v>
      </c>
      <c r="I76" s="154"/>
      <c r="J76" s="175">
        <f>H76/DAY(B2)</f>
        <v>111.57777777777908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'8'!F77</f>
        <v>50691</v>
      </c>
      <c r="F77" s="123">
        <v>50742.8</v>
      </c>
      <c r="G77" s="112">
        <f t="shared" si="7"/>
        <v>51.80000000000291</v>
      </c>
      <c r="H77" s="99">
        <f>G77+'8'!H77</f>
        <v>429.80000000000291</v>
      </c>
      <c r="I77" s="154"/>
      <c r="J77" s="175">
        <f>H77/DAY(B2)</f>
        <v>47.75555555555588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'8'!F78</f>
        <v>9563.4</v>
      </c>
      <c r="F78" s="123">
        <v>9563.4</v>
      </c>
      <c r="G78" s="112">
        <f t="shared" si="7"/>
        <v>0</v>
      </c>
      <c r="H78" s="99">
        <f>G78+'8'!H78</f>
        <v>0.3999999999996362</v>
      </c>
      <c r="I78" s="118"/>
      <c r="J78" s="175">
        <f>H78/DAY(B2)</f>
        <v>4.444444444440402E-2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'8'!F79</f>
        <v>0</v>
      </c>
      <c r="F79" s="117"/>
      <c r="G79" s="112">
        <f>G15-SUM(G74:G78)</f>
        <v>579.00000000010186</v>
      </c>
      <c r="H79" s="99">
        <f>G79+'8'!H79</f>
        <v>5061.2700000001441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1078.7400000002235</v>
      </c>
      <c r="H80" s="99"/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'8'!F84</f>
        <v>42677</v>
      </c>
      <c r="F84" s="164">
        <v>42692.01</v>
      </c>
      <c r="G84" s="112">
        <f t="shared" si="8"/>
        <v>15.010000000002037</v>
      </c>
      <c r="H84" s="99">
        <f>G84+'8'!H84</f>
        <v>103.01000000000204</v>
      </c>
      <c r="I84" s="571"/>
      <c r="J84" s="175">
        <f>H84/DAY(B2)</f>
        <v>11.445555555555782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'8'!F85</f>
        <v>5171.4399999999996</v>
      </c>
      <c r="F85" s="164">
        <v>5171.4399999999996</v>
      </c>
      <c r="G85" s="112">
        <f t="shared" si="8"/>
        <v>0</v>
      </c>
      <c r="H85" s="99">
        <f>G85+'8'!H85</f>
        <v>31.25</v>
      </c>
      <c r="I85" s="571"/>
      <c r="J85" s="175">
        <f>H85/DAY(B2)</f>
        <v>3.4722222222222223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'8'!F86</f>
        <v>45563</v>
      </c>
      <c r="F86" s="164">
        <v>45587.18</v>
      </c>
      <c r="G86" s="112">
        <f t="shared" si="8"/>
        <v>24.180000000000291</v>
      </c>
      <c r="H86" s="99">
        <f>G86+'8'!H86</f>
        <v>208.18000000000029</v>
      </c>
      <c r="I86" s="571"/>
      <c r="J86" s="175">
        <f>H86/DAY(B2)</f>
        <v>23.131111111111142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'8'!F87</f>
        <v>35457</v>
      </c>
      <c r="F87" s="164">
        <v>35457</v>
      </c>
      <c r="G87" s="112">
        <f t="shared" si="8"/>
        <v>0</v>
      </c>
      <c r="H87" s="99">
        <f>G87+'8'!H87</f>
        <v>-0.43000000000029104</v>
      </c>
      <c r="I87" s="553">
        <f>G84+G85+G86+G87</f>
        <v>39.190000000002328</v>
      </c>
      <c r="J87" s="175">
        <f>H87/DAY(B2)</f>
        <v>-4.7777777777810115E-2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'8'!F88</f>
        <v>24318.959999999999</v>
      </c>
      <c r="F88" s="164">
        <v>24318.959999999999</v>
      </c>
      <c r="G88" s="112">
        <f t="shared" si="8"/>
        <v>0</v>
      </c>
      <c r="H88" s="99">
        <f>G88+'8'!H88</f>
        <v>15.5</v>
      </c>
      <c r="I88" s="553"/>
      <c r="J88" s="175">
        <f>H88/DAY(B2)</f>
        <v>1.7222222222222223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'8'!F89</f>
        <v>27625.48</v>
      </c>
      <c r="F89" s="164">
        <v>27635.01</v>
      </c>
      <c r="G89" s="112">
        <f t="shared" si="8"/>
        <v>9.5299999999988358</v>
      </c>
      <c r="H89" s="99">
        <f>G89+'8'!H89</f>
        <v>68.399999999997817</v>
      </c>
      <c r="I89" s="553">
        <f>G88+G89</f>
        <v>9.5299999999988358</v>
      </c>
      <c r="J89" s="175">
        <f>H89/DAY(B2)</f>
        <v>7.5999999999997572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'8'!F90</f>
        <v>72696.460000000006</v>
      </c>
      <c r="F90" s="164">
        <v>72707.509999999995</v>
      </c>
      <c r="G90" s="112">
        <f t="shared" si="8"/>
        <v>11.049999999988358</v>
      </c>
      <c r="H90" s="99">
        <f>G90+'8'!H90</f>
        <v>100.95999999999185</v>
      </c>
      <c r="I90" s="553">
        <f>G90</f>
        <v>11.049999999988358</v>
      </c>
      <c r="J90" s="175">
        <f>H90/DAY(B2)</f>
        <v>11.217777777776872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'8'!F91</f>
        <v>4289.5600000000004</v>
      </c>
      <c r="F91" s="122">
        <v>4289.5600000000004</v>
      </c>
      <c r="G91" s="112">
        <f t="shared" si="8"/>
        <v>0</v>
      </c>
      <c r="H91" s="99">
        <f>G91+'8'!H91</f>
        <v>2.0000000000436557E-2</v>
      </c>
      <c r="I91" s="612"/>
      <c r="J91" s="175">
        <f>H91/DAY(B2)</f>
        <v>2.2222222222707286E-3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'8'!F92</f>
        <v>6803.9</v>
      </c>
      <c r="F92" s="122">
        <v>6815.54</v>
      </c>
      <c r="G92" s="112">
        <f t="shared" si="8"/>
        <v>11.640000000000327</v>
      </c>
      <c r="H92" s="99">
        <f>G92+'8'!H92</f>
        <v>98.210000000000036</v>
      </c>
      <c r="I92" s="613">
        <f>G91+G92</f>
        <v>11.640000000000327</v>
      </c>
      <c r="J92" s="175">
        <f>H92/DAY(B2)</f>
        <v>10.912222222222226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4221.7600000000384</v>
      </c>
      <c r="H94" s="99">
        <f>G94+'8'!H94</f>
        <v>63394.050000000017</v>
      </c>
      <c r="I94" s="118"/>
      <c r="J94" s="175">
        <f>H94/DAY(B2)</f>
        <v>7043.7833333333356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0.15782728780331853</v>
      </c>
      <c r="H95" s="99">
        <f>G95+'8'!H95</f>
        <v>2.425567666122503</v>
      </c>
      <c r="I95" s="167"/>
      <c r="J95" s="175">
        <f>H95/DAY(B2)</f>
        <v>0.26950751845805587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6983.9000000000233</v>
      </c>
      <c r="H96" s="99">
        <f>G96+'8'!H96</f>
        <v>59386.180000000008</v>
      </c>
      <c r="I96" s="118"/>
      <c r="J96" s="175">
        <f>H96/DAY(B2)</f>
        <v>6598.4644444444457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0.26108779165314699</v>
      </c>
      <c r="H97" s="99">
        <f>G97+'8'!H97</f>
        <v>2.2664958719661468</v>
      </c>
      <c r="I97" s="167"/>
      <c r="J97" s="175">
        <f>H97/DAY(B2)</f>
        <v>0.25183287466290522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4573.7299999999959</v>
      </c>
      <c r="H98" s="99">
        <f>G98+'8'!H98</f>
        <v>39508.859999999942</v>
      </c>
      <c r="I98" s="168"/>
      <c r="J98" s="175">
        <f>H98/DAY(B2)</f>
        <v>4389.8733333333266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0.17098541865114664</v>
      </c>
      <c r="H99" s="99">
        <f>G99+'8'!H99</f>
        <v>1.5097755688135033</v>
      </c>
      <c r="I99" s="168"/>
      <c r="J99" s="175">
        <f>H99/DAY(B2)</f>
        <v>0.16775284097927814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2242.8800000000047</v>
      </c>
      <c r="H100" s="99">
        <f>G100+'8'!H100</f>
        <v>20252.989999999983</v>
      </c>
      <c r="I100" s="118"/>
      <c r="J100" s="175">
        <f>H100/DAY(B2)</f>
        <v>2250.3322222222205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8.3848363542291499E-2</v>
      </c>
      <c r="H101" s="99">
        <f>G101+'8'!H101</f>
        <v>0.77403212047867109</v>
      </c>
      <c r="I101" s="168"/>
      <c r="J101" s="175">
        <f>H101/DAY(B2)</f>
        <v>8.600356894207456E-2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2053.9599999999919</v>
      </c>
      <c r="H102" s="99">
        <f>G102+'8'!H102</f>
        <v>18464.24000000002</v>
      </c>
      <c r="I102" s="168"/>
      <c r="J102" s="175">
        <f>H102/DAY(B2)</f>
        <v>2051.5822222222246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7.6785732977833865E-2</v>
      </c>
      <c r="H103" s="99">
        <f>G103+'8'!H103</f>
        <v>0.70297059964472952</v>
      </c>
      <c r="I103" s="118"/>
      <c r="J103" s="175">
        <f>H103/DAY(B2)</f>
        <v>7.8107844404969942E-2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1077.5499999999993</v>
      </c>
      <c r="H104" s="99">
        <f>G104+'8'!H104</f>
        <v>9866.3900000000031</v>
      </c>
      <c r="I104" s="118"/>
      <c r="J104" s="175">
        <f>H104/DAY(B2)</f>
        <v>1096.2655555555559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4.0283387490635238E-2</v>
      </c>
      <c r="H105" s="99">
        <f>G105+'8'!H105</f>
        <v>0.37714490740634715</v>
      </c>
      <c r="I105" s="187"/>
      <c r="J105" s="188">
        <f>H105/DAY(B2)</f>
        <v>4.1904989711816353E-2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'8'!F112</f>
        <v>7846.29</v>
      </c>
      <c r="F112" s="237">
        <v>7919.13</v>
      </c>
      <c r="G112" s="112">
        <f t="shared" ref="G112:G123" si="9">F112-E112</f>
        <v>72.840000000000146</v>
      </c>
      <c r="H112" s="99">
        <f>G112+'8'!H112</f>
        <v>654.13000000000011</v>
      </c>
      <c r="I112" s="165"/>
      <c r="J112" s="328">
        <f>H112/DAY(B2)</f>
        <v>72.681111111111122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'8'!F113</f>
        <v>16132.11</v>
      </c>
      <c r="F113" s="237">
        <v>16279</v>
      </c>
      <c r="G113" s="112">
        <f t="shared" si="9"/>
        <v>146.88999999999942</v>
      </c>
      <c r="H113" s="99">
        <f>G113+'8'!H113</f>
        <v>1264</v>
      </c>
      <c r="I113" s="165"/>
      <c r="J113" s="328">
        <f>H113/DAY(B2)</f>
        <v>140.44444444444446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'8'!F114</f>
        <v>23014.13</v>
      </c>
      <c r="F114" s="237">
        <v>23229.97</v>
      </c>
      <c r="G114" s="112">
        <f t="shared" si="9"/>
        <v>215.84000000000015</v>
      </c>
      <c r="H114" s="99">
        <f>G114+'8'!H114</f>
        <v>1961.9700000000012</v>
      </c>
      <c r="I114" s="165"/>
      <c r="J114" s="328">
        <f>H114/DAY(B2)</f>
        <v>217.99666666666678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'8'!F115</f>
        <v>14557.65</v>
      </c>
      <c r="F115" s="417">
        <v>14713.57</v>
      </c>
      <c r="G115" s="112">
        <f t="shared" si="9"/>
        <v>155.92000000000007</v>
      </c>
      <c r="H115" s="99">
        <f>G115+'8'!H115</f>
        <v>1283.5699999999997</v>
      </c>
      <c r="I115" s="165"/>
      <c r="J115" s="328">
        <f>H115/DAY(B2)</f>
        <v>142.61888888888885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'8'!F116</f>
        <v>73593.27</v>
      </c>
      <c r="F116" s="237">
        <v>74038.460000000006</v>
      </c>
      <c r="G116" s="112">
        <f t="shared" si="9"/>
        <v>445.19000000000233</v>
      </c>
      <c r="H116" s="99">
        <f>G116+'8'!H116</f>
        <v>3546.4600000000064</v>
      </c>
      <c r="I116" s="165"/>
      <c r="J116" s="328">
        <f>H116/DAY(B2)</f>
        <v>394.05111111111182</v>
      </c>
      <c r="Q116" s="898"/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406">
        <f>'8'!F117</f>
        <v>42735.31</v>
      </c>
      <c r="F117" s="417">
        <v>42981.33</v>
      </c>
      <c r="G117" s="236">
        <f t="shared" si="9"/>
        <v>246.02000000000407</v>
      </c>
      <c r="H117" s="99">
        <f>G117+'8'!H117</f>
        <v>2059.3300000000017</v>
      </c>
      <c r="I117" s="165"/>
      <c r="J117" s="328">
        <f>H117/DAY(B2)</f>
        <v>228.81444444444463</v>
      </c>
      <c r="Q117" s="898"/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406">
        <f>'8'!F118</f>
        <v>69441.86</v>
      </c>
      <c r="F118" s="417">
        <v>70095.05</v>
      </c>
      <c r="G118" s="236">
        <f t="shared" si="9"/>
        <v>653.19000000000233</v>
      </c>
      <c r="H118" s="99">
        <f>G118+'8'!H118</f>
        <v>5423.0500000000029</v>
      </c>
      <c r="I118" s="165"/>
      <c r="J118" s="328">
        <f>H118/DAY(B2)</f>
        <v>602.56111111111147</v>
      </c>
      <c r="Q118" s="898"/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406">
        <f>'8'!F119</f>
        <v>39343.79</v>
      </c>
      <c r="F119" s="417">
        <v>39579.25</v>
      </c>
      <c r="G119" s="236">
        <f t="shared" si="9"/>
        <v>235.45999999999913</v>
      </c>
      <c r="H119" s="99">
        <f>G119+'8'!H119</f>
        <v>2130.25</v>
      </c>
      <c r="I119" s="165"/>
      <c r="J119" s="328">
        <f>H119/DAY(B2)</f>
        <v>236.69444444444446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'8'!F120</f>
        <v>49605.45</v>
      </c>
      <c r="F120" s="237">
        <v>50009.83</v>
      </c>
      <c r="G120" s="112">
        <f t="shared" si="9"/>
        <v>404.38000000000466</v>
      </c>
      <c r="H120" s="99">
        <f>G120+'8'!H120</f>
        <v>3742.8300000000017</v>
      </c>
      <c r="I120" s="165"/>
      <c r="J120" s="328">
        <f>H120/DAY(B2)</f>
        <v>415.87000000000018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'8'!F121</f>
        <v>57349.84</v>
      </c>
      <c r="F121" s="237">
        <v>57825.1</v>
      </c>
      <c r="G121" s="112">
        <f t="shared" si="9"/>
        <v>475.26000000000204</v>
      </c>
      <c r="H121" s="99">
        <f>G121+'8'!H121</f>
        <v>4282.0999999999985</v>
      </c>
      <c r="I121" s="165"/>
      <c r="J121" s="328">
        <f>H121/DAY(B2)</f>
        <v>475.78888888888872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'8'!F122</f>
        <v>31085.45</v>
      </c>
      <c r="F122" s="237">
        <v>31411.26</v>
      </c>
      <c r="G122" s="112">
        <f t="shared" si="9"/>
        <v>325.80999999999767</v>
      </c>
      <c r="H122" s="99">
        <f>G122+'8'!H122</f>
        <v>2737.2599999999984</v>
      </c>
      <c r="I122" s="165"/>
      <c r="J122" s="328">
        <f>H122/DAY(B2)</f>
        <v>304.13999999999982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'8'!F123</f>
        <v>32800.160000000003</v>
      </c>
      <c r="F123" s="237">
        <v>33128.43</v>
      </c>
      <c r="G123" s="112">
        <f t="shared" si="9"/>
        <v>328.2699999999968</v>
      </c>
      <c r="H123" s="99">
        <f>G123+'8'!H123</f>
        <v>2940.4300000000003</v>
      </c>
      <c r="I123" s="165"/>
      <c r="J123" s="328">
        <f>H123/DAY(B2)</f>
        <v>326.7144444444445</v>
      </c>
    </row>
    <row r="124" spans="1:18" ht="29.25" customHeight="1">
      <c r="A124" s="902"/>
      <c r="B124" s="903"/>
      <c r="C124" s="904"/>
      <c r="D124" s="165"/>
      <c r="E124" s="165"/>
      <c r="F124" s="165"/>
      <c r="G124" s="327"/>
      <c r="H124" s="156"/>
      <c r="I124" s="165"/>
      <c r="J124" s="327"/>
    </row>
    <row r="125" spans="1:18" ht="25.5">
      <c r="A125" s="880" t="s">
        <v>196</v>
      </c>
      <c r="B125" s="881"/>
      <c r="C125" s="245"/>
      <c r="D125" s="307"/>
      <c r="E125" s="308"/>
      <c r="F125" s="308"/>
      <c r="G125" s="309">
        <f>SUM(G112:G124)</f>
        <v>3705.0700000000088</v>
      </c>
      <c r="H125" s="156"/>
      <c r="I125" s="327">
        <f>G125-(G39+G53)</f>
        <v>-868.65999999998712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'8'!F128</f>
        <v>131841.39000000001</v>
      </c>
      <c r="F128" s="155">
        <v>132365.43</v>
      </c>
      <c r="G128" s="112">
        <f t="shared" ref="G128:G134" si="10">F128-E128</f>
        <v>524.03999999997905</v>
      </c>
      <c r="H128" s="99">
        <f>G128+'8'!H128</f>
        <v>4721.429999999993</v>
      </c>
      <c r="I128" s="165"/>
      <c r="J128" s="328">
        <f>H128/DAY(B2)</f>
        <v>524.60333333333256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'8'!F129</f>
        <v>74187.89</v>
      </c>
      <c r="F129" s="155">
        <v>74372.34</v>
      </c>
      <c r="G129" s="112">
        <f t="shared" si="10"/>
        <v>184.44999999999709</v>
      </c>
      <c r="H129" s="99">
        <f>G129+'8'!H129</f>
        <v>1869.3399999999965</v>
      </c>
      <c r="I129" s="165"/>
      <c r="J129" s="328">
        <f>H129/DAY(B2)</f>
        <v>207.70444444444405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'8'!F130</f>
        <v>170090.27</v>
      </c>
      <c r="F130" s="157">
        <v>170809.61</v>
      </c>
      <c r="G130" s="112">
        <f t="shared" si="10"/>
        <v>719.33999999999651</v>
      </c>
      <c r="H130" s="99">
        <f>G130+'8'!H130</f>
        <v>6212.609999999986</v>
      </c>
      <c r="I130" s="165"/>
      <c r="J130" s="328">
        <f>H130/DAY(B2)</f>
        <v>690.28999999999849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'8'!F131</f>
        <v>49979.41</v>
      </c>
      <c r="F131" s="155">
        <v>50188.43</v>
      </c>
      <c r="G131" s="112">
        <f t="shared" si="10"/>
        <v>209.0199999999968</v>
      </c>
      <c r="H131" s="99">
        <f>G131+'8'!H131</f>
        <v>1739.4300000000003</v>
      </c>
      <c r="I131" s="165"/>
      <c r="J131" s="328">
        <f>H131/DAY(B2)</f>
        <v>193.27000000000004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'8'!F132</f>
        <v>131418.78</v>
      </c>
      <c r="F132" s="155">
        <v>131820.79999999999</v>
      </c>
      <c r="G132" s="112">
        <f t="shared" si="10"/>
        <v>402.01999999998952</v>
      </c>
      <c r="H132" s="99">
        <f>G132+'8'!H132</f>
        <v>3646.7999999999884</v>
      </c>
      <c r="I132" s="165"/>
      <c r="J132" s="328">
        <f>H132/DAY(B2)</f>
        <v>405.19999999999868</v>
      </c>
    </row>
    <row r="133" spans="1:15" ht="25.5">
      <c r="A133" s="898" t="s">
        <v>323</v>
      </c>
      <c r="B133" s="899"/>
      <c r="C133" s="900"/>
      <c r="D133" s="151" t="s">
        <v>183</v>
      </c>
      <c r="E133" s="95">
        <f>'8'!F133</f>
        <v>224035.59</v>
      </c>
      <c r="F133" s="155">
        <v>224035.59</v>
      </c>
      <c r="G133" s="112">
        <f t="shared" si="10"/>
        <v>0</v>
      </c>
      <c r="H133" s="99">
        <f>G133+'8'!H133</f>
        <v>0</v>
      </c>
      <c r="I133" s="165"/>
      <c r="J133" s="328">
        <f>H133/DAY(B2)</f>
        <v>0</v>
      </c>
    </row>
    <row r="134" spans="1:15" ht="25.5">
      <c r="A134" s="898" t="s">
        <v>340</v>
      </c>
      <c r="B134" s="899"/>
      <c r="C134" s="900"/>
      <c r="D134" s="151" t="s">
        <v>183</v>
      </c>
      <c r="E134" s="95">
        <f>'8'!F134</f>
        <v>50702.22</v>
      </c>
      <c r="F134" s="155">
        <v>50910.69</v>
      </c>
      <c r="G134" s="112">
        <f t="shared" si="10"/>
        <v>208.47000000000116</v>
      </c>
      <c r="H134" s="99">
        <f>G134+'8'!H134</f>
        <v>1875.6900000000023</v>
      </c>
      <c r="I134" s="165"/>
      <c r="J134" s="328">
        <f>H134/DAY(B2)</f>
        <v>208.41000000000025</v>
      </c>
    </row>
    <row r="135" spans="1:15" ht="25.5">
      <c r="A135" s="880" t="s">
        <v>196</v>
      </c>
      <c r="B135" s="881"/>
      <c r="C135" s="331"/>
      <c r="D135" s="151"/>
      <c r="E135" s="95"/>
      <c r="F135" s="165"/>
      <c r="G135" s="112">
        <f>SUM(G128:G134)</f>
        <v>2247.3399999999601</v>
      </c>
      <c r="H135" s="99">
        <f>G135+'8'!H135</f>
        <v>20065.299999999967</v>
      </c>
      <c r="I135" s="327">
        <f>G135-(G35+G49)</f>
        <v>1040.6199999999299</v>
      </c>
      <c r="J135" s="328">
        <f>H135/DAY(B2)</f>
        <v>2229.477777777774</v>
      </c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F138-125</f>
        <v>892290</v>
      </c>
      <c r="F138" s="148">
        <v>892415</v>
      </c>
      <c r="G138" s="112">
        <f t="shared" ref="G138:G152" si="11">F138-E138</f>
        <v>125</v>
      </c>
      <c r="H138" s="99">
        <f>G138+'8'!H138</f>
        <v>1304</v>
      </c>
      <c r="I138" s="118"/>
      <c r="J138" s="328">
        <f>H138/DAY(B2)</f>
        <v>144.88888888888889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'8'!F139</f>
        <v>910116</v>
      </c>
      <c r="F139" s="148">
        <v>910273</v>
      </c>
      <c r="G139" s="112">
        <f t="shared" si="11"/>
        <v>157</v>
      </c>
      <c r="H139" s="99">
        <f>G139+'8'!H139</f>
        <v>1378</v>
      </c>
      <c r="I139" s="118"/>
      <c r="J139" s="328">
        <f>H139/DAY(B2)</f>
        <v>153.11111111111111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'8'!F140</f>
        <v>1632.89</v>
      </c>
      <c r="F140" s="148">
        <v>1646.03</v>
      </c>
      <c r="G140" s="112">
        <f t="shared" si="11"/>
        <v>13.139999999999873</v>
      </c>
      <c r="H140" s="99">
        <f>G140+'8'!H140</f>
        <v>133.02999999999997</v>
      </c>
      <c r="I140" s="118"/>
      <c r="J140" s="328">
        <f>H140/DAY(B2)</f>
        <v>14.781111111111109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'8'!F141</f>
        <v>92018.04</v>
      </c>
      <c r="F141" s="149">
        <v>92212.08</v>
      </c>
      <c r="G141" s="112">
        <f t="shared" si="11"/>
        <v>194.04000000000815</v>
      </c>
      <c r="H141" s="99">
        <f>G141+'8'!H141</f>
        <v>1760.0800000000017</v>
      </c>
      <c r="I141" s="118"/>
      <c r="J141" s="328">
        <f>H141/DAY(B2)</f>
        <v>195.56444444444463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'8'!F142</f>
        <v>37301.9</v>
      </c>
      <c r="F142" s="148">
        <v>37384.97</v>
      </c>
      <c r="G142" s="112">
        <f t="shared" si="11"/>
        <v>83.069999999999709</v>
      </c>
      <c r="H142" s="99">
        <f>G142+'8'!H142</f>
        <v>723.97000000000116</v>
      </c>
      <c r="I142" s="140"/>
      <c r="J142" s="328">
        <f>H142/DAY(B2)</f>
        <v>80.44111111111124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'8'!F143</f>
        <v>9257.19</v>
      </c>
      <c r="F143" s="149">
        <v>9284.93</v>
      </c>
      <c r="G143" s="112">
        <f t="shared" si="11"/>
        <v>27.739999999999782</v>
      </c>
      <c r="H143" s="99">
        <f>G143+'8'!H143</f>
        <v>233.93000000000029</v>
      </c>
      <c r="I143" s="140"/>
      <c r="J143" s="328">
        <f>H143/DAY(B2)</f>
        <v>25.992222222222253</v>
      </c>
    </row>
    <row r="144" spans="1:15" ht="25.5">
      <c r="A144" s="876" t="s">
        <v>90</v>
      </c>
      <c r="B144" s="876"/>
      <c r="C144" s="876"/>
      <c r="D144" s="151" t="s">
        <v>183</v>
      </c>
      <c r="E144" s="406">
        <f>'8'!F144</f>
        <v>921576</v>
      </c>
      <c r="F144" s="148">
        <v>921801</v>
      </c>
      <c r="G144" s="112">
        <f t="shared" si="11"/>
        <v>225</v>
      </c>
      <c r="H144" s="99">
        <f>G144+'8'!H144</f>
        <v>1964</v>
      </c>
      <c r="I144" s="140"/>
      <c r="J144" s="328">
        <f>H144/DAY(B2)</f>
        <v>218.22222222222223</v>
      </c>
    </row>
    <row r="145" spans="1:10" ht="25.5">
      <c r="A145" s="897" t="s">
        <v>190</v>
      </c>
      <c r="B145" s="897"/>
      <c r="C145" s="897"/>
      <c r="D145" s="152" t="s">
        <v>183</v>
      </c>
      <c r="E145" s="406">
        <f>'8'!F145</f>
        <v>6059.79</v>
      </c>
      <c r="F145" s="148">
        <v>6084.72</v>
      </c>
      <c r="G145" s="112">
        <f t="shared" si="11"/>
        <v>24.930000000000291</v>
      </c>
      <c r="H145" s="99">
        <f>G145+'8'!H145</f>
        <v>277.72000000000025</v>
      </c>
      <c r="I145" s="140"/>
      <c r="J145" s="328">
        <f>H145/DAY(B2)</f>
        <v>30.857777777777805</v>
      </c>
    </row>
    <row r="146" spans="1:10" ht="25.5">
      <c r="A146" s="932" t="s">
        <v>191</v>
      </c>
      <c r="B146" s="917"/>
      <c r="C146" s="918"/>
      <c r="D146" s="152" t="s">
        <v>183</v>
      </c>
      <c r="E146" s="406">
        <f>'8'!F146</f>
        <v>781462</v>
      </c>
      <c r="F146" s="148">
        <v>781539</v>
      </c>
      <c r="G146" s="112">
        <f t="shared" si="11"/>
        <v>77</v>
      </c>
      <c r="H146" s="99">
        <f>G146+'8'!H146</f>
        <v>739</v>
      </c>
      <c r="I146" s="140"/>
      <c r="J146" s="328">
        <f>H146/DAY(B2)</f>
        <v>82.111111111111114</v>
      </c>
    </row>
    <row r="147" spans="1:10" ht="25.5">
      <c r="A147" s="876" t="s">
        <v>192</v>
      </c>
      <c r="B147" s="876"/>
      <c r="C147" s="876"/>
      <c r="D147" s="152" t="s">
        <v>183</v>
      </c>
      <c r="E147" s="406">
        <f>'8'!F147</f>
        <v>702797.68</v>
      </c>
      <c r="F147" s="148">
        <v>703198.32</v>
      </c>
      <c r="G147" s="112">
        <f t="shared" si="11"/>
        <v>400.63999999989755</v>
      </c>
      <c r="H147" s="99">
        <f>G147+'8'!H147</f>
        <v>3429.3199999999488</v>
      </c>
      <c r="I147" s="140"/>
      <c r="J147" s="328">
        <f>H147/DAY(B2)</f>
        <v>381.03555555554988</v>
      </c>
    </row>
    <row r="148" spans="1:10" ht="25.5">
      <c r="A148" s="877" t="s">
        <v>193</v>
      </c>
      <c r="B148" s="878"/>
      <c r="C148" s="879"/>
      <c r="D148" s="123" t="s">
        <v>130</v>
      </c>
      <c r="E148" s="406">
        <f>'8'!F148</f>
        <v>750883.92</v>
      </c>
      <c r="F148" s="164">
        <v>751238.96</v>
      </c>
      <c r="G148" s="112">
        <f t="shared" si="11"/>
        <v>355.03999999992084</v>
      </c>
      <c r="H148" s="99">
        <f>G148+'8'!H148</f>
        <v>2708.9599999999627</v>
      </c>
      <c r="I148" s="124"/>
      <c r="J148" s="328">
        <f>H148/DAY(B2)</f>
        <v>300.99555555555139</v>
      </c>
    </row>
    <row r="149" spans="1:10" ht="25.5">
      <c r="A149" s="877" t="s">
        <v>336</v>
      </c>
      <c r="B149" s="878"/>
      <c r="C149" s="879"/>
      <c r="D149" s="227" t="s">
        <v>130</v>
      </c>
      <c r="E149" s="406">
        <f>'8'!F149</f>
        <v>136223.09</v>
      </c>
      <c r="F149" s="416">
        <v>136729.85999999999</v>
      </c>
      <c r="G149" s="112">
        <f t="shared" si="11"/>
        <v>506.76999999998952</v>
      </c>
      <c r="H149" s="99">
        <f>G149+'8'!H149</f>
        <v>4295.859999999986</v>
      </c>
      <c r="I149" s="119"/>
      <c r="J149" s="328">
        <f>H149/DAY(B2)</f>
        <v>477.3177777777762</v>
      </c>
    </row>
    <row r="150" spans="1:10" ht="25.5">
      <c r="A150" s="877" t="s">
        <v>337</v>
      </c>
      <c r="B150" s="878"/>
      <c r="C150" s="879"/>
      <c r="D150" s="117" t="s">
        <v>130</v>
      </c>
      <c r="E150" s="406">
        <f>'8'!F150</f>
        <v>52399.09</v>
      </c>
      <c r="F150" s="233">
        <v>52620.88</v>
      </c>
      <c r="G150" s="112">
        <f t="shared" si="11"/>
        <v>221.79000000000087</v>
      </c>
      <c r="H150" s="99">
        <f>G150+'8'!H150</f>
        <v>2005.8799999999974</v>
      </c>
      <c r="I150" s="119"/>
      <c r="J150" s="328">
        <f>H150/DAY(B2)</f>
        <v>222.87555555555525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'8'!F151</f>
        <v>137673</v>
      </c>
      <c r="F151" s="233">
        <v>137904</v>
      </c>
      <c r="G151" s="112">
        <f t="shared" si="11"/>
        <v>231</v>
      </c>
      <c r="H151" s="99">
        <f>G151+'8'!H151</f>
        <v>2455</v>
      </c>
      <c r="I151" s="119"/>
      <c r="J151" s="328">
        <f>H151/DAY(B2)</f>
        <v>272.77777777777777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'8'!F152</f>
        <v>24099.55</v>
      </c>
      <c r="F152" s="233">
        <v>24217.64</v>
      </c>
      <c r="G152" s="112">
        <f t="shared" si="11"/>
        <v>118.09000000000015</v>
      </c>
      <c r="H152" s="99">
        <f>G152+'8'!H152</f>
        <v>1063.6399999999994</v>
      </c>
      <c r="I152" s="119"/>
      <c r="J152" s="328">
        <f>H152/DAY(B2)</f>
        <v>118.18222222222215</v>
      </c>
    </row>
    <row r="153" spans="1:10" ht="25.5">
      <c r="A153" s="880" t="s">
        <v>196</v>
      </c>
      <c r="B153" s="881"/>
      <c r="C153" s="365"/>
      <c r="D153" s="358"/>
      <c r="E153" s="360"/>
      <c r="F153" s="361"/>
      <c r="G153" s="362">
        <f>SUM(G138:G152)</f>
        <v>2760.2499999998167</v>
      </c>
      <c r="H153" s="363"/>
      <c r="I153" s="119">
        <f>G153-(G38+G52)</f>
        <v>517.36999999981208</v>
      </c>
      <c r="J153" s="366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95">
        <f>'8'!F155</f>
        <v>153441.1</v>
      </c>
      <c r="F155" s="374">
        <v>154149.43</v>
      </c>
      <c r="G155" s="112">
        <f t="shared" ref="G155:G158" si="12">F155-E155</f>
        <v>708.32999999998719</v>
      </c>
      <c r="H155" s="99">
        <f>G155+'8'!H155</f>
        <v>6000.429999999993</v>
      </c>
      <c r="I155" s="364"/>
      <c r="J155" s="328">
        <f>H155/DAY(B2)</f>
        <v>666.71444444444364</v>
      </c>
    </row>
    <row r="156" spans="1:10" ht="25.5">
      <c r="A156" s="876" t="s">
        <v>346</v>
      </c>
      <c r="B156" s="876"/>
      <c r="C156" s="876"/>
      <c r="D156" s="117" t="s">
        <v>130</v>
      </c>
      <c r="E156" s="95">
        <f>'8'!F156</f>
        <v>15549.63</v>
      </c>
      <c r="F156" s="155">
        <v>15647.78</v>
      </c>
      <c r="G156" s="112">
        <f t="shared" si="12"/>
        <v>98.150000000001455</v>
      </c>
      <c r="H156" s="99">
        <f>G156+'8'!H156</f>
        <v>913.78000000000065</v>
      </c>
      <c r="I156" s="165"/>
      <c r="J156" s="328">
        <f>H156/DAY(B2)</f>
        <v>101.53111111111119</v>
      </c>
    </row>
    <row r="157" spans="1:10" ht="25.5">
      <c r="A157" s="877" t="s">
        <v>360</v>
      </c>
      <c r="B157" s="878"/>
      <c r="C157" s="879"/>
      <c r="D157" s="117" t="s">
        <v>130</v>
      </c>
      <c r="E157" s="95">
        <f>'8'!F157</f>
        <v>28616.1</v>
      </c>
      <c r="F157" s="155">
        <v>28772.240000000002</v>
      </c>
      <c r="G157" s="112">
        <f t="shared" si="12"/>
        <v>156.14000000000306</v>
      </c>
      <c r="H157" s="99">
        <f>G157+'8'!H157</f>
        <v>1326.2400000000016</v>
      </c>
      <c r="I157" s="165"/>
      <c r="J157" s="328">
        <f>H157/DAY(B2)</f>
        <v>147.36000000000018</v>
      </c>
    </row>
    <row r="158" spans="1:10" ht="25.5">
      <c r="A158" s="877" t="s">
        <v>361</v>
      </c>
      <c r="B158" s="878"/>
      <c r="C158" s="879"/>
      <c r="D158" s="117" t="s">
        <v>130</v>
      </c>
      <c r="E158" s="95">
        <f>'8'!F158</f>
        <v>240.42</v>
      </c>
      <c r="F158" s="155">
        <v>240.52</v>
      </c>
      <c r="G158" s="112">
        <f t="shared" si="12"/>
        <v>0.10000000000002274</v>
      </c>
      <c r="H158" s="99">
        <f>G158+'8'!H158</f>
        <v>152.1</v>
      </c>
      <c r="I158" s="165"/>
      <c r="J158" s="328">
        <f>H158/DAY(B2)</f>
        <v>16.899999999999999</v>
      </c>
    </row>
    <row r="159" spans="1:10" ht="25.5">
      <c r="A159" s="962"/>
      <c r="B159" s="963"/>
      <c r="C159" s="964"/>
      <c r="D159" s="117"/>
      <c r="E159" s="95"/>
      <c r="F159" s="155"/>
      <c r="G159" s="112"/>
      <c r="H159" s="99">
        <f>G159+'8'!H159</f>
        <v>0</v>
      </c>
      <c r="I159" s="165"/>
      <c r="J159" s="328">
        <f>H159/DAY(B2)</f>
        <v>0</v>
      </c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480278.04</v>
      </c>
      <c r="F161" s="235">
        <v>480304.2</v>
      </c>
      <c r="G161" s="238">
        <f t="shared" ref="G161:G166" si="13">F161-E161</f>
        <v>26.160000000032596</v>
      </c>
      <c r="H161" s="99">
        <f>G161+'8'!H161</f>
        <v>251.20000000001164</v>
      </c>
      <c r="I161" s="236"/>
      <c r="J161" s="239">
        <f>H161/DAY(B2)</f>
        <v>27.911111111112405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95268.5</v>
      </c>
      <c r="F162" s="235">
        <v>95321.4</v>
      </c>
      <c r="G162" s="238">
        <f t="shared" si="13"/>
        <v>52.899999999994179</v>
      </c>
      <c r="H162" s="99">
        <f>G162+'8'!H162</f>
        <v>393.39999999999418</v>
      </c>
      <c r="I162" s="236"/>
      <c r="J162" s="239">
        <f>H162/DAY(B2)</f>
        <v>43.711111111110462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7405.7</v>
      </c>
      <c r="F163" s="235">
        <v>7547.4</v>
      </c>
      <c r="G163" s="238">
        <f t="shared" si="13"/>
        <v>141.69999999999982</v>
      </c>
      <c r="H163" s="99">
        <f>G163+'8'!H163</f>
        <v>1046.3999999999996</v>
      </c>
      <c r="I163" s="236"/>
      <c r="J163" s="239">
        <f>H163/DAY(B2)</f>
        <v>116.26666666666662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6294.4</v>
      </c>
      <c r="F164" s="235">
        <v>6305.3</v>
      </c>
      <c r="G164" s="238">
        <f t="shared" si="13"/>
        <v>10.900000000000546</v>
      </c>
      <c r="H164" s="99">
        <f>G164+'8'!H164</f>
        <v>25.300000000000182</v>
      </c>
      <c r="I164" s="236"/>
      <c r="J164" s="239">
        <f>H164/DAY(B2)</f>
        <v>2.8111111111111313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31699.21</v>
      </c>
      <c r="F165" s="235">
        <v>31709.29</v>
      </c>
      <c r="G165" s="238">
        <f t="shared" si="13"/>
        <v>10.080000000001746</v>
      </c>
      <c r="H165" s="99">
        <f>G165+'8'!H165</f>
        <v>75.290000000000873</v>
      </c>
      <c r="I165" s="236"/>
      <c r="J165" s="239">
        <f>H165/DAY(B2)</f>
        <v>8.3655555555556518</v>
      </c>
    </row>
    <row r="166" spans="1:10" ht="26.25">
      <c r="A166" s="885"/>
      <c r="B166" s="885"/>
      <c r="C166" s="246"/>
      <c r="D166" s="244" t="s">
        <v>180</v>
      </c>
      <c r="E166" s="95">
        <f>'8'!F166</f>
        <v>0</v>
      </c>
      <c r="F166" s="155">
        <v>0</v>
      </c>
      <c r="G166" s="15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885"/>
      <c r="B167" s="885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885"/>
      <c r="B168" s="885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'8'!F173</f>
        <v>8247</v>
      </c>
      <c r="F173" s="155">
        <v>8247</v>
      </c>
      <c r="G173" s="155">
        <f>F173-E173</f>
        <v>0</v>
      </c>
      <c r="H173" s="99">
        <f>G173+'8'!H173</f>
        <v>12</v>
      </c>
      <c r="I173" s="155"/>
      <c r="J173" s="178">
        <f>H173/DAY(B2)</f>
        <v>1.3333333333333333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'8'!F174</f>
        <v>41312</v>
      </c>
      <c r="F174" s="157">
        <v>41328</v>
      </c>
      <c r="G174" s="155">
        <f t="shared" ref="G174:G175" si="14">F174-E174</f>
        <v>16</v>
      </c>
      <c r="H174" s="99">
        <f>G174+'8'!H174</f>
        <v>124</v>
      </c>
      <c r="I174" s="155"/>
      <c r="J174" s="178">
        <f>H174/DAY(B2)</f>
        <v>13.777777777777779</v>
      </c>
    </row>
    <row r="175" spans="1:10" ht="25.5">
      <c r="A175" s="891" t="s">
        <v>76</v>
      </c>
      <c r="B175" s="931"/>
      <c r="C175" s="892"/>
      <c r="D175" s="228" t="s">
        <v>142</v>
      </c>
      <c r="E175" s="95">
        <f>'8'!F175</f>
        <v>24126</v>
      </c>
      <c r="F175" s="155">
        <v>24137</v>
      </c>
      <c r="G175" s="155">
        <f t="shared" si="14"/>
        <v>11</v>
      </c>
      <c r="H175" s="99">
        <f>G175+'8'!H175</f>
        <v>106</v>
      </c>
      <c r="I175" s="155"/>
      <c r="J175" s="178">
        <f>H175/DAY(B2)</f>
        <v>11.777777777777779</v>
      </c>
    </row>
    <row r="176" spans="1:10" ht="25.5">
      <c r="A176" s="880" t="s">
        <v>196</v>
      </c>
      <c r="B176" s="881"/>
      <c r="C176" s="333"/>
      <c r="D176" s="228" t="s">
        <v>142</v>
      </c>
      <c r="E176" s="95"/>
      <c r="F176" s="155"/>
      <c r="G176" s="155">
        <f>SUM(G173:G175)</f>
        <v>27</v>
      </c>
      <c r="H176" s="99">
        <f>G176+'8'!H176</f>
        <v>242</v>
      </c>
      <c r="I176" s="155"/>
      <c r="J176" s="178">
        <f>H176/DAY(B2)</f>
        <v>26.888888888888889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'8'!F178</f>
        <v>98358</v>
      </c>
      <c r="F178" s="157">
        <v>98425</v>
      </c>
      <c r="G178" s="754">
        <f>F178-E178</f>
        <v>67</v>
      </c>
      <c r="H178" s="99">
        <f>G178+'8'!H178</f>
        <v>712</v>
      </c>
      <c r="I178" s="155"/>
      <c r="J178" s="178">
        <f>H178/DAY(B2)</f>
        <v>79.111111111111114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'8'!F179</f>
        <v>36002</v>
      </c>
      <c r="F179" s="157">
        <v>36002</v>
      </c>
      <c r="G179" s="155">
        <f t="shared" ref="G179:G180" si="15">F179-E179</f>
        <v>0</v>
      </c>
      <c r="H179" s="99">
        <f>G179+'8'!H179</f>
        <v>0</v>
      </c>
      <c r="I179" s="155"/>
      <c r="J179" s="178">
        <f>H179/DAY(B2)</f>
        <v>0</v>
      </c>
    </row>
    <row r="180" spans="1:10" ht="31.5" customHeight="1">
      <c r="A180" s="891" t="s">
        <v>212</v>
      </c>
      <c r="B180" s="892"/>
      <c r="C180" s="333"/>
      <c r="D180" s="228" t="s">
        <v>142</v>
      </c>
      <c r="E180" s="95">
        <f>'8'!F180</f>
        <v>7176</v>
      </c>
      <c r="F180" s="155">
        <v>7176</v>
      </c>
      <c r="G180" s="155">
        <f t="shared" si="15"/>
        <v>0</v>
      </c>
      <c r="H180" s="99">
        <f>G180+'8'!H180</f>
        <v>14</v>
      </c>
      <c r="I180" s="155"/>
      <c r="J180" s="178">
        <f>H180/DAY(B2)</f>
        <v>1.5555555555555556</v>
      </c>
    </row>
    <row r="181" spans="1:10" ht="25.5">
      <c r="A181" s="893" t="s">
        <v>108</v>
      </c>
      <c r="B181" s="894"/>
      <c r="C181" s="333"/>
      <c r="D181" s="228" t="s">
        <v>142</v>
      </c>
      <c r="E181" s="95"/>
      <c r="F181" s="155"/>
      <c r="G181" s="155">
        <f>SUM(G178:G180)</f>
        <v>67</v>
      </c>
      <c r="H181" s="99">
        <f>G181+'8'!H181</f>
        <v>726</v>
      </c>
      <c r="I181" s="155"/>
      <c r="J181" s="178">
        <f>H181/DAY(B2)</f>
        <v>80.666666666666671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'8'!F183</f>
        <v>17536</v>
      </c>
      <c r="F183" s="157">
        <v>17553</v>
      </c>
      <c r="G183" s="157">
        <f>F183-E183</f>
        <v>17</v>
      </c>
      <c r="H183" s="99">
        <f>G183+'8'!H183</f>
        <v>80</v>
      </c>
      <c r="I183" s="155"/>
      <c r="J183" s="178">
        <f>H183/DAY(B2)</f>
        <v>8.8888888888888893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'8'!F184</f>
        <v>11993</v>
      </c>
      <c r="F184" s="157">
        <v>12001</v>
      </c>
      <c r="G184" s="157">
        <f t="shared" ref="G184:G185" si="16">F184-E184</f>
        <v>8</v>
      </c>
      <c r="H184" s="99">
        <f>G184+'8'!H184</f>
        <v>66</v>
      </c>
      <c r="I184" s="155"/>
      <c r="J184" s="178">
        <f>H184/DAY(B2)</f>
        <v>7.333333333333333</v>
      </c>
    </row>
    <row r="185" spans="1:10" ht="35.25" customHeight="1">
      <c r="A185" s="891" t="s">
        <v>216</v>
      </c>
      <c r="B185" s="892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880" t="s">
        <v>196</v>
      </c>
      <c r="B186" s="881"/>
      <c r="C186" s="334"/>
      <c r="D186" s="228" t="s">
        <v>142</v>
      </c>
      <c r="E186" s="95"/>
      <c r="F186" s="157"/>
      <c r="G186" s="157">
        <f>SUM(G183:G185)</f>
        <v>25</v>
      </c>
      <c r="H186" s="99">
        <f>G186+'8'!H186</f>
        <v>146</v>
      </c>
      <c r="I186" s="157"/>
      <c r="J186" s="178">
        <f>H186/DAY(B2)</f>
        <v>16.222222222222221</v>
      </c>
    </row>
    <row r="187" spans="1:10" ht="25.5">
      <c r="A187" s="882" t="s">
        <v>217</v>
      </c>
      <c r="B187" s="883"/>
      <c r="C187" s="333"/>
      <c r="D187" s="230" t="s">
        <v>142</v>
      </c>
      <c r="E187" s="95"/>
      <c r="F187" s="159"/>
      <c r="G187" s="159">
        <f>G62+G19</f>
        <v>172</v>
      </c>
      <c r="H187" s="99">
        <f>G187+'8'!H187</f>
        <v>1476</v>
      </c>
      <c r="I187" s="158"/>
      <c r="J187" s="179">
        <f>H187/DAY(B2)</f>
        <v>164</v>
      </c>
    </row>
    <row r="188" spans="1:10" ht="25.5">
      <c r="A188" s="882" t="s">
        <v>218</v>
      </c>
      <c r="B188" s="883"/>
      <c r="C188" s="333"/>
      <c r="D188" s="230" t="s">
        <v>142</v>
      </c>
      <c r="E188" s="95"/>
      <c r="F188" s="159"/>
      <c r="G188" s="159">
        <f>G65+G66+G67+G69+G70</f>
        <v>159</v>
      </c>
      <c r="H188" s="99">
        <f>G188+'8'!H188</f>
        <v>1294</v>
      </c>
      <c r="I188" s="158"/>
      <c r="J188" s="179">
        <f>H188/DAY(B2)</f>
        <v>143.77777777777777</v>
      </c>
    </row>
    <row r="189" spans="1:10" ht="25.5">
      <c r="A189" s="882" t="s">
        <v>219</v>
      </c>
      <c r="B189" s="883"/>
      <c r="C189" s="333"/>
      <c r="D189" s="230" t="s">
        <v>142</v>
      </c>
      <c r="E189" s="95"/>
      <c r="F189" s="157"/>
      <c r="G189" s="157">
        <f>G181</f>
        <v>67</v>
      </c>
      <c r="H189" s="99">
        <f>G189+'8'!H189</f>
        <v>726</v>
      </c>
      <c r="I189" s="158"/>
      <c r="J189" s="179">
        <f>H189/DAY(B2)</f>
        <v>80.666666666666671</v>
      </c>
    </row>
    <row r="190" spans="1:10" ht="29.25" customHeight="1">
      <c r="A190" s="889"/>
      <c r="B190" s="890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58" zoomScale="55" zoomScaleNormal="55" zoomScaleSheetLayoutView="55" workbookViewId="0">
      <selection activeCell="F183" sqref="F18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354</v>
      </c>
      <c r="B2" s="262">
        <v>44783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'9'!F7</f>
        <v>572804.39</v>
      </c>
      <c r="F7" s="95">
        <v>599830.71</v>
      </c>
      <c r="G7" s="112">
        <f>F7-E7</f>
        <v>27026.319999999949</v>
      </c>
      <c r="H7" s="99">
        <f>G7+'9'!H7</f>
        <v>262700.70999999996</v>
      </c>
      <c r="I7" s="113">
        <f>'1'!I7</f>
        <v>12000</v>
      </c>
      <c r="J7" s="175">
        <f>H7/DAY(B2)</f>
        <v>26270.070999999996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'9'!F8</f>
        <v>727772.31</v>
      </c>
      <c r="F8" s="95">
        <v>755289.19</v>
      </c>
      <c r="G8" s="115">
        <f>F8-E8</f>
        <v>27516.879999999888</v>
      </c>
      <c r="H8" s="99">
        <f>G8+'9'!H8</f>
        <v>266702.18999999994</v>
      </c>
      <c r="I8" s="116"/>
      <c r="J8" s="175">
        <f>H8/DAY(B2)</f>
        <v>26670.218999999994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'9'!F9</f>
        <v>3335065.3</v>
      </c>
      <c r="F9" s="469">
        <v>3341882.7</v>
      </c>
      <c r="G9" s="112">
        <f>F9-E9</f>
        <v>6817.4000000003725</v>
      </c>
      <c r="H9" s="99">
        <f>G9+'9'!H9</f>
        <v>62816.700000000186</v>
      </c>
      <c r="I9" s="124">
        <f>I7-J7</f>
        <v>-14270.070999999996</v>
      </c>
      <c r="J9" s="175">
        <f>H9/DAY(B2)</f>
        <v>6281.6700000000183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'9'!F10</f>
        <v>1840551.1</v>
      </c>
      <c r="F10" s="117">
        <v>1860042.1</v>
      </c>
      <c r="G10" s="112">
        <f t="shared" ref="G10:G12" si="0">F10-E10</f>
        <v>19491</v>
      </c>
      <c r="H10" s="99">
        <f>G10+'9'!H10</f>
        <v>192884.10000000009</v>
      </c>
      <c r="I10" s="282"/>
      <c r="J10" s="175">
        <f>H10/DAY(B2)</f>
        <v>19288.410000000011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'9'!F11</f>
        <v>37560</v>
      </c>
      <c r="F11" s="95">
        <v>37560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'9'!F12</f>
        <v>40380</v>
      </c>
      <c r="F12" s="117">
        <v>40380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26308.400000000373</v>
      </c>
      <c r="H13" s="99">
        <f>G13+'9'!H13</f>
        <v>257035.40000000014</v>
      </c>
      <c r="I13" s="120">
        <f>G7-G13</f>
        <v>717.91999999957625</v>
      </c>
      <c r="J13" s="175">
        <f>H13/DAY(B2)</f>
        <v>25703.540000000015</v>
      </c>
      <c r="K13" s="79"/>
      <c r="L13" s="66"/>
      <c r="N13" s="87"/>
      <c r="O13" s="71"/>
    </row>
    <row r="14" spans="1:15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'9'!F15</f>
        <v>2110123.7400000002</v>
      </c>
      <c r="F15" s="469">
        <v>2111274.08</v>
      </c>
      <c r="G15" s="112">
        <f>(F15-E15)</f>
        <v>1150.339999999851</v>
      </c>
      <c r="H15" s="99">
        <f>G15+'9'!H15</f>
        <v>10406.080000000075</v>
      </c>
      <c r="I15" s="113">
        <f>'1'!I15</f>
        <v>800</v>
      </c>
      <c r="J15" s="175">
        <f>H15/DAY(B2)</f>
        <v>1040.6080000000075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-240.60800000000745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'9'!F18</f>
        <v>3</v>
      </c>
      <c r="F18" s="164">
        <v>17</v>
      </c>
      <c r="G18" s="119">
        <f>F18*10</f>
        <v>170</v>
      </c>
      <c r="H18" s="99">
        <f>G18+'9'!H18</f>
        <v>1480</v>
      </c>
      <c r="I18" s="113">
        <f>'1'!I18</f>
        <v>65</v>
      </c>
      <c r="J18" s="175">
        <f>H18/DAY(B2)</f>
        <v>148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'9'!F19</f>
        <v>162798</v>
      </c>
      <c r="F19" s="122">
        <v>162848</v>
      </c>
      <c r="G19" s="112">
        <v>50</v>
      </c>
      <c r="H19" s="99">
        <f>G19+'9'!H19</f>
        <v>513</v>
      </c>
      <c r="I19" s="335"/>
      <c r="J19" s="175">
        <f>H19/DAY(B2)</f>
        <v>51.3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220</v>
      </c>
      <c r="H20" s="99">
        <f>G20+'9'!H20</f>
        <v>1993</v>
      </c>
      <c r="I20" s="336">
        <f>I18-J20</f>
        <v>-134.30000000000001</v>
      </c>
      <c r="J20" s="175">
        <f>H20/DAY(B2)</f>
        <v>199.3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1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'9'!F23</f>
        <v>2000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27516.879999999888</v>
      </c>
      <c r="F27" s="136">
        <v>9</v>
      </c>
      <c r="G27" s="137">
        <f>E27*F27</f>
        <v>247651.91999999899</v>
      </c>
      <c r="H27" s="99">
        <f>G27+'9'!H27</f>
        <v>2400319.7099999995</v>
      </c>
      <c r="I27" s="138"/>
      <c r="J27" s="175">
        <f>H27/DAY(B2)</f>
        <v>240031.97099999996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1150.339999999851</v>
      </c>
      <c r="F28" s="136">
        <v>70</v>
      </c>
      <c r="G28" s="137">
        <f>E28*F28</f>
        <v>80523.799999989569</v>
      </c>
      <c r="H28" s="99">
        <f>G28+'9'!H28</f>
        <v>728425.60000000522</v>
      </c>
      <c r="I28" s="140"/>
      <c r="J28" s="175">
        <f>H28/DAY(B2)</f>
        <v>72842.560000000522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G30+'9'!H30</f>
        <v>77463</v>
      </c>
      <c r="I30" s="140"/>
      <c r="J30" s="175">
        <f>H30/DAY(B2)</f>
        <v>7746.3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G31+'9'!H31</f>
        <v>118400</v>
      </c>
      <c r="I31" s="140"/>
      <c r="J31" s="175">
        <f>H31/DAY(B2)</f>
        <v>11840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349325.71999998856</v>
      </c>
      <c r="H32" s="99">
        <f>G32+'9'!H32</f>
        <v>3324608.3100000052</v>
      </c>
      <c r="I32" s="144"/>
      <c r="J32" s="175">
        <f>H32/DAY(B2)</f>
        <v>332460.83100000053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'9'!F35</f>
        <v>238713.05</v>
      </c>
      <c r="F35" s="145">
        <v>238713.05</v>
      </c>
      <c r="G35" s="112">
        <f t="shared" ref="G35:G46" si="2">F35-E35</f>
        <v>0</v>
      </c>
      <c r="H35" s="99">
        <f>G35+'9'!H35</f>
        <v>4.9999999988358468E-2</v>
      </c>
      <c r="I35" s="95"/>
      <c r="J35" s="175">
        <f>H35/DAY(B2)</f>
        <v>4.9999999988358471E-3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'9'!F36</f>
        <v>223382.71</v>
      </c>
      <c r="F36" s="145">
        <v>224425.37</v>
      </c>
      <c r="G36" s="112">
        <f t="shared" si="2"/>
        <v>1042.6600000000035</v>
      </c>
      <c r="H36" s="99">
        <f>G36+'9'!H36</f>
        <v>8895.3699999999953</v>
      </c>
      <c r="I36" s="95"/>
      <c r="J36" s="175">
        <f>H36/DAY(B2)</f>
        <v>889.53699999999958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'9'!F37</f>
        <v>322998.69</v>
      </c>
      <c r="F37" s="145">
        <v>322998.69</v>
      </c>
      <c r="G37" s="112">
        <f t="shared" si="2"/>
        <v>0</v>
      </c>
      <c r="H37" s="99">
        <f>G37+'9'!H37</f>
        <v>-0.30999999999767169</v>
      </c>
      <c r="I37" s="95"/>
      <c r="J37" s="175">
        <f>H37/DAY(B2)</f>
        <v>-3.0999999999767169E-2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'9'!F38</f>
        <v>477614.23</v>
      </c>
      <c r="F38" s="108">
        <v>479826.15</v>
      </c>
      <c r="G38" s="112">
        <f t="shared" si="2"/>
        <v>2211.9200000000419</v>
      </c>
      <c r="H38" s="99">
        <f>G38+'9'!H38</f>
        <v>22465.150000000023</v>
      </c>
      <c r="I38" s="95"/>
      <c r="J38" s="175">
        <f>H38/DAY(B2)</f>
        <v>2246.5150000000021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'9'!F39</f>
        <v>591584.18999999994</v>
      </c>
      <c r="F39" s="145">
        <v>591584.18999999994</v>
      </c>
      <c r="G39" s="112">
        <f t="shared" si="2"/>
        <v>0</v>
      </c>
      <c r="H39" s="99">
        <f>G39+'9'!H39</f>
        <v>0.18999999994412065</v>
      </c>
      <c r="I39" s="95"/>
      <c r="J39" s="175">
        <f>H39/DAY(B2)</f>
        <v>1.8999999994412063E-2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'9'!F40</f>
        <v>114474.68</v>
      </c>
      <c r="F40" s="145">
        <v>115288.62</v>
      </c>
      <c r="G40" s="112">
        <f t="shared" si="2"/>
        <v>813.94000000000233</v>
      </c>
      <c r="H40" s="99">
        <f>G40+'9'!H40</f>
        <v>8512.6199999999953</v>
      </c>
      <c r="I40" s="95"/>
      <c r="J40" s="175">
        <f>H40/DAY(B2)</f>
        <v>851.26199999999949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'9'!F41</f>
        <v>233549.29</v>
      </c>
      <c r="F41" s="145">
        <v>233549.29</v>
      </c>
      <c r="G41" s="112">
        <f t="shared" si="2"/>
        <v>0</v>
      </c>
      <c r="H41" s="99">
        <f>G41+'9'!H41</f>
        <v>21846.290000000008</v>
      </c>
      <c r="I41" s="95"/>
      <c r="J41" s="175">
        <f>H41/DAY(B2)</f>
        <v>2184.6290000000008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'9'!F42</f>
        <v>755463.51</v>
      </c>
      <c r="F42" s="145">
        <v>759164.47</v>
      </c>
      <c r="G42" s="112">
        <f t="shared" si="2"/>
        <v>3700.9599999999627</v>
      </c>
      <c r="H42" s="99">
        <f>G42+'9'!H42</f>
        <v>10800.469999999972</v>
      </c>
      <c r="I42" s="95"/>
      <c r="J42" s="175">
        <f>H42/DAY(B2)</f>
        <v>1080.0469999999973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'9'!F43</f>
        <v>407028</v>
      </c>
      <c r="F43" s="145">
        <v>407028</v>
      </c>
      <c r="G43" s="112">
        <f t="shared" si="2"/>
        <v>0</v>
      </c>
      <c r="H43" s="99">
        <f>G43+'9'!H43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2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2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2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7769.4800000000105</v>
      </c>
      <c r="H47" s="99">
        <f>G47+'9'!H47</f>
        <v>72519.829999999929</v>
      </c>
      <c r="I47" s="95"/>
      <c r="J47" s="175">
        <f>H47/DAY(B2)</f>
        <v>7251.9829999999929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'9'!F49</f>
        <v>520437.15</v>
      </c>
      <c r="F49" s="145">
        <v>524569.39</v>
      </c>
      <c r="G49" s="112">
        <f t="shared" ref="G49:G58" si="3">F49-E49</f>
        <v>4132.2399999999907</v>
      </c>
      <c r="H49" s="99">
        <f>G49+'9'!H49</f>
        <v>39515.390000000014</v>
      </c>
      <c r="I49" s="95"/>
      <c r="J49" s="175">
        <f>H49/DAY(B2)</f>
        <v>3951.5390000000016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'9'!F50</f>
        <v>293361.53000000003</v>
      </c>
      <c r="F50" s="145">
        <v>294602.33</v>
      </c>
      <c r="G50" s="112">
        <f t="shared" si="3"/>
        <v>1240.7999999999884</v>
      </c>
      <c r="H50" s="99">
        <f>G50+'9'!H50</f>
        <v>11852.330000000016</v>
      </c>
      <c r="I50" s="95"/>
      <c r="J50" s="175">
        <f>H50/DAY(B2)</f>
        <v>1185.2330000000015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'9'!F51</f>
        <v>18374.7</v>
      </c>
      <c r="F51" s="145">
        <v>19420.78</v>
      </c>
      <c r="G51" s="112">
        <f t="shared" si="3"/>
        <v>1046.0799999999981</v>
      </c>
      <c r="H51" s="99">
        <f>G51+'9'!H51</f>
        <v>10912.779999999999</v>
      </c>
      <c r="I51" s="95"/>
      <c r="J51" s="175">
        <f>H51/DAY(B2)</f>
        <v>1091.2779999999998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'9'!F52</f>
        <v>9.76</v>
      </c>
      <c r="F52" s="145">
        <v>9.76</v>
      </c>
      <c r="G52" s="112">
        <f t="shared" si="3"/>
        <v>0</v>
      </c>
      <c r="H52" s="99">
        <f>G52+'9'!H52</f>
        <v>-0.24000000000000021</v>
      </c>
      <c r="I52" s="95"/>
      <c r="J52" s="175">
        <f>H52/DAY(B2)</f>
        <v>-2.4000000000000021E-2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'9'!F53</f>
        <v>73369.67</v>
      </c>
      <c r="F53" s="145">
        <v>77856.22</v>
      </c>
      <c r="G53" s="112">
        <f t="shared" si="3"/>
        <v>4486.5500000000029</v>
      </c>
      <c r="H53" s="99">
        <f>G53+'9'!H53</f>
        <v>43995.22</v>
      </c>
      <c r="I53" s="95"/>
      <c r="J53" s="175">
        <f>H53/DAY(B2)</f>
        <v>4399.5219999999999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'9'!F54</f>
        <v>91172.95</v>
      </c>
      <c r="F54" s="145">
        <v>91601.44</v>
      </c>
      <c r="G54" s="112">
        <f t="shared" si="3"/>
        <v>428.49000000000524</v>
      </c>
      <c r="H54" s="99">
        <f>G54+'9'!H54</f>
        <v>3658.4400000000023</v>
      </c>
      <c r="I54" s="95"/>
      <c r="J54" s="175">
        <f>H54/DAY(B2)</f>
        <v>365.84400000000022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'9'!F55</f>
        <v>393216.99</v>
      </c>
      <c r="F55" s="423">
        <v>396842.31</v>
      </c>
      <c r="G55" s="112">
        <f t="shared" si="3"/>
        <v>3625.320000000007</v>
      </c>
      <c r="H55" s="99">
        <f>G55+'9'!H55</f>
        <v>34065.31</v>
      </c>
      <c r="I55" s="95"/>
      <c r="J55" s="175">
        <f>H55/DAY(B2)</f>
        <v>3406.5309999999999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'9'!F56</f>
        <v>123882.39</v>
      </c>
      <c r="F56" s="423">
        <v>123882.39</v>
      </c>
      <c r="G56" s="112">
        <f t="shared" si="3"/>
        <v>0</v>
      </c>
      <c r="H56" s="99">
        <f>G56+'9'!H56</f>
        <v>0.38999999999941792</v>
      </c>
      <c r="I56" s="95"/>
      <c r="J56" s="175">
        <f>H56/DAY(B2)</f>
        <v>3.899999999994179E-2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'9'!F57</f>
        <v>254180.85</v>
      </c>
      <c r="F57" s="423">
        <v>257135.57</v>
      </c>
      <c r="G57" s="112">
        <f t="shared" si="3"/>
        <v>2954.7200000000012</v>
      </c>
      <c r="H57" s="99">
        <f>G57+'9'!H57</f>
        <v>30965.570000000007</v>
      </c>
      <c r="I57" s="95"/>
      <c r="J57" s="175">
        <f>H57/DAY(B2)</f>
        <v>3096.5570000000007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'9'!F58</f>
        <v>51464.36</v>
      </c>
      <c r="F58" s="423">
        <v>51773.32</v>
      </c>
      <c r="G58" s="112">
        <f t="shared" si="3"/>
        <v>308.95999999999913</v>
      </c>
      <c r="H58" s="99">
        <f>G58+'9'!H58</f>
        <v>2664.3199999999997</v>
      </c>
      <c r="I58" s="95"/>
      <c r="J58" s="175">
        <f>H58/DAY(B2)</f>
        <v>266.43199999999996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18223.159999999993</v>
      </c>
      <c r="H59" s="99">
        <f>G59+'9'!H59</f>
        <v>177629.51000000007</v>
      </c>
      <c r="I59" s="95">
        <f>G7-G60</f>
        <v>1033.6799999999457</v>
      </c>
      <c r="J59" s="175">
        <f>H59/DAY(B2)</f>
        <v>17762.951000000008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25992.640000000003</v>
      </c>
      <c r="H60" s="99">
        <f>G60+'9'!H60</f>
        <v>250149.34</v>
      </c>
      <c r="I60" s="95">
        <f>G13-G60</f>
        <v>315.76000000036947</v>
      </c>
      <c r="J60" s="175">
        <f>H60/DAY(B2)</f>
        <v>25014.934000000001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'9'!F62</f>
        <v>297288</v>
      </c>
      <c r="F62" s="122">
        <v>297401</v>
      </c>
      <c r="G62" s="112">
        <f t="shared" ref="G62:G63" si="4">F62-E62</f>
        <v>113</v>
      </c>
      <c r="H62" s="99">
        <f>G62+'9'!H62</f>
        <v>1126</v>
      </c>
      <c r="I62" s="118"/>
      <c r="J62" s="175">
        <f>H62/DAY(B2)</f>
        <v>112.6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'9'!F63</f>
        <v>240222</v>
      </c>
      <c r="F63" s="164">
        <v>240387</v>
      </c>
      <c r="G63" s="112">
        <f t="shared" si="4"/>
        <v>165</v>
      </c>
      <c r="H63" s="99">
        <f>G63+'9'!H63</f>
        <v>1254</v>
      </c>
      <c r="I63" s="118"/>
      <c r="J63" s="175">
        <f>H63/DAY(B2)</f>
        <v>125.4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'9'!F64</f>
        <v>0</v>
      </c>
      <c r="F64" s="122"/>
      <c r="G64" s="112">
        <f>G62+G63</f>
        <v>278</v>
      </c>
      <c r="H64" s="99">
        <f>G64+'9'!H64</f>
        <v>2380</v>
      </c>
      <c r="I64" s="118"/>
      <c r="J64" s="175">
        <f>H64/DAY(B2)</f>
        <v>238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'9'!F65</f>
        <v>455643</v>
      </c>
      <c r="F65" s="122">
        <v>455754</v>
      </c>
      <c r="G65" s="112">
        <f t="shared" ref="G65:G70" si="5">F65-E65</f>
        <v>111</v>
      </c>
      <c r="H65" s="99">
        <f>G65+'9'!H65</f>
        <v>1044</v>
      </c>
      <c r="I65" s="118"/>
      <c r="J65" s="175">
        <f>H65/DAY(B2)</f>
        <v>104.4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'9'!F66</f>
        <v>111937</v>
      </c>
      <c r="F66" s="122">
        <v>111957</v>
      </c>
      <c r="G66" s="112">
        <f t="shared" si="5"/>
        <v>20</v>
      </c>
      <c r="H66" s="99">
        <f>G66+'9'!H66</f>
        <v>235</v>
      </c>
      <c r="I66" s="118"/>
      <c r="J66" s="175">
        <f>H66/DAY(B2)</f>
        <v>23.5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'9'!F67</f>
        <v>113680</v>
      </c>
      <c r="F67" s="122">
        <v>113680</v>
      </c>
      <c r="G67" s="112">
        <f t="shared" si="5"/>
        <v>0</v>
      </c>
      <c r="H67" s="99">
        <f>G67+'9'!H67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'9'!F68</f>
        <v>164895</v>
      </c>
      <c r="F68" s="122">
        <v>164927</v>
      </c>
      <c r="G68" s="112">
        <f t="shared" si="5"/>
        <v>32</v>
      </c>
      <c r="H68" s="99">
        <f>G68+'9'!H68</f>
        <v>265</v>
      </c>
      <c r="I68" s="118"/>
      <c r="J68" s="175">
        <f>H68/DAY(B2)</f>
        <v>26.5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'9'!F69</f>
        <v>12338</v>
      </c>
      <c r="F69" s="122">
        <v>12346</v>
      </c>
      <c r="G69" s="112">
        <f t="shared" si="5"/>
        <v>8</v>
      </c>
      <c r="H69" s="99">
        <f>G69+'9'!H69</f>
        <v>71</v>
      </c>
      <c r="I69" s="118"/>
      <c r="J69" s="175">
        <f>H69/DAY(B2)</f>
        <v>7.1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'9'!F70</f>
        <v>9910</v>
      </c>
      <c r="F70" s="122">
        <v>9915</v>
      </c>
      <c r="G70" s="112">
        <f t="shared" si="5"/>
        <v>5</v>
      </c>
      <c r="H70" s="99">
        <f>G70+'9'!H70</f>
        <v>88</v>
      </c>
      <c r="I70" s="118"/>
      <c r="J70" s="175">
        <f>H70/DAY(B2)</f>
        <v>8.8000000000000007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176</v>
      </c>
      <c r="H71" s="99">
        <f>G71+'9'!H71</f>
        <v>1703</v>
      </c>
      <c r="I71" s="154"/>
      <c r="J71" s="175">
        <f>H71/DAY(B2)</f>
        <v>170.3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'9'!F74</f>
        <v>960417.93</v>
      </c>
      <c r="F74" s="117">
        <v>960783.75</v>
      </c>
      <c r="G74" s="112">
        <f t="shared" ref="G74:G78" si="6">F74-E74</f>
        <v>365.81999999994878</v>
      </c>
      <c r="H74" s="99">
        <f>G74+'9'!H74</f>
        <v>3125.890000000014</v>
      </c>
      <c r="I74" s="154"/>
      <c r="J74" s="175">
        <f>H74/DAY(B2)</f>
        <v>312.58900000000142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'9'!F75</f>
        <v>73586.8</v>
      </c>
      <c r="F75" s="123">
        <v>73586.8</v>
      </c>
      <c r="G75" s="112">
        <f t="shared" si="6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'9'!F76</f>
        <v>191176.2</v>
      </c>
      <c r="F76" s="123">
        <v>191305.71</v>
      </c>
      <c r="G76" s="112">
        <f t="shared" si="6"/>
        <v>129.50999999998021</v>
      </c>
      <c r="H76" s="99">
        <f>G76+'9'!H76</f>
        <v>1133.7099999999919</v>
      </c>
      <c r="I76" s="154"/>
      <c r="J76" s="175">
        <f>H76/DAY(B2)</f>
        <v>113.37099999999919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'9'!F77</f>
        <v>50742.8</v>
      </c>
      <c r="F77" s="123">
        <v>50791.4</v>
      </c>
      <c r="G77" s="112">
        <f t="shared" si="6"/>
        <v>48.599999999998545</v>
      </c>
      <c r="H77" s="99">
        <f>G77+'9'!H77</f>
        <v>478.40000000000146</v>
      </c>
      <c r="I77" s="154"/>
      <c r="J77" s="175">
        <f>H77/DAY(B2)</f>
        <v>47.840000000000146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'9'!F78</f>
        <v>9563.4</v>
      </c>
      <c r="F78" s="123">
        <v>9563.4</v>
      </c>
      <c r="G78" s="112">
        <f t="shared" si="6"/>
        <v>0</v>
      </c>
      <c r="H78" s="99">
        <f>G78+'9'!H78</f>
        <v>0.3999999999996362</v>
      </c>
      <c r="I78" s="118"/>
      <c r="J78" s="175">
        <f>H78/DAY(B2)</f>
        <v>3.999999999996362E-2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'9'!F79</f>
        <v>0</v>
      </c>
      <c r="F79" s="117"/>
      <c r="G79" s="112">
        <f>G15-SUM(G74:G78)</f>
        <v>606.40999999992346</v>
      </c>
      <c r="H79" s="99">
        <f>G79+'9'!H79</f>
        <v>5667.6800000000676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1150.339999999851</v>
      </c>
      <c r="H80" s="99"/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7">F82-E82</f>
        <v>0</v>
      </c>
      <c r="H82" s="99">
        <f>G82+'9'!H82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7"/>
        <v>0</v>
      </c>
      <c r="H83" s="99">
        <f>G83+'9'!H83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'9'!F84</f>
        <v>42692.01</v>
      </c>
      <c r="F84" s="164">
        <v>42692.01</v>
      </c>
      <c r="G84" s="112">
        <f t="shared" si="7"/>
        <v>0</v>
      </c>
      <c r="H84" s="99">
        <f>G84+'9'!H84</f>
        <v>103.01000000000204</v>
      </c>
      <c r="I84" s="571"/>
      <c r="J84" s="175">
        <f>H84/DAY(B2)</f>
        <v>10.301000000000204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'9'!F85</f>
        <v>5171.4399999999996</v>
      </c>
      <c r="F85" s="164">
        <v>5188.0200000000004</v>
      </c>
      <c r="G85" s="112">
        <f t="shared" si="7"/>
        <v>16.580000000000837</v>
      </c>
      <c r="H85" s="99">
        <f>G85+'9'!H85</f>
        <v>47.830000000000837</v>
      </c>
      <c r="I85" s="571"/>
      <c r="J85" s="175">
        <f>H85/DAY(B2)</f>
        <v>4.7830000000000839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'9'!F86</f>
        <v>45587.18</v>
      </c>
      <c r="F86" s="164">
        <v>45611.41</v>
      </c>
      <c r="G86" s="112">
        <f t="shared" si="7"/>
        <v>24.230000000003201</v>
      </c>
      <c r="H86" s="99">
        <f>G86+'9'!H86</f>
        <v>232.41000000000349</v>
      </c>
      <c r="I86" s="571"/>
      <c r="J86" s="175">
        <f>H86/DAY(B2)</f>
        <v>23.241000000000348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'9'!F87</f>
        <v>35457</v>
      </c>
      <c r="F87" s="164">
        <v>35457</v>
      </c>
      <c r="G87" s="112">
        <f t="shared" si="7"/>
        <v>0</v>
      </c>
      <c r="H87" s="99">
        <f>G87+'9'!H87</f>
        <v>-0.43000000000029104</v>
      </c>
      <c r="I87" s="571">
        <f>G84+G85+G86+G87</f>
        <v>40.810000000004038</v>
      </c>
      <c r="J87" s="175">
        <f>H87/DAY(B2)</f>
        <v>-4.3000000000029105E-2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'9'!F88</f>
        <v>24318.959999999999</v>
      </c>
      <c r="F88" s="164">
        <v>24318.959999999999</v>
      </c>
      <c r="G88" s="112">
        <f t="shared" si="7"/>
        <v>0</v>
      </c>
      <c r="H88" s="99">
        <f>G88+'9'!H88</f>
        <v>15.5</v>
      </c>
      <c r="I88" s="571"/>
      <c r="J88" s="175">
        <f>H88/DAY(B2)</f>
        <v>1.55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'9'!F89</f>
        <v>27635.01</v>
      </c>
      <c r="F89" s="164">
        <v>27644.77</v>
      </c>
      <c r="G89" s="112">
        <f t="shared" si="7"/>
        <v>9.7600000000020373</v>
      </c>
      <c r="H89" s="99">
        <f>G89+'9'!H89</f>
        <v>78.159999999999854</v>
      </c>
      <c r="I89" s="571">
        <f>G88+G89</f>
        <v>9.7600000000020373</v>
      </c>
      <c r="J89" s="175">
        <f>H89/DAY(B2)</f>
        <v>7.8159999999999856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'9'!F90</f>
        <v>72707.509999999995</v>
      </c>
      <c r="F90" s="164">
        <v>72718.7</v>
      </c>
      <c r="G90" s="112">
        <f t="shared" si="7"/>
        <v>11.190000000002328</v>
      </c>
      <c r="H90" s="99">
        <f>G90+'9'!H90</f>
        <v>112.14999999999418</v>
      </c>
      <c r="I90" s="571">
        <f>G90</f>
        <v>11.190000000002328</v>
      </c>
      <c r="J90" s="175">
        <f>H90/DAY(B2)</f>
        <v>11.214999999999417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'9'!F91</f>
        <v>4289.5600000000004</v>
      </c>
      <c r="F91" s="122">
        <v>4289.5600000000004</v>
      </c>
      <c r="G91" s="112">
        <f t="shared" si="7"/>
        <v>0</v>
      </c>
      <c r="H91" s="99">
        <f>G91+'9'!H91</f>
        <v>2.0000000000436557E-2</v>
      </c>
      <c r="I91" s="590"/>
      <c r="J91" s="175">
        <f>H91/DAY(B2)</f>
        <v>2.0000000000436557E-3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'9'!F92</f>
        <v>6815.54</v>
      </c>
      <c r="F92" s="122">
        <v>6828.08</v>
      </c>
      <c r="G92" s="112">
        <f t="shared" si="7"/>
        <v>12.539999999999964</v>
      </c>
      <c r="H92" s="99">
        <f>G92+'9'!H92</f>
        <v>110.75</v>
      </c>
      <c r="I92" s="596">
        <f>G91+G92</f>
        <v>12.539999999999964</v>
      </c>
      <c r="J92" s="175">
        <f>H92/DAY(B2)</f>
        <v>11.074999999999999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7086.9599999999919</v>
      </c>
      <c r="H94" s="99">
        <f>G94+'9'!H94</f>
        <v>70481.010000000009</v>
      </c>
      <c r="I94" s="118"/>
      <c r="J94" s="175">
        <f>H94/DAY(B2)</f>
        <v>7048.1010000000006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0.26222437978977547</v>
      </c>
      <c r="H95" s="99">
        <f>G95+'9'!H95</f>
        <v>2.6877920459122784</v>
      </c>
      <c r="I95" s="167"/>
      <c r="J95" s="175">
        <f>H95/DAY(B2)</f>
        <v>0.26877920459122784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7326.2799999999697</v>
      </c>
      <c r="H96" s="99">
        <f>G96+'9'!H96</f>
        <v>66712.459999999977</v>
      </c>
      <c r="I96" s="118"/>
      <c r="J96" s="175">
        <f>H96/DAY(B2)</f>
        <v>6671.2459999999974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0.27107945143844903</v>
      </c>
      <c r="H97" s="99">
        <f>G97+'9'!H97</f>
        <v>2.5375753234045959</v>
      </c>
      <c r="I97" s="167"/>
      <c r="J97" s="175">
        <f>H97/DAY(B2)</f>
        <v>0.25375753234045961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4486.5500000000029</v>
      </c>
      <c r="H98" s="99">
        <f>G98+'9'!H98</f>
        <v>43995.409999999945</v>
      </c>
      <c r="I98" s="168"/>
      <c r="J98" s="175">
        <f>H98/DAY(B2)</f>
        <v>4399.5409999999947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0.16600669273508237</v>
      </c>
      <c r="H99" s="99">
        <f>G99+'9'!H99</f>
        <v>1.6757822615485856</v>
      </c>
      <c r="I99" s="168"/>
      <c r="J99" s="175">
        <f>H99/DAY(B2)</f>
        <v>0.16757822615485857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2211.9200000000419</v>
      </c>
      <c r="H100" s="99">
        <f>G100+'9'!H100</f>
        <v>22464.910000000025</v>
      </c>
      <c r="I100" s="118"/>
      <c r="J100" s="175">
        <f>H100/DAY(B2)</f>
        <v>2246.4910000000027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8.1843181017617131E-2</v>
      </c>
      <c r="H101" s="99">
        <f>G101+'9'!H101</f>
        <v>0.85587530149628821</v>
      </c>
      <c r="I101" s="168"/>
      <c r="J101" s="175">
        <f>H101/DAY(B2)</f>
        <v>8.5587530149628818E-2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2283.4599999999919</v>
      </c>
      <c r="H102" s="99">
        <f>G102+'9'!H102</f>
        <v>20747.700000000012</v>
      </c>
      <c r="I102" s="168"/>
      <c r="J102" s="175">
        <f>H102/DAY(B2)</f>
        <v>2074.7700000000013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8.449023026442358E-2</v>
      </c>
      <c r="H103" s="99">
        <f>G103+'9'!H103</f>
        <v>0.78746082990915311</v>
      </c>
      <c r="I103" s="118"/>
      <c r="J103" s="175">
        <f>H103/DAY(B2)</f>
        <v>7.8746082990915317E-2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1046.0799999999981</v>
      </c>
      <c r="H104" s="99">
        <f>G104+'9'!H104</f>
        <v>10912.470000000001</v>
      </c>
      <c r="I104" s="118"/>
      <c r="J104" s="175">
        <f>H104/DAY(B2)</f>
        <v>1091.2470000000001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3.8705972548241867E-2</v>
      </c>
      <c r="H105" s="99">
        <f>G105+'9'!H105</f>
        <v>0.41585087995458903</v>
      </c>
      <c r="I105" s="187"/>
      <c r="J105" s="188">
        <f>H105/DAY(B2)</f>
        <v>4.1585087995458903E-2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'9'!F112</f>
        <v>7919.13</v>
      </c>
      <c r="F112" s="237">
        <v>7992.18</v>
      </c>
      <c r="G112" s="112">
        <f t="shared" ref="G112:G123" si="8">F112-E112</f>
        <v>73.050000000000182</v>
      </c>
      <c r="H112" s="99">
        <f>G112+'9'!H112</f>
        <v>727.18000000000029</v>
      </c>
      <c r="I112" s="165"/>
      <c r="J112" s="328">
        <f>H112/DAY(B2)</f>
        <v>72.718000000000032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'9'!F113</f>
        <v>16279</v>
      </c>
      <c r="F113" s="237">
        <v>16407.09</v>
      </c>
      <c r="G113" s="112">
        <f t="shared" si="8"/>
        <v>128.09000000000015</v>
      </c>
      <c r="H113" s="99">
        <f>G113+'9'!H113</f>
        <v>1392.0900000000001</v>
      </c>
      <c r="I113" s="165"/>
      <c r="J113" s="328">
        <f>H113/DAY(B2)</f>
        <v>139.209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'9'!F114</f>
        <v>23229.97</v>
      </c>
      <c r="F114" s="237">
        <v>23449.64</v>
      </c>
      <c r="G114" s="112">
        <f t="shared" si="8"/>
        <v>219.66999999999825</v>
      </c>
      <c r="H114" s="99">
        <f>G114+'9'!H114</f>
        <v>2181.6399999999994</v>
      </c>
      <c r="I114" s="165"/>
      <c r="J114" s="328">
        <f>H114/DAY(B2)</f>
        <v>218.16399999999993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F115-17</f>
        <v>14859.05</v>
      </c>
      <c r="F115" s="417">
        <v>14876.05</v>
      </c>
      <c r="G115" s="112">
        <f t="shared" si="8"/>
        <v>17</v>
      </c>
      <c r="H115" s="99">
        <f>G115+'9'!H115</f>
        <v>1300.5699999999997</v>
      </c>
      <c r="I115" s="165"/>
      <c r="J115" s="328">
        <f>H115/DAY(B2)</f>
        <v>130.05699999999996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'9'!F116</f>
        <v>74038.460000000006</v>
      </c>
      <c r="F116" s="237">
        <v>74491.17</v>
      </c>
      <c r="G116" s="112">
        <f t="shared" si="8"/>
        <v>452.70999999999185</v>
      </c>
      <c r="H116" s="99">
        <f>G116+'9'!H116</f>
        <v>3999.1699999999983</v>
      </c>
      <c r="I116" s="165"/>
      <c r="J116" s="328">
        <f>H116/DAY(B2)</f>
        <v>399.9169999999998</v>
      </c>
      <c r="Q116" s="898" t="s">
        <v>311</v>
      </c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'9'!F117</f>
        <v>42981.33</v>
      </c>
      <c r="F117" s="237">
        <v>43197.89</v>
      </c>
      <c r="G117" s="112">
        <f t="shared" si="8"/>
        <v>216.55999999999767</v>
      </c>
      <c r="H117" s="99">
        <f>G117+'9'!H117</f>
        <v>2275.8899999999994</v>
      </c>
      <c r="I117" s="165"/>
      <c r="J117" s="328">
        <f>H117/DAY(B2)</f>
        <v>227.58899999999994</v>
      </c>
      <c r="Q117" s="898" t="s">
        <v>312</v>
      </c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'9'!F118</f>
        <v>70095.05</v>
      </c>
      <c r="F118" s="237">
        <v>70742.039999999994</v>
      </c>
      <c r="G118" s="112">
        <f t="shared" si="8"/>
        <v>646.98999999999069</v>
      </c>
      <c r="H118" s="99">
        <f>G118+'9'!H118</f>
        <v>6070.0399999999936</v>
      </c>
      <c r="I118" s="165"/>
      <c r="J118" s="328">
        <f>H118/DAY(B2)</f>
        <v>607.00399999999934</v>
      </c>
      <c r="Q118" s="898" t="s">
        <v>311</v>
      </c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'9'!F119</f>
        <v>39579.25</v>
      </c>
      <c r="F119" s="237">
        <v>39810.97</v>
      </c>
      <c r="G119" s="112">
        <f t="shared" si="8"/>
        <v>231.72000000000116</v>
      </c>
      <c r="H119" s="99">
        <f>G119+'9'!H119</f>
        <v>2361.9700000000012</v>
      </c>
      <c r="I119" s="165"/>
      <c r="J119" s="328">
        <f>H119/DAY(B2)</f>
        <v>236.19700000000012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'9'!F120</f>
        <v>50009.83</v>
      </c>
      <c r="F120" s="237">
        <v>50427.360000000001</v>
      </c>
      <c r="G120" s="112">
        <f t="shared" si="8"/>
        <v>417.52999999999884</v>
      </c>
      <c r="H120" s="99">
        <f>G120+'9'!H120</f>
        <v>4160.3600000000006</v>
      </c>
      <c r="I120" s="165"/>
      <c r="J120" s="328">
        <f>H120/DAY(B2)</f>
        <v>416.03600000000006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'9'!F121</f>
        <v>57825.1</v>
      </c>
      <c r="F121" s="237">
        <v>58310.46</v>
      </c>
      <c r="G121" s="112">
        <f t="shared" si="8"/>
        <v>485.36000000000058</v>
      </c>
      <c r="H121" s="99">
        <f>G121+'9'!H121</f>
        <v>4767.4599999999991</v>
      </c>
      <c r="I121" s="165"/>
      <c r="J121" s="328">
        <f>H121/DAY(B2)</f>
        <v>476.74599999999992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'9'!F122</f>
        <v>31411.26</v>
      </c>
      <c r="F122" s="237">
        <v>31739.74</v>
      </c>
      <c r="G122" s="112">
        <f t="shared" si="8"/>
        <v>328.4800000000032</v>
      </c>
      <c r="H122" s="99">
        <f>G122+'9'!H122</f>
        <v>3065.7400000000016</v>
      </c>
      <c r="I122" s="165"/>
      <c r="J122" s="328">
        <f>H122/DAY(B2)</f>
        <v>306.57400000000018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'9'!F123</f>
        <v>33128.43</v>
      </c>
      <c r="F123" s="237">
        <v>33460.36</v>
      </c>
      <c r="G123" s="112">
        <f t="shared" si="8"/>
        <v>331.93000000000029</v>
      </c>
      <c r="H123" s="99">
        <f>G123+'9'!H123</f>
        <v>3272.3600000000006</v>
      </c>
      <c r="I123" s="165"/>
      <c r="J123" s="328">
        <f>H123/DAY(B2)</f>
        <v>327.23600000000005</v>
      </c>
    </row>
    <row r="124" spans="1:18" ht="29.25" customHeight="1">
      <c r="A124" s="902"/>
      <c r="B124" s="903"/>
      <c r="C124" s="904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5.5">
      <c r="A125" s="880" t="s">
        <v>196</v>
      </c>
      <c r="B125" s="881"/>
      <c r="C125" s="245"/>
      <c r="D125" s="307"/>
      <c r="E125" s="308"/>
      <c r="F125" s="308"/>
      <c r="G125" s="309">
        <f>SUM(G112:G124)</f>
        <v>3549.0899999999829</v>
      </c>
      <c r="H125" s="156"/>
      <c r="I125" s="327">
        <f>G125-(G39+G53)</f>
        <v>-937.46000000002005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'9'!F128</f>
        <v>132365.43</v>
      </c>
      <c r="F128" s="155">
        <v>132907.19</v>
      </c>
      <c r="G128" s="112">
        <f t="shared" ref="G128:G134" si="9">F128-E128</f>
        <v>541.76000000000931</v>
      </c>
      <c r="H128" s="99">
        <f>G128+'9'!H128</f>
        <v>5263.1900000000023</v>
      </c>
      <c r="I128" s="165"/>
      <c r="J128" s="328">
        <f>H128/DAY(B2)</f>
        <v>526.31900000000019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'9'!F129</f>
        <v>74372.34</v>
      </c>
      <c r="F129" s="155">
        <v>74538.559999999998</v>
      </c>
      <c r="G129" s="112">
        <f t="shared" si="9"/>
        <v>166.22000000000116</v>
      </c>
      <c r="H129" s="99">
        <f>G129+'9'!H129</f>
        <v>2035.5599999999977</v>
      </c>
      <c r="I129" s="165"/>
      <c r="J129" s="328">
        <f>H129/DAY(B2)</f>
        <v>203.55599999999976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F130-183</f>
        <v>171348.13</v>
      </c>
      <c r="F130" s="157">
        <v>171531.13</v>
      </c>
      <c r="G130" s="112">
        <f t="shared" si="9"/>
        <v>183</v>
      </c>
      <c r="H130" s="99">
        <f>G130+'9'!H130</f>
        <v>6395.609999999986</v>
      </c>
      <c r="I130" s="165"/>
      <c r="J130" s="328">
        <f>H130/DAY(B2)</f>
        <v>639.56099999999856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'9'!F131</f>
        <v>50188.43</v>
      </c>
      <c r="F131" s="155">
        <v>50403.53</v>
      </c>
      <c r="G131" s="112">
        <f t="shared" si="9"/>
        <v>215.09999999999854</v>
      </c>
      <c r="H131" s="99">
        <f>G131+'9'!H131</f>
        <v>1954.5299999999988</v>
      </c>
      <c r="I131" s="165"/>
      <c r="J131" s="328">
        <f>H131/DAY(B2)</f>
        <v>195.45299999999989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'9'!F132</f>
        <v>131820.79999999999</v>
      </c>
      <c r="F132" s="155">
        <v>132233.78</v>
      </c>
      <c r="G132" s="112">
        <f t="shared" si="9"/>
        <v>412.98000000001048</v>
      </c>
      <c r="H132" s="99">
        <f>G132+'9'!H132</f>
        <v>4059.7799999999988</v>
      </c>
      <c r="I132" s="165"/>
      <c r="J132" s="328">
        <f>H132/DAY(B2)</f>
        <v>405.97799999999989</v>
      </c>
    </row>
    <row r="133" spans="1:15" ht="25.5">
      <c r="A133" s="898" t="s">
        <v>323</v>
      </c>
      <c r="B133" s="899"/>
      <c r="C133" s="900"/>
      <c r="D133" s="151" t="s">
        <v>183</v>
      </c>
      <c r="E133" s="95">
        <f>'9'!F133</f>
        <v>224035.59</v>
      </c>
      <c r="F133" s="155">
        <v>224035.59</v>
      </c>
      <c r="G133" s="112">
        <f t="shared" si="9"/>
        <v>0</v>
      </c>
      <c r="H133" s="99">
        <f>G133+'9'!H133</f>
        <v>0</v>
      </c>
      <c r="I133" s="165"/>
      <c r="J133" s="328">
        <f>H133/DAY(B2)</f>
        <v>0</v>
      </c>
    </row>
    <row r="134" spans="1:15" ht="25.5">
      <c r="A134" s="898" t="s">
        <v>340</v>
      </c>
      <c r="B134" s="899"/>
      <c r="C134" s="900"/>
      <c r="D134" s="151" t="s">
        <v>183</v>
      </c>
      <c r="E134" s="95">
        <f>'9'!F134</f>
        <v>50910.69</v>
      </c>
      <c r="F134" s="157">
        <v>51125.3</v>
      </c>
      <c r="G134" s="112">
        <f t="shared" si="9"/>
        <v>214.61000000000058</v>
      </c>
      <c r="H134" s="99">
        <f>G134+'9'!H134</f>
        <v>2090.3000000000029</v>
      </c>
      <c r="I134" s="165"/>
      <c r="J134" s="328">
        <f>H134/DAY(B2)</f>
        <v>209.03000000000029</v>
      </c>
    </row>
    <row r="135" spans="1:15" ht="25.5">
      <c r="A135" s="880" t="s">
        <v>196</v>
      </c>
      <c r="B135" s="881"/>
      <c r="C135" s="331"/>
      <c r="D135" s="151"/>
      <c r="E135" s="95"/>
      <c r="F135" s="165"/>
      <c r="G135" s="112">
        <f>SUM(G128:G134)</f>
        <v>1733.6700000000201</v>
      </c>
      <c r="H135" s="99">
        <f>G135+'9'!H135</f>
        <v>21798.969999999987</v>
      </c>
      <c r="I135" s="327">
        <f>G135-(G35+G49)</f>
        <v>-2398.5699999999706</v>
      </c>
      <c r="J135" s="328">
        <f>H135/DAY(B2)</f>
        <v>2179.8969999999986</v>
      </c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'9'!F138</f>
        <v>892415</v>
      </c>
      <c r="F138" s="147">
        <v>892531</v>
      </c>
      <c r="G138" s="112">
        <f t="shared" ref="G138:G152" si="10">F138-E138</f>
        <v>116</v>
      </c>
      <c r="H138" s="99">
        <f>G138+'9'!H138</f>
        <v>1420</v>
      </c>
      <c r="I138" s="118"/>
      <c r="J138" s="328">
        <f>H138/DAY(B2)</f>
        <v>142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'9'!F139</f>
        <v>910273</v>
      </c>
      <c r="F139" s="148">
        <v>910429</v>
      </c>
      <c r="G139" s="112">
        <f t="shared" si="10"/>
        <v>156</v>
      </c>
      <c r="H139" s="99">
        <f>G139+'9'!H139</f>
        <v>1534</v>
      </c>
      <c r="I139" s="118"/>
      <c r="J139" s="328">
        <f>H139/DAY(B2)</f>
        <v>153.4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'9'!F140</f>
        <v>1646.03</v>
      </c>
      <c r="F140" s="149">
        <v>1658.64</v>
      </c>
      <c r="G140" s="112">
        <f t="shared" si="10"/>
        <v>12.610000000000127</v>
      </c>
      <c r="H140" s="99">
        <f>G140+'9'!H140</f>
        <v>145.6400000000001</v>
      </c>
      <c r="I140" s="118"/>
      <c r="J140" s="328">
        <f>H140/DAY(B2)</f>
        <v>14.564000000000011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'9'!F141</f>
        <v>92212.08</v>
      </c>
      <c r="F141" s="149">
        <v>92404.47</v>
      </c>
      <c r="G141" s="112">
        <f t="shared" si="10"/>
        <v>192.38999999999942</v>
      </c>
      <c r="H141" s="99">
        <f>G141+'9'!H141</f>
        <v>1952.4700000000012</v>
      </c>
      <c r="I141" s="118"/>
      <c r="J141" s="328">
        <f>H141/DAY(B2)</f>
        <v>195.24700000000013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'9'!F142</f>
        <v>37384.97</v>
      </c>
      <c r="F142" s="148">
        <v>37474.980000000003</v>
      </c>
      <c r="G142" s="112">
        <f t="shared" si="10"/>
        <v>90.010000000002037</v>
      </c>
      <c r="H142" s="99">
        <f>G142+'9'!H142</f>
        <v>813.9800000000032</v>
      </c>
      <c r="I142" s="140"/>
      <c r="J142" s="328">
        <f>H142/DAY(B2)</f>
        <v>81.398000000000323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'9'!F143</f>
        <v>9284.93</v>
      </c>
      <c r="F143" s="149">
        <v>9312.56</v>
      </c>
      <c r="G143" s="112">
        <f t="shared" si="10"/>
        <v>27.6299999999992</v>
      </c>
      <c r="H143" s="99">
        <f>G143+'9'!H143</f>
        <v>261.55999999999949</v>
      </c>
      <c r="I143" s="140"/>
      <c r="J143" s="328">
        <f>H143/DAY(B2)</f>
        <v>26.155999999999949</v>
      </c>
      <c r="O143" s="148">
        <v>582206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'9'!F144</f>
        <v>921801</v>
      </c>
      <c r="F144" s="149">
        <v>922024</v>
      </c>
      <c r="G144" s="112">
        <f t="shared" si="10"/>
        <v>223</v>
      </c>
      <c r="H144" s="99">
        <f>G144+'9'!H144</f>
        <v>2187</v>
      </c>
      <c r="I144" s="140"/>
      <c r="J144" s="328">
        <f>H144/DAY(B2)</f>
        <v>218.7</v>
      </c>
    </row>
    <row r="145" spans="1:15" ht="25.5">
      <c r="A145" s="897" t="s">
        <v>190</v>
      </c>
      <c r="B145" s="897"/>
      <c r="C145" s="897"/>
      <c r="D145" s="152" t="s">
        <v>183</v>
      </c>
      <c r="E145" s="95">
        <f>'9'!F145</f>
        <v>6084.72</v>
      </c>
      <c r="F145" s="149">
        <v>6114.86</v>
      </c>
      <c r="G145" s="112">
        <f t="shared" si="10"/>
        <v>30.139999999999418</v>
      </c>
      <c r="H145" s="99">
        <f>G145+'9'!H145</f>
        <v>307.85999999999967</v>
      </c>
      <c r="I145" s="140"/>
      <c r="J145" s="328">
        <f>H145/DAY(B2)</f>
        <v>30.785999999999966</v>
      </c>
    </row>
    <row r="146" spans="1:15" ht="25.5">
      <c r="A146" s="932" t="s">
        <v>191</v>
      </c>
      <c r="B146" s="917"/>
      <c r="C146" s="918"/>
      <c r="D146" s="152" t="s">
        <v>183</v>
      </c>
      <c r="E146" s="95">
        <f>'9'!F146</f>
        <v>781539</v>
      </c>
      <c r="F146" s="148">
        <v>781612</v>
      </c>
      <c r="G146" s="236">
        <f t="shared" si="10"/>
        <v>73</v>
      </c>
      <c r="H146" s="99">
        <f>G146+'9'!H146</f>
        <v>812</v>
      </c>
      <c r="I146" s="140"/>
      <c r="J146" s="328">
        <f>H146/DAY(B2)</f>
        <v>81.2</v>
      </c>
    </row>
    <row r="147" spans="1:15" ht="25.5">
      <c r="A147" s="876" t="s">
        <v>192</v>
      </c>
      <c r="B147" s="876"/>
      <c r="C147" s="876"/>
      <c r="D147" s="152" t="s">
        <v>183</v>
      </c>
      <c r="E147" s="95">
        <f>'9'!F147</f>
        <v>703198.32</v>
      </c>
      <c r="F147" s="148">
        <v>703600.4</v>
      </c>
      <c r="G147" s="112">
        <f t="shared" si="10"/>
        <v>402.08000000007451</v>
      </c>
      <c r="H147" s="99">
        <f>G147+'9'!H147</f>
        <v>3831.4000000000233</v>
      </c>
      <c r="I147" s="140"/>
      <c r="J147" s="328">
        <f>H147/DAY(B2)</f>
        <v>383.14000000000232</v>
      </c>
    </row>
    <row r="148" spans="1:15" ht="25.5">
      <c r="A148" s="877" t="s">
        <v>193</v>
      </c>
      <c r="B148" s="878"/>
      <c r="C148" s="879"/>
      <c r="D148" s="123" t="s">
        <v>130</v>
      </c>
      <c r="E148" s="95">
        <f>'9'!F148</f>
        <v>751238.96</v>
      </c>
      <c r="F148" s="150">
        <v>751595.44</v>
      </c>
      <c r="G148" s="112">
        <f t="shared" si="10"/>
        <v>356.47999999998137</v>
      </c>
      <c r="H148" s="99">
        <f>G148+'9'!H148</f>
        <v>3065.4399999999441</v>
      </c>
      <c r="I148" s="124"/>
      <c r="J148" s="328">
        <f>H148/DAY(B2)</f>
        <v>306.54399999999441</v>
      </c>
    </row>
    <row r="149" spans="1:15" ht="25.5">
      <c r="A149" s="877" t="s">
        <v>336</v>
      </c>
      <c r="B149" s="878"/>
      <c r="C149" s="879"/>
      <c r="D149" s="227" t="s">
        <v>130</v>
      </c>
      <c r="E149" s="95">
        <f>'9'!F149</f>
        <v>136729.85999999999</v>
      </c>
      <c r="F149" s="146">
        <v>137223.44</v>
      </c>
      <c r="G149" s="112">
        <f t="shared" si="10"/>
        <v>493.5800000000163</v>
      </c>
      <c r="H149" s="99">
        <f>G149+'9'!H149</f>
        <v>4789.4400000000023</v>
      </c>
      <c r="I149" s="119"/>
      <c r="J149" s="328">
        <f>H149/DAY(B2)</f>
        <v>478.94400000000024</v>
      </c>
    </row>
    <row r="150" spans="1:15" ht="25.5">
      <c r="A150" s="877" t="s">
        <v>337</v>
      </c>
      <c r="B150" s="878"/>
      <c r="C150" s="879"/>
      <c r="D150" s="117" t="s">
        <v>130</v>
      </c>
      <c r="E150" s="95">
        <f>'9'!F150</f>
        <v>52620.88</v>
      </c>
      <c r="F150" s="233">
        <v>52844.11</v>
      </c>
      <c r="G150" s="112">
        <f t="shared" si="10"/>
        <v>223.2300000000032</v>
      </c>
      <c r="H150" s="99">
        <f>G150+'9'!H150</f>
        <v>2229.1100000000006</v>
      </c>
      <c r="I150" s="119"/>
      <c r="J150" s="328">
        <f>H150/DAY(B2)</f>
        <v>222.91100000000006</v>
      </c>
    </row>
    <row r="151" spans="1:15" ht="25.5">
      <c r="A151" s="877" t="s">
        <v>338</v>
      </c>
      <c r="B151" s="878"/>
      <c r="C151" s="879"/>
      <c r="D151" s="117" t="s">
        <v>130</v>
      </c>
      <c r="E151" s="95">
        <f>'9'!F151</f>
        <v>137904</v>
      </c>
      <c r="F151" s="233">
        <v>138202</v>
      </c>
      <c r="G151" s="112">
        <f t="shared" si="10"/>
        <v>298</v>
      </c>
      <c r="H151" s="99">
        <f>G151+'9'!H151</f>
        <v>2753</v>
      </c>
      <c r="I151" s="119"/>
      <c r="J151" s="328">
        <f>H151/DAY(B2)</f>
        <v>275.3</v>
      </c>
    </row>
    <row r="152" spans="1:15" ht="25.5">
      <c r="A152" s="877" t="s">
        <v>339</v>
      </c>
      <c r="B152" s="878"/>
      <c r="C152" s="879"/>
      <c r="D152" s="117" t="s">
        <v>130</v>
      </c>
      <c r="E152" s="95">
        <f>'9'!F152</f>
        <v>24217.64</v>
      </c>
      <c r="F152" s="233">
        <v>24336.61</v>
      </c>
      <c r="G152" s="112">
        <f t="shared" si="10"/>
        <v>118.97000000000116</v>
      </c>
      <c r="H152" s="99">
        <f>G152+'9'!H152</f>
        <v>1182.6100000000006</v>
      </c>
      <c r="I152" s="119"/>
      <c r="J152" s="328">
        <f>H152/DAY(B2)</f>
        <v>118.26100000000005</v>
      </c>
    </row>
    <row r="153" spans="1:15" ht="25.5">
      <c r="A153" s="880" t="s">
        <v>196</v>
      </c>
      <c r="B153" s="881"/>
      <c r="C153" s="365"/>
      <c r="D153" s="358"/>
      <c r="E153" s="360"/>
      <c r="F153" s="361"/>
      <c r="G153" s="362">
        <f>SUM(G138:G152)</f>
        <v>2813.1200000000767</v>
      </c>
      <c r="H153" s="363"/>
      <c r="I153" s="119">
        <f>G153-(G38+G52)</f>
        <v>601.20000000003483</v>
      </c>
      <c r="J153" s="366"/>
    </row>
    <row r="154" spans="1:15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5" ht="27.75">
      <c r="A155" s="876" t="s">
        <v>345</v>
      </c>
      <c r="B155" s="876"/>
      <c r="C155" s="876"/>
      <c r="D155" s="117" t="s">
        <v>130</v>
      </c>
      <c r="E155" s="95">
        <f>'9'!F155</f>
        <v>154149.43</v>
      </c>
      <c r="F155" s="374">
        <v>154786.64000000001</v>
      </c>
      <c r="G155" s="112">
        <f t="shared" ref="G155:G158" si="11">F155-E155</f>
        <v>637.21000000002095</v>
      </c>
      <c r="H155" s="99">
        <f>G155+'9'!H155</f>
        <v>6637.640000000014</v>
      </c>
      <c r="I155" s="364"/>
      <c r="J155" s="328">
        <f>H155/DAY(B2)</f>
        <v>663.76400000000137</v>
      </c>
      <c r="O155" s="65">
        <v>678.99000000000524</v>
      </c>
    </row>
    <row r="156" spans="1:15" ht="25.5">
      <c r="A156" s="876" t="s">
        <v>346</v>
      </c>
      <c r="B156" s="876"/>
      <c r="C156" s="876"/>
      <c r="D156" s="117" t="s">
        <v>130</v>
      </c>
      <c r="E156" s="95">
        <f>'9'!F156</f>
        <v>15647.78</v>
      </c>
      <c r="F156" s="155">
        <v>15743.53</v>
      </c>
      <c r="G156" s="112">
        <f t="shared" si="11"/>
        <v>95.75</v>
      </c>
      <c r="H156" s="99">
        <f>G156+'9'!H156</f>
        <v>1009.5300000000007</v>
      </c>
      <c r="I156" s="165"/>
      <c r="J156" s="328">
        <f>H156/DAY(B2)</f>
        <v>100.95300000000006</v>
      </c>
      <c r="O156" s="65">
        <v>50.350000000000364</v>
      </c>
    </row>
    <row r="157" spans="1:15" ht="25.5">
      <c r="A157" s="877" t="s">
        <v>360</v>
      </c>
      <c r="B157" s="878"/>
      <c r="C157" s="879"/>
      <c r="D157" s="117" t="s">
        <v>130</v>
      </c>
      <c r="E157" s="95">
        <f>'9'!F157</f>
        <v>28772.240000000002</v>
      </c>
      <c r="F157" s="155">
        <v>28917.08</v>
      </c>
      <c r="G157" s="112">
        <f t="shared" si="11"/>
        <v>144.84000000000015</v>
      </c>
      <c r="H157" s="99">
        <f>G157+'9'!H157</f>
        <v>1471.0800000000017</v>
      </c>
      <c r="I157" s="165"/>
      <c r="J157" s="328">
        <f>H157/DAY(B2)</f>
        <v>147.10800000000017</v>
      </c>
      <c r="O157" s="65">
        <v>101.82999999999993</v>
      </c>
    </row>
    <row r="158" spans="1:15" ht="25.5">
      <c r="A158" s="877" t="s">
        <v>361</v>
      </c>
      <c r="B158" s="878"/>
      <c r="C158" s="879"/>
      <c r="D158" s="117" t="s">
        <v>130</v>
      </c>
      <c r="E158" s="95">
        <f>'9'!F158</f>
        <v>240.52</v>
      </c>
      <c r="F158" s="155">
        <v>240.55</v>
      </c>
      <c r="G158" s="112">
        <f t="shared" si="11"/>
        <v>3.0000000000001137E-2</v>
      </c>
      <c r="H158" s="99">
        <f>G158+'9'!H158</f>
        <v>152.13</v>
      </c>
      <c r="I158" s="165"/>
      <c r="J158" s="328">
        <f>H158/DAY(B2)</f>
        <v>15.212999999999999</v>
      </c>
    </row>
    <row r="159" spans="1:15" ht="25.5">
      <c r="A159" s="962"/>
      <c r="B159" s="963"/>
      <c r="C159" s="964"/>
      <c r="D159" s="117"/>
      <c r="E159" s="95"/>
      <c r="F159" s="155"/>
      <c r="G159" s="112"/>
      <c r="H159" s="99"/>
      <c r="I159" s="165"/>
      <c r="J159" s="328"/>
    </row>
    <row r="160" spans="1:15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'9'!F161</f>
        <v>480304.2</v>
      </c>
      <c r="F161" s="235">
        <v>480332.92</v>
      </c>
      <c r="G161" s="238">
        <f t="shared" ref="G161:G165" si="12">F161-E161</f>
        <v>28.71999999997206</v>
      </c>
      <c r="H161" s="99">
        <f>G161+'9'!H161</f>
        <v>279.9199999999837</v>
      </c>
      <c r="I161" s="236"/>
      <c r="J161" s="239">
        <f>H161/DAY(B2)</f>
        <v>27.99199999999837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'9'!F162</f>
        <v>95321.4</v>
      </c>
      <c r="F162" s="235">
        <v>95373</v>
      </c>
      <c r="G162" s="238">
        <f t="shared" si="12"/>
        <v>51.600000000005821</v>
      </c>
      <c r="H162" s="99">
        <f>G162+'9'!H162</f>
        <v>445</v>
      </c>
      <c r="I162" s="236"/>
      <c r="J162" s="239">
        <f>H162/DAY(B2)</f>
        <v>44.5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'9'!F163</f>
        <v>7547.4</v>
      </c>
      <c r="F163" s="235">
        <v>7699</v>
      </c>
      <c r="G163" s="238">
        <f t="shared" si="12"/>
        <v>151.60000000000036</v>
      </c>
      <c r="H163" s="99">
        <f>G163+'9'!H163</f>
        <v>1198</v>
      </c>
      <c r="I163" s="236"/>
      <c r="J163" s="239">
        <f>H163/DAY(B2)</f>
        <v>119.8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'9'!F164</f>
        <v>6305.3</v>
      </c>
      <c r="F164" s="235">
        <v>6307</v>
      </c>
      <c r="G164" s="238">
        <f t="shared" si="12"/>
        <v>1.6999999999998181</v>
      </c>
      <c r="H164" s="99">
        <f>G164+'9'!H164</f>
        <v>27</v>
      </c>
      <c r="I164" s="236"/>
      <c r="J164" s="239">
        <f>H164/DAY(B2)</f>
        <v>2.7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'9'!F165</f>
        <v>31709.29</v>
      </c>
      <c r="F165" s="235">
        <v>31719.81</v>
      </c>
      <c r="G165" s="238">
        <f t="shared" si="12"/>
        <v>10.520000000000437</v>
      </c>
      <c r="H165" s="99">
        <f>G165+'9'!H165</f>
        <v>85.81000000000131</v>
      </c>
      <c r="I165" s="236"/>
      <c r="J165" s="239">
        <f>H165/DAY(B2)</f>
        <v>8.581000000000131</v>
      </c>
    </row>
    <row r="166" spans="1:10" ht="26.25">
      <c r="A166" s="885"/>
      <c r="B166" s="885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6.25">
      <c r="A167" s="885"/>
      <c r="B167" s="885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6.25">
      <c r="A168" s="885"/>
      <c r="B168" s="885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'9'!F173</f>
        <v>8247</v>
      </c>
      <c r="F173" s="155">
        <v>8247</v>
      </c>
      <c r="G173" s="155">
        <f>F173-E173</f>
        <v>0</v>
      </c>
      <c r="H173" s="99">
        <f>G173+'9'!H173</f>
        <v>12</v>
      </c>
      <c r="I173" s="155"/>
      <c r="J173" s="178">
        <f>H173/DAY(B2)</f>
        <v>1.2</v>
      </c>
    </row>
    <row r="174" spans="1:10" ht="34.5" customHeight="1">
      <c r="A174" s="891" t="s">
        <v>75</v>
      </c>
      <c r="B174" s="892"/>
      <c r="C174" s="333"/>
      <c r="D174" s="228" t="s">
        <v>142</v>
      </c>
      <c r="E174" s="95">
        <f>'9'!F174</f>
        <v>41328</v>
      </c>
      <c r="F174" s="157">
        <v>41344</v>
      </c>
      <c r="G174" s="155">
        <f t="shared" ref="G174:G175" si="13">F174-E174</f>
        <v>16</v>
      </c>
      <c r="H174" s="99">
        <f>G174+'9'!H174</f>
        <v>140</v>
      </c>
      <c r="I174" s="155"/>
      <c r="J174" s="178">
        <f>H174/DAY(B2)</f>
        <v>14</v>
      </c>
    </row>
    <row r="175" spans="1:10" ht="31.5" customHeight="1">
      <c r="A175" s="891" t="s">
        <v>76</v>
      </c>
      <c r="B175" s="931"/>
      <c r="C175" s="892"/>
      <c r="D175" s="228" t="s">
        <v>142</v>
      </c>
      <c r="E175" s="95">
        <f>'9'!F175</f>
        <v>24137</v>
      </c>
      <c r="F175" s="155">
        <v>24149</v>
      </c>
      <c r="G175" s="155">
        <f t="shared" si="13"/>
        <v>12</v>
      </c>
      <c r="H175" s="99">
        <f>G175+'9'!H175</f>
        <v>118</v>
      </c>
      <c r="I175" s="155"/>
      <c r="J175" s="178">
        <f>H175/DAY(B2)</f>
        <v>11.8</v>
      </c>
    </row>
    <row r="176" spans="1:10" ht="21.75" customHeight="1">
      <c r="A176" s="880" t="s">
        <v>196</v>
      </c>
      <c r="B176" s="881"/>
      <c r="C176" s="333"/>
      <c r="D176" s="228"/>
      <c r="E176" s="95"/>
      <c r="F176" s="155"/>
      <c r="G176" s="155">
        <f>SUM(G173:G175)</f>
        <v>28</v>
      </c>
      <c r="H176" s="99">
        <f>G176+'9'!H176</f>
        <v>270</v>
      </c>
      <c r="I176" s="155"/>
      <c r="J176" s="178">
        <f>H176/DAY(B2)</f>
        <v>27</v>
      </c>
    </row>
    <row r="177" spans="1:10" ht="27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891" t="s">
        <v>210</v>
      </c>
      <c r="B178" s="892"/>
      <c r="C178" s="333"/>
      <c r="D178" s="228" t="s">
        <v>142</v>
      </c>
      <c r="E178" s="95">
        <f>'9'!F178</f>
        <v>98425</v>
      </c>
      <c r="F178" s="157">
        <v>98536</v>
      </c>
      <c r="G178" s="155">
        <f>F178-E178</f>
        <v>111</v>
      </c>
      <c r="H178" s="99">
        <f>G178+'9'!H178</f>
        <v>823</v>
      </c>
      <c r="I178" s="155"/>
      <c r="J178" s="178">
        <f>H178/DAY(B2)</f>
        <v>82.3</v>
      </c>
    </row>
    <row r="179" spans="1:10" ht="27.75" customHeight="1">
      <c r="A179" s="891" t="s">
        <v>211</v>
      </c>
      <c r="B179" s="892"/>
      <c r="C179" s="333"/>
      <c r="D179" s="228" t="s">
        <v>142</v>
      </c>
      <c r="E179" s="95">
        <f>'9'!F179</f>
        <v>36002</v>
      </c>
      <c r="F179" s="155">
        <v>36002</v>
      </c>
      <c r="G179" s="155">
        <f t="shared" ref="G179:G180" si="14">F179-E179</f>
        <v>0</v>
      </c>
      <c r="H179" s="99">
        <f>G179+'9'!H179</f>
        <v>0</v>
      </c>
      <c r="I179" s="155"/>
      <c r="J179" s="178">
        <f>H179/DAY(B2)</f>
        <v>0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'9'!F180</f>
        <v>7176</v>
      </c>
      <c r="F180" s="155">
        <v>7177</v>
      </c>
      <c r="G180" s="155">
        <f t="shared" si="14"/>
        <v>1</v>
      </c>
      <c r="H180" s="99">
        <f>G180+'9'!H180</f>
        <v>15</v>
      </c>
      <c r="I180" s="155"/>
      <c r="J180" s="178">
        <f>H180/DAY(B2)</f>
        <v>1.5</v>
      </c>
    </row>
    <row r="181" spans="1:10" ht="25.5">
      <c r="A181" s="893" t="s">
        <v>108</v>
      </c>
      <c r="B181" s="894"/>
      <c r="C181" s="333"/>
      <c r="D181" s="228"/>
      <c r="E181" s="95"/>
      <c r="F181" s="155"/>
      <c r="G181" s="155">
        <f>SUM(G178:G180)</f>
        <v>112</v>
      </c>
      <c r="H181" s="99">
        <f>G181+'9'!H181</f>
        <v>838</v>
      </c>
      <c r="I181" s="155"/>
      <c r="J181" s="178">
        <f>H181/DAY(B2)</f>
        <v>83.8</v>
      </c>
    </row>
    <row r="182" spans="1:10" ht="25.5">
      <c r="A182" s="891" t="s">
        <v>213</v>
      </c>
      <c r="B182" s="892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'9'!F183</f>
        <v>17553</v>
      </c>
      <c r="F183" s="157">
        <v>17564</v>
      </c>
      <c r="G183" s="157">
        <f>F183-E183</f>
        <v>11</v>
      </c>
      <c r="H183" s="99">
        <f>G183+'9'!H183</f>
        <v>91</v>
      </c>
      <c r="I183" s="155"/>
      <c r="J183" s="178">
        <f>H183/DAY(B2)</f>
        <v>9.1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'9'!F184</f>
        <v>12001</v>
      </c>
      <c r="F184" s="157">
        <v>12009</v>
      </c>
      <c r="G184" s="157">
        <f t="shared" ref="G184:G185" si="15">F184-E184</f>
        <v>8</v>
      </c>
      <c r="H184" s="99">
        <f>G184+'9'!H184</f>
        <v>74</v>
      </c>
      <c r="I184" s="155"/>
      <c r="J184" s="178">
        <f>H184/DAY(B2)</f>
        <v>7.4</v>
      </c>
    </row>
    <row r="185" spans="1:10" ht="37.5" customHeight="1">
      <c r="A185" s="891" t="s">
        <v>216</v>
      </c>
      <c r="B185" s="892"/>
      <c r="C185" s="334"/>
      <c r="D185" s="228" t="s">
        <v>142</v>
      </c>
      <c r="E185" s="95">
        <v>0</v>
      </c>
      <c r="F185" s="157">
        <v>0</v>
      </c>
      <c r="G185" s="157">
        <f t="shared" si="15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880" t="s">
        <v>196</v>
      </c>
      <c r="B186" s="881"/>
      <c r="C186" s="334"/>
      <c r="D186" s="229"/>
      <c r="E186" s="95"/>
      <c r="F186" s="157"/>
      <c r="G186" s="157">
        <f>SUM(G183:G185)</f>
        <v>19</v>
      </c>
      <c r="H186" s="99">
        <f>G186+'9'!H186</f>
        <v>165</v>
      </c>
      <c r="I186" s="157"/>
      <c r="J186" s="178">
        <f>H186/DAY(B2)</f>
        <v>16.5</v>
      </c>
    </row>
    <row r="187" spans="1:10" ht="21.75" customHeight="1">
      <c r="A187" s="882" t="s">
        <v>217</v>
      </c>
      <c r="B187" s="883"/>
      <c r="C187" s="333"/>
      <c r="D187" s="230" t="s">
        <v>142</v>
      </c>
      <c r="E187" s="95"/>
      <c r="F187" s="159"/>
      <c r="G187" s="424">
        <f>G62+G19</f>
        <v>163</v>
      </c>
      <c r="H187" s="99">
        <f>G187+'9'!H187</f>
        <v>1639</v>
      </c>
      <c r="I187" s="158"/>
      <c r="J187" s="179">
        <f>H187/DAY(B2)</f>
        <v>163.9</v>
      </c>
    </row>
    <row r="188" spans="1:10" ht="21.75" customHeight="1">
      <c r="A188" s="882" t="s">
        <v>218</v>
      </c>
      <c r="B188" s="883"/>
      <c r="C188" s="333"/>
      <c r="D188" s="230" t="s">
        <v>142</v>
      </c>
      <c r="E188" s="95"/>
      <c r="F188" s="159"/>
      <c r="G188" s="424">
        <f>G65+G66+G67+G69+G70</f>
        <v>144</v>
      </c>
      <c r="H188" s="99">
        <f>G188+'9'!H188</f>
        <v>1438</v>
      </c>
      <c r="I188" s="158"/>
      <c r="J188" s="179">
        <f>H188/DAY(B2)</f>
        <v>143.80000000000001</v>
      </c>
    </row>
    <row r="189" spans="1:10" ht="21.75" customHeight="1">
      <c r="A189" s="882" t="s">
        <v>219</v>
      </c>
      <c r="B189" s="883"/>
      <c r="C189" s="333"/>
      <c r="D189" s="230" t="s">
        <v>142</v>
      </c>
      <c r="E189" s="95"/>
      <c r="F189" s="157"/>
      <c r="G189" s="421">
        <f>G181</f>
        <v>112</v>
      </c>
      <c r="H189" s="99">
        <f>G189+'9'!H189</f>
        <v>838</v>
      </c>
      <c r="I189" s="158"/>
      <c r="J189" s="179">
        <f>H189/DAY(B2)</f>
        <v>83.8</v>
      </c>
    </row>
    <row r="190" spans="1:10" ht="27" customHeight="1">
      <c r="A190" s="889"/>
      <c r="B190" s="890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48" zoomScale="55" zoomScaleNormal="55" workbookViewId="0">
      <selection activeCell="G175" sqref="G17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6" s="57" customFormat="1" ht="30.75" customHeight="1">
      <c r="A2" s="191" t="s">
        <v>303</v>
      </c>
      <c r="B2" s="262">
        <v>44784</v>
      </c>
      <c r="C2" s="348" t="s">
        <v>67</v>
      </c>
      <c r="D2" s="218">
        <v>0.4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8" t="s">
        <v>118</v>
      </c>
      <c r="D3" s="219">
        <v>26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8" t="s">
        <v>120</v>
      </c>
      <c r="D4" s="218">
        <v>0.95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599830.71</v>
      </c>
      <c r="F7" s="95">
        <v>625194</v>
      </c>
      <c r="G7" s="112">
        <f>F7-E7</f>
        <v>25363.290000000037</v>
      </c>
      <c r="H7" s="99">
        <f>G7+'10'!H7</f>
        <v>288064</v>
      </c>
      <c r="I7" s="113">
        <f>'1'!I7</f>
        <v>12000</v>
      </c>
      <c r="J7" s="175">
        <f>H7/DAY(B2)</f>
        <v>26187.636363636364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755289.19</v>
      </c>
      <c r="F8" s="95">
        <v>781060</v>
      </c>
      <c r="G8" s="115">
        <f>F8-E8</f>
        <v>25770.810000000056</v>
      </c>
      <c r="H8" s="99">
        <f>G8+'10'!H8</f>
        <v>292473</v>
      </c>
      <c r="I8" s="116"/>
      <c r="J8" s="175">
        <f>H8/DAY(B2)</f>
        <v>26588.454545454544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3341882.7</v>
      </c>
      <c r="F9" s="469">
        <v>3348073</v>
      </c>
      <c r="G9" s="112">
        <f>F9-E9</f>
        <v>6190.2999999998137</v>
      </c>
      <c r="H9" s="99">
        <f>G9+'10'!H9</f>
        <v>69007</v>
      </c>
      <c r="I9" s="124">
        <f>I7-J7</f>
        <v>-14187.636363636364</v>
      </c>
      <c r="J9" s="175">
        <f>H9/DAY(B2)</f>
        <v>6273.363636363636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1860042.1</v>
      </c>
      <c r="F10" s="353">
        <v>1878490</v>
      </c>
      <c r="G10" s="112">
        <f t="shared" ref="G10:G12" si="0">F10-E10</f>
        <v>18447.899999999907</v>
      </c>
      <c r="H10" s="99">
        <f>G10+'10'!H10</f>
        <v>211332</v>
      </c>
      <c r="I10" s="282"/>
      <c r="J10" s="175">
        <f>H10/DAY(B2)</f>
        <v>19212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40380</v>
      </c>
      <c r="F12" s="117">
        <v>40380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24638.199999999721</v>
      </c>
      <c r="H13" s="99">
        <f>G13+'10'!H13</f>
        <v>281673.59999999986</v>
      </c>
      <c r="I13" s="120">
        <f>G7-G13</f>
        <v>725.09000000031665</v>
      </c>
      <c r="J13" s="175">
        <f>H13/DAY(B2)</f>
        <v>25606.690909090896</v>
      </c>
      <c r="K13" s="79"/>
      <c r="L13" s="66"/>
      <c r="N13" s="87"/>
      <c r="O13" s="71"/>
    </row>
    <row r="14" spans="1:16" ht="30.75" customHeight="1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5" t="s">
        <v>138</v>
      </c>
      <c r="B15" s="205"/>
      <c r="C15" s="205"/>
      <c r="D15" s="151" t="s">
        <v>139</v>
      </c>
      <c r="E15" s="95">
        <f>'10'!F15</f>
        <v>2111274.08</v>
      </c>
      <c r="F15" s="469">
        <v>2112298</v>
      </c>
      <c r="G15" s="112">
        <f>(F15-E15)</f>
        <v>1023.9199999999255</v>
      </c>
      <c r="H15" s="99">
        <f>G15+'10'!H15</f>
        <v>11430</v>
      </c>
      <c r="I15" s="113">
        <f>'1'!I15</f>
        <v>800</v>
      </c>
      <c r="J15" s="175">
        <f>H15/DAY(B2)</f>
        <v>1039.090909090909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-239.09090909090901</v>
      </c>
      <c r="J16" s="176"/>
      <c r="K16" s="79"/>
      <c r="L16" s="66"/>
      <c r="N16" s="87"/>
      <c r="O16" s="71"/>
    </row>
    <row r="17" spans="1:15" ht="30.75" customHeight="1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19" t="s">
        <v>141</v>
      </c>
      <c r="B18" s="920"/>
      <c r="C18" s="921"/>
      <c r="D18" s="151" t="s">
        <v>142</v>
      </c>
      <c r="E18" s="95">
        <f>'10'!F18</f>
        <v>17</v>
      </c>
      <c r="F18" s="164">
        <v>13</v>
      </c>
      <c r="G18" s="119">
        <f>F18*10</f>
        <v>130</v>
      </c>
      <c r="H18" s="99">
        <f>G18+'10'!H18</f>
        <v>1610</v>
      </c>
      <c r="I18" s="113">
        <f>'1'!I18</f>
        <v>65</v>
      </c>
      <c r="J18" s="175">
        <f>H18/DAY(B2)</f>
        <v>146.36363636363637</v>
      </c>
      <c r="K18" s="79"/>
      <c r="L18" s="66"/>
      <c r="N18" s="87"/>
      <c r="O18" s="71"/>
    </row>
    <row r="19" spans="1:15" ht="30.75" customHeight="1">
      <c r="A19" s="919" t="s">
        <v>69</v>
      </c>
      <c r="B19" s="920"/>
      <c r="C19" s="921"/>
      <c r="D19" s="151" t="s">
        <v>142</v>
      </c>
      <c r="E19" s="95">
        <f>'10'!F19</f>
        <v>162848</v>
      </c>
      <c r="F19" s="122">
        <v>162898</v>
      </c>
      <c r="G19" s="112">
        <f t="shared" ref="G19" si="1">F19-E19</f>
        <v>50</v>
      </c>
      <c r="H19" s="99">
        <f>G19+'10'!H19</f>
        <v>563</v>
      </c>
      <c r="I19" s="335"/>
      <c r="J19" s="175">
        <f>H19/DAY(B2)</f>
        <v>51.18181818181818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180</v>
      </c>
      <c r="H20" s="99">
        <f>G20+'10'!H20</f>
        <v>2173</v>
      </c>
      <c r="I20" s="336">
        <f>I18-J20</f>
        <v>-132.54545454545453</v>
      </c>
      <c r="J20" s="175">
        <f>H20/DAY(B2)</f>
        <v>197.54545454545453</v>
      </c>
      <c r="K20" s="79"/>
      <c r="L20" s="66"/>
      <c r="N20" s="87"/>
      <c r="O20" s="71"/>
    </row>
    <row r="21" spans="1:15" ht="30.75" customHeight="1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25770.810000000056</v>
      </c>
      <c r="F27" s="136">
        <v>9</v>
      </c>
      <c r="G27" s="137">
        <f>E27*F27</f>
        <v>231937.2900000005</v>
      </c>
      <c r="H27" s="99">
        <f>G27+'10'!H27</f>
        <v>2632257</v>
      </c>
      <c r="I27" s="138"/>
      <c r="J27" s="175">
        <f>H27/DAY(B2)</f>
        <v>239296.09090909091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1023.9199999999255</v>
      </c>
      <c r="F28" s="136">
        <v>70</v>
      </c>
      <c r="G28" s="137">
        <f>E28*F28</f>
        <v>71674.399999994785</v>
      </c>
      <c r="H28" s="99">
        <f>G28+'10'!H28</f>
        <v>800100</v>
      </c>
      <c r="I28" s="140"/>
      <c r="J28" s="175">
        <f>H28/DAY(B2)</f>
        <v>72736.363636363632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G30+'10'!H30</f>
        <v>85013</v>
      </c>
      <c r="I30" s="140"/>
      <c r="J30" s="175">
        <f>H30/DAY(B2)</f>
        <v>7728.454545454545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80</v>
      </c>
      <c r="G31" s="137">
        <f>E31*F31</f>
        <v>10400</v>
      </c>
      <c r="H31" s="99">
        <f>G31+'10'!H31</f>
        <v>128800</v>
      </c>
      <c r="I31" s="140"/>
      <c r="J31" s="175">
        <f>H31/DAY(B2)</f>
        <v>11709.09090909091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321561.68999999529</v>
      </c>
      <c r="H32" s="99">
        <f>G32+'10'!H32</f>
        <v>3646170.0000000005</v>
      </c>
      <c r="I32" s="144"/>
      <c r="J32" s="175">
        <f>H32/DAY(B2)</f>
        <v>331470.00000000006</v>
      </c>
      <c r="K32" s="63"/>
      <c r="L32" s="89"/>
      <c r="N32" s="87"/>
      <c r="O32" s="71"/>
    </row>
    <row r="33" spans="1:15" ht="30.7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238713.05</v>
      </c>
      <c r="F35" s="145">
        <v>238713.05</v>
      </c>
      <c r="G35" s="112">
        <f t="shared" ref="G35:G46" si="3">F35-E35</f>
        <v>0</v>
      </c>
      <c r="H35" s="99">
        <f>G35+'10'!H35</f>
        <v>4.9999999988358468E-2</v>
      </c>
      <c r="I35" s="95"/>
      <c r="J35" s="175">
        <f>H35/DAY(B2)</f>
        <v>4.5454545443962243E-3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224425.37</v>
      </c>
      <c r="F36" s="145">
        <v>225213</v>
      </c>
      <c r="G36" s="112">
        <f t="shared" si="3"/>
        <v>787.63000000000466</v>
      </c>
      <c r="H36" s="99">
        <f>G36+'10'!H36</f>
        <v>9683</v>
      </c>
      <c r="I36" s="95"/>
      <c r="J36" s="175">
        <f>H36/DAY(B2)</f>
        <v>880.27272727272725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322998.69</v>
      </c>
      <c r="F37" s="145">
        <v>322998.69</v>
      </c>
      <c r="G37" s="112">
        <f t="shared" si="3"/>
        <v>0</v>
      </c>
      <c r="H37" s="99">
        <f>G37+'10'!H37</f>
        <v>-0.30999999999767169</v>
      </c>
      <c r="I37" s="95"/>
      <c r="J37" s="175">
        <f>H37/DAY(B2)</f>
        <v>-2.8181818181606519E-2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479826.15</v>
      </c>
      <c r="F38" s="108">
        <v>482079</v>
      </c>
      <c r="G38" s="112">
        <f t="shared" si="3"/>
        <v>2252.8499999999767</v>
      </c>
      <c r="H38" s="99">
        <f>G38+'10'!H38</f>
        <v>24718</v>
      </c>
      <c r="I38" s="95"/>
      <c r="J38" s="175">
        <f>H38/DAY(B2)</f>
        <v>2247.090909090909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591584.18999999994</v>
      </c>
      <c r="F39" s="145">
        <v>591584</v>
      </c>
      <c r="G39" s="112">
        <f t="shared" si="3"/>
        <v>-0.18999999994412065</v>
      </c>
      <c r="H39" s="99">
        <f>G39+'10'!H39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115288.62</v>
      </c>
      <c r="F40" s="145">
        <v>116138</v>
      </c>
      <c r="G40" s="112">
        <f t="shared" si="3"/>
        <v>849.38000000000466</v>
      </c>
      <c r="H40" s="99">
        <f>G40+'10'!H40</f>
        <v>9362</v>
      </c>
      <c r="I40" s="95"/>
      <c r="J40" s="175">
        <f>H40/DAY(B2)</f>
        <v>851.09090909090912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233549.29</v>
      </c>
      <c r="F41" s="145">
        <v>236805</v>
      </c>
      <c r="G41" s="112">
        <f t="shared" si="3"/>
        <v>3255.7099999999919</v>
      </c>
      <c r="H41" s="99">
        <f>G41+'10'!H41</f>
        <v>25102</v>
      </c>
      <c r="I41" s="95"/>
      <c r="J41" s="175">
        <f>H41/DAY(B2)</f>
        <v>2282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759164.47</v>
      </c>
      <c r="F42" s="145">
        <v>759184</v>
      </c>
      <c r="G42" s="112">
        <f t="shared" si="3"/>
        <v>19.53000000002794</v>
      </c>
      <c r="H42" s="99">
        <f>G42+'10'!H42</f>
        <v>10820</v>
      </c>
      <c r="I42" s="95"/>
      <c r="J42" s="175">
        <f>H42/DAY(B2)</f>
        <v>983.63636363636363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407028</v>
      </c>
      <c r="F43" s="423">
        <v>407028</v>
      </c>
      <c r="G43" s="112">
        <f t="shared" si="3"/>
        <v>0</v>
      </c>
      <c r="H43" s="99">
        <f>G43+'10'!H43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7164.9100000000617</v>
      </c>
      <c r="H47" s="99">
        <f>G47+'10'!H47</f>
        <v>79684.739999999991</v>
      </c>
      <c r="I47" s="95"/>
      <c r="J47" s="175">
        <f>H47/DAY(B2)</f>
        <v>7244.0672727272722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524569.39</v>
      </c>
      <c r="F49" s="145">
        <v>528706</v>
      </c>
      <c r="G49" s="112">
        <f t="shared" ref="G49:G58" si="4">F49-E49</f>
        <v>4136.609999999986</v>
      </c>
      <c r="H49" s="99">
        <f>G49+'10'!H49</f>
        <v>43652</v>
      </c>
      <c r="I49" s="95"/>
      <c r="J49" s="175">
        <f>H49/DAY(B2)</f>
        <v>3968.3636363636365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294602.33</v>
      </c>
      <c r="F50" s="145">
        <v>295676</v>
      </c>
      <c r="G50" s="112">
        <f t="shared" si="4"/>
        <v>1073.6699999999837</v>
      </c>
      <c r="H50" s="99">
        <f>G50+'10'!H50</f>
        <v>12926</v>
      </c>
      <c r="I50" s="95"/>
      <c r="J50" s="175">
        <f>H50/DAY(B2)</f>
        <v>1175.090909090909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19420.78</v>
      </c>
      <c r="F51" s="145">
        <v>20469</v>
      </c>
      <c r="G51" s="112">
        <f t="shared" si="4"/>
        <v>1048.2200000000012</v>
      </c>
      <c r="H51" s="99">
        <f>G51+'10'!H51</f>
        <v>11961</v>
      </c>
      <c r="I51" s="95"/>
      <c r="J51" s="175">
        <f>H51/DAY(B2)</f>
        <v>1087.3636363636363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9.76</v>
      </c>
      <c r="F52" s="145">
        <v>9.76</v>
      </c>
      <c r="G52" s="112">
        <f t="shared" si="4"/>
        <v>0</v>
      </c>
      <c r="H52" s="99">
        <f>G52+'10'!H52</f>
        <v>-0.24000000000000021</v>
      </c>
      <c r="I52" s="95"/>
      <c r="J52" s="175">
        <f>H52/DAY(B2)</f>
        <v>-2.1818181818181837E-2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77856.22</v>
      </c>
      <c r="F53" s="145">
        <v>82292</v>
      </c>
      <c r="G53" s="112">
        <f t="shared" si="4"/>
        <v>4435.7799999999988</v>
      </c>
      <c r="H53" s="99">
        <f>G53+'10'!H53</f>
        <v>48431</v>
      </c>
      <c r="I53" s="95"/>
      <c r="J53" s="175">
        <f>H53/DAY(B2)</f>
        <v>4402.818181818182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91601.44</v>
      </c>
      <c r="F54" s="145">
        <v>91985</v>
      </c>
      <c r="G54" s="112">
        <f t="shared" si="4"/>
        <v>383.55999999999767</v>
      </c>
      <c r="H54" s="99">
        <f>G54+'10'!H54</f>
        <v>4042</v>
      </c>
      <c r="I54" s="95"/>
      <c r="J54" s="175">
        <f>H54/DAY(B2)</f>
        <v>367.45454545454544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396842.31</v>
      </c>
      <c r="F55" s="145">
        <v>400063</v>
      </c>
      <c r="G55" s="112">
        <f t="shared" si="4"/>
        <v>3220.6900000000023</v>
      </c>
      <c r="H55" s="99">
        <f>G55+'10'!H55</f>
        <v>37286</v>
      </c>
      <c r="I55" s="95"/>
      <c r="J55" s="175">
        <f>H55/DAY(B2)</f>
        <v>3389.6363636363635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123882.39</v>
      </c>
      <c r="F56" s="423">
        <v>123882</v>
      </c>
      <c r="G56" s="112">
        <f t="shared" si="4"/>
        <v>-0.38999999999941792</v>
      </c>
      <c r="H56" s="99">
        <f>G56+'10'!H56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257135.57</v>
      </c>
      <c r="F57" s="145">
        <v>259993</v>
      </c>
      <c r="G57" s="112">
        <f t="shared" si="4"/>
        <v>2857.429999999993</v>
      </c>
      <c r="H57" s="99">
        <f>G57+'10'!H57</f>
        <v>33823</v>
      </c>
      <c r="I57" s="95"/>
      <c r="J57" s="175">
        <f>H57/DAY(B2)</f>
        <v>3074.818181818182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51773.32</v>
      </c>
      <c r="F58" s="145">
        <v>52071</v>
      </c>
      <c r="G58" s="112">
        <f t="shared" si="4"/>
        <v>297.68000000000029</v>
      </c>
      <c r="H58" s="99">
        <f>G58+'10'!H58</f>
        <v>2962</v>
      </c>
      <c r="I58" s="95"/>
      <c r="J58" s="175">
        <f>H58/DAY(B2)</f>
        <v>269.27272727272725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17453.249999999964</v>
      </c>
      <c r="H59" s="99">
        <f>G59+'10'!H59</f>
        <v>195082.76000000004</v>
      </c>
      <c r="I59" s="95">
        <f>G7-G60</f>
        <v>745.13000000001193</v>
      </c>
      <c r="J59" s="175">
        <f>H59/DAY(B2)</f>
        <v>17734.796363636367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24618.160000000025</v>
      </c>
      <c r="H60" s="99">
        <f>G60+'10'!H60</f>
        <v>274767.5</v>
      </c>
      <c r="I60" s="95">
        <f>G13-G60</f>
        <v>20.039999999695283</v>
      </c>
      <c r="J60" s="175">
        <f>H60/DAY(B2)</f>
        <v>24978.863636363636</v>
      </c>
      <c r="K60" s="79"/>
      <c r="L60" s="66"/>
      <c r="N60" s="87"/>
      <c r="O60" s="71"/>
    </row>
    <row r="61" spans="1:15" s="68" customFormat="1" ht="30.75" customHeight="1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919" t="s">
        <v>198</v>
      </c>
      <c r="B62" s="920"/>
      <c r="C62" s="921"/>
      <c r="D62" s="151" t="s">
        <v>142</v>
      </c>
      <c r="E62" s="95">
        <f>'10'!F62</f>
        <v>297401</v>
      </c>
      <c r="F62" s="122">
        <v>297497</v>
      </c>
      <c r="G62" s="112">
        <f t="shared" ref="G62:G63" si="5">F62-E62</f>
        <v>96</v>
      </c>
      <c r="H62" s="99">
        <f>G62+'10'!H62</f>
        <v>1222</v>
      </c>
      <c r="I62" s="118"/>
      <c r="J62" s="175">
        <f>H62/DAY(B2)</f>
        <v>111.09090909090909</v>
      </c>
      <c r="K62" s="80"/>
      <c r="L62" s="66"/>
      <c r="N62" s="87"/>
      <c r="O62" s="71"/>
    </row>
    <row r="63" spans="1:15" ht="30.75" customHeight="1">
      <c r="A63" s="919" t="s">
        <v>199</v>
      </c>
      <c r="B63" s="920"/>
      <c r="C63" s="921"/>
      <c r="D63" s="151" t="s">
        <v>142</v>
      </c>
      <c r="E63" s="95">
        <f>'10'!F63</f>
        <v>240387</v>
      </c>
      <c r="F63" s="150">
        <v>240510</v>
      </c>
      <c r="G63" s="112">
        <f t="shared" si="5"/>
        <v>123</v>
      </c>
      <c r="H63" s="99">
        <f>G63+'10'!H63</f>
        <v>1377</v>
      </c>
      <c r="I63" s="118"/>
      <c r="J63" s="175">
        <f>H63/DAY(B2)</f>
        <v>125.18181818181819</v>
      </c>
      <c r="K63" s="69"/>
      <c r="L63" s="66"/>
      <c r="N63" s="87"/>
      <c r="O63" s="71"/>
    </row>
    <row r="64" spans="1:15" ht="30.75" customHeight="1">
      <c r="A64" s="928" t="s">
        <v>200</v>
      </c>
      <c r="B64" s="929"/>
      <c r="C64" s="930"/>
      <c r="D64" s="151"/>
      <c r="E64" s="95">
        <f>'10'!F64</f>
        <v>0</v>
      </c>
      <c r="F64" s="122"/>
      <c r="G64" s="112">
        <f>G62+G63</f>
        <v>219</v>
      </c>
      <c r="H64" s="99">
        <f>G64+'10'!H64</f>
        <v>2599</v>
      </c>
      <c r="I64" s="118"/>
      <c r="J64" s="175">
        <f>H64/DAY(B2)</f>
        <v>236.27272727272728</v>
      </c>
      <c r="K64" s="69"/>
      <c r="L64" s="66"/>
      <c r="N64" s="87"/>
      <c r="O64" s="71"/>
    </row>
    <row r="65" spans="1:15" ht="30.75" customHeight="1">
      <c r="A65" s="919" t="s">
        <v>201</v>
      </c>
      <c r="B65" s="920"/>
      <c r="C65" s="921"/>
      <c r="D65" s="151" t="s">
        <v>142</v>
      </c>
      <c r="E65" s="95">
        <f>'10'!F65</f>
        <v>455754</v>
      </c>
      <c r="F65" s="122">
        <v>455895</v>
      </c>
      <c r="G65" s="112">
        <f t="shared" ref="G65:G70" si="6">F65-E65</f>
        <v>141</v>
      </c>
      <c r="H65" s="99">
        <f>G65+'10'!H65</f>
        <v>1185</v>
      </c>
      <c r="I65" s="118"/>
      <c r="J65" s="175">
        <f>H65/DAY(B2)</f>
        <v>107.72727272727273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111957</v>
      </c>
      <c r="F66" s="122">
        <v>111975</v>
      </c>
      <c r="G66" s="112">
        <f t="shared" si="6"/>
        <v>18</v>
      </c>
      <c r="H66" s="99">
        <f>G66+'10'!H66</f>
        <v>253</v>
      </c>
      <c r="I66" s="118"/>
      <c r="J66" s="175">
        <f>H66/DAY(B2)</f>
        <v>23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113680</v>
      </c>
      <c r="F67" s="404">
        <v>113680</v>
      </c>
      <c r="G67" s="112">
        <f t="shared" si="6"/>
        <v>0</v>
      </c>
      <c r="H67" s="99">
        <f>G67+'10'!H67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164927</v>
      </c>
      <c r="F68" s="122">
        <v>164959</v>
      </c>
      <c r="G68" s="112">
        <f t="shared" si="6"/>
        <v>32</v>
      </c>
      <c r="H68" s="99">
        <f>G68+'10'!H68</f>
        <v>297</v>
      </c>
      <c r="I68" s="118"/>
      <c r="J68" s="175">
        <f>H68/DAY(B2)</f>
        <v>27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12346</v>
      </c>
      <c r="F69" s="122">
        <v>12348</v>
      </c>
      <c r="G69" s="112">
        <f t="shared" si="6"/>
        <v>2</v>
      </c>
      <c r="H69" s="99">
        <f>G69+'10'!H69</f>
        <v>73</v>
      </c>
      <c r="I69" s="118"/>
      <c r="J69" s="175">
        <f>H69/DAY(B2)</f>
        <v>6.6363636363636367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9915</v>
      </c>
      <c r="F70" s="122">
        <v>9921</v>
      </c>
      <c r="G70" s="112">
        <f t="shared" si="6"/>
        <v>6</v>
      </c>
      <c r="H70" s="99">
        <f>G70+'10'!H70</f>
        <v>94</v>
      </c>
      <c r="I70" s="118"/>
      <c r="J70" s="175">
        <f>H70/DAY(B2)</f>
        <v>8.545454545454545</v>
      </c>
      <c r="K70" s="69"/>
      <c r="L70" s="66"/>
      <c r="N70" s="87"/>
      <c r="O70" s="71"/>
    </row>
    <row r="71" spans="1:15" ht="30.75" customHeight="1">
      <c r="A71" s="928" t="s">
        <v>208</v>
      </c>
      <c r="B71" s="929"/>
      <c r="C71" s="930"/>
      <c r="D71" s="152"/>
      <c r="E71" s="152"/>
      <c r="F71" s="152"/>
      <c r="G71" s="153">
        <f>SUM(G65:G70)</f>
        <v>199</v>
      </c>
      <c r="H71" s="99">
        <f>G71+'10'!H71</f>
        <v>1902</v>
      </c>
      <c r="I71" s="154"/>
      <c r="J71" s="175">
        <f>H71/DAY(B2)</f>
        <v>172.90909090909091</v>
      </c>
      <c r="K71" s="69"/>
      <c r="L71" s="66"/>
      <c r="N71" s="87"/>
      <c r="O71" s="71"/>
    </row>
    <row r="72" spans="1:15" s="88" customFormat="1" ht="30.75" customHeight="1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919" t="s">
        <v>220</v>
      </c>
      <c r="B74" s="920"/>
      <c r="C74" s="921"/>
      <c r="D74" s="151" t="s">
        <v>139</v>
      </c>
      <c r="E74" s="95">
        <f>'10'!F74</f>
        <v>960783.75</v>
      </c>
      <c r="F74" s="117">
        <v>961095</v>
      </c>
      <c r="G74" s="112">
        <f>F74-E74</f>
        <v>311.25</v>
      </c>
      <c r="H74" s="99">
        <f>G74+'10'!H74</f>
        <v>3437.140000000014</v>
      </c>
      <c r="I74" s="154"/>
      <c r="J74" s="175">
        <f>H74/DAY(B2)</f>
        <v>312.46727272727401</v>
      </c>
      <c r="K74" s="69"/>
      <c r="L74" s="66"/>
      <c r="N74" s="87"/>
      <c r="O74" s="71"/>
    </row>
    <row r="75" spans="1:15" ht="30.75" customHeight="1">
      <c r="A75" s="919" t="s">
        <v>221</v>
      </c>
      <c r="B75" s="920"/>
      <c r="C75" s="921"/>
      <c r="D75" s="151" t="s">
        <v>139</v>
      </c>
      <c r="E75" s="95">
        <f>'10'!F75</f>
        <v>73586.8</v>
      </c>
      <c r="F75" s="123">
        <v>73586.8</v>
      </c>
      <c r="G75" s="112">
        <f t="shared" ref="G75:G78" si="7">F75-E75</f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6" t="s">
        <v>222</v>
      </c>
      <c r="B76" s="917"/>
      <c r="C76" s="918"/>
      <c r="D76" s="151" t="s">
        <v>139</v>
      </c>
      <c r="E76" s="95">
        <f>'10'!F76</f>
        <v>191305.71</v>
      </c>
      <c r="F76" s="123">
        <v>191404</v>
      </c>
      <c r="G76" s="112">
        <f t="shared" si="7"/>
        <v>98.290000000008149</v>
      </c>
      <c r="H76" s="99">
        <f>G76+'10'!H76</f>
        <v>1232</v>
      </c>
      <c r="I76" s="154"/>
      <c r="J76" s="175">
        <f>H76/DAY(B2)</f>
        <v>112</v>
      </c>
      <c r="K76" s="69"/>
      <c r="L76" s="66"/>
      <c r="N76" s="87"/>
      <c r="O76" s="71"/>
    </row>
    <row r="77" spans="1:15" ht="30.75" customHeight="1">
      <c r="A77" s="916" t="s">
        <v>223</v>
      </c>
      <c r="B77" s="917"/>
      <c r="C77" s="918"/>
      <c r="D77" s="151" t="s">
        <v>139</v>
      </c>
      <c r="E77" s="95">
        <f>'10'!F77</f>
        <v>50791.4</v>
      </c>
      <c r="F77" s="123">
        <v>50846</v>
      </c>
      <c r="G77" s="112">
        <f t="shared" si="7"/>
        <v>54.599999999998545</v>
      </c>
      <c r="H77" s="99">
        <f>G77+'10'!H77</f>
        <v>533</v>
      </c>
      <c r="I77" s="154"/>
      <c r="J77" s="175">
        <f>H77/DAY(B2)</f>
        <v>48.454545454545453</v>
      </c>
      <c r="K77" s="69"/>
      <c r="L77" s="66"/>
      <c r="N77" s="87"/>
      <c r="O77" s="71"/>
    </row>
    <row r="78" spans="1:15" ht="30.75" customHeight="1">
      <c r="A78" s="916" t="s">
        <v>224</v>
      </c>
      <c r="B78" s="917"/>
      <c r="C78" s="918"/>
      <c r="D78" s="151" t="s">
        <v>139</v>
      </c>
      <c r="E78" s="95">
        <f>'10'!F78</f>
        <v>9563.4</v>
      </c>
      <c r="F78" s="123">
        <v>9563</v>
      </c>
      <c r="G78" s="112">
        <f t="shared" si="7"/>
        <v>-0.3999999999996362</v>
      </c>
      <c r="H78" s="99">
        <f>G78+'10'!H78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16" t="s">
        <v>225</v>
      </c>
      <c r="B79" s="917"/>
      <c r="C79" s="918"/>
      <c r="D79" s="151"/>
      <c r="E79" s="95">
        <f>'10'!F79</f>
        <v>0</v>
      </c>
      <c r="F79" s="117"/>
      <c r="G79" s="112">
        <f>G15-SUM(G74:G78)</f>
        <v>560.17999999991844</v>
      </c>
      <c r="H79" s="99">
        <f>G79+'10'!H79</f>
        <v>6227.859999999986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28" t="s">
        <v>329</v>
      </c>
      <c r="B80" s="929"/>
      <c r="C80" s="930"/>
      <c r="D80" s="151"/>
      <c r="E80" s="117"/>
      <c r="F80" s="117"/>
      <c r="G80" s="112">
        <f>SUM(G74:G79)</f>
        <v>1023.9199999999255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71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71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42692.01</v>
      </c>
      <c r="F84" s="164">
        <v>42707</v>
      </c>
      <c r="G84" s="112">
        <f t="shared" si="8"/>
        <v>14.989999999997963</v>
      </c>
      <c r="H84" s="99">
        <f>G84+'10'!H84</f>
        <v>118</v>
      </c>
      <c r="I84" s="571"/>
      <c r="J84" s="175">
        <f>H84/DAY(B2)</f>
        <v>10.727272727272727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5188.0200000000004</v>
      </c>
      <c r="F85" s="164">
        <v>5188.0200000000004</v>
      </c>
      <c r="G85" s="112">
        <f t="shared" si="8"/>
        <v>0</v>
      </c>
      <c r="H85" s="99">
        <f>G85+'10'!H85</f>
        <v>47.830000000000837</v>
      </c>
      <c r="I85" s="571"/>
      <c r="J85" s="175">
        <f>H85/DAY(B2)</f>
        <v>4.3481818181818941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45611.41</v>
      </c>
      <c r="F86" s="164">
        <v>45632</v>
      </c>
      <c r="G86" s="112">
        <f t="shared" si="8"/>
        <v>20.589999999996508</v>
      </c>
      <c r="H86" s="99">
        <f>G86+'10'!H86</f>
        <v>253</v>
      </c>
      <c r="I86" s="571"/>
      <c r="J86" s="175">
        <f>H86/DAY(B2)</f>
        <v>23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35457</v>
      </c>
      <c r="F87" s="164">
        <v>35457</v>
      </c>
      <c r="G87" s="112">
        <f t="shared" si="8"/>
        <v>0</v>
      </c>
      <c r="H87" s="99">
        <f>G87+'10'!H87</f>
        <v>-0.43000000000029104</v>
      </c>
      <c r="I87" s="553">
        <f>G84+G85+G86+G87</f>
        <v>35.57999999999447</v>
      </c>
      <c r="J87" s="175">
        <f>H87/DAY(B2)</f>
        <v>-3.9090909090935551E-2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24318.959999999999</v>
      </c>
      <c r="F88" s="164">
        <v>24318.95</v>
      </c>
      <c r="G88" s="112">
        <f t="shared" si="8"/>
        <v>-9.9999999983992893E-3</v>
      </c>
      <c r="H88" s="99">
        <f>G88+'10'!H88</f>
        <v>15.490000000001601</v>
      </c>
      <c r="I88" s="553"/>
      <c r="J88" s="175">
        <f>H88/DAY(B2)</f>
        <v>1.4081818181819636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27644.77</v>
      </c>
      <c r="F89" s="164">
        <v>27653.24</v>
      </c>
      <c r="G89" s="112">
        <f t="shared" si="8"/>
        <v>8.4700000000011642</v>
      </c>
      <c r="H89" s="99">
        <f>G89+'10'!H89</f>
        <v>86.630000000001019</v>
      </c>
      <c r="I89" s="553">
        <f>G88+G89</f>
        <v>8.4600000000027649</v>
      </c>
      <c r="J89" s="175">
        <f>H89/DAY(B2)</f>
        <v>7.8754545454546383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72718.7</v>
      </c>
      <c r="F90" s="164">
        <v>72729.350000000006</v>
      </c>
      <c r="G90" s="112">
        <f t="shared" si="8"/>
        <v>10.650000000008731</v>
      </c>
      <c r="H90" s="99">
        <f>G90+'10'!H90</f>
        <v>122.80000000000291</v>
      </c>
      <c r="I90" s="553">
        <f>G90</f>
        <v>10.650000000008731</v>
      </c>
      <c r="J90" s="175">
        <f>H90/DAY(B2)</f>
        <v>11.163636363636629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4289.5600000000004</v>
      </c>
      <c r="F91" s="122">
        <v>4289.5600000000004</v>
      </c>
      <c r="G91" s="112">
        <f t="shared" si="8"/>
        <v>0</v>
      </c>
      <c r="H91" s="99">
        <f>G91+'10'!H91</f>
        <v>2.0000000000436557E-2</v>
      </c>
      <c r="I91" s="612"/>
      <c r="J91" s="175">
        <f>H91/DAY(B2)</f>
        <v>1.8181818182215052E-3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6828.08</v>
      </c>
      <c r="F92" s="122">
        <v>6838.74</v>
      </c>
      <c r="G92" s="112">
        <f t="shared" si="8"/>
        <v>10.659999999999854</v>
      </c>
      <c r="H92" s="99">
        <f>G92+'10'!H92</f>
        <v>121.40999999999985</v>
      </c>
      <c r="I92" s="613">
        <f>G91+G92</f>
        <v>10.659999999999854</v>
      </c>
      <c r="J92" s="175">
        <f>H92/DAY(B2)</f>
        <v>11.037272727272715</v>
      </c>
      <c r="O92" s="71"/>
    </row>
    <row r="93" spans="1:15" ht="30.75" customHeight="1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6994.039999999979</v>
      </c>
      <c r="H94" s="99">
        <f>G94+'10'!H94</f>
        <v>77475.049999999988</v>
      </c>
      <c r="I94" s="118"/>
      <c r="J94" s="175">
        <f>H94/DAY(B2)</f>
        <v>7043.1863636363623</v>
      </c>
      <c r="K94" s="69"/>
      <c r="L94" s="66"/>
      <c r="O94" s="71"/>
    </row>
    <row r="95" spans="1:15" ht="30.75" customHeight="1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0.27575444668258609</v>
      </c>
      <c r="H95" s="99">
        <f>G95+'10'!H95</f>
        <v>2.9635464925948645</v>
      </c>
      <c r="I95" s="167"/>
      <c r="J95" s="175">
        <f>H95/DAY(B2)</f>
        <v>0.26941331750862402</v>
      </c>
      <c r="K95" s="69"/>
      <c r="L95" s="66"/>
      <c r="O95" s="71"/>
    </row>
    <row r="96" spans="1:15" ht="30.75" customHeight="1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6495.5400000000227</v>
      </c>
      <c r="H96" s="99">
        <f>G96+'10'!H96</f>
        <v>73208</v>
      </c>
      <c r="I96" s="118"/>
      <c r="J96" s="175">
        <f>H96/DAY(B2)</f>
        <v>6655.272727272727</v>
      </c>
      <c r="K96" s="69"/>
      <c r="L96" s="66"/>
      <c r="O96" s="71"/>
    </row>
    <row r="97" spans="1:15" ht="30.75" customHeight="1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0.25610005642012584</v>
      </c>
      <c r="H97" s="99">
        <f>G97+'10'!H97</f>
        <v>2.7936753798247218</v>
      </c>
      <c r="I97" s="167"/>
      <c r="J97" s="175">
        <f>H97/DAY(B2)</f>
        <v>0.25397048907497471</v>
      </c>
      <c r="K97" s="69"/>
      <c r="L97" s="66"/>
      <c r="O97" s="71"/>
    </row>
    <row r="98" spans="1:15" ht="30.75" customHeight="1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4435.5900000000547</v>
      </c>
      <c r="H98" s="99">
        <f>G98+'10'!H98</f>
        <v>48431</v>
      </c>
      <c r="I98" s="168"/>
      <c r="J98" s="175">
        <f>H98/DAY(B2)</f>
        <v>4402.818181818182</v>
      </c>
      <c r="K98" s="69"/>
      <c r="L98" s="66"/>
      <c r="O98" s="71"/>
    </row>
    <row r="99" spans="1:15" ht="30.75" customHeight="1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0.1748822806505011</v>
      </c>
      <c r="H99" s="99">
        <f>G99+'10'!H99</f>
        <v>1.8506645421990866</v>
      </c>
      <c r="I99" s="168"/>
      <c r="J99" s="175">
        <f>H99/DAY(B2)</f>
        <v>0.16824223110900788</v>
      </c>
      <c r="O99" s="71"/>
    </row>
    <row r="100" spans="1:15" ht="30.75" customHeight="1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2252.8499999999767</v>
      </c>
      <c r="H100" s="99">
        <f>G100+'10'!H100</f>
        <v>24717.760000000002</v>
      </c>
      <c r="I100" s="118"/>
      <c r="J100" s="175">
        <f>H100/DAY(B2)</f>
        <v>2247.0690909090913</v>
      </c>
      <c r="K100" s="70"/>
      <c r="O100" s="71"/>
    </row>
    <row r="101" spans="1:15" ht="30.75" customHeight="1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8.8823255973494497E-2</v>
      </c>
      <c r="H101" s="99">
        <f>G101+'10'!H101</f>
        <v>0.94469855746978271</v>
      </c>
      <c r="I101" s="168"/>
      <c r="J101" s="175">
        <f>H101/DAY(B2)</f>
        <v>8.5881687042707516E-2</v>
      </c>
      <c r="O101" s="71"/>
    </row>
    <row r="102" spans="1:15" ht="30.75" customHeight="1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1861.2999999999884</v>
      </c>
      <c r="H102" s="99">
        <f>G102+'10'!H102</f>
        <v>22609</v>
      </c>
      <c r="I102" s="168"/>
      <c r="J102" s="175">
        <f>H102/DAY(B2)</f>
        <v>2055.3636363636365</v>
      </c>
      <c r="O102" s="71"/>
    </row>
    <row r="103" spans="1:15" ht="30.75" customHeight="1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7.3385589960923273E-2</v>
      </c>
      <c r="H103" s="99">
        <f>G103+'10'!H103</f>
        <v>0.86084641987007637</v>
      </c>
      <c r="I103" s="118"/>
      <c r="J103" s="175">
        <f>H103/DAY(B2)</f>
        <v>7.8258765442734218E-2</v>
      </c>
      <c r="O103" s="71"/>
    </row>
    <row r="104" spans="1:15" ht="30.75" customHeight="1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1048.2200000000012</v>
      </c>
      <c r="H104" s="99">
        <f>G104+'10'!H104</f>
        <v>11960.690000000002</v>
      </c>
      <c r="I104" s="118"/>
      <c r="J104" s="175">
        <f>H104/DAY(B2)</f>
        <v>1087.3354545454547</v>
      </c>
      <c r="O104" s="71"/>
    </row>
    <row r="105" spans="1:15" ht="30.75" customHeight="1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4.1328234625712973E-2</v>
      </c>
      <c r="H105" s="99">
        <f>G105+'10'!H105</f>
        <v>0.45717911458030203</v>
      </c>
      <c r="I105" s="187"/>
      <c r="J105" s="188">
        <f>H105/DAY(B2)</f>
        <v>4.1561737689118368E-2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30.75" customHeight="1">
      <c r="A109" s="936"/>
      <c r="B109" s="936"/>
    </row>
    <row r="110" spans="1:15" ht="30.75" customHeight="1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30.75" customHeight="1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98" t="s">
        <v>252</v>
      </c>
      <c r="B112" s="899"/>
      <c r="C112" s="900"/>
      <c r="D112" s="146" t="s">
        <v>183</v>
      </c>
      <c r="E112" s="95">
        <f>'10'!F112</f>
        <v>7992.18</v>
      </c>
      <c r="F112" s="237">
        <v>8063</v>
      </c>
      <c r="G112" s="112">
        <f t="shared" ref="G112:G123" si="9">F112-E112</f>
        <v>70.819999999999709</v>
      </c>
      <c r="H112" s="99">
        <f>G112+'10'!H112</f>
        <v>798</v>
      </c>
      <c r="I112" s="165"/>
      <c r="J112" s="328">
        <f>H112/DAY(B2)</f>
        <v>72.545454545454547</v>
      </c>
    </row>
    <row r="113" spans="1:18" ht="30.75" customHeight="1">
      <c r="A113" s="898" t="s">
        <v>253</v>
      </c>
      <c r="B113" s="899"/>
      <c r="C113" s="900"/>
      <c r="D113" s="146" t="s">
        <v>183</v>
      </c>
      <c r="E113" s="95">
        <f>'10'!F113</f>
        <v>16407.09</v>
      </c>
      <c r="F113" s="237">
        <v>16547</v>
      </c>
      <c r="G113" s="112">
        <f t="shared" si="9"/>
        <v>139.90999999999985</v>
      </c>
      <c r="H113" s="99">
        <f>G113+'10'!H113</f>
        <v>1532</v>
      </c>
      <c r="I113" s="165"/>
      <c r="J113" s="328">
        <f>H113/DAY(B2)</f>
        <v>139.27272727272728</v>
      </c>
    </row>
    <row r="114" spans="1:18" ht="30.75" customHeight="1">
      <c r="A114" s="898" t="s">
        <v>254</v>
      </c>
      <c r="B114" s="899"/>
      <c r="C114" s="900"/>
      <c r="D114" s="146" t="s">
        <v>183</v>
      </c>
      <c r="E114" s="95">
        <f>'10'!F114</f>
        <v>23449.64</v>
      </c>
      <c r="F114" s="237">
        <v>23669</v>
      </c>
      <c r="G114" s="112">
        <f t="shared" si="9"/>
        <v>219.36000000000058</v>
      </c>
      <c r="H114" s="99">
        <f>G114+'10'!H114</f>
        <v>2401</v>
      </c>
      <c r="I114" s="165"/>
      <c r="J114" s="328">
        <f>H114/DAY(B2)</f>
        <v>218.27272727272728</v>
      </c>
    </row>
    <row r="115" spans="1:18" ht="30.75" customHeight="1">
      <c r="A115" s="898" t="s">
        <v>255</v>
      </c>
      <c r="B115" s="899"/>
      <c r="C115" s="900"/>
      <c r="D115" s="146" t="s">
        <v>183</v>
      </c>
      <c r="E115" s="95">
        <f>'10'!F115</f>
        <v>14876.05</v>
      </c>
      <c r="F115" s="237">
        <v>15044</v>
      </c>
      <c r="G115" s="112">
        <f t="shared" si="9"/>
        <v>167.95000000000073</v>
      </c>
      <c r="H115" s="99">
        <f>G115+'10'!H115</f>
        <v>1468.5200000000004</v>
      </c>
      <c r="I115" s="165"/>
      <c r="J115" s="328">
        <f>H115/DAY(B2)</f>
        <v>133.50181818181821</v>
      </c>
    </row>
    <row r="116" spans="1:18" ht="30.75" customHeight="1">
      <c r="A116" s="905" t="s">
        <v>96</v>
      </c>
      <c r="B116" s="906"/>
      <c r="C116" s="907"/>
      <c r="D116" s="146" t="s">
        <v>183</v>
      </c>
      <c r="E116" s="95">
        <f>'10'!F116</f>
        <v>74491.17</v>
      </c>
      <c r="F116" s="237">
        <v>74911</v>
      </c>
      <c r="G116" s="112">
        <f t="shared" si="9"/>
        <v>419.83000000000175</v>
      </c>
      <c r="H116" s="99">
        <f>G116+'10'!H116</f>
        <v>4419</v>
      </c>
      <c r="I116" s="165"/>
      <c r="J116" s="328">
        <f>H116/DAY(B2)</f>
        <v>401.72727272727275</v>
      </c>
      <c r="Q116" s="898" t="s">
        <v>311</v>
      </c>
      <c r="R116" s="900"/>
    </row>
    <row r="117" spans="1:18" ht="30.75" customHeight="1">
      <c r="A117" s="905" t="s">
        <v>184</v>
      </c>
      <c r="B117" s="906"/>
      <c r="C117" s="907"/>
      <c r="D117" s="146" t="s">
        <v>183</v>
      </c>
      <c r="E117" s="95">
        <f>'10'!F117</f>
        <v>43197.89</v>
      </c>
      <c r="F117" s="237">
        <v>43447</v>
      </c>
      <c r="G117" s="112">
        <f t="shared" si="9"/>
        <v>249.11000000000058</v>
      </c>
      <c r="H117" s="99">
        <f>G117+'10'!H117</f>
        <v>2525</v>
      </c>
      <c r="I117" s="165"/>
      <c r="J117" s="328">
        <f>H117/DAY(B2)</f>
        <v>229.54545454545453</v>
      </c>
      <c r="Q117" s="898" t="s">
        <v>312</v>
      </c>
      <c r="R117" s="900"/>
    </row>
    <row r="118" spans="1:18" ht="30.75" customHeight="1">
      <c r="A118" s="897" t="s">
        <v>97</v>
      </c>
      <c r="B118" s="897"/>
      <c r="C118" s="897"/>
      <c r="D118" s="151" t="s">
        <v>183</v>
      </c>
      <c r="E118" s="95">
        <f>'10'!F118</f>
        <v>70742.039999999994</v>
      </c>
      <c r="F118" s="417">
        <v>71292</v>
      </c>
      <c r="G118" s="112">
        <f t="shared" si="9"/>
        <v>549.9600000000064</v>
      </c>
      <c r="H118" s="99">
        <f>G118+'10'!H118</f>
        <v>6620</v>
      </c>
      <c r="I118" s="165"/>
      <c r="J118" s="328">
        <f>H118/DAY(B2)</f>
        <v>601.81818181818187</v>
      </c>
      <c r="Q118" s="898" t="s">
        <v>311</v>
      </c>
      <c r="R118" s="900"/>
    </row>
    <row r="119" spans="1:18" ht="30.75" customHeight="1">
      <c r="A119" s="897" t="s">
        <v>98</v>
      </c>
      <c r="B119" s="897"/>
      <c r="C119" s="897"/>
      <c r="D119" s="151" t="s">
        <v>183</v>
      </c>
      <c r="E119" s="95">
        <f>'10'!F119</f>
        <v>39810.97</v>
      </c>
      <c r="F119" s="237">
        <v>40046</v>
      </c>
      <c r="G119" s="112">
        <f t="shared" si="9"/>
        <v>235.02999999999884</v>
      </c>
      <c r="H119" s="99">
        <f>G119+'10'!H119</f>
        <v>2597</v>
      </c>
      <c r="I119" s="165"/>
      <c r="J119" s="328">
        <f>H119/DAY(B2)</f>
        <v>236.09090909090909</v>
      </c>
    </row>
    <row r="120" spans="1:18" ht="30.75" customHeight="1">
      <c r="A120" s="897" t="s">
        <v>99</v>
      </c>
      <c r="B120" s="897"/>
      <c r="C120" s="897"/>
      <c r="D120" s="151" t="s">
        <v>183</v>
      </c>
      <c r="E120" s="95">
        <f>'10'!F120</f>
        <v>50427.360000000001</v>
      </c>
      <c r="F120" s="237">
        <v>50823</v>
      </c>
      <c r="G120" s="112">
        <f t="shared" si="9"/>
        <v>395.63999999999942</v>
      </c>
      <c r="H120" s="99">
        <f>G120+'10'!H120</f>
        <v>4556</v>
      </c>
      <c r="I120" s="165"/>
      <c r="J120" s="328">
        <f>H120/DAY(B2)</f>
        <v>414.18181818181819</v>
      </c>
    </row>
    <row r="121" spans="1:18" ht="30.75" customHeight="1">
      <c r="A121" s="897" t="s">
        <v>100</v>
      </c>
      <c r="B121" s="897"/>
      <c r="C121" s="897"/>
      <c r="D121" s="151" t="s">
        <v>183</v>
      </c>
      <c r="E121" s="95">
        <f>'10'!F121</f>
        <v>58310.46</v>
      </c>
      <c r="F121" s="237">
        <v>58788</v>
      </c>
      <c r="G121" s="112">
        <f t="shared" si="9"/>
        <v>477.54000000000087</v>
      </c>
      <c r="H121" s="99">
        <f>G121+'10'!H121</f>
        <v>5245</v>
      </c>
      <c r="I121" s="165"/>
      <c r="J121" s="328">
        <f>H121/DAY(B2)</f>
        <v>476.81818181818181</v>
      </c>
    </row>
    <row r="122" spans="1:18" ht="30.75" customHeight="1">
      <c r="A122" s="897" t="s">
        <v>101</v>
      </c>
      <c r="B122" s="897"/>
      <c r="C122" s="897"/>
      <c r="D122" s="151" t="s">
        <v>183</v>
      </c>
      <c r="E122" s="95">
        <f>'10'!F122</f>
        <v>31739.74</v>
      </c>
      <c r="F122" s="237">
        <v>32063</v>
      </c>
      <c r="G122" s="112">
        <f t="shared" si="9"/>
        <v>323.2599999999984</v>
      </c>
      <c r="H122" s="99">
        <f>G122+'10'!H122</f>
        <v>3389</v>
      </c>
      <c r="I122" s="165"/>
      <c r="J122" s="328">
        <f>H122/DAY(B2)</f>
        <v>308.09090909090907</v>
      </c>
    </row>
    <row r="123" spans="1:18" ht="30.75" customHeight="1">
      <c r="A123" s="897" t="s">
        <v>102</v>
      </c>
      <c r="B123" s="897"/>
      <c r="C123" s="897"/>
      <c r="D123" s="151" t="s">
        <v>183</v>
      </c>
      <c r="E123" s="95">
        <f>'10'!F123</f>
        <v>33460.36</v>
      </c>
      <c r="F123" s="237">
        <v>33790</v>
      </c>
      <c r="G123" s="112">
        <f t="shared" si="9"/>
        <v>329.63999999999942</v>
      </c>
      <c r="H123" s="99">
        <f>G123+'10'!H123</f>
        <v>3602</v>
      </c>
      <c r="I123" s="165"/>
      <c r="J123" s="328">
        <f>H123/DAY(B2)</f>
        <v>327.45454545454544</v>
      </c>
    </row>
    <row r="124" spans="1:18" ht="30.75" customHeight="1">
      <c r="A124" s="902"/>
      <c r="B124" s="903"/>
      <c r="C124" s="904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880" t="s">
        <v>196</v>
      </c>
      <c r="B125" s="881"/>
      <c r="C125" s="245"/>
      <c r="D125" s="307"/>
      <c r="E125" s="308"/>
      <c r="F125" s="308"/>
      <c r="G125" s="309">
        <f>SUM(G112:G124)</f>
        <v>3578.0500000000065</v>
      </c>
      <c r="H125" s="156"/>
      <c r="I125" s="327">
        <f>G125-(G39+G53)</f>
        <v>-857.54000000004817</v>
      </c>
      <c r="J125" s="327"/>
    </row>
    <row r="126" spans="1:18" ht="30.75" customHeight="1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30.75" customHeight="1">
      <c r="A127" s="885"/>
      <c r="B127" s="885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898" t="s">
        <v>318</v>
      </c>
      <c r="B128" s="899"/>
      <c r="C128" s="900"/>
      <c r="D128" s="151" t="s">
        <v>183</v>
      </c>
      <c r="E128" s="95">
        <f>'10'!F128</f>
        <v>132907.19</v>
      </c>
      <c r="F128" s="157">
        <v>133472</v>
      </c>
      <c r="G128" s="112">
        <f t="shared" ref="G128:G134" si="10">F128-E128</f>
        <v>564.80999999999767</v>
      </c>
      <c r="H128" s="99">
        <f>G128+'10'!H128</f>
        <v>5828</v>
      </c>
      <c r="I128" s="165"/>
      <c r="J128" s="328">
        <f>H128/DAY(B2)</f>
        <v>529.81818181818187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74538.559999999998</v>
      </c>
      <c r="F129" s="157">
        <v>74684</v>
      </c>
      <c r="G129" s="112">
        <f t="shared" si="10"/>
        <v>145.44000000000233</v>
      </c>
      <c r="H129" s="99">
        <f>G129+'10'!H129</f>
        <v>2181</v>
      </c>
      <c r="I129" s="165"/>
      <c r="J129" s="328">
        <f>H129/DAY(B2)</f>
        <v>198.27272727272728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171531.13</v>
      </c>
      <c r="F130" s="157">
        <v>172193</v>
      </c>
      <c r="G130" s="112">
        <f t="shared" si="10"/>
        <v>661.86999999999534</v>
      </c>
      <c r="H130" s="99">
        <f>G130+'10'!H130</f>
        <v>7057.4799999999814</v>
      </c>
      <c r="I130" s="165"/>
      <c r="J130" s="328">
        <f>H130/DAY(B2)</f>
        <v>641.58909090908924</v>
      </c>
      <c r="N130" s="240"/>
      <c r="O130" s="241"/>
    </row>
    <row r="131" spans="1:15" ht="30.75" customHeight="1">
      <c r="A131" s="898" t="s">
        <v>321</v>
      </c>
      <c r="B131" s="899"/>
      <c r="C131" s="900"/>
      <c r="D131" s="151" t="s">
        <v>183</v>
      </c>
      <c r="E131" s="95">
        <f>'10'!F131</f>
        <v>50403.53</v>
      </c>
      <c r="F131" s="157">
        <v>50604</v>
      </c>
      <c r="G131" s="112">
        <f t="shared" si="10"/>
        <v>200.47000000000116</v>
      </c>
      <c r="H131" s="99">
        <f>G131+'10'!H131</f>
        <v>2155</v>
      </c>
      <c r="I131" s="165"/>
      <c r="J131" s="328">
        <f>H131/DAY(B2)</f>
        <v>195.90909090909091</v>
      </c>
      <c r="N131" s="240"/>
      <c r="O131" s="241"/>
    </row>
    <row r="132" spans="1:15" ht="30.75" customHeight="1">
      <c r="A132" s="898" t="s">
        <v>322</v>
      </c>
      <c r="B132" s="899"/>
      <c r="C132" s="900"/>
      <c r="D132" s="151" t="s">
        <v>183</v>
      </c>
      <c r="E132" s="95">
        <f>'10'!F132</f>
        <v>132233.78</v>
      </c>
      <c r="F132" s="157">
        <v>132643</v>
      </c>
      <c r="G132" s="112">
        <f t="shared" si="10"/>
        <v>409.22000000000116</v>
      </c>
      <c r="H132" s="99">
        <f>G132+'10'!H132</f>
        <v>4469</v>
      </c>
      <c r="I132" s="165"/>
      <c r="J132" s="328">
        <f>H132/DAY(B2)</f>
        <v>406.27272727272725</v>
      </c>
    </row>
    <row r="133" spans="1:15" ht="30.75" customHeight="1">
      <c r="A133" s="898" t="s">
        <v>359</v>
      </c>
      <c r="B133" s="899"/>
      <c r="C133" s="900"/>
      <c r="D133" s="151" t="s">
        <v>183</v>
      </c>
      <c r="E133" s="95">
        <f>'10'!F133</f>
        <v>224035.59</v>
      </c>
      <c r="F133" s="157">
        <v>224035.59</v>
      </c>
      <c r="G133" s="112">
        <f t="shared" si="10"/>
        <v>0</v>
      </c>
      <c r="H133" s="99">
        <f>G133+'10'!H133</f>
        <v>0</v>
      </c>
      <c r="I133" s="165"/>
      <c r="J133" s="328">
        <f>H133/DAY(B2)</f>
        <v>0</v>
      </c>
    </row>
    <row r="134" spans="1:15" ht="30.75" customHeight="1">
      <c r="A134" s="898" t="s">
        <v>340</v>
      </c>
      <c r="B134" s="899"/>
      <c r="C134" s="900"/>
      <c r="D134" s="151" t="s">
        <v>183</v>
      </c>
      <c r="E134" s="95">
        <f>'10'!F134</f>
        <v>51125.3</v>
      </c>
      <c r="F134" s="157">
        <v>51340</v>
      </c>
      <c r="G134" s="112">
        <f t="shared" si="10"/>
        <v>214.69999999999709</v>
      </c>
      <c r="H134" s="99">
        <f>G134+'10'!H134</f>
        <v>2305</v>
      </c>
      <c r="I134" s="165"/>
      <c r="J134" s="328">
        <f>H134/DAY(B2)</f>
        <v>209.54545454545453</v>
      </c>
    </row>
    <row r="135" spans="1:15" ht="30.75" customHeight="1">
      <c r="A135" s="880" t="s">
        <v>196</v>
      </c>
      <c r="B135" s="881"/>
      <c r="C135" s="331"/>
      <c r="D135" s="151"/>
      <c r="E135" s="95"/>
      <c r="F135" s="165"/>
      <c r="G135" s="112">
        <f>SUM(G128:G134)</f>
        <v>2196.5099999999948</v>
      </c>
      <c r="H135" s="99">
        <f>G135+'10'!H135</f>
        <v>23995.479999999981</v>
      </c>
      <c r="I135" s="327">
        <f>G135-(G35+G49)</f>
        <v>-1940.0999999999913</v>
      </c>
      <c r="J135" s="328">
        <f>H135/DAY(B2)</f>
        <v>2181.407272727271</v>
      </c>
    </row>
    <row r="136" spans="1:15" ht="30.75" customHeight="1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30.75" customHeight="1">
      <c r="A137" s="245"/>
      <c r="B137" s="246"/>
      <c r="C137" s="246"/>
      <c r="D137" s="165"/>
      <c r="E137" s="165"/>
      <c r="F137" s="165" t="s">
        <v>356</v>
      </c>
      <c r="G137" s="165"/>
      <c r="H137" s="156"/>
      <c r="I137" s="165"/>
      <c r="J137" s="327"/>
    </row>
    <row r="138" spans="1:15" ht="30.75" customHeight="1">
      <c r="A138" s="897" t="s">
        <v>185</v>
      </c>
      <c r="B138" s="897"/>
      <c r="C138" s="897"/>
      <c r="D138" s="151" t="s">
        <v>183</v>
      </c>
      <c r="E138" s="95">
        <f>'10'!F138</f>
        <v>892531</v>
      </c>
      <c r="F138" s="148">
        <v>892630</v>
      </c>
      <c r="G138" s="112">
        <f t="shared" ref="G138:G152" si="11">F138-E138</f>
        <v>99</v>
      </c>
      <c r="H138" s="99">
        <f>G138+'10'!H138</f>
        <v>1519</v>
      </c>
      <c r="I138" s="118"/>
      <c r="J138" s="328">
        <f>H138/DAY(B2)</f>
        <v>138.09090909090909</v>
      </c>
    </row>
    <row r="139" spans="1:15" ht="30.75" customHeight="1">
      <c r="A139" s="897" t="s">
        <v>186</v>
      </c>
      <c r="B139" s="897"/>
      <c r="C139" s="897"/>
      <c r="D139" s="151" t="s">
        <v>183</v>
      </c>
      <c r="E139" s="95">
        <f>'10'!F139</f>
        <v>910429</v>
      </c>
      <c r="F139" s="148">
        <v>910599</v>
      </c>
      <c r="G139" s="112">
        <f t="shared" si="11"/>
        <v>170</v>
      </c>
      <c r="H139" s="99">
        <f>G139+'10'!H139</f>
        <v>1704</v>
      </c>
      <c r="I139" s="118"/>
      <c r="J139" s="328">
        <f>H139/DAY(B2)</f>
        <v>154.90909090909091</v>
      </c>
    </row>
    <row r="140" spans="1:15" ht="30.75" customHeight="1">
      <c r="A140" s="897" t="s">
        <v>187</v>
      </c>
      <c r="B140" s="897"/>
      <c r="C140" s="897"/>
      <c r="D140" s="151" t="s">
        <v>183</v>
      </c>
      <c r="E140" s="95">
        <f>'10'!F140</f>
        <v>1658.64</v>
      </c>
      <c r="F140" s="148">
        <v>1672</v>
      </c>
      <c r="G140" s="112">
        <f t="shared" si="11"/>
        <v>13.3599999999999</v>
      </c>
      <c r="H140" s="99">
        <f>G140+'10'!H140</f>
        <v>159</v>
      </c>
      <c r="I140" s="118"/>
      <c r="J140" s="328">
        <f>H140/DAY(B2)</f>
        <v>14.454545454545455</v>
      </c>
    </row>
    <row r="141" spans="1:15" ht="30.75" customHeight="1">
      <c r="A141" s="876" t="s">
        <v>188</v>
      </c>
      <c r="B141" s="876"/>
      <c r="C141" s="876"/>
      <c r="D141" s="151" t="s">
        <v>183</v>
      </c>
      <c r="E141" s="95">
        <f>'10'!F141</f>
        <v>92404.47</v>
      </c>
      <c r="F141" s="149">
        <v>92604</v>
      </c>
      <c r="G141" s="112">
        <f t="shared" si="11"/>
        <v>199.52999999999884</v>
      </c>
      <c r="H141" s="99">
        <f>G141+'10'!H141</f>
        <v>2152</v>
      </c>
      <c r="I141" s="118"/>
      <c r="J141" s="328">
        <f>H141/DAY(B2)</f>
        <v>195.63636363636363</v>
      </c>
    </row>
    <row r="142" spans="1:15" ht="30.75" customHeight="1">
      <c r="A142" s="876" t="s">
        <v>189</v>
      </c>
      <c r="B142" s="876"/>
      <c r="C142" s="876"/>
      <c r="D142" s="151" t="s">
        <v>183</v>
      </c>
      <c r="E142" s="95">
        <f>'10'!F142</f>
        <v>37474.980000000003</v>
      </c>
      <c r="F142" s="148">
        <v>37561</v>
      </c>
      <c r="G142" s="112">
        <f t="shared" si="11"/>
        <v>86.019999999996799</v>
      </c>
      <c r="H142" s="99">
        <f>G142+'10'!H142</f>
        <v>900</v>
      </c>
      <c r="I142" s="140"/>
      <c r="J142" s="328">
        <f>H142/DAY(B2)</f>
        <v>81.818181818181813</v>
      </c>
    </row>
    <row r="143" spans="1:15" ht="30.75" customHeight="1">
      <c r="A143" s="897" t="s">
        <v>91</v>
      </c>
      <c r="B143" s="897"/>
      <c r="C143" s="897"/>
      <c r="D143" s="151" t="s">
        <v>183</v>
      </c>
      <c r="E143" s="95">
        <f>'10'!F143</f>
        <v>9312.56</v>
      </c>
      <c r="F143" s="149">
        <v>9341</v>
      </c>
      <c r="G143" s="112">
        <f t="shared" si="11"/>
        <v>28.440000000000509</v>
      </c>
      <c r="H143" s="99">
        <f>G143+'10'!H143</f>
        <v>290</v>
      </c>
      <c r="I143" s="140"/>
      <c r="J143" s="328">
        <f>H143/DAY(B2)</f>
        <v>26.363636363636363</v>
      </c>
    </row>
    <row r="144" spans="1:15" ht="30.75" customHeight="1">
      <c r="A144" s="876" t="s">
        <v>90</v>
      </c>
      <c r="B144" s="876"/>
      <c r="C144" s="876"/>
      <c r="D144" s="151" t="s">
        <v>183</v>
      </c>
      <c r="E144" s="95">
        <f>'10'!F144</f>
        <v>922024</v>
      </c>
      <c r="F144" s="149">
        <v>922254</v>
      </c>
      <c r="G144" s="112">
        <f t="shared" si="11"/>
        <v>230</v>
      </c>
      <c r="H144" s="99">
        <f>G144+'10'!H144</f>
        <v>2417</v>
      </c>
      <c r="I144" s="140"/>
      <c r="J144" s="328">
        <f>H144/DAY(B2)</f>
        <v>219.72727272727272</v>
      </c>
    </row>
    <row r="145" spans="1:10" ht="30.75" customHeight="1">
      <c r="A145" s="897" t="s">
        <v>190</v>
      </c>
      <c r="B145" s="897"/>
      <c r="C145" s="897"/>
      <c r="D145" s="152" t="s">
        <v>183</v>
      </c>
      <c r="E145" s="95">
        <f>'10'!F145</f>
        <v>6114.86</v>
      </c>
      <c r="F145" s="149">
        <v>6147</v>
      </c>
      <c r="G145" s="112">
        <f t="shared" si="11"/>
        <v>32.140000000000327</v>
      </c>
      <c r="H145" s="99">
        <f>G145+'10'!H145</f>
        <v>340</v>
      </c>
      <c r="I145" s="140"/>
      <c r="J145" s="328">
        <f>H145/DAY(B2)</f>
        <v>30.90909090909091</v>
      </c>
    </row>
    <row r="146" spans="1:10" ht="30.75" customHeight="1">
      <c r="A146" s="932" t="s">
        <v>191</v>
      </c>
      <c r="B146" s="917"/>
      <c r="C146" s="918"/>
      <c r="D146" s="152" t="s">
        <v>183</v>
      </c>
      <c r="E146" s="95">
        <f>'10'!F146</f>
        <v>781612</v>
      </c>
      <c r="F146" s="148">
        <v>781685</v>
      </c>
      <c r="G146" s="112">
        <f t="shared" si="11"/>
        <v>73</v>
      </c>
      <c r="H146" s="99">
        <f>G146+'10'!H146</f>
        <v>885</v>
      </c>
      <c r="I146" s="140"/>
      <c r="J146" s="328">
        <f>H146/DAY(B2)</f>
        <v>80.454545454545453</v>
      </c>
    </row>
    <row r="147" spans="1:10" ht="30.75" customHeight="1">
      <c r="A147" s="876" t="s">
        <v>192</v>
      </c>
      <c r="B147" s="876"/>
      <c r="C147" s="876"/>
      <c r="D147" s="152" t="s">
        <v>183</v>
      </c>
      <c r="E147" s="95">
        <f>'10'!F147</f>
        <v>703600.4</v>
      </c>
      <c r="F147" s="148">
        <v>704004</v>
      </c>
      <c r="G147" s="112">
        <f t="shared" si="11"/>
        <v>403.59999999997672</v>
      </c>
      <c r="H147" s="99">
        <f>G147+'10'!H147</f>
        <v>4235</v>
      </c>
      <c r="I147" s="140"/>
      <c r="J147" s="328">
        <f>H147/DAY(B2)</f>
        <v>385</v>
      </c>
    </row>
    <row r="148" spans="1:10" ht="30.75" customHeight="1">
      <c r="A148" s="877" t="s">
        <v>193</v>
      </c>
      <c r="B148" s="878"/>
      <c r="C148" s="879"/>
      <c r="D148" s="123" t="s">
        <v>130</v>
      </c>
      <c r="E148" s="95">
        <f>'10'!F148</f>
        <v>751595.44</v>
      </c>
      <c r="F148" s="150">
        <v>751912</v>
      </c>
      <c r="G148" s="112">
        <f t="shared" si="11"/>
        <v>316.56000000005588</v>
      </c>
      <c r="H148" s="99">
        <f>G148+'10'!H148</f>
        <v>3382</v>
      </c>
      <c r="I148" s="124"/>
      <c r="J148" s="328">
        <f>H148/DAY(B2)</f>
        <v>307.45454545454544</v>
      </c>
    </row>
    <row r="149" spans="1:10" ht="30.75" customHeight="1">
      <c r="A149" s="877" t="s">
        <v>336</v>
      </c>
      <c r="B149" s="878"/>
      <c r="C149" s="879"/>
      <c r="D149" s="227" t="s">
        <v>130</v>
      </c>
      <c r="E149" s="95">
        <f>'10'!F149</f>
        <v>137223.44</v>
      </c>
      <c r="F149" s="146">
        <v>137669</v>
      </c>
      <c r="G149" s="112">
        <f t="shared" si="11"/>
        <v>445.55999999999767</v>
      </c>
      <c r="H149" s="99">
        <f>G149+'10'!H149</f>
        <v>5235</v>
      </c>
      <c r="I149" s="119"/>
      <c r="J149" s="328">
        <f>H149/DAY(B2)</f>
        <v>475.90909090909093</v>
      </c>
    </row>
    <row r="150" spans="1:10" ht="30.75" customHeight="1">
      <c r="A150" s="877" t="s">
        <v>337</v>
      </c>
      <c r="B150" s="878"/>
      <c r="C150" s="879"/>
      <c r="D150" s="117" t="s">
        <v>130</v>
      </c>
      <c r="E150" s="95">
        <f>'10'!F150</f>
        <v>52844.11</v>
      </c>
      <c r="F150" s="233">
        <v>53073</v>
      </c>
      <c r="G150" s="112">
        <f t="shared" si="11"/>
        <v>228.88999999999942</v>
      </c>
      <c r="H150" s="99">
        <f>G150+'10'!H150</f>
        <v>2458</v>
      </c>
      <c r="I150" s="119"/>
      <c r="J150" s="328">
        <f>H150/DAY(B2)</f>
        <v>223.45454545454547</v>
      </c>
    </row>
    <row r="151" spans="1:10" ht="30.75" customHeight="1">
      <c r="A151" s="877" t="s">
        <v>338</v>
      </c>
      <c r="B151" s="878"/>
      <c r="C151" s="879"/>
      <c r="D151" s="117" t="s">
        <v>130</v>
      </c>
      <c r="E151" s="95">
        <f>'10'!F151</f>
        <v>138202</v>
      </c>
      <c r="F151" s="233">
        <v>138530</v>
      </c>
      <c r="G151" s="112">
        <f t="shared" si="11"/>
        <v>328</v>
      </c>
      <c r="H151" s="99">
        <f>G151+'10'!H151</f>
        <v>3081</v>
      </c>
      <c r="I151" s="119"/>
      <c r="J151" s="328">
        <f>H151/DAY(B2)</f>
        <v>280.09090909090907</v>
      </c>
    </row>
    <row r="152" spans="1:10" ht="30.75" customHeight="1">
      <c r="A152" s="877" t="s">
        <v>339</v>
      </c>
      <c r="B152" s="878"/>
      <c r="C152" s="879"/>
      <c r="D152" s="117" t="s">
        <v>130</v>
      </c>
      <c r="E152" s="95">
        <f>'10'!F152</f>
        <v>24336.61</v>
      </c>
      <c r="F152" s="233">
        <v>24456</v>
      </c>
      <c r="G152" s="112">
        <f t="shared" si="11"/>
        <v>119.38999999999942</v>
      </c>
      <c r="H152" s="99">
        <f>G152+'10'!H152</f>
        <v>1302</v>
      </c>
      <c r="I152" s="119"/>
      <c r="J152" s="328">
        <f>H152/DAY(B2)</f>
        <v>118.36363636363636</v>
      </c>
    </row>
    <row r="153" spans="1:10" ht="30.75" customHeight="1">
      <c r="A153" s="880" t="s">
        <v>196</v>
      </c>
      <c r="B153" s="881"/>
      <c r="C153" s="365"/>
      <c r="D153" s="358"/>
      <c r="E153" s="360"/>
      <c r="F153" s="361"/>
      <c r="G153" s="362">
        <f>SUM(G138:G152)</f>
        <v>2773.4900000000252</v>
      </c>
      <c r="H153" s="363"/>
      <c r="I153" s="119">
        <f>G153-(G38+G52)</f>
        <v>520.64000000004853</v>
      </c>
      <c r="J153" s="366"/>
    </row>
    <row r="154" spans="1:10" ht="30.75" customHeight="1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30.75" customHeight="1">
      <c r="A155" s="876" t="s">
        <v>345</v>
      </c>
      <c r="B155" s="876"/>
      <c r="C155" s="876"/>
      <c r="D155" s="117" t="s">
        <v>130</v>
      </c>
      <c r="E155" s="95">
        <f>'10'!F155</f>
        <v>154786.64000000001</v>
      </c>
      <c r="F155" s="157">
        <v>155394</v>
      </c>
      <c r="G155" s="112">
        <f t="shared" ref="G155:G159" si="12">F155-E155</f>
        <v>607.35999999998603</v>
      </c>
      <c r="H155" s="99">
        <f>G155+'10'!H155</f>
        <v>7245</v>
      </c>
      <c r="I155" s="364"/>
      <c r="J155" s="328">
        <f>H155/DAY(B2)</f>
        <v>658.63636363636363</v>
      </c>
    </row>
    <row r="156" spans="1:10" ht="30.75" customHeight="1">
      <c r="A156" s="876" t="s">
        <v>347</v>
      </c>
      <c r="B156" s="876"/>
      <c r="C156" s="876"/>
      <c r="D156" s="117" t="s">
        <v>130</v>
      </c>
      <c r="E156" s="95">
        <f>'10'!F156</f>
        <v>15743.53</v>
      </c>
      <c r="F156" s="155">
        <v>15842</v>
      </c>
      <c r="G156" s="112">
        <f t="shared" si="12"/>
        <v>98.469999999999345</v>
      </c>
      <c r="H156" s="99">
        <f>G156+'10'!H156</f>
        <v>1108</v>
      </c>
      <c r="I156" s="165"/>
      <c r="J156" s="328">
        <f>H156/DAY(B2)</f>
        <v>100.72727272727273</v>
      </c>
    </row>
    <row r="157" spans="1:10" ht="30.75" customHeight="1">
      <c r="A157" s="877" t="s">
        <v>360</v>
      </c>
      <c r="B157" s="878"/>
      <c r="C157" s="879"/>
      <c r="D157" s="117" t="s">
        <v>130</v>
      </c>
      <c r="E157" s="95">
        <f>'10'!F157</f>
        <v>28917.08</v>
      </c>
      <c r="F157" s="155">
        <v>29055</v>
      </c>
      <c r="G157" s="112">
        <f t="shared" si="12"/>
        <v>137.91999999999825</v>
      </c>
      <c r="H157" s="99">
        <f>G157+'10'!H157</f>
        <v>1609</v>
      </c>
      <c r="I157" s="165"/>
      <c r="J157" s="328">
        <f>H157/DAY(B2)</f>
        <v>146.27272727272728</v>
      </c>
    </row>
    <row r="158" spans="1:10" ht="30.75" customHeight="1">
      <c r="A158" s="877" t="s">
        <v>361</v>
      </c>
      <c r="B158" s="878"/>
      <c r="C158" s="879"/>
      <c r="D158" s="117" t="s">
        <v>130</v>
      </c>
      <c r="E158" s="95">
        <f>'10'!F158</f>
        <v>240.55</v>
      </c>
      <c r="F158" s="155">
        <v>240.55</v>
      </c>
      <c r="G158" s="112">
        <f t="shared" si="12"/>
        <v>0</v>
      </c>
      <c r="H158" s="99">
        <f>G158+'10'!H158</f>
        <v>152.13</v>
      </c>
      <c r="I158" s="165"/>
      <c r="J158" s="328">
        <f>H158/DAY(B2)</f>
        <v>13.83</v>
      </c>
    </row>
    <row r="159" spans="1:10" ht="30.75" customHeight="1">
      <c r="A159" s="962"/>
      <c r="B159" s="963"/>
      <c r="C159" s="964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480332.92</v>
      </c>
      <c r="F161" s="235">
        <v>480365</v>
      </c>
      <c r="G161" s="238">
        <f>F161-E161</f>
        <v>32.080000000016298</v>
      </c>
      <c r="H161" s="99">
        <f>G161+'10'!H161</f>
        <v>312</v>
      </c>
      <c r="I161" s="236"/>
      <c r="J161" s="239">
        <f>H161/DAY(B2)</f>
        <v>28.363636363636363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95373</v>
      </c>
      <c r="F162" s="235">
        <v>95414</v>
      </c>
      <c r="G162" s="238">
        <f t="shared" ref="G162:G165" si="13">F162-E162</f>
        <v>41</v>
      </c>
      <c r="H162" s="99">
        <f>G162+'10'!H162</f>
        <v>486</v>
      </c>
      <c r="I162" s="236"/>
      <c r="J162" s="239">
        <f>H162/DAY(B2)</f>
        <v>44.18181818181818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7699</v>
      </c>
      <c r="F163" s="235">
        <v>7783</v>
      </c>
      <c r="G163" s="238">
        <f t="shared" si="13"/>
        <v>84</v>
      </c>
      <c r="H163" s="99">
        <f>G163+'10'!H163</f>
        <v>1282</v>
      </c>
      <c r="I163" s="236"/>
      <c r="J163" s="239">
        <f>H163/DAY(B2)</f>
        <v>116.54545454545455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6307</v>
      </c>
      <c r="F164" s="235">
        <v>6307</v>
      </c>
      <c r="G164" s="238">
        <f t="shared" si="13"/>
        <v>0</v>
      </c>
      <c r="H164" s="99">
        <f>G164+'10'!H164</f>
        <v>27</v>
      </c>
      <c r="I164" s="236"/>
      <c r="J164" s="239">
        <f>H164/DAY(B2)</f>
        <v>2.4545454545454546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31719.81</v>
      </c>
      <c r="F165" s="235">
        <v>31727</v>
      </c>
      <c r="G165" s="238">
        <f t="shared" si="13"/>
        <v>7.1899999999986903</v>
      </c>
      <c r="H165" s="99">
        <f>G165+'10'!H165</f>
        <v>93</v>
      </c>
      <c r="I165" s="236"/>
      <c r="J165" s="239">
        <f>H165/DAY(B2)</f>
        <v>8.454545454545455</v>
      </c>
    </row>
    <row r="166" spans="1:10" ht="30.75" customHeight="1">
      <c r="A166" s="885"/>
      <c r="B166" s="885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885"/>
      <c r="B167" s="885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885"/>
      <c r="B168" s="885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30.75" customHeight="1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1" t="s">
        <v>209</v>
      </c>
      <c r="B173" s="892"/>
      <c r="C173" s="333"/>
      <c r="D173" s="228" t="s">
        <v>142</v>
      </c>
      <c r="E173" s="95">
        <f>'10'!F173</f>
        <v>8247</v>
      </c>
      <c r="F173" s="157">
        <v>8247</v>
      </c>
      <c r="G173" s="155">
        <f>F173-E173</f>
        <v>0</v>
      </c>
      <c r="H173" s="99">
        <f>G173+'10'!H173</f>
        <v>12</v>
      </c>
      <c r="I173" s="155"/>
      <c r="J173" s="178">
        <f>H173/DAY(B2)</f>
        <v>1.0909090909090908</v>
      </c>
    </row>
    <row r="174" spans="1:10" ht="30.75" customHeight="1">
      <c r="A174" s="891" t="s">
        <v>75</v>
      </c>
      <c r="B174" s="892"/>
      <c r="C174" s="333"/>
      <c r="D174" s="228" t="s">
        <v>142</v>
      </c>
      <c r="E174" s="95">
        <f>'10'!F174</f>
        <v>41344</v>
      </c>
      <c r="F174" s="157">
        <v>41357</v>
      </c>
      <c r="G174" s="155">
        <f t="shared" ref="G174:G175" si="14">F174-E174</f>
        <v>13</v>
      </c>
      <c r="H174" s="99">
        <f>G174+'10'!H174</f>
        <v>153</v>
      </c>
      <c r="I174" s="155"/>
      <c r="J174" s="178">
        <f>H174/DAY(B2)</f>
        <v>13.909090909090908</v>
      </c>
    </row>
    <row r="175" spans="1:10" ht="30.75" customHeight="1">
      <c r="A175" s="891" t="s">
        <v>76</v>
      </c>
      <c r="B175" s="931"/>
      <c r="C175" s="892"/>
      <c r="D175" s="228" t="s">
        <v>142</v>
      </c>
      <c r="E175" s="95">
        <f>'10'!F175</f>
        <v>24149</v>
      </c>
      <c r="F175" s="155">
        <v>24159</v>
      </c>
      <c r="G175" s="155">
        <f t="shared" si="14"/>
        <v>10</v>
      </c>
      <c r="H175" s="99">
        <f>G175+'10'!H175</f>
        <v>128</v>
      </c>
      <c r="I175" s="155"/>
      <c r="J175" s="178">
        <f>H175/DAY(B2)</f>
        <v>11.636363636363637</v>
      </c>
    </row>
    <row r="176" spans="1:10" ht="30.75" customHeight="1">
      <c r="A176" s="880" t="s">
        <v>196</v>
      </c>
      <c r="B176" s="881"/>
      <c r="C176" s="401"/>
      <c r="D176" s="228" t="s">
        <v>142</v>
      </c>
      <c r="E176" s="95"/>
      <c r="F176" s="155"/>
      <c r="G176" s="155">
        <f>SUM(G173:G175)</f>
        <v>23</v>
      </c>
      <c r="H176" s="99">
        <f>G176+'10'!H176</f>
        <v>293</v>
      </c>
      <c r="I176" s="155"/>
      <c r="J176" s="178">
        <f>H176/DAY(B2)</f>
        <v>26.636363636363637</v>
      </c>
    </row>
    <row r="177" spans="1:10" ht="30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891" t="s">
        <v>210</v>
      </c>
      <c r="B178" s="892"/>
      <c r="C178" s="333"/>
      <c r="D178" s="228" t="s">
        <v>142</v>
      </c>
      <c r="E178" s="95">
        <f>'10'!F178</f>
        <v>98536</v>
      </c>
      <c r="F178" s="155">
        <v>98632</v>
      </c>
      <c r="G178" s="155">
        <f>F178-E178</f>
        <v>96</v>
      </c>
      <c r="H178" s="99">
        <f>G178+'10'!H178</f>
        <v>919</v>
      </c>
      <c r="I178" s="155"/>
      <c r="J178" s="178">
        <f>H178/DAY(B2)</f>
        <v>83.545454545454547</v>
      </c>
    </row>
    <row r="179" spans="1:10" ht="30.75" customHeight="1">
      <c r="A179" s="891" t="s">
        <v>211</v>
      </c>
      <c r="B179" s="892"/>
      <c r="C179" s="333"/>
      <c r="D179" s="228" t="s">
        <v>142</v>
      </c>
      <c r="E179" s="95">
        <f>'10'!F179</f>
        <v>36002</v>
      </c>
      <c r="F179" s="155">
        <v>36002</v>
      </c>
      <c r="G179" s="155">
        <f t="shared" ref="G179:G180" si="15">F179-E179</f>
        <v>0</v>
      </c>
      <c r="H179" s="99">
        <f>G179+'10'!H179</f>
        <v>0</v>
      </c>
      <c r="I179" s="155"/>
      <c r="J179" s="178">
        <f>H179/DAY(B2)</f>
        <v>0</v>
      </c>
    </row>
    <row r="180" spans="1:10" ht="30.75" customHeight="1">
      <c r="A180" s="891" t="s">
        <v>212</v>
      </c>
      <c r="B180" s="892"/>
      <c r="C180" s="333"/>
      <c r="D180" s="228" t="s">
        <v>142</v>
      </c>
      <c r="E180" s="95">
        <f>'10'!F180</f>
        <v>7177</v>
      </c>
      <c r="F180" s="155">
        <v>7177</v>
      </c>
      <c r="G180" s="155">
        <f t="shared" si="15"/>
        <v>0</v>
      </c>
      <c r="H180" s="99">
        <f>G180+'10'!H180</f>
        <v>15</v>
      </c>
      <c r="I180" s="155"/>
      <c r="J180" s="178">
        <f>H180/DAY(B2)</f>
        <v>1.3636363636363635</v>
      </c>
    </row>
    <row r="181" spans="1:10" ht="30.75" customHeight="1">
      <c r="A181" s="893" t="s">
        <v>108</v>
      </c>
      <c r="B181" s="894"/>
      <c r="C181" s="401"/>
      <c r="D181" s="228" t="s">
        <v>142</v>
      </c>
      <c r="E181" s="95"/>
      <c r="F181" s="155"/>
      <c r="G181" s="155">
        <f>SUM(G178:G180)</f>
        <v>96</v>
      </c>
      <c r="H181" s="99">
        <f>G181+'10'!H181</f>
        <v>934</v>
      </c>
      <c r="I181" s="155"/>
      <c r="J181" s="178">
        <f>H181/DAY(B2)</f>
        <v>84.909090909090907</v>
      </c>
    </row>
    <row r="182" spans="1:10" ht="30.75" customHeight="1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891" t="s">
        <v>214</v>
      </c>
      <c r="B183" s="892"/>
      <c r="C183" s="334"/>
      <c r="D183" s="228" t="s">
        <v>142</v>
      </c>
      <c r="E183" s="95">
        <f>'10'!F183</f>
        <v>17564</v>
      </c>
      <c r="F183" s="157">
        <v>17567</v>
      </c>
      <c r="G183" s="157">
        <f>F183-E183</f>
        <v>3</v>
      </c>
      <c r="H183" s="99">
        <f>G183+'10'!H183</f>
        <v>94</v>
      </c>
      <c r="I183" s="155"/>
      <c r="J183" s="178">
        <f>H183/DAY(B2)</f>
        <v>8.545454545454545</v>
      </c>
    </row>
    <row r="184" spans="1:10" ht="30.75" customHeight="1">
      <c r="A184" s="891" t="s">
        <v>215</v>
      </c>
      <c r="B184" s="892"/>
      <c r="C184" s="334"/>
      <c r="D184" s="228" t="s">
        <v>142</v>
      </c>
      <c r="E184" s="95">
        <f>'10'!F184</f>
        <v>12009</v>
      </c>
      <c r="F184" s="157">
        <v>12013</v>
      </c>
      <c r="G184" s="157">
        <f t="shared" ref="G184:G185" si="16">F184-E184</f>
        <v>4</v>
      </c>
      <c r="H184" s="99">
        <f>G184+'10'!H184</f>
        <v>78</v>
      </c>
      <c r="I184" s="155"/>
      <c r="J184" s="178">
        <f>H184/DAY(B2)</f>
        <v>7.0909090909090908</v>
      </c>
    </row>
    <row r="185" spans="1:10" ht="30.75" customHeight="1">
      <c r="A185" s="891" t="s">
        <v>216</v>
      </c>
      <c r="B185" s="892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880" t="s">
        <v>196</v>
      </c>
      <c r="B186" s="881"/>
      <c r="C186" s="400"/>
      <c r="D186" s="228" t="s">
        <v>142</v>
      </c>
      <c r="E186" s="95"/>
      <c r="F186" s="157"/>
      <c r="G186" s="157">
        <f>SUM(G183:G185)</f>
        <v>7</v>
      </c>
      <c r="H186" s="99">
        <f>G186+'10'!H186</f>
        <v>172</v>
      </c>
      <c r="I186" s="157"/>
      <c r="J186" s="178">
        <f>H186/DAY(B2)</f>
        <v>15.636363636363637</v>
      </c>
    </row>
    <row r="187" spans="1:10" ht="30.75" customHeight="1">
      <c r="A187" s="882" t="s">
        <v>217</v>
      </c>
      <c r="B187" s="883"/>
      <c r="C187" s="333"/>
      <c r="D187" s="230" t="s">
        <v>142</v>
      </c>
      <c r="E187" s="95"/>
      <c r="F187" s="159"/>
      <c r="G187" s="159">
        <f>G62+G19</f>
        <v>146</v>
      </c>
      <c r="H187" s="99">
        <f>G187+'10'!H187</f>
        <v>1785</v>
      </c>
      <c r="I187" s="158"/>
      <c r="J187" s="179">
        <f>H187/DAY(B2)</f>
        <v>162.27272727272728</v>
      </c>
    </row>
    <row r="188" spans="1:10" ht="30.75" customHeight="1">
      <c r="A188" s="882" t="s">
        <v>218</v>
      </c>
      <c r="B188" s="883"/>
      <c r="C188" s="333"/>
      <c r="D188" s="230" t="s">
        <v>142</v>
      </c>
      <c r="E188" s="95"/>
      <c r="F188" s="159"/>
      <c r="G188" s="159">
        <f>G65+G66+G67+G69+G70</f>
        <v>167</v>
      </c>
      <c r="H188" s="99">
        <f>G188+'10'!H188</f>
        <v>1605</v>
      </c>
      <c r="I188" s="158"/>
      <c r="J188" s="179">
        <f>H188/DAY(B2)</f>
        <v>145.90909090909091</v>
      </c>
    </row>
    <row r="189" spans="1:10" ht="30.75" customHeight="1">
      <c r="A189" s="882" t="s">
        <v>219</v>
      </c>
      <c r="B189" s="883"/>
      <c r="C189" s="333"/>
      <c r="D189" s="230" t="s">
        <v>142</v>
      </c>
      <c r="E189" s="95"/>
      <c r="F189" s="157"/>
      <c r="G189" s="157">
        <f>G181</f>
        <v>96</v>
      </c>
      <c r="H189" s="99">
        <f>G189+'10'!H189</f>
        <v>934</v>
      </c>
      <c r="I189" s="158"/>
      <c r="J189" s="179">
        <f>H189/DAY(B2)</f>
        <v>84.909090909090907</v>
      </c>
    </row>
    <row r="190" spans="1:10" ht="30.75" customHeight="1">
      <c r="A190" s="889"/>
      <c r="B190" s="890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61" zoomScale="55" zoomScaleNormal="75" zoomScaleSheetLayoutView="55" workbookViewId="0">
      <selection activeCell="F88" sqref="F88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32.25" customHeight="1">
      <c r="A2" s="191" t="s">
        <v>354</v>
      </c>
      <c r="B2" s="262">
        <v>44754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30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625194</v>
      </c>
      <c r="F7" s="95">
        <f>E7+26200</f>
        <v>651394</v>
      </c>
      <c r="G7" s="112">
        <f>F7-E7</f>
        <v>26200</v>
      </c>
      <c r="H7" s="99">
        <f>G7+'11'!H7</f>
        <v>314264</v>
      </c>
      <c r="I7" s="113">
        <f>'1'!I7</f>
        <v>12000</v>
      </c>
      <c r="J7" s="175">
        <f>H7/DAY(B2)</f>
        <v>26188.666666666668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781060</v>
      </c>
      <c r="F8" s="95">
        <f>E8+26500</f>
        <v>807560</v>
      </c>
      <c r="G8" s="115">
        <f>F8-E8</f>
        <v>26500</v>
      </c>
      <c r="H8" s="99">
        <f>G8+'11'!H8</f>
        <v>318973</v>
      </c>
      <c r="I8" s="116"/>
      <c r="J8" s="175">
        <f>H8/DAY(B2)</f>
        <v>26581.083333333332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3348073</v>
      </c>
      <c r="F9" s="469">
        <v>3359817</v>
      </c>
      <c r="G9" s="112">
        <f>F9-E9</f>
        <v>11744</v>
      </c>
      <c r="H9" s="99">
        <f>G9+'11'!H9</f>
        <v>80751</v>
      </c>
      <c r="I9" s="124">
        <f>I7-J7</f>
        <v>-14188.666666666668</v>
      </c>
      <c r="J9" s="175">
        <f>H9/DAY(B2)</f>
        <v>6729.25</v>
      </c>
      <c r="K9" s="79">
        <f>K8-100</f>
        <v>1715817</v>
      </c>
      <c r="L9" s="66"/>
      <c r="N9" s="87"/>
      <c r="O9" s="71"/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1878490</v>
      </c>
      <c r="F10" s="353">
        <v>1893216</v>
      </c>
      <c r="G10" s="112">
        <f t="shared" ref="G10:G12" si="0">F10-E10</f>
        <v>14726</v>
      </c>
      <c r="H10" s="99">
        <f>G10+'11'!H10</f>
        <v>226058</v>
      </c>
      <c r="I10" s="282"/>
      <c r="J10" s="175">
        <f>H10/DAY(B2)</f>
        <v>18838.166666666668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40380</v>
      </c>
      <c r="F12" s="117">
        <v>40380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26470</v>
      </c>
      <c r="H13" s="99">
        <f>G13+'11'!H13</f>
        <v>308143.59999999986</v>
      </c>
      <c r="I13" s="120">
        <f>G7-G13</f>
        <v>-270</v>
      </c>
      <c r="J13" s="175">
        <f>H13/DAY(B2)</f>
        <v>25678.63333333332</v>
      </c>
      <c r="K13" s="79"/>
      <c r="L13" s="66"/>
      <c r="N13" s="87"/>
      <c r="O13" s="71"/>
    </row>
    <row r="14" spans="1:15" ht="32.25" customHeight="1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2112298</v>
      </c>
      <c r="F15" s="469">
        <v>2113347</v>
      </c>
      <c r="G15" s="112">
        <f>(F15-E15)</f>
        <v>1049</v>
      </c>
      <c r="H15" s="99">
        <f>G15+'11'!H15</f>
        <v>12479</v>
      </c>
      <c r="I15" s="113">
        <f>'1'!I15</f>
        <v>800</v>
      </c>
      <c r="J15" s="175">
        <f>H15/DAY(B2)</f>
        <v>1039.9166666666667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-239.91666666666674</v>
      </c>
      <c r="J16" s="176"/>
      <c r="K16" s="79"/>
      <c r="L16" s="66"/>
      <c r="N16" s="87"/>
      <c r="O16" s="71"/>
    </row>
    <row r="17" spans="1:15" ht="32.25" customHeight="1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919" t="s">
        <v>141</v>
      </c>
      <c r="B18" s="920"/>
      <c r="C18" s="921"/>
      <c r="D18" s="151" t="s">
        <v>142</v>
      </c>
      <c r="E18" s="95">
        <f>'11'!F18</f>
        <v>13</v>
      </c>
      <c r="F18" s="122">
        <v>16</v>
      </c>
      <c r="G18" s="119">
        <f>F18*10</f>
        <v>160</v>
      </c>
      <c r="H18" s="99">
        <f>G18+'11'!H18</f>
        <v>1770</v>
      </c>
      <c r="I18" s="113">
        <f>'1'!I18</f>
        <v>65</v>
      </c>
      <c r="J18" s="175">
        <f>H18/DAY(B2)</f>
        <v>147.5</v>
      </c>
      <c r="K18" s="79"/>
      <c r="L18" s="66"/>
      <c r="N18" s="87"/>
      <c r="O18" s="71"/>
    </row>
    <row r="19" spans="1:15" ht="32.25" customHeight="1">
      <c r="A19" s="919" t="s">
        <v>69</v>
      </c>
      <c r="B19" s="920"/>
      <c r="C19" s="921"/>
      <c r="D19" s="151" t="s">
        <v>142</v>
      </c>
      <c r="E19" s="95">
        <f>'11'!F19</f>
        <v>162898</v>
      </c>
      <c r="F19" s="122">
        <v>162943</v>
      </c>
      <c r="G19" s="112">
        <f t="shared" ref="G19" si="1">F19-E19</f>
        <v>45</v>
      </c>
      <c r="H19" s="99">
        <f>G19+'11'!H19</f>
        <v>608</v>
      </c>
      <c r="I19" s="335"/>
      <c r="J19" s="175">
        <f>H19/DAY(B2)</f>
        <v>50.666666666666664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205</v>
      </c>
      <c r="H20" s="99">
        <f>G20+'11'!H20</f>
        <v>2378</v>
      </c>
      <c r="I20" s="336">
        <f>I18-J20</f>
        <v>-133.16666666666666</v>
      </c>
      <c r="J20" s="175">
        <f>H20/DAY(B2)</f>
        <v>198.16666666666666</v>
      </c>
      <c r="K20" s="79"/>
      <c r="L20" s="66"/>
      <c r="N20" s="87"/>
      <c r="O20" s="71"/>
    </row>
    <row r="21" spans="1:15" ht="32.25" customHeight="1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4470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G27+'11'!H27</f>
        <v>2870757</v>
      </c>
      <c r="I27" s="138"/>
      <c r="J27" s="175">
        <f>H27/DAY(B2)</f>
        <v>239229.75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1049</v>
      </c>
      <c r="F28" s="136">
        <v>70</v>
      </c>
      <c r="G28" s="137">
        <f>E28*F28</f>
        <v>73430</v>
      </c>
      <c r="H28" s="99">
        <f>G28+'11'!H28</f>
        <v>873530</v>
      </c>
      <c r="I28" s="140"/>
      <c r="J28" s="175">
        <f>H28/DAY(B2)</f>
        <v>72794.166666666672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45</v>
      </c>
      <c r="F30" s="136">
        <v>151</v>
      </c>
      <c r="G30" s="137">
        <f>E30*F30</f>
        <v>6795</v>
      </c>
      <c r="H30" s="99">
        <f>G30+'11'!H30</f>
        <v>91808</v>
      </c>
      <c r="I30" s="140"/>
      <c r="J30" s="175">
        <f>H30/DAY(B2)</f>
        <v>7650.666666666667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G31+'11'!H31</f>
        <v>141600</v>
      </c>
      <c r="I31" s="140"/>
      <c r="J31" s="175">
        <f>H31/DAY(B2)</f>
        <v>11800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331525</v>
      </c>
      <c r="H32" s="99">
        <f>G32+'11'!H32</f>
        <v>3977695.0000000005</v>
      </c>
      <c r="I32" s="144"/>
      <c r="J32" s="175">
        <f>H32/DAY(B2)</f>
        <v>331474.58333333337</v>
      </c>
      <c r="K32" s="63"/>
      <c r="L32" s="89"/>
      <c r="N32" s="87"/>
      <c r="O32" s="71"/>
    </row>
    <row r="33" spans="1:15" ht="32.2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238713.05</v>
      </c>
      <c r="F35" s="145">
        <v>238713</v>
      </c>
      <c r="G35" s="112">
        <f t="shared" ref="G35:G46" si="3">F35-E35</f>
        <v>-4.9999999988358468E-2</v>
      </c>
      <c r="H35" s="99">
        <f>G35+'11'!H35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225213</v>
      </c>
      <c r="F36" s="145">
        <v>226206</v>
      </c>
      <c r="G36" s="112">
        <f t="shared" si="3"/>
        <v>993</v>
      </c>
      <c r="H36" s="99">
        <f>G36+'11'!H36</f>
        <v>10676</v>
      </c>
      <c r="I36" s="95"/>
      <c r="J36" s="175">
        <f>H36/DAY(B2)</f>
        <v>889.66666666666663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322998.69</v>
      </c>
      <c r="F37" s="376">
        <v>322998</v>
      </c>
      <c r="G37" s="112">
        <f t="shared" si="3"/>
        <v>-0.69000000000232831</v>
      </c>
      <c r="H37" s="99">
        <f>G37+'11'!H37</f>
        <v>-1</v>
      </c>
      <c r="I37" s="95"/>
      <c r="J37" s="175">
        <f>H37/DAY(B2)</f>
        <v>-8.3333333333333329E-2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482079</v>
      </c>
      <c r="F38" s="108">
        <v>484287</v>
      </c>
      <c r="G38" s="112">
        <f t="shared" si="3"/>
        <v>2208</v>
      </c>
      <c r="H38" s="99">
        <f>G38+'11'!H38</f>
        <v>26926</v>
      </c>
      <c r="I38" s="95"/>
      <c r="J38" s="175">
        <f>H38/DAY(B2)</f>
        <v>2243.8333333333335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591584</v>
      </c>
      <c r="F39" s="145">
        <v>591584</v>
      </c>
      <c r="G39" s="112">
        <f t="shared" si="3"/>
        <v>0</v>
      </c>
      <c r="H39" s="99">
        <f>G39+'11'!H39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116138</v>
      </c>
      <c r="F40" s="145">
        <v>117373</v>
      </c>
      <c r="G40" s="112">
        <f t="shared" si="3"/>
        <v>1235</v>
      </c>
      <c r="H40" s="99">
        <f>G40+'11'!H40</f>
        <v>10597</v>
      </c>
      <c r="I40" s="95"/>
      <c r="J40" s="175">
        <f>H40/DAY(B2)</f>
        <v>883.08333333333337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236805</v>
      </c>
      <c r="F41" s="145">
        <v>242060</v>
      </c>
      <c r="G41" s="112">
        <f t="shared" si="3"/>
        <v>5255</v>
      </c>
      <c r="H41" s="99">
        <f>G41+'11'!H41</f>
        <v>30357</v>
      </c>
      <c r="I41" s="95"/>
      <c r="J41" s="175">
        <f>H41/DAY(B2)</f>
        <v>2529.75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759184</v>
      </c>
      <c r="F42" s="145">
        <v>762817</v>
      </c>
      <c r="G42" s="112">
        <f t="shared" si="3"/>
        <v>3633</v>
      </c>
      <c r="H42" s="99">
        <f>G42+'11'!H42</f>
        <v>14453</v>
      </c>
      <c r="I42" s="95"/>
      <c r="J42" s="175">
        <f>H42/DAY(B2)</f>
        <v>1204.4166666666667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407028</v>
      </c>
      <c r="F43" s="376">
        <v>407028</v>
      </c>
      <c r="G43" s="112">
        <f t="shared" si="3"/>
        <v>0</v>
      </c>
      <c r="H43" s="99">
        <f>G43+'11'!H43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13323.260000000009</v>
      </c>
      <c r="H47" s="99">
        <f>G47+'11'!H47</f>
        <v>93008</v>
      </c>
      <c r="I47" s="95"/>
      <c r="J47" s="175">
        <f>H47/DAY(B2)</f>
        <v>7750.666666666667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528706</v>
      </c>
      <c r="F49" s="145">
        <v>532871</v>
      </c>
      <c r="G49" s="112">
        <f t="shared" ref="G49:G58" si="4">F49-E49</f>
        <v>4165</v>
      </c>
      <c r="H49" s="99">
        <f>G49+'11'!H49</f>
        <v>47817</v>
      </c>
      <c r="I49" s="95"/>
      <c r="J49" s="175">
        <f>H49/DAY(B2)</f>
        <v>3984.75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295676</v>
      </c>
      <c r="F50" s="145">
        <v>297065.34999999998</v>
      </c>
      <c r="G50" s="112">
        <f t="shared" si="4"/>
        <v>1389.3499999999767</v>
      </c>
      <c r="H50" s="99">
        <f>G50+'11'!H50</f>
        <v>14315.349999999977</v>
      </c>
      <c r="I50" s="95"/>
      <c r="J50" s="175">
        <f>H50/DAY(B2)</f>
        <v>1192.9458333333314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20469</v>
      </c>
      <c r="F51" s="145">
        <v>21531</v>
      </c>
      <c r="G51" s="112">
        <f t="shared" si="4"/>
        <v>1062</v>
      </c>
      <c r="H51" s="99">
        <f>G51+'11'!H51</f>
        <v>13023</v>
      </c>
      <c r="I51" s="95"/>
      <c r="J51" s="175">
        <f>H51/DAY(B2)</f>
        <v>1085.25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9.76</v>
      </c>
      <c r="F52" s="145">
        <v>9.76</v>
      </c>
      <c r="G52" s="112">
        <f t="shared" si="4"/>
        <v>0</v>
      </c>
      <c r="H52" s="99">
        <f>G52+'11'!H52</f>
        <v>-0.24000000000000021</v>
      </c>
      <c r="I52" s="95"/>
      <c r="J52" s="175">
        <f>H52/DAY(B2)</f>
        <v>-2.0000000000000018E-2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82292</v>
      </c>
      <c r="F53" s="145">
        <v>86782</v>
      </c>
      <c r="G53" s="112">
        <f t="shared" si="4"/>
        <v>4490</v>
      </c>
      <c r="H53" s="99">
        <f>G53+'11'!H53</f>
        <v>52921</v>
      </c>
      <c r="I53" s="95"/>
      <c r="J53" s="175">
        <f>H53/DAY(B2)</f>
        <v>4410.083333333333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91985</v>
      </c>
      <c r="F54" s="145">
        <v>92219</v>
      </c>
      <c r="G54" s="112">
        <f t="shared" si="4"/>
        <v>234</v>
      </c>
      <c r="H54" s="99">
        <f>G54+'11'!H54</f>
        <v>4276</v>
      </c>
      <c r="I54" s="95"/>
      <c r="J54" s="175">
        <f>H54/DAY(B2)</f>
        <v>356.33333333333331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400063</v>
      </c>
      <c r="F55" s="145">
        <v>400063</v>
      </c>
      <c r="G55" s="112">
        <f t="shared" si="4"/>
        <v>0</v>
      </c>
      <c r="H55" s="99">
        <f>G55+'11'!H55</f>
        <v>37286</v>
      </c>
      <c r="I55" s="95"/>
      <c r="J55" s="175">
        <f>H55/DAY(B2)</f>
        <v>3107.1666666666665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123882</v>
      </c>
      <c r="F56" s="145">
        <v>123882</v>
      </c>
      <c r="G56" s="112">
        <f t="shared" si="4"/>
        <v>0</v>
      </c>
      <c r="H56" s="99">
        <f>G56+'11'!H56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259993</v>
      </c>
      <c r="F57" s="145">
        <v>263291.12</v>
      </c>
      <c r="G57" s="112">
        <f t="shared" si="4"/>
        <v>3298.1199999999953</v>
      </c>
      <c r="H57" s="99">
        <f>G57+'11'!H57</f>
        <v>37121.119999999995</v>
      </c>
      <c r="I57" s="95"/>
      <c r="J57" s="175">
        <f>H57/DAY(B2)</f>
        <v>3093.4266666666663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52071</v>
      </c>
      <c r="F58" s="145">
        <v>52304</v>
      </c>
      <c r="G58" s="112">
        <f t="shared" si="4"/>
        <v>233</v>
      </c>
      <c r="H58" s="99">
        <f>G58+'11'!H58</f>
        <v>3195</v>
      </c>
      <c r="I58" s="95"/>
      <c r="J58" s="175">
        <f>H58/DAY(B2)</f>
        <v>266.25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14871.469999999972</v>
      </c>
      <c r="H59" s="99">
        <f>G59+'11'!H59</f>
        <v>209954.23</v>
      </c>
      <c r="I59" s="95">
        <f>G7-G60</f>
        <v>-1994.7299999999814</v>
      </c>
      <c r="J59" s="175">
        <f>H59/DAY(B2)</f>
        <v>17496.185833333333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28194.729999999981</v>
      </c>
      <c r="H60" s="99">
        <f>G60+'11'!H60</f>
        <v>302962.23</v>
      </c>
      <c r="I60" s="95">
        <f>G13-G60</f>
        <v>-1724.7299999999814</v>
      </c>
      <c r="J60" s="175">
        <f>H60/DAY(B2)</f>
        <v>25246.852499999997</v>
      </c>
      <c r="K60" s="79"/>
      <c r="L60" s="66"/>
      <c r="N60" s="87"/>
      <c r="O60" s="71"/>
    </row>
    <row r="61" spans="1:15" s="68" customFormat="1" ht="32.25" customHeight="1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919" t="s">
        <v>198</v>
      </c>
      <c r="B62" s="920"/>
      <c r="C62" s="921"/>
      <c r="D62" s="151" t="s">
        <v>142</v>
      </c>
      <c r="E62" s="95">
        <f>'11'!F62</f>
        <v>297497</v>
      </c>
      <c r="F62" s="122">
        <v>297603</v>
      </c>
      <c r="G62" s="112">
        <f t="shared" ref="G62:G63" si="5">F62-E62</f>
        <v>106</v>
      </c>
      <c r="H62" s="99">
        <f>G62+'11'!H62</f>
        <v>1328</v>
      </c>
      <c r="I62" s="118"/>
      <c r="J62" s="175">
        <f>H62/DAY(B2)</f>
        <v>110.66666666666667</v>
      </c>
      <c r="K62" s="80"/>
      <c r="L62" s="66"/>
      <c r="N62" s="87"/>
      <c r="O62" s="71"/>
    </row>
    <row r="63" spans="1:15" ht="32.25" customHeight="1">
      <c r="A63" s="919" t="s">
        <v>199</v>
      </c>
      <c r="B63" s="920"/>
      <c r="C63" s="921"/>
      <c r="D63" s="151" t="s">
        <v>142</v>
      </c>
      <c r="E63" s="95">
        <f>'11'!F63</f>
        <v>240510</v>
      </c>
      <c r="F63" s="122">
        <f>240510+120</f>
        <v>240630</v>
      </c>
      <c r="G63" s="112">
        <f t="shared" si="5"/>
        <v>120</v>
      </c>
      <c r="H63" s="99">
        <f>G63+'11'!H63</f>
        <v>1497</v>
      </c>
      <c r="I63" s="118"/>
      <c r="J63" s="175">
        <f>H63/DAY(B2)</f>
        <v>124.75</v>
      </c>
      <c r="K63" s="69"/>
      <c r="L63" s="66"/>
      <c r="N63" s="87"/>
      <c r="O63" s="71"/>
    </row>
    <row r="64" spans="1:15" ht="32.25" customHeight="1">
      <c r="A64" s="928" t="s">
        <v>200</v>
      </c>
      <c r="B64" s="929"/>
      <c r="C64" s="930"/>
      <c r="D64" s="151"/>
      <c r="E64" s="95">
        <f>'11'!F64</f>
        <v>0</v>
      </c>
      <c r="F64" s="122"/>
      <c r="G64" s="112">
        <f>G62+G63</f>
        <v>226</v>
      </c>
      <c r="H64" s="99">
        <f>G64+'11'!H64</f>
        <v>2825</v>
      </c>
      <c r="I64" s="118"/>
      <c r="J64" s="175">
        <f>H64/DAY(B2)</f>
        <v>235.41666666666666</v>
      </c>
      <c r="K64" s="69"/>
      <c r="L64" s="66"/>
      <c r="N64" s="87"/>
      <c r="O64" s="71"/>
    </row>
    <row r="65" spans="1:16" ht="32.25" customHeight="1">
      <c r="A65" s="919" t="s">
        <v>201</v>
      </c>
      <c r="B65" s="920"/>
      <c r="C65" s="921"/>
      <c r="D65" s="151" t="s">
        <v>142</v>
      </c>
      <c r="E65" s="95">
        <f>'11'!F65</f>
        <v>455895</v>
      </c>
      <c r="F65" s="122">
        <v>455958</v>
      </c>
      <c r="G65" s="112">
        <f t="shared" ref="G65:G70" si="6">F65-E65</f>
        <v>63</v>
      </c>
      <c r="H65" s="99">
        <f>G65+'11'!H65</f>
        <v>1248</v>
      </c>
      <c r="I65" s="118"/>
      <c r="J65" s="175">
        <f>H65/DAY(B2)</f>
        <v>104</v>
      </c>
      <c r="K65" s="69"/>
      <c r="L65" s="66"/>
      <c r="N65" s="87"/>
      <c r="O65" s="71"/>
    </row>
    <row r="66" spans="1:16" ht="32.25" customHeight="1">
      <c r="A66" s="345" t="s">
        <v>202</v>
      </c>
      <c r="B66" s="346"/>
      <c r="C66" s="346"/>
      <c r="D66" s="151" t="s">
        <v>142</v>
      </c>
      <c r="E66" s="95">
        <f>'11'!F66</f>
        <v>111975</v>
      </c>
      <c r="F66" s="122">
        <v>111993</v>
      </c>
      <c r="G66" s="112">
        <f t="shared" si="6"/>
        <v>18</v>
      </c>
      <c r="H66" s="99">
        <f>G66+'11'!H66</f>
        <v>271</v>
      </c>
      <c r="I66" s="118"/>
      <c r="J66" s="175">
        <f>H66/DAY(B2)</f>
        <v>22.583333333333332</v>
      </c>
      <c r="K66" s="78"/>
      <c r="L66" s="66"/>
      <c r="N66" s="87"/>
      <c r="O66" s="71"/>
    </row>
    <row r="67" spans="1:16" ht="32.25" customHeight="1">
      <c r="A67" s="345" t="s">
        <v>203</v>
      </c>
      <c r="B67" s="346"/>
      <c r="C67" s="346"/>
      <c r="D67" s="151" t="s">
        <v>142</v>
      </c>
      <c r="E67" s="95">
        <f>'11'!F67</f>
        <v>113680</v>
      </c>
      <c r="F67" s="122">
        <v>113680</v>
      </c>
      <c r="G67" s="112">
        <f t="shared" si="6"/>
        <v>0</v>
      </c>
      <c r="H67" s="99">
        <f>G67+'11'!H67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6" ht="32.25" customHeight="1">
      <c r="A68" s="345" t="s">
        <v>204</v>
      </c>
      <c r="B68" s="346"/>
      <c r="C68" s="346"/>
      <c r="D68" s="151" t="s">
        <v>142</v>
      </c>
      <c r="E68" s="95">
        <f>'11'!F68</f>
        <v>164959</v>
      </c>
      <c r="F68" s="122">
        <v>164992</v>
      </c>
      <c r="G68" s="112">
        <f t="shared" si="6"/>
        <v>33</v>
      </c>
      <c r="H68" s="99">
        <f>G68+'11'!H68</f>
        <v>330</v>
      </c>
      <c r="I68" s="118"/>
      <c r="J68" s="175">
        <f>H68/DAY(B2)</f>
        <v>27.5</v>
      </c>
      <c r="K68" s="69"/>
      <c r="L68" s="66"/>
      <c r="N68" s="87"/>
      <c r="O68" s="71"/>
    </row>
    <row r="69" spans="1:16" ht="32.25" customHeight="1">
      <c r="A69" s="345" t="s">
        <v>205</v>
      </c>
      <c r="B69" s="346"/>
      <c r="C69" s="346"/>
      <c r="D69" s="151" t="s">
        <v>142</v>
      </c>
      <c r="E69" s="95">
        <f>'11'!F69</f>
        <v>12348</v>
      </c>
      <c r="F69" s="122">
        <v>12353</v>
      </c>
      <c r="G69" s="112">
        <f t="shared" si="6"/>
        <v>5</v>
      </c>
      <c r="H69" s="99">
        <f>G69+'11'!H69</f>
        <v>78</v>
      </c>
      <c r="I69" s="118"/>
      <c r="J69" s="175">
        <f>H69/DAY(B2)</f>
        <v>6.5</v>
      </c>
      <c r="K69" s="69"/>
      <c r="L69" s="66"/>
      <c r="N69" s="87"/>
      <c r="O69" s="71"/>
    </row>
    <row r="70" spans="1:16" ht="32.25" customHeight="1">
      <c r="A70" s="345" t="s">
        <v>206</v>
      </c>
      <c r="B70" s="346"/>
      <c r="C70" s="346"/>
      <c r="D70" s="151" t="s">
        <v>142</v>
      </c>
      <c r="E70" s="95">
        <f>'11'!F70</f>
        <v>9921</v>
      </c>
      <c r="F70" s="122">
        <v>9610</v>
      </c>
      <c r="G70" s="112">
        <f t="shared" si="6"/>
        <v>-311</v>
      </c>
      <c r="H70" s="99">
        <f>G70+'11'!H70</f>
        <v>-217</v>
      </c>
      <c r="I70" s="118"/>
      <c r="J70" s="175">
        <f>H70/DAY(B2)</f>
        <v>-18.083333333333332</v>
      </c>
      <c r="K70" s="69"/>
      <c r="L70" s="66"/>
      <c r="N70" s="87"/>
      <c r="O70" s="71"/>
    </row>
    <row r="71" spans="1:16" ht="32.25" customHeight="1">
      <c r="A71" s="928" t="s">
        <v>208</v>
      </c>
      <c r="B71" s="929"/>
      <c r="C71" s="930"/>
      <c r="D71" s="152"/>
      <c r="E71" s="152"/>
      <c r="F71" s="152"/>
      <c r="G71" s="153">
        <f>SUM(G65:G70)</f>
        <v>-192</v>
      </c>
      <c r="H71" s="99">
        <f>G71+'11'!H71</f>
        <v>1710</v>
      </c>
      <c r="I71" s="154"/>
      <c r="J71" s="175">
        <f>H71/DAY(B2)</f>
        <v>142.5</v>
      </c>
      <c r="K71" s="69"/>
      <c r="L71" s="66"/>
      <c r="N71" s="87"/>
      <c r="O71" s="71"/>
    </row>
    <row r="72" spans="1:16" s="88" customFormat="1" ht="32.25" customHeight="1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6" ht="32.25" customHeight="1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6" ht="32.25" customHeight="1">
      <c r="A74" s="919" t="s">
        <v>220</v>
      </c>
      <c r="B74" s="920"/>
      <c r="C74" s="921"/>
      <c r="D74" s="151" t="s">
        <v>139</v>
      </c>
      <c r="E74" s="95">
        <f>'11'!F74</f>
        <v>961095</v>
      </c>
      <c r="F74" s="353">
        <v>961408.25</v>
      </c>
      <c r="G74" s="112">
        <f t="shared" ref="G74:G78" si="7">F74-E74</f>
        <v>313.25</v>
      </c>
      <c r="H74" s="99">
        <f>G74+'11'!H74</f>
        <v>3750.390000000014</v>
      </c>
      <c r="I74" s="154"/>
      <c r="J74" s="175">
        <f>H74/DAY(B2)</f>
        <v>312.53250000000116</v>
      </c>
      <c r="K74" s="69"/>
      <c r="L74" s="66"/>
      <c r="N74" s="87"/>
      <c r="O74" s="71"/>
      <c r="P74" s="87"/>
    </row>
    <row r="75" spans="1:16" ht="32.25" customHeight="1">
      <c r="A75" s="919" t="s">
        <v>221</v>
      </c>
      <c r="B75" s="920"/>
      <c r="C75" s="921"/>
      <c r="D75" s="151" t="s">
        <v>139</v>
      </c>
      <c r="E75" s="95">
        <f>'11'!F75</f>
        <v>73586.8</v>
      </c>
      <c r="F75" s="353">
        <v>73586.5</v>
      </c>
      <c r="G75" s="112">
        <f t="shared" si="7"/>
        <v>-0.30000000000291038</v>
      </c>
      <c r="H75" s="99">
        <f>G75+'11'!H75</f>
        <v>-0.30000000000291038</v>
      </c>
      <c r="I75" s="154"/>
      <c r="J75" s="175">
        <f>H75/DAY(B2)</f>
        <v>-2.5000000000242533E-2</v>
      </c>
      <c r="K75" s="69"/>
      <c r="L75" s="66"/>
      <c r="N75" s="87"/>
      <c r="O75" s="71"/>
      <c r="P75" s="87"/>
    </row>
    <row r="76" spans="1:16" ht="32.25" customHeight="1">
      <c r="A76" s="916" t="s">
        <v>222</v>
      </c>
      <c r="B76" s="917"/>
      <c r="C76" s="918"/>
      <c r="D76" s="151" t="s">
        <v>139</v>
      </c>
      <c r="E76" s="95">
        <f>'11'!F76</f>
        <v>191404</v>
      </c>
      <c r="F76" s="353">
        <v>191506.29</v>
      </c>
      <c r="G76" s="112">
        <f t="shared" si="7"/>
        <v>102.29000000000815</v>
      </c>
      <c r="H76" s="99">
        <f>G76+'11'!H76</f>
        <v>1334.2900000000081</v>
      </c>
      <c r="I76" s="154"/>
      <c r="J76" s="175">
        <f>H76/DAY(B2)</f>
        <v>111.19083333333401</v>
      </c>
      <c r="K76" s="69"/>
      <c r="L76" s="66"/>
      <c r="N76" s="87"/>
      <c r="O76" s="71"/>
      <c r="P76" s="87"/>
    </row>
    <row r="77" spans="1:16" ht="32.25" customHeight="1">
      <c r="A77" s="916" t="s">
        <v>223</v>
      </c>
      <c r="B77" s="917"/>
      <c r="C77" s="918"/>
      <c r="D77" s="151" t="s">
        <v>139</v>
      </c>
      <c r="E77" s="95">
        <f>'11'!F77</f>
        <v>50846</v>
      </c>
      <c r="F77" s="353">
        <v>50905.599999999999</v>
      </c>
      <c r="G77" s="112">
        <f t="shared" si="7"/>
        <v>59.599999999998545</v>
      </c>
      <c r="H77" s="99">
        <f>G77+'11'!H77</f>
        <v>592.59999999999854</v>
      </c>
      <c r="I77" s="154"/>
      <c r="J77" s="175">
        <f>H77/DAY(B2)</f>
        <v>49.383333333333212</v>
      </c>
      <c r="K77" s="69"/>
      <c r="L77" s="66"/>
      <c r="N77" s="87"/>
      <c r="O77" s="71"/>
      <c r="P77" s="87"/>
    </row>
    <row r="78" spans="1:16" ht="32.25" customHeight="1">
      <c r="A78" s="916" t="s">
        <v>224</v>
      </c>
      <c r="B78" s="917"/>
      <c r="C78" s="918"/>
      <c r="D78" s="151" t="s">
        <v>139</v>
      </c>
      <c r="E78" s="95">
        <f>'11'!F78</f>
        <v>9563</v>
      </c>
      <c r="F78" s="353">
        <v>9563</v>
      </c>
      <c r="G78" s="112">
        <f t="shared" si="7"/>
        <v>0</v>
      </c>
      <c r="H78" s="99">
        <f>G78+'11'!H78</f>
        <v>0</v>
      </c>
      <c r="I78" s="118"/>
      <c r="J78" s="175">
        <f>H78/DAY(B2)</f>
        <v>0</v>
      </c>
      <c r="K78" s="69"/>
      <c r="L78" s="66"/>
      <c r="N78" s="87"/>
      <c r="O78" s="71"/>
      <c r="P78" s="87"/>
    </row>
    <row r="79" spans="1:16" s="57" customFormat="1" ht="32.25" customHeight="1">
      <c r="A79" s="916" t="s">
        <v>225</v>
      </c>
      <c r="B79" s="917"/>
      <c r="C79" s="918"/>
      <c r="D79" s="151"/>
      <c r="E79" s="95">
        <f>'11'!F79</f>
        <v>0</v>
      </c>
      <c r="F79" s="117"/>
      <c r="G79" s="112">
        <f>G15-SUM(G74:G78)</f>
        <v>574.15999999999622</v>
      </c>
      <c r="H79" s="99">
        <f>G79+'11'!H79</f>
        <v>6802.0199999999822</v>
      </c>
      <c r="I79" s="118"/>
      <c r="J79" s="175">
        <f>H79/DAY(B2)</f>
        <v>566.83499999999856</v>
      </c>
      <c r="K79" s="59"/>
      <c r="L79" s="58"/>
      <c r="N79" s="87"/>
      <c r="O79" s="71"/>
    </row>
    <row r="80" spans="1:16" s="57" customFormat="1" ht="32.25" customHeight="1">
      <c r="A80" s="928" t="s">
        <v>329</v>
      </c>
      <c r="B80" s="929"/>
      <c r="C80" s="930"/>
      <c r="D80" s="151"/>
      <c r="E80" s="117"/>
      <c r="F80" s="117"/>
      <c r="G80" s="112">
        <f>SUM(G74:G79)</f>
        <v>1049</v>
      </c>
      <c r="H80" s="99">
        <f>G80+'11'!H80</f>
        <v>1049</v>
      </c>
      <c r="I80" s="118"/>
      <c r="J80" s="175">
        <f>H80/DAY(B2)</f>
        <v>87.416666666666671</v>
      </c>
      <c r="K80" s="59"/>
      <c r="L80" s="58"/>
      <c r="N80" s="87"/>
      <c r="O80" s="71"/>
    </row>
    <row r="81" spans="1:15" ht="32.25" customHeight="1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71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71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42707</v>
      </c>
      <c r="F84" s="756">
        <v>42731</v>
      </c>
      <c r="G84" s="112">
        <f t="shared" si="8"/>
        <v>24</v>
      </c>
      <c r="H84" s="99">
        <f>G84+'11'!H84</f>
        <v>142</v>
      </c>
      <c r="I84" s="571"/>
      <c r="J84" s="175">
        <f>H84/DAY(B2)</f>
        <v>11.833333333333334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5188.0200000000004</v>
      </c>
      <c r="F85" s="164">
        <f>5188+8</f>
        <v>5196</v>
      </c>
      <c r="G85" s="112">
        <f t="shared" si="8"/>
        <v>7.9799999999995634</v>
      </c>
      <c r="H85" s="99">
        <f>G85+'11'!H85</f>
        <v>55.8100000000004</v>
      </c>
      <c r="I85" s="571"/>
      <c r="J85" s="175">
        <f>H85/DAY(B2)</f>
        <v>4.6508333333333667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45632</v>
      </c>
      <c r="F86" s="164">
        <v>45632</v>
      </c>
      <c r="G86" s="112">
        <f t="shared" si="8"/>
        <v>0</v>
      </c>
      <c r="H86" s="99">
        <f>G86+'11'!H86</f>
        <v>253</v>
      </c>
      <c r="I86" s="571"/>
      <c r="J86" s="175">
        <f>H86/DAY(B2)</f>
        <v>21.083333333333332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35457</v>
      </c>
      <c r="F87" s="164">
        <v>35457</v>
      </c>
      <c r="G87" s="112">
        <f t="shared" si="8"/>
        <v>0</v>
      </c>
      <c r="H87" s="99">
        <f>G87+'11'!H87</f>
        <v>-0.43000000000029104</v>
      </c>
      <c r="I87" s="571">
        <f>G84+G85+G86+G87</f>
        <v>31.979999999999563</v>
      </c>
      <c r="J87" s="175">
        <f>H87/DAY(B2)</f>
        <v>-3.5833333333357587E-2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24318.95</v>
      </c>
      <c r="F88" s="164">
        <v>24318.959999999999</v>
      </c>
      <c r="G88" s="112">
        <f t="shared" si="8"/>
        <v>9.9999999983992893E-3</v>
      </c>
      <c r="H88" s="99">
        <f>G88+'11'!H88</f>
        <v>15.5</v>
      </c>
      <c r="I88" s="571"/>
      <c r="J88" s="175">
        <f>H88/DAY(B2)</f>
        <v>1.2916666666666667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27653.24</v>
      </c>
      <c r="F89" s="164">
        <v>27661.03</v>
      </c>
      <c r="G89" s="112">
        <f t="shared" si="8"/>
        <v>7.7899999999972351</v>
      </c>
      <c r="H89" s="99">
        <f>G89+'11'!H89</f>
        <v>94.419999999998254</v>
      </c>
      <c r="I89" s="571">
        <f>G88+G89</f>
        <v>7.7999999999956344</v>
      </c>
      <c r="J89" s="175">
        <f>H89/DAY(B2)</f>
        <v>7.8683333333331875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72729.350000000006</v>
      </c>
      <c r="F90" s="164">
        <v>72744</v>
      </c>
      <c r="G90" s="112">
        <f t="shared" si="8"/>
        <v>14.649999999994179</v>
      </c>
      <c r="H90" s="99">
        <f>G90+'11'!H90</f>
        <v>137.44999999999709</v>
      </c>
      <c r="I90" s="571">
        <f>G90</f>
        <v>14.649999999994179</v>
      </c>
      <c r="J90" s="175">
        <f>H90/DAY(B2)</f>
        <v>11.454166666666424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4289.5600000000004</v>
      </c>
      <c r="F91" s="122">
        <v>4289.5600000000004</v>
      </c>
      <c r="G91" s="112">
        <f t="shared" si="8"/>
        <v>0</v>
      </c>
      <c r="H91" s="99">
        <f>G91+'11'!H91</f>
        <v>2.0000000000436557E-2</v>
      </c>
      <c r="I91" s="590"/>
      <c r="J91" s="175">
        <f>H91/DAY(B2)</f>
        <v>1.6666666667030465E-3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6838.74</v>
      </c>
      <c r="F92" s="122">
        <v>6850.01</v>
      </c>
      <c r="G92" s="112">
        <f t="shared" si="8"/>
        <v>11.270000000000437</v>
      </c>
      <c r="H92" s="99">
        <f>G92+'11'!H92</f>
        <v>132.68000000000029</v>
      </c>
      <c r="I92" s="596">
        <f>G91+G92</f>
        <v>11.270000000000437</v>
      </c>
      <c r="J92" s="175">
        <f>H92/DAY(B2)</f>
        <v>11.056666666666692</v>
      </c>
      <c r="O92" s="71"/>
    </row>
    <row r="93" spans="1:15" ht="32.25" customHeight="1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7463.070000000007</v>
      </c>
      <c r="H94" s="99">
        <f>G94+'11'!H94</f>
        <v>84938.12</v>
      </c>
      <c r="I94" s="118"/>
      <c r="J94" s="175">
        <f>H94/DAY(B2)</f>
        <v>7078.1766666666663</v>
      </c>
      <c r="K94" s="69"/>
      <c r="L94" s="66"/>
      <c r="O94" s="71"/>
    </row>
    <row r="95" spans="1:15" ht="32.25" customHeight="1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0.28485000000000027</v>
      </c>
      <c r="H95" s="99">
        <f>G95+'11'!H95</f>
        <v>3.248396492594865</v>
      </c>
      <c r="I95" s="167"/>
      <c r="J95" s="175">
        <f>H95/DAY(B2)</f>
        <v>0.27069970771623875</v>
      </c>
      <c r="K95" s="69"/>
      <c r="L95" s="66"/>
      <c r="O95" s="71"/>
    </row>
    <row r="96" spans="1:15" ht="32.25" customHeight="1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8888</v>
      </c>
      <c r="H96" s="99">
        <f>G96+'11'!H96</f>
        <v>82096</v>
      </c>
      <c r="I96" s="118"/>
      <c r="J96" s="175">
        <f>H96/DAY(B2)</f>
        <v>6841.333333333333</v>
      </c>
      <c r="K96" s="69"/>
      <c r="L96" s="66"/>
      <c r="O96" s="71"/>
    </row>
    <row r="97" spans="1:15" ht="32.25" customHeight="1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0.33923664122137404</v>
      </c>
      <c r="H97" s="99">
        <f>G97+'11'!H97</f>
        <v>3.1329120210460957</v>
      </c>
      <c r="I97" s="167"/>
      <c r="J97" s="175">
        <f>H97/DAY(B2)</f>
        <v>0.26107600175384132</v>
      </c>
      <c r="K97" s="69"/>
      <c r="L97" s="66"/>
      <c r="O97" s="71"/>
    </row>
    <row r="98" spans="1:15" ht="32.25" customHeight="1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4490</v>
      </c>
      <c r="H98" s="99">
        <f>G98+'11'!H98</f>
        <v>52921</v>
      </c>
      <c r="I98" s="168"/>
      <c r="J98" s="175">
        <f>H98/DAY(B2)</f>
        <v>4410.083333333333</v>
      </c>
      <c r="K98" s="69"/>
      <c r="L98" s="66"/>
      <c r="O98" s="71"/>
    </row>
    <row r="99" spans="1:15" ht="32.25" customHeight="1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0.17137404580152671</v>
      </c>
      <c r="H99" s="99">
        <f>G99+'11'!H99</f>
        <v>2.0220385880006133</v>
      </c>
      <c r="I99" s="168"/>
      <c r="J99" s="175">
        <f>H99/DAY(B2)</f>
        <v>0.16850321566671778</v>
      </c>
      <c r="O99" s="71"/>
    </row>
    <row r="100" spans="1:15" ht="32.25" customHeight="1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2208</v>
      </c>
      <c r="H100" s="99">
        <f>G100+'11'!H100</f>
        <v>26925.760000000002</v>
      </c>
      <c r="I100" s="118"/>
      <c r="J100" s="175">
        <f>H100/DAY(B2)</f>
        <v>2243.8133333333335</v>
      </c>
      <c r="K100" s="70"/>
      <c r="O100" s="71"/>
    </row>
    <row r="101" spans="1:15" ht="32.25" customHeight="1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8.4274809160305345E-2</v>
      </c>
      <c r="H101" s="99">
        <f>G101+'11'!H101</f>
        <v>1.028973366630088</v>
      </c>
      <c r="I101" s="168"/>
      <c r="J101" s="175">
        <f>H101/DAY(B2)</f>
        <v>8.5747780552507327E-2</v>
      </c>
      <c r="O101" s="71"/>
    </row>
    <row r="102" spans="1:15" ht="32.25" customHeight="1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2382.3499999999767</v>
      </c>
      <c r="H102" s="99">
        <f>G102+'11'!H102</f>
        <v>24991.349999999977</v>
      </c>
      <c r="I102" s="168"/>
      <c r="J102" s="175">
        <f>H102/DAY(B2)</f>
        <v>2082.6124999999979</v>
      </c>
      <c r="O102" s="71"/>
    </row>
    <row r="103" spans="1:15" ht="32.25" customHeight="1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9.0929389312976214E-2</v>
      </c>
      <c r="H103" s="99">
        <f>G103+'11'!H103</f>
        <v>0.9517758091830526</v>
      </c>
      <c r="I103" s="118"/>
      <c r="J103" s="175">
        <f>H103/DAY(B2)</f>
        <v>7.9314650765254388E-2</v>
      </c>
      <c r="O103" s="71"/>
    </row>
    <row r="104" spans="1:15" ht="32.25" customHeight="1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1061.3099999999977</v>
      </c>
      <c r="H104" s="99">
        <f>G104+'11'!H104</f>
        <v>13022</v>
      </c>
      <c r="I104" s="118"/>
      <c r="J104" s="175">
        <f>H104/DAY(B2)</f>
        <v>1085.1666666666667</v>
      </c>
      <c r="O104" s="71"/>
    </row>
    <row r="105" spans="1:15" ht="32.25" customHeight="1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4.0508015267175485E-2</v>
      </c>
      <c r="H105" s="99">
        <f>G105+'11'!H105</f>
        <v>0.49768712984747754</v>
      </c>
      <c r="I105" s="187"/>
      <c r="J105" s="188">
        <f>H105/DAY(B2)</f>
        <v>4.1473927487289793E-2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32.25" customHeight="1">
      <c r="A109" s="936"/>
      <c r="B109" s="936"/>
    </row>
    <row r="110" spans="1:15" ht="32.25" customHeight="1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32.25" customHeight="1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898" t="s">
        <v>252</v>
      </c>
      <c r="B112" s="899"/>
      <c r="C112" s="900"/>
      <c r="D112" s="146" t="s">
        <v>183</v>
      </c>
      <c r="E112" s="95">
        <f>'11'!F112</f>
        <v>8063</v>
      </c>
      <c r="F112" s="237">
        <v>8134.2</v>
      </c>
      <c r="G112" s="112">
        <f t="shared" ref="G112:G123" si="9">F112-E112</f>
        <v>71.199999999999818</v>
      </c>
      <c r="H112" s="99">
        <f>G112+'11'!H112</f>
        <v>869.19999999999982</v>
      </c>
      <c r="I112" s="165"/>
      <c r="J112" s="328">
        <f>H112/DAY(B2)</f>
        <v>72.433333333333323</v>
      </c>
    </row>
    <row r="113" spans="1:18" ht="32.25" customHeight="1">
      <c r="A113" s="898" t="s">
        <v>253</v>
      </c>
      <c r="B113" s="899"/>
      <c r="C113" s="900"/>
      <c r="D113" s="146" t="s">
        <v>183</v>
      </c>
      <c r="E113" s="95">
        <f>'11'!F113</f>
        <v>16547</v>
      </c>
      <c r="F113" s="757">
        <v>16547</v>
      </c>
      <c r="G113" s="112">
        <f t="shared" si="9"/>
        <v>0</v>
      </c>
      <c r="H113" s="99">
        <f>G113+'11'!H113</f>
        <v>1532</v>
      </c>
      <c r="I113" s="165"/>
      <c r="J113" s="328">
        <f>H113/DAY(B2)</f>
        <v>127.66666666666667</v>
      </c>
    </row>
    <row r="114" spans="1:18" ht="32.25" customHeight="1">
      <c r="A114" s="898" t="s">
        <v>254</v>
      </c>
      <c r="B114" s="899"/>
      <c r="C114" s="900"/>
      <c r="D114" s="146" t="s">
        <v>183</v>
      </c>
      <c r="E114" s="95">
        <f>'11'!F114</f>
        <v>23669</v>
      </c>
      <c r="F114" s="237">
        <v>23889</v>
      </c>
      <c r="G114" s="112">
        <f t="shared" si="9"/>
        <v>220</v>
      </c>
      <c r="H114" s="99">
        <f>G114+'11'!H114</f>
        <v>2621</v>
      </c>
      <c r="I114" s="165"/>
      <c r="J114" s="328">
        <f>H114/DAY(B2)</f>
        <v>218.41666666666666</v>
      </c>
    </row>
    <row r="115" spans="1:18" ht="32.25" customHeight="1">
      <c r="A115" s="898" t="s">
        <v>255</v>
      </c>
      <c r="B115" s="899"/>
      <c r="C115" s="900"/>
      <c r="D115" s="146" t="s">
        <v>183</v>
      </c>
      <c r="E115" s="95">
        <f>'11'!F115</f>
        <v>15044</v>
      </c>
      <c r="F115" s="237">
        <v>15187</v>
      </c>
      <c r="G115" s="112">
        <f t="shared" si="9"/>
        <v>143</v>
      </c>
      <c r="H115" s="99">
        <f>G115+'11'!H115</f>
        <v>1611.5200000000004</v>
      </c>
      <c r="I115" s="165"/>
      <c r="J115" s="328">
        <f>H115/DAY(B2)</f>
        <v>134.29333333333338</v>
      </c>
    </row>
    <row r="116" spans="1:18" ht="32.25" customHeight="1">
      <c r="A116" s="905" t="s">
        <v>96</v>
      </c>
      <c r="B116" s="906"/>
      <c r="C116" s="907"/>
      <c r="D116" s="146" t="s">
        <v>183</v>
      </c>
      <c r="E116" s="95">
        <f>'11'!F116</f>
        <v>74911</v>
      </c>
      <c r="F116" s="237">
        <v>75371</v>
      </c>
      <c r="G116" s="112">
        <f t="shared" si="9"/>
        <v>460</v>
      </c>
      <c r="H116" s="99">
        <f>G116+'11'!H116</f>
        <v>4879</v>
      </c>
      <c r="I116" s="165"/>
      <c r="J116" s="328">
        <f>H116/DAY(B2)</f>
        <v>406.58333333333331</v>
      </c>
      <c r="Q116" s="898" t="s">
        <v>311</v>
      </c>
      <c r="R116" s="900"/>
    </row>
    <row r="117" spans="1:18" ht="32.25" customHeight="1">
      <c r="A117" s="905" t="s">
        <v>184</v>
      </c>
      <c r="B117" s="906"/>
      <c r="C117" s="907"/>
      <c r="D117" s="146" t="s">
        <v>183</v>
      </c>
      <c r="E117" s="95">
        <f>'11'!F117</f>
        <v>43447</v>
      </c>
      <c r="F117" s="237">
        <v>43670</v>
      </c>
      <c r="G117" s="112">
        <f t="shared" si="9"/>
        <v>223</v>
      </c>
      <c r="H117" s="99">
        <f>G117+'11'!H117</f>
        <v>2748</v>
      </c>
      <c r="I117" s="165"/>
      <c r="J117" s="328">
        <f>H117/DAY(B2)</f>
        <v>229</v>
      </c>
      <c r="Q117" s="898" t="s">
        <v>312</v>
      </c>
      <c r="R117" s="900"/>
    </row>
    <row r="118" spans="1:18" ht="32.25" customHeight="1">
      <c r="A118" s="897" t="s">
        <v>97</v>
      </c>
      <c r="B118" s="897"/>
      <c r="C118" s="897"/>
      <c r="D118" s="151" t="s">
        <v>183</v>
      </c>
      <c r="E118" s="95">
        <f>'11'!F118</f>
        <v>71292</v>
      </c>
      <c r="F118" s="237">
        <v>71915</v>
      </c>
      <c r="G118" s="112">
        <f t="shared" si="9"/>
        <v>623</v>
      </c>
      <c r="H118" s="99">
        <f>G118+'11'!H118</f>
        <v>7243</v>
      </c>
      <c r="I118" s="165"/>
      <c r="J118" s="328">
        <f>H118/DAY(B2)</f>
        <v>603.58333333333337</v>
      </c>
      <c r="Q118" s="898" t="s">
        <v>311</v>
      </c>
      <c r="R118" s="900"/>
    </row>
    <row r="119" spans="1:18" ht="32.25" customHeight="1">
      <c r="A119" s="897" t="s">
        <v>98</v>
      </c>
      <c r="B119" s="897"/>
      <c r="C119" s="897"/>
      <c r="D119" s="151" t="s">
        <v>183</v>
      </c>
      <c r="E119" s="95">
        <f>'11'!F119</f>
        <v>40046</v>
      </c>
      <c r="F119" s="237">
        <v>40275</v>
      </c>
      <c r="G119" s="112">
        <f t="shared" si="9"/>
        <v>229</v>
      </c>
      <c r="H119" s="99">
        <f>G119+'11'!H119</f>
        <v>2826</v>
      </c>
      <c r="I119" s="165"/>
      <c r="J119" s="328">
        <f>H119/DAY(B2)</f>
        <v>235.5</v>
      </c>
    </row>
    <row r="120" spans="1:18" ht="32.25" customHeight="1">
      <c r="A120" s="897" t="s">
        <v>99</v>
      </c>
      <c r="B120" s="897"/>
      <c r="C120" s="897"/>
      <c r="D120" s="151" t="s">
        <v>183</v>
      </c>
      <c r="E120" s="95">
        <f>'11'!F120</f>
        <v>50823</v>
      </c>
      <c r="F120" s="237">
        <v>51239</v>
      </c>
      <c r="G120" s="112">
        <f t="shared" si="9"/>
        <v>416</v>
      </c>
      <c r="H120" s="99">
        <f>G120+'11'!H120</f>
        <v>4972</v>
      </c>
      <c r="I120" s="165"/>
      <c r="J120" s="328">
        <f>H120/DAY(B2)</f>
        <v>414.33333333333331</v>
      </c>
    </row>
    <row r="121" spans="1:18" ht="32.25" customHeight="1">
      <c r="A121" s="897" t="s">
        <v>100</v>
      </c>
      <c r="B121" s="897"/>
      <c r="C121" s="897"/>
      <c r="D121" s="151" t="s">
        <v>183</v>
      </c>
      <c r="E121" s="95">
        <f>'11'!F121</f>
        <v>58788</v>
      </c>
      <c r="F121" s="237">
        <v>59264</v>
      </c>
      <c r="G121" s="112">
        <f t="shared" si="9"/>
        <v>476</v>
      </c>
      <c r="H121" s="99">
        <f>G121+'11'!H121</f>
        <v>5721</v>
      </c>
      <c r="I121" s="165"/>
      <c r="J121" s="328">
        <f>H121/DAY(B2)</f>
        <v>476.75</v>
      </c>
    </row>
    <row r="122" spans="1:18" ht="32.25" customHeight="1">
      <c r="A122" s="897" t="s">
        <v>101</v>
      </c>
      <c r="B122" s="897"/>
      <c r="C122" s="897"/>
      <c r="D122" s="151" t="s">
        <v>183</v>
      </c>
      <c r="E122" s="95">
        <f>'11'!F122</f>
        <v>32063</v>
      </c>
      <c r="F122" s="237">
        <v>32390</v>
      </c>
      <c r="G122" s="112">
        <f t="shared" si="9"/>
        <v>327</v>
      </c>
      <c r="H122" s="99">
        <f>G122+'11'!H122</f>
        <v>3716</v>
      </c>
      <c r="I122" s="165"/>
      <c r="J122" s="328">
        <f>H122/DAY(B2)</f>
        <v>309.66666666666669</v>
      </c>
    </row>
    <row r="123" spans="1:18" ht="32.25" customHeight="1">
      <c r="A123" s="897" t="s">
        <v>102</v>
      </c>
      <c r="B123" s="897"/>
      <c r="C123" s="897"/>
      <c r="D123" s="151" t="s">
        <v>183</v>
      </c>
      <c r="E123" s="95">
        <f>'11'!F123</f>
        <v>33790</v>
      </c>
      <c r="F123" s="237">
        <v>34120</v>
      </c>
      <c r="G123" s="112">
        <f t="shared" si="9"/>
        <v>330</v>
      </c>
      <c r="H123" s="99">
        <f>G123+'11'!H123</f>
        <v>3932</v>
      </c>
      <c r="I123" s="165"/>
      <c r="J123" s="328">
        <f>H123/DAY(B2)</f>
        <v>327.66666666666669</v>
      </c>
    </row>
    <row r="124" spans="1:18" ht="32.25" customHeight="1">
      <c r="A124" s="902"/>
      <c r="B124" s="903"/>
      <c r="C124" s="904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880" t="s">
        <v>196</v>
      </c>
      <c r="B125" s="881"/>
      <c r="C125" s="245"/>
      <c r="D125" s="307"/>
      <c r="E125" s="308"/>
      <c r="F125" s="308"/>
      <c r="G125" s="309">
        <f>SUM(G112:G124)</f>
        <v>3518.2</v>
      </c>
      <c r="H125" s="156"/>
      <c r="I125" s="327" t="s">
        <v>365</v>
      </c>
      <c r="J125" s="327"/>
    </row>
    <row r="126" spans="1:18" ht="32.25" customHeight="1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32.25" customHeight="1">
      <c r="A127" s="885"/>
      <c r="B127" s="885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898" t="s">
        <v>318</v>
      </c>
      <c r="B128" s="899"/>
      <c r="C128" s="900"/>
      <c r="D128" s="151" t="s">
        <v>183</v>
      </c>
      <c r="E128" s="95">
        <f>'11'!F128</f>
        <v>133472</v>
      </c>
      <c r="F128" s="165">
        <v>134033</v>
      </c>
      <c r="G128" s="112">
        <f t="shared" ref="G128:G134" si="10">F128-E128</f>
        <v>561</v>
      </c>
      <c r="H128" s="99">
        <f>G128+'11'!H128</f>
        <v>6389</v>
      </c>
      <c r="I128" s="165"/>
      <c r="J128" s="328">
        <f>H128/DAY(B2)</f>
        <v>532.41666666666663</v>
      </c>
    </row>
    <row r="129" spans="1:17" ht="32.25" customHeight="1">
      <c r="A129" s="329" t="s">
        <v>319</v>
      </c>
      <c r="B129" s="330"/>
      <c r="C129" s="331"/>
      <c r="D129" s="151" t="s">
        <v>183</v>
      </c>
      <c r="E129" s="95">
        <f>'11'!F129</f>
        <v>74684</v>
      </c>
      <c r="F129" s="165">
        <v>74872</v>
      </c>
      <c r="G129" s="112">
        <f t="shared" si="10"/>
        <v>188</v>
      </c>
      <c r="H129" s="99">
        <f>G129+'11'!H129</f>
        <v>2369</v>
      </c>
      <c r="I129" s="165"/>
      <c r="J129" s="328">
        <f>H129/DAY(B2)</f>
        <v>197.41666666666666</v>
      </c>
      <c r="N129" s="240"/>
      <c r="O129" s="241"/>
    </row>
    <row r="130" spans="1:17" ht="32.25" customHeight="1">
      <c r="A130" s="329" t="s">
        <v>320</v>
      </c>
      <c r="B130" s="330"/>
      <c r="C130" s="331"/>
      <c r="D130" s="151" t="s">
        <v>183</v>
      </c>
      <c r="E130" s="95">
        <f>'11'!F130</f>
        <v>172193</v>
      </c>
      <c r="F130" s="165">
        <v>172869</v>
      </c>
      <c r="G130" s="112">
        <f t="shared" si="10"/>
        <v>676</v>
      </c>
      <c r="H130" s="99">
        <f>G130+'11'!H130</f>
        <v>7733.4799999999814</v>
      </c>
      <c r="I130" s="165"/>
      <c r="J130" s="328">
        <f>H130/DAY(B2)</f>
        <v>644.45666666666511</v>
      </c>
      <c r="N130" s="240"/>
      <c r="O130" s="241"/>
    </row>
    <row r="131" spans="1:17" ht="32.25" customHeight="1">
      <c r="A131" s="898" t="s">
        <v>321</v>
      </c>
      <c r="B131" s="899"/>
      <c r="C131" s="900"/>
      <c r="D131" s="151" t="s">
        <v>183</v>
      </c>
      <c r="E131" s="95">
        <f>'11'!F131</f>
        <v>50604</v>
      </c>
      <c r="F131" s="165">
        <v>50809</v>
      </c>
      <c r="G131" s="112">
        <f t="shared" si="10"/>
        <v>205</v>
      </c>
      <c r="H131" s="99">
        <f>G131+'11'!H131</f>
        <v>2360</v>
      </c>
      <c r="I131" s="165"/>
      <c r="J131" s="328">
        <f>H131/DAY(B2)</f>
        <v>196.66666666666666</v>
      </c>
      <c r="N131" s="240"/>
      <c r="O131" s="241"/>
    </row>
    <row r="132" spans="1:17" ht="32.25" customHeight="1">
      <c r="A132" s="898" t="s">
        <v>322</v>
      </c>
      <c r="B132" s="899"/>
      <c r="C132" s="900"/>
      <c r="D132" s="151" t="s">
        <v>183</v>
      </c>
      <c r="E132" s="95">
        <f>'11'!F132</f>
        <v>132643</v>
      </c>
      <c r="F132" s="165">
        <v>133052</v>
      </c>
      <c r="G132" s="112">
        <f t="shared" si="10"/>
        <v>409</v>
      </c>
      <c r="H132" s="99">
        <f>G132+'11'!H132</f>
        <v>4878</v>
      </c>
      <c r="I132" s="165"/>
      <c r="J132" s="328">
        <f>H132/DAY(B2)</f>
        <v>406.5</v>
      </c>
    </row>
    <row r="133" spans="1:17" ht="32.25" customHeight="1">
      <c r="A133" s="898" t="s">
        <v>359</v>
      </c>
      <c r="B133" s="899"/>
      <c r="C133" s="900"/>
      <c r="D133" s="151" t="s">
        <v>183</v>
      </c>
      <c r="E133" s="95">
        <f>'11'!F133</f>
        <v>224035.59</v>
      </c>
      <c r="F133" s="611">
        <v>224035.59</v>
      </c>
      <c r="G133" s="112">
        <f t="shared" si="10"/>
        <v>0</v>
      </c>
      <c r="H133" s="99">
        <f>G133+'11'!H133</f>
        <v>0</v>
      </c>
      <c r="I133" s="165"/>
      <c r="J133" s="328">
        <f>H133/DAY(B2)</f>
        <v>0</v>
      </c>
    </row>
    <row r="134" spans="1:17" ht="32.25" customHeight="1">
      <c r="A134" s="898" t="s">
        <v>340</v>
      </c>
      <c r="B134" s="899"/>
      <c r="C134" s="900"/>
      <c r="D134" s="151" t="s">
        <v>183</v>
      </c>
      <c r="E134" s="95">
        <f>'11'!F134</f>
        <v>51340</v>
      </c>
      <c r="F134" s="165">
        <v>51555</v>
      </c>
      <c r="G134" s="112">
        <f t="shared" si="10"/>
        <v>215</v>
      </c>
      <c r="H134" s="99">
        <f>G134+'11'!H134</f>
        <v>2520</v>
      </c>
      <c r="I134" s="165"/>
      <c r="J134" s="328">
        <f>H134/DAY(B2)</f>
        <v>210</v>
      </c>
    </row>
    <row r="135" spans="1:17" ht="32.25" customHeight="1">
      <c r="A135" s="880" t="s">
        <v>196</v>
      </c>
      <c r="B135" s="881"/>
      <c r="C135" s="331"/>
      <c r="D135" s="151"/>
      <c r="E135" s="95"/>
      <c r="F135" s="165"/>
      <c r="G135" s="112">
        <f>SUM(G128:G134)</f>
        <v>2254</v>
      </c>
      <c r="H135" s="99">
        <f>G135+'10'!H135</f>
        <v>24052.969999999987</v>
      </c>
      <c r="I135" s="327">
        <f>G135-(G35+G49)</f>
        <v>-1910.9500000000116</v>
      </c>
      <c r="J135" s="328">
        <f>H135/DAY(B2)</f>
        <v>2004.4141666666656</v>
      </c>
    </row>
    <row r="136" spans="1:17" ht="32.25" customHeight="1">
      <c r="A136" s="884" t="s">
        <v>207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7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7" ht="32.25" customHeight="1">
      <c r="A138" s="897" t="s">
        <v>185</v>
      </c>
      <c r="B138" s="897"/>
      <c r="C138" s="897"/>
      <c r="D138" s="151" t="s">
        <v>183</v>
      </c>
      <c r="E138" s="95">
        <f>'11'!F138</f>
        <v>892630</v>
      </c>
      <c r="F138" s="765">
        <v>892731</v>
      </c>
      <c r="G138" s="112">
        <f t="shared" ref="G138:G152" si="11">F138-E138</f>
        <v>101</v>
      </c>
      <c r="H138" s="99">
        <f>G138+'11'!H138</f>
        <v>1620</v>
      </c>
      <c r="I138" s="118"/>
      <c r="J138" s="328">
        <f>H138/DAY(B2)</f>
        <v>135</v>
      </c>
      <c r="Q138" s="65">
        <f>P138+O138</f>
        <v>0</v>
      </c>
    </row>
    <row r="139" spans="1:17" ht="32.25" customHeight="1">
      <c r="A139" s="897" t="s">
        <v>186</v>
      </c>
      <c r="B139" s="897"/>
      <c r="C139" s="897"/>
      <c r="D139" s="151" t="s">
        <v>183</v>
      </c>
      <c r="E139" s="95">
        <f>'11'!F139</f>
        <v>910599</v>
      </c>
      <c r="F139" s="765">
        <v>910771</v>
      </c>
      <c r="G139" s="112">
        <f t="shared" si="11"/>
        <v>172</v>
      </c>
      <c r="H139" s="99">
        <f>G139+'11'!H139</f>
        <v>1876</v>
      </c>
      <c r="I139" s="118"/>
      <c r="J139" s="328">
        <f>H139/DAY(B2)</f>
        <v>156.33333333333334</v>
      </c>
      <c r="Q139" s="65">
        <f t="shared" ref="Q139:Q151" si="12">P139+O139</f>
        <v>0</v>
      </c>
    </row>
    <row r="140" spans="1:17" ht="32.25" customHeight="1">
      <c r="A140" s="897" t="s">
        <v>187</v>
      </c>
      <c r="B140" s="897"/>
      <c r="C140" s="897"/>
      <c r="D140" s="151" t="s">
        <v>183</v>
      </c>
      <c r="E140" s="95">
        <f>'11'!F140</f>
        <v>1672</v>
      </c>
      <c r="F140" s="765">
        <v>1687.36</v>
      </c>
      <c r="G140" s="112">
        <f t="shared" si="11"/>
        <v>15.3599999999999</v>
      </c>
      <c r="H140" s="99">
        <f>G140+'11'!H140</f>
        <v>174.3599999999999</v>
      </c>
      <c r="I140" s="118"/>
      <c r="J140" s="328">
        <f>H140/DAY(B2)</f>
        <v>14.529999999999992</v>
      </c>
      <c r="Q140" s="65">
        <f t="shared" si="12"/>
        <v>0</v>
      </c>
    </row>
    <row r="141" spans="1:17" ht="32.25" customHeight="1">
      <c r="A141" s="876" t="s">
        <v>188</v>
      </c>
      <c r="B141" s="876"/>
      <c r="C141" s="876"/>
      <c r="D141" s="151" t="s">
        <v>183</v>
      </c>
      <c r="E141" s="95">
        <f>'11'!F141</f>
        <v>92604</v>
      </c>
      <c r="F141" s="765">
        <v>92805.53</v>
      </c>
      <c r="G141" s="112">
        <f t="shared" si="11"/>
        <v>201.52999999999884</v>
      </c>
      <c r="H141" s="99">
        <f>G141+'11'!H141</f>
        <v>2353.5299999999988</v>
      </c>
      <c r="I141" s="118"/>
      <c r="J141" s="328">
        <f>H141/DAY(B2)</f>
        <v>196.12749999999991</v>
      </c>
      <c r="Q141" s="65">
        <f t="shared" si="12"/>
        <v>0</v>
      </c>
    </row>
    <row r="142" spans="1:17" ht="32.25" customHeight="1">
      <c r="A142" s="876" t="s">
        <v>189</v>
      </c>
      <c r="B142" s="876"/>
      <c r="C142" s="876"/>
      <c r="D142" s="151" t="s">
        <v>183</v>
      </c>
      <c r="E142" s="95">
        <f>'11'!F142</f>
        <v>37561</v>
      </c>
      <c r="F142" s="765">
        <v>37649.019999999997</v>
      </c>
      <c r="G142" s="112">
        <f t="shared" si="11"/>
        <v>88.019999999996799</v>
      </c>
      <c r="H142" s="99">
        <f>G142+'11'!H142</f>
        <v>988.0199999999968</v>
      </c>
      <c r="I142" s="140"/>
      <c r="J142" s="328">
        <f>H142/DAY(B2)</f>
        <v>82.334999999999738</v>
      </c>
      <c r="Q142" s="65">
        <f t="shared" si="12"/>
        <v>0</v>
      </c>
    </row>
    <row r="143" spans="1:17" ht="32.25" customHeight="1">
      <c r="A143" s="897" t="s">
        <v>91</v>
      </c>
      <c r="B143" s="897"/>
      <c r="C143" s="897"/>
      <c r="D143" s="151" t="s">
        <v>183</v>
      </c>
      <c r="E143" s="95">
        <f>'11'!F143</f>
        <v>9341</v>
      </c>
      <c r="F143" s="765">
        <v>9371.44</v>
      </c>
      <c r="G143" s="112">
        <f t="shared" si="11"/>
        <v>30.440000000000509</v>
      </c>
      <c r="H143" s="99">
        <f>G143+'11'!H143</f>
        <v>320.44000000000051</v>
      </c>
      <c r="I143" s="140"/>
      <c r="J143" s="328">
        <f>H143/DAY(B2)</f>
        <v>26.703333333333376</v>
      </c>
      <c r="Q143" s="65">
        <f t="shared" si="12"/>
        <v>0</v>
      </c>
    </row>
    <row r="144" spans="1:17" ht="32.25" customHeight="1">
      <c r="A144" s="876" t="s">
        <v>90</v>
      </c>
      <c r="B144" s="876"/>
      <c r="C144" s="876"/>
      <c r="D144" s="151" t="s">
        <v>183</v>
      </c>
      <c r="E144" s="95">
        <f>'11'!F144</f>
        <v>922254</v>
      </c>
      <c r="F144" s="765">
        <v>922486</v>
      </c>
      <c r="G144" s="112">
        <f t="shared" si="11"/>
        <v>232</v>
      </c>
      <c r="H144" s="99">
        <f>G144+'11'!H144</f>
        <v>2649</v>
      </c>
      <c r="I144" s="140"/>
      <c r="J144" s="328">
        <f>H144/DAY(B2)</f>
        <v>220.75</v>
      </c>
      <c r="Q144" s="65">
        <f t="shared" si="12"/>
        <v>0</v>
      </c>
    </row>
    <row r="145" spans="1:17" ht="32.25" customHeight="1">
      <c r="A145" s="897" t="s">
        <v>190</v>
      </c>
      <c r="B145" s="897"/>
      <c r="C145" s="897"/>
      <c r="D145" s="152" t="s">
        <v>183</v>
      </c>
      <c r="E145" s="95">
        <f>'11'!F145</f>
        <v>6147</v>
      </c>
      <c r="F145" s="765">
        <v>6181.14</v>
      </c>
      <c r="G145" s="112">
        <f t="shared" si="11"/>
        <v>34.140000000000327</v>
      </c>
      <c r="H145" s="99">
        <f>G145+'11'!H145</f>
        <v>374.14000000000033</v>
      </c>
      <c r="I145" s="140"/>
      <c r="J145" s="328">
        <f>H145/DAY(B2)</f>
        <v>31.178333333333359</v>
      </c>
      <c r="Q145" s="65">
        <f t="shared" si="12"/>
        <v>0</v>
      </c>
    </row>
    <row r="146" spans="1:17" ht="32.25" customHeight="1">
      <c r="A146" s="932" t="s">
        <v>191</v>
      </c>
      <c r="B146" s="917"/>
      <c r="C146" s="918"/>
      <c r="D146" s="152" t="s">
        <v>183</v>
      </c>
      <c r="E146" s="95">
        <f>'11'!F146</f>
        <v>781685</v>
      </c>
      <c r="F146" s="765">
        <v>781760</v>
      </c>
      <c r="G146" s="112">
        <f t="shared" si="11"/>
        <v>75</v>
      </c>
      <c r="H146" s="99">
        <f>G146+'11'!H146</f>
        <v>960</v>
      </c>
      <c r="I146" s="140"/>
      <c r="J146" s="328">
        <f>H146/DAY(B2)</f>
        <v>80</v>
      </c>
      <c r="Q146" s="65">
        <f t="shared" si="12"/>
        <v>0</v>
      </c>
    </row>
    <row r="147" spans="1:17" ht="32.25" customHeight="1">
      <c r="A147" s="876" t="s">
        <v>192</v>
      </c>
      <c r="B147" s="876"/>
      <c r="C147" s="876"/>
      <c r="D147" s="152" t="s">
        <v>183</v>
      </c>
      <c r="E147" s="95">
        <f>'11'!F147</f>
        <v>704004</v>
      </c>
      <c r="F147" s="765">
        <v>704409.59999999998</v>
      </c>
      <c r="G147" s="112">
        <f t="shared" si="11"/>
        <v>405.59999999997672</v>
      </c>
      <c r="H147" s="99">
        <f>G147+'11'!H147</f>
        <v>4640.5999999999767</v>
      </c>
      <c r="I147" s="140"/>
      <c r="J147" s="328">
        <f>H147/DAY(B2)</f>
        <v>386.71666666666471</v>
      </c>
      <c r="Q147" s="65">
        <f t="shared" si="12"/>
        <v>0</v>
      </c>
    </row>
    <row r="148" spans="1:17" ht="32.25" customHeight="1">
      <c r="A148" s="877" t="s">
        <v>193</v>
      </c>
      <c r="B148" s="878"/>
      <c r="C148" s="879"/>
      <c r="D148" s="123" t="s">
        <v>130</v>
      </c>
      <c r="E148" s="95">
        <f>'11'!F148</f>
        <v>751912</v>
      </c>
      <c r="F148" s="765">
        <v>752230.56</v>
      </c>
      <c r="G148" s="112">
        <f t="shared" si="11"/>
        <v>318.56000000005588</v>
      </c>
      <c r="H148" s="99">
        <f>G148+'11'!H148</f>
        <v>3700.5600000000559</v>
      </c>
      <c r="I148" s="124"/>
      <c r="J148" s="328">
        <f>H148/DAY(B2)</f>
        <v>308.38000000000466</v>
      </c>
      <c r="Q148" s="65">
        <f t="shared" si="12"/>
        <v>0</v>
      </c>
    </row>
    <row r="149" spans="1:17" ht="32.25" customHeight="1">
      <c r="A149" s="877" t="s">
        <v>336</v>
      </c>
      <c r="B149" s="878"/>
      <c r="C149" s="879"/>
      <c r="D149" s="227" t="s">
        <v>130</v>
      </c>
      <c r="E149" s="95">
        <f>'11'!F149</f>
        <v>137669</v>
      </c>
      <c r="F149" s="765">
        <v>138116.56</v>
      </c>
      <c r="G149" s="112">
        <f t="shared" si="11"/>
        <v>447.55999999999767</v>
      </c>
      <c r="H149" s="99">
        <f>G149+'11'!H149</f>
        <v>5682.5599999999977</v>
      </c>
      <c r="I149" s="119"/>
      <c r="J149" s="328">
        <f>H149/DAY(B2)</f>
        <v>473.54666666666645</v>
      </c>
      <c r="Q149" s="65">
        <f t="shared" si="12"/>
        <v>0</v>
      </c>
    </row>
    <row r="150" spans="1:17" ht="32.25" customHeight="1">
      <c r="A150" s="877" t="s">
        <v>337</v>
      </c>
      <c r="B150" s="878"/>
      <c r="C150" s="879"/>
      <c r="D150" s="117" t="s">
        <v>130</v>
      </c>
      <c r="E150" s="95">
        <f>'11'!F150</f>
        <v>53073</v>
      </c>
      <c r="F150" s="765">
        <v>53303.89</v>
      </c>
      <c r="G150" s="112">
        <f t="shared" si="11"/>
        <v>230.88999999999942</v>
      </c>
      <c r="H150" s="99">
        <f>G150+'11'!H150</f>
        <v>2688.8899999999994</v>
      </c>
      <c r="I150" s="119"/>
      <c r="J150" s="328">
        <f>H150/DAY(B2)</f>
        <v>224.07416666666663</v>
      </c>
      <c r="Q150" s="65">
        <f t="shared" si="12"/>
        <v>0</v>
      </c>
    </row>
    <row r="151" spans="1:17" ht="32.25" customHeight="1">
      <c r="A151" s="877" t="s">
        <v>338</v>
      </c>
      <c r="B151" s="878"/>
      <c r="C151" s="879"/>
      <c r="D151" s="117" t="s">
        <v>130</v>
      </c>
      <c r="E151" s="95">
        <f>'11'!F151</f>
        <v>138530</v>
      </c>
      <c r="F151" s="765">
        <v>138860</v>
      </c>
      <c r="G151" s="112">
        <f t="shared" si="11"/>
        <v>330</v>
      </c>
      <c r="H151" s="99">
        <f>G151+'11'!H151</f>
        <v>3411</v>
      </c>
      <c r="I151" s="119"/>
      <c r="J151" s="328">
        <f>H151/DAY(B2)</f>
        <v>284.25</v>
      </c>
      <c r="Q151" s="65">
        <f t="shared" si="12"/>
        <v>0</v>
      </c>
    </row>
    <row r="152" spans="1:17" ht="32.25" customHeight="1">
      <c r="A152" s="877" t="s">
        <v>339</v>
      </c>
      <c r="B152" s="878"/>
      <c r="C152" s="879"/>
      <c r="D152" s="117" t="s">
        <v>130</v>
      </c>
      <c r="E152" s="95">
        <f>'11'!F152</f>
        <v>24456</v>
      </c>
      <c r="F152" s="765">
        <v>24456</v>
      </c>
      <c r="G152" s="112">
        <f t="shared" si="11"/>
        <v>0</v>
      </c>
      <c r="H152" s="99">
        <f>G152+'11'!H152</f>
        <v>1302</v>
      </c>
      <c r="I152" s="119"/>
      <c r="J152" s="328">
        <f>H152/DAY(B2)</f>
        <v>108.5</v>
      </c>
    </row>
    <row r="153" spans="1:17" ht="32.25" customHeight="1">
      <c r="A153" s="880" t="s">
        <v>196</v>
      </c>
      <c r="B153" s="881"/>
      <c r="C153" s="365"/>
      <c r="D153" s="358"/>
      <c r="E153" s="360"/>
      <c r="F153" s="361"/>
      <c r="G153" s="362">
        <f>SUM(G138:G152)</f>
        <v>2682.1000000000258</v>
      </c>
      <c r="H153" s="363"/>
      <c r="I153" s="119">
        <f>G153-(G38+G52)</f>
        <v>474.10000000002583</v>
      </c>
      <c r="J153" s="366"/>
    </row>
    <row r="154" spans="1:17" ht="32.25" customHeight="1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7" ht="32.25" customHeight="1">
      <c r="A155" s="876" t="s">
        <v>345</v>
      </c>
      <c r="B155" s="876"/>
      <c r="C155" s="876"/>
      <c r="D155" s="117" t="s">
        <v>130</v>
      </c>
      <c r="E155" s="95">
        <f>'11'!F155</f>
        <v>155394</v>
      </c>
      <c r="F155" s="422">
        <v>156001.35999999999</v>
      </c>
      <c r="G155" s="112">
        <f t="shared" ref="G155:G158" si="13">F155-E155</f>
        <v>607.35999999998603</v>
      </c>
      <c r="H155" s="99">
        <f>G155+'11'!H155</f>
        <v>7852.359999999986</v>
      </c>
      <c r="I155" s="364"/>
      <c r="J155" s="328">
        <f>H155/DAY(B2)</f>
        <v>654.36333333333221</v>
      </c>
    </row>
    <row r="156" spans="1:17" ht="32.25" customHeight="1">
      <c r="A156" s="876" t="s">
        <v>347</v>
      </c>
      <c r="B156" s="876"/>
      <c r="C156" s="876"/>
      <c r="D156" s="117" t="s">
        <v>130</v>
      </c>
      <c r="E156" s="95">
        <f>'11'!F156</f>
        <v>15842</v>
      </c>
      <c r="F156" s="422">
        <v>15940.47</v>
      </c>
      <c r="G156" s="112">
        <f t="shared" si="13"/>
        <v>98.469999999999345</v>
      </c>
      <c r="H156" s="99">
        <f>G156+'11'!H156</f>
        <v>1206.4699999999993</v>
      </c>
      <c r="I156" s="165"/>
      <c r="J156" s="328">
        <f>H156/DAY(B2)</f>
        <v>100.53916666666662</v>
      </c>
    </row>
    <row r="157" spans="1:17" ht="32.25" customHeight="1">
      <c r="A157" s="877" t="s">
        <v>360</v>
      </c>
      <c r="B157" s="878"/>
      <c r="C157" s="879"/>
      <c r="D157" s="117" t="s">
        <v>130</v>
      </c>
      <c r="E157" s="95">
        <f>'11'!F157</f>
        <v>29055</v>
      </c>
      <c r="F157" s="422">
        <v>29192.92</v>
      </c>
      <c r="G157" s="112">
        <f t="shared" si="13"/>
        <v>137.91999999999825</v>
      </c>
      <c r="H157" s="99">
        <f>G157+'11'!H157</f>
        <v>1746.9199999999983</v>
      </c>
      <c r="I157" s="165"/>
      <c r="J157" s="328">
        <f>H157/DAY(B2)</f>
        <v>145.57666666666651</v>
      </c>
    </row>
    <row r="158" spans="1:17" ht="32.25" customHeight="1">
      <c r="A158" s="877" t="s">
        <v>361</v>
      </c>
      <c r="B158" s="878"/>
      <c r="C158" s="879"/>
      <c r="D158" s="117" t="s">
        <v>130</v>
      </c>
      <c r="E158" s="95">
        <f>'11'!F158</f>
        <v>240.55</v>
      </c>
      <c r="F158" s="422">
        <v>240.55</v>
      </c>
      <c r="G158" s="112">
        <f t="shared" si="13"/>
        <v>0</v>
      </c>
      <c r="H158" s="99">
        <f>G158+'11'!H158</f>
        <v>152.13</v>
      </c>
      <c r="I158" s="165"/>
      <c r="J158" s="328">
        <f>H158/DAY(B2)</f>
        <v>12.6775</v>
      </c>
    </row>
    <row r="159" spans="1:17" ht="32.25" customHeight="1">
      <c r="A159" s="962"/>
      <c r="B159" s="963"/>
      <c r="C159" s="964"/>
      <c r="D159" s="117"/>
      <c r="E159" s="95"/>
      <c r="F159" s="165"/>
      <c r="G159" s="362">
        <f>SUM(G155:G158)</f>
        <v>843.74999999998363</v>
      </c>
      <c r="H159" s="99"/>
      <c r="I159" s="165"/>
      <c r="J159" s="328"/>
    </row>
    <row r="160" spans="1:17" ht="32.25" customHeight="1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6" ht="32.25" customHeight="1">
      <c r="A161" s="242" t="s">
        <v>92</v>
      </c>
      <c r="B161" s="243"/>
      <c r="C161" s="243"/>
      <c r="D161" s="244" t="s">
        <v>180</v>
      </c>
      <c r="E161" s="95">
        <f>'11'!F161</f>
        <v>480365</v>
      </c>
      <c r="F161" s="766">
        <v>480400.08</v>
      </c>
      <c r="G161" s="238">
        <f t="shared" ref="G161:G165" si="14">F161-E161</f>
        <v>35.080000000016298</v>
      </c>
      <c r="H161" s="99">
        <f>G161+'11'!H161</f>
        <v>347.0800000000163</v>
      </c>
      <c r="I161" s="236"/>
      <c r="J161" s="239">
        <f>H161/DAY(B2)</f>
        <v>28.923333333334693</v>
      </c>
      <c r="P161" s="71"/>
    </row>
    <row r="162" spans="1:16" ht="32.25" customHeight="1">
      <c r="A162" s="242" t="s">
        <v>93</v>
      </c>
      <c r="B162" s="243"/>
      <c r="C162" s="243"/>
      <c r="D162" s="244" t="s">
        <v>180</v>
      </c>
      <c r="E162" s="95">
        <f>'11'!F162</f>
        <v>95414</v>
      </c>
      <c r="F162" s="766">
        <v>95458</v>
      </c>
      <c r="G162" s="238">
        <f t="shared" si="14"/>
        <v>44</v>
      </c>
      <c r="H162" s="99">
        <f>G162+'11'!H162</f>
        <v>530</v>
      </c>
      <c r="I162" s="236"/>
      <c r="J162" s="239">
        <f>H162/DAY(B2)</f>
        <v>44.166666666666664</v>
      </c>
      <c r="P162" s="71"/>
    </row>
    <row r="163" spans="1:16" ht="32.25" customHeight="1">
      <c r="A163" s="242" t="s">
        <v>197</v>
      </c>
      <c r="B163" s="243"/>
      <c r="C163" s="243"/>
      <c r="D163" s="244" t="s">
        <v>180</v>
      </c>
      <c r="E163" s="95">
        <f>'11'!F163</f>
        <v>7783</v>
      </c>
      <c r="F163" s="766">
        <v>7870</v>
      </c>
      <c r="G163" s="238">
        <f t="shared" si="14"/>
        <v>87</v>
      </c>
      <c r="H163" s="99">
        <f>G163+'11'!H163</f>
        <v>1369</v>
      </c>
      <c r="I163" s="236"/>
      <c r="J163" s="239">
        <f>H163/DAY(B2)</f>
        <v>114.08333333333333</v>
      </c>
      <c r="P163" s="71"/>
    </row>
    <row r="164" spans="1:16" ht="32.25" customHeight="1">
      <c r="A164" s="242" t="s">
        <v>197</v>
      </c>
      <c r="B164" s="243"/>
      <c r="C164" s="243"/>
      <c r="D164" s="244" t="s">
        <v>180</v>
      </c>
      <c r="E164" s="95">
        <f>'11'!F164</f>
        <v>6307</v>
      </c>
      <c r="F164" s="766">
        <v>6310</v>
      </c>
      <c r="G164" s="238">
        <f t="shared" si="14"/>
        <v>3</v>
      </c>
      <c r="H164" s="99">
        <f>G164+'11'!H164</f>
        <v>30</v>
      </c>
      <c r="I164" s="236"/>
      <c r="J164" s="239">
        <f>H164/DAY(B2)</f>
        <v>2.5</v>
      </c>
      <c r="P164" s="71"/>
    </row>
    <row r="165" spans="1:16" ht="32.25" customHeight="1">
      <c r="A165" s="242" t="s">
        <v>309</v>
      </c>
      <c r="B165" s="243"/>
      <c r="C165" s="243"/>
      <c r="D165" s="244" t="s">
        <v>180</v>
      </c>
      <c r="E165" s="95">
        <f>'11'!F165</f>
        <v>31727</v>
      </c>
      <c r="F165" s="766">
        <v>31737.19</v>
      </c>
      <c r="G165" s="238">
        <f t="shared" si="14"/>
        <v>10.18999999999869</v>
      </c>
      <c r="H165" s="99">
        <f>G165+'11'!H165</f>
        <v>103.18999999999869</v>
      </c>
      <c r="I165" s="236"/>
      <c r="J165" s="239">
        <f>H165/DAY(B2)</f>
        <v>8.5991666666665569</v>
      </c>
      <c r="P165" s="71"/>
    </row>
    <row r="166" spans="1:16" ht="32.25" customHeight="1">
      <c r="A166" s="885"/>
      <c r="B166" s="885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6" ht="32.25" customHeight="1">
      <c r="A167" s="885"/>
      <c r="B167" s="885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6" ht="32.25" customHeight="1">
      <c r="A168" s="885"/>
      <c r="B168" s="885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6" ht="32.25" customHeight="1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6" ht="32.25" customHeight="1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6" ht="32.25" customHeight="1">
      <c r="A173" s="891" t="s">
        <v>209</v>
      </c>
      <c r="B173" s="892"/>
      <c r="C173" s="333"/>
      <c r="D173" s="228" t="s">
        <v>142</v>
      </c>
      <c r="E173" s="157">
        <f>'11'!F173</f>
        <v>8247</v>
      </c>
      <c r="F173" s="155">
        <v>8276</v>
      </c>
      <c r="G173" s="155">
        <f>F173-E173</f>
        <v>29</v>
      </c>
      <c r="H173" s="99">
        <f>G173+'11'!H173</f>
        <v>41</v>
      </c>
      <c r="I173" s="155"/>
      <c r="J173" s="178">
        <f>H173/DAY(B2)</f>
        <v>3.4166666666666665</v>
      </c>
    </row>
    <row r="174" spans="1:16" ht="32.25" customHeight="1">
      <c r="A174" s="891" t="s">
        <v>75</v>
      </c>
      <c r="B174" s="892"/>
      <c r="C174" s="333"/>
      <c r="D174" s="228" t="s">
        <v>142</v>
      </c>
      <c r="E174" s="157">
        <f>'11'!F174</f>
        <v>41357</v>
      </c>
      <c r="F174" s="157">
        <v>41370</v>
      </c>
      <c r="G174" s="155">
        <f t="shared" ref="G174:G175" si="15">F174-E174</f>
        <v>13</v>
      </c>
      <c r="H174" s="99">
        <f>G174+'11'!H174</f>
        <v>166</v>
      </c>
      <c r="I174" s="155"/>
      <c r="J174" s="178">
        <f>H174/DAY(B2)</f>
        <v>13.833333333333334</v>
      </c>
    </row>
    <row r="175" spans="1:16" ht="32.25" customHeight="1">
      <c r="A175" s="891" t="s">
        <v>76</v>
      </c>
      <c r="B175" s="931"/>
      <c r="C175" s="892"/>
      <c r="D175" s="228" t="s">
        <v>142</v>
      </c>
      <c r="E175" s="157">
        <f>'11'!F175</f>
        <v>24159</v>
      </c>
      <c r="F175" s="155">
        <v>24169</v>
      </c>
      <c r="G175" s="155">
        <f t="shared" si="15"/>
        <v>10</v>
      </c>
      <c r="H175" s="99">
        <f>G175+'11'!H175</f>
        <v>138</v>
      </c>
      <c r="I175" s="155"/>
      <c r="J175" s="178">
        <f>H175/DAY(B2)</f>
        <v>11.5</v>
      </c>
    </row>
    <row r="176" spans="1:16" ht="32.25" customHeight="1">
      <c r="A176" s="463" t="s">
        <v>196</v>
      </c>
      <c r="B176" s="464"/>
      <c r="C176" s="401"/>
      <c r="D176" s="228" t="s">
        <v>142</v>
      </c>
      <c r="E176" s="95"/>
      <c r="F176" s="155"/>
      <c r="G176" s="155">
        <f>SUM(G173:G175)</f>
        <v>52</v>
      </c>
      <c r="H176" s="99">
        <f>G176+'11'!H176</f>
        <v>345</v>
      </c>
      <c r="I176" s="155"/>
      <c r="J176" s="178">
        <f>H176/DAY(B2)</f>
        <v>28.75</v>
      </c>
    </row>
    <row r="177" spans="1:10" ht="32.2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891" t="s">
        <v>210</v>
      </c>
      <c r="B178" s="892"/>
      <c r="C178" s="333"/>
      <c r="D178" s="228" t="s">
        <v>142</v>
      </c>
      <c r="E178" s="95">
        <f>'11'!F178</f>
        <v>98632</v>
      </c>
      <c r="F178" s="754">
        <v>98728</v>
      </c>
      <c r="G178" s="155">
        <f>F178-E178</f>
        <v>96</v>
      </c>
      <c r="H178" s="99">
        <f>G178+'11'!H178</f>
        <v>1015</v>
      </c>
      <c r="I178" s="155"/>
      <c r="J178" s="178">
        <f>H178/DAY(B2)</f>
        <v>84.583333333333329</v>
      </c>
    </row>
    <row r="179" spans="1:10" ht="32.25" customHeight="1">
      <c r="A179" s="891" t="s">
        <v>211</v>
      </c>
      <c r="B179" s="892"/>
      <c r="C179" s="333"/>
      <c r="D179" s="228" t="s">
        <v>142</v>
      </c>
      <c r="E179" s="95">
        <f>'11'!F179</f>
        <v>36002</v>
      </c>
      <c r="F179" s="155">
        <v>36002</v>
      </c>
      <c r="G179" s="155">
        <f t="shared" ref="G179:G180" si="16">F179-E179</f>
        <v>0</v>
      </c>
      <c r="H179" s="99">
        <f>G179+'11'!H179</f>
        <v>0</v>
      </c>
      <c r="I179" s="155"/>
      <c r="J179" s="178">
        <f>H179/DAY(B2)</f>
        <v>0</v>
      </c>
    </row>
    <row r="180" spans="1:10" ht="32.25" customHeight="1">
      <c r="A180" s="891" t="s">
        <v>212</v>
      </c>
      <c r="B180" s="892"/>
      <c r="C180" s="333"/>
      <c r="D180" s="228" t="s">
        <v>142</v>
      </c>
      <c r="E180" s="95">
        <f>'11'!F180</f>
        <v>7177</v>
      </c>
      <c r="F180" s="754">
        <v>7177</v>
      </c>
      <c r="G180" s="155">
        <f t="shared" si="16"/>
        <v>0</v>
      </c>
      <c r="H180" s="99">
        <f>G180+'11'!H180</f>
        <v>15</v>
      </c>
      <c r="I180" s="155"/>
      <c r="J180" s="178">
        <f>H180/DAY(B2)</f>
        <v>1.25</v>
      </c>
    </row>
    <row r="181" spans="1:10" ht="32.25" customHeight="1">
      <c r="A181" s="893" t="s">
        <v>108</v>
      </c>
      <c r="B181" s="894"/>
      <c r="C181" s="401"/>
      <c r="D181" s="228" t="s">
        <v>142</v>
      </c>
      <c r="E181" s="95"/>
      <c r="F181" s="155"/>
      <c r="G181" s="155">
        <f>SUM(G178:G180)</f>
        <v>96</v>
      </c>
      <c r="H181" s="99">
        <f>G181+'11'!H181</f>
        <v>1030</v>
      </c>
      <c r="I181" s="155"/>
      <c r="J181" s="178">
        <f>H181/DAY(B2)</f>
        <v>85.833333333333329</v>
      </c>
    </row>
    <row r="182" spans="1:10" ht="32.25" customHeight="1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891" t="s">
        <v>214</v>
      </c>
      <c r="B183" s="892"/>
      <c r="C183" s="334"/>
      <c r="D183" s="228" t="s">
        <v>142</v>
      </c>
      <c r="E183" s="95">
        <f>'11'!F183</f>
        <v>17567</v>
      </c>
      <c r="F183" s="157">
        <v>17572</v>
      </c>
      <c r="G183" s="157">
        <f>F183-E183</f>
        <v>5</v>
      </c>
      <c r="H183" s="99">
        <f>G183+'11'!H183</f>
        <v>99</v>
      </c>
      <c r="I183" s="155"/>
      <c r="J183" s="178">
        <f>H183/DAY(B2)</f>
        <v>8.25</v>
      </c>
    </row>
    <row r="184" spans="1:10" ht="32.25" customHeight="1">
      <c r="A184" s="891" t="s">
        <v>215</v>
      </c>
      <c r="B184" s="892"/>
      <c r="C184" s="334"/>
      <c r="D184" s="228" t="s">
        <v>142</v>
      </c>
      <c r="E184" s="95">
        <f>'11'!F184</f>
        <v>12013</v>
      </c>
      <c r="F184" s="157">
        <v>12020</v>
      </c>
      <c r="G184" s="157">
        <f t="shared" ref="G184:G185" si="17">F184-E184</f>
        <v>7</v>
      </c>
      <c r="H184" s="99">
        <f>G184+'11'!H184</f>
        <v>85</v>
      </c>
      <c r="I184" s="155"/>
      <c r="J184" s="178">
        <f>H184/DAY(B2)</f>
        <v>7.083333333333333</v>
      </c>
    </row>
    <row r="185" spans="1:10" ht="32.25" customHeight="1">
      <c r="A185" s="891" t="s">
        <v>216</v>
      </c>
      <c r="B185" s="892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7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880" t="s">
        <v>196</v>
      </c>
      <c r="B186" s="881"/>
      <c r="C186" s="400"/>
      <c r="D186" s="228" t="s">
        <v>142</v>
      </c>
      <c r="E186" s="95"/>
      <c r="F186" s="157"/>
      <c r="G186" s="157">
        <f>SUM(G183:G185)</f>
        <v>12</v>
      </c>
      <c r="H186" s="99">
        <f>G186+'11'!H186</f>
        <v>184</v>
      </c>
      <c r="I186" s="157"/>
      <c r="J186" s="178">
        <f>H186/DAY(B2)</f>
        <v>15.333333333333334</v>
      </c>
    </row>
    <row r="187" spans="1:10" ht="32.25" customHeight="1">
      <c r="A187" s="882" t="s">
        <v>217</v>
      </c>
      <c r="B187" s="883"/>
      <c r="C187" s="333"/>
      <c r="D187" s="230" t="s">
        <v>142</v>
      </c>
      <c r="E187" s="95"/>
      <c r="F187" s="159"/>
      <c r="G187" s="159">
        <f>G62+G19</f>
        <v>151</v>
      </c>
      <c r="H187" s="99">
        <f>G187+'11'!H187</f>
        <v>1936</v>
      </c>
      <c r="I187" s="158"/>
      <c r="J187" s="179">
        <f>H187/DAY(B2)</f>
        <v>161.33333333333334</v>
      </c>
    </row>
    <row r="188" spans="1:10" ht="32.25" customHeight="1">
      <c r="A188" s="882" t="s">
        <v>218</v>
      </c>
      <c r="B188" s="883"/>
      <c r="C188" s="333"/>
      <c r="D188" s="230" t="s">
        <v>142</v>
      </c>
      <c r="E188" s="95"/>
      <c r="F188" s="159"/>
      <c r="G188" s="159">
        <f>G65+G66+G67+G69+G70</f>
        <v>-225</v>
      </c>
      <c r="H188" s="99">
        <f>G188+'11'!H188</f>
        <v>1380</v>
      </c>
      <c r="I188" s="158"/>
      <c r="J188" s="179">
        <f>H188/DAY(B2)</f>
        <v>115</v>
      </c>
    </row>
    <row r="189" spans="1:10" ht="32.25" customHeight="1">
      <c r="A189" s="882" t="s">
        <v>219</v>
      </c>
      <c r="B189" s="883"/>
      <c r="C189" s="333"/>
      <c r="D189" s="230" t="s">
        <v>142</v>
      </c>
      <c r="E189" s="95"/>
      <c r="F189" s="157"/>
      <c r="G189" s="157">
        <f>G181</f>
        <v>96</v>
      </c>
      <c r="H189" s="99">
        <f>G189+'11'!H189</f>
        <v>1030</v>
      </c>
      <c r="I189" s="158"/>
      <c r="J189" s="179">
        <f>H189/DAY(B2)</f>
        <v>85.833333333333329</v>
      </c>
    </row>
    <row r="190" spans="1:10" ht="32.25" customHeight="1">
      <c r="A190" s="889"/>
      <c r="B190" s="890"/>
      <c r="C190" s="399"/>
      <c r="D190" s="396"/>
      <c r="E190" s="393"/>
      <c r="F190" s="396"/>
      <c r="G190" s="396"/>
      <c r="H190" s="402"/>
      <c r="I190" s="396"/>
      <c r="J190" s="398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49" zoomScale="55" zoomScaleSheetLayoutView="55" workbookViewId="0">
      <selection activeCell="A67" sqref="A67:XFD67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7.75" customHeight="1">
      <c r="A2" s="191" t="s">
        <v>349</v>
      </c>
      <c r="B2" s="262">
        <v>44786</v>
      </c>
      <c r="C2" s="348" t="s">
        <v>67</v>
      </c>
      <c r="D2" s="218">
        <v>0.66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30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651394</v>
      </c>
      <c r="F7" s="95">
        <f>E7+26200</f>
        <v>677594</v>
      </c>
      <c r="G7" s="112">
        <f>F7-E7</f>
        <v>26200</v>
      </c>
      <c r="H7" s="99">
        <f>G7+'12'!H7</f>
        <v>340464</v>
      </c>
      <c r="I7" s="113">
        <f>'1'!I7</f>
        <v>12000</v>
      </c>
      <c r="J7" s="175">
        <f>H7/DAY(B2)</f>
        <v>26189.538461538461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807560</v>
      </c>
      <c r="F8" s="95">
        <f>E8+26500</f>
        <v>834060</v>
      </c>
      <c r="G8" s="115">
        <f>F8-E8</f>
        <v>26500</v>
      </c>
      <c r="H8" s="99">
        <f>G8+'12'!H8</f>
        <v>345473</v>
      </c>
      <c r="I8" s="116"/>
      <c r="J8" s="175">
        <f>H8/DAY(B2)</f>
        <v>26574.846153846152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3359817</v>
      </c>
      <c r="F9" s="469">
        <v>3370251.1</v>
      </c>
      <c r="G9" s="112">
        <f>F9-E9</f>
        <v>10434.100000000093</v>
      </c>
      <c r="H9" s="99">
        <f>G9+'12'!H9</f>
        <v>91185.100000000093</v>
      </c>
      <c r="I9" s="124">
        <f>I7-J7</f>
        <v>-14189.538461538461</v>
      </c>
      <c r="J9" s="175">
        <f>H9/DAY(B2)</f>
        <v>7014.238461538469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1893216</v>
      </c>
      <c r="F10" s="353">
        <v>1907896.3</v>
      </c>
      <c r="G10" s="112">
        <f t="shared" ref="G10:G12" si="0">F10-E10</f>
        <v>14680.300000000047</v>
      </c>
      <c r="H10" s="99">
        <f>G10+'12'!H10</f>
        <v>240738.30000000005</v>
      </c>
      <c r="I10" s="282"/>
      <c r="J10" s="175">
        <f>H10/DAY(B2)</f>
        <v>18518.330769230772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469">
        <v>37560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40380</v>
      </c>
      <c r="F12" s="117">
        <v>40380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25114.40000000014</v>
      </c>
      <c r="H13" s="99">
        <f>G13+'12'!H13</f>
        <v>333258</v>
      </c>
      <c r="I13" s="120">
        <f>G7-G13</f>
        <v>1085.5999999998603</v>
      </c>
      <c r="J13" s="175">
        <f>H13/DAY(B2)</f>
        <v>25635.23076923077</v>
      </c>
      <c r="K13" s="79"/>
      <c r="L13" s="66"/>
      <c r="N13" s="87"/>
      <c r="O13" s="71"/>
    </row>
    <row r="14" spans="1:15" ht="27.75" customHeight="1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'12'!F15</f>
        <v>2113347</v>
      </c>
      <c r="F15" s="469">
        <v>2114441.0789999999</v>
      </c>
      <c r="G15" s="112">
        <f>(F15-E15)</f>
        <v>1094.0789999999106</v>
      </c>
      <c r="H15" s="99">
        <f>G15+'12'!H15</f>
        <v>13573.078999999911</v>
      </c>
      <c r="I15" s="113">
        <f>'1'!I15</f>
        <v>800</v>
      </c>
      <c r="J15" s="175">
        <f>H15/DAY(B2)</f>
        <v>1044.082999999993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-244.08299999999304</v>
      </c>
      <c r="J16" s="176"/>
      <c r="K16" s="79"/>
      <c r="L16" s="66"/>
      <c r="N16" s="87"/>
      <c r="O16" s="71"/>
    </row>
    <row r="17" spans="1:15" ht="27.75" customHeight="1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919" t="s">
        <v>141</v>
      </c>
      <c r="B18" s="920"/>
      <c r="C18" s="921"/>
      <c r="D18" s="151" t="s">
        <v>142</v>
      </c>
      <c r="E18" s="95">
        <f>'12'!F18</f>
        <v>16</v>
      </c>
      <c r="F18" s="122">
        <v>16</v>
      </c>
      <c r="G18" s="119">
        <f>F18*10</f>
        <v>160</v>
      </c>
      <c r="H18" s="99">
        <f>G18+'12'!H18</f>
        <v>1930</v>
      </c>
      <c r="I18" s="113">
        <f>'1'!I18</f>
        <v>65</v>
      </c>
      <c r="J18" s="175">
        <f>H18/DAY(B2)</f>
        <v>148.46153846153845</v>
      </c>
      <c r="K18" s="79"/>
      <c r="L18" s="66"/>
      <c r="N18" s="87"/>
      <c r="O18" s="71"/>
    </row>
    <row r="19" spans="1:15" ht="27.75" customHeight="1">
      <c r="A19" s="919" t="s">
        <v>69</v>
      </c>
      <c r="B19" s="920"/>
      <c r="C19" s="921"/>
      <c r="D19" s="151" t="s">
        <v>142</v>
      </c>
      <c r="E19" s="95">
        <f>'12'!F19</f>
        <v>162943</v>
      </c>
      <c r="F19" s="122">
        <v>162993</v>
      </c>
      <c r="G19" s="112">
        <f t="shared" ref="G19" si="1">F19-E19</f>
        <v>50</v>
      </c>
      <c r="H19" s="99">
        <f>G19+'12'!H19</f>
        <v>658</v>
      </c>
      <c r="I19" s="335"/>
      <c r="J19" s="175">
        <f>H19/DAY(B2)</f>
        <v>50.615384615384613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210</v>
      </c>
      <c r="H20" s="99">
        <f>G20+'12'!H20</f>
        <v>2588</v>
      </c>
      <c r="I20" s="336">
        <f>I18-J20</f>
        <v>-134.07692307692307</v>
      </c>
      <c r="J20" s="175">
        <f>H20/DAY(B2)</f>
        <v>199.07692307692307</v>
      </c>
      <c r="K20" s="79"/>
      <c r="L20" s="66"/>
      <c r="N20" s="87"/>
      <c r="O20" s="71"/>
    </row>
    <row r="21" spans="1:15" ht="27.75" customHeight="1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4470</v>
      </c>
      <c r="F24" s="128">
        <v>4470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G27+'12'!H27</f>
        <v>3109257</v>
      </c>
      <c r="I27" s="138"/>
      <c r="J27" s="175">
        <f>H27/DAY(B2)</f>
        <v>239173.61538461538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1094.0789999999106</v>
      </c>
      <c r="F28" s="136">
        <v>70</v>
      </c>
      <c r="G28" s="137">
        <f>E28*F28</f>
        <v>76585.529999993742</v>
      </c>
      <c r="H28" s="99">
        <f>G28+'12'!H28</f>
        <v>950115.52999999374</v>
      </c>
      <c r="I28" s="140"/>
      <c r="J28" s="175">
        <f>H28/DAY(B2)</f>
        <v>73085.809999999517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G30+'12'!H30</f>
        <v>99358</v>
      </c>
      <c r="I30" s="140"/>
      <c r="J30" s="175">
        <f>H30/DAY(B2)</f>
        <v>7642.9230769230771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G31+'12'!H31</f>
        <v>154400</v>
      </c>
      <c r="I31" s="140"/>
      <c r="J31" s="175">
        <f>H31/DAY(B2)</f>
        <v>11876.923076923076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335435.52999999374</v>
      </c>
      <c r="H32" s="99">
        <f>G32+'12'!H32</f>
        <v>4313130.5299999937</v>
      </c>
      <c r="I32" s="144"/>
      <c r="J32" s="175">
        <f>H32/DAY(B2)</f>
        <v>331779.27153846103</v>
      </c>
      <c r="K32" s="63"/>
      <c r="L32" s="89"/>
      <c r="N32" s="87"/>
      <c r="O32" s="71"/>
    </row>
    <row r="33" spans="1:15" ht="27.7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238713</v>
      </c>
      <c r="F35" s="145">
        <v>238713.05</v>
      </c>
      <c r="G35" s="112">
        <f t="shared" ref="G35:G46" si="3">F35-E35</f>
        <v>4.9999999988358468E-2</v>
      </c>
      <c r="H35" s="99">
        <f>G35+'12'!H35</f>
        <v>4.9999999988358468E-2</v>
      </c>
      <c r="I35" s="95"/>
      <c r="J35" s="175">
        <f>H35/DAY(B2)</f>
        <v>3.8461538452583435E-3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226206</v>
      </c>
      <c r="F36" s="145">
        <v>226953.13</v>
      </c>
      <c r="G36" s="112">
        <f t="shared" si="3"/>
        <v>747.13000000000466</v>
      </c>
      <c r="H36" s="99">
        <f>G36+'12'!H36</f>
        <v>11423.130000000005</v>
      </c>
      <c r="I36" s="95"/>
      <c r="J36" s="175">
        <f>H36/DAY(B2)</f>
        <v>878.70230769230807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322998</v>
      </c>
      <c r="F37" s="145">
        <v>322998.69</v>
      </c>
      <c r="G37" s="112">
        <f t="shared" si="3"/>
        <v>0.69000000000232831</v>
      </c>
      <c r="H37" s="99">
        <f>G37+'12'!H37</f>
        <v>-0.30999999999767169</v>
      </c>
      <c r="I37" s="95"/>
      <c r="J37" s="175">
        <f>H37/DAY(B2)</f>
        <v>-2.3846153845974747E-2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484287</v>
      </c>
      <c r="F38" s="767">
        <v>486583.99</v>
      </c>
      <c r="G38" s="112">
        <f t="shared" si="3"/>
        <v>2296.9899999999907</v>
      </c>
      <c r="H38" s="99">
        <f>G38+'12'!H38</f>
        <v>29222.989999999991</v>
      </c>
      <c r="I38" s="95"/>
      <c r="J38" s="175">
        <f>H38/DAY(B2)</f>
        <v>2247.9223076923072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591584</v>
      </c>
      <c r="F39" s="145">
        <v>591584.18999999994</v>
      </c>
      <c r="G39" s="112">
        <f t="shared" si="3"/>
        <v>0.18999999994412065</v>
      </c>
      <c r="H39" s="99">
        <f>G39+'12'!H39</f>
        <v>0.18999999994412065</v>
      </c>
      <c r="I39" s="95"/>
      <c r="J39" s="175">
        <f>H39/DAY(B2)</f>
        <v>1.4615384611086203E-2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117373</v>
      </c>
      <c r="F40" s="145">
        <v>118182.23</v>
      </c>
      <c r="G40" s="112">
        <f t="shared" si="3"/>
        <v>809.22999999999593</v>
      </c>
      <c r="H40" s="99">
        <f>G40+'12'!H40</f>
        <v>11406.229999999996</v>
      </c>
      <c r="I40" s="95"/>
      <c r="J40" s="175">
        <f>H40/DAY(B2)</f>
        <v>877.40230769230743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242060</v>
      </c>
      <c r="F41" s="145">
        <v>246176.85</v>
      </c>
      <c r="G41" s="112">
        <f t="shared" si="3"/>
        <v>4116.8500000000058</v>
      </c>
      <c r="H41" s="99">
        <f>G41+'12'!H41</f>
        <v>34473.850000000006</v>
      </c>
      <c r="I41" s="95"/>
      <c r="J41" s="175">
        <f>H41/DAY(B2)</f>
        <v>2651.834615384616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762817</v>
      </c>
      <c r="F42" s="145">
        <v>766394.71</v>
      </c>
      <c r="G42" s="112">
        <f t="shared" si="3"/>
        <v>3577.7099999999627</v>
      </c>
      <c r="H42" s="99">
        <f>G42+'12'!H42</f>
        <v>18030.709999999963</v>
      </c>
      <c r="I42" s="95"/>
      <c r="J42" s="175">
        <f>H42/DAY(B2)</f>
        <v>1386.9776923076895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407028</v>
      </c>
      <c r="F43" s="145">
        <v>407028</v>
      </c>
      <c r="G43" s="112">
        <f t="shared" si="3"/>
        <v>0</v>
      </c>
      <c r="H43" s="99">
        <f>G43+'12'!H43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11548.839999999895</v>
      </c>
      <c r="H47" s="99">
        <f>G47+'12'!H47</f>
        <v>104556.83999999989</v>
      </c>
      <c r="I47" s="95"/>
      <c r="J47" s="175">
        <f>H47/DAY(B2)</f>
        <v>8042.8338461538378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532871</v>
      </c>
      <c r="F49" s="145">
        <v>537046.71</v>
      </c>
      <c r="G49" s="112">
        <f t="shared" ref="G49:G58" si="4">F49-E49</f>
        <v>4175.7099999999627</v>
      </c>
      <c r="H49" s="99">
        <f>G49+'12'!H49</f>
        <v>51992.709999999963</v>
      </c>
      <c r="I49" s="95"/>
      <c r="J49" s="175">
        <f>H49/DAY(B2)</f>
        <v>3999.4392307692278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297065.34999999998</v>
      </c>
      <c r="F50" s="145">
        <v>298146.73</v>
      </c>
      <c r="G50" s="112">
        <f t="shared" si="4"/>
        <v>1081.3800000000047</v>
      </c>
      <c r="H50" s="99">
        <f>G50+'12'!H50</f>
        <v>15396.729999999981</v>
      </c>
      <c r="I50" s="95"/>
      <c r="J50" s="175">
        <f>H50/DAY(B2)</f>
        <v>1184.3638461538446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21531</v>
      </c>
      <c r="F51" s="145">
        <v>22576.233</v>
      </c>
      <c r="G51" s="112">
        <f t="shared" si="4"/>
        <v>1045.2330000000002</v>
      </c>
      <c r="H51" s="99">
        <f>G51+'12'!H51</f>
        <v>14068.233</v>
      </c>
      <c r="I51" s="95"/>
      <c r="J51" s="175">
        <f>H51/DAY(B2)</f>
        <v>1082.1717692307693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9.76</v>
      </c>
      <c r="F52" s="145">
        <v>9.76</v>
      </c>
      <c r="G52" s="112">
        <f t="shared" si="4"/>
        <v>0</v>
      </c>
      <c r="H52" s="99">
        <f>G52+'12'!H52</f>
        <v>-0.24000000000000021</v>
      </c>
      <c r="I52" s="95"/>
      <c r="J52" s="175">
        <f>H52/DAY(B2)</f>
        <v>-1.8461538461538477E-2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86782</v>
      </c>
      <c r="F53" s="145">
        <v>91405.75</v>
      </c>
      <c r="G53" s="112">
        <f t="shared" si="4"/>
        <v>4623.75</v>
      </c>
      <c r="H53" s="99">
        <f>G53+'12'!H53</f>
        <v>57544.75</v>
      </c>
      <c r="I53" s="95"/>
      <c r="J53" s="175">
        <f>H53/DAY(B2)</f>
        <v>4426.5192307692305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92219</v>
      </c>
      <c r="F54" s="145">
        <v>92416.55</v>
      </c>
      <c r="G54" s="112">
        <f t="shared" si="4"/>
        <v>197.55000000000291</v>
      </c>
      <c r="H54" s="99">
        <f>G54+'12'!H54</f>
        <v>4473.5500000000029</v>
      </c>
      <c r="I54" s="95"/>
      <c r="J54" s="175">
        <f>H54/DAY(B2)</f>
        <v>344.11923076923097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400063</v>
      </c>
      <c r="F55" s="145">
        <v>400197.55</v>
      </c>
      <c r="G55" s="112">
        <f t="shared" si="4"/>
        <v>134.54999999998836</v>
      </c>
      <c r="H55" s="99">
        <f>G55+'12'!H55</f>
        <v>37420.549999999988</v>
      </c>
      <c r="I55" s="95"/>
      <c r="J55" s="175">
        <f>H55/DAY(B2)</f>
        <v>2878.5038461538452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123882</v>
      </c>
      <c r="F56" s="145">
        <v>123882.39</v>
      </c>
      <c r="G56" s="112">
        <f t="shared" si="4"/>
        <v>0.38999999999941792</v>
      </c>
      <c r="H56" s="99">
        <f>G56+'12'!H56</f>
        <v>0.38999999999941792</v>
      </c>
      <c r="I56" s="95"/>
      <c r="J56" s="175">
        <f>H56/DAY(B2)</f>
        <v>2.9999999999955226E-2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263291.12</v>
      </c>
      <c r="F57" s="145">
        <v>266545.37</v>
      </c>
      <c r="G57" s="112">
        <f t="shared" si="4"/>
        <v>3254.25</v>
      </c>
      <c r="H57" s="99">
        <f>G57+'12'!H57</f>
        <v>40375.369999999995</v>
      </c>
      <c r="I57" s="95"/>
      <c r="J57" s="175">
        <f>H57/DAY(B2)</f>
        <v>3105.7976923076922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52304</v>
      </c>
      <c r="F58" s="145">
        <v>52539.35</v>
      </c>
      <c r="G58" s="112">
        <f t="shared" si="4"/>
        <v>235.34999999999854</v>
      </c>
      <c r="H58" s="99">
        <f>G58+'12'!H58</f>
        <v>3430.3499999999985</v>
      </c>
      <c r="I58" s="95"/>
      <c r="J58" s="175">
        <f>H58/DAY(B2)</f>
        <v>263.87307692307684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14748.162999999957</v>
      </c>
      <c r="H59" s="99">
        <f>G59+'12'!H59</f>
        <v>224702.39299999998</v>
      </c>
      <c r="I59" s="95">
        <f>G7-G60</f>
        <v>-97.002999999851454</v>
      </c>
      <c r="J59" s="175">
        <f>H59/DAY(B2)</f>
        <v>17284.79946153846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26297.002999999851</v>
      </c>
      <c r="H60" s="99">
        <f>G60+'12'!H60</f>
        <v>329259.23299999983</v>
      </c>
      <c r="I60" s="95">
        <f>G13-G60</f>
        <v>-1182.6029999997118</v>
      </c>
      <c r="J60" s="175">
        <f>H60/DAY(B2)</f>
        <v>25327.633307692297</v>
      </c>
      <c r="K60" s="79"/>
      <c r="L60" s="66"/>
      <c r="N60" s="87"/>
      <c r="O60" s="71"/>
    </row>
    <row r="61" spans="1:15" s="68" customFormat="1" ht="27.75" customHeight="1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919" t="s">
        <v>198</v>
      </c>
      <c r="B62" s="920"/>
      <c r="C62" s="921"/>
      <c r="D62" s="151" t="s">
        <v>142</v>
      </c>
      <c r="E62" s="95">
        <f>'12'!F62</f>
        <v>297603</v>
      </c>
      <c r="F62" s="122">
        <v>297720</v>
      </c>
      <c r="G62" s="112">
        <f t="shared" ref="G62:G63" si="5">F62-E62</f>
        <v>117</v>
      </c>
      <c r="H62" s="99">
        <f>G62+'12'!H62</f>
        <v>1445</v>
      </c>
      <c r="I62" s="118"/>
      <c r="J62" s="175">
        <f>H62/DAY(B2)</f>
        <v>111.15384615384616</v>
      </c>
      <c r="K62" s="80"/>
      <c r="L62" s="66"/>
      <c r="N62" s="87"/>
      <c r="O62" s="71"/>
    </row>
    <row r="63" spans="1:15" ht="27.75" customHeight="1">
      <c r="A63" s="919" t="s">
        <v>199</v>
      </c>
      <c r="B63" s="920"/>
      <c r="C63" s="921"/>
      <c r="D63" s="151" t="s">
        <v>142</v>
      </c>
      <c r="E63" s="95">
        <f>'12'!F63</f>
        <v>240630</v>
      </c>
      <c r="F63" s="164">
        <v>240765</v>
      </c>
      <c r="G63" s="112">
        <f t="shared" si="5"/>
        <v>135</v>
      </c>
      <c r="H63" s="99">
        <f>G63+'12'!H63</f>
        <v>1632</v>
      </c>
      <c r="I63" s="118"/>
      <c r="J63" s="175">
        <f>H63/DAY(B2)</f>
        <v>125.53846153846153</v>
      </c>
      <c r="K63" s="69"/>
      <c r="L63" s="66"/>
      <c r="N63" s="87"/>
      <c r="O63" s="71"/>
    </row>
    <row r="64" spans="1:15" ht="27.75" customHeight="1">
      <c r="A64" s="928" t="s">
        <v>200</v>
      </c>
      <c r="B64" s="929"/>
      <c r="C64" s="930"/>
      <c r="D64" s="151"/>
      <c r="E64" s="95">
        <f>'12'!F64</f>
        <v>0</v>
      </c>
      <c r="F64" s="122"/>
      <c r="G64" s="112">
        <f>G62+G63</f>
        <v>252</v>
      </c>
      <c r="H64" s="99">
        <f>G64+'12'!H64</f>
        <v>3077</v>
      </c>
      <c r="I64" s="118"/>
      <c r="J64" s="175">
        <f>H64/DAY(B2)</f>
        <v>236.69230769230768</v>
      </c>
      <c r="K64" s="69"/>
      <c r="L64" s="66"/>
      <c r="N64" s="87"/>
      <c r="O64" s="71"/>
    </row>
    <row r="65" spans="1:15" ht="27.75" customHeight="1">
      <c r="A65" s="919" t="s">
        <v>201</v>
      </c>
      <c r="B65" s="920"/>
      <c r="C65" s="921"/>
      <c r="D65" s="151" t="s">
        <v>142</v>
      </c>
      <c r="E65" s="95">
        <f>'12'!F65</f>
        <v>455958</v>
      </c>
      <c r="F65" s="122">
        <v>456075</v>
      </c>
      <c r="G65" s="112">
        <f t="shared" ref="G65:G70" si="6">F65-E65</f>
        <v>117</v>
      </c>
      <c r="H65" s="99">
        <f>G65+'12'!H65</f>
        <v>1365</v>
      </c>
      <c r="I65" s="118"/>
      <c r="J65" s="175">
        <f>H65/DAY(B2)</f>
        <v>105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111993</v>
      </c>
      <c r="F66" s="122">
        <v>112022</v>
      </c>
      <c r="G66" s="112">
        <f t="shared" si="6"/>
        <v>29</v>
      </c>
      <c r="H66" s="99">
        <f>G66+'12'!H66</f>
        <v>300</v>
      </c>
      <c r="I66" s="118"/>
      <c r="J66" s="175">
        <f>H66/DAY(B2)</f>
        <v>23.076923076923077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113680</v>
      </c>
      <c r="F67" s="122">
        <v>113852</v>
      </c>
      <c r="G67" s="112">
        <f t="shared" si="6"/>
        <v>172</v>
      </c>
      <c r="H67" s="99">
        <f>G67+'12'!H67</f>
        <v>172</v>
      </c>
      <c r="I67" s="118"/>
      <c r="J67" s="175">
        <f>H67/DAY(B2)</f>
        <v>13.23076923076923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164992</v>
      </c>
      <c r="F68" s="122">
        <v>165021</v>
      </c>
      <c r="G68" s="112">
        <f t="shared" si="6"/>
        <v>29</v>
      </c>
      <c r="H68" s="99">
        <f>G68+'12'!H68</f>
        <v>359</v>
      </c>
      <c r="I68" s="118"/>
      <c r="J68" s="175">
        <f>H68/DAY(B2)</f>
        <v>27.615384615384617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12353</v>
      </c>
      <c r="F69" s="122">
        <v>12359</v>
      </c>
      <c r="G69" s="112">
        <f t="shared" si="6"/>
        <v>6</v>
      </c>
      <c r="H69" s="99">
        <f>G69+'12'!H69</f>
        <v>84</v>
      </c>
      <c r="I69" s="118"/>
      <c r="J69" s="175">
        <f>H69/DAY(B2)</f>
        <v>6.4615384615384617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9610</v>
      </c>
      <c r="F70" s="122">
        <v>9941</v>
      </c>
      <c r="G70" s="112">
        <f t="shared" si="6"/>
        <v>331</v>
      </c>
      <c r="H70" s="99">
        <f>G70+'12'!H70</f>
        <v>114</v>
      </c>
      <c r="I70" s="118"/>
      <c r="J70" s="175">
        <f>H70/DAY(B2)</f>
        <v>8.7692307692307701</v>
      </c>
      <c r="K70" s="69"/>
      <c r="L70" s="66"/>
      <c r="N70" s="87"/>
      <c r="O70" s="71"/>
    </row>
    <row r="71" spans="1:15" ht="27.75" customHeight="1">
      <c r="A71" s="928" t="s">
        <v>208</v>
      </c>
      <c r="B71" s="929"/>
      <c r="C71" s="930"/>
      <c r="D71" s="152"/>
      <c r="E71" s="152"/>
      <c r="F71" s="152" t="s">
        <v>369</v>
      </c>
      <c r="G71" s="153">
        <f>SUM(G65:G70)</f>
        <v>684</v>
      </c>
      <c r="H71" s="99">
        <f>G71+'12'!H71</f>
        <v>2394</v>
      </c>
      <c r="I71" s="154"/>
      <c r="J71" s="175">
        <f>H71/DAY(B2)</f>
        <v>184.15384615384616</v>
      </c>
      <c r="K71" s="69"/>
      <c r="L71" s="66"/>
      <c r="N71" s="87"/>
      <c r="O71" s="71"/>
    </row>
    <row r="72" spans="1:15" s="88" customFormat="1" ht="27.75" customHeight="1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919" t="s">
        <v>220</v>
      </c>
      <c r="B74" s="920"/>
      <c r="C74" s="921"/>
      <c r="D74" s="151" t="s">
        <v>139</v>
      </c>
      <c r="E74" s="95">
        <f>'12'!F74</f>
        <v>961408.25</v>
      </c>
      <c r="F74" s="117">
        <v>961748</v>
      </c>
      <c r="G74" s="112">
        <f>F74-E74</f>
        <v>339.75</v>
      </c>
      <c r="H74" s="99">
        <f>G74+'12'!H74</f>
        <v>4090.140000000014</v>
      </c>
      <c r="I74" s="154"/>
      <c r="J74" s="175">
        <f>H74/DAY(B2)</f>
        <v>314.62615384615492</v>
      </c>
      <c r="K74" s="69"/>
      <c r="L74" s="66"/>
      <c r="N74" s="87"/>
      <c r="O74" s="71"/>
    </row>
    <row r="75" spans="1:15" ht="27.75" customHeight="1">
      <c r="A75" s="919" t="s">
        <v>221</v>
      </c>
      <c r="B75" s="920"/>
      <c r="C75" s="921"/>
      <c r="D75" s="151" t="s">
        <v>139</v>
      </c>
      <c r="E75" s="95">
        <f>'12'!F75</f>
        <v>73586.5</v>
      </c>
      <c r="F75" s="123">
        <v>73586.8</v>
      </c>
      <c r="G75" s="112">
        <f t="shared" ref="G75:G78" si="7">F75-E75</f>
        <v>0.30000000000291038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6" t="s">
        <v>222</v>
      </c>
      <c r="B76" s="917"/>
      <c r="C76" s="918"/>
      <c r="D76" s="151" t="s">
        <v>139</v>
      </c>
      <c r="E76" s="95">
        <f>'12'!F76</f>
        <v>191506.29</v>
      </c>
      <c r="F76" s="123">
        <v>191657.02</v>
      </c>
      <c r="G76" s="112">
        <f t="shared" si="7"/>
        <v>150.72999999998137</v>
      </c>
      <c r="H76" s="99">
        <f>G76+'12'!H76</f>
        <v>1485.0199999999895</v>
      </c>
      <c r="I76" s="154"/>
      <c r="J76" s="175">
        <f>H76/DAY(B2)</f>
        <v>114.23230769230689</v>
      </c>
      <c r="K76" s="69"/>
      <c r="L76" s="66"/>
      <c r="N76" s="87"/>
      <c r="O76" s="71"/>
    </row>
    <row r="77" spans="1:15" ht="27.75" customHeight="1">
      <c r="A77" s="916" t="s">
        <v>223</v>
      </c>
      <c r="B77" s="917"/>
      <c r="C77" s="918"/>
      <c r="D77" s="151" t="s">
        <v>139</v>
      </c>
      <c r="E77" s="95">
        <f>'12'!F77</f>
        <v>50905.599999999999</v>
      </c>
      <c r="F77" s="123">
        <v>50955.3</v>
      </c>
      <c r="G77" s="112">
        <f t="shared" si="7"/>
        <v>49.700000000004366</v>
      </c>
      <c r="H77" s="99">
        <f>G77+'12'!H77</f>
        <v>642.30000000000291</v>
      </c>
      <c r="I77" s="154"/>
      <c r="J77" s="175">
        <f>H77/DAY(B2)</f>
        <v>49.407692307692528</v>
      </c>
      <c r="K77" s="69"/>
      <c r="L77" s="66"/>
      <c r="N77" s="87"/>
      <c r="O77" s="71"/>
    </row>
    <row r="78" spans="1:15" ht="27.75" customHeight="1">
      <c r="A78" s="916" t="s">
        <v>224</v>
      </c>
      <c r="B78" s="917"/>
      <c r="C78" s="918"/>
      <c r="D78" s="151" t="s">
        <v>139</v>
      </c>
      <c r="E78" s="95">
        <f>'12'!F78</f>
        <v>9563</v>
      </c>
      <c r="F78" s="123">
        <v>9563</v>
      </c>
      <c r="G78" s="112">
        <f t="shared" si="7"/>
        <v>0</v>
      </c>
      <c r="H78" s="99">
        <f>G78+'12'!H78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16" t="s">
        <v>225</v>
      </c>
      <c r="B79" s="917"/>
      <c r="C79" s="918"/>
      <c r="D79" s="151"/>
      <c r="E79" s="95">
        <f>'12'!F79</f>
        <v>0</v>
      </c>
      <c r="F79" s="117"/>
      <c r="G79" s="112">
        <f>G15-SUM(G74:G78)</f>
        <v>553.59899999992194</v>
      </c>
      <c r="H79" s="99">
        <f>G79+'12'!H79</f>
        <v>7355.6189999999042</v>
      </c>
      <c r="I79" s="118"/>
      <c r="J79" s="175">
        <f>H79/DAY(B2)</f>
        <v>565.81684615383881</v>
      </c>
      <c r="K79" s="59"/>
      <c r="L79" s="58"/>
      <c r="N79" s="87"/>
      <c r="O79" s="71"/>
    </row>
    <row r="80" spans="1:15" s="57" customFormat="1" ht="27.75" customHeight="1">
      <c r="A80" s="928" t="s">
        <v>329</v>
      </c>
      <c r="B80" s="929"/>
      <c r="C80" s="930"/>
      <c r="D80" s="151"/>
      <c r="E80" s="117"/>
      <c r="F80" s="117"/>
      <c r="G80" s="112">
        <f>SUM(G74:G79)</f>
        <v>1094.0789999999106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71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71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42731</v>
      </c>
      <c r="F84" s="164">
        <v>42707</v>
      </c>
      <c r="G84" s="112">
        <f t="shared" si="8"/>
        <v>-24</v>
      </c>
      <c r="H84" s="99">
        <f>G84+'12'!H84</f>
        <v>118</v>
      </c>
      <c r="I84" s="571"/>
      <c r="J84" s="175">
        <f>H84/DAY(B2)</f>
        <v>9.0769230769230766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5196</v>
      </c>
      <c r="F85" s="164">
        <v>5220.4799999999996</v>
      </c>
      <c r="G85" s="112">
        <f t="shared" si="8"/>
        <v>24.479999999999563</v>
      </c>
      <c r="H85" s="99">
        <f>G85+'12'!H85</f>
        <v>80.289999999999964</v>
      </c>
      <c r="I85" s="571"/>
      <c r="J85" s="175">
        <f>H85/DAY(B2)</f>
        <v>6.1761538461538432</v>
      </c>
      <c r="N85" s="71"/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45632</v>
      </c>
      <c r="F86" s="164">
        <v>45633.4</v>
      </c>
      <c r="G86" s="112">
        <f t="shared" si="8"/>
        <v>1.4000000000014552</v>
      </c>
      <c r="H86" s="99">
        <f>G86+'12'!H86</f>
        <v>254.40000000000146</v>
      </c>
      <c r="I86" s="571"/>
      <c r="J86" s="175">
        <f>H86/DAY(B2)</f>
        <v>19.569230769230881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35457</v>
      </c>
      <c r="F87" s="164">
        <v>35457</v>
      </c>
      <c r="G87" s="112">
        <f t="shared" si="8"/>
        <v>0</v>
      </c>
      <c r="H87" s="99">
        <f>G87+'12'!H87</f>
        <v>-0.43000000000029104</v>
      </c>
      <c r="I87" s="553">
        <f>G84+G85+G86+G87</f>
        <v>1.8800000000010186</v>
      </c>
      <c r="J87" s="175">
        <f>H87/DAY(B2)</f>
        <v>-3.3076923076945465E-2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24318.959999999999</v>
      </c>
      <c r="F88" s="164">
        <v>24318.959999999999</v>
      </c>
      <c r="G88" s="112">
        <f t="shared" si="8"/>
        <v>0</v>
      </c>
      <c r="H88" s="99">
        <f>G88+'12'!H88</f>
        <v>15.5</v>
      </c>
      <c r="I88" s="553"/>
      <c r="J88" s="175">
        <f>H88/DAY(B2)</f>
        <v>1.1923076923076923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27661.03</v>
      </c>
      <c r="F89" s="164">
        <v>27669.56</v>
      </c>
      <c r="G89" s="112">
        <f t="shared" si="8"/>
        <v>8.5300000000024738</v>
      </c>
      <c r="H89" s="99">
        <f>G89+'12'!H89</f>
        <v>102.95000000000073</v>
      </c>
      <c r="I89" s="553">
        <f>G88+G89</f>
        <v>8.5300000000024738</v>
      </c>
      <c r="J89" s="175">
        <f>H89/DAY(B2)</f>
        <v>7.9192307692308255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72744</v>
      </c>
      <c r="F90" s="164">
        <v>72751.570000000007</v>
      </c>
      <c r="G90" s="112">
        <f t="shared" si="8"/>
        <v>7.5700000000069849</v>
      </c>
      <c r="H90" s="99">
        <f>G90+'12'!H90</f>
        <v>145.02000000000407</v>
      </c>
      <c r="I90" s="553">
        <f>G90</f>
        <v>7.5700000000069849</v>
      </c>
      <c r="J90" s="175">
        <f>H90/DAY(B2)</f>
        <v>11.155384615384929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4289.5600000000004</v>
      </c>
      <c r="F91" s="122">
        <v>4289.5</v>
      </c>
      <c r="G91" s="112">
        <f t="shared" si="8"/>
        <v>-6.0000000000400178E-2</v>
      </c>
      <c r="H91" s="99">
        <f>G91+'12'!H91</f>
        <v>-3.999999999996362E-2</v>
      </c>
      <c r="I91" s="612"/>
      <c r="J91" s="175">
        <f>H91/DAY(B2)</f>
        <v>-3.0769230769202784E-3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6850.01</v>
      </c>
      <c r="F92" s="122">
        <v>6861.24</v>
      </c>
      <c r="G92" s="112">
        <f t="shared" si="8"/>
        <v>11.229999999999563</v>
      </c>
      <c r="H92" s="99">
        <f>G92+'12'!H92</f>
        <v>143.90999999999985</v>
      </c>
      <c r="I92" s="613">
        <f>G91+G92</f>
        <v>11.169999999999163</v>
      </c>
      <c r="J92" s="175">
        <f>H92/DAY(B2)</f>
        <v>11.06999999999999</v>
      </c>
      <c r="O92" s="71"/>
    </row>
    <row r="93" spans="1:15" ht="27.75" customHeight="1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7430.0099999999511</v>
      </c>
      <c r="H94" s="99">
        <f>G94+'12'!H94</f>
        <v>92368.129999999946</v>
      </c>
      <c r="I94" s="118"/>
      <c r="J94" s="175">
        <f>H94/DAY(B2)</f>
        <v>7105.2407692307652</v>
      </c>
      <c r="K94" s="69"/>
      <c r="L94" s="66"/>
      <c r="O94" s="71"/>
    </row>
    <row r="95" spans="1:15" ht="27.75" customHeight="1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0.28358816793892944</v>
      </c>
      <c r="H95" s="99">
        <f>G95+'12'!H95</f>
        <v>3.5319846605337943</v>
      </c>
      <c r="I95" s="167"/>
      <c r="J95" s="175">
        <f>H95/DAY(B2)</f>
        <v>0.27169112773336879</v>
      </c>
      <c r="K95" s="69"/>
      <c r="L95" s="66"/>
      <c r="O95" s="71"/>
    </row>
    <row r="96" spans="1:15" ht="27.75" customHeight="1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7829.4999999999563</v>
      </c>
      <c r="H96" s="99">
        <f>G96+'12'!H96</f>
        <v>89925.499999999956</v>
      </c>
      <c r="I96" s="118"/>
      <c r="J96" s="175">
        <f>H96/DAY(B2)</f>
        <v>6917.3461538461506</v>
      </c>
      <c r="K96" s="69"/>
      <c r="L96" s="66"/>
      <c r="O96" s="71"/>
    </row>
    <row r="97" spans="1:15" ht="27.75" customHeight="1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0.29883587786259375</v>
      </c>
      <c r="H97" s="99">
        <f>G97+'12'!H97</f>
        <v>3.4317478989086894</v>
      </c>
      <c r="I97" s="167"/>
      <c r="J97" s="175">
        <f>H97/DAY(B2)</f>
        <v>0.26398060760836073</v>
      </c>
      <c r="K97" s="69"/>
      <c r="L97" s="66"/>
      <c r="O97" s="71"/>
    </row>
    <row r="98" spans="1:15" ht="27.75" customHeight="1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4623.9399999999441</v>
      </c>
      <c r="H98" s="99">
        <f>G98+'12'!H98</f>
        <v>57544.939999999944</v>
      </c>
      <c r="I98" s="168"/>
      <c r="J98" s="175">
        <f>H98/DAY(B2)</f>
        <v>4426.5338461538422</v>
      </c>
      <c r="K98" s="69"/>
      <c r="L98" s="66"/>
      <c r="O98" s="71"/>
    </row>
    <row r="99" spans="1:15" ht="27.75" customHeight="1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0.1764862595419826</v>
      </c>
      <c r="H99" s="99">
        <f>G99+'12'!H99</f>
        <v>2.198524847542596</v>
      </c>
      <c r="I99" s="168"/>
      <c r="J99" s="175">
        <f>H99/DAY(B2)</f>
        <v>0.16911729596481509</v>
      </c>
      <c r="O99" s="71"/>
    </row>
    <row r="100" spans="1:15" ht="27.75" customHeight="1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2296.9899999999907</v>
      </c>
      <c r="H100" s="99">
        <f>G100+'12'!H100</f>
        <v>29222.749999999993</v>
      </c>
      <c r="I100" s="118"/>
      <c r="J100" s="175">
        <f>H100/DAY(B2)</f>
        <v>2247.9038461538457</v>
      </c>
      <c r="K100" s="70"/>
      <c r="O100" s="71"/>
    </row>
    <row r="101" spans="1:15" ht="27.75" customHeight="1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8.7671374045801165E-2</v>
      </c>
      <c r="H101" s="99">
        <f>G101+'12'!H101</f>
        <v>1.116644740675889</v>
      </c>
      <c r="I101" s="168"/>
      <c r="J101" s="175">
        <f>H101/DAY(B2)</f>
        <v>8.5895749282760697E-2</v>
      </c>
      <c r="O101" s="71"/>
    </row>
    <row r="102" spans="1:15" ht="27.75" customHeight="1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1828.5100000000093</v>
      </c>
      <c r="H102" s="99">
        <f>G102+'12'!H102</f>
        <v>26819.859999999986</v>
      </c>
      <c r="I102" s="168"/>
      <c r="J102" s="175">
        <f>H102/DAY(B2)</f>
        <v>2063.0661538461527</v>
      </c>
      <c r="O102" s="71"/>
    </row>
    <row r="103" spans="1:15" ht="27.75" customHeight="1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6.9790458015267537E-2</v>
      </c>
      <c r="H103" s="99">
        <f>G103+'12'!H103</f>
        <v>1.0215662671983201</v>
      </c>
      <c r="I103" s="118"/>
      <c r="J103" s="175">
        <f>H103/DAY(B2)</f>
        <v>7.8582020553716936E-2</v>
      </c>
      <c r="O103" s="71"/>
    </row>
    <row r="104" spans="1:15" ht="27.75" customHeight="1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1045.9230000000025</v>
      </c>
      <c r="H104" s="99">
        <f>G104+'12'!H104</f>
        <v>14067.923000000003</v>
      </c>
      <c r="I104" s="118"/>
      <c r="J104" s="175">
        <f>H104/DAY(B2)</f>
        <v>1082.1479230769232</v>
      </c>
      <c r="O104" s="71"/>
    </row>
    <row r="105" spans="1:15" ht="27.75" customHeight="1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3.9920725190839793E-2</v>
      </c>
      <c r="H105" s="99">
        <f>G105+'12'!H105</f>
        <v>0.53760785503831732</v>
      </c>
      <c r="I105" s="187"/>
      <c r="J105" s="188">
        <f>H105/DAY(B2)</f>
        <v>4.1354450387562872E-2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7.75" customHeight="1">
      <c r="A109" s="936"/>
      <c r="B109" s="936"/>
    </row>
    <row r="110" spans="1:15" ht="27.75" customHeight="1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7.75" customHeight="1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98" t="s">
        <v>252</v>
      </c>
      <c r="B112" s="899"/>
      <c r="C112" s="900"/>
      <c r="D112" s="146" t="s">
        <v>183</v>
      </c>
      <c r="E112" s="95">
        <f>'12'!F112</f>
        <v>8134.2</v>
      </c>
      <c r="F112" s="237">
        <v>8208.17</v>
      </c>
      <c r="G112" s="112">
        <f t="shared" ref="G112:G123" si="9">F112-E112</f>
        <v>73.970000000000255</v>
      </c>
      <c r="H112" s="99">
        <f>G112+'12'!H112</f>
        <v>943.17000000000007</v>
      </c>
      <c r="I112" s="165"/>
      <c r="J112" s="328">
        <f>H112/DAY(B2)</f>
        <v>72.55153846153847</v>
      </c>
    </row>
    <row r="113" spans="1:18" ht="27.75" customHeight="1">
      <c r="A113" s="898" t="s">
        <v>253</v>
      </c>
      <c r="B113" s="899"/>
      <c r="C113" s="900"/>
      <c r="D113" s="146" t="s">
        <v>183</v>
      </c>
      <c r="E113" s="95">
        <f>'12'!F113</f>
        <v>16547</v>
      </c>
      <c r="F113" s="237">
        <v>16840.099999999999</v>
      </c>
      <c r="G113" s="112">
        <f t="shared" si="9"/>
        <v>293.09999999999854</v>
      </c>
      <c r="H113" s="99">
        <f>G113+'12'!H113</f>
        <v>1825.0999999999985</v>
      </c>
      <c r="I113" s="165"/>
      <c r="J113" s="328">
        <f>H113/DAY(B2)</f>
        <v>140.39230769230758</v>
      </c>
    </row>
    <row r="114" spans="1:18" ht="27.75" customHeight="1">
      <c r="A114" s="898" t="s">
        <v>254</v>
      </c>
      <c r="B114" s="899"/>
      <c r="C114" s="900"/>
      <c r="D114" s="146" t="s">
        <v>183</v>
      </c>
      <c r="E114" s="95">
        <f>'12'!F114</f>
        <v>23889</v>
      </c>
      <c r="F114" s="237">
        <v>24111.03</v>
      </c>
      <c r="G114" s="112">
        <f t="shared" si="9"/>
        <v>222.02999999999884</v>
      </c>
      <c r="H114" s="99">
        <f>G114+'12'!H114</f>
        <v>2843.0299999999988</v>
      </c>
      <c r="I114" s="165"/>
      <c r="J114" s="328">
        <f>H114/DAY(B2)</f>
        <v>218.6946153846153</v>
      </c>
    </row>
    <row r="115" spans="1:18" ht="27.75" customHeight="1">
      <c r="A115" s="898" t="s">
        <v>255</v>
      </c>
      <c r="B115" s="899"/>
      <c r="C115" s="900"/>
      <c r="D115" s="146" t="s">
        <v>183</v>
      </c>
      <c r="E115" s="95">
        <f>'12'!F115</f>
        <v>15187</v>
      </c>
      <c r="F115" s="237">
        <v>15310.83</v>
      </c>
      <c r="G115" s="112">
        <f t="shared" si="9"/>
        <v>123.82999999999993</v>
      </c>
      <c r="H115" s="99">
        <f>G115+'12'!H115</f>
        <v>1735.3500000000004</v>
      </c>
      <c r="I115" s="165"/>
      <c r="J115" s="328">
        <f>H115/DAY(B2)</f>
        <v>133.48846153846156</v>
      </c>
    </row>
    <row r="116" spans="1:18" ht="27.75" customHeight="1">
      <c r="A116" s="905" t="s">
        <v>96</v>
      </c>
      <c r="B116" s="906"/>
      <c r="C116" s="907"/>
      <c r="D116" s="146" t="s">
        <v>183</v>
      </c>
      <c r="E116" s="95">
        <f>'12'!F116</f>
        <v>75371</v>
      </c>
      <c r="F116" s="237">
        <v>75868.899999999994</v>
      </c>
      <c r="G116" s="112">
        <f t="shared" si="9"/>
        <v>497.89999999999418</v>
      </c>
      <c r="H116" s="99">
        <f>G116+'12'!H116</f>
        <v>5376.8999999999942</v>
      </c>
      <c r="I116" s="165"/>
      <c r="J116" s="328">
        <f>H116/DAY(B2)</f>
        <v>413.60769230769188</v>
      </c>
      <c r="Q116" s="898"/>
      <c r="R116" s="900"/>
    </row>
    <row r="117" spans="1:18" ht="27.75" customHeight="1">
      <c r="A117" s="905" t="s">
        <v>184</v>
      </c>
      <c r="B117" s="906"/>
      <c r="C117" s="907"/>
      <c r="D117" s="146" t="s">
        <v>183</v>
      </c>
      <c r="E117" s="95">
        <f>'12'!F117</f>
        <v>43670</v>
      </c>
      <c r="F117" s="237">
        <v>43961.16</v>
      </c>
      <c r="G117" s="112">
        <f t="shared" si="9"/>
        <v>291.16000000000349</v>
      </c>
      <c r="H117" s="99">
        <f>G117+'12'!H117</f>
        <v>3039.1600000000035</v>
      </c>
      <c r="I117" s="165"/>
      <c r="J117" s="328">
        <f>H117/DAY(B2)</f>
        <v>233.78153846153873</v>
      </c>
      <c r="Q117" s="898"/>
      <c r="R117" s="900"/>
    </row>
    <row r="118" spans="1:18" ht="27.75" customHeight="1">
      <c r="A118" s="897" t="s">
        <v>97</v>
      </c>
      <c r="B118" s="897"/>
      <c r="C118" s="897"/>
      <c r="D118" s="151" t="s">
        <v>183</v>
      </c>
      <c r="E118" s="95">
        <f>'12'!F118</f>
        <v>71915</v>
      </c>
      <c r="F118" s="417">
        <v>72535</v>
      </c>
      <c r="G118" s="112">
        <f t="shared" si="9"/>
        <v>620</v>
      </c>
      <c r="H118" s="99">
        <f>G118+'12'!H118</f>
        <v>7863</v>
      </c>
      <c r="I118" s="165"/>
      <c r="J118" s="328">
        <f>H118/DAY(B2)</f>
        <v>604.84615384615381</v>
      </c>
      <c r="Q118" s="898"/>
      <c r="R118" s="900"/>
    </row>
    <row r="119" spans="1:18" ht="27.75" customHeight="1">
      <c r="A119" s="897" t="s">
        <v>98</v>
      </c>
      <c r="B119" s="897"/>
      <c r="C119" s="897"/>
      <c r="D119" s="151" t="s">
        <v>183</v>
      </c>
      <c r="E119" s="95">
        <f>'12'!F119</f>
        <v>40275</v>
      </c>
      <c r="F119" s="237">
        <v>40516.5</v>
      </c>
      <c r="G119" s="112">
        <f t="shared" si="9"/>
        <v>241.5</v>
      </c>
      <c r="H119" s="99">
        <f>G119+'12'!H119</f>
        <v>3067.5</v>
      </c>
      <c r="I119" s="165"/>
      <c r="J119" s="328">
        <f>H119/DAY(B2)</f>
        <v>235.96153846153845</v>
      </c>
    </row>
    <row r="120" spans="1:18" ht="27.75" customHeight="1">
      <c r="A120" s="897" t="s">
        <v>99</v>
      </c>
      <c r="B120" s="897"/>
      <c r="C120" s="897"/>
      <c r="D120" s="151" t="s">
        <v>183</v>
      </c>
      <c r="E120" s="95">
        <f>'12'!F120</f>
        <v>51239</v>
      </c>
      <c r="F120" s="237">
        <v>51674.3</v>
      </c>
      <c r="G120" s="112">
        <f t="shared" si="9"/>
        <v>435.30000000000291</v>
      </c>
      <c r="H120" s="99">
        <f>G120+'12'!H120</f>
        <v>5407.3000000000029</v>
      </c>
      <c r="I120" s="165"/>
      <c r="J120" s="328">
        <f>H120/DAY(B2)</f>
        <v>415.94615384615406</v>
      </c>
    </row>
    <row r="121" spans="1:18" ht="27.75" customHeight="1">
      <c r="A121" s="897" t="s">
        <v>100</v>
      </c>
      <c r="B121" s="897"/>
      <c r="C121" s="897"/>
      <c r="D121" s="151" t="s">
        <v>183</v>
      </c>
      <c r="E121" s="95">
        <f>'12'!F121</f>
        <v>59264</v>
      </c>
      <c r="F121" s="237">
        <v>59738.5</v>
      </c>
      <c r="G121" s="112">
        <f t="shared" si="9"/>
        <v>474.5</v>
      </c>
      <c r="H121" s="99">
        <f>G121+'12'!H121</f>
        <v>6195.5</v>
      </c>
      <c r="I121" s="165"/>
      <c r="J121" s="328">
        <f>H121/DAY(B2)</f>
        <v>476.57692307692309</v>
      </c>
    </row>
    <row r="122" spans="1:18" ht="27.75" customHeight="1">
      <c r="A122" s="897" t="s">
        <v>101</v>
      </c>
      <c r="B122" s="897"/>
      <c r="C122" s="897"/>
      <c r="D122" s="151" t="s">
        <v>183</v>
      </c>
      <c r="E122" s="95">
        <f>'12'!F122</f>
        <v>32390</v>
      </c>
      <c r="F122" s="237">
        <v>32732.12</v>
      </c>
      <c r="G122" s="112">
        <f t="shared" si="9"/>
        <v>342.11999999999898</v>
      </c>
      <c r="H122" s="99">
        <f>G122+'12'!H122</f>
        <v>4058.119999999999</v>
      </c>
      <c r="I122" s="165"/>
      <c r="J122" s="328">
        <f>H122/DAY(B2)</f>
        <v>312.16307692307686</v>
      </c>
    </row>
    <row r="123" spans="1:18" ht="27.75" customHeight="1">
      <c r="A123" s="897" t="s">
        <v>102</v>
      </c>
      <c r="B123" s="897"/>
      <c r="C123" s="897"/>
      <c r="D123" s="151" t="s">
        <v>183</v>
      </c>
      <c r="E123" s="95">
        <f>'12'!F123</f>
        <v>34120</v>
      </c>
      <c r="F123" s="237">
        <v>34451.11</v>
      </c>
      <c r="G123" s="112">
        <f t="shared" si="9"/>
        <v>331.11000000000058</v>
      </c>
      <c r="H123" s="99">
        <f>G123+'12'!H123</f>
        <v>4263.1100000000006</v>
      </c>
      <c r="I123" s="165"/>
      <c r="J123" s="328">
        <f>H123/DAY(B2)</f>
        <v>327.93153846153848</v>
      </c>
    </row>
    <row r="124" spans="1:18" ht="27.75" customHeight="1">
      <c r="A124" s="902"/>
      <c r="B124" s="903"/>
      <c r="C124" s="904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880" t="s">
        <v>196</v>
      </c>
      <c r="B125" s="881"/>
      <c r="C125" s="245"/>
      <c r="D125" s="307"/>
      <c r="E125" s="308"/>
      <c r="F125" s="308"/>
      <c r="G125" s="309">
        <f>SUM(G112:G124)</f>
        <v>3946.5199999999977</v>
      </c>
      <c r="H125" s="156"/>
      <c r="I125" s="327">
        <f>G125-(G39+G53)</f>
        <v>-677.41999999994641</v>
      </c>
      <c r="J125" s="327"/>
    </row>
    <row r="126" spans="1:18" ht="27.75" customHeight="1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7.75" customHeight="1">
      <c r="A127" s="885"/>
      <c r="B127" s="885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898" t="s">
        <v>318</v>
      </c>
      <c r="B128" s="899"/>
      <c r="C128" s="900"/>
      <c r="D128" s="151" t="s">
        <v>183</v>
      </c>
      <c r="E128" s="95">
        <f>'12'!F128</f>
        <v>134033</v>
      </c>
      <c r="F128" s="165">
        <v>134586.37</v>
      </c>
      <c r="G128" s="112">
        <f t="shared" ref="G128:G134" si="10">F128-E128</f>
        <v>553.36999999999534</v>
      </c>
      <c r="H128" s="99">
        <f>G128+'12'!H128</f>
        <v>6942.3699999999953</v>
      </c>
      <c r="I128" s="165"/>
      <c r="J128" s="328">
        <f>H128/DAY(B2)</f>
        <v>534.02846153846122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74872</v>
      </c>
      <c r="F129" s="165">
        <v>75046.259999999995</v>
      </c>
      <c r="G129" s="112">
        <f t="shared" si="10"/>
        <v>174.25999999999476</v>
      </c>
      <c r="H129" s="99">
        <f>G129+'12'!H129</f>
        <v>2543.2599999999948</v>
      </c>
      <c r="I129" s="165"/>
      <c r="J129" s="328">
        <f>H129/DAY(B2)</f>
        <v>195.63538461538423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172869</v>
      </c>
      <c r="F130" s="165">
        <v>173582</v>
      </c>
      <c r="G130" s="112">
        <f t="shared" si="10"/>
        <v>713</v>
      </c>
      <c r="H130" s="99">
        <f>G130+'12'!H130</f>
        <v>8446.4799999999814</v>
      </c>
      <c r="I130" s="165"/>
      <c r="J130" s="328">
        <f>H130/DAY(B2)</f>
        <v>649.72923076922939</v>
      </c>
      <c r="N130" s="240"/>
      <c r="O130" s="241"/>
    </row>
    <row r="131" spans="1:15" ht="27.75" customHeight="1">
      <c r="A131" s="898" t="s">
        <v>321</v>
      </c>
      <c r="B131" s="899"/>
      <c r="C131" s="900"/>
      <c r="D131" s="151" t="s">
        <v>183</v>
      </c>
      <c r="E131" s="95">
        <f>'12'!F131</f>
        <v>50809</v>
      </c>
      <c r="F131" s="165">
        <v>50969.25</v>
      </c>
      <c r="G131" s="112">
        <f t="shared" si="10"/>
        <v>160.25</v>
      </c>
      <c r="H131" s="99">
        <f>G131+'12'!H131</f>
        <v>2520.25</v>
      </c>
      <c r="I131" s="165"/>
      <c r="J131" s="328">
        <f>H131/DAY(B2)</f>
        <v>193.86538461538461</v>
      </c>
      <c r="N131" s="240"/>
      <c r="O131" s="241"/>
    </row>
    <row r="132" spans="1:15" ht="27.75" customHeight="1">
      <c r="A132" s="898" t="s">
        <v>322</v>
      </c>
      <c r="B132" s="899"/>
      <c r="C132" s="900"/>
      <c r="D132" s="151" t="s">
        <v>183</v>
      </c>
      <c r="E132" s="95">
        <f>'12'!F132</f>
        <v>133052</v>
      </c>
      <c r="F132" s="165">
        <v>133475.94</v>
      </c>
      <c r="G132" s="112">
        <f t="shared" si="10"/>
        <v>423.94000000000233</v>
      </c>
      <c r="H132" s="99">
        <f>G132+'12'!H132</f>
        <v>5301.9400000000023</v>
      </c>
      <c r="I132" s="165"/>
      <c r="J132" s="328">
        <f>H132/DAY(B2)</f>
        <v>407.84153846153862</v>
      </c>
    </row>
    <row r="133" spans="1:15" ht="27.75" customHeight="1">
      <c r="A133" s="898" t="s">
        <v>359</v>
      </c>
      <c r="B133" s="899"/>
      <c r="C133" s="900"/>
      <c r="D133" s="151" t="s">
        <v>183</v>
      </c>
      <c r="E133" s="95">
        <v>222404.57</v>
      </c>
      <c r="F133" s="165">
        <v>224913.65</v>
      </c>
      <c r="G133" s="112">
        <f t="shared" si="10"/>
        <v>2509.0799999999872</v>
      </c>
      <c r="H133" s="99">
        <f>G133+'12'!H133</f>
        <v>2509.0799999999872</v>
      </c>
      <c r="I133" s="165"/>
      <c r="J133" s="328">
        <f>H133/DAY(B2)</f>
        <v>193.00615384615287</v>
      </c>
    </row>
    <row r="134" spans="1:15" ht="27.75" customHeight="1">
      <c r="A134" s="898" t="s">
        <v>340</v>
      </c>
      <c r="B134" s="899"/>
      <c r="C134" s="900"/>
      <c r="D134" s="151" t="s">
        <v>183</v>
      </c>
      <c r="E134" s="95">
        <f>'12'!F134</f>
        <v>51555</v>
      </c>
      <c r="F134" s="165">
        <v>51778.3</v>
      </c>
      <c r="G134" s="112">
        <f t="shared" si="10"/>
        <v>223.30000000000291</v>
      </c>
      <c r="H134" s="99">
        <f>G134+'12'!H134</f>
        <v>2743.3000000000029</v>
      </c>
      <c r="I134" s="165"/>
      <c r="J134" s="328">
        <f>H134/DAY(B2)</f>
        <v>211.02307692307716</v>
      </c>
    </row>
    <row r="135" spans="1:15" ht="27.75" customHeight="1">
      <c r="A135" s="880" t="s">
        <v>196</v>
      </c>
      <c r="B135" s="881"/>
      <c r="C135" s="331"/>
      <c r="D135" s="151"/>
      <c r="E135" s="95"/>
      <c r="F135" s="165"/>
      <c r="G135" s="112">
        <f>SUM(G128:G134)</f>
        <v>4757.1999999999825</v>
      </c>
      <c r="H135" s="99">
        <f>G135+'12'!H135</f>
        <v>28810.169999999969</v>
      </c>
      <c r="I135" s="327">
        <f>G135-(G35+G49)</f>
        <v>581.44000000003143</v>
      </c>
      <c r="J135" s="328">
        <f>H135/DAY(B2)</f>
        <v>2216.1669230769207</v>
      </c>
    </row>
    <row r="136" spans="1:15" ht="27.75" customHeight="1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97" t="s">
        <v>185</v>
      </c>
      <c r="B138" s="897"/>
      <c r="C138" s="897"/>
      <c r="D138" s="151" t="s">
        <v>183</v>
      </c>
      <c r="E138" s="95">
        <f>'12'!F138</f>
        <v>892731</v>
      </c>
      <c r="F138" s="148">
        <v>892918</v>
      </c>
      <c r="G138" s="112">
        <f t="shared" ref="G138:G152" si="11">F138-E138</f>
        <v>187</v>
      </c>
      <c r="H138" s="99">
        <f>G138+'12'!H138</f>
        <v>1807</v>
      </c>
      <c r="I138" s="118"/>
      <c r="J138" s="328">
        <f>H138/DAY(B2)</f>
        <v>139</v>
      </c>
    </row>
    <row r="139" spans="1:15" ht="27.75" customHeight="1">
      <c r="A139" s="897" t="s">
        <v>186</v>
      </c>
      <c r="B139" s="897"/>
      <c r="C139" s="897"/>
      <c r="D139" s="151" t="s">
        <v>183</v>
      </c>
      <c r="E139" s="95">
        <f>'12'!F139</f>
        <v>910771</v>
      </c>
      <c r="F139" s="148">
        <v>910891</v>
      </c>
      <c r="G139" s="112">
        <f t="shared" si="11"/>
        <v>120</v>
      </c>
      <c r="H139" s="99">
        <f>G139+'12'!H139</f>
        <v>1996</v>
      </c>
      <c r="I139" s="118"/>
      <c r="J139" s="328">
        <f>H139/DAY(B2)</f>
        <v>153.53846153846155</v>
      </c>
    </row>
    <row r="140" spans="1:15" ht="27.75" customHeight="1">
      <c r="A140" s="897" t="s">
        <v>187</v>
      </c>
      <c r="B140" s="897"/>
      <c r="C140" s="897"/>
      <c r="D140" s="151" t="s">
        <v>183</v>
      </c>
      <c r="E140" s="95">
        <f>'12'!F140</f>
        <v>1687.36</v>
      </c>
      <c r="F140" s="149">
        <v>1702.65</v>
      </c>
      <c r="G140" s="112">
        <f t="shared" si="11"/>
        <v>15.290000000000191</v>
      </c>
      <c r="H140" s="99">
        <f>G140+'12'!H140</f>
        <v>189.65000000000009</v>
      </c>
      <c r="I140" s="118"/>
      <c r="J140" s="328">
        <f>H140/DAY(B2)</f>
        <v>14.588461538461546</v>
      </c>
    </row>
    <row r="141" spans="1:15" ht="27.75" customHeight="1">
      <c r="A141" s="876" t="s">
        <v>188</v>
      </c>
      <c r="B141" s="876"/>
      <c r="C141" s="876"/>
      <c r="D141" s="151" t="s">
        <v>183</v>
      </c>
      <c r="E141" s="95">
        <f>'12'!F141</f>
        <v>92805.53</v>
      </c>
      <c r="F141" s="149">
        <v>93017.75</v>
      </c>
      <c r="G141" s="112">
        <f t="shared" si="11"/>
        <v>212.22000000000116</v>
      </c>
      <c r="H141" s="99">
        <f>G141+'12'!H141</f>
        <v>2565.75</v>
      </c>
      <c r="I141" s="118"/>
      <c r="J141" s="328">
        <f>H141/DAY(B2)</f>
        <v>197.36538461538461</v>
      </c>
    </row>
    <row r="142" spans="1:15" ht="27.75" customHeight="1">
      <c r="A142" s="876" t="s">
        <v>189</v>
      </c>
      <c r="B142" s="876"/>
      <c r="C142" s="876"/>
      <c r="D142" s="151" t="s">
        <v>183</v>
      </c>
      <c r="E142" s="95">
        <f>'12'!F142</f>
        <v>37649.019999999997</v>
      </c>
      <c r="F142" s="148">
        <v>37717.68</v>
      </c>
      <c r="G142" s="112">
        <f t="shared" si="11"/>
        <v>68.660000000003492</v>
      </c>
      <c r="H142" s="99">
        <f>G142+'12'!H142</f>
        <v>1056.6800000000003</v>
      </c>
      <c r="I142" s="140"/>
      <c r="J142" s="328">
        <f>H142/DAY(B2)</f>
        <v>81.283076923076948</v>
      </c>
    </row>
    <row r="143" spans="1:15" ht="27.75" customHeight="1">
      <c r="A143" s="897" t="s">
        <v>91</v>
      </c>
      <c r="B143" s="897"/>
      <c r="C143" s="897"/>
      <c r="D143" s="151" t="s">
        <v>183</v>
      </c>
      <c r="E143" s="95">
        <f>'12'!F143</f>
        <v>9371.44</v>
      </c>
      <c r="F143" s="149">
        <v>9392.39</v>
      </c>
      <c r="G143" s="112">
        <f t="shared" si="11"/>
        <v>20.949999999998909</v>
      </c>
      <c r="H143" s="99">
        <f>G143+'12'!H143</f>
        <v>341.38999999999942</v>
      </c>
      <c r="I143" s="140"/>
      <c r="J143" s="328">
        <f>H143/DAY(B2)</f>
        <v>26.260769230769185</v>
      </c>
    </row>
    <row r="144" spans="1:15" ht="27.75" customHeight="1">
      <c r="A144" s="876" t="s">
        <v>90</v>
      </c>
      <c r="B144" s="876"/>
      <c r="C144" s="876"/>
      <c r="D144" s="151" t="s">
        <v>183</v>
      </c>
      <c r="E144" s="95">
        <f>'12'!F144</f>
        <v>922486</v>
      </c>
      <c r="F144" s="148">
        <v>922701</v>
      </c>
      <c r="G144" s="112">
        <f t="shared" si="11"/>
        <v>215</v>
      </c>
      <c r="H144" s="99">
        <f>G144+'12'!H144</f>
        <v>2864</v>
      </c>
      <c r="I144" s="140"/>
      <c r="J144" s="328">
        <f>H144/DAY(B2)</f>
        <v>220.30769230769232</v>
      </c>
    </row>
    <row r="145" spans="1:10" ht="27.75" customHeight="1">
      <c r="A145" s="897" t="s">
        <v>190</v>
      </c>
      <c r="B145" s="897"/>
      <c r="C145" s="897"/>
      <c r="D145" s="152" t="s">
        <v>183</v>
      </c>
      <c r="E145" s="95">
        <f>'12'!F145</f>
        <v>6181.14</v>
      </c>
      <c r="F145" s="149">
        <v>6203.4</v>
      </c>
      <c r="G145" s="112">
        <f t="shared" si="11"/>
        <v>22.259999999999309</v>
      </c>
      <c r="H145" s="99">
        <f>G145+'12'!H145</f>
        <v>396.39999999999964</v>
      </c>
      <c r="I145" s="140"/>
      <c r="J145" s="328">
        <f>H145/DAY(B2)</f>
        <v>30.492307692307666</v>
      </c>
    </row>
    <row r="146" spans="1:10" ht="27.75" customHeight="1">
      <c r="A146" s="932" t="s">
        <v>191</v>
      </c>
      <c r="B146" s="917"/>
      <c r="C146" s="918"/>
      <c r="D146" s="152" t="s">
        <v>183</v>
      </c>
      <c r="E146" s="95">
        <f>'12'!F146</f>
        <v>781760</v>
      </c>
      <c r="F146" s="148">
        <v>781845</v>
      </c>
      <c r="G146" s="112">
        <f t="shared" si="11"/>
        <v>85</v>
      </c>
      <c r="H146" s="99">
        <f>G146+'12'!H146</f>
        <v>1045</v>
      </c>
      <c r="I146" s="140"/>
      <c r="J146" s="328">
        <f>H146/DAY(B2)</f>
        <v>80.384615384615387</v>
      </c>
    </row>
    <row r="147" spans="1:10" ht="27.75" customHeight="1">
      <c r="A147" s="876" t="s">
        <v>192</v>
      </c>
      <c r="B147" s="876"/>
      <c r="C147" s="876"/>
      <c r="D147" s="152" t="s">
        <v>183</v>
      </c>
      <c r="E147" s="95">
        <f>'12'!F147</f>
        <v>704409.59999999998</v>
      </c>
      <c r="F147" s="148">
        <v>704779.12</v>
      </c>
      <c r="G147" s="112">
        <f t="shared" si="11"/>
        <v>369.52000000001863</v>
      </c>
      <c r="H147" s="99">
        <f>G147+'12'!H147</f>
        <v>5010.1199999999953</v>
      </c>
      <c r="I147" s="140"/>
      <c r="J147" s="328">
        <f>H147/DAY(B2)</f>
        <v>385.3938461538458</v>
      </c>
    </row>
    <row r="148" spans="1:10" ht="27.75" customHeight="1">
      <c r="A148" s="877" t="s">
        <v>193</v>
      </c>
      <c r="B148" s="878"/>
      <c r="C148" s="879"/>
      <c r="D148" s="123" t="s">
        <v>130</v>
      </c>
      <c r="E148" s="95">
        <f>'12'!F148</f>
        <v>752230.56</v>
      </c>
      <c r="F148" s="150">
        <v>752516.64</v>
      </c>
      <c r="G148" s="112">
        <f t="shared" si="11"/>
        <v>286.07999999995809</v>
      </c>
      <c r="H148" s="99">
        <f>G148+'12'!H148</f>
        <v>3986.640000000014</v>
      </c>
      <c r="I148" s="124"/>
      <c r="J148" s="328">
        <f>H148/DAY(B2)</f>
        <v>306.66461538461647</v>
      </c>
    </row>
    <row r="149" spans="1:10" ht="27.75" customHeight="1">
      <c r="A149" s="877" t="s">
        <v>336</v>
      </c>
      <c r="B149" s="878"/>
      <c r="C149" s="879"/>
      <c r="D149" s="227" t="s">
        <v>130</v>
      </c>
      <c r="E149" s="95">
        <f>'12'!F149</f>
        <v>138116.56</v>
      </c>
      <c r="F149" s="767">
        <v>138564.12</v>
      </c>
      <c r="G149" s="112">
        <f t="shared" si="11"/>
        <v>447.55999999999767</v>
      </c>
      <c r="H149" s="99">
        <f>G149+'12'!H149</f>
        <v>6130.1199999999953</v>
      </c>
      <c r="I149" s="119"/>
      <c r="J149" s="328">
        <f>H149/DAY(B2)</f>
        <v>471.54769230769193</v>
      </c>
    </row>
    <row r="150" spans="1:10" ht="27.75" customHeight="1">
      <c r="A150" s="877" t="s">
        <v>337</v>
      </c>
      <c r="B150" s="878"/>
      <c r="C150" s="879"/>
      <c r="D150" s="117" t="s">
        <v>130</v>
      </c>
      <c r="E150" s="95">
        <f>'12'!F150</f>
        <v>53303.89</v>
      </c>
      <c r="F150" s="767">
        <v>53534.78</v>
      </c>
      <c r="G150" s="112">
        <f t="shared" si="11"/>
        <v>230.88999999999942</v>
      </c>
      <c r="H150" s="99">
        <f>G150+'12'!H150</f>
        <v>2919.7799999999988</v>
      </c>
      <c r="I150" s="119"/>
      <c r="J150" s="328">
        <f>H150/DAY(B2)</f>
        <v>224.59846153846144</v>
      </c>
    </row>
    <row r="151" spans="1:10" ht="27.75" customHeight="1">
      <c r="A151" s="877" t="s">
        <v>338</v>
      </c>
      <c r="B151" s="878"/>
      <c r="C151" s="879"/>
      <c r="D151" s="117" t="s">
        <v>130</v>
      </c>
      <c r="E151" s="95">
        <f>'12'!F151</f>
        <v>138860</v>
      </c>
      <c r="F151" s="767">
        <v>139190</v>
      </c>
      <c r="G151" s="112">
        <f t="shared" si="11"/>
        <v>330</v>
      </c>
      <c r="H151" s="99">
        <f>G151+'12'!H151</f>
        <v>3741</v>
      </c>
      <c r="I151" s="119"/>
      <c r="J151" s="328">
        <f>H151/DAY(B2)</f>
        <v>287.76923076923077</v>
      </c>
    </row>
    <row r="152" spans="1:10" ht="27.75" customHeight="1">
      <c r="A152" s="877" t="s">
        <v>339</v>
      </c>
      <c r="B152" s="878"/>
      <c r="C152" s="879"/>
      <c r="D152" s="117" t="s">
        <v>130</v>
      </c>
      <c r="E152" s="95">
        <f>'12'!F152</f>
        <v>24456</v>
      </c>
      <c r="F152" s="767">
        <v>24456</v>
      </c>
      <c r="G152" s="112">
        <f t="shared" si="11"/>
        <v>0</v>
      </c>
      <c r="H152" s="99">
        <f>G152+'12'!H152</f>
        <v>1302</v>
      </c>
      <c r="I152" s="119"/>
      <c r="J152" s="328">
        <f>H152/DAY(B2)</f>
        <v>100.15384615384616</v>
      </c>
    </row>
    <row r="153" spans="1:10" ht="27.75" customHeight="1">
      <c r="A153" s="880" t="s">
        <v>196</v>
      </c>
      <c r="B153" s="881"/>
      <c r="C153" s="365"/>
      <c r="D153" s="358"/>
      <c r="E153" s="360"/>
      <c r="F153" s="361"/>
      <c r="G153" s="362">
        <f>SUM(G138:G152)</f>
        <v>2610.4299999999766</v>
      </c>
      <c r="H153" s="363"/>
      <c r="I153" s="119">
        <f>G153-(G38+G52)</f>
        <v>313.43999999998596</v>
      </c>
      <c r="J153" s="366"/>
    </row>
    <row r="154" spans="1:10" ht="27.75" customHeight="1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 customHeight="1">
      <c r="A155" s="876" t="s">
        <v>345</v>
      </c>
      <c r="B155" s="876"/>
      <c r="C155" s="876"/>
      <c r="D155" s="117" t="s">
        <v>130</v>
      </c>
      <c r="E155" s="374">
        <f>'12'!F155</f>
        <v>156001.35999999999</v>
      </c>
      <c r="F155" s="374">
        <f>E155+N155</f>
        <v>156001.35999999999</v>
      </c>
      <c r="G155" s="112">
        <f t="shared" ref="G155:G158" si="12">F155-E155</f>
        <v>0</v>
      </c>
      <c r="H155" s="99">
        <f>G155+'12'!H155</f>
        <v>7852.359999999986</v>
      </c>
      <c r="I155" s="364"/>
      <c r="J155" s="328">
        <f>H155/DAY(B2)</f>
        <v>604.02769230769127</v>
      </c>
    </row>
    <row r="156" spans="1:10" ht="27.75" customHeight="1">
      <c r="A156" s="876" t="s">
        <v>347</v>
      </c>
      <c r="B156" s="876"/>
      <c r="C156" s="876"/>
      <c r="D156" s="117" t="s">
        <v>130</v>
      </c>
      <c r="E156" s="374">
        <f>'12'!F156</f>
        <v>15940.47</v>
      </c>
      <c r="F156" s="374">
        <f t="shared" ref="F156:F158" si="13">E156+N156</f>
        <v>15940.47</v>
      </c>
      <c r="G156" s="112">
        <f t="shared" si="12"/>
        <v>0</v>
      </c>
      <c r="H156" s="99">
        <f>G156+'12'!H156</f>
        <v>1206.4699999999993</v>
      </c>
      <c r="I156" s="165"/>
      <c r="J156" s="328">
        <f>H156/DAY(B2)</f>
        <v>92.805384615384568</v>
      </c>
    </row>
    <row r="157" spans="1:10" ht="27.75" customHeight="1">
      <c r="A157" s="877" t="s">
        <v>360</v>
      </c>
      <c r="B157" s="878"/>
      <c r="C157" s="879"/>
      <c r="D157" s="117" t="s">
        <v>130</v>
      </c>
      <c r="E157" s="374">
        <f>'12'!F157</f>
        <v>29192.92</v>
      </c>
      <c r="F157" s="374">
        <f t="shared" si="13"/>
        <v>29192.92</v>
      </c>
      <c r="G157" s="112">
        <f t="shared" si="12"/>
        <v>0</v>
      </c>
      <c r="H157" s="99">
        <f>G157+'12'!H157</f>
        <v>1746.9199999999983</v>
      </c>
      <c r="I157" s="165"/>
      <c r="J157" s="328">
        <f>H157/DAY(B2)</f>
        <v>134.37846153846141</v>
      </c>
    </row>
    <row r="158" spans="1:10" ht="27.75" customHeight="1">
      <c r="A158" s="877" t="s">
        <v>361</v>
      </c>
      <c r="B158" s="878"/>
      <c r="C158" s="879"/>
      <c r="D158" s="117" t="s">
        <v>130</v>
      </c>
      <c r="E158" s="374">
        <f>'12'!F158</f>
        <v>240.55</v>
      </c>
      <c r="F158" s="374">
        <f t="shared" si="13"/>
        <v>240.55</v>
      </c>
      <c r="G158" s="112">
        <f t="shared" si="12"/>
        <v>0</v>
      </c>
      <c r="H158" s="99">
        <f>G158+'12'!H158</f>
        <v>152.13</v>
      </c>
      <c r="I158" s="165"/>
      <c r="J158" s="328">
        <f>H158/DAY(B2)</f>
        <v>11.702307692307691</v>
      </c>
    </row>
    <row r="159" spans="1:10" ht="27.75" customHeight="1">
      <c r="A159" s="962"/>
      <c r="B159" s="963"/>
      <c r="C159" s="964"/>
      <c r="D159" s="117"/>
      <c r="E159" s="95"/>
      <c r="F159" s="165"/>
      <c r="G159" s="362">
        <f>SUM(G155:G158)</f>
        <v>0</v>
      </c>
      <c r="H159" s="99"/>
      <c r="I159" s="165"/>
      <c r="J159" s="328"/>
    </row>
    <row r="160" spans="1:10" ht="27.75" customHeight="1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480400.08</v>
      </c>
      <c r="F161" s="235">
        <v>480446.68</v>
      </c>
      <c r="G161" s="238">
        <f t="shared" ref="G161:G165" si="14">F161-E161</f>
        <v>46.599999999976717</v>
      </c>
      <c r="H161" s="99">
        <f>G161+'12'!H161</f>
        <v>393.67999999999302</v>
      </c>
      <c r="I161" s="236"/>
      <c r="J161" s="239">
        <f>H161/DAY(B2)</f>
        <v>30.283076923076386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95458</v>
      </c>
      <c r="F162" s="235">
        <v>95469.6</v>
      </c>
      <c r="G162" s="238">
        <f t="shared" si="14"/>
        <v>11.600000000005821</v>
      </c>
      <c r="H162" s="99">
        <f>G162+'12'!H162</f>
        <v>541.60000000000582</v>
      </c>
      <c r="I162" s="236"/>
      <c r="J162" s="239">
        <f>H162/DAY(B2)</f>
        <v>41.66153846153891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7870</v>
      </c>
      <c r="F163" s="235">
        <v>8053.8</v>
      </c>
      <c r="G163" s="238">
        <f t="shared" si="14"/>
        <v>183.80000000000018</v>
      </c>
      <c r="H163" s="99">
        <f>G163+'12'!H163</f>
        <v>1552.8000000000002</v>
      </c>
      <c r="I163" s="236"/>
      <c r="J163" s="239">
        <f>H163/DAY(B2)</f>
        <v>119.44615384615386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6310</v>
      </c>
      <c r="F164" s="235">
        <v>6315.9</v>
      </c>
      <c r="G164" s="238">
        <f t="shared" si="14"/>
        <v>5.8999999999996362</v>
      </c>
      <c r="H164" s="99">
        <f>G164+'12'!H164</f>
        <v>35.899999999999636</v>
      </c>
      <c r="I164" s="236"/>
      <c r="J164" s="239">
        <f>H164/DAY(B2)</f>
        <v>2.7615384615384335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31737.19</v>
      </c>
      <c r="F165" s="235">
        <v>31738.21</v>
      </c>
      <c r="G165" s="238">
        <f t="shared" si="14"/>
        <v>1.0200000000004366</v>
      </c>
      <c r="H165" s="99">
        <f>G165+'12'!H165</f>
        <v>104.20999999999913</v>
      </c>
      <c r="I165" s="236"/>
      <c r="J165" s="239">
        <f>H165/DAY(B2)</f>
        <v>8.0161538461537791</v>
      </c>
    </row>
    <row r="166" spans="1:10" ht="27.75" customHeight="1">
      <c r="A166" s="885"/>
      <c r="B166" s="885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885"/>
      <c r="B167" s="885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885"/>
      <c r="B168" s="885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7.75" customHeight="1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91" t="s">
        <v>209</v>
      </c>
      <c r="B173" s="892"/>
      <c r="C173" s="333"/>
      <c r="D173" s="228" t="s">
        <v>142</v>
      </c>
      <c r="E173" s="95">
        <f>'12'!F173</f>
        <v>8276</v>
      </c>
      <c r="F173" s="155">
        <v>8276</v>
      </c>
      <c r="G173" s="155">
        <f>F173-E173</f>
        <v>0</v>
      </c>
      <c r="H173" s="99">
        <f>G173+'12'!H173</f>
        <v>41</v>
      </c>
      <c r="I173" s="155"/>
      <c r="J173" s="178">
        <f>H173/DAY(B2)</f>
        <v>3.1538461538461537</v>
      </c>
    </row>
    <row r="174" spans="1:10" ht="27.75" customHeight="1">
      <c r="A174" s="891" t="s">
        <v>75</v>
      </c>
      <c r="B174" s="892"/>
      <c r="C174" s="333"/>
      <c r="D174" s="228" t="s">
        <v>142</v>
      </c>
      <c r="E174" s="95">
        <f>'12'!F174</f>
        <v>41370</v>
      </c>
      <c r="F174" s="157">
        <v>41383</v>
      </c>
      <c r="G174" s="155">
        <f t="shared" ref="G174:G175" si="15">F174-E174</f>
        <v>13</v>
      </c>
      <c r="H174" s="99">
        <f>G174+'12'!H174</f>
        <v>179</v>
      </c>
      <c r="I174" s="155"/>
      <c r="J174" s="178">
        <f>H174/DAY(B2)</f>
        <v>13.76923076923077</v>
      </c>
    </row>
    <row r="175" spans="1:10" ht="27.75" customHeight="1">
      <c r="A175" s="891" t="s">
        <v>76</v>
      </c>
      <c r="B175" s="931"/>
      <c r="C175" s="892"/>
      <c r="D175" s="228" t="s">
        <v>142</v>
      </c>
      <c r="E175" s="95">
        <f>'12'!F175</f>
        <v>24169</v>
      </c>
      <c r="F175" s="157">
        <v>24179</v>
      </c>
      <c r="G175" s="155">
        <f t="shared" si="15"/>
        <v>10</v>
      </c>
      <c r="H175" s="99">
        <f>G175+'12'!H175</f>
        <v>148</v>
      </c>
      <c r="I175" s="155"/>
      <c r="J175" s="178">
        <f>H175/DAY(B2)</f>
        <v>11.384615384615385</v>
      </c>
    </row>
    <row r="176" spans="1:10" ht="27.75" customHeight="1">
      <c r="A176" s="880" t="s">
        <v>196</v>
      </c>
      <c r="B176" s="881"/>
      <c r="C176" s="401"/>
      <c r="D176" s="228" t="s">
        <v>142</v>
      </c>
      <c r="E176" s="95"/>
      <c r="F176" s="155"/>
      <c r="G176" s="155">
        <f>SUM(G173:G175)</f>
        <v>23</v>
      </c>
      <c r="H176" s="99">
        <f>G176+'12'!H176</f>
        <v>368</v>
      </c>
      <c r="I176" s="155"/>
      <c r="J176" s="178">
        <f>H176/DAY(B2)</f>
        <v>28.307692307692307</v>
      </c>
    </row>
    <row r="177" spans="1:15" ht="27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891" t="s">
        <v>210</v>
      </c>
      <c r="B178" s="892"/>
      <c r="C178" s="333"/>
      <c r="D178" s="228" t="s">
        <v>142</v>
      </c>
      <c r="E178" s="95">
        <f>'12'!F178</f>
        <v>98728</v>
      </c>
      <c r="F178" s="155">
        <v>98781</v>
      </c>
      <c r="G178" s="155">
        <f>F178-E178</f>
        <v>53</v>
      </c>
      <c r="H178" s="99">
        <f>G178+'12'!H178</f>
        <v>1068</v>
      </c>
      <c r="I178" s="155"/>
      <c r="J178" s="178">
        <f>H178/DAY(B2)</f>
        <v>82.15384615384616</v>
      </c>
    </row>
    <row r="179" spans="1:15" ht="27.75" customHeight="1">
      <c r="A179" s="891" t="s">
        <v>211</v>
      </c>
      <c r="B179" s="892"/>
      <c r="C179" s="333"/>
      <c r="D179" s="228" t="s">
        <v>142</v>
      </c>
      <c r="E179" s="95">
        <f>'12'!F179</f>
        <v>36002</v>
      </c>
      <c r="F179" s="155">
        <v>36002</v>
      </c>
      <c r="G179" s="155">
        <f t="shared" ref="G179:G180" si="16">F179-E179</f>
        <v>0</v>
      </c>
      <c r="H179" s="99">
        <f>G179+'12'!H179</f>
        <v>0</v>
      </c>
      <c r="I179" s="155"/>
      <c r="J179" s="178">
        <f>H179/DAY(B2)</f>
        <v>0</v>
      </c>
    </row>
    <row r="180" spans="1:15" ht="27.75" customHeight="1">
      <c r="A180" s="891" t="s">
        <v>212</v>
      </c>
      <c r="B180" s="892"/>
      <c r="C180" s="333"/>
      <c r="D180" s="228" t="s">
        <v>142</v>
      </c>
      <c r="E180" s="95">
        <f>'12'!F180</f>
        <v>7177</v>
      </c>
      <c r="F180" s="155">
        <v>7177</v>
      </c>
      <c r="G180" s="155">
        <f t="shared" si="16"/>
        <v>0</v>
      </c>
      <c r="H180" s="99">
        <f>G180+'12'!H180</f>
        <v>15</v>
      </c>
      <c r="I180" s="155"/>
      <c r="J180" s="178">
        <f>H180/DAY(B2)</f>
        <v>1.1538461538461537</v>
      </c>
    </row>
    <row r="181" spans="1:15" ht="27.75" customHeight="1">
      <c r="A181" s="893" t="s">
        <v>108</v>
      </c>
      <c r="B181" s="894"/>
      <c r="C181" s="401"/>
      <c r="D181" s="228" t="s">
        <v>142</v>
      </c>
      <c r="E181" s="95"/>
      <c r="F181" s="155"/>
      <c r="G181" s="155">
        <f>SUM(G178:G180)</f>
        <v>53</v>
      </c>
      <c r="H181" s="99">
        <f>G181+'12'!H181</f>
        <v>1083</v>
      </c>
      <c r="I181" s="155"/>
      <c r="J181" s="178">
        <f>H181/DAY(B2)</f>
        <v>83.307692307692307</v>
      </c>
    </row>
    <row r="182" spans="1:15" ht="27.75" customHeight="1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891" t="s">
        <v>214</v>
      </c>
      <c r="B183" s="892"/>
      <c r="C183" s="334"/>
      <c r="D183" s="228" t="s">
        <v>142</v>
      </c>
      <c r="E183" s="95">
        <f>'12'!F183</f>
        <v>17572</v>
      </c>
      <c r="F183" s="157">
        <v>17581</v>
      </c>
      <c r="G183" s="157">
        <f>F183-E183</f>
        <v>9</v>
      </c>
      <c r="H183" s="99">
        <f>G183+'12'!H183</f>
        <v>108</v>
      </c>
      <c r="I183" s="155"/>
      <c r="J183" s="178">
        <f>H183/DAY(B2)</f>
        <v>8.3076923076923084</v>
      </c>
    </row>
    <row r="184" spans="1:15" ht="27.75" customHeight="1">
      <c r="A184" s="891" t="s">
        <v>215</v>
      </c>
      <c r="B184" s="892"/>
      <c r="C184" s="334"/>
      <c r="D184" s="228" t="s">
        <v>142</v>
      </c>
      <c r="E184" s="95">
        <f>'12'!F184</f>
        <v>12020</v>
      </c>
      <c r="F184" s="157">
        <v>12028</v>
      </c>
      <c r="G184" s="157">
        <f t="shared" ref="G184:G185" si="17">F184-E184</f>
        <v>8</v>
      </c>
      <c r="H184" s="99">
        <f>G184+'12'!H184</f>
        <v>93</v>
      </c>
      <c r="I184" s="155"/>
      <c r="J184" s="178">
        <f>H184/DAY(B2)</f>
        <v>7.1538461538461542</v>
      </c>
      <c r="O184" s="65" t="s">
        <v>362</v>
      </c>
    </row>
    <row r="185" spans="1:15" ht="27.75" customHeight="1">
      <c r="A185" s="891" t="s">
        <v>216</v>
      </c>
      <c r="B185" s="892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7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880" t="s">
        <v>196</v>
      </c>
      <c r="B186" s="881"/>
      <c r="C186" s="400"/>
      <c r="D186" s="228" t="s">
        <v>142</v>
      </c>
      <c r="E186" s="95"/>
      <c r="F186" s="157"/>
      <c r="G186" s="157">
        <f>SUM(G183:G185)</f>
        <v>17</v>
      </c>
      <c r="H186" s="99">
        <f>G186+'12'!H186</f>
        <v>201</v>
      </c>
      <c r="I186" s="157"/>
      <c r="J186" s="178">
        <f>H186/DAY(B2)</f>
        <v>15.461538461538462</v>
      </c>
    </row>
    <row r="187" spans="1:15" ht="27.75" customHeight="1">
      <c r="A187" s="882" t="s">
        <v>217</v>
      </c>
      <c r="B187" s="883"/>
      <c r="C187" s="333"/>
      <c r="D187" s="230" t="s">
        <v>142</v>
      </c>
      <c r="E187" s="95"/>
      <c r="F187" s="159"/>
      <c r="G187" s="159">
        <f>G62+G19</f>
        <v>167</v>
      </c>
      <c r="H187" s="99">
        <f>G187+'12'!H187</f>
        <v>2103</v>
      </c>
      <c r="I187" s="158"/>
      <c r="J187" s="179">
        <f>H187/DAY(B2)</f>
        <v>161.76923076923077</v>
      </c>
    </row>
    <row r="188" spans="1:15" ht="27.75" customHeight="1">
      <c r="A188" s="882" t="s">
        <v>218</v>
      </c>
      <c r="B188" s="883"/>
      <c r="C188" s="333"/>
      <c r="D188" s="230" t="s">
        <v>142</v>
      </c>
      <c r="E188" s="95"/>
      <c r="F188" s="159"/>
      <c r="G188" s="159">
        <f>G65+G66+G67+G69+G70</f>
        <v>655</v>
      </c>
      <c r="H188" s="99">
        <f>G188+'12'!H188</f>
        <v>2035</v>
      </c>
      <c r="I188" s="158"/>
      <c r="J188" s="179">
        <f>H188/DAY(B2)</f>
        <v>156.53846153846155</v>
      </c>
    </row>
    <row r="189" spans="1:15" ht="27.75" customHeight="1">
      <c r="A189" s="882" t="s">
        <v>219</v>
      </c>
      <c r="B189" s="883"/>
      <c r="C189" s="333"/>
      <c r="D189" s="230" t="s">
        <v>142</v>
      </c>
      <c r="E189" s="95"/>
      <c r="F189" s="157"/>
      <c r="G189" s="157">
        <f>G181</f>
        <v>53</v>
      </c>
      <c r="H189" s="99">
        <f>G189+'12'!H189</f>
        <v>1083</v>
      </c>
      <c r="I189" s="158"/>
      <c r="J189" s="179">
        <f>H189/DAY(B2)</f>
        <v>83.307692307692307</v>
      </c>
    </row>
    <row r="190" spans="1:15" ht="27.75" customHeight="1">
      <c r="A190" s="889"/>
      <c r="B190" s="890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160" zoomScale="55" zoomScaleSheetLayoutView="55" workbookViewId="0">
      <selection activeCell="A67" sqref="A67:XFD67"/>
    </sheetView>
  </sheetViews>
  <sheetFormatPr defaultColWidth="22.33203125" defaultRowHeight="27.75" customHeight="1"/>
  <cols>
    <col min="1" max="1" width="41.33203125" style="94" customWidth="1"/>
    <col min="2" max="2" width="21.66406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7.75" customHeight="1">
      <c r="A2" s="191" t="s">
        <v>303</v>
      </c>
      <c r="B2" s="262">
        <v>44787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23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0.95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677594</v>
      </c>
      <c r="F7" s="95">
        <v>703635</v>
      </c>
      <c r="G7" s="112">
        <f>F7-E7</f>
        <v>26041</v>
      </c>
      <c r="H7" s="99">
        <f>G7+'13'!H7</f>
        <v>366505</v>
      </c>
      <c r="I7" s="113">
        <f>'1'!I7</f>
        <v>12000</v>
      </c>
      <c r="J7" s="175">
        <f>H7/DAY(B2)</f>
        <v>26178.928571428572</v>
      </c>
      <c r="K7" s="172">
        <v>1375467</v>
      </c>
      <c r="L7" s="66"/>
      <c r="N7" s="87">
        <f>G8-G7</f>
        <v>459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834060</v>
      </c>
      <c r="F8" s="95">
        <f>E8+26500</f>
        <v>860560</v>
      </c>
      <c r="G8" s="115">
        <f>F8-E8</f>
        <v>26500</v>
      </c>
      <c r="H8" s="99">
        <f>G8+'13'!H8</f>
        <v>371973</v>
      </c>
      <c r="I8" s="116"/>
      <c r="J8" s="175">
        <f>H8/DAY(B2)</f>
        <v>26569.5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3370251.1</v>
      </c>
      <c r="F9" s="469">
        <v>3377599</v>
      </c>
      <c r="G9" s="112">
        <f>F9-E9</f>
        <v>7347.8999999999069</v>
      </c>
      <c r="H9" s="99">
        <f>G9+'13'!H9</f>
        <v>98533</v>
      </c>
      <c r="I9" s="124">
        <f>I7-J7</f>
        <v>-14178.928571428572</v>
      </c>
      <c r="J9" s="175">
        <f>H9/DAY(B2)</f>
        <v>7038.0714285714284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1907896.3</v>
      </c>
      <c r="F10" s="353">
        <v>1925321</v>
      </c>
      <c r="G10" s="112">
        <f t="shared" ref="G10:G12" si="0">F10-E10</f>
        <v>17424.699999999953</v>
      </c>
      <c r="H10" s="99">
        <f>G10+'13'!H10</f>
        <v>258163</v>
      </c>
      <c r="I10" s="282"/>
      <c r="J10" s="175">
        <f>H10/DAY(B2)</f>
        <v>18440.214285714286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40380</v>
      </c>
      <c r="F12" s="117">
        <v>40380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24772.59999999986</v>
      </c>
      <c r="H13" s="99">
        <f>G13+'13'!H13</f>
        <v>358030.59999999986</v>
      </c>
      <c r="I13" s="120">
        <f>G7-G13</f>
        <v>1268.4000000001397</v>
      </c>
      <c r="J13" s="175">
        <f>H13/DAY(B2)</f>
        <v>25573.614285714277</v>
      </c>
      <c r="K13" s="79"/>
      <c r="L13" s="66"/>
      <c r="N13" s="87"/>
      <c r="O13" s="71"/>
    </row>
    <row r="14" spans="1:15" ht="27.75" customHeight="1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'13'!F15</f>
        <v>2114441.0789999999</v>
      </c>
      <c r="F15" s="469">
        <v>2115503</v>
      </c>
      <c r="G15" s="112">
        <f>(F15-E15)</f>
        <v>1061.9210000000894</v>
      </c>
      <c r="H15" s="99">
        <f>G15+'13'!H15</f>
        <v>14635</v>
      </c>
      <c r="I15" s="113">
        <f>'1'!I15</f>
        <v>800</v>
      </c>
      <c r="J15" s="175">
        <f>H15/DAY(B2)</f>
        <v>1045.3571428571429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-245.35714285714289</v>
      </c>
      <c r="J16" s="176"/>
      <c r="K16" s="79"/>
      <c r="L16" s="66"/>
      <c r="N16" s="87"/>
      <c r="O16" s="71"/>
    </row>
    <row r="17" spans="1:15" ht="27.75" customHeight="1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919" t="s">
        <v>141</v>
      </c>
      <c r="B18" s="920"/>
      <c r="C18" s="921"/>
      <c r="D18" s="151" t="s">
        <v>142</v>
      </c>
      <c r="E18" s="95">
        <f>'13'!F18</f>
        <v>16</v>
      </c>
      <c r="F18" s="122">
        <v>20</v>
      </c>
      <c r="G18" s="119">
        <f>F18*10</f>
        <v>200</v>
      </c>
      <c r="H18" s="99">
        <f>G18+'13'!H18</f>
        <v>2130</v>
      </c>
      <c r="I18" s="113">
        <f>'1'!I18</f>
        <v>65</v>
      </c>
      <c r="J18" s="175">
        <f>H18/DAY(B2)</f>
        <v>152.14285714285714</v>
      </c>
      <c r="K18" s="79"/>
      <c r="L18" s="66"/>
      <c r="N18" s="87"/>
      <c r="O18" s="71"/>
    </row>
    <row r="19" spans="1:15" ht="27.75" customHeight="1">
      <c r="A19" s="919" t="s">
        <v>69</v>
      </c>
      <c r="B19" s="920"/>
      <c r="C19" s="921"/>
      <c r="D19" s="151" t="s">
        <v>142</v>
      </c>
      <c r="E19" s="95">
        <f>'13'!F19</f>
        <v>162993</v>
      </c>
      <c r="F19" s="122">
        <v>163041</v>
      </c>
      <c r="G19" s="112">
        <f t="shared" ref="G19" si="1">F19-E19</f>
        <v>48</v>
      </c>
      <c r="H19" s="99">
        <f>G19+'13'!H19</f>
        <v>706</v>
      </c>
      <c r="I19" s="335"/>
      <c r="J19" s="175">
        <f>H19/DAY(B2)</f>
        <v>50.428571428571431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248</v>
      </c>
      <c r="H20" s="99">
        <f>G20+'13'!H20</f>
        <v>2836</v>
      </c>
      <c r="I20" s="336">
        <f>I18-J20</f>
        <v>-137.57142857142858</v>
      </c>
      <c r="J20" s="175">
        <f>H20/DAY(B2)</f>
        <v>202.57142857142858</v>
      </c>
      <c r="K20" s="79"/>
      <c r="L20" s="66"/>
      <c r="N20" s="87"/>
      <c r="O20" s="71"/>
    </row>
    <row r="21" spans="1:15" ht="27.75" customHeight="1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'13'!F24</f>
        <v>4470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G27+'13'!H27</f>
        <v>3347757</v>
      </c>
      <c r="I27" s="138"/>
      <c r="J27" s="175">
        <f>H27/DAY(B2)</f>
        <v>239125.5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1061.9210000000894</v>
      </c>
      <c r="F28" s="136">
        <v>70</v>
      </c>
      <c r="G28" s="137">
        <f>E28*F28</f>
        <v>74334.470000006258</v>
      </c>
      <c r="H28" s="99">
        <f>G28+'13'!H28</f>
        <v>1024450</v>
      </c>
      <c r="I28" s="140"/>
      <c r="J28" s="175">
        <f>H28/DAY(B2)</f>
        <v>73175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>E30*F30</f>
        <v>7248</v>
      </c>
      <c r="H30" s="99">
        <f>G30+'13'!H30</f>
        <v>106606</v>
      </c>
      <c r="I30" s="140"/>
      <c r="J30" s="175">
        <f>H30/DAY(B2)</f>
        <v>7614.7142857142853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G31+'13'!H31</f>
        <v>170400</v>
      </c>
      <c r="I31" s="140"/>
      <c r="J31" s="175">
        <f>H31/DAY(B2)</f>
        <v>12171.428571428571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336082.47000000626</v>
      </c>
      <c r="H32" s="99">
        <f>G32+'13'!H32</f>
        <v>4649213</v>
      </c>
      <c r="I32" s="144"/>
      <c r="J32" s="175">
        <f>H32/DAY(B2)</f>
        <v>332086.64285714284</v>
      </c>
      <c r="K32" s="63"/>
      <c r="L32" s="89"/>
      <c r="N32" s="87"/>
      <c r="O32" s="71"/>
    </row>
    <row r="33" spans="1:15" ht="27.7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238713.05</v>
      </c>
      <c r="F35" s="145">
        <v>238713</v>
      </c>
      <c r="G35" s="112">
        <f t="shared" ref="G35:G46" si="3">F35-E35</f>
        <v>-4.9999999988358468E-2</v>
      </c>
      <c r="H35" s="99">
        <f>G35+'13'!H35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226953.13</v>
      </c>
      <c r="F36" s="145">
        <v>227620</v>
      </c>
      <c r="G36" s="112">
        <f t="shared" si="3"/>
        <v>666.86999999999534</v>
      </c>
      <c r="H36" s="99">
        <f>G36+'13'!H36</f>
        <v>12090</v>
      </c>
      <c r="I36" s="95"/>
      <c r="J36" s="175">
        <f>H36/DAY(B2)</f>
        <v>863.57142857142856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322998.69</v>
      </c>
      <c r="F37" s="145">
        <v>322998.69</v>
      </c>
      <c r="G37" s="112">
        <f t="shared" si="3"/>
        <v>0</v>
      </c>
      <c r="H37" s="99">
        <f>G37+'13'!H37</f>
        <v>-0.30999999999767169</v>
      </c>
      <c r="I37" s="95"/>
      <c r="J37" s="175">
        <f>H37/DAY(B2)</f>
        <v>-2.2142857142690837E-2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486583.99</v>
      </c>
      <c r="F38" s="108">
        <v>488827</v>
      </c>
      <c r="G38" s="112">
        <f t="shared" si="3"/>
        <v>2243.0100000000093</v>
      </c>
      <c r="H38" s="99">
        <f>G38+'13'!H38</f>
        <v>31466</v>
      </c>
      <c r="I38" s="95"/>
      <c r="J38" s="175">
        <f>H38/DAY(B2)</f>
        <v>2247.5714285714284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591584.18999999994</v>
      </c>
      <c r="F39" s="145">
        <v>591584</v>
      </c>
      <c r="G39" s="112">
        <f t="shared" si="3"/>
        <v>-0.18999999994412065</v>
      </c>
      <c r="H39" s="99">
        <f>G39+'13'!H39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118182.23</v>
      </c>
      <c r="F40" s="145">
        <v>119010</v>
      </c>
      <c r="G40" s="112">
        <f t="shared" si="3"/>
        <v>827.77000000000407</v>
      </c>
      <c r="H40" s="99">
        <f>G40+'13'!H40</f>
        <v>12234</v>
      </c>
      <c r="I40" s="95"/>
      <c r="J40" s="175">
        <f>H40/DAY(B2)</f>
        <v>873.85714285714289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246176.85</v>
      </c>
      <c r="F41" s="145">
        <v>246176.85</v>
      </c>
      <c r="G41" s="112">
        <f t="shared" si="3"/>
        <v>0</v>
      </c>
      <c r="H41" s="99">
        <f>G41+'13'!H41</f>
        <v>34473.850000000006</v>
      </c>
      <c r="I41" s="95"/>
      <c r="J41" s="175">
        <f>H41/DAY(B2)</f>
        <v>2462.4178571428574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766394.71</v>
      </c>
      <c r="F42" s="145">
        <v>771007</v>
      </c>
      <c r="G42" s="112">
        <f t="shared" si="3"/>
        <v>4612.2900000000373</v>
      </c>
      <c r="H42" s="99">
        <f>G42+'13'!H42</f>
        <v>22643</v>
      </c>
      <c r="I42" s="95"/>
      <c r="J42" s="175">
        <f>H42/DAY(B2)</f>
        <v>1617.3571428571429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407028</v>
      </c>
      <c r="F43" s="145">
        <v>407028</v>
      </c>
      <c r="G43" s="112">
        <f t="shared" si="3"/>
        <v>0</v>
      </c>
      <c r="H43" s="99">
        <f>G43+'13'!H43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8349.7000000001135</v>
      </c>
      <c r="H47" s="99">
        <f>G47+'13'!H47</f>
        <v>112906.54000000001</v>
      </c>
      <c r="I47" s="95"/>
      <c r="J47" s="175">
        <f>H47/DAY(B2)</f>
        <v>8064.7528571428575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537046.71</v>
      </c>
      <c r="F49" s="145">
        <v>541229</v>
      </c>
      <c r="G49" s="112">
        <f t="shared" ref="G49:G58" si="4">F49-E49</f>
        <v>4182.2900000000373</v>
      </c>
      <c r="H49" s="99">
        <f>G49+'13'!H49</f>
        <v>56175</v>
      </c>
      <c r="I49" s="95"/>
      <c r="J49" s="175">
        <f>H49/DAY(B2)</f>
        <v>4012.5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298146.73</v>
      </c>
      <c r="F50" s="145">
        <v>299284</v>
      </c>
      <c r="G50" s="112">
        <f t="shared" si="4"/>
        <v>1137.2700000000186</v>
      </c>
      <c r="H50" s="99">
        <f>G50+'13'!H50</f>
        <v>16534</v>
      </c>
      <c r="I50" s="95"/>
      <c r="J50" s="175">
        <f>H50/DAY(B2)</f>
        <v>1181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22576.233</v>
      </c>
      <c r="F51" s="145">
        <v>23566</v>
      </c>
      <c r="G51" s="112">
        <f t="shared" si="4"/>
        <v>989.76699999999983</v>
      </c>
      <c r="H51" s="99">
        <f>G51+'13'!H51</f>
        <v>15058</v>
      </c>
      <c r="I51" s="95"/>
      <c r="J51" s="175">
        <f>H51/DAY(B2)</f>
        <v>1075.5714285714287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9.76</v>
      </c>
      <c r="F52" s="145">
        <v>10</v>
      </c>
      <c r="G52" s="112">
        <f t="shared" si="4"/>
        <v>0.24000000000000021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91405.75</v>
      </c>
      <c r="F53" s="145">
        <v>95808</v>
      </c>
      <c r="G53" s="112">
        <f t="shared" si="4"/>
        <v>4402.25</v>
      </c>
      <c r="H53" s="99">
        <f>G53+'13'!H53</f>
        <v>61947</v>
      </c>
      <c r="I53" s="95"/>
      <c r="J53" s="175">
        <f>H53/DAY(B2)</f>
        <v>4424.7857142857147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92416.55</v>
      </c>
      <c r="F54" s="145">
        <v>92597</v>
      </c>
      <c r="G54" s="112">
        <f t="shared" si="4"/>
        <v>180.44999999999709</v>
      </c>
      <c r="H54" s="99">
        <f>G54+'13'!H54</f>
        <v>4654</v>
      </c>
      <c r="I54" s="95"/>
      <c r="J54" s="175">
        <f>H54/DAY(B2)</f>
        <v>332.42857142857144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400197.55</v>
      </c>
      <c r="F55" s="145">
        <v>402707</v>
      </c>
      <c r="G55" s="112">
        <f t="shared" si="4"/>
        <v>2509.4500000000116</v>
      </c>
      <c r="H55" s="99">
        <f>G55+'13'!H55</f>
        <v>39930</v>
      </c>
      <c r="I55" s="95"/>
      <c r="J55" s="175">
        <f>H55/DAY(B2)</f>
        <v>2852.1428571428573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123882.39</v>
      </c>
      <c r="F56" s="145">
        <v>123882</v>
      </c>
      <c r="G56" s="112">
        <f t="shared" si="4"/>
        <v>-0.38999999999941792</v>
      </c>
      <c r="H56" s="99">
        <f>G56+'13'!H56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266545.37</v>
      </c>
      <c r="F57" s="145">
        <v>269636</v>
      </c>
      <c r="G57" s="112">
        <f t="shared" si="4"/>
        <v>3090.6300000000047</v>
      </c>
      <c r="H57" s="99">
        <f>G57+'13'!H57</f>
        <v>43466</v>
      </c>
      <c r="I57" s="95"/>
      <c r="J57" s="175">
        <f>H57/DAY(B2)</f>
        <v>3104.7142857142858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52539.35</v>
      </c>
      <c r="F58" s="145">
        <v>52784</v>
      </c>
      <c r="G58" s="112">
        <f t="shared" si="4"/>
        <v>244.65000000000146</v>
      </c>
      <c r="H58" s="99">
        <f>G58+'13'!H58</f>
        <v>3675</v>
      </c>
      <c r="I58" s="95"/>
      <c r="J58" s="175">
        <f>H58/DAY(B2)</f>
        <v>262.5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16736.607000000069</v>
      </c>
      <c r="H59" s="99">
        <f>G59+'13'!H59</f>
        <v>241439.00000000006</v>
      </c>
      <c r="I59" s="95">
        <f>G7-G60</f>
        <v>954.6929999998174</v>
      </c>
      <c r="J59" s="175">
        <f>H59/DAY(B2)</f>
        <v>17245.642857142862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25086.307000000183</v>
      </c>
      <c r="H60" s="99">
        <f>G60+'13'!H60</f>
        <v>354345.54000000004</v>
      </c>
      <c r="I60" s="95">
        <f>G13-G60</f>
        <v>-313.7070000003223</v>
      </c>
      <c r="J60" s="175">
        <f>H60/DAY(B2)</f>
        <v>25310.395714285718</v>
      </c>
      <c r="K60" s="79"/>
      <c r="L60" s="66"/>
      <c r="N60" s="87"/>
      <c r="O60" s="71"/>
    </row>
    <row r="61" spans="1:15" s="68" customFormat="1" ht="27.75" customHeight="1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919" t="s">
        <v>198</v>
      </c>
      <c r="B62" s="920"/>
      <c r="C62" s="921"/>
      <c r="D62" s="151" t="s">
        <v>142</v>
      </c>
      <c r="E62" s="95">
        <f>'13'!F62</f>
        <v>297720</v>
      </c>
      <c r="F62" s="122">
        <v>297845</v>
      </c>
      <c r="G62" s="112">
        <f t="shared" ref="G62:G63" si="5">F62-E62</f>
        <v>125</v>
      </c>
      <c r="H62" s="99">
        <f>G62+'13'!H62</f>
        <v>1570</v>
      </c>
      <c r="I62" s="118"/>
      <c r="J62" s="175">
        <f>H62/DAY(B2)</f>
        <v>112.14285714285714</v>
      </c>
      <c r="K62" s="80"/>
      <c r="L62" s="66"/>
      <c r="N62" s="87"/>
      <c r="O62" s="71"/>
    </row>
    <row r="63" spans="1:15" ht="27.75" customHeight="1">
      <c r="A63" s="919" t="s">
        <v>199</v>
      </c>
      <c r="B63" s="920"/>
      <c r="C63" s="921"/>
      <c r="D63" s="151" t="s">
        <v>142</v>
      </c>
      <c r="E63" s="95">
        <f>'13'!F63</f>
        <v>240765</v>
      </c>
      <c r="F63" s="122">
        <v>240904</v>
      </c>
      <c r="G63" s="112">
        <f t="shared" si="5"/>
        <v>139</v>
      </c>
      <c r="H63" s="99">
        <f>G63+'13'!H63</f>
        <v>1771</v>
      </c>
      <c r="I63" s="118"/>
      <c r="J63" s="175">
        <f>H63/DAY(B2)</f>
        <v>126.5</v>
      </c>
      <c r="K63" s="69"/>
      <c r="L63" s="66"/>
      <c r="N63" s="87"/>
      <c r="O63" s="71"/>
    </row>
    <row r="64" spans="1:15" ht="27.75" customHeight="1">
      <c r="A64" s="928" t="s">
        <v>200</v>
      </c>
      <c r="B64" s="929"/>
      <c r="C64" s="930"/>
      <c r="D64" s="151"/>
      <c r="E64" s="95">
        <f>'13'!F64</f>
        <v>0</v>
      </c>
      <c r="F64" s="122"/>
      <c r="G64" s="112">
        <f>G62+G63</f>
        <v>264</v>
      </c>
      <c r="H64" s="99">
        <f>G64+'13'!H64</f>
        <v>3341</v>
      </c>
      <c r="I64" s="118"/>
      <c r="J64" s="175">
        <f>H64/DAY(B2)</f>
        <v>238.64285714285714</v>
      </c>
      <c r="K64" s="69"/>
      <c r="L64" s="66"/>
      <c r="N64" s="87"/>
      <c r="O64" s="71"/>
    </row>
    <row r="65" spans="1:15" ht="27.75" customHeight="1">
      <c r="A65" s="919" t="s">
        <v>201</v>
      </c>
      <c r="B65" s="920"/>
      <c r="C65" s="921"/>
      <c r="D65" s="151" t="s">
        <v>142</v>
      </c>
      <c r="E65" s="95">
        <f>'13'!F65</f>
        <v>456075</v>
      </c>
      <c r="F65" s="122">
        <v>456172</v>
      </c>
      <c r="G65" s="112">
        <f t="shared" ref="G65:G70" si="6">F65-E65</f>
        <v>97</v>
      </c>
      <c r="H65" s="99">
        <f>G65+'13'!H65</f>
        <v>1462</v>
      </c>
      <c r="I65" s="118"/>
      <c r="J65" s="175">
        <f>H65/DAY(B2)</f>
        <v>104.42857142857143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'13'!F66</f>
        <v>112022</v>
      </c>
      <c r="F66" s="122">
        <v>112046</v>
      </c>
      <c r="G66" s="112">
        <f t="shared" si="6"/>
        <v>24</v>
      </c>
      <c r="H66" s="99">
        <f>G66+'13'!H66</f>
        <v>324</v>
      </c>
      <c r="I66" s="118"/>
      <c r="J66" s="175">
        <f>H66/DAY(B2)</f>
        <v>23.142857142857142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'13'!F67</f>
        <v>113852</v>
      </c>
      <c r="F67" s="122">
        <v>113852</v>
      </c>
      <c r="G67" s="112">
        <f t="shared" si="6"/>
        <v>0</v>
      </c>
      <c r="H67" s="99">
        <f>G67+'13'!H67</f>
        <v>172</v>
      </c>
      <c r="I67" s="118"/>
      <c r="J67" s="175">
        <f>H67/DAY(B2)</f>
        <v>12.285714285714286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'13'!F68</f>
        <v>165021</v>
      </c>
      <c r="F68" s="122">
        <v>165058</v>
      </c>
      <c r="G68" s="112">
        <f t="shared" si="6"/>
        <v>37</v>
      </c>
      <c r="H68" s="99">
        <f>G68+'13'!H68</f>
        <v>396</v>
      </c>
      <c r="I68" s="118"/>
      <c r="J68" s="175">
        <f>H68/DAY(B2)</f>
        <v>28.285714285714285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'13'!F69</f>
        <v>12359</v>
      </c>
      <c r="F69" s="122">
        <v>12364</v>
      </c>
      <c r="G69" s="112">
        <f t="shared" si="6"/>
        <v>5</v>
      </c>
      <c r="H69" s="99">
        <f>G69+'13'!H69</f>
        <v>89</v>
      </c>
      <c r="I69" s="118"/>
      <c r="J69" s="175">
        <f>H69/DAY(B2)</f>
        <v>6.3571428571428568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'13'!F70</f>
        <v>9941</v>
      </c>
      <c r="F70" s="122">
        <v>9949</v>
      </c>
      <c r="G70" s="112">
        <f t="shared" si="6"/>
        <v>8</v>
      </c>
      <c r="H70" s="99">
        <f>G70+'13'!H70</f>
        <v>122</v>
      </c>
      <c r="I70" s="118"/>
      <c r="J70" s="175">
        <f>H70/DAY(B2)</f>
        <v>8.7142857142857135</v>
      </c>
      <c r="K70" s="69"/>
      <c r="L70" s="66"/>
      <c r="N70" s="87"/>
      <c r="O70" s="71"/>
    </row>
    <row r="71" spans="1:15" ht="27.75" customHeight="1">
      <c r="A71" s="928" t="s">
        <v>208</v>
      </c>
      <c r="B71" s="929"/>
      <c r="C71" s="930"/>
      <c r="D71" s="152"/>
      <c r="E71" s="152"/>
      <c r="F71" s="152"/>
      <c r="G71" s="153">
        <f>SUM(G65:G70)</f>
        <v>171</v>
      </c>
      <c r="H71" s="99">
        <f>G71+'13'!H71</f>
        <v>2565</v>
      </c>
      <c r="I71" s="154"/>
      <c r="J71" s="175">
        <f>H71/DAY(B2)</f>
        <v>183.21428571428572</v>
      </c>
      <c r="K71" s="69"/>
      <c r="L71" s="66"/>
      <c r="N71" s="87"/>
      <c r="O71" s="71"/>
    </row>
    <row r="72" spans="1:15" s="88" customFormat="1" ht="27.75" customHeight="1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919" t="s">
        <v>220</v>
      </c>
      <c r="B74" s="920"/>
      <c r="C74" s="921"/>
      <c r="D74" s="151" t="s">
        <v>139</v>
      </c>
      <c r="E74" s="95">
        <f>'13'!F74</f>
        <v>961748</v>
      </c>
      <c r="F74" s="410">
        <v>962077</v>
      </c>
      <c r="G74" s="112">
        <f t="shared" ref="G74:G78" si="7">F74-E74</f>
        <v>329</v>
      </c>
      <c r="H74" s="99">
        <f>G74+'13'!H74</f>
        <v>4419.140000000014</v>
      </c>
      <c r="I74" s="154"/>
      <c r="J74" s="175">
        <f>H74/DAY(B2)</f>
        <v>315.65285714285812</v>
      </c>
      <c r="K74" s="69"/>
      <c r="L74" s="66"/>
      <c r="N74" s="87"/>
      <c r="O74" s="71"/>
    </row>
    <row r="75" spans="1:15" ht="27.75" customHeight="1">
      <c r="A75" s="919" t="s">
        <v>221</v>
      </c>
      <c r="B75" s="920"/>
      <c r="C75" s="921"/>
      <c r="D75" s="151" t="s">
        <v>139</v>
      </c>
      <c r="E75" s="95">
        <f>'13'!F75</f>
        <v>73586.8</v>
      </c>
      <c r="F75" s="123">
        <v>73586.8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6" t="s">
        <v>222</v>
      </c>
      <c r="B76" s="917"/>
      <c r="C76" s="918"/>
      <c r="D76" s="151" t="s">
        <v>139</v>
      </c>
      <c r="E76" s="95">
        <f>'13'!F76</f>
        <v>191657.02</v>
      </c>
      <c r="F76" s="123">
        <v>191777</v>
      </c>
      <c r="G76" s="112">
        <f t="shared" si="7"/>
        <v>119.98000000001048</v>
      </c>
      <c r="H76" s="99">
        <f>G76+'13'!H76</f>
        <v>1605</v>
      </c>
      <c r="I76" s="154"/>
      <c r="J76" s="175">
        <f>H76/DAY(B2)</f>
        <v>114.64285714285714</v>
      </c>
      <c r="K76" s="69"/>
      <c r="L76" s="66"/>
      <c r="N76" s="87"/>
      <c r="O76" s="71"/>
    </row>
    <row r="77" spans="1:15" ht="27.75" customHeight="1">
      <c r="A77" s="916" t="s">
        <v>223</v>
      </c>
      <c r="B77" s="917"/>
      <c r="C77" s="918"/>
      <c r="D77" s="151" t="s">
        <v>139</v>
      </c>
      <c r="E77" s="95">
        <f>'13'!F77</f>
        <v>50955.3</v>
      </c>
      <c r="F77" s="123">
        <v>51010</v>
      </c>
      <c r="G77" s="112">
        <f t="shared" si="7"/>
        <v>54.69999999999709</v>
      </c>
      <c r="H77" s="99">
        <f>G77+'13'!H77</f>
        <v>697</v>
      </c>
      <c r="I77" s="154"/>
      <c r="J77" s="175">
        <f>H77/DAY(B2)</f>
        <v>49.785714285714285</v>
      </c>
      <c r="K77" s="69"/>
      <c r="L77" s="66"/>
      <c r="N77" s="87"/>
      <c r="O77" s="71"/>
    </row>
    <row r="78" spans="1:15" ht="27.75" customHeight="1">
      <c r="A78" s="916" t="s">
        <v>224</v>
      </c>
      <c r="B78" s="917"/>
      <c r="C78" s="918"/>
      <c r="D78" s="151" t="s">
        <v>139</v>
      </c>
      <c r="E78" s="123">
        <v>9564</v>
      </c>
      <c r="F78" s="123">
        <v>9564</v>
      </c>
      <c r="G78" s="112">
        <f t="shared" si="7"/>
        <v>0</v>
      </c>
      <c r="H78" s="99">
        <f>G78+'13'!H78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16" t="s">
        <v>225</v>
      </c>
      <c r="B79" s="917"/>
      <c r="C79" s="918"/>
      <c r="D79" s="151"/>
      <c r="E79" s="95">
        <f>'13'!F79</f>
        <v>0</v>
      </c>
      <c r="F79" s="117"/>
      <c r="G79" s="112">
        <f>G15-SUM(G74:G78)</f>
        <v>558.24100000008184</v>
      </c>
      <c r="H79" s="99">
        <f>G79+'13'!H79</f>
        <v>7913.859999999986</v>
      </c>
      <c r="I79" s="118"/>
      <c r="J79" s="175">
        <f>H79/DAY(B2)</f>
        <v>565.27571428571332</v>
      </c>
      <c r="K79" s="59"/>
      <c r="L79" s="58"/>
      <c r="N79" s="87"/>
      <c r="O79" s="71"/>
    </row>
    <row r="80" spans="1:15" s="57" customFormat="1" ht="27.75" customHeight="1">
      <c r="A80" s="928" t="s">
        <v>329</v>
      </c>
      <c r="B80" s="929"/>
      <c r="C80" s="930"/>
      <c r="D80" s="151"/>
      <c r="E80" s="117"/>
      <c r="F80" s="117"/>
      <c r="G80" s="112">
        <f>SUM(G74:G79)</f>
        <v>1061.9210000000894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>
        <v>0</v>
      </c>
      <c r="G82" s="112">
        <f t="shared" ref="G82:G92" si="8">F82-E82</f>
        <v>0</v>
      </c>
      <c r="H82" s="99">
        <f>G82+'13'!H82</f>
        <v>0</v>
      </c>
      <c r="I82" s="571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>
        <v>0</v>
      </c>
      <c r="G83" s="112">
        <f t="shared" si="8"/>
        <v>0</v>
      </c>
      <c r="H83" s="99">
        <f>G83+'13'!H83</f>
        <v>0</v>
      </c>
      <c r="I83" s="571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42707</v>
      </c>
      <c r="F84" s="164">
        <v>42707</v>
      </c>
      <c r="G84" s="112">
        <f t="shared" si="8"/>
        <v>0</v>
      </c>
      <c r="H84" s="99">
        <f>G84+'13'!H84</f>
        <v>118</v>
      </c>
      <c r="I84" s="571"/>
      <c r="J84" s="175">
        <f>H84/DAY(B2)</f>
        <v>8.4285714285714288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5220.4799999999996</v>
      </c>
      <c r="F85" s="164">
        <v>5241</v>
      </c>
      <c r="G85" s="112">
        <f t="shared" si="8"/>
        <v>20.520000000000437</v>
      </c>
      <c r="H85" s="99">
        <f>G85+'13'!H85</f>
        <v>100.8100000000004</v>
      </c>
      <c r="I85" s="571"/>
      <c r="J85" s="175">
        <f>H85/DAY(B2)</f>
        <v>7.200714285714314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45633.4</v>
      </c>
      <c r="F86" s="164">
        <v>45651</v>
      </c>
      <c r="G86" s="112">
        <f t="shared" si="8"/>
        <v>17.599999999998545</v>
      </c>
      <c r="H86" s="99">
        <f>G86+'13'!H86</f>
        <v>272</v>
      </c>
      <c r="I86" s="571"/>
      <c r="J86" s="175">
        <f>H86/DAY(B2)</f>
        <v>19.428571428571427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35457</v>
      </c>
      <c r="F87" s="164">
        <v>35481</v>
      </c>
      <c r="G87" s="112">
        <f t="shared" si="8"/>
        <v>24</v>
      </c>
      <c r="H87" s="99">
        <f>G87+'13'!H87</f>
        <v>23.569999999999709</v>
      </c>
      <c r="I87" s="553">
        <f>G84+G85+G86+G87</f>
        <v>62.119999999998981</v>
      </c>
      <c r="J87" s="175">
        <f>H87/DAY(B2)</f>
        <v>1.6835714285714078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24318.959999999999</v>
      </c>
      <c r="F88" s="164">
        <v>24318.959999999999</v>
      </c>
      <c r="G88" s="112">
        <f t="shared" si="8"/>
        <v>0</v>
      </c>
      <c r="H88" s="99">
        <f>G88+'13'!H88</f>
        <v>15.5</v>
      </c>
      <c r="I88" s="553"/>
      <c r="J88" s="175">
        <f>H88/DAY(B2)</f>
        <v>1.1071428571428572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27669.56</v>
      </c>
      <c r="F89" s="164">
        <v>27677</v>
      </c>
      <c r="G89" s="112">
        <f t="shared" si="8"/>
        <v>7.4399999999986903</v>
      </c>
      <c r="H89" s="99">
        <f>G89+'13'!H89</f>
        <v>110.38999999999942</v>
      </c>
      <c r="I89" s="553">
        <f>G88+G89</f>
        <v>7.4399999999986903</v>
      </c>
      <c r="J89" s="175">
        <f>H89/DAY(B2)</f>
        <v>7.884999999999958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72751.570000000007</v>
      </c>
      <c r="F90" s="164">
        <v>72762.2</v>
      </c>
      <c r="G90" s="112">
        <f t="shared" si="8"/>
        <v>10.629999999990105</v>
      </c>
      <c r="H90" s="99">
        <f>G90+'13'!H90</f>
        <v>155.64999999999418</v>
      </c>
      <c r="I90" s="553">
        <f>G90</f>
        <v>10.629999999990105</v>
      </c>
      <c r="J90" s="175">
        <f>H90/DAY(B2)</f>
        <v>11.117857142856726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4289.5</v>
      </c>
      <c r="F91" s="122">
        <v>4289.5</v>
      </c>
      <c r="G91" s="112">
        <f t="shared" si="8"/>
        <v>0</v>
      </c>
      <c r="H91" s="99">
        <f>G91+'13'!H91</f>
        <v>-3.999999999996362E-2</v>
      </c>
      <c r="I91" s="612"/>
      <c r="J91" s="175">
        <f>H91/DAY(B2)</f>
        <v>-2.8571428571402585E-3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6861.24</v>
      </c>
      <c r="F92" s="122">
        <v>6872.53</v>
      </c>
      <c r="G92" s="112">
        <f t="shared" si="8"/>
        <v>11.289999999999964</v>
      </c>
      <c r="H92" s="99">
        <f>G92+'13'!H92</f>
        <v>155.19999999999982</v>
      </c>
      <c r="I92" s="613">
        <f>G91+G92</f>
        <v>11.289999999999964</v>
      </c>
      <c r="J92" s="175">
        <f>H92/DAY(B2)</f>
        <v>11.085714285714273</v>
      </c>
      <c r="O92" s="71"/>
    </row>
    <row r="93" spans="1:15" ht="27.75" customHeight="1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7272.8700000000536</v>
      </c>
      <c r="H94" s="99">
        <f>G94+'13'!H94</f>
        <v>99641</v>
      </c>
      <c r="I94" s="118"/>
      <c r="J94" s="175">
        <f>H94/DAY(B2)</f>
        <v>7117.2142857142853</v>
      </c>
      <c r="K94" s="69"/>
      <c r="L94" s="66"/>
      <c r="O94" s="71"/>
    </row>
    <row r="95" spans="1:15" ht="27.75" customHeight="1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0.27928535770515933</v>
      </c>
      <c r="H95" s="99">
        <f>G95+'13'!H95</f>
        <v>3.8112700182389538</v>
      </c>
      <c r="I95" s="167"/>
      <c r="J95" s="175">
        <f>H95/DAY(B2)</f>
        <v>0.27223357273135385</v>
      </c>
      <c r="K95" s="69"/>
      <c r="L95" s="66"/>
      <c r="O95" s="71"/>
    </row>
    <row r="96" spans="1:15" ht="27.75" customHeight="1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7121.3500000000495</v>
      </c>
      <c r="H96" s="99">
        <f>G96+'13'!H96</f>
        <v>97046.85</v>
      </c>
      <c r="I96" s="118"/>
      <c r="J96" s="175">
        <f>H96/DAY(B2)</f>
        <v>6931.9178571428574</v>
      </c>
      <c r="K96" s="69"/>
      <c r="L96" s="66"/>
      <c r="O96" s="71"/>
    </row>
    <row r="97" spans="1:15" ht="27.75" customHeight="1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0.27346684075112515</v>
      </c>
      <c r="H97" s="99">
        <f>G97+'13'!H97</f>
        <v>3.7052147396598145</v>
      </c>
      <c r="I97" s="167"/>
      <c r="J97" s="175">
        <f>H97/DAY(B2)</f>
        <v>0.26465819568998677</v>
      </c>
      <c r="K97" s="69"/>
      <c r="L97" s="66"/>
      <c r="O97" s="71"/>
    </row>
    <row r="98" spans="1:15" ht="27.75" customHeight="1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4402.0600000000559</v>
      </c>
      <c r="H98" s="99">
        <f>G98+'13'!H98</f>
        <v>61947</v>
      </c>
      <c r="I98" s="168"/>
      <c r="J98" s="175">
        <f>H98/DAY(B2)</f>
        <v>4424.7857142857147</v>
      </c>
      <c r="K98" s="69"/>
      <c r="L98" s="66"/>
      <c r="O98" s="71"/>
    </row>
    <row r="99" spans="1:15" ht="27.75" customHeight="1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0.16904343151184886</v>
      </c>
      <c r="H99" s="99">
        <f>G99+'13'!H99</f>
        <v>2.3675682790544448</v>
      </c>
      <c r="I99" s="168"/>
      <c r="J99" s="175">
        <f>H99/DAY(B2)</f>
        <v>0.16911201993246033</v>
      </c>
      <c r="O99" s="71"/>
    </row>
    <row r="100" spans="1:15" ht="27.75" customHeight="1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2243.2500000000091</v>
      </c>
      <c r="H100" s="99">
        <f>G100+'13'!H100</f>
        <v>31466</v>
      </c>
      <c r="I100" s="118"/>
      <c r="J100" s="175">
        <f>H100/DAY(B2)</f>
        <v>2247.5714285714284</v>
      </c>
      <c r="K100" s="70"/>
      <c r="O100" s="71"/>
    </row>
    <row r="101" spans="1:15" ht="27.75" customHeight="1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8.6143005260935032E-2</v>
      </c>
      <c r="H101" s="99">
        <f>G101+'13'!H101</f>
        <v>1.2027877459368241</v>
      </c>
      <c r="I101" s="168"/>
      <c r="J101" s="175">
        <f>H101/DAY(B2)</f>
        <v>8.5913410424058867E-2</v>
      </c>
      <c r="O101" s="71"/>
    </row>
    <row r="102" spans="1:15" ht="27.75" customHeight="1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1804.140000000014</v>
      </c>
      <c r="H102" s="99">
        <f>G102+'13'!H102</f>
        <v>28624</v>
      </c>
      <c r="I102" s="168"/>
      <c r="J102" s="175">
        <f>H102/DAY(B2)</f>
        <v>2044.5714285714287</v>
      </c>
      <c r="O102" s="71"/>
    </row>
    <row r="103" spans="1:15" ht="27.75" customHeight="1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6.9280749587189966E-2</v>
      </c>
      <c r="H103" s="99">
        <f>G103+'13'!H103</f>
        <v>1.09084701678551</v>
      </c>
      <c r="I103" s="118"/>
      <c r="J103" s="175">
        <f>H103/DAY(B2)</f>
        <v>7.7917644056107863E-2</v>
      </c>
      <c r="O103" s="71"/>
    </row>
    <row r="104" spans="1:15" ht="27.75" customHeight="1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989.76699999999983</v>
      </c>
      <c r="H104" s="99">
        <f>G104+'13'!H104</f>
        <v>15057.690000000002</v>
      </c>
      <c r="I104" s="118"/>
      <c r="J104" s="175">
        <f>H104/DAY(B2)</f>
        <v>1075.5492857142858</v>
      </c>
      <c r="O104" s="71"/>
    </row>
    <row r="105" spans="1:15" ht="27.75" customHeight="1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3.8008025805460616E-2</v>
      </c>
      <c r="H105" s="99">
        <f>G105+'13'!H105</f>
        <v>0.57561588084377791</v>
      </c>
      <c r="I105" s="187"/>
      <c r="J105" s="188">
        <f>H105/DAY(B2)</f>
        <v>4.1115420060269851E-2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7.75" customHeight="1">
      <c r="A109" s="936"/>
      <c r="B109" s="936"/>
    </row>
    <row r="110" spans="1:15" ht="27.75" customHeight="1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7.75" customHeight="1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98" t="s">
        <v>252</v>
      </c>
      <c r="B112" s="899"/>
      <c r="C112" s="900"/>
      <c r="D112" s="146" t="s">
        <v>183</v>
      </c>
      <c r="E112" s="95">
        <f>'13'!F112</f>
        <v>8208.17</v>
      </c>
      <c r="F112" s="237">
        <v>8277</v>
      </c>
      <c r="G112" s="112">
        <f t="shared" ref="G112:G123" si="9">F112-E112</f>
        <v>68.829999999999927</v>
      </c>
      <c r="H112" s="99">
        <f>G112+'13'!H112</f>
        <v>1012</v>
      </c>
      <c r="I112" s="165"/>
      <c r="J112" s="328">
        <f>H112/DAY(B2)</f>
        <v>72.285714285714292</v>
      </c>
    </row>
    <row r="113" spans="1:18" ht="27.75" customHeight="1">
      <c r="A113" s="898" t="s">
        <v>253</v>
      </c>
      <c r="B113" s="899"/>
      <c r="C113" s="900"/>
      <c r="D113" s="146" t="s">
        <v>183</v>
      </c>
      <c r="E113" s="95">
        <f>'13'!F113</f>
        <v>16840.099999999999</v>
      </c>
      <c r="F113" s="237">
        <v>16972</v>
      </c>
      <c r="G113" s="112">
        <f t="shared" si="9"/>
        <v>131.90000000000146</v>
      </c>
      <c r="H113" s="99">
        <f>G113+'13'!H113</f>
        <v>1957</v>
      </c>
      <c r="I113" s="165"/>
      <c r="J113" s="328">
        <f>H113/DAY(B2)</f>
        <v>139.78571428571428</v>
      </c>
    </row>
    <row r="114" spans="1:18" ht="27.75" customHeight="1">
      <c r="A114" s="898" t="s">
        <v>254</v>
      </c>
      <c r="B114" s="899"/>
      <c r="C114" s="900"/>
      <c r="D114" s="146" t="s">
        <v>183</v>
      </c>
      <c r="E114" s="95">
        <f>'13'!F114</f>
        <v>24111.03</v>
      </c>
      <c r="F114" s="237">
        <v>24378</v>
      </c>
      <c r="G114" s="112">
        <f t="shared" si="9"/>
        <v>266.97000000000116</v>
      </c>
      <c r="H114" s="99">
        <f>G114+'13'!H114</f>
        <v>3110</v>
      </c>
      <c r="I114" s="165"/>
      <c r="J114" s="328">
        <f>H114/DAY(B2)</f>
        <v>222.14285714285714</v>
      </c>
    </row>
    <row r="115" spans="1:18" ht="27.75" customHeight="1">
      <c r="A115" s="898" t="s">
        <v>255</v>
      </c>
      <c r="B115" s="899"/>
      <c r="C115" s="900"/>
      <c r="D115" s="146" t="s">
        <v>183</v>
      </c>
      <c r="E115" s="95">
        <f>'13'!F115</f>
        <v>15310.83</v>
      </c>
      <c r="F115" s="237">
        <v>15405</v>
      </c>
      <c r="G115" s="112">
        <f t="shared" si="9"/>
        <v>94.170000000000073</v>
      </c>
      <c r="H115" s="99">
        <f>G115+'13'!H115</f>
        <v>1829.5200000000004</v>
      </c>
      <c r="I115" s="165"/>
      <c r="J115" s="328">
        <f>H115/DAY(B2)</f>
        <v>130.68000000000004</v>
      </c>
    </row>
    <row r="116" spans="1:18" ht="27.75" customHeight="1">
      <c r="A116" s="905" t="s">
        <v>96</v>
      </c>
      <c r="B116" s="906"/>
      <c r="C116" s="907"/>
      <c r="D116" s="146" t="s">
        <v>183</v>
      </c>
      <c r="E116" s="95">
        <f>'13'!F116</f>
        <v>75868.899999999994</v>
      </c>
      <c r="F116" s="237">
        <v>76462</v>
      </c>
      <c r="G116" s="112">
        <f t="shared" si="9"/>
        <v>593.10000000000582</v>
      </c>
      <c r="H116" s="99">
        <f>G116+'13'!H116</f>
        <v>5970</v>
      </c>
      <c r="I116" s="165"/>
      <c r="J116" s="328">
        <f>H116/DAY(B2)</f>
        <v>426.42857142857144</v>
      </c>
      <c r="Q116" s="898"/>
      <c r="R116" s="900"/>
    </row>
    <row r="117" spans="1:18" ht="27.75" customHeight="1">
      <c r="A117" s="905" t="s">
        <v>184</v>
      </c>
      <c r="B117" s="906"/>
      <c r="C117" s="907"/>
      <c r="D117" s="146" t="s">
        <v>183</v>
      </c>
      <c r="E117" s="95">
        <f>'13'!F117</f>
        <v>43961.16</v>
      </c>
      <c r="F117" s="237">
        <v>44221</v>
      </c>
      <c r="G117" s="112">
        <f t="shared" si="9"/>
        <v>259.83999999999651</v>
      </c>
      <c r="H117" s="99">
        <f>G117+'13'!H117</f>
        <v>3299</v>
      </c>
      <c r="I117" s="165"/>
      <c r="J117" s="328">
        <f>H117/DAY(B2)</f>
        <v>235.64285714285714</v>
      </c>
      <c r="Q117" s="898"/>
      <c r="R117" s="900"/>
    </row>
    <row r="118" spans="1:18" ht="27.75" customHeight="1">
      <c r="A118" s="897" t="s">
        <v>97</v>
      </c>
      <c r="B118" s="897"/>
      <c r="C118" s="897"/>
      <c r="D118" s="151" t="s">
        <v>183</v>
      </c>
      <c r="E118" s="95">
        <f>'13'!F118</f>
        <v>72535</v>
      </c>
      <c r="F118" s="237">
        <v>73061</v>
      </c>
      <c r="G118" s="112">
        <f t="shared" si="9"/>
        <v>526</v>
      </c>
      <c r="H118" s="99">
        <f>G118+'13'!H118</f>
        <v>8389</v>
      </c>
      <c r="I118" s="165"/>
      <c r="J118" s="328">
        <f>H118/DAY(B2)</f>
        <v>599.21428571428567</v>
      </c>
      <c r="Q118" s="898"/>
      <c r="R118" s="900"/>
    </row>
    <row r="119" spans="1:18" ht="27.75" customHeight="1">
      <c r="A119" s="897" t="s">
        <v>98</v>
      </c>
      <c r="B119" s="897"/>
      <c r="C119" s="897"/>
      <c r="D119" s="151" t="s">
        <v>183</v>
      </c>
      <c r="E119" s="95">
        <f>'13'!F119</f>
        <v>40516.5</v>
      </c>
      <c r="F119" s="237">
        <v>40741</v>
      </c>
      <c r="G119" s="112">
        <f t="shared" si="9"/>
        <v>224.5</v>
      </c>
      <c r="H119" s="99">
        <f>G119+'13'!H119</f>
        <v>3292</v>
      </c>
      <c r="I119" s="165"/>
      <c r="J119" s="328">
        <f>H119/DAY(B2)</f>
        <v>235.14285714285714</v>
      </c>
    </row>
    <row r="120" spans="1:18" ht="27.75" customHeight="1">
      <c r="A120" s="897" t="s">
        <v>99</v>
      </c>
      <c r="B120" s="897"/>
      <c r="C120" s="897"/>
      <c r="D120" s="151" t="s">
        <v>183</v>
      </c>
      <c r="E120" s="95">
        <f>'13'!F120</f>
        <v>51674.3</v>
      </c>
      <c r="F120" s="237">
        <v>52084</v>
      </c>
      <c r="G120" s="112">
        <f t="shared" si="9"/>
        <v>409.69999999999709</v>
      </c>
      <c r="H120" s="99">
        <f>G120+'13'!H120</f>
        <v>5817</v>
      </c>
      <c r="I120" s="165"/>
      <c r="J120" s="328">
        <f>H120/DAY(B2)</f>
        <v>415.5</v>
      </c>
    </row>
    <row r="121" spans="1:18" ht="27.75" customHeight="1">
      <c r="A121" s="897" t="s">
        <v>100</v>
      </c>
      <c r="B121" s="897"/>
      <c r="C121" s="897"/>
      <c r="D121" s="151" t="s">
        <v>183</v>
      </c>
      <c r="E121" s="95">
        <f>'13'!F121</f>
        <v>59738.5</v>
      </c>
      <c r="F121" s="237">
        <v>60201</v>
      </c>
      <c r="G121" s="112">
        <f t="shared" si="9"/>
        <v>462.5</v>
      </c>
      <c r="H121" s="99">
        <f>G121+'13'!H121</f>
        <v>6658</v>
      </c>
      <c r="I121" s="165"/>
      <c r="J121" s="328">
        <f>H121/DAY(B2)</f>
        <v>475.57142857142856</v>
      </c>
    </row>
    <row r="122" spans="1:18" ht="27.75" customHeight="1">
      <c r="A122" s="897" t="s">
        <v>101</v>
      </c>
      <c r="B122" s="897"/>
      <c r="C122" s="897"/>
      <c r="D122" s="151" t="s">
        <v>183</v>
      </c>
      <c r="E122" s="95">
        <f>'13'!F122</f>
        <v>32732.12</v>
      </c>
      <c r="F122" s="237">
        <v>33046</v>
      </c>
      <c r="G122" s="112">
        <f t="shared" si="9"/>
        <v>313.88000000000102</v>
      </c>
      <c r="H122" s="99">
        <f>G122+'13'!H122</f>
        <v>4372</v>
      </c>
      <c r="I122" s="165"/>
      <c r="J122" s="328">
        <f>H122/DAY(B2)</f>
        <v>312.28571428571428</v>
      </c>
    </row>
    <row r="123" spans="1:18" ht="27.75" customHeight="1">
      <c r="A123" s="897" t="s">
        <v>102</v>
      </c>
      <c r="B123" s="897"/>
      <c r="C123" s="897"/>
      <c r="D123" s="151" t="s">
        <v>183</v>
      </c>
      <c r="E123" s="95">
        <f>'13'!F123</f>
        <v>34451.11</v>
      </c>
      <c r="F123" s="237">
        <v>34746</v>
      </c>
      <c r="G123" s="112">
        <f t="shared" si="9"/>
        <v>294.88999999999942</v>
      </c>
      <c r="H123" s="99">
        <f>G123+'13'!H123</f>
        <v>4558</v>
      </c>
      <c r="I123" s="165"/>
      <c r="J123" s="328">
        <f>H123/DAY(B2)</f>
        <v>325.57142857142856</v>
      </c>
    </row>
    <row r="124" spans="1:18" ht="27.75" customHeight="1">
      <c r="A124" s="902"/>
      <c r="B124" s="903"/>
      <c r="C124" s="904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880" t="s">
        <v>196</v>
      </c>
      <c r="B125" s="881"/>
      <c r="C125" s="245"/>
      <c r="D125" s="307"/>
      <c r="E125" s="308"/>
      <c r="F125" s="308"/>
      <c r="G125" s="309">
        <f>SUM(G112:G124)</f>
        <v>3646.2800000000025</v>
      </c>
      <c r="H125" s="156"/>
      <c r="I125" s="327">
        <f>G125-(G39+G53)</f>
        <v>-755.78000000005341</v>
      </c>
      <c r="J125" s="327"/>
    </row>
    <row r="126" spans="1:18" ht="27.75" customHeight="1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7.75" customHeight="1">
      <c r="A127" s="885"/>
      <c r="B127" s="885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898" t="s">
        <v>318</v>
      </c>
      <c r="B128" s="899"/>
      <c r="C128" s="900"/>
      <c r="D128" s="151" t="s">
        <v>183</v>
      </c>
      <c r="E128" s="95">
        <f>'13'!F128</f>
        <v>134586.37</v>
      </c>
      <c r="F128" s="165">
        <v>135054</v>
      </c>
      <c r="G128" s="112">
        <f t="shared" ref="G128:G134" si="10">F128-E128</f>
        <v>467.63000000000466</v>
      </c>
      <c r="H128" s="99">
        <f>G128+'13'!H128</f>
        <v>7410</v>
      </c>
      <c r="I128" s="165"/>
      <c r="J128" s="328">
        <f>H128/DAY(B2)</f>
        <v>529.28571428571433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75046.259999999995</v>
      </c>
      <c r="F129" s="165">
        <v>75223</v>
      </c>
      <c r="G129" s="112">
        <f t="shared" si="10"/>
        <v>176.74000000000524</v>
      </c>
      <c r="H129" s="99">
        <f>G129+'13'!H129</f>
        <v>2720</v>
      </c>
      <c r="I129" s="165"/>
      <c r="J129" s="328">
        <f>H129/DAY(B2)</f>
        <v>194.28571428571428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173582</v>
      </c>
      <c r="F130" s="165">
        <v>174432</v>
      </c>
      <c r="G130" s="112">
        <f t="shared" si="10"/>
        <v>850</v>
      </c>
      <c r="H130" s="99">
        <f>G130+'13'!H130</f>
        <v>9296.4799999999814</v>
      </c>
      <c r="I130" s="165"/>
      <c r="J130" s="328">
        <f>H130/DAY(B2)</f>
        <v>664.03428571428435</v>
      </c>
      <c r="N130" s="240"/>
      <c r="O130" s="241"/>
    </row>
    <row r="131" spans="1:15" ht="27.75" customHeight="1">
      <c r="A131" s="898" t="s">
        <v>321</v>
      </c>
      <c r="B131" s="899"/>
      <c r="C131" s="900"/>
      <c r="D131" s="151" t="s">
        <v>183</v>
      </c>
      <c r="E131" s="95">
        <f>'13'!F131</f>
        <v>50969.25</v>
      </c>
      <c r="F131" s="165">
        <v>51118</v>
      </c>
      <c r="G131" s="112">
        <f t="shared" si="10"/>
        <v>148.75</v>
      </c>
      <c r="H131" s="99">
        <f>G131+'13'!H131</f>
        <v>2669</v>
      </c>
      <c r="I131" s="165"/>
      <c r="J131" s="328">
        <f>H131/DAY(B2)</f>
        <v>190.64285714285714</v>
      </c>
      <c r="N131" s="240"/>
      <c r="O131" s="241"/>
    </row>
    <row r="132" spans="1:15" ht="27.75" customHeight="1">
      <c r="A132" s="898" t="s">
        <v>322</v>
      </c>
      <c r="B132" s="899"/>
      <c r="C132" s="900"/>
      <c r="D132" s="151" t="s">
        <v>183</v>
      </c>
      <c r="E132" s="95">
        <f>'13'!F132</f>
        <v>133475.94</v>
      </c>
      <c r="F132" s="165">
        <v>133886</v>
      </c>
      <c r="G132" s="112">
        <f t="shared" si="10"/>
        <v>410.05999999999767</v>
      </c>
      <c r="H132" s="99">
        <f>G132+'13'!H132</f>
        <v>5712</v>
      </c>
      <c r="I132" s="165"/>
      <c r="J132" s="328">
        <f>H132/DAY(B2)</f>
        <v>408</v>
      </c>
    </row>
    <row r="133" spans="1:15" ht="27.75" customHeight="1">
      <c r="A133" s="898" t="s">
        <v>341</v>
      </c>
      <c r="B133" s="899"/>
      <c r="C133" s="900"/>
      <c r="D133" s="151" t="s">
        <v>183</v>
      </c>
      <c r="E133" s="95">
        <f>'13'!F133</f>
        <v>224913.65</v>
      </c>
      <c r="F133" s="165">
        <v>225932</v>
      </c>
      <c r="G133" s="112">
        <f t="shared" si="10"/>
        <v>1018.3500000000058</v>
      </c>
      <c r="H133" s="99">
        <f>G133+'13'!H133</f>
        <v>3527.429999999993</v>
      </c>
      <c r="I133" s="165"/>
      <c r="J133" s="328">
        <f>H133/DAY(B2)</f>
        <v>251.95928571428522</v>
      </c>
    </row>
    <row r="134" spans="1:15" ht="27.75" customHeight="1">
      <c r="A134" s="898" t="s">
        <v>340</v>
      </c>
      <c r="B134" s="899"/>
      <c r="C134" s="900"/>
      <c r="D134" s="151" t="s">
        <v>183</v>
      </c>
      <c r="E134" s="95">
        <f>'13'!F134</f>
        <v>51778.3</v>
      </c>
      <c r="F134" s="165">
        <v>51994</v>
      </c>
      <c r="G134" s="112">
        <f t="shared" si="10"/>
        <v>215.69999999999709</v>
      </c>
      <c r="H134" s="99">
        <f>G134+'13'!H134</f>
        <v>2959</v>
      </c>
      <c r="I134" s="165"/>
      <c r="J134" s="328">
        <f>H134/DAY(B2)</f>
        <v>211.35714285714286</v>
      </c>
    </row>
    <row r="135" spans="1:15" ht="27.75" customHeight="1">
      <c r="A135" s="880" t="s">
        <v>196</v>
      </c>
      <c r="B135" s="881"/>
      <c r="C135" s="331"/>
      <c r="D135" s="151"/>
      <c r="E135" s="95"/>
      <c r="F135" s="165"/>
      <c r="G135" s="112">
        <f>SUM(G128:G134)</f>
        <v>3287.2300000000105</v>
      </c>
      <c r="H135" s="119">
        <f>H128+H134</f>
        <v>10369</v>
      </c>
      <c r="I135" s="327">
        <f>G135-(G35+G49)</f>
        <v>-895.01000000003842</v>
      </c>
      <c r="J135" s="328">
        <f>H135/DAY(B2)</f>
        <v>740.64285714285711</v>
      </c>
    </row>
    <row r="136" spans="1:15" ht="27.75" customHeight="1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97" t="s">
        <v>185</v>
      </c>
      <c r="B138" s="897"/>
      <c r="C138" s="897"/>
      <c r="D138" s="151" t="s">
        <v>183</v>
      </c>
      <c r="E138" s="95">
        <f>'13'!F138</f>
        <v>892918</v>
      </c>
      <c r="F138" s="147">
        <v>893090</v>
      </c>
      <c r="G138" s="112">
        <f t="shared" ref="G138:G152" si="11">F138-E138</f>
        <v>172</v>
      </c>
      <c r="H138" s="99">
        <f>G138+'13'!H138</f>
        <v>1979</v>
      </c>
      <c r="I138" s="118"/>
      <c r="J138" s="328">
        <f>H138/DAY(B2)</f>
        <v>141.35714285714286</v>
      </c>
    </row>
    <row r="139" spans="1:15" ht="27.75" customHeight="1">
      <c r="A139" s="897" t="s">
        <v>186</v>
      </c>
      <c r="B139" s="897"/>
      <c r="C139" s="897"/>
      <c r="D139" s="151" t="s">
        <v>183</v>
      </c>
      <c r="E139" s="95">
        <f>'13'!F139</f>
        <v>910891</v>
      </c>
      <c r="F139" s="148">
        <v>911031</v>
      </c>
      <c r="G139" s="112">
        <f t="shared" si="11"/>
        <v>140</v>
      </c>
      <c r="H139" s="99">
        <f>G139+'13'!H139</f>
        <v>2136</v>
      </c>
      <c r="I139" s="118"/>
      <c r="J139" s="328">
        <f>H139/DAY(B2)</f>
        <v>152.57142857142858</v>
      </c>
    </row>
    <row r="140" spans="1:15" ht="27.75" customHeight="1">
      <c r="A140" s="897" t="s">
        <v>187</v>
      </c>
      <c r="B140" s="897"/>
      <c r="C140" s="897"/>
      <c r="D140" s="151" t="s">
        <v>183</v>
      </c>
      <c r="E140" s="95">
        <f>'13'!F140</f>
        <v>1702.65</v>
      </c>
      <c r="F140" s="149">
        <v>1716</v>
      </c>
      <c r="G140" s="112">
        <f t="shared" si="11"/>
        <v>13.349999999999909</v>
      </c>
      <c r="H140" s="99">
        <f>G140+'13'!H140</f>
        <v>203</v>
      </c>
      <c r="I140" s="118"/>
      <c r="J140" s="328">
        <f>H140/DAY(B2)</f>
        <v>14.5</v>
      </c>
    </row>
    <row r="141" spans="1:15" ht="27.75" customHeight="1">
      <c r="A141" s="876" t="s">
        <v>188</v>
      </c>
      <c r="B141" s="876"/>
      <c r="C141" s="876"/>
      <c r="D141" s="151" t="s">
        <v>183</v>
      </c>
      <c r="E141" s="95">
        <f>'13'!F141</f>
        <v>93017.75</v>
      </c>
      <c r="F141" s="149">
        <v>93213</v>
      </c>
      <c r="G141" s="112">
        <f t="shared" si="11"/>
        <v>195.25</v>
      </c>
      <c r="H141" s="99">
        <f>G141+'13'!H141</f>
        <v>2761</v>
      </c>
      <c r="I141" s="118"/>
      <c r="J141" s="328">
        <f>H141/DAY(B2)</f>
        <v>197.21428571428572</v>
      </c>
    </row>
    <row r="142" spans="1:15" ht="27.75" customHeight="1">
      <c r="A142" s="876" t="s">
        <v>189</v>
      </c>
      <c r="B142" s="876"/>
      <c r="C142" s="876"/>
      <c r="D142" s="151" t="s">
        <v>183</v>
      </c>
      <c r="E142" s="95">
        <f>'13'!F142</f>
        <v>37717.68</v>
      </c>
      <c r="F142" s="148">
        <v>37808</v>
      </c>
      <c r="G142" s="112">
        <f t="shared" si="11"/>
        <v>90.319999999999709</v>
      </c>
      <c r="H142" s="99">
        <f>G142+'13'!H142</f>
        <v>1147</v>
      </c>
      <c r="I142" s="140"/>
      <c r="J142" s="328">
        <f>H142/DAY(B2)</f>
        <v>81.928571428571431</v>
      </c>
    </row>
    <row r="143" spans="1:15" ht="27.75" customHeight="1">
      <c r="A143" s="897" t="s">
        <v>91</v>
      </c>
      <c r="B143" s="897"/>
      <c r="C143" s="897"/>
      <c r="D143" s="151" t="s">
        <v>183</v>
      </c>
      <c r="E143" s="95">
        <f>'13'!F143</f>
        <v>9392.39</v>
      </c>
      <c r="F143" s="149">
        <v>9415</v>
      </c>
      <c r="G143" s="112">
        <f t="shared" si="11"/>
        <v>22.610000000000582</v>
      </c>
      <c r="H143" s="99">
        <f>G143+'13'!H143</f>
        <v>364</v>
      </c>
      <c r="I143" s="140"/>
      <c r="J143" s="328">
        <f>H143/DAY(B2)</f>
        <v>26</v>
      </c>
    </row>
    <row r="144" spans="1:15" ht="27.75" customHeight="1">
      <c r="A144" s="876" t="s">
        <v>90</v>
      </c>
      <c r="B144" s="876"/>
      <c r="C144" s="876"/>
      <c r="D144" s="151" t="s">
        <v>183</v>
      </c>
      <c r="E144" s="148">
        <v>922701</v>
      </c>
      <c r="F144" s="149">
        <v>922913</v>
      </c>
      <c r="G144" s="112">
        <f t="shared" si="11"/>
        <v>212</v>
      </c>
      <c r="H144" s="99">
        <f>G144+'13'!H144</f>
        <v>3076</v>
      </c>
      <c r="I144" s="140"/>
      <c r="J144" s="328">
        <f>H144/DAY(B2)</f>
        <v>219.71428571428572</v>
      </c>
    </row>
    <row r="145" spans="1:10" ht="27.75" customHeight="1">
      <c r="A145" s="897" t="s">
        <v>190</v>
      </c>
      <c r="B145" s="897"/>
      <c r="C145" s="897"/>
      <c r="D145" s="152" t="s">
        <v>183</v>
      </c>
      <c r="E145" s="95">
        <f>'13'!F145</f>
        <v>6203.4</v>
      </c>
      <c r="F145" s="149">
        <v>6232</v>
      </c>
      <c r="G145" s="112">
        <f t="shared" si="11"/>
        <v>28.600000000000364</v>
      </c>
      <c r="H145" s="99">
        <f>G145+'13'!H145</f>
        <v>425</v>
      </c>
      <c r="I145" s="140"/>
      <c r="J145" s="328">
        <f>H145/DAY(B2)</f>
        <v>30.357142857142858</v>
      </c>
    </row>
    <row r="146" spans="1:10" ht="27.75" customHeight="1">
      <c r="A146" s="932" t="s">
        <v>191</v>
      </c>
      <c r="B146" s="917"/>
      <c r="C146" s="918"/>
      <c r="D146" s="152" t="s">
        <v>183</v>
      </c>
      <c r="E146" s="95">
        <f>'13'!F146</f>
        <v>781845</v>
      </c>
      <c r="F146" s="148">
        <v>781926</v>
      </c>
      <c r="G146" s="112">
        <f t="shared" si="11"/>
        <v>81</v>
      </c>
      <c r="H146" s="99">
        <f>G146+'13'!H146</f>
        <v>1126</v>
      </c>
      <c r="I146" s="140"/>
      <c r="J146" s="328">
        <f>H146/DAY(B2)</f>
        <v>80.428571428571431</v>
      </c>
    </row>
    <row r="147" spans="1:10" ht="27.75" customHeight="1">
      <c r="A147" s="876" t="s">
        <v>192</v>
      </c>
      <c r="B147" s="876"/>
      <c r="C147" s="876"/>
      <c r="D147" s="152" t="s">
        <v>183</v>
      </c>
      <c r="E147" s="95">
        <f>'13'!F147</f>
        <v>704779.12</v>
      </c>
      <c r="F147" s="148">
        <v>705192</v>
      </c>
      <c r="G147" s="112">
        <f t="shared" si="11"/>
        <v>412.88000000000466</v>
      </c>
      <c r="H147" s="99">
        <f>G147+'13'!H147</f>
        <v>5423</v>
      </c>
      <c r="I147" s="140"/>
      <c r="J147" s="328">
        <f>H147/DAY(B2)</f>
        <v>387.35714285714283</v>
      </c>
    </row>
    <row r="148" spans="1:10" ht="27.75" customHeight="1">
      <c r="A148" s="877" t="s">
        <v>193</v>
      </c>
      <c r="B148" s="878"/>
      <c r="C148" s="879"/>
      <c r="D148" s="123" t="s">
        <v>130</v>
      </c>
      <c r="E148" s="95">
        <f>'13'!F148</f>
        <v>752516.64</v>
      </c>
      <c r="F148" s="150">
        <v>752776</v>
      </c>
      <c r="G148" s="112">
        <f t="shared" si="11"/>
        <v>259.35999999998603</v>
      </c>
      <c r="H148" s="99">
        <f>G148+'13'!H148</f>
        <v>4246</v>
      </c>
      <c r="I148" s="124"/>
      <c r="J148" s="328">
        <f>H148/DAY(B2)</f>
        <v>303.28571428571428</v>
      </c>
    </row>
    <row r="149" spans="1:10" ht="27.75" customHeight="1">
      <c r="A149" s="877" t="s">
        <v>336</v>
      </c>
      <c r="B149" s="878"/>
      <c r="C149" s="879"/>
      <c r="D149" s="227" t="s">
        <v>130</v>
      </c>
      <c r="E149" s="95">
        <f>'13'!F149</f>
        <v>138564.12</v>
      </c>
      <c r="F149" s="227">
        <v>139107</v>
      </c>
      <c r="G149" s="112">
        <f t="shared" si="11"/>
        <v>542.88000000000466</v>
      </c>
      <c r="H149" s="99">
        <f>G149+'13'!H149</f>
        <v>6673</v>
      </c>
      <c r="I149" s="119"/>
      <c r="J149" s="328">
        <f>H149/DAY(B2)</f>
        <v>476.64285714285717</v>
      </c>
    </row>
    <row r="150" spans="1:10" ht="27.75" customHeight="1">
      <c r="A150" s="877" t="s">
        <v>337</v>
      </c>
      <c r="B150" s="878"/>
      <c r="C150" s="879"/>
      <c r="D150" s="117" t="s">
        <v>130</v>
      </c>
      <c r="E150" s="95">
        <f>'13'!F150</f>
        <v>53534.78</v>
      </c>
      <c r="F150" s="233">
        <v>53733</v>
      </c>
      <c r="G150" s="112">
        <f t="shared" si="11"/>
        <v>198.22000000000116</v>
      </c>
      <c r="H150" s="99">
        <f>G150+'13'!H150</f>
        <v>3118</v>
      </c>
      <c r="I150" s="119"/>
      <c r="J150" s="328">
        <f>H150/DAY(B2)</f>
        <v>222.71428571428572</v>
      </c>
    </row>
    <row r="151" spans="1:10" ht="27.75" customHeight="1">
      <c r="A151" s="877" t="s">
        <v>338</v>
      </c>
      <c r="B151" s="878"/>
      <c r="C151" s="879"/>
      <c r="D151" s="117" t="s">
        <v>130</v>
      </c>
      <c r="E151" s="95">
        <f>'13'!F151</f>
        <v>139190</v>
      </c>
      <c r="F151" s="233">
        <v>139309</v>
      </c>
      <c r="G151" s="112">
        <f t="shared" si="11"/>
        <v>119</v>
      </c>
      <c r="H151" s="99">
        <f>G151+'13'!H151</f>
        <v>3860</v>
      </c>
      <c r="I151" s="119"/>
      <c r="J151" s="328">
        <f>H151/DAY(B2)</f>
        <v>275.71428571428572</v>
      </c>
    </row>
    <row r="152" spans="1:10" ht="27.75" customHeight="1">
      <c r="A152" s="877" t="s">
        <v>339</v>
      </c>
      <c r="B152" s="878"/>
      <c r="C152" s="879"/>
      <c r="D152" s="117" t="s">
        <v>130</v>
      </c>
      <c r="E152" s="95">
        <f>'13'!F152</f>
        <v>24456</v>
      </c>
      <c r="F152" s="233">
        <v>24819</v>
      </c>
      <c r="G152" s="112">
        <f t="shared" si="11"/>
        <v>363</v>
      </c>
      <c r="H152" s="99">
        <f>G152+'13'!H152</f>
        <v>1665</v>
      </c>
      <c r="I152" s="119"/>
      <c r="J152" s="328">
        <f>H152/DAY(B2)</f>
        <v>118.92857142857143</v>
      </c>
    </row>
    <row r="153" spans="1:10" ht="27.75" customHeight="1">
      <c r="A153" s="880" t="s">
        <v>196</v>
      </c>
      <c r="B153" s="881"/>
      <c r="C153" s="365"/>
      <c r="D153" s="358"/>
      <c r="E153" s="360"/>
      <c r="F153" s="361"/>
      <c r="G153" s="362">
        <f>SUM(G138:G152)</f>
        <v>2850.4699999999971</v>
      </c>
      <c r="H153" s="363"/>
      <c r="I153" s="119">
        <f>G153-(G38+G52)</f>
        <v>607.21999999998798</v>
      </c>
      <c r="J153" s="366"/>
    </row>
    <row r="154" spans="1:10" ht="27.75" customHeight="1">
      <c r="A154" s="884"/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 customHeight="1">
      <c r="A155" s="876" t="s">
        <v>345</v>
      </c>
      <c r="B155" s="876"/>
      <c r="C155" s="876"/>
      <c r="D155" s="117" t="s">
        <v>130</v>
      </c>
      <c r="E155" s="374">
        <f>'13'!F155</f>
        <v>156001.35999999999</v>
      </c>
      <c r="F155" s="374">
        <v>157297</v>
      </c>
      <c r="G155" s="112">
        <f t="shared" ref="G155:G158" si="12">F155-E155</f>
        <v>1295.640000000014</v>
      </c>
      <c r="H155" s="99">
        <f>G155+'13'!H155</f>
        <v>9148</v>
      </c>
      <c r="I155" s="364"/>
      <c r="J155" s="328">
        <f>H155/DAY(B2)</f>
        <v>653.42857142857144</v>
      </c>
    </row>
    <row r="156" spans="1:10" ht="27.75" customHeight="1">
      <c r="A156" s="876" t="s">
        <v>347</v>
      </c>
      <c r="B156" s="876"/>
      <c r="C156" s="876"/>
      <c r="D156" s="117" t="s">
        <v>130</v>
      </c>
      <c r="E156" s="374">
        <f>'13'!F156</f>
        <v>15940.47</v>
      </c>
      <c r="F156" s="155">
        <v>16118</v>
      </c>
      <c r="G156" s="112">
        <f t="shared" si="12"/>
        <v>177.53000000000065</v>
      </c>
      <c r="H156" s="99">
        <f>G156+'13'!H156</f>
        <v>1384</v>
      </c>
      <c r="I156" s="165"/>
      <c r="J156" s="328">
        <f>H156/DAY(B2)</f>
        <v>98.857142857142861</v>
      </c>
    </row>
    <row r="157" spans="1:10" ht="27.75" customHeight="1">
      <c r="A157" s="877" t="s">
        <v>360</v>
      </c>
      <c r="B157" s="878"/>
      <c r="C157" s="879"/>
      <c r="D157" s="117" t="s">
        <v>130</v>
      </c>
      <c r="E157" s="374">
        <f>'13'!F157</f>
        <v>29192.92</v>
      </c>
      <c r="F157" s="155">
        <v>29479</v>
      </c>
      <c r="G157" s="112">
        <f t="shared" si="12"/>
        <v>286.08000000000175</v>
      </c>
      <c r="H157" s="99">
        <f>G157+'13'!H157</f>
        <v>2033</v>
      </c>
      <c r="I157" s="165"/>
      <c r="J157" s="328">
        <f>H157/DAY(B2)</f>
        <v>145.21428571428572</v>
      </c>
    </row>
    <row r="158" spans="1:10" ht="27.75" customHeight="1">
      <c r="A158" s="877" t="s">
        <v>361</v>
      </c>
      <c r="B158" s="878"/>
      <c r="C158" s="879"/>
      <c r="D158" s="117" t="s">
        <v>130</v>
      </c>
      <c r="E158" s="374">
        <f>'13'!F158</f>
        <v>240.55</v>
      </c>
      <c r="F158" s="155">
        <v>241</v>
      </c>
      <c r="G158" s="112">
        <f t="shared" si="12"/>
        <v>0.44999999999998863</v>
      </c>
      <c r="H158" s="99">
        <f>G158+'13'!H158</f>
        <v>152.57999999999998</v>
      </c>
      <c r="I158" s="165"/>
      <c r="J158" s="328">
        <f>H158/DAY(B2)</f>
        <v>10.898571428571428</v>
      </c>
    </row>
    <row r="159" spans="1:10" ht="27.75" customHeight="1">
      <c r="A159" s="962"/>
      <c r="B159" s="963"/>
      <c r="C159" s="964"/>
      <c r="D159" s="117"/>
      <c r="E159" s="165"/>
      <c r="F159" s="165"/>
      <c r="G159" s="362">
        <f>SUM(G155:G158)</f>
        <v>1759.7000000000164</v>
      </c>
      <c r="H159" s="99"/>
      <c r="I159" s="165"/>
      <c r="J159" s="328"/>
    </row>
    <row r="160" spans="1:10" ht="27.75" customHeight="1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480446.68</v>
      </c>
      <c r="F161" s="235">
        <v>480496</v>
      </c>
      <c r="G161" s="238">
        <f t="shared" ref="G161:G165" si="13">F161-E161</f>
        <v>49.320000000006985</v>
      </c>
      <c r="H161" s="99">
        <f>G161+'13'!H161</f>
        <v>443</v>
      </c>
      <c r="I161" s="236"/>
      <c r="J161" s="239">
        <f>H161/DAY(B2)</f>
        <v>31.642857142857142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95469.6</v>
      </c>
      <c r="F162" s="235">
        <v>95487</v>
      </c>
      <c r="G162" s="238">
        <f t="shared" si="13"/>
        <v>17.399999999994179</v>
      </c>
      <c r="H162" s="99">
        <f>G162+'13'!H162</f>
        <v>559</v>
      </c>
      <c r="I162" s="236"/>
      <c r="J162" s="239">
        <f>H162/DAY(B2)</f>
        <v>39.928571428571431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8053.8</v>
      </c>
      <c r="F163" s="235">
        <v>8154</v>
      </c>
      <c r="G163" s="238">
        <f t="shared" si="13"/>
        <v>100.19999999999982</v>
      </c>
      <c r="H163" s="99">
        <f>G163+'13'!H163</f>
        <v>1653</v>
      </c>
      <c r="I163" s="236"/>
      <c r="J163" s="239">
        <f>H163/DAY(B2)</f>
        <v>118.07142857142857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6315.9</v>
      </c>
      <c r="F164" s="235">
        <v>6316</v>
      </c>
      <c r="G164" s="238">
        <f t="shared" si="13"/>
        <v>0.1000000000003638</v>
      </c>
      <c r="H164" s="99">
        <f>G164+'13'!H164</f>
        <v>36</v>
      </c>
      <c r="I164" s="236"/>
      <c r="J164" s="239">
        <f>H164/DAY(B2)</f>
        <v>2.5714285714285716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31738.21</v>
      </c>
      <c r="F165" s="235">
        <v>31743</v>
      </c>
      <c r="G165" s="238">
        <f t="shared" si="13"/>
        <v>4.7900000000008731</v>
      </c>
      <c r="H165" s="99">
        <f>G165+'13'!H165</f>
        <v>109</v>
      </c>
      <c r="I165" s="236"/>
      <c r="J165" s="239">
        <f>H165/DAY(B2)</f>
        <v>7.7857142857142856</v>
      </c>
    </row>
    <row r="166" spans="1:10" ht="27.75" customHeight="1">
      <c r="A166" s="885"/>
      <c r="B166" s="885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885"/>
      <c r="B167" s="885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885"/>
      <c r="B168" s="885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7.75" customHeight="1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91" t="s">
        <v>209</v>
      </c>
      <c r="B173" s="892"/>
      <c r="C173" s="333"/>
      <c r="D173" s="228" t="s">
        <v>142</v>
      </c>
      <c r="E173" s="95">
        <f>'13'!F173</f>
        <v>8276</v>
      </c>
      <c r="F173" s="155">
        <v>8276</v>
      </c>
      <c r="G173" s="155">
        <f>F173-E173</f>
        <v>0</v>
      </c>
      <c r="H173" s="99">
        <f>G173+'13'!H173</f>
        <v>41</v>
      </c>
      <c r="I173" s="155"/>
      <c r="J173" s="178">
        <f>H173/DAY(B2)</f>
        <v>2.9285714285714284</v>
      </c>
    </row>
    <row r="174" spans="1:10" ht="27.75" customHeight="1">
      <c r="A174" s="891" t="s">
        <v>75</v>
      </c>
      <c r="B174" s="892"/>
      <c r="C174" s="333"/>
      <c r="D174" s="228" t="s">
        <v>142</v>
      </c>
      <c r="E174" s="95">
        <f>'13'!F174</f>
        <v>41383</v>
      </c>
      <c r="F174" s="157">
        <v>41395</v>
      </c>
      <c r="G174" s="155">
        <f t="shared" ref="G174:G175" si="14">F174-E174</f>
        <v>12</v>
      </c>
      <c r="H174" s="99">
        <f>G174+'13'!H174</f>
        <v>191</v>
      </c>
      <c r="I174" s="155"/>
      <c r="J174" s="178">
        <f>H174/DAY(B2)</f>
        <v>13.642857142857142</v>
      </c>
    </row>
    <row r="175" spans="1:10" ht="27.75" customHeight="1">
      <c r="A175" s="891" t="s">
        <v>76</v>
      </c>
      <c r="B175" s="931"/>
      <c r="C175" s="892"/>
      <c r="D175" s="228" t="s">
        <v>142</v>
      </c>
      <c r="E175" s="95">
        <f>'13'!F175</f>
        <v>24179</v>
      </c>
      <c r="F175" s="155">
        <v>24193</v>
      </c>
      <c r="G175" s="155">
        <f t="shared" si="14"/>
        <v>14</v>
      </c>
      <c r="H175" s="99">
        <f>G175+'13'!H175</f>
        <v>162</v>
      </c>
      <c r="I175" s="155"/>
      <c r="J175" s="178">
        <f>H175/DAY(B2)</f>
        <v>11.571428571428571</v>
      </c>
    </row>
    <row r="176" spans="1:10" ht="27.75" customHeight="1">
      <c r="A176" s="880" t="s">
        <v>196</v>
      </c>
      <c r="B176" s="881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G176+'13'!H176</f>
        <v>394</v>
      </c>
      <c r="I176" s="155"/>
      <c r="J176" s="178">
        <f>H176/DAY(B2)</f>
        <v>28.142857142857142</v>
      </c>
    </row>
    <row r="177" spans="1:10" ht="27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891" t="s">
        <v>210</v>
      </c>
      <c r="B178" s="892"/>
      <c r="C178" s="333"/>
      <c r="D178" s="228" t="s">
        <v>142</v>
      </c>
      <c r="E178" s="95">
        <f>'13'!F178</f>
        <v>98781</v>
      </c>
      <c r="F178" s="157">
        <v>98857</v>
      </c>
      <c r="G178" s="155">
        <f>F178-E178</f>
        <v>76</v>
      </c>
      <c r="H178" s="99">
        <f>G178+'13'!H178</f>
        <v>1144</v>
      </c>
      <c r="I178" s="155"/>
      <c r="J178" s="178">
        <f>H178/DAY(B2)</f>
        <v>81.714285714285708</v>
      </c>
    </row>
    <row r="179" spans="1:10" ht="27.75" customHeight="1">
      <c r="A179" s="891" t="s">
        <v>211</v>
      </c>
      <c r="B179" s="892"/>
      <c r="C179" s="333"/>
      <c r="D179" s="228" t="s">
        <v>142</v>
      </c>
      <c r="E179" s="95">
        <f>'13'!F179</f>
        <v>36002</v>
      </c>
      <c r="F179" s="155">
        <v>36002</v>
      </c>
      <c r="G179" s="155">
        <f t="shared" ref="G179:G180" si="15">F179-E179</f>
        <v>0</v>
      </c>
      <c r="H179" s="99">
        <f>G179+'13'!H179</f>
        <v>0</v>
      </c>
      <c r="I179" s="155"/>
      <c r="J179" s="178">
        <f>H179/DAY(B2)</f>
        <v>0</v>
      </c>
    </row>
    <row r="180" spans="1:10" ht="27.75" customHeight="1">
      <c r="A180" s="891" t="s">
        <v>212</v>
      </c>
      <c r="B180" s="892"/>
      <c r="C180" s="333"/>
      <c r="D180" s="228" t="s">
        <v>142</v>
      </c>
      <c r="E180" s="95">
        <f>'13'!F180</f>
        <v>7177</v>
      </c>
      <c r="F180" s="155">
        <v>7177</v>
      </c>
      <c r="G180" s="155">
        <f t="shared" si="15"/>
        <v>0</v>
      </c>
      <c r="H180" s="99">
        <f>G180+'13'!H180</f>
        <v>15</v>
      </c>
      <c r="I180" s="155"/>
      <c r="J180" s="178">
        <f>H180/DAY(B2)</f>
        <v>1.0714285714285714</v>
      </c>
    </row>
    <row r="181" spans="1:10" ht="27.75" customHeight="1">
      <c r="A181" s="893" t="s">
        <v>108</v>
      </c>
      <c r="B181" s="894"/>
      <c r="C181" s="401"/>
      <c r="D181" s="228" t="s">
        <v>142</v>
      </c>
      <c r="E181" s="95"/>
      <c r="F181" s="155" t="s">
        <v>207</v>
      </c>
      <c r="G181" s="155">
        <f>SUM(G178:G180)</f>
        <v>76</v>
      </c>
      <c r="H181" s="99">
        <f>G181+'13'!H181</f>
        <v>1159</v>
      </c>
      <c r="I181" s="155"/>
      <c r="J181" s="178">
        <f>H181/DAY(B2)</f>
        <v>82.785714285714292</v>
      </c>
    </row>
    <row r="182" spans="1:10" ht="27.75" customHeight="1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891" t="s">
        <v>214</v>
      </c>
      <c r="B183" s="892"/>
      <c r="C183" s="334"/>
      <c r="D183" s="228" t="s">
        <v>142</v>
      </c>
      <c r="E183" s="95">
        <f>'13'!F183</f>
        <v>17581</v>
      </c>
      <c r="F183" s="157">
        <v>17587</v>
      </c>
      <c r="G183" s="157">
        <f>F183-E183</f>
        <v>6</v>
      </c>
      <c r="H183" s="99">
        <f>G183+'13'!H183</f>
        <v>114</v>
      </c>
      <c r="I183" s="155"/>
      <c r="J183" s="178">
        <f>H183/DAY(B2)</f>
        <v>8.1428571428571423</v>
      </c>
    </row>
    <row r="184" spans="1:10" ht="27.75" customHeight="1">
      <c r="A184" s="891" t="s">
        <v>215</v>
      </c>
      <c r="B184" s="892"/>
      <c r="C184" s="334"/>
      <c r="D184" s="228" t="s">
        <v>142</v>
      </c>
      <c r="E184" s="95">
        <f>'13'!F184</f>
        <v>12028</v>
      </c>
      <c r="F184" s="157">
        <v>12033</v>
      </c>
      <c r="G184" s="157">
        <f t="shared" ref="G184:G185" si="16">F184-E184</f>
        <v>5</v>
      </c>
      <c r="H184" s="99">
        <f>G184+'13'!H184</f>
        <v>98</v>
      </c>
      <c r="I184" s="155"/>
      <c r="J184" s="178">
        <f>H184/DAY(B2)</f>
        <v>7</v>
      </c>
    </row>
    <row r="185" spans="1:10" ht="27.75" customHeight="1">
      <c r="A185" s="891" t="s">
        <v>216</v>
      </c>
      <c r="B185" s="892"/>
      <c r="C185" s="334"/>
      <c r="D185" s="228" t="s">
        <v>142</v>
      </c>
      <c r="E185" s="95"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880" t="s">
        <v>196</v>
      </c>
      <c r="B186" s="881"/>
      <c r="C186" s="400"/>
      <c r="D186" s="228" t="s">
        <v>142</v>
      </c>
      <c r="E186" s="95"/>
      <c r="F186" s="157"/>
      <c r="G186" s="157">
        <f>SUM(G183:G185)</f>
        <v>11</v>
      </c>
      <c r="H186" s="99">
        <f>G186+'13'!H186</f>
        <v>212</v>
      </c>
      <c r="I186" s="157"/>
      <c r="J186" s="178">
        <f>H186/DAY(B2)</f>
        <v>15.142857142857142</v>
      </c>
    </row>
    <row r="187" spans="1:10" ht="27.75" customHeight="1">
      <c r="A187" s="882" t="s">
        <v>217</v>
      </c>
      <c r="B187" s="883"/>
      <c r="C187" s="333"/>
      <c r="D187" s="230" t="s">
        <v>142</v>
      </c>
      <c r="E187" s="95"/>
      <c r="F187" s="159"/>
      <c r="G187" s="159">
        <f>G62+G19</f>
        <v>173</v>
      </c>
      <c r="H187" s="99">
        <f>G187+'13'!H187</f>
        <v>2276</v>
      </c>
      <c r="I187" s="158"/>
      <c r="J187" s="179">
        <f>H187/DAY(B2)</f>
        <v>162.57142857142858</v>
      </c>
    </row>
    <row r="188" spans="1:10" ht="27.75" customHeight="1">
      <c r="A188" s="882" t="s">
        <v>218</v>
      </c>
      <c r="B188" s="883"/>
      <c r="C188" s="333"/>
      <c r="D188" s="230" t="s">
        <v>142</v>
      </c>
      <c r="E188" s="95"/>
      <c r="F188" s="159"/>
      <c r="G188" s="159">
        <f>G65+G66+G67+G69+G70</f>
        <v>134</v>
      </c>
      <c r="H188" s="99"/>
      <c r="I188" s="158"/>
      <c r="J188" s="405">
        <f>H188/DAY(B2)</f>
        <v>0</v>
      </c>
    </row>
    <row r="189" spans="1:10" ht="27.75" customHeight="1">
      <c r="A189" s="882" t="s">
        <v>219</v>
      </c>
      <c r="B189" s="883"/>
      <c r="C189" s="333"/>
      <c r="D189" s="230" t="s">
        <v>142</v>
      </c>
      <c r="E189" s="95"/>
      <c r="F189" s="157"/>
      <c r="G189" s="157">
        <f>G181</f>
        <v>76</v>
      </c>
      <c r="H189" s="99">
        <f>G189+'13'!H189</f>
        <v>1159</v>
      </c>
      <c r="I189" s="158"/>
      <c r="J189" s="179">
        <f>H189/DAY(B2)</f>
        <v>82.785714285714292</v>
      </c>
    </row>
    <row r="190" spans="1:10" ht="27.75" customHeight="1">
      <c r="A190" s="889"/>
      <c r="B190" s="890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3622047244094491" right="0.15748031496062992" top="0.15748031496062992" bottom="0.16" header="0.19685039370078741" footer="0.19685039370078741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75" zoomScale="55" zoomScaleSheetLayoutView="55" workbookViewId="0">
      <selection activeCell="A67" sqref="A67:XFD6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303</v>
      </c>
      <c r="B2" s="262">
        <v>44788</v>
      </c>
      <c r="C2" s="348" t="s">
        <v>67</v>
      </c>
      <c r="D2" s="218">
        <v>0.41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26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0.95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703635</v>
      </c>
      <c r="F7" s="95">
        <v>726803</v>
      </c>
      <c r="G7" s="112">
        <f>F7-E7</f>
        <v>23168</v>
      </c>
      <c r="H7" s="99">
        <f>G7+'14'!H7</f>
        <v>389673</v>
      </c>
      <c r="I7" s="113">
        <f>'1'!I7</f>
        <v>12000</v>
      </c>
      <c r="J7" s="175">
        <f>H7/DAY(B2)</f>
        <v>25978.2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'14'!F8</f>
        <v>860560</v>
      </c>
      <c r="F8" s="95">
        <v>883426</v>
      </c>
      <c r="G8" s="519">
        <f>F8-E8</f>
        <v>22866</v>
      </c>
      <c r="H8" s="99">
        <f>G8+'14'!H8</f>
        <v>394839</v>
      </c>
      <c r="I8" s="116"/>
      <c r="J8" s="175">
        <f>H8/DAY(B2)</f>
        <v>26322.6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3377599</v>
      </c>
      <c r="F9" s="469">
        <v>3380522</v>
      </c>
      <c r="G9" s="112">
        <f>F9-E9</f>
        <v>2923</v>
      </c>
      <c r="H9" s="99">
        <f>G9+'14'!H9</f>
        <v>101456</v>
      </c>
      <c r="I9" s="124">
        <f>I7-J7</f>
        <v>-13978.2</v>
      </c>
      <c r="J9" s="175">
        <f>H9/DAY(B2)</f>
        <v>6763.7333333333336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1925321</v>
      </c>
      <c r="F10" s="353">
        <v>1944960</v>
      </c>
      <c r="G10" s="112">
        <f>F10-E10</f>
        <v>19639</v>
      </c>
      <c r="H10" s="99">
        <f>G10+'14'!H10</f>
        <v>277802</v>
      </c>
      <c r="I10" s="282"/>
      <c r="J10" s="175">
        <f>H10/DAY(B2)</f>
        <v>18520.133333333335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37560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40380</v>
      </c>
      <c r="F12" s="117">
        <v>40380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22562</v>
      </c>
      <c r="H13" s="99">
        <f>G13+'14'!H13</f>
        <v>380592.59999999986</v>
      </c>
      <c r="I13" s="120">
        <f>G7-G13</f>
        <v>606</v>
      </c>
      <c r="J13" s="175">
        <f>H13/DAY(B2)</f>
        <v>25372.839999999989</v>
      </c>
      <c r="K13" s="79"/>
      <c r="L13" s="66"/>
      <c r="N13" s="87"/>
      <c r="O13" s="71"/>
    </row>
    <row r="14" spans="1:15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'14'!F15</f>
        <v>2115503</v>
      </c>
      <c r="F15" s="469">
        <v>2116570</v>
      </c>
      <c r="G15" s="112">
        <f>(F15-E15)</f>
        <v>1067</v>
      </c>
      <c r="H15" s="99">
        <f>G15+'14'!H15</f>
        <v>15702</v>
      </c>
      <c r="I15" s="113">
        <f>'1'!I15</f>
        <v>800</v>
      </c>
      <c r="J15" s="175">
        <f>H15/DAY(B2)</f>
        <v>1046.8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-246.79999999999995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'14'!F18</f>
        <v>20</v>
      </c>
      <c r="F18" s="122">
        <v>25</v>
      </c>
      <c r="G18" s="119">
        <f>F18*10</f>
        <v>250</v>
      </c>
      <c r="H18" s="99">
        <f>G18+'14'!H18</f>
        <v>2380</v>
      </c>
      <c r="I18" s="113">
        <f>'1'!I18</f>
        <v>65</v>
      </c>
      <c r="J18" s="175">
        <f>H18/DAY(B2)</f>
        <v>158.66666666666666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'14'!F19</f>
        <v>163041</v>
      </c>
      <c r="F19" s="122">
        <v>163091</v>
      </c>
      <c r="G19" s="112">
        <f t="shared" ref="G19" si="1">F19-E19</f>
        <v>50</v>
      </c>
      <c r="H19" s="99">
        <f>G19+'14'!H19</f>
        <v>756</v>
      </c>
      <c r="I19" s="335"/>
      <c r="J19" s="175">
        <f>H19/DAY(B2)</f>
        <v>50.4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300</v>
      </c>
      <c r="H20" s="99">
        <f>G20+'14'!H20</f>
        <v>3136</v>
      </c>
      <c r="I20" s="336">
        <f>I18-J20</f>
        <v>-144.06666666666666</v>
      </c>
      <c r="J20" s="175">
        <f>H20/DAY(B2)</f>
        <v>209.06666666666666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22866</v>
      </c>
      <c r="F27" s="136">
        <v>9</v>
      </c>
      <c r="G27" s="137">
        <f>E27*F27</f>
        <v>205794</v>
      </c>
      <c r="H27" s="99">
        <f>G27+'14'!H27</f>
        <v>3553551</v>
      </c>
      <c r="I27" s="138"/>
      <c r="J27" s="175">
        <f>H27/DAY(B2)</f>
        <v>236903.4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1067</v>
      </c>
      <c r="F28" s="136">
        <v>70</v>
      </c>
      <c r="G28" s="137">
        <f>E28*F28</f>
        <v>74690</v>
      </c>
      <c r="H28" s="99">
        <f>G28+'14'!H28</f>
        <v>1099140</v>
      </c>
      <c r="I28" s="140"/>
      <c r="J28" s="175">
        <f>H28/DAY(B2)</f>
        <v>73276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G30+'14'!H30</f>
        <v>114156</v>
      </c>
      <c r="I30" s="140"/>
      <c r="J30" s="175">
        <f>H30/DAY(B2)</f>
        <v>7610.4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G31+'14'!H31</f>
        <v>190400</v>
      </c>
      <c r="I31" s="140"/>
      <c r="J31" s="175">
        <f>H31/DAY(B2)</f>
        <v>12693.333333333334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308034</v>
      </c>
      <c r="H32" s="99">
        <f>G32+'14'!H32</f>
        <v>4957247</v>
      </c>
      <c r="I32" s="144"/>
      <c r="J32" s="175">
        <f>H32/DAY(B2)</f>
        <v>330483.13333333336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238713</v>
      </c>
      <c r="F35" s="145">
        <v>238713.05</v>
      </c>
      <c r="G35" s="112">
        <f t="shared" ref="G35:G46" si="3">F35-E35</f>
        <v>4.9999999988358468E-2</v>
      </c>
      <c r="H35" s="99">
        <f>G35+'14'!H35</f>
        <v>4.9999999988358468E-2</v>
      </c>
      <c r="I35" s="95"/>
      <c r="J35" s="175">
        <f>H35/DAY(B2)</f>
        <v>3.3333333325572313E-3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227620</v>
      </c>
      <c r="F36" s="145">
        <v>228291</v>
      </c>
      <c r="G36" s="112">
        <f t="shared" si="3"/>
        <v>671</v>
      </c>
      <c r="H36" s="99">
        <f>G36+'14'!H36</f>
        <v>12761</v>
      </c>
      <c r="I36" s="95"/>
      <c r="J36" s="175">
        <f>H36/DAY(B2)</f>
        <v>850.73333333333335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322998.69</v>
      </c>
      <c r="F37" s="145">
        <v>322999</v>
      </c>
      <c r="G37" s="112">
        <f t="shared" si="3"/>
        <v>0.30999999999767169</v>
      </c>
      <c r="H37" s="99">
        <f>G37+'14'!H37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488827</v>
      </c>
      <c r="F38" s="108">
        <v>491065</v>
      </c>
      <c r="G38" s="112">
        <f t="shared" si="3"/>
        <v>2238</v>
      </c>
      <c r="H38" s="99">
        <f>G38+'14'!H38</f>
        <v>33704</v>
      </c>
      <c r="I38" s="95"/>
      <c r="J38" s="175">
        <f>H38/DAY(B2)</f>
        <v>2246.9333333333334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591584</v>
      </c>
      <c r="F39" s="145">
        <v>591584</v>
      </c>
      <c r="G39" s="112">
        <f t="shared" si="3"/>
        <v>0</v>
      </c>
      <c r="H39" s="99">
        <f>G39+'14'!H39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119010</v>
      </c>
      <c r="F40" s="145">
        <v>119873</v>
      </c>
      <c r="G40" s="112">
        <f t="shared" si="3"/>
        <v>863</v>
      </c>
      <c r="H40" s="99">
        <f>G40+'14'!H40</f>
        <v>13097</v>
      </c>
      <c r="I40" s="95"/>
      <c r="J40" s="175">
        <f>H40/DAY(B2)</f>
        <v>873.13333333333333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246176.85</v>
      </c>
      <c r="F41" s="145">
        <v>246177</v>
      </c>
      <c r="G41" s="112">
        <f t="shared" si="3"/>
        <v>0.14999999999417923</v>
      </c>
      <c r="H41" s="99">
        <f>G41+'14'!H41</f>
        <v>34474</v>
      </c>
      <c r="I41" s="95"/>
      <c r="J41" s="175">
        <f>H41/DAY(B2)</f>
        <v>2298.2666666666669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771007</v>
      </c>
      <c r="F42" s="145">
        <v>771007</v>
      </c>
      <c r="G42" s="112">
        <f t="shared" si="3"/>
        <v>0</v>
      </c>
      <c r="H42" s="99">
        <f>G42+'14'!H42</f>
        <v>22643</v>
      </c>
      <c r="I42" s="95"/>
      <c r="J42" s="175">
        <f>H42/DAY(B2)</f>
        <v>1509.5333333333333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407028</v>
      </c>
      <c r="F43" s="145">
        <v>407028</v>
      </c>
      <c r="G43" s="112">
        <f t="shared" si="3"/>
        <v>0</v>
      </c>
      <c r="H43" s="99">
        <f>G43+'14'!H43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3772.5099999999802</v>
      </c>
      <c r="H47" s="99">
        <f>G47+'14'!H47</f>
        <v>116679.04999999999</v>
      </c>
      <c r="I47" s="95"/>
      <c r="J47" s="175">
        <f>H47/DAY(B2)</f>
        <v>7778.6033333333326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541229</v>
      </c>
      <c r="F49" s="145">
        <v>545105</v>
      </c>
      <c r="G49" s="112">
        <f t="shared" ref="G49:G58" si="4">F49-E49</f>
        <v>3876</v>
      </c>
      <c r="H49" s="99">
        <f>G49+'14'!H49</f>
        <v>60051</v>
      </c>
      <c r="I49" s="95"/>
      <c r="J49" s="175">
        <f>H49/DAY(B2)</f>
        <v>4003.4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'14'!F50</f>
        <v>299284</v>
      </c>
      <c r="F50" s="145">
        <v>300373</v>
      </c>
      <c r="G50" s="112">
        <f t="shared" si="4"/>
        <v>1089</v>
      </c>
      <c r="H50" s="99">
        <f>G50+'14'!H50</f>
        <v>17623</v>
      </c>
      <c r="I50" s="95"/>
      <c r="J50" s="175">
        <f>H50/DAY(B2)</f>
        <v>1174.8666666666666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23566</v>
      </c>
      <c r="F51" s="145">
        <v>24529</v>
      </c>
      <c r="G51" s="112">
        <f t="shared" si="4"/>
        <v>963</v>
      </c>
      <c r="H51" s="99">
        <f>G51+'14'!H51</f>
        <v>16021</v>
      </c>
      <c r="I51" s="95"/>
      <c r="J51" s="175">
        <f>H51/DAY(B2)</f>
        <v>1068.0666666666666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10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95808</v>
      </c>
      <c r="F53" s="145">
        <v>100238</v>
      </c>
      <c r="G53" s="112">
        <f t="shared" si="4"/>
        <v>4430</v>
      </c>
      <c r="H53" s="99">
        <f>G53+'14'!H53</f>
        <v>66377</v>
      </c>
      <c r="I53" s="95"/>
      <c r="J53" s="175">
        <f>H53/DAY(B2)</f>
        <v>4425.1333333333332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92597</v>
      </c>
      <c r="F54" s="145">
        <v>92781</v>
      </c>
      <c r="G54" s="112">
        <f t="shared" si="4"/>
        <v>184</v>
      </c>
      <c r="H54" s="99">
        <f>G54+'14'!H54</f>
        <v>4838</v>
      </c>
      <c r="I54" s="95"/>
      <c r="J54" s="175">
        <f>H54/DAY(B2)</f>
        <v>322.53333333333336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402707</v>
      </c>
      <c r="F55" s="145">
        <v>406801</v>
      </c>
      <c r="G55" s="112">
        <f t="shared" si="4"/>
        <v>4094</v>
      </c>
      <c r="H55" s="99">
        <f>G55+'14'!H55</f>
        <v>44024</v>
      </c>
      <c r="I55" s="95"/>
      <c r="J55" s="175">
        <f>H55/DAY(B2)</f>
        <v>2934.9333333333334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123882</v>
      </c>
      <c r="F56" s="145">
        <v>123882</v>
      </c>
      <c r="G56" s="112">
        <f t="shared" si="4"/>
        <v>0</v>
      </c>
      <c r="H56" s="99">
        <f>G56+'14'!H56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269636</v>
      </c>
      <c r="F57" s="145">
        <v>272688</v>
      </c>
      <c r="G57" s="112">
        <f t="shared" si="4"/>
        <v>3052</v>
      </c>
      <c r="H57" s="99">
        <f>G57+'14'!H57</f>
        <v>46518</v>
      </c>
      <c r="I57" s="95"/>
      <c r="J57" s="175">
        <f>H57/DAY(B2)</f>
        <v>3101.2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52784</v>
      </c>
      <c r="F58" s="145">
        <v>53069</v>
      </c>
      <c r="G58" s="112">
        <f t="shared" si="4"/>
        <v>285</v>
      </c>
      <c r="H58" s="99">
        <f>G58+'14'!H58</f>
        <v>3960</v>
      </c>
      <c r="I58" s="95"/>
      <c r="J58" s="175">
        <f>H58/DAY(B2)</f>
        <v>264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17973</v>
      </c>
      <c r="H59" s="99">
        <f>G59+'14'!H59</f>
        <v>259412.00000000006</v>
      </c>
      <c r="I59" s="95">
        <f>G7-G60</f>
        <v>1422.4900000000198</v>
      </c>
      <c r="J59" s="175">
        <f>H59/DAY(B2)</f>
        <v>17294.133333333339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21745.50999999998</v>
      </c>
      <c r="H60" s="99">
        <f>G60+'14'!H60</f>
        <v>376091.05000000005</v>
      </c>
      <c r="I60" s="95">
        <f>G13-G60</f>
        <v>816.49000000001979</v>
      </c>
      <c r="J60" s="175">
        <f>H60/DAY(B2)</f>
        <v>25072.736666666671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'14'!F62</f>
        <v>297845</v>
      </c>
      <c r="F62" s="122">
        <v>297956</v>
      </c>
      <c r="G62" s="112">
        <f t="shared" ref="G62:G63" si="5">F62-E62</f>
        <v>111</v>
      </c>
      <c r="H62" s="99">
        <f>G62+'14'!H62</f>
        <v>1681</v>
      </c>
      <c r="I62" s="118"/>
      <c r="J62" s="175">
        <f>H62/DAY(B2)</f>
        <v>112.06666666666666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'14'!F63</f>
        <v>240904</v>
      </c>
      <c r="F63" s="122">
        <v>241012</v>
      </c>
      <c r="G63" s="112">
        <f t="shared" si="5"/>
        <v>108</v>
      </c>
      <c r="H63" s="99">
        <f>G63+'14'!H63</f>
        <v>1879</v>
      </c>
      <c r="I63" s="118"/>
      <c r="J63" s="175">
        <f>H63/DAY(B2)</f>
        <v>125.26666666666667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/>
      <c r="F64" s="122"/>
      <c r="G64" s="112">
        <f>G62+G63</f>
        <v>219</v>
      </c>
      <c r="H64" s="99">
        <f>G64+'14'!H64</f>
        <v>3560</v>
      </c>
      <c r="I64" s="118"/>
      <c r="J64" s="175">
        <f>H64/DAY(B2)</f>
        <v>237.33333333333334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'14'!F65</f>
        <v>456172</v>
      </c>
      <c r="F65" s="122">
        <v>456255</v>
      </c>
      <c r="G65" s="112">
        <f t="shared" ref="G65:G70" si="6">F65-E65</f>
        <v>83</v>
      </c>
      <c r="H65" s="99">
        <f>G65+'14'!H65</f>
        <v>1545</v>
      </c>
      <c r="I65" s="118"/>
      <c r="J65" s="175">
        <f>H65/DAY(B2)</f>
        <v>103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'14'!F66</f>
        <v>112046</v>
      </c>
      <c r="F66" s="122">
        <v>112071</v>
      </c>
      <c r="G66" s="112">
        <f t="shared" si="6"/>
        <v>25</v>
      </c>
      <c r="H66" s="99">
        <f>G66+'14'!H66</f>
        <v>349</v>
      </c>
      <c r="I66" s="118"/>
      <c r="J66" s="175">
        <f>H66/DAY(B2)</f>
        <v>23.266666666666666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'14'!F67</f>
        <v>113852</v>
      </c>
      <c r="F67" s="122">
        <v>113852</v>
      </c>
      <c r="G67" s="112">
        <f t="shared" si="6"/>
        <v>0</v>
      </c>
      <c r="H67" s="99">
        <f>G67+'14'!H67</f>
        <v>172</v>
      </c>
      <c r="I67" s="118"/>
      <c r="J67" s="175">
        <f>H67/DAY(B2)</f>
        <v>11.466666666666667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'14'!F68</f>
        <v>165058</v>
      </c>
      <c r="F68" s="122">
        <v>165087</v>
      </c>
      <c r="G68" s="112">
        <f t="shared" si="6"/>
        <v>29</v>
      </c>
      <c r="H68" s="99">
        <f>G68+'14'!H68</f>
        <v>425</v>
      </c>
      <c r="I68" s="118"/>
      <c r="J68" s="175">
        <f>H68/DAY(B2)</f>
        <v>28.333333333333332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'14'!F69</f>
        <v>12364</v>
      </c>
      <c r="F69" s="122">
        <v>12370</v>
      </c>
      <c r="G69" s="112">
        <f t="shared" si="6"/>
        <v>6</v>
      </c>
      <c r="H69" s="99">
        <f>G69+'14'!H69</f>
        <v>95</v>
      </c>
      <c r="I69" s="118"/>
      <c r="J69" s="175">
        <f>H69/DAY(B2)</f>
        <v>6.333333333333333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'14'!F70</f>
        <v>9949</v>
      </c>
      <c r="F70" s="122">
        <v>9969</v>
      </c>
      <c r="G70" s="112">
        <f t="shared" si="6"/>
        <v>20</v>
      </c>
      <c r="H70" s="99">
        <f>G70+'14'!H70</f>
        <v>142</v>
      </c>
      <c r="I70" s="118"/>
      <c r="J70" s="175">
        <f>H70/DAY(B2)</f>
        <v>9.4666666666666668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163</v>
      </c>
      <c r="H71" s="99">
        <f>G71+'14'!H71</f>
        <v>2728</v>
      </c>
      <c r="I71" s="154"/>
      <c r="J71" s="175">
        <f>H71/DAY(B2)</f>
        <v>181.86666666666667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'14'!F74</f>
        <v>962077</v>
      </c>
      <c r="F74" s="123">
        <v>962408</v>
      </c>
      <c r="G74" s="112">
        <f t="shared" ref="G74:G78" si="7">F74-E74</f>
        <v>331</v>
      </c>
      <c r="H74" s="99">
        <f>G74+'14'!H74</f>
        <v>4750.140000000014</v>
      </c>
      <c r="I74" s="154"/>
      <c r="J74" s="175">
        <f>H74/DAY(B2)</f>
        <v>316.67600000000095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'14'!F75</f>
        <v>73586.8</v>
      </c>
      <c r="F75" s="123">
        <v>73586.8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'14'!F76</f>
        <v>191777</v>
      </c>
      <c r="F76" s="123">
        <v>191881</v>
      </c>
      <c r="G76" s="112">
        <f t="shared" si="7"/>
        <v>104</v>
      </c>
      <c r="H76" s="99">
        <f>G76+'14'!H76</f>
        <v>1709</v>
      </c>
      <c r="I76" s="154"/>
      <c r="J76" s="175">
        <f>H76/DAY(B2)</f>
        <v>113.93333333333334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'14'!F77</f>
        <v>51010</v>
      </c>
      <c r="F77" s="123">
        <v>51064</v>
      </c>
      <c r="G77" s="112">
        <f t="shared" si="7"/>
        <v>54</v>
      </c>
      <c r="H77" s="99">
        <f>G77+'14'!H77</f>
        <v>751</v>
      </c>
      <c r="I77" s="154"/>
      <c r="J77" s="175">
        <f>H77/DAY(B2)</f>
        <v>50.06666666666667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'14'!F78</f>
        <v>9564</v>
      </c>
      <c r="F78" s="410">
        <v>9564</v>
      </c>
      <c r="G78" s="112">
        <f t="shared" si="7"/>
        <v>0</v>
      </c>
      <c r="H78" s="99">
        <f>G78+'14'!H78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'14'!F79</f>
        <v>0</v>
      </c>
      <c r="F79" s="123"/>
      <c r="G79" s="112">
        <f>G15-SUM(G74:G78)</f>
        <v>578</v>
      </c>
      <c r="H79" s="99">
        <f>G79+'14'!H79</f>
        <v>8491.859999999986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1067</v>
      </c>
      <c r="H80" s="99"/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'14'!F84</f>
        <v>42707</v>
      </c>
      <c r="F84" s="164">
        <v>42707</v>
      </c>
      <c r="G84" s="112">
        <f t="shared" si="8"/>
        <v>0</v>
      </c>
      <c r="H84" s="99">
        <f>G84+'14'!H84</f>
        <v>118</v>
      </c>
      <c r="I84" s="571"/>
      <c r="J84" s="175">
        <f>H84/DAY(B2)</f>
        <v>7.8666666666666663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'14'!F85</f>
        <v>5241</v>
      </c>
      <c r="F85" s="164">
        <v>5241</v>
      </c>
      <c r="G85" s="112">
        <f t="shared" si="8"/>
        <v>0</v>
      </c>
      <c r="H85" s="99">
        <f>G85+'14'!H85</f>
        <v>100.8100000000004</v>
      </c>
      <c r="I85" s="571"/>
      <c r="J85" s="175">
        <f>H85/DAY(B2)</f>
        <v>6.720666666666693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'14'!F86</f>
        <v>45651</v>
      </c>
      <c r="F86" s="164">
        <v>45675</v>
      </c>
      <c r="G86" s="112">
        <f t="shared" si="8"/>
        <v>24</v>
      </c>
      <c r="H86" s="99">
        <f>G86+'14'!H86</f>
        <v>296</v>
      </c>
      <c r="I86" s="571"/>
      <c r="J86" s="175">
        <f>H86/DAY(B2)</f>
        <v>19.733333333333334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'14'!F87</f>
        <v>35481</v>
      </c>
      <c r="F87" s="164">
        <v>35481</v>
      </c>
      <c r="G87" s="112">
        <f t="shared" si="8"/>
        <v>0</v>
      </c>
      <c r="H87" s="99">
        <f>G87+'14'!H87</f>
        <v>23.569999999999709</v>
      </c>
      <c r="I87" s="553">
        <f>G84+G85+G86+G87</f>
        <v>24</v>
      </c>
      <c r="J87" s="175">
        <f>H87/DAY(B2)</f>
        <v>1.5713333333333139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'14'!F88</f>
        <v>24318.959999999999</v>
      </c>
      <c r="F88" s="164">
        <v>24318.959999999999</v>
      </c>
      <c r="G88" s="112">
        <f t="shared" si="8"/>
        <v>0</v>
      </c>
      <c r="H88" s="99">
        <f>G88+'14'!H88</f>
        <v>15.5</v>
      </c>
      <c r="I88" s="553"/>
      <c r="J88" s="175">
        <f>H88/DAY(B2)</f>
        <v>1.0333333333333334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'14'!F89</f>
        <v>27677</v>
      </c>
      <c r="F89" s="164">
        <v>27686.11</v>
      </c>
      <c r="G89" s="112">
        <f t="shared" si="8"/>
        <v>9.1100000000005821</v>
      </c>
      <c r="H89" s="99">
        <f>G89+'14'!H89</f>
        <v>119.5</v>
      </c>
      <c r="I89" s="553">
        <f>G88+G89</f>
        <v>9.1100000000005821</v>
      </c>
      <c r="J89" s="175">
        <f>H89/DAY(B2)</f>
        <v>7.9666666666666668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'14'!F90</f>
        <v>72762.2</v>
      </c>
      <c r="F90" s="164">
        <v>72773.64</v>
      </c>
      <c r="G90" s="112">
        <f t="shared" si="8"/>
        <v>11.440000000002328</v>
      </c>
      <c r="H90" s="99">
        <f>G90+'14'!H90</f>
        <v>167.08999999999651</v>
      </c>
      <c r="I90" s="553">
        <f>G90</f>
        <v>11.440000000002328</v>
      </c>
      <c r="J90" s="175">
        <f>H90/DAY(B2)</f>
        <v>11.1393333333331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'14'!F91</f>
        <v>4289.5</v>
      </c>
      <c r="F91" s="122">
        <v>4289.5</v>
      </c>
      <c r="G91" s="112">
        <f t="shared" si="8"/>
        <v>0</v>
      </c>
      <c r="H91" s="99">
        <f>G91+'14'!H91</f>
        <v>-3.999999999996362E-2</v>
      </c>
      <c r="I91" s="612"/>
      <c r="J91" s="175">
        <f>H91/DAY(B2)</f>
        <v>-2.6666666666642414E-3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'14'!F92</f>
        <v>6872.53</v>
      </c>
      <c r="F92" s="122">
        <v>6883.92</v>
      </c>
      <c r="G92" s="112">
        <f t="shared" si="8"/>
        <v>11.390000000000327</v>
      </c>
      <c r="H92" s="99">
        <f>G92+'14'!H92</f>
        <v>166.59000000000015</v>
      </c>
      <c r="I92" s="613">
        <f>G91+G92</f>
        <v>11.390000000000327</v>
      </c>
      <c r="J92" s="175">
        <f>H92/DAY(B2)</f>
        <v>11.106000000000011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6928.0499999999884</v>
      </c>
      <c r="H94" s="99">
        <f>G94+'14'!H94</f>
        <v>106569.04999999999</v>
      </c>
      <c r="I94" s="118"/>
      <c r="J94" s="175">
        <f>H94/DAY(B2)</f>
        <v>7104.6033333333326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0.29903530732044148</v>
      </c>
      <c r="H95" s="99">
        <f>G95+'14'!H95</f>
        <v>4.1103053255593949</v>
      </c>
      <c r="I95" s="167"/>
      <c r="J95" s="175">
        <f>H95/DAY(B2)</f>
        <v>0.274020355037293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4094.1499999999942</v>
      </c>
      <c r="H96" s="99">
        <f>G96+'14'!H96</f>
        <v>101141</v>
      </c>
      <c r="I96" s="118"/>
      <c r="J96" s="175">
        <f>H96/DAY(B2)</f>
        <v>6742.7333333333336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0.17671572859115997</v>
      </c>
      <c r="H97" s="99">
        <f>G97+'14'!H97</f>
        <v>3.8819304682509745</v>
      </c>
      <c r="I97" s="167"/>
      <c r="J97" s="175">
        <f>H97/DAY(B2)</f>
        <v>0.25879536455006497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4430</v>
      </c>
      <c r="H98" s="99">
        <f>G98+'14'!H98</f>
        <v>66377</v>
      </c>
      <c r="I98" s="168"/>
      <c r="J98" s="175">
        <f>H98/DAY(B2)</f>
        <v>4425.1333333333332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0.19121201657458564</v>
      </c>
      <c r="H99" s="99">
        <f>G99+'14'!H99</f>
        <v>2.5587802956290302</v>
      </c>
      <c r="I99" s="168"/>
      <c r="J99" s="175">
        <f>H99/DAY(B2)</f>
        <v>0.17058535304193534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2238</v>
      </c>
      <c r="H100" s="99">
        <f>G100+'14'!H100</f>
        <v>33704</v>
      </c>
      <c r="I100" s="118"/>
      <c r="J100" s="175">
        <f>H100/DAY(B2)</f>
        <v>2246.9333333333334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9.6598756906077346E-2</v>
      </c>
      <c r="H101" s="99">
        <f>G101+'14'!H101</f>
        <v>1.2993865028429015</v>
      </c>
      <c r="I101" s="168"/>
      <c r="J101" s="175">
        <f>H101/DAY(B2)</f>
        <v>8.6625766856193429E-2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1760</v>
      </c>
      <c r="H102" s="99">
        <f>G102+'14'!H102</f>
        <v>30384</v>
      </c>
      <c r="I102" s="168"/>
      <c r="J102" s="175">
        <f>H102/DAY(B2)</f>
        <v>2025.6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7.5966850828729282E-2</v>
      </c>
      <c r="H103" s="99">
        <f>G103+'14'!H103</f>
        <v>1.1668138676142392</v>
      </c>
      <c r="I103" s="118"/>
      <c r="J103" s="175">
        <f>H103/DAY(B2)</f>
        <v>7.7787591174282619E-2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963.30999999999767</v>
      </c>
      <c r="H104" s="99">
        <f>G104+'14'!H104</f>
        <v>16021</v>
      </c>
      <c r="I104" s="118"/>
      <c r="J104" s="175">
        <f>H104/DAY(B2)</f>
        <v>1068.0666666666666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4.1579333563535811E-2</v>
      </c>
      <c r="H105" s="99">
        <f>G105+'14'!H105</f>
        <v>0.61719521440731373</v>
      </c>
      <c r="I105" s="187"/>
      <c r="J105" s="188">
        <f>H105/DAY(B2)</f>
        <v>4.1146347627154252E-2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'14'!F112</f>
        <v>8277</v>
      </c>
      <c r="F112" s="237">
        <v>8349</v>
      </c>
      <c r="G112" s="112">
        <f t="shared" ref="G112:G123" si="9">F112-E112</f>
        <v>72</v>
      </c>
      <c r="H112" s="99">
        <f>G112+'14'!H112</f>
        <v>1084</v>
      </c>
      <c r="I112" s="165"/>
      <c r="J112" s="328">
        <f>H112/DAY(B2)</f>
        <v>72.266666666666666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'14'!F113</f>
        <v>16972</v>
      </c>
      <c r="F113" s="237">
        <v>17108</v>
      </c>
      <c r="G113" s="112">
        <f t="shared" si="9"/>
        <v>136</v>
      </c>
      <c r="H113" s="99">
        <f>G113+'14'!H113</f>
        <v>2093</v>
      </c>
      <c r="I113" s="165"/>
      <c r="J113" s="328">
        <f>H113/DAY(B2)</f>
        <v>139.53333333333333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'14'!F114</f>
        <v>24378</v>
      </c>
      <c r="F114" s="237">
        <v>24545</v>
      </c>
      <c r="G114" s="112">
        <f t="shared" si="9"/>
        <v>167</v>
      </c>
      <c r="H114" s="99">
        <f>G114+'14'!H114</f>
        <v>3277</v>
      </c>
      <c r="I114" s="165"/>
      <c r="J114" s="328">
        <f>H114/DAY(B2)</f>
        <v>218.46666666666667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'14'!F115</f>
        <v>15405</v>
      </c>
      <c r="F115" s="237">
        <v>15464</v>
      </c>
      <c r="G115" s="112">
        <f t="shared" si="9"/>
        <v>59</v>
      </c>
      <c r="H115" s="99">
        <f>G115+'14'!H115</f>
        <v>1888.5200000000004</v>
      </c>
      <c r="I115" s="165"/>
      <c r="J115" s="328">
        <f>H115/DAY(B2)</f>
        <v>125.90133333333337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'14'!F116</f>
        <v>76462</v>
      </c>
      <c r="F116" s="417">
        <v>76985</v>
      </c>
      <c r="G116" s="112">
        <f t="shared" si="9"/>
        <v>523</v>
      </c>
      <c r="H116" s="99">
        <f>G116+'14'!H116</f>
        <v>6493</v>
      </c>
      <c r="I116" s="165"/>
      <c r="J116" s="328">
        <f>H116/DAY(B2)</f>
        <v>432.86666666666667</v>
      </c>
      <c r="Q116" s="898"/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'14'!F117</f>
        <v>44221</v>
      </c>
      <c r="F117" s="237">
        <v>44497</v>
      </c>
      <c r="G117" s="112">
        <f t="shared" si="9"/>
        <v>276</v>
      </c>
      <c r="H117" s="99">
        <f>G117+'14'!H117</f>
        <v>3575</v>
      </c>
      <c r="I117" s="165"/>
      <c r="J117" s="328">
        <f>H117/DAY(B2)</f>
        <v>238.33333333333334</v>
      </c>
      <c r="Q117" s="898"/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'14'!F118</f>
        <v>73061</v>
      </c>
      <c r="F118" s="237">
        <v>73593</v>
      </c>
      <c r="G118" s="112">
        <f t="shared" si="9"/>
        <v>532</v>
      </c>
      <c r="H118" s="99">
        <f>G118+'14'!H118</f>
        <v>8921</v>
      </c>
      <c r="I118" s="165"/>
      <c r="J118" s="328">
        <f>H118/DAY(B2)</f>
        <v>594.73333333333335</v>
      </c>
      <c r="Q118" s="898"/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'14'!F119</f>
        <v>40741</v>
      </c>
      <c r="F119" s="237">
        <v>40969</v>
      </c>
      <c r="G119" s="112">
        <f t="shared" si="9"/>
        <v>228</v>
      </c>
      <c r="H119" s="99">
        <f>G119+'14'!H119</f>
        <v>3520</v>
      </c>
      <c r="I119" s="165"/>
      <c r="J119" s="328">
        <f>H119/DAY(B2)</f>
        <v>234.66666666666666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'14'!F120</f>
        <v>52084</v>
      </c>
      <c r="F120" s="237">
        <v>52496</v>
      </c>
      <c r="G120" s="112">
        <f t="shared" si="9"/>
        <v>412</v>
      </c>
      <c r="H120" s="99">
        <f>G120+'14'!H120</f>
        <v>6229</v>
      </c>
      <c r="I120" s="165"/>
      <c r="J120" s="328">
        <f>H120/DAY(B2)</f>
        <v>415.26666666666665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'14'!F121</f>
        <v>60201</v>
      </c>
      <c r="F121" s="237">
        <v>60664</v>
      </c>
      <c r="G121" s="112">
        <f t="shared" si="9"/>
        <v>463</v>
      </c>
      <c r="H121" s="99">
        <f>G121+'14'!H121</f>
        <v>7121</v>
      </c>
      <c r="I121" s="165"/>
      <c r="J121" s="328">
        <f>H121/DAY(B2)</f>
        <v>474.73333333333335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'14'!F122</f>
        <v>33046</v>
      </c>
      <c r="F122" s="237">
        <v>33381</v>
      </c>
      <c r="G122" s="112">
        <f t="shared" si="9"/>
        <v>335</v>
      </c>
      <c r="H122" s="99">
        <f>G122+'14'!H122</f>
        <v>4707</v>
      </c>
      <c r="I122" s="165"/>
      <c r="J122" s="328">
        <f>H122/DAY(B2)</f>
        <v>313.8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'14'!F123</f>
        <v>34746</v>
      </c>
      <c r="F123" s="237">
        <v>35075</v>
      </c>
      <c r="G123" s="112">
        <f t="shared" si="9"/>
        <v>329</v>
      </c>
      <c r="H123" s="99">
        <f>G123+'14'!H123</f>
        <v>4887</v>
      </c>
      <c r="I123" s="165"/>
      <c r="J123" s="328">
        <f>H123/DAY(B2)</f>
        <v>325.8</v>
      </c>
    </row>
    <row r="124" spans="1:18" ht="29.25" customHeight="1">
      <c r="A124" s="902"/>
      <c r="B124" s="903"/>
      <c r="C124" s="904"/>
      <c r="D124" s="165"/>
      <c r="E124" s="165"/>
      <c r="F124" s="165"/>
      <c r="G124" s="327"/>
      <c r="H124" s="156"/>
      <c r="I124" s="165"/>
      <c r="J124" s="327"/>
    </row>
    <row r="125" spans="1:18" ht="25.5">
      <c r="A125" s="880" t="s">
        <v>196</v>
      </c>
      <c r="B125" s="881"/>
      <c r="C125" s="245"/>
      <c r="D125" s="307"/>
      <c r="E125" s="308"/>
      <c r="F125" s="308"/>
      <c r="G125" s="309">
        <f>SUM(G112:G124)</f>
        <v>3532</v>
      </c>
      <c r="H125" s="156"/>
      <c r="I125" s="327">
        <f>G125-(G39+G53)</f>
        <v>-898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'14'!F128</f>
        <v>135054</v>
      </c>
      <c r="F128" s="165">
        <v>135503</v>
      </c>
      <c r="G128" s="112">
        <f t="shared" ref="G128:G134" si="10">F128-E128</f>
        <v>449</v>
      </c>
      <c r="H128" s="99">
        <f>G128+'14'!H128</f>
        <v>7859</v>
      </c>
      <c r="I128" s="165"/>
      <c r="J128" s="328">
        <f>H128/DAY(B2)</f>
        <v>523.93333333333328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'14'!F129</f>
        <v>75223</v>
      </c>
      <c r="F129" s="165">
        <v>75417</v>
      </c>
      <c r="G129" s="112">
        <f t="shared" si="10"/>
        <v>194</v>
      </c>
      <c r="H129" s="99">
        <f>G129+'14'!H129</f>
        <v>2914</v>
      </c>
      <c r="I129" s="165"/>
      <c r="J129" s="328">
        <f>H129/DAY(B2)</f>
        <v>194.26666666666668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'14'!F130</f>
        <v>174432</v>
      </c>
      <c r="F130" s="165">
        <v>175039</v>
      </c>
      <c r="G130" s="112">
        <f t="shared" si="10"/>
        <v>607</v>
      </c>
      <c r="H130" s="99">
        <f>G130+'14'!H130</f>
        <v>9903.4799999999814</v>
      </c>
      <c r="I130" s="165"/>
      <c r="J130" s="328">
        <f>H130/DAY(B2)</f>
        <v>660.23199999999872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'14'!F131</f>
        <v>51118</v>
      </c>
      <c r="F131" s="158">
        <v>51257</v>
      </c>
      <c r="G131" s="112">
        <f t="shared" si="10"/>
        <v>139</v>
      </c>
      <c r="H131" s="99">
        <f>G131+'14'!H131</f>
        <v>2808</v>
      </c>
      <c r="I131" s="165"/>
      <c r="J131" s="328">
        <f>H131/DAY(B2)</f>
        <v>187.2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'14'!F132</f>
        <v>133886</v>
      </c>
      <c r="F132" s="165">
        <v>134300</v>
      </c>
      <c r="G132" s="112">
        <f t="shared" si="10"/>
        <v>414</v>
      </c>
      <c r="H132" s="99">
        <f>G132+'14'!H132</f>
        <v>6126</v>
      </c>
      <c r="I132" s="165"/>
      <c r="J132" s="328">
        <f>H132/DAY(B2)</f>
        <v>408.4</v>
      </c>
    </row>
    <row r="133" spans="1:15" ht="25.5">
      <c r="A133" s="898" t="s">
        <v>359</v>
      </c>
      <c r="B133" s="899"/>
      <c r="C133" s="900"/>
      <c r="D133" s="151" t="s">
        <v>183</v>
      </c>
      <c r="E133" s="95">
        <f>'14'!F133</f>
        <v>225932</v>
      </c>
      <c r="F133" s="165">
        <v>226870</v>
      </c>
      <c r="G133" s="112">
        <f t="shared" si="10"/>
        <v>938</v>
      </c>
      <c r="H133" s="99">
        <f>G133+'14'!H133</f>
        <v>4465.429999999993</v>
      </c>
      <c r="I133" s="165"/>
      <c r="J133" s="328">
        <f>H133/DAY(B2)</f>
        <v>297.69533333333288</v>
      </c>
    </row>
    <row r="134" spans="1:15" s="409" customFormat="1" ht="25.5">
      <c r="A134" s="972" t="s">
        <v>340</v>
      </c>
      <c r="B134" s="973"/>
      <c r="C134" s="974"/>
      <c r="D134" s="233" t="s">
        <v>183</v>
      </c>
      <c r="E134" s="406">
        <f>'14'!F134</f>
        <v>51994</v>
      </c>
      <c r="F134" s="158">
        <v>52209</v>
      </c>
      <c r="G134" s="236">
        <f t="shared" si="10"/>
        <v>215</v>
      </c>
      <c r="H134" s="238">
        <f>G134+'14'!H134</f>
        <v>3174</v>
      </c>
      <c r="I134" s="158"/>
      <c r="J134" s="408">
        <f>H134/DAY(B2)</f>
        <v>211.6</v>
      </c>
    </row>
    <row r="135" spans="1:15" ht="25.5">
      <c r="A135" s="880" t="s">
        <v>196</v>
      </c>
      <c r="B135" s="881"/>
      <c r="C135" s="331"/>
      <c r="D135" s="151"/>
      <c r="E135" s="95"/>
      <c r="F135" s="165"/>
      <c r="G135" s="112">
        <f>SUM(G128:G134)</f>
        <v>2956</v>
      </c>
      <c r="H135" s="99">
        <f>G135+'10'!H135</f>
        <v>24754.969999999987</v>
      </c>
      <c r="I135" s="327">
        <f>G135-(G35+G49)</f>
        <v>-920.04999999998836</v>
      </c>
      <c r="J135" s="408">
        <f>H135/DAY(B2)</f>
        <v>1650.3313333333324</v>
      </c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'14'!F138</f>
        <v>893090</v>
      </c>
      <c r="F138" s="147">
        <v>893223</v>
      </c>
      <c r="G138" s="112">
        <f t="shared" ref="G138:G152" si="11">F138-E138</f>
        <v>133</v>
      </c>
      <c r="H138" s="99">
        <f>G138+'14'!H138</f>
        <v>2112</v>
      </c>
      <c r="I138" s="118"/>
      <c r="J138" s="328">
        <f>H138/DAY(B2)</f>
        <v>140.80000000000001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'14'!F139</f>
        <v>911031</v>
      </c>
      <c r="F139" s="148">
        <v>911170</v>
      </c>
      <c r="G139" s="112">
        <f t="shared" si="11"/>
        <v>139</v>
      </c>
      <c r="H139" s="99">
        <f>G139+'14'!H139</f>
        <v>2275</v>
      </c>
      <c r="I139" s="118"/>
      <c r="J139" s="328">
        <f>H139/DAY(B2)</f>
        <v>151.66666666666666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'14'!F140</f>
        <v>1716</v>
      </c>
      <c r="F140" s="149">
        <v>1724</v>
      </c>
      <c r="G140" s="112">
        <f t="shared" si="11"/>
        <v>8</v>
      </c>
      <c r="H140" s="99">
        <f>G140+'14'!H140</f>
        <v>211</v>
      </c>
      <c r="I140" s="118"/>
      <c r="J140" s="328">
        <f>H140/DAY(B2)</f>
        <v>14.066666666666666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'14'!F141</f>
        <v>93213</v>
      </c>
      <c r="F141" s="149">
        <v>93416</v>
      </c>
      <c r="G141" s="112">
        <f t="shared" si="11"/>
        <v>203</v>
      </c>
      <c r="H141" s="99">
        <f>G141+'14'!H141</f>
        <v>2964</v>
      </c>
      <c r="I141" s="118"/>
      <c r="J141" s="328">
        <f>H141/DAY(B2)</f>
        <v>197.6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'14'!F142</f>
        <v>37808</v>
      </c>
      <c r="F142" s="148">
        <v>37897</v>
      </c>
      <c r="G142" s="112">
        <f t="shared" si="11"/>
        <v>89</v>
      </c>
      <c r="H142" s="99">
        <f>G142+'14'!H142</f>
        <v>1236</v>
      </c>
      <c r="I142" s="140"/>
      <c r="J142" s="328">
        <f>H142/DAY(B2)</f>
        <v>82.4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'14'!F143</f>
        <v>9415</v>
      </c>
      <c r="F143" s="149">
        <v>9437</v>
      </c>
      <c r="G143" s="112">
        <f t="shared" si="11"/>
        <v>22</v>
      </c>
      <c r="H143" s="99">
        <f>G143+'14'!H143</f>
        <v>386</v>
      </c>
      <c r="I143" s="140"/>
      <c r="J143" s="328">
        <f>H143/DAY(B2)</f>
        <v>25.733333333333334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'14'!F144</f>
        <v>922913</v>
      </c>
      <c r="F144" s="149">
        <v>923143</v>
      </c>
      <c r="G144" s="112">
        <f t="shared" si="11"/>
        <v>230</v>
      </c>
      <c r="H144" s="99">
        <f>G144+'14'!H144</f>
        <v>3306</v>
      </c>
      <c r="I144" s="140"/>
      <c r="J144" s="328">
        <f>H144/DAY(B2)</f>
        <v>220.4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'14'!F145</f>
        <v>6232</v>
      </c>
      <c r="F145" s="148">
        <v>6261</v>
      </c>
      <c r="G145" s="112">
        <f t="shared" si="11"/>
        <v>29</v>
      </c>
      <c r="H145" s="99">
        <f>G145+'14'!H145</f>
        <v>454</v>
      </c>
      <c r="I145" s="140"/>
      <c r="J145" s="328">
        <f>H145/DAY(B2)</f>
        <v>30.266666666666666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'14'!F146</f>
        <v>781926</v>
      </c>
      <c r="F146" s="148">
        <v>781926</v>
      </c>
      <c r="G146" s="112">
        <f t="shared" si="11"/>
        <v>0</v>
      </c>
      <c r="H146" s="99">
        <f>G146+'14'!H146</f>
        <v>1126</v>
      </c>
      <c r="I146" s="140"/>
      <c r="J146" s="328">
        <f>H146/DAY(B2)</f>
        <v>75.066666666666663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'14'!F147</f>
        <v>705192</v>
      </c>
      <c r="F147" s="148">
        <v>705552</v>
      </c>
      <c r="G147" s="112">
        <f t="shared" si="11"/>
        <v>360</v>
      </c>
      <c r="H147" s="99">
        <f>G147+'14'!H147</f>
        <v>5783</v>
      </c>
      <c r="I147" s="140"/>
      <c r="J147" s="328">
        <f>H147/DAY(B2)</f>
        <v>385.53333333333336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'14'!F148</f>
        <v>752776</v>
      </c>
      <c r="F148" s="150">
        <v>753020</v>
      </c>
      <c r="G148" s="112">
        <f t="shared" si="11"/>
        <v>244</v>
      </c>
      <c r="H148" s="99">
        <f>G148+'14'!H148</f>
        <v>4490</v>
      </c>
      <c r="I148" s="124"/>
      <c r="J148" s="328">
        <f>H148/DAY(B2)</f>
        <v>299.33333333333331</v>
      </c>
    </row>
    <row r="149" spans="1:10" ht="25.5">
      <c r="A149" s="877" t="s">
        <v>336</v>
      </c>
      <c r="B149" s="878"/>
      <c r="C149" s="879"/>
      <c r="D149" s="227" t="s">
        <v>130</v>
      </c>
      <c r="E149" s="95">
        <f>'14'!F149</f>
        <v>139107</v>
      </c>
      <c r="F149" s="416">
        <v>139612</v>
      </c>
      <c r="G149" s="112">
        <f t="shared" si="11"/>
        <v>505</v>
      </c>
      <c r="H149" s="99">
        <f>G149+'14'!H149</f>
        <v>7178</v>
      </c>
      <c r="I149" s="119"/>
      <c r="J149" s="328">
        <f>H149/DAY(B2)</f>
        <v>478.53333333333336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'14'!F150</f>
        <v>53733</v>
      </c>
      <c r="F150" s="233">
        <v>53958</v>
      </c>
      <c r="G150" s="112">
        <f t="shared" si="11"/>
        <v>225</v>
      </c>
      <c r="H150" s="99">
        <f>G150+'14'!H150</f>
        <v>3343</v>
      </c>
      <c r="I150" s="119"/>
      <c r="J150" s="328">
        <f>H150/DAY(B2)</f>
        <v>222.86666666666667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'14'!F151</f>
        <v>139309</v>
      </c>
      <c r="F151" s="233">
        <v>139532</v>
      </c>
      <c r="G151" s="112">
        <f t="shared" si="11"/>
        <v>223</v>
      </c>
      <c r="H151" s="99">
        <f>G151+'14'!H151</f>
        <v>4083</v>
      </c>
      <c r="I151" s="119"/>
      <c r="J151" s="328">
        <f>H151/DAY(B2)</f>
        <v>272.2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'14'!F152</f>
        <v>24819</v>
      </c>
      <c r="F152" s="233">
        <v>24943</v>
      </c>
      <c r="G152" s="112">
        <f t="shared" si="11"/>
        <v>124</v>
      </c>
      <c r="H152" s="99">
        <f>G152+'14'!H152</f>
        <v>1789</v>
      </c>
      <c r="I152" s="119"/>
      <c r="J152" s="328">
        <f>H152/DAY(B2)</f>
        <v>119.26666666666667</v>
      </c>
    </row>
    <row r="153" spans="1:10" ht="25.5">
      <c r="A153" s="880" t="s">
        <v>196</v>
      </c>
      <c r="B153" s="881"/>
      <c r="C153" s="365"/>
      <c r="D153" s="358"/>
      <c r="E153" s="360"/>
      <c r="F153" s="361"/>
      <c r="G153" s="362">
        <f>SUM(G138:G152)</f>
        <v>2534</v>
      </c>
      <c r="H153" s="363"/>
      <c r="I153" s="119">
        <f>G153-(G38+G52)</f>
        <v>296</v>
      </c>
      <c r="J153" s="366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95">
        <f>'14'!F155</f>
        <v>157297</v>
      </c>
      <c r="F155" s="157">
        <v>157835</v>
      </c>
      <c r="G155" s="112">
        <f t="shared" ref="G155:G158" si="12">F155-E155</f>
        <v>538</v>
      </c>
      <c r="H155" s="99">
        <f>G155+'14'!H155</f>
        <v>9686</v>
      </c>
      <c r="I155" s="364"/>
      <c r="J155" s="328">
        <f>H155/DAY(B2)</f>
        <v>645.73333333333335</v>
      </c>
    </row>
    <row r="156" spans="1:10" ht="25.5">
      <c r="A156" s="876" t="s">
        <v>347</v>
      </c>
      <c r="B156" s="876"/>
      <c r="C156" s="876"/>
      <c r="D156" s="117" t="s">
        <v>130</v>
      </c>
      <c r="E156" s="95">
        <f>'14'!F156</f>
        <v>16118</v>
      </c>
      <c r="F156" s="157">
        <v>16214</v>
      </c>
      <c r="G156" s="112">
        <f t="shared" si="12"/>
        <v>96</v>
      </c>
      <c r="H156" s="99">
        <f>G156+'14'!H156</f>
        <v>1480</v>
      </c>
      <c r="I156" s="165"/>
      <c r="J156" s="328">
        <f>H156/DAY(B2)</f>
        <v>98.666666666666671</v>
      </c>
    </row>
    <row r="157" spans="1:10" ht="25.5">
      <c r="A157" s="877" t="s">
        <v>360</v>
      </c>
      <c r="B157" s="878"/>
      <c r="C157" s="879"/>
      <c r="D157" s="117" t="s">
        <v>130</v>
      </c>
      <c r="E157" s="95">
        <f>'14'!F157</f>
        <v>29479</v>
      </c>
      <c r="F157" s="157">
        <v>29605</v>
      </c>
      <c r="G157" s="112">
        <f t="shared" si="12"/>
        <v>126</v>
      </c>
      <c r="H157" s="99">
        <f>G157+'14'!H157</f>
        <v>2159</v>
      </c>
      <c r="I157" s="165"/>
      <c r="J157" s="328">
        <f>H157/DAY(B2)</f>
        <v>143.93333333333334</v>
      </c>
    </row>
    <row r="158" spans="1:10" ht="25.5">
      <c r="A158" s="877" t="s">
        <v>361</v>
      </c>
      <c r="B158" s="878"/>
      <c r="C158" s="879"/>
      <c r="D158" s="117" t="s">
        <v>130</v>
      </c>
      <c r="E158" s="95">
        <f>'14'!F158</f>
        <v>241</v>
      </c>
      <c r="F158" s="157">
        <v>241</v>
      </c>
      <c r="G158" s="112">
        <f t="shared" si="12"/>
        <v>0</v>
      </c>
      <c r="H158" s="99">
        <f>G158+'14'!H158</f>
        <v>152.57999999999998</v>
      </c>
      <c r="I158" s="165"/>
      <c r="J158" s="328">
        <f>H158/DAY(B2)</f>
        <v>10.171999999999999</v>
      </c>
    </row>
    <row r="159" spans="1:10" ht="25.5">
      <c r="A159" s="962"/>
      <c r="B159" s="963"/>
      <c r="C159" s="964"/>
      <c r="D159" s="117"/>
      <c r="E159" s="95"/>
      <c r="F159" s="165"/>
      <c r="G159" s="362">
        <f>SUM(G155:G158)</f>
        <v>760</v>
      </c>
      <c r="H159" s="99"/>
      <c r="I159" s="165"/>
      <c r="J159" s="328"/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480496</v>
      </c>
      <c r="F161" s="235">
        <v>480521</v>
      </c>
      <c r="G161" s="238">
        <f t="shared" ref="G161:G165" si="13">F161-E161</f>
        <v>25</v>
      </c>
      <c r="H161" s="99">
        <f>G161+'14'!H161</f>
        <v>468</v>
      </c>
      <c r="I161" s="236"/>
      <c r="J161" s="239">
        <f>H161/DAY(B2)</f>
        <v>31.2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95487</v>
      </c>
      <c r="F162" s="235">
        <v>95505</v>
      </c>
      <c r="G162" s="238">
        <f t="shared" si="13"/>
        <v>18</v>
      </c>
      <c r="H162" s="99">
        <f>G162+'14'!H162</f>
        <v>577</v>
      </c>
      <c r="I162" s="236"/>
      <c r="J162" s="239">
        <f>H162/DAY(B2)</f>
        <v>38.466666666666669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8154</v>
      </c>
      <c r="F163" s="235">
        <v>8256</v>
      </c>
      <c r="G163" s="238">
        <f t="shared" si="13"/>
        <v>102</v>
      </c>
      <c r="H163" s="99">
        <f>G163+'14'!H163</f>
        <v>1755</v>
      </c>
      <c r="I163" s="236"/>
      <c r="J163" s="239">
        <f>H163/DAY(B2)</f>
        <v>117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6316</v>
      </c>
      <c r="F164" s="235">
        <v>6316</v>
      </c>
      <c r="G164" s="238">
        <f t="shared" si="13"/>
        <v>0</v>
      </c>
      <c r="H164" s="99">
        <f>G164+'14'!H164</f>
        <v>36</v>
      </c>
      <c r="I164" s="236"/>
      <c r="J164" s="239">
        <f>H164/DAY(B2)</f>
        <v>2.4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31743</v>
      </c>
      <c r="F165" s="235">
        <v>31747</v>
      </c>
      <c r="G165" s="238">
        <f t="shared" si="13"/>
        <v>4</v>
      </c>
      <c r="H165" s="99">
        <f>G165+'14'!H165</f>
        <v>113</v>
      </c>
      <c r="I165" s="236"/>
      <c r="J165" s="239">
        <f>H165/DAY(B2)</f>
        <v>7.5333333333333332</v>
      </c>
    </row>
    <row r="166" spans="1:10" ht="26.25">
      <c r="A166" s="885"/>
      <c r="B166" s="885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885"/>
      <c r="B167" s="885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885"/>
      <c r="B168" s="885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1.75" customHeight="1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891" t="s">
        <v>209</v>
      </c>
      <c r="B173" s="892"/>
      <c r="C173" s="333"/>
      <c r="D173" s="228" t="s">
        <v>142</v>
      </c>
      <c r="E173" s="95">
        <f>'14'!F173</f>
        <v>8276</v>
      </c>
      <c r="F173" s="155">
        <v>8276</v>
      </c>
      <c r="G173" s="155">
        <f>F173-E173</f>
        <v>0</v>
      </c>
      <c r="H173" s="99">
        <f>G173+'14'!H173</f>
        <v>41</v>
      </c>
      <c r="I173" s="155"/>
      <c r="J173" s="178">
        <f>H173/DAY(B2)</f>
        <v>2.7333333333333334</v>
      </c>
    </row>
    <row r="174" spans="1:10" ht="21.75" customHeight="1">
      <c r="A174" s="891" t="s">
        <v>75</v>
      </c>
      <c r="B174" s="892"/>
      <c r="C174" s="333"/>
      <c r="D174" s="228" t="s">
        <v>142</v>
      </c>
      <c r="E174" s="95">
        <f>'14'!F174</f>
        <v>41395</v>
      </c>
      <c r="F174" s="157">
        <v>41408</v>
      </c>
      <c r="G174" s="155">
        <f t="shared" ref="G174:G175" si="14">F174-E174</f>
        <v>13</v>
      </c>
      <c r="H174" s="99">
        <f>G174+'14'!H174</f>
        <v>204</v>
      </c>
      <c r="I174" s="155"/>
      <c r="J174" s="178">
        <f>H174/DAY(B2)</f>
        <v>13.6</v>
      </c>
    </row>
    <row r="175" spans="1:10" ht="21.75" customHeight="1">
      <c r="A175" s="891" t="s">
        <v>76</v>
      </c>
      <c r="B175" s="931"/>
      <c r="C175" s="892"/>
      <c r="D175" s="228" t="s">
        <v>142</v>
      </c>
      <c r="E175" s="95">
        <f>'14'!F175</f>
        <v>24193</v>
      </c>
      <c r="F175" s="155">
        <v>24204</v>
      </c>
      <c r="G175" s="155">
        <f t="shared" si="14"/>
        <v>11</v>
      </c>
      <c r="H175" s="99">
        <f>G175+'14'!H175</f>
        <v>173</v>
      </c>
      <c r="I175" s="155"/>
      <c r="J175" s="178">
        <f>H175/DAY(B2)</f>
        <v>11.533333333333333</v>
      </c>
    </row>
    <row r="176" spans="1:10" ht="21.75" customHeight="1">
      <c r="A176" s="880" t="s">
        <v>196</v>
      </c>
      <c r="B176" s="881"/>
      <c r="C176" s="333"/>
      <c r="D176" s="228" t="s">
        <v>142</v>
      </c>
      <c r="E176" s="95"/>
      <c r="F176" s="155"/>
      <c r="G176" s="155">
        <f>SUM(G173:G175)</f>
        <v>24</v>
      </c>
      <c r="H176" s="99">
        <f>G176+'14'!H176</f>
        <v>418</v>
      </c>
      <c r="I176" s="155"/>
      <c r="J176" s="178">
        <f>H176/DAY(B2)</f>
        <v>27.866666666666667</v>
      </c>
    </row>
    <row r="177" spans="1:10" ht="21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891" t="s">
        <v>210</v>
      </c>
      <c r="B178" s="892"/>
      <c r="C178" s="333"/>
      <c r="D178" s="228" t="s">
        <v>142</v>
      </c>
      <c r="E178" s="95">
        <f>'14'!F178</f>
        <v>98857</v>
      </c>
      <c r="F178" s="155">
        <v>98915</v>
      </c>
      <c r="G178" s="155">
        <f>F178-E178</f>
        <v>58</v>
      </c>
      <c r="H178" s="99">
        <f>G178+'14'!H178</f>
        <v>1202</v>
      </c>
      <c r="I178" s="155"/>
      <c r="J178" s="178">
        <f>H178/DAY(B2)</f>
        <v>80.13333333333334</v>
      </c>
    </row>
    <row r="179" spans="1:10" ht="24" customHeight="1">
      <c r="A179" s="891" t="s">
        <v>211</v>
      </c>
      <c r="B179" s="892"/>
      <c r="C179" s="333"/>
      <c r="D179" s="228" t="s">
        <v>142</v>
      </c>
      <c r="E179" s="95">
        <f>'14'!F179</f>
        <v>36002</v>
      </c>
      <c r="F179" s="155">
        <v>36002</v>
      </c>
      <c r="G179" s="155">
        <f t="shared" ref="G179:G180" si="15">F179-E179</f>
        <v>0</v>
      </c>
      <c r="H179" s="99">
        <f>G179+'14'!H179</f>
        <v>0</v>
      </c>
      <c r="I179" s="155"/>
      <c r="J179" s="178">
        <f>H179/DAY(B2)</f>
        <v>0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'14'!F180</f>
        <v>7177</v>
      </c>
      <c r="F180" s="155">
        <v>7180</v>
      </c>
      <c r="G180" s="155">
        <f t="shared" si="15"/>
        <v>3</v>
      </c>
      <c r="H180" s="99">
        <f>G180+'14'!H180</f>
        <v>18</v>
      </c>
      <c r="I180" s="155"/>
      <c r="J180" s="178">
        <f>H180/DAY(B2)</f>
        <v>1.2</v>
      </c>
    </row>
    <row r="181" spans="1:10" ht="25.5">
      <c r="A181" s="893" t="s">
        <v>108</v>
      </c>
      <c r="B181" s="894"/>
      <c r="C181" s="333"/>
      <c r="D181" s="228" t="s">
        <v>142</v>
      </c>
      <c r="E181" s="95"/>
      <c r="F181" s="155"/>
      <c r="G181" s="155">
        <f>SUM(G178:G180)</f>
        <v>61</v>
      </c>
      <c r="H181" s="99">
        <f>G181+'14'!H181</f>
        <v>1220</v>
      </c>
      <c r="I181" s="155"/>
      <c r="J181" s="178">
        <f>H181/DAY(B2)</f>
        <v>81.333333333333329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'14'!F183</f>
        <v>17587</v>
      </c>
      <c r="F183" s="157">
        <v>17594</v>
      </c>
      <c r="G183" s="157">
        <f>F183-E183</f>
        <v>7</v>
      </c>
      <c r="H183" s="99">
        <f>G183+'14'!H183</f>
        <v>121</v>
      </c>
      <c r="I183" s="155"/>
      <c r="J183" s="178">
        <f>H183/DAY(B2)</f>
        <v>8.0666666666666664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'14'!F184</f>
        <v>12033</v>
      </c>
      <c r="F184" s="157">
        <v>12048</v>
      </c>
      <c r="G184" s="157">
        <f t="shared" ref="G184:G185" si="16">F184-E184</f>
        <v>15</v>
      </c>
      <c r="H184" s="99">
        <f>G184+'14'!H184</f>
        <v>113</v>
      </c>
      <c r="I184" s="155"/>
      <c r="J184" s="178">
        <f>H184/DAY(B2)</f>
        <v>7.5333333333333332</v>
      </c>
    </row>
    <row r="185" spans="1:10" ht="32.25" customHeight="1">
      <c r="A185" s="891" t="s">
        <v>216</v>
      </c>
      <c r="B185" s="892"/>
      <c r="C185" s="334"/>
      <c r="D185" s="228" t="s">
        <v>142</v>
      </c>
      <c r="E185" s="95">
        <f>'14'!F185</f>
        <v>0</v>
      </c>
      <c r="F185" s="157">
        <v>0</v>
      </c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880" t="s">
        <v>196</v>
      </c>
      <c r="B186" s="881"/>
      <c r="C186" s="334"/>
      <c r="D186" s="228" t="s">
        <v>142</v>
      </c>
      <c r="E186" s="95"/>
      <c r="F186" s="157"/>
      <c r="G186" s="157">
        <f>SUM(G183:G185)</f>
        <v>22</v>
      </c>
      <c r="H186" s="99">
        <f>G186+'14'!H186</f>
        <v>234</v>
      </c>
      <c r="I186" s="157"/>
      <c r="J186" s="178">
        <f>H186/DAY(B2)</f>
        <v>15.6</v>
      </c>
    </row>
    <row r="187" spans="1:10" ht="25.5">
      <c r="A187" s="882" t="s">
        <v>217</v>
      </c>
      <c r="B187" s="883"/>
      <c r="C187" s="333"/>
      <c r="D187" s="230" t="s">
        <v>142</v>
      </c>
      <c r="E187" s="95"/>
      <c r="F187" s="159"/>
      <c r="G187" s="159">
        <f>G62+G19</f>
        <v>161</v>
      </c>
      <c r="H187" s="99">
        <f>G187+'14'!H187</f>
        <v>2437</v>
      </c>
      <c r="I187" s="158"/>
      <c r="J187" s="179">
        <f>H187/DAY(B2)</f>
        <v>162.46666666666667</v>
      </c>
    </row>
    <row r="188" spans="1:10" ht="25.5">
      <c r="A188" s="882" t="s">
        <v>218</v>
      </c>
      <c r="B188" s="883"/>
      <c r="C188" s="333"/>
      <c r="D188" s="230" t="s">
        <v>142</v>
      </c>
      <c r="E188" s="95"/>
      <c r="F188" s="159"/>
      <c r="G188" s="159">
        <f>G65+G66+G67+G69+G70</f>
        <v>134</v>
      </c>
      <c r="H188" s="99">
        <f>G188+'14'!H188</f>
        <v>134</v>
      </c>
      <c r="I188" s="158"/>
      <c r="J188" s="179">
        <f>H188/DAY(B2)</f>
        <v>8.9333333333333336</v>
      </c>
    </row>
    <row r="189" spans="1:10" ht="27" customHeight="1">
      <c r="A189" s="882" t="s">
        <v>219</v>
      </c>
      <c r="B189" s="883"/>
      <c r="C189" s="333"/>
      <c r="D189" s="230" t="s">
        <v>142</v>
      </c>
      <c r="E189" s="95"/>
      <c r="F189" s="157"/>
      <c r="G189" s="157">
        <f>G181</f>
        <v>61</v>
      </c>
      <c r="H189" s="99">
        <f>G189+'14'!H189</f>
        <v>1220</v>
      </c>
      <c r="I189" s="158"/>
      <c r="J189" s="179">
        <f>H189/DAY(B2)</f>
        <v>81.333333333333329</v>
      </c>
    </row>
    <row r="190" spans="1:10" ht="27" customHeight="1">
      <c r="A190" s="889"/>
      <c r="B190" s="89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zoomScale="55" zoomScaleNormal="90" zoomScaleSheetLayoutView="55" workbookViewId="0">
      <selection activeCell="A133" sqref="A133:XFD13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4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6" s="57" customFormat="1" ht="23.25">
      <c r="A2" s="191" t="s">
        <v>303</v>
      </c>
      <c r="B2" s="262">
        <v>44789</v>
      </c>
      <c r="C2" s="348" t="s">
        <v>67</v>
      </c>
      <c r="D2" s="218">
        <v>0.5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26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0.95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40" t="s">
        <v>128</v>
      </c>
      <c r="B6" s="941"/>
      <c r="C6" s="942"/>
      <c r="D6" s="110"/>
      <c r="E6" s="110"/>
      <c r="F6" s="111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726803</v>
      </c>
      <c r="F7" s="95">
        <v>754113</v>
      </c>
      <c r="G7" s="112">
        <f>F7-E7</f>
        <v>27310</v>
      </c>
      <c r="H7" s="99">
        <f>G7+'15'!H7</f>
        <v>416983</v>
      </c>
      <c r="I7" s="113">
        <f>'1'!I7</f>
        <v>12000</v>
      </c>
      <c r="J7" s="175">
        <f>H7/DAY(B2)</f>
        <v>26061.4375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883426</v>
      </c>
      <c r="F8" s="95">
        <v>911055</v>
      </c>
      <c r="G8" s="115">
        <f>F8-E8</f>
        <v>27629</v>
      </c>
      <c r="H8" s="99">
        <f>G8+'15'!H8</f>
        <v>422468</v>
      </c>
      <c r="I8" s="116"/>
      <c r="J8" s="175">
        <f>H8/DAY(B2)</f>
        <v>26404.25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3380522</v>
      </c>
      <c r="F9" s="469">
        <v>3387526</v>
      </c>
      <c r="G9" s="112">
        <f>F9-E9</f>
        <v>7004</v>
      </c>
      <c r="H9" s="99">
        <f>G9+'15'!H9</f>
        <v>108460</v>
      </c>
      <c r="I9" s="124">
        <f>I7-J7</f>
        <v>-14061.4375</v>
      </c>
      <c r="J9" s="175">
        <f>H9/DAY(B2)</f>
        <v>6778.75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1944960</v>
      </c>
      <c r="F10" s="353">
        <v>1964526</v>
      </c>
      <c r="G10" s="112">
        <f t="shared" ref="G10:G12" si="0">F10-E10</f>
        <v>19566</v>
      </c>
      <c r="H10" s="99">
        <f>G10+'15'!H10</f>
        <v>297368</v>
      </c>
      <c r="I10" s="282"/>
      <c r="J10" s="175">
        <f>H10/DAY(B2)</f>
        <v>18585.5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37560</v>
      </c>
      <c r="F11" s="95">
        <v>37560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40380</v>
      </c>
      <c r="F12" s="117">
        <v>40380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26570</v>
      </c>
      <c r="H13" s="99">
        <f>G13+'15'!H13</f>
        <v>407162.59999999986</v>
      </c>
      <c r="I13" s="120">
        <f>G7-G13</f>
        <v>740</v>
      </c>
      <c r="J13" s="175">
        <f>H13/DAY(B2)</f>
        <v>25447.662499999991</v>
      </c>
      <c r="K13" s="79"/>
      <c r="L13" s="66"/>
      <c r="N13" s="87"/>
      <c r="O13" s="71"/>
    </row>
    <row r="14" spans="1:16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'15'!F15</f>
        <v>2116570</v>
      </c>
      <c r="F15" s="469">
        <v>2117570</v>
      </c>
      <c r="G15" s="112">
        <f>(F15-E15)</f>
        <v>1000</v>
      </c>
      <c r="H15" s="99">
        <f>G15+'15'!H15</f>
        <v>16702</v>
      </c>
      <c r="I15" s="113">
        <f>'1'!I15</f>
        <v>800</v>
      </c>
      <c r="J15" s="175">
        <f>H15/DAY(B2)</f>
        <v>1043.875</v>
      </c>
      <c r="K15" s="79"/>
      <c r="L15" s="66"/>
      <c r="N15" s="87">
        <v>735868</v>
      </c>
      <c r="O15" s="71">
        <v>719798</v>
      </c>
      <c r="P15" s="426">
        <f>O15-N15</f>
        <v>-16070</v>
      </c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-243.875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'15'!F18</f>
        <v>25</v>
      </c>
      <c r="F18" s="164">
        <v>9</v>
      </c>
      <c r="G18" s="119">
        <f>F18*10</f>
        <v>90</v>
      </c>
      <c r="H18" s="99">
        <f>G18+'15'!H18</f>
        <v>2470</v>
      </c>
      <c r="I18" s="113">
        <f>'1'!I18</f>
        <v>65</v>
      </c>
      <c r="J18" s="175">
        <f>H18/DAY(B2)</f>
        <v>154.375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'15'!F19</f>
        <v>163091</v>
      </c>
      <c r="F19" s="122">
        <v>163143</v>
      </c>
      <c r="G19" s="112">
        <f t="shared" ref="G19" si="1">F19-E19</f>
        <v>52</v>
      </c>
      <c r="H19" s="99">
        <f>G19+'15'!H19</f>
        <v>808</v>
      </c>
      <c r="I19" s="335"/>
      <c r="J19" s="175">
        <f>H19/DAY(B2)</f>
        <v>50.5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142</v>
      </c>
      <c r="H20" s="99">
        <f>G20+'15'!H20</f>
        <v>3278</v>
      </c>
      <c r="I20" s="336">
        <f>I18-J20</f>
        <v>-139.875</v>
      </c>
      <c r="J20" s="175">
        <f>H20/DAY(B2)</f>
        <v>204.875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'15'!F23</f>
        <v>2000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27629</v>
      </c>
      <c r="F27" s="136">
        <v>9</v>
      </c>
      <c r="G27" s="137">
        <f>E27*F27</f>
        <v>248661</v>
      </c>
      <c r="H27" s="99">
        <f>G27+'15'!H27</f>
        <v>3802212</v>
      </c>
      <c r="I27" s="138"/>
      <c r="J27" s="175">
        <f>H27/DAY(B2)</f>
        <v>237638.25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G28+'15'!H28</f>
        <v>1169140</v>
      </c>
      <c r="I28" s="140"/>
      <c r="J28" s="175">
        <f>H28/DAY(B2)</f>
        <v>73071.25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G30+'15'!H30</f>
        <v>122008</v>
      </c>
      <c r="I30" s="140"/>
      <c r="J30" s="175">
        <f>H30/DAY(B2)</f>
        <v>7625.5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90</v>
      </c>
      <c r="F31" s="136">
        <v>80</v>
      </c>
      <c r="G31" s="137">
        <f>E31*F31</f>
        <v>7200</v>
      </c>
      <c r="H31" s="99">
        <f>G31+'15'!H31</f>
        <v>197600</v>
      </c>
      <c r="I31" s="140"/>
      <c r="J31" s="175">
        <f>H31/DAY(B2)</f>
        <v>12350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333713</v>
      </c>
      <c r="H32" s="99">
        <f>G32+'15'!H32</f>
        <v>5290960</v>
      </c>
      <c r="I32" s="144"/>
      <c r="J32" s="175">
        <f>H32/DAY(B2)</f>
        <v>330685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411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238713.05</v>
      </c>
      <c r="F35" s="117">
        <v>238713.05</v>
      </c>
      <c r="G35" s="112">
        <f t="shared" ref="G35:G46" si="3">F35-E35</f>
        <v>0</v>
      </c>
      <c r="H35" s="99">
        <f>G35+'15'!H35</f>
        <v>4.9999999988358468E-2</v>
      </c>
      <c r="I35" s="95"/>
      <c r="J35" s="175">
        <f>H35/DAY(B2)</f>
        <v>3.1249999992724042E-3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228291</v>
      </c>
      <c r="F36" s="117">
        <v>229442</v>
      </c>
      <c r="G36" s="112">
        <f t="shared" si="3"/>
        <v>1151</v>
      </c>
      <c r="H36" s="99">
        <f>G36+'15'!H36</f>
        <v>13912</v>
      </c>
      <c r="I36" s="95"/>
      <c r="J36" s="175">
        <f>H36/DAY(B2)</f>
        <v>869.5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322999</v>
      </c>
      <c r="F37" s="117">
        <v>322999</v>
      </c>
      <c r="G37" s="112">
        <f t="shared" si="3"/>
        <v>0</v>
      </c>
      <c r="H37" s="99">
        <f>G37+'15'!H37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491065</v>
      </c>
      <c r="F38" s="95">
        <v>493310</v>
      </c>
      <c r="G38" s="112">
        <f t="shared" si="3"/>
        <v>2245</v>
      </c>
      <c r="H38" s="99">
        <f>G38+'15'!H38</f>
        <v>35949</v>
      </c>
      <c r="I38" s="95"/>
      <c r="J38" s="175">
        <f>H38/DAY(B2)</f>
        <v>2246.8125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591584</v>
      </c>
      <c r="F39" s="117">
        <v>591584</v>
      </c>
      <c r="G39" s="112">
        <f t="shared" si="3"/>
        <v>0</v>
      </c>
      <c r="H39" s="99">
        <f>G39+'15'!H39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119873</v>
      </c>
      <c r="F40" s="117">
        <v>120716</v>
      </c>
      <c r="G40" s="112">
        <f t="shared" si="3"/>
        <v>843</v>
      </c>
      <c r="H40" s="99">
        <f>G40+'15'!H40</f>
        <v>13940</v>
      </c>
      <c r="I40" s="95"/>
      <c r="J40" s="175">
        <f>H40/DAY(B2)</f>
        <v>871.25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246177</v>
      </c>
      <c r="F41" s="117">
        <v>249927</v>
      </c>
      <c r="G41" s="112">
        <f t="shared" si="3"/>
        <v>3750</v>
      </c>
      <c r="H41" s="99">
        <f>G41+'15'!H41</f>
        <v>38224</v>
      </c>
      <c r="I41" s="95"/>
      <c r="J41" s="175">
        <f>H41/DAY(B2)</f>
        <v>2389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771007</v>
      </c>
      <c r="F42" s="117">
        <v>771007</v>
      </c>
      <c r="G42" s="112">
        <f t="shared" si="3"/>
        <v>0</v>
      </c>
      <c r="H42" s="99">
        <f>G42+'15'!H42</f>
        <v>22643</v>
      </c>
      <c r="I42" s="95"/>
      <c r="J42" s="175">
        <f>H42/DAY(B2)</f>
        <v>1415.1875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407028</v>
      </c>
      <c r="F43" s="117">
        <v>407028</v>
      </c>
      <c r="G43" s="112">
        <f t="shared" si="3"/>
        <v>0</v>
      </c>
      <c r="H43" s="99">
        <f>G43+'15'!H43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7989</v>
      </c>
      <c r="H47" s="99">
        <f>G47+'15'!H47</f>
        <v>124668.04999999999</v>
      </c>
      <c r="I47" s="95"/>
      <c r="J47" s="175">
        <f>H47/DAY(B2)</f>
        <v>7791.7531249999993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545105</v>
      </c>
      <c r="F49" s="117">
        <v>548896</v>
      </c>
      <c r="G49" s="112">
        <f t="shared" ref="G49:G58" si="4">F49-E49</f>
        <v>3791</v>
      </c>
      <c r="H49" s="99">
        <f>G49+'15'!H49</f>
        <v>63842</v>
      </c>
      <c r="I49" s="95"/>
      <c r="J49" s="175">
        <f>H49/DAY(B2)</f>
        <v>3990.125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300373</v>
      </c>
      <c r="F50" s="117">
        <v>302240</v>
      </c>
      <c r="G50" s="112">
        <f t="shared" si="4"/>
        <v>1867</v>
      </c>
      <c r="H50" s="99">
        <f>G50+'15'!H50</f>
        <v>19490</v>
      </c>
      <c r="I50" s="95"/>
      <c r="J50" s="175">
        <f>H50/DAY(B2)</f>
        <v>1218.125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24529</v>
      </c>
      <c r="F51" s="117">
        <v>25555</v>
      </c>
      <c r="G51" s="112">
        <f t="shared" si="4"/>
        <v>1026</v>
      </c>
      <c r="H51" s="99">
        <f>G51+'15'!H51</f>
        <v>17047</v>
      </c>
      <c r="I51" s="95"/>
      <c r="J51" s="175">
        <f>H51/DAY(B2)</f>
        <v>1065.4375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10</v>
      </c>
      <c r="F52" s="117">
        <v>10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100238</v>
      </c>
      <c r="F53" s="410">
        <v>104520</v>
      </c>
      <c r="G53" s="236">
        <f t="shared" si="4"/>
        <v>4282</v>
      </c>
      <c r="H53" s="99">
        <f>G53+'15'!H53</f>
        <v>70659</v>
      </c>
      <c r="I53" s="95"/>
      <c r="J53" s="175">
        <f>H53/DAY(B2)</f>
        <v>4416.1875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92781</v>
      </c>
      <c r="F54" s="410">
        <v>92962</v>
      </c>
      <c r="G54" s="236">
        <f t="shared" si="4"/>
        <v>181</v>
      </c>
      <c r="H54" s="99">
        <f>G54+'15'!H54</f>
        <v>5019</v>
      </c>
      <c r="I54" s="95"/>
      <c r="J54" s="175">
        <f>H54/DAY(B2)</f>
        <v>313.6875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406801</v>
      </c>
      <c r="F55" s="410">
        <v>410228</v>
      </c>
      <c r="G55" s="236">
        <f t="shared" si="4"/>
        <v>3427</v>
      </c>
      <c r="H55" s="99">
        <f>G55+'15'!H55</f>
        <v>47451</v>
      </c>
      <c r="I55" s="95"/>
      <c r="J55" s="175">
        <f>H55/DAY(B2)</f>
        <v>2965.6875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123882</v>
      </c>
      <c r="F56" s="117">
        <v>123882</v>
      </c>
      <c r="G56" s="112">
        <f t="shared" si="4"/>
        <v>0</v>
      </c>
      <c r="H56" s="99">
        <f>G56+'15'!H56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272688</v>
      </c>
      <c r="F57" s="117">
        <v>276023</v>
      </c>
      <c r="G57" s="112">
        <f t="shared" si="4"/>
        <v>3335</v>
      </c>
      <c r="H57" s="99">
        <f>G57+'15'!H57</f>
        <v>49853</v>
      </c>
      <c r="I57" s="95"/>
      <c r="J57" s="175">
        <f>H57/DAY(B2)</f>
        <v>3115.8125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53069</v>
      </c>
      <c r="F58" s="117">
        <v>53345</v>
      </c>
      <c r="G58" s="112">
        <f t="shared" si="4"/>
        <v>276</v>
      </c>
      <c r="H58" s="99">
        <f>G58+'15'!H58</f>
        <v>4236</v>
      </c>
      <c r="I58" s="95"/>
      <c r="J58" s="175">
        <f>H58/DAY(B2)</f>
        <v>264.75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18185</v>
      </c>
      <c r="H59" s="99">
        <f>G59+'15'!H59</f>
        <v>277597.00000000006</v>
      </c>
      <c r="I59" s="95">
        <f>G7-G60</f>
        <v>1136</v>
      </c>
      <c r="J59" s="175">
        <f>H59/DAY(B2)</f>
        <v>17349.812500000004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119">
        <f>G47+G59</f>
        <v>26174</v>
      </c>
      <c r="H60" s="99">
        <f>G60+'15'!H60</f>
        <v>402265.05000000005</v>
      </c>
      <c r="I60" s="95">
        <f>G13-G60</f>
        <v>396</v>
      </c>
      <c r="J60" s="175">
        <f>H60/DAY(B2)</f>
        <v>25141.565625000003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'15'!F62</f>
        <v>297956</v>
      </c>
      <c r="F62" s="122">
        <v>298048</v>
      </c>
      <c r="G62" s="112">
        <f t="shared" ref="G62:G63" si="5">F62-E62</f>
        <v>92</v>
      </c>
      <c r="H62" s="99">
        <f>G62+'15'!H62</f>
        <v>1773</v>
      </c>
      <c r="I62" s="118"/>
      <c r="J62" s="175">
        <f>H62/DAY(B2)</f>
        <v>110.8125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'15'!F63</f>
        <v>241012</v>
      </c>
      <c r="F63" s="122">
        <v>241147</v>
      </c>
      <c r="G63" s="112">
        <f t="shared" si="5"/>
        <v>135</v>
      </c>
      <c r="H63" s="99">
        <f>G63+'15'!H63</f>
        <v>2014</v>
      </c>
      <c r="I63" s="118"/>
      <c r="J63" s="175">
        <f>H63/DAY(B2)</f>
        <v>125.875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v>0</v>
      </c>
      <c r="F64" s="122"/>
      <c r="G64" s="112">
        <f>G62+G63</f>
        <v>227</v>
      </c>
      <c r="H64" s="99">
        <f>G64+'15'!H64</f>
        <v>3787</v>
      </c>
      <c r="I64" s="118"/>
      <c r="J64" s="175">
        <f>H64/DAY(B2)</f>
        <v>236.6875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'15'!F65</f>
        <v>456255</v>
      </c>
      <c r="F65" s="150">
        <v>456353</v>
      </c>
      <c r="G65" s="112">
        <f t="shared" ref="G65:G70" si="6">F65-E65</f>
        <v>98</v>
      </c>
      <c r="H65" s="99">
        <f>G65+'15'!H65</f>
        <v>1643</v>
      </c>
      <c r="I65" s="118"/>
      <c r="J65" s="175">
        <f>H65/DAY(B2)</f>
        <v>102.6875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'15'!F66</f>
        <v>112071</v>
      </c>
      <c r="F66" s="122">
        <v>112071</v>
      </c>
      <c r="G66" s="112">
        <f t="shared" si="6"/>
        <v>0</v>
      </c>
      <c r="H66" s="99">
        <f>G66+'15'!H66</f>
        <v>349</v>
      </c>
      <c r="I66" s="118"/>
      <c r="J66" s="175">
        <f>H66/DAY(B2)</f>
        <v>21.8125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'15'!F67</f>
        <v>113852</v>
      </c>
      <c r="F67" s="122">
        <v>113852</v>
      </c>
      <c r="G67" s="112">
        <f t="shared" si="6"/>
        <v>0</v>
      </c>
      <c r="H67" s="99">
        <f>G67+'15'!H67</f>
        <v>172</v>
      </c>
      <c r="I67" s="118"/>
      <c r="J67" s="175">
        <f>H67/DAY(B2)</f>
        <v>10.75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'15'!F68</f>
        <v>165087</v>
      </c>
      <c r="F68" s="122">
        <v>165121</v>
      </c>
      <c r="G68" s="112">
        <f t="shared" si="6"/>
        <v>34</v>
      </c>
      <c r="H68" s="99">
        <f>G68+'15'!H68</f>
        <v>459</v>
      </c>
      <c r="I68" s="118"/>
      <c r="J68" s="175">
        <f>H68/DAY(B2)</f>
        <v>28.6875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'15'!F69</f>
        <v>12370</v>
      </c>
      <c r="F69" s="122">
        <v>12376</v>
      </c>
      <c r="G69" s="112">
        <f t="shared" si="6"/>
        <v>6</v>
      </c>
      <c r="H69" s="99">
        <f>G69+'15'!H69</f>
        <v>101</v>
      </c>
      <c r="I69" s="118"/>
      <c r="J69" s="175">
        <f>H69/DAY(B2)</f>
        <v>6.3125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'15'!F70</f>
        <v>9969</v>
      </c>
      <c r="F70" s="122">
        <v>9978</v>
      </c>
      <c r="G70" s="112">
        <f t="shared" si="6"/>
        <v>9</v>
      </c>
      <c r="H70" s="99">
        <f>G70+'15'!H70</f>
        <v>151</v>
      </c>
      <c r="I70" s="118"/>
      <c r="J70" s="175">
        <f>H70/DAY(B2)</f>
        <v>9.4375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147</v>
      </c>
      <c r="H71" s="99">
        <f>G71+'15'!H71</f>
        <v>2875</v>
      </c>
      <c r="I71" s="154"/>
      <c r="J71" s="175">
        <f>H71/DAY(B2)</f>
        <v>179.6875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412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'15'!F74</f>
        <v>962408</v>
      </c>
      <c r="F74" s="117">
        <v>962722</v>
      </c>
      <c r="G74" s="112">
        <f t="shared" ref="G74:G78" si="7">F74-E74</f>
        <v>314</v>
      </c>
      <c r="H74" s="99">
        <f>G74+'15'!H74</f>
        <v>5064.140000000014</v>
      </c>
      <c r="I74" s="154"/>
      <c r="J74" s="175">
        <f>H74/DAY(B2)</f>
        <v>316.50875000000087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'15'!F76</f>
        <v>191881</v>
      </c>
      <c r="F76" s="123">
        <v>191986</v>
      </c>
      <c r="G76" s="112">
        <f t="shared" si="7"/>
        <v>105</v>
      </c>
      <c r="H76" s="99">
        <f>G76+'15'!H76</f>
        <v>1814</v>
      </c>
      <c r="I76" s="154"/>
      <c r="J76" s="175">
        <f>H76/DAY(B2)</f>
        <v>113.375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'15'!F77</f>
        <v>51064</v>
      </c>
      <c r="F77" s="123">
        <v>51109</v>
      </c>
      <c r="G77" s="112">
        <f t="shared" si="7"/>
        <v>45</v>
      </c>
      <c r="H77" s="99">
        <f>G77+'15'!H77</f>
        <v>796</v>
      </c>
      <c r="I77" s="154"/>
      <c r="J77" s="175">
        <f>H77/DAY(B2)</f>
        <v>49.75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'15'!F78</f>
        <v>9564</v>
      </c>
      <c r="F78" s="123">
        <v>9564</v>
      </c>
      <c r="G78" s="112">
        <f t="shared" si="7"/>
        <v>0</v>
      </c>
      <c r="H78" s="99">
        <f>G78+'15'!H78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'15'!F79</f>
        <v>0</v>
      </c>
      <c r="F79" s="123"/>
      <c r="G79" s="112">
        <f>G15-SUM(G74:G78)</f>
        <v>536</v>
      </c>
      <c r="H79" s="99">
        <f>G79+'15'!H79</f>
        <v>9027.859999999986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1000</v>
      </c>
      <c r="H80" s="99">
        <f>G80+'15'!H80</f>
        <v>1000</v>
      </c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1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v>42747</v>
      </c>
      <c r="F84" s="164">
        <v>42767</v>
      </c>
      <c r="G84" s="112">
        <f t="shared" si="8"/>
        <v>20</v>
      </c>
      <c r="H84" s="99">
        <f>G84+'15'!H84</f>
        <v>138</v>
      </c>
      <c r="I84" s="571"/>
      <c r="J84" s="175">
        <f>H84/DAY(B2)</f>
        <v>8.625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'15'!F85</f>
        <v>5241</v>
      </c>
      <c r="F85" s="164">
        <v>5241</v>
      </c>
      <c r="G85" s="112">
        <f t="shared" si="8"/>
        <v>0</v>
      </c>
      <c r="H85" s="99">
        <f>G85+'15'!H85</f>
        <v>100.8100000000004</v>
      </c>
      <c r="I85" s="571"/>
      <c r="J85" s="175">
        <f>H85/DAY(B2)</f>
        <v>6.300625000000025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'15'!F86</f>
        <v>45675</v>
      </c>
      <c r="F86" s="164">
        <v>45698</v>
      </c>
      <c r="G86" s="112">
        <f t="shared" si="8"/>
        <v>23</v>
      </c>
      <c r="H86" s="99">
        <f>G86+'15'!H86</f>
        <v>319</v>
      </c>
      <c r="I86" s="571"/>
      <c r="J86" s="175">
        <f>H86/DAY(B2)</f>
        <v>19.9375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'15'!F87</f>
        <v>35481</v>
      </c>
      <c r="F87" s="164">
        <v>35481</v>
      </c>
      <c r="G87" s="112">
        <f t="shared" si="8"/>
        <v>0</v>
      </c>
      <c r="H87" s="99">
        <f>G87+'15'!H87</f>
        <v>23.569999999999709</v>
      </c>
      <c r="I87" s="553">
        <f>G84+G85+G86+G87</f>
        <v>43</v>
      </c>
      <c r="J87" s="175">
        <f>H87/DAY(B2)</f>
        <v>1.4731249999999818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'15'!F88</f>
        <v>24318.959999999999</v>
      </c>
      <c r="F88" s="164">
        <v>24318.959999999999</v>
      </c>
      <c r="G88" s="112">
        <f t="shared" si="8"/>
        <v>0</v>
      </c>
      <c r="H88" s="99">
        <f>G88+'15'!H88</f>
        <v>15.5</v>
      </c>
      <c r="I88" s="553"/>
      <c r="J88" s="175">
        <f>H88/DAY(B2)</f>
        <v>0.96875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'15'!F89</f>
        <v>27686.11</v>
      </c>
      <c r="F89" s="164">
        <v>27694.74</v>
      </c>
      <c r="G89" s="112">
        <f t="shared" si="8"/>
        <v>8.6300000000010186</v>
      </c>
      <c r="H89" s="99">
        <f>G89+'15'!H89</f>
        <v>128.13000000000102</v>
      </c>
      <c r="I89" s="553">
        <f>G88+G89</f>
        <v>8.6300000000010186</v>
      </c>
      <c r="J89" s="175">
        <f>H89/DAY(B2)</f>
        <v>8.0081250000000637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'15'!F90</f>
        <v>72773.64</v>
      </c>
      <c r="F90" s="164">
        <v>72784.149999999994</v>
      </c>
      <c r="G90" s="112">
        <f t="shared" si="8"/>
        <v>10.509999999994761</v>
      </c>
      <c r="H90" s="99">
        <f>G90+'15'!H90</f>
        <v>177.59999999999127</v>
      </c>
      <c r="I90" s="553">
        <f>G90</f>
        <v>10.509999999994761</v>
      </c>
      <c r="J90" s="175">
        <f>H90/DAY(B2)</f>
        <v>11.099999999999454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'15'!F91</f>
        <v>4289.5</v>
      </c>
      <c r="F91" s="122">
        <v>4289.5</v>
      </c>
      <c r="G91" s="112">
        <f t="shared" si="8"/>
        <v>0</v>
      </c>
      <c r="H91" s="99">
        <f>G91+'15'!H91</f>
        <v>-3.999999999996362E-2</v>
      </c>
      <c r="I91" s="612"/>
      <c r="J91" s="175">
        <f>H91/DAY(B2)</f>
        <v>-2.4999999999977263E-3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'15'!F92</f>
        <v>6883.92</v>
      </c>
      <c r="F92" s="122">
        <v>6895.05</v>
      </c>
      <c r="G92" s="112">
        <f t="shared" si="8"/>
        <v>11.130000000000109</v>
      </c>
      <c r="H92" s="99">
        <f>G92+'15'!H92</f>
        <v>177.72000000000025</v>
      </c>
      <c r="I92" s="613">
        <f>G91+G92</f>
        <v>11.130000000000109</v>
      </c>
      <c r="J92" s="175">
        <f>H92/DAY(B2)</f>
        <v>11.107500000000016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7126</v>
      </c>
      <c r="H94" s="99">
        <f>G94+'15'!H94</f>
        <v>113695.04999999999</v>
      </c>
      <c r="I94" s="118"/>
      <c r="J94" s="175">
        <f>H94/DAY(B2)</f>
        <v>7105.9406249999993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51"/>
      <c r="G95" s="166">
        <f>G94/G7</f>
        <v>0.26093006224826071</v>
      </c>
      <c r="H95" s="99">
        <f>G95+'15'!H95</f>
        <v>4.3712353878076557</v>
      </c>
      <c r="I95" s="167"/>
      <c r="J95" s="175">
        <f>H95/DAY(B2)</f>
        <v>0.27320221173797848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7177</v>
      </c>
      <c r="H96" s="99">
        <f>G96+'15'!H96</f>
        <v>108318</v>
      </c>
      <c r="I96" s="118"/>
      <c r="J96" s="175">
        <f>H96/DAY(B2)</f>
        <v>6769.875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0.26279751006957158</v>
      </c>
      <c r="H97" s="99">
        <f>G97+'15'!H97</f>
        <v>4.144727978320546</v>
      </c>
      <c r="I97" s="167"/>
      <c r="J97" s="175">
        <f>H97/DAY(B2)</f>
        <v>0.25904549864503412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4282</v>
      </c>
      <c r="H98" s="99">
        <f>G98+'15'!H98</f>
        <v>70659</v>
      </c>
      <c r="I98" s="168"/>
      <c r="J98" s="175">
        <f>H98/DAY(B2)</f>
        <v>4416.1875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0.15679238374221896</v>
      </c>
      <c r="H99" s="99">
        <f>G99+'15'!H99</f>
        <v>2.7155726793712494</v>
      </c>
      <c r="I99" s="168"/>
      <c r="J99" s="175">
        <f>H99/DAY(B2)</f>
        <v>0.16972329246070308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2245</v>
      </c>
      <c r="H100" s="99">
        <f>G100+'15'!H100</f>
        <v>35949</v>
      </c>
      <c r="I100" s="118"/>
      <c r="J100" s="175">
        <f>H100/DAY(B2)</f>
        <v>2246.8125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8.2204320761625774E-2</v>
      </c>
      <c r="H101" s="99">
        <f>G101+'15'!H101</f>
        <v>1.3815908236045273</v>
      </c>
      <c r="I101" s="168"/>
      <c r="J101" s="175">
        <f>H101/DAY(B2)</f>
        <v>8.6349426475282959E-2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3018</v>
      </c>
      <c r="H102" s="99">
        <f>G102+'15'!H102</f>
        <v>33402</v>
      </c>
      <c r="I102" s="168"/>
      <c r="J102" s="175">
        <f>H102/DAY(B2)</f>
        <v>2087.625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0.11050897107286708</v>
      </c>
      <c r="H103" s="99">
        <f>G103+'15'!H103</f>
        <v>1.2773228386871063</v>
      </c>
      <c r="I103" s="118"/>
      <c r="J103" s="175">
        <f>H103/DAY(B2)</f>
        <v>7.9832677417944142E-2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1026</v>
      </c>
      <c r="H104" s="99">
        <f>G104+'15'!H104</f>
        <v>17047</v>
      </c>
      <c r="I104" s="118"/>
      <c r="J104" s="175">
        <f>H104/DAY(B2)</f>
        <v>1065.4375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3.7568656169901134E-2</v>
      </c>
      <c r="H105" s="99">
        <f>G105+'15'!H105</f>
        <v>0.65476387057721486</v>
      </c>
      <c r="I105" s="187"/>
      <c r="J105" s="188">
        <f>H105/DAY(B2)</f>
        <v>4.0922741911075929E-2</v>
      </c>
      <c r="O105" s="71"/>
    </row>
    <row r="106" spans="1:15" ht="25.5">
      <c r="A106" s="105"/>
      <c r="B106" s="96"/>
      <c r="C106" s="96"/>
      <c r="D106" s="169"/>
      <c r="E106" s="169"/>
      <c r="F106" s="413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5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'15'!F112</f>
        <v>8349</v>
      </c>
      <c r="F112" s="237">
        <v>8422</v>
      </c>
      <c r="G112" s="112">
        <f t="shared" ref="G112:G123" si="9">F112-E112</f>
        <v>73</v>
      </c>
      <c r="H112" s="99">
        <f>G112+'15'!H112</f>
        <v>1157</v>
      </c>
      <c r="I112" s="165"/>
      <c r="J112" s="328">
        <f>H112/DAY(B2)</f>
        <v>72.3125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'15'!F113</f>
        <v>17108</v>
      </c>
      <c r="F113" s="237">
        <v>17249</v>
      </c>
      <c r="G113" s="112">
        <f t="shared" si="9"/>
        <v>141</v>
      </c>
      <c r="H113" s="99">
        <f>G113+'15'!H113</f>
        <v>2234</v>
      </c>
      <c r="I113" s="165"/>
      <c r="J113" s="328">
        <f>H113/DAY(B2)</f>
        <v>139.625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'15'!F114</f>
        <v>24545</v>
      </c>
      <c r="F114" s="417">
        <v>24768</v>
      </c>
      <c r="G114" s="112">
        <f t="shared" si="9"/>
        <v>223</v>
      </c>
      <c r="H114" s="99">
        <f>G114+'15'!H114</f>
        <v>3500</v>
      </c>
      <c r="I114" s="165"/>
      <c r="J114" s="328">
        <f>H114/DAY(B2)</f>
        <v>218.75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'15'!F115</f>
        <v>15464</v>
      </c>
      <c r="F115" s="468">
        <v>15597</v>
      </c>
      <c r="G115" s="236">
        <f t="shared" si="9"/>
        <v>133</v>
      </c>
      <c r="H115" s="99">
        <f>G115+'15'!H115</f>
        <v>2021.5200000000004</v>
      </c>
      <c r="I115" s="165"/>
      <c r="J115" s="328">
        <f>H115/DAY(B2)</f>
        <v>126.34500000000003</v>
      </c>
      <c r="N115" s="470" t="s">
        <v>363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'15'!F116</f>
        <v>76985</v>
      </c>
      <c r="F116" s="237">
        <v>77338</v>
      </c>
      <c r="G116" s="112">
        <f t="shared" si="9"/>
        <v>353</v>
      </c>
      <c r="H116" s="99">
        <f>G116+'15'!H116</f>
        <v>6846</v>
      </c>
      <c r="I116" s="165"/>
      <c r="J116" s="328">
        <f>H116/DAY(B2)</f>
        <v>427.875</v>
      </c>
      <c r="Q116" s="898"/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'15'!F117</f>
        <v>44497</v>
      </c>
      <c r="F117" s="237">
        <v>44715</v>
      </c>
      <c r="G117" s="112">
        <f t="shared" si="9"/>
        <v>218</v>
      </c>
      <c r="H117" s="99">
        <f>G117+'15'!H117</f>
        <v>3793</v>
      </c>
      <c r="I117" s="165"/>
      <c r="J117" s="328">
        <f>H117/DAY(B2)</f>
        <v>237.0625</v>
      </c>
      <c r="Q117" s="898"/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'15'!F118</f>
        <v>73593</v>
      </c>
      <c r="F118" s="237">
        <v>74120</v>
      </c>
      <c r="G118" s="112">
        <f t="shared" si="9"/>
        <v>527</v>
      </c>
      <c r="H118" s="99">
        <f>G118+'15'!H118</f>
        <v>9448</v>
      </c>
      <c r="I118" s="165"/>
      <c r="J118" s="328">
        <f>H118/DAY(B2)</f>
        <v>590.5</v>
      </c>
      <c r="Q118" s="898"/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'15'!F119</f>
        <v>40969</v>
      </c>
      <c r="F119" s="468">
        <v>41212</v>
      </c>
      <c r="G119" s="112">
        <f t="shared" si="9"/>
        <v>243</v>
      </c>
      <c r="H119" s="99">
        <f>G119+'15'!H119</f>
        <v>3763</v>
      </c>
      <c r="I119" s="165"/>
      <c r="J119" s="328">
        <f>H119/DAY(B2)</f>
        <v>235.1875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'15'!F120</f>
        <v>52496</v>
      </c>
      <c r="F120" s="237">
        <v>52908</v>
      </c>
      <c r="G120" s="112">
        <f t="shared" si="9"/>
        <v>412</v>
      </c>
      <c r="H120" s="99">
        <f>G120+'15'!H120</f>
        <v>6641</v>
      </c>
      <c r="I120" s="165"/>
      <c r="J120" s="328">
        <f>H120/DAY(B2)</f>
        <v>415.0625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'15'!F121</f>
        <v>60664</v>
      </c>
      <c r="F121" s="237">
        <v>61124</v>
      </c>
      <c r="G121" s="112">
        <f t="shared" si="9"/>
        <v>460</v>
      </c>
      <c r="H121" s="99">
        <f>G121+'15'!H121</f>
        <v>7581</v>
      </c>
      <c r="I121" s="165"/>
      <c r="J121" s="328">
        <f>H121/DAY(B2)</f>
        <v>473.8125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'15'!F122</f>
        <v>33381</v>
      </c>
      <c r="F122" s="237">
        <v>33713</v>
      </c>
      <c r="G122" s="112">
        <f t="shared" si="9"/>
        <v>332</v>
      </c>
      <c r="H122" s="99">
        <f>G122+'15'!H122</f>
        <v>5039</v>
      </c>
      <c r="I122" s="165"/>
      <c r="J122" s="328">
        <f>H122/DAY(B2)</f>
        <v>314.9375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'15'!F123</f>
        <v>35075</v>
      </c>
      <c r="F123" s="237">
        <v>35404</v>
      </c>
      <c r="G123" s="112">
        <f t="shared" si="9"/>
        <v>329</v>
      </c>
      <c r="H123" s="99">
        <f>G123+'15'!H123</f>
        <v>5216</v>
      </c>
      <c r="I123" s="165"/>
      <c r="J123" s="328">
        <f>H123/DAY(B2)</f>
        <v>326</v>
      </c>
    </row>
    <row r="124" spans="1:18" ht="29.25" customHeight="1">
      <c r="A124" s="902"/>
      <c r="B124" s="903"/>
      <c r="C124" s="904"/>
      <c r="D124" s="165"/>
      <c r="E124" s="165"/>
      <c r="F124" s="155"/>
      <c r="G124" s="327"/>
      <c r="H124" s="156"/>
      <c r="I124" s="165"/>
      <c r="J124" s="327"/>
    </row>
    <row r="125" spans="1:18" ht="25.5">
      <c r="A125" s="880" t="s">
        <v>196</v>
      </c>
      <c r="B125" s="881"/>
      <c r="C125" s="245"/>
      <c r="D125" s="307"/>
      <c r="E125" s="308"/>
      <c r="F125" s="308"/>
      <c r="G125" s="309">
        <f>SUM(G112:G124)</f>
        <v>3444</v>
      </c>
      <c r="H125" s="156"/>
      <c r="I125" s="327">
        <f>G125-(G39+G53)</f>
        <v>-838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'15'!F128</f>
        <v>135503</v>
      </c>
      <c r="F128" s="155">
        <v>135928</v>
      </c>
      <c r="G128" s="112">
        <f t="shared" ref="G128:G134" si="10">F128-E128</f>
        <v>425</v>
      </c>
      <c r="H128" s="99">
        <f>G128+'15'!H128</f>
        <v>8284</v>
      </c>
      <c r="I128" s="165"/>
      <c r="J128" s="328">
        <f>H128/DAY(B2)</f>
        <v>517.75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'15'!F129</f>
        <v>75417</v>
      </c>
      <c r="F129" s="155">
        <v>75607</v>
      </c>
      <c r="G129" s="112">
        <f t="shared" si="10"/>
        <v>190</v>
      </c>
      <c r="H129" s="99">
        <f>G129+'15'!H129</f>
        <v>3104</v>
      </c>
      <c r="I129" s="165"/>
      <c r="J129" s="328">
        <f>H129/DAY(B2)</f>
        <v>194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'15'!F130</f>
        <v>175039</v>
      </c>
      <c r="F130" s="157">
        <v>175657</v>
      </c>
      <c r="G130" s="112">
        <f t="shared" si="10"/>
        <v>618</v>
      </c>
      <c r="H130" s="99">
        <f>G130+'15'!H130</f>
        <v>10521.479999999981</v>
      </c>
      <c r="I130" s="165"/>
      <c r="J130" s="328">
        <f>H130/DAY(B2)</f>
        <v>657.59249999999884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'15'!F131</f>
        <v>51257</v>
      </c>
      <c r="F131" s="155">
        <v>51431</v>
      </c>
      <c r="G131" s="112">
        <f t="shared" si="10"/>
        <v>174</v>
      </c>
      <c r="H131" s="99">
        <f>G131+'15'!H131</f>
        <v>2982</v>
      </c>
      <c r="I131" s="165"/>
      <c r="J131" s="328">
        <f>H131/DAY(B2)</f>
        <v>186.375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'15'!F132</f>
        <v>134300</v>
      </c>
      <c r="F132" s="155">
        <v>134714</v>
      </c>
      <c r="G132" s="112">
        <f t="shared" si="10"/>
        <v>414</v>
      </c>
      <c r="H132" s="99">
        <f>G132+'15'!H132</f>
        <v>6540</v>
      </c>
      <c r="I132" s="165"/>
      <c r="J132" s="328">
        <f>H132/DAY(B2)</f>
        <v>408.75</v>
      </c>
    </row>
    <row r="133" spans="1:15" ht="25.5">
      <c r="A133" s="898" t="s">
        <v>359</v>
      </c>
      <c r="B133" s="899"/>
      <c r="C133" s="900"/>
      <c r="D133" s="151" t="s">
        <v>183</v>
      </c>
      <c r="E133" s="95">
        <f>'15'!F133</f>
        <v>226870</v>
      </c>
      <c r="F133" s="155">
        <v>227740</v>
      </c>
      <c r="G133" s="112">
        <f t="shared" si="10"/>
        <v>870</v>
      </c>
      <c r="H133" s="99">
        <f>G133+'15'!H133</f>
        <v>5335.429999999993</v>
      </c>
      <c r="I133" s="165"/>
      <c r="J133" s="328">
        <f>H133/DAY(B2)</f>
        <v>333.46437499999956</v>
      </c>
    </row>
    <row r="134" spans="1:15" s="409" customFormat="1" ht="25.5">
      <c r="A134" s="972" t="s">
        <v>340</v>
      </c>
      <c r="B134" s="973"/>
      <c r="C134" s="974"/>
      <c r="D134" s="233" t="s">
        <v>183</v>
      </c>
      <c r="E134" s="406">
        <f>'15'!F134</f>
        <v>52209</v>
      </c>
      <c r="F134" s="157">
        <v>52455</v>
      </c>
      <c r="G134" s="236">
        <f t="shared" si="10"/>
        <v>246</v>
      </c>
      <c r="H134" s="238">
        <f>G134+'15'!H134</f>
        <v>3420</v>
      </c>
      <c r="I134" s="158"/>
      <c r="J134" s="408">
        <f>H134/DAY(B2)</f>
        <v>213.75</v>
      </c>
    </row>
    <row r="135" spans="1:15" ht="25.5">
      <c r="A135" s="880" t="s">
        <v>196</v>
      </c>
      <c r="B135" s="881"/>
      <c r="C135" s="331"/>
      <c r="D135" s="151"/>
      <c r="E135" s="95"/>
      <c r="F135" s="155"/>
      <c r="G135" s="112">
        <f>SUM(G128:G134)</f>
        <v>2937</v>
      </c>
      <c r="H135" s="99">
        <f>G135+'10'!H135</f>
        <v>24735.969999999987</v>
      </c>
      <c r="I135" s="327">
        <f>G135-(G35+G49)</f>
        <v>-854</v>
      </c>
      <c r="J135" s="328"/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9" customFormat="1" ht="25.5">
      <c r="A138" s="977" t="s">
        <v>185</v>
      </c>
      <c r="B138" s="977"/>
      <c r="C138" s="977"/>
      <c r="D138" s="233" t="s">
        <v>183</v>
      </c>
      <c r="E138" s="406">
        <f>'15'!F138</f>
        <v>893223</v>
      </c>
      <c r="F138" s="148">
        <v>893362</v>
      </c>
      <c r="G138" s="236">
        <f t="shared" ref="G138:G152" si="11">F138-E138</f>
        <v>139</v>
      </c>
      <c r="H138" s="238">
        <f>G138+'15'!H138</f>
        <v>2251</v>
      </c>
      <c r="I138" s="407"/>
      <c r="J138" s="408">
        <f>H138/DAY(B2)</f>
        <v>140.6875</v>
      </c>
    </row>
    <row r="139" spans="1:15" ht="25.5">
      <c r="A139" s="897" t="s">
        <v>186</v>
      </c>
      <c r="B139" s="897"/>
      <c r="C139" s="897"/>
      <c r="D139" s="151" t="s">
        <v>183</v>
      </c>
      <c r="E139" s="120">
        <f>'15'!F139</f>
        <v>911170</v>
      </c>
      <c r="F139" s="147">
        <v>911337</v>
      </c>
      <c r="G139" s="112">
        <f t="shared" si="11"/>
        <v>167</v>
      </c>
      <c r="H139" s="99">
        <f>G139+'15'!H139</f>
        <v>2442</v>
      </c>
      <c r="I139" s="118"/>
      <c r="J139" s="328">
        <f>H139/DAY(B2)</f>
        <v>152.625</v>
      </c>
    </row>
    <row r="140" spans="1:15" ht="25.5">
      <c r="A140" s="897" t="s">
        <v>187</v>
      </c>
      <c r="B140" s="897"/>
      <c r="C140" s="897"/>
      <c r="D140" s="151" t="s">
        <v>183</v>
      </c>
      <c r="E140" s="149">
        <v>1724</v>
      </c>
      <c r="F140" s="149">
        <v>1739</v>
      </c>
      <c r="G140" s="112">
        <f t="shared" si="11"/>
        <v>15</v>
      </c>
      <c r="H140" s="99">
        <f>G140+'15'!H140</f>
        <v>226</v>
      </c>
      <c r="I140" s="118"/>
      <c r="J140" s="328">
        <f>H140/DAY(B2)</f>
        <v>14.125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'15'!F141</f>
        <v>93416</v>
      </c>
      <c r="F141" s="149">
        <v>93636</v>
      </c>
      <c r="G141" s="112">
        <f t="shared" si="11"/>
        <v>220</v>
      </c>
      <c r="H141" s="99">
        <f>G141+'15'!H141</f>
        <v>3184</v>
      </c>
      <c r="I141" s="118"/>
      <c r="J141" s="328">
        <f>H141/DAY(B2)</f>
        <v>199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'15'!F142</f>
        <v>37897</v>
      </c>
      <c r="F142" s="148">
        <v>37983</v>
      </c>
      <c r="G142" s="112">
        <f t="shared" si="11"/>
        <v>86</v>
      </c>
      <c r="H142" s="99">
        <f>G142+'15'!H142</f>
        <v>1322</v>
      </c>
      <c r="I142" s="140"/>
      <c r="J142" s="328">
        <f>H142/DAY(B2)</f>
        <v>82.625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'15'!F143</f>
        <v>9437</v>
      </c>
      <c r="F143" s="149">
        <v>9463</v>
      </c>
      <c r="G143" s="112">
        <f t="shared" si="11"/>
        <v>26</v>
      </c>
      <c r="H143" s="99">
        <f>G143+'15'!H143</f>
        <v>412</v>
      </c>
      <c r="I143" s="140"/>
      <c r="J143" s="328">
        <f>H143/DAY(B2)</f>
        <v>25.75</v>
      </c>
    </row>
    <row r="144" spans="1:15" ht="25.5">
      <c r="A144" s="876" t="s">
        <v>90</v>
      </c>
      <c r="B144" s="876"/>
      <c r="C144" s="876"/>
      <c r="D144" s="151" t="s">
        <v>183</v>
      </c>
      <c r="E144" s="120">
        <f>'15'!F144</f>
        <v>923143</v>
      </c>
      <c r="F144" s="147">
        <v>923362</v>
      </c>
      <c r="G144" s="112">
        <f t="shared" si="11"/>
        <v>219</v>
      </c>
      <c r="H144" s="99">
        <f>G144+'15'!H144</f>
        <v>3525</v>
      </c>
      <c r="I144" s="140"/>
      <c r="J144" s="328">
        <f>H144/DAY(B2)</f>
        <v>220.3125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'15'!F145</f>
        <v>6261</v>
      </c>
      <c r="F145" s="148">
        <v>6295</v>
      </c>
      <c r="G145" s="112">
        <f t="shared" si="11"/>
        <v>34</v>
      </c>
      <c r="H145" s="99">
        <f>G145+'15'!H145</f>
        <v>488</v>
      </c>
      <c r="I145" s="140"/>
      <c r="J145" s="328">
        <f>H145/DAY(B2)</f>
        <v>30.5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'15'!F146</f>
        <v>781926</v>
      </c>
      <c r="F146" s="148">
        <v>782073</v>
      </c>
      <c r="G146" s="112">
        <f t="shared" si="11"/>
        <v>147</v>
      </c>
      <c r="H146" s="99">
        <f>G146+'15'!H146</f>
        <v>1273</v>
      </c>
      <c r="I146" s="140"/>
      <c r="J146" s="328">
        <f>H146/DAY(B2)</f>
        <v>79.5625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'15'!F147</f>
        <v>705552</v>
      </c>
      <c r="F147" s="148">
        <v>705940</v>
      </c>
      <c r="G147" s="112">
        <f t="shared" si="11"/>
        <v>388</v>
      </c>
      <c r="H147" s="99">
        <f>G147+'15'!H147</f>
        <v>6171</v>
      </c>
      <c r="I147" s="140"/>
      <c r="J147" s="328">
        <f>H147/DAY(B2)</f>
        <v>385.6875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'15'!F148</f>
        <v>753020</v>
      </c>
      <c r="F148" s="164">
        <v>753393</v>
      </c>
      <c r="G148" s="112">
        <f t="shared" si="11"/>
        <v>373</v>
      </c>
      <c r="H148" s="99">
        <f>G148+'15'!H148</f>
        <v>4863</v>
      </c>
      <c r="I148" s="124"/>
      <c r="J148" s="328">
        <f>H148/DAY(B2)</f>
        <v>303.9375</v>
      </c>
    </row>
    <row r="149" spans="1:10" ht="25.5">
      <c r="A149" s="877" t="s">
        <v>336</v>
      </c>
      <c r="B149" s="878"/>
      <c r="C149" s="879"/>
      <c r="D149" s="227" t="s">
        <v>130</v>
      </c>
      <c r="E149" s="120">
        <f>'15'!F149</f>
        <v>139612</v>
      </c>
      <c r="F149" s="152">
        <v>140019</v>
      </c>
      <c r="G149" s="112">
        <f t="shared" si="11"/>
        <v>407</v>
      </c>
      <c r="H149" s="99">
        <f>G149+'15'!H149</f>
        <v>7585</v>
      </c>
      <c r="I149" s="119"/>
      <c r="J149" s="328">
        <f>H149/DAY(B2)</f>
        <v>474.0625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'15'!F150</f>
        <v>53958</v>
      </c>
      <c r="F150" s="233">
        <v>54178</v>
      </c>
      <c r="G150" s="112">
        <f t="shared" si="11"/>
        <v>220</v>
      </c>
      <c r="H150" s="99">
        <f>G150+'15'!H150</f>
        <v>3563</v>
      </c>
      <c r="I150" s="119"/>
      <c r="J150" s="328">
        <f>H150/DAY(B2)</f>
        <v>222.6875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'15'!F151</f>
        <v>139532</v>
      </c>
      <c r="F151" s="233">
        <v>139790</v>
      </c>
      <c r="G151" s="112">
        <f t="shared" si="11"/>
        <v>258</v>
      </c>
      <c r="H151" s="99">
        <f>G151+'15'!H151</f>
        <v>4341</v>
      </c>
      <c r="I151" s="119"/>
      <c r="J151" s="328">
        <f>H151/DAY(B2)</f>
        <v>271.3125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'15'!F152</f>
        <v>24943</v>
      </c>
      <c r="F152" s="233">
        <v>25068</v>
      </c>
      <c r="G152" s="112">
        <f t="shared" si="11"/>
        <v>125</v>
      </c>
      <c r="H152" s="99">
        <f>G152+'15'!H152</f>
        <v>1914</v>
      </c>
      <c r="I152" s="119"/>
      <c r="J152" s="328">
        <f>H152/DAY(B2)</f>
        <v>119.625</v>
      </c>
    </row>
    <row r="153" spans="1:10" ht="25.5">
      <c r="A153" s="880" t="s">
        <v>196</v>
      </c>
      <c r="B153" s="881"/>
      <c r="C153" s="365"/>
      <c r="D153" s="358"/>
      <c r="E153" s="360"/>
      <c r="F153" s="361"/>
      <c r="G153" s="362">
        <f>SUM(G138:G152)</f>
        <v>2824</v>
      </c>
      <c r="H153" s="363"/>
      <c r="I153" s="119">
        <f>G153-(G38+G52)</f>
        <v>579</v>
      </c>
      <c r="J153" s="366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406">
        <f>'15'!F155</f>
        <v>157835</v>
      </c>
      <c r="F155" s="751">
        <v>158465</v>
      </c>
      <c r="G155" s="236">
        <f>F155-E155</f>
        <v>630</v>
      </c>
      <c r="H155" s="99">
        <f>G155+'15'!H155</f>
        <v>10316</v>
      </c>
      <c r="I155" s="364"/>
      <c r="J155" s="328">
        <f>H155/DAY(B2)</f>
        <v>644.75</v>
      </c>
    </row>
    <row r="156" spans="1:10" ht="25.5">
      <c r="A156" s="876" t="s">
        <v>347</v>
      </c>
      <c r="B156" s="876"/>
      <c r="C156" s="876"/>
      <c r="D156" s="117" t="s">
        <v>130</v>
      </c>
      <c r="E156" s="406">
        <f>'15'!F156</f>
        <v>16214</v>
      </c>
      <c r="F156" s="157">
        <v>16313</v>
      </c>
      <c r="G156" s="236">
        <f t="shared" ref="G156:G158" si="12">F156-E156</f>
        <v>99</v>
      </c>
      <c r="H156" s="99">
        <f>G156+'15'!H156</f>
        <v>1579</v>
      </c>
      <c r="I156" s="165"/>
      <c r="J156" s="328">
        <f>H156/DAY(B2)</f>
        <v>98.6875</v>
      </c>
    </row>
    <row r="157" spans="1:10" ht="25.5">
      <c r="A157" s="877" t="s">
        <v>360</v>
      </c>
      <c r="B157" s="878"/>
      <c r="C157" s="879"/>
      <c r="D157" s="117" t="s">
        <v>130</v>
      </c>
      <c r="E157" s="406">
        <f>'15'!F157</f>
        <v>29605</v>
      </c>
      <c r="F157" s="157">
        <v>29730</v>
      </c>
      <c r="G157" s="236">
        <f t="shared" si="12"/>
        <v>125</v>
      </c>
      <c r="H157" s="99">
        <f>G157+'15'!H157</f>
        <v>2284</v>
      </c>
      <c r="I157" s="165"/>
      <c r="J157" s="328">
        <f>H157/DAY(B2)</f>
        <v>142.75</v>
      </c>
    </row>
    <row r="158" spans="1:10" ht="25.5">
      <c r="A158" s="877" t="s">
        <v>361</v>
      </c>
      <c r="B158" s="878"/>
      <c r="C158" s="879"/>
      <c r="D158" s="117" t="s">
        <v>130</v>
      </c>
      <c r="E158" s="406">
        <f>'15'!F158</f>
        <v>241</v>
      </c>
      <c r="F158" s="157">
        <v>241</v>
      </c>
      <c r="G158" s="236">
        <f t="shared" si="12"/>
        <v>0</v>
      </c>
      <c r="H158" s="99">
        <f>G158+'15'!H158</f>
        <v>152.57999999999998</v>
      </c>
      <c r="I158" s="165"/>
      <c r="J158" s="328">
        <f>H158/DAY(B2)</f>
        <v>9.536249999999999</v>
      </c>
    </row>
    <row r="159" spans="1:10" ht="25.5">
      <c r="A159" s="962"/>
      <c r="B159" s="963"/>
      <c r="C159" s="964"/>
      <c r="D159" s="117"/>
      <c r="E159" s="95"/>
      <c r="F159" s="155"/>
      <c r="G159" s="362">
        <f>SUM(G155:G158)</f>
        <v>854</v>
      </c>
      <c r="H159" s="99">
        <f>G159+'15'!H159</f>
        <v>854</v>
      </c>
      <c r="I159" s="165"/>
      <c r="J159" s="328">
        <f>H159/DAY(B2)</f>
        <v>53.375</v>
      </c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'15'!F161</f>
        <v>480521</v>
      </c>
      <c r="F161" s="235">
        <v>480784</v>
      </c>
      <c r="G161" s="238">
        <f t="shared" ref="G161:G165" si="13">F161-E161</f>
        <v>263</v>
      </c>
      <c r="H161" s="99">
        <f>G161+'15'!H161</f>
        <v>731</v>
      </c>
      <c r="I161" s="236"/>
      <c r="J161" s="239">
        <f>H161/DAY(B2)</f>
        <v>45.6875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'15'!F162</f>
        <v>95505</v>
      </c>
      <c r="F162" s="235">
        <v>95545</v>
      </c>
      <c r="G162" s="238">
        <f t="shared" si="13"/>
        <v>40</v>
      </c>
      <c r="H162" s="99">
        <f>G162+'15'!H162</f>
        <v>617</v>
      </c>
      <c r="I162" s="236"/>
      <c r="J162" s="239">
        <f>H162/DAY(B2)</f>
        <v>38.5625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'15'!F163</f>
        <v>8256</v>
      </c>
      <c r="F163" s="235">
        <v>8338</v>
      </c>
      <c r="G163" s="238">
        <f t="shared" si="13"/>
        <v>82</v>
      </c>
      <c r="H163" s="99">
        <f>G163+'15'!H163</f>
        <v>1837</v>
      </c>
      <c r="I163" s="236"/>
      <c r="J163" s="239">
        <f>H163/DAY(B2)</f>
        <v>114.8125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'15'!F164</f>
        <v>6316</v>
      </c>
      <c r="F164" s="235">
        <v>6316</v>
      </c>
      <c r="G164" s="238">
        <f t="shared" si="13"/>
        <v>0</v>
      </c>
      <c r="H164" s="99">
        <f>G164+'15'!H164</f>
        <v>36</v>
      </c>
      <c r="I164" s="236"/>
      <c r="J164" s="239">
        <f>H164/DAY(B2)</f>
        <v>2.25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'15'!F165</f>
        <v>31747</v>
      </c>
      <c r="F165" s="235">
        <v>31755</v>
      </c>
      <c r="G165" s="238">
        <f t="shared" si="13"/>
        <v>8</v>
      </c>
      <c r="H165" s="99">
        <f>G165+'15'!H165</f>
        <v>121</v>
      </c>
      <c r="I165" s="236"/>
      <c r="J165" s="239">
        <f>H165/DAY(B2)</f>
        <v>7.5625</v>
      </c>
    </row>
    <row r="166" spans="1:10" ht="26.25">
      <c r="A166" s="885"/>
      <c r="B166" s="885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6.25">
      <c r="A167" s="885"/>
      <c r="B167" s="885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6.25">
      <c r="A168" s="885"/>
      <c r="B168" s="885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'15'!F173</f>
        <v>8276</v>
      </c>
      <c r="F173" s="155">
        <v>8276</v>
      </c>
      <c r="G173" s="155">
        <f>F173-E173</f>
        <v>0</v>
      </c>
      <c r="H173" s="99">
        <f>G173+'15'!H173</f>
        <v>41</v>
      </c>
      <c r="I173" s="155"/>
      <c r="J173" s="178">
        <f>H173/DAY(B2)</f>
        <v>2.5625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'15'!F174</f>
        <v>41408</v>
      </c>
      <c r="F174" s="157">
        <v>41420</v>
      </c>
      <c r="G174" s="155">
        <f t="shared" ref="G174:G175" si="14">F174-E174</f>
        <v>12</v>
      </c>
      <c r="H174" s="99">
        <f>G174+'15'!H174</f>
        <v>216</v>
      </c>
      <c r="I174" s="155"/>
      <c r="J174" s="178">
        <f>H174/DAY(B2)</f>
        <v>13.5</v>
      </c>
    </row>
    <row r="175" spans="1:10" ht="25.5">
      <c r="A175" s="891" t="s">
        <v>76</v>
      </c>
      <c r="B175" s="931"/>
      <c r="C175" s="892"/>
      <c r="D175" s="228" t="s">
        <v>142</v>
      </c>
      <c r="E175" s="95">
        <f>'15'!F175</f>
        <v>24204</v>
      </c>
      <c r="F175" s="155">
        <v>24214</v>
      </c>
      <c r="G175" s="155">
        <f t="shared" si="14"/>
        <v>10</v>
      </c>
      <c r="H175" s="99">
        <f>G175+'15'!H175</f>
        <v>183</v>
      </c>
      <c r="I175" s="155"/>
      <c r="J175" s="178">
        <f>H175/DAY(B2)</f>
        <v>11.4375</v>
      </c>
    </row>
    <row r="176" spans="1:10" ht="25.5">
      <c r="A176" s="880" t="s">
        <v>196</v>
      </c>
      <c r="B176" s="881"/>
      <c r="C176" s="333"/>
      <c r="D176" s="228" t="s">
        <v>142</v>
      </c>
      <c r="E176" s="95">
        <f>'15'!F176</f>
        <v>0</v>
      </c>
      <c r="F176" s="155"/>
      <c r="G176" s="155">
        <f>SUM(G173:G175)</f>
        <v>22</v>
      </c>
      <c r="H176" s="99">
        <f>G176+'15'!H176</f>
        <v>440</v>
      </c>
      <c r="I176" s="155"/>
      <c r="J176" s="178">
        <f>H176/DAY(B2)</f>
        <v>27.5</v>
      </c>
    </row>
    <row r="177" spans="1:11" ht="25.5">
      <c r="A177" s="891" t="s">
        <v>77</v>
      </c>
      <c r="B177" s="892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5.5">
      <c r="A178" s="891" t="s">
        <v>210</v>
      </c>
      <c r="B178" s="892"/>
      <c r="C178" s="333"/>
      <c r="D178" s="228" t="s">
        <v>142</v>
      </c>
      <c r="E178" s="95">
        <f>'15'!F178</f>
        <v>98915</v>
      </c>
      <c r="F178" s="155">
        <v>99005</v>
      </c>
      <c r="G178" s="155">
        <f>F178-E178</f>
        <v>90</v>
      </c>
      <c r="H178" s="99">
        <f>G178+'15'!H178</f>
        <v>1292</v>
      </c>
      <c r="I178" s="155"/>
      <c r="J178" s="178">
        <f>H178/DAY(B2)</f>
        <v>80.75</v>
      </c>
    </row>
    <row r="179" spans="1:11" ht="25.5">
      <c r="A179" s="891" t="s">
        <v>211</v>
      </c>
      <c r="B179" s="892"/>
      <c r="C179" s="333"/>
      <c r="D179" s="228" t="s">
        <v>142</v>
      </c>
      <c r="E179" s="95">
        <f>'15'!F179</f>
        <v>36002</v>
      </c>
      <c r="F179" s="155">
        <v>36002</v>
      </c>
      <c r="G179" s="155">
        <f t="shared" ref="G179:G180" si="15">F179-E179</f>
        <v>0</v>
      </c>
      <c r="H179" s="99">
        <f>G179+'15'!H179</f>
        <v>0</v>
      </c>
      <c r="I179" s="155"/>
      <c r="J179" s="178">
        <f>H179/DAY(B2)</f>
        <v>0</v>
      </c>
    </row>
    <row r="180" spans="1:11" ht="25.5">
      <c r="A180" s="891" t="s">
        <v>212</v>
      </c>
      <c r="B180" s="892"/>
      <c r="C180" s="333"/>
      <c r="D180" s="228" t="s">
        <v>142</v>
      </c>
      <c r="E180" s="95">
        <f>'15'!F180</f>
        <v>7180</v>
      </c>
      <c r="F180" s="155">
        <v>7181</v>
      </c>
      <c r="G180" s="155">
        <f t="shared" si="15"/>
        <v>1</v>
      </c>
      <c r="H180" s="99">
        <f>G180+'15'!H180</f>
        <v>19</v>
      </c>
      <c r="I180" s="155"/>
      <c r="J180" s="178">
        <f>H180/DAY(B2)</f>
        <v>1.1875</v>
      </c>
    </row>
    <row r="181" spans="1:11" ht="25.5">
      <c r="A181" s="893" t="s">
        <v>108</v>
      </c>
      <c r="B181" s="894"/>
      <c r="C181" s="333"/>
      <c r="D181" s="228" t="s">
        <v>142</v>
      </c>
      <c r="E181" s="95">
        <f>'15'!F181</f>
        <v>0</v>
      </c>
      <c r="F181" s="155"/>
      <c r="G181" s="155">
        <f>SUM(G178:G180)</f>
        <v>91</v>
      </c>
      <c r="H181" s="99">
        <f>G181+'15'!H181</f>
        <v>1311</v>
      </c>
      <c r="I181" s="155"/>
      <c r="J181" s="178">
        <f>H181/DAY(B2)</f>
        <v>81.9375</v>
      </c>
    </row>
    <row r="182" spans="1:11" ht="25.5">
      <c r="A182" s="891" t="s">
        <v>213</v>
      </c>
      <c r="B182" s="892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5.5">
      <c r="A183" s="891" t="s">
        <v>214</v>
      </c>
      <c r="B183" s="892"/>
      <c r="C183" s="334"/>
      <c r="D183" s="228" t="s">
        <v>142</v>
      </c>
      <c r="E183" s="95">
        <f>'15'!F183</f>
        <v>17594</v>
      </c>
      <c r="F183" s="157">
        <v>17601</v>
      </c>
      <c r="G183" s="157">
        <f>F183-E183</f>
        <v>7</v>
      </c>
      <c r="H183" s="99">
        <f>G183+'15'!H183</f>
        <v>128</v>
      </c>
      <c r="I183" s="155"/>
      <c r="J183" s="178">
        <f>H183/DAY(B2)</f>
        <v>8</v>
      </c>
    </row>
    <row r="184" spans="1:11" ht="25.5">
      <c r="A184" s="891" t="s">
        <v>215</v>
      </c>
      <c r="B184" s="892"/>
      <c r="C184" s="334"/>
      <c r="D184" s="228" t="s">
        <v>142</v>
      </c>
      <c r="E184" s="95">
        <f>'15'!F184</f>
        <v>12048</v>
      </c>
      <c r="F184" s="157">
        <v>12054</v>
      </c>
      <c r="G184" s="157">
        <f t="shared" ref="G184:G185" si="16">F184-E184</f>
        <v>6</v>
      </c>
      <c r="H184" s="99">
        <f>G184+'15'!H184</f>
        <v>119</v>
      </c>
      <c r="I184" s="155"/>
      <c r="J184" s="178">
        <f>H184/DAY(B2)</f>
        <v>7.4375</v>
      </c>
    </row>
    <row r="185" spans="1:11" ht="32.25" customHeight="1">
      <c r="A185" s="891" t="s">
        <v>216</v>
      </c>
      <c r="B185" s="892"/>
      <c r="C185" s="334"/>
      <c r="D185" s="228" t="s">
        <v>142</v>
      </c>
      <c r="E185" s="95">
        <f>'15'!F185</f>
        <v>0</v>
      </c>
      <c r="F185" s="157">
        <v>0</v>
      </c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880" t="s">
        <v>196</v>
      </c>
      <c r="B186" s="881"/>
      <c r="C186" s="334"/>
      <c r="D186" s="228" t="s">
        <v>142</v>
      </c>
      <c r="E186" s="95">
        <f>'15'!F186</f>
        <v>0</v>
      </c>
      <c r="F186" s="157"/>
      <c r="G186" s="157">
        <f>SUM(G183:G185)</f>
        <v>13</v>
      </c>
      <c r="H186" s="99">
        <f>G186+'15'!H186</f>
        <v>247</v>
      </c>
      <c r="I186" s="157"/>
      <c r="J186" s="178">
        <f>H186/DAY(B2)</f>
        <v>15.4375</v>
      </c>
    </row>
    <row r="187" spans="1:11" ht="25.5">
      <c r="A187" s="882" t="s">
        <v>217</v>
      </c>
      <c r="B187" s="883"/>
      <c r="C187" s="333"/>
      <c r="D187" s="230" t="s">
        <v>142</v>
      </c>
      <c r="E187" s="95">
        <f>'15'!F187</f>
        <v>0</v>
      </c>
      <c r="F187" s="159"/>
      <c r="G187" s="159">
        <f>G62+G19</f>
        <v>144</v>
      </c>
      <c r="H187" s="99">
        <f>G187+'15'!H187</f>
        <v>2581</v>
      </c>
      <c r="I187" s="158"/>
      <c r="J187" s="179">
        <f>H187/DAY(B2)</f>
        <v>161.3125</v>
      </c>
    </row>
    <row r="188" spans="1:11" ht="25.5">
      <c r="A188" s="882" t="s">
        <v>218</v>
      </c>
      <c r="B188" s="883"/>
      <c r="C188" s="333"/>
      <c r="D188" s="230" t="s">
        <v>142</v>
      </c>
      <c r="E188" s="95">
        <f>'15'!F188</f>
        <v>0</v>
      </c>
      <c r="F188" s="159"/>
      <c r="G188" s="159">
        <f>G65+G66+G67+G69+G70</f>
        <v>113</v>
      </c>
      <c r="H188" s="99">
        <f>G188+'15'!H188</f>
        <v>247</v>
      </c>
      <c r="I188" s="158"/>
      <c r="J188" s="179">
        <f>H188/DAY(B2)</f>
        <v>15.4375</v>
      </c>
    </row>
    <row r="189" spans="1:11" ht="23.25" customHeight="1">
      <c r="A189" s="882" t="s">
        <v>219</v>
      </c>
      <c r="B189" s="883"/>
      <c r="C189" s="333"/>
      <c r="D189" s="230" t="s">
        <v>142</v>
      </c>
      <c r="E189" s="95">
        <f>'15'!F189</f>
        <v>0</v>
      </c>
      <c r="F189" s="157"/>
      <c r="G189" s="157">
        <f>G181</f>
        <v>91</v>
      </c>
      <c r="H189" s="99">
        <f>G189+'15'!H189</f>
        <v>1311</v>
      </c>
      <c r="I189" s="158"/>
      <c r="J189" s="179">
        <f>H189/DAY(B2)</f>
        <v>81.9375</v>
      </c>
    </row>
    <row r="190" spans="1:11" ht="23.25" customHeight="1">
      <c r="A190" s="975"/>
      <c r="B190" s="976"/>
      <c r="C190" s="427"/>
      <c r="D190" s="396"/>
      <c r="E190" s="396" t="s">
        <v>207</v>
      </c>
      <c r="F190" s="415"/>
      <c r="G190" s="396"/>
      <c r="H190" s="397"/>
      <c r="I190" s="396"/>
      <c r="J190" s="398"/>
    </row>
    <row r="191" spans="1:11" ht="23.25" customHeight="1">
      <c r="A191" s="245"/>
      <c r="B191" s="246"/>
      <c r="C191" s="246"/>
      <c r="D191" s="165"/>
      <c r="E191" s="165"/>
      <c r="F191" s="155"/>
      <c r="G191" s="165"/>
      <c r="H191" s="238"/>
      <c r="I191" s="99"/>
      <c r="J191" s="236"/>
      <c r="K191" s="239" t="e">
        <f>I191/DAY(C28)</f>
        <v>#DIV/0!</v>
      </c>
    </row>
    <row r="192" spans="1:11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zoomScale="55" zoomScaleSheetLayoutView="55" zoomScalePageLayoutView="60" workbookViewId="0">
      <selection activeCell="G143" sqref="G143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4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7.75" customHeight="1">
      <c r="A2" s="191" t="s">
        <v>303</v>
      </c>
      <c r="B2" s="262">
        <v>44790</v>
      </c>
      <c r="C2" s="348" t="s">
        <v>67</v>
      </c>
      <c r="D2" s="218">
        <v>0.5</v>
      </c>
      <c r="E2" s="100"/>
      <c r="F2" s="100"/>
      <c r="G2" s="47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26</v>
      </c>
      <c r="E3" s="946" t="s">
        <v>119</v>
      </c>
      <c r="F3" s="947"/>
      <c r="G3" s="472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0.95</v>
      </c>
      <c r="E4" s="103"/>
      <c r="F4" s="103"/>
      <c r="G4" s="472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40" t="s">
        <v>128</v>
      </c>
      <c r="B6" s="941"/>
      <c r="C6" s="942"/>
      <c r="D6" s="110"/>
      <c r="E6" s="110"/>
      <c r="F6" s="110"/>
      <c r="G6" s="474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754113</v>
      </c>
      <c r="F7" s="95">
        <v>780604</v>
      </c>
      <c r="G7" s="475">
        <f>F7-E7</f>
        <v>26491</v>
      </c>
      <c r="H7" s="99">
        <f>G7+'16'!H7</f>
        <v>443474</v>
      </c>
      <c r="I7" s="113">
        <f>'1'!I7</f>
        <v>12000</v>
      </c>
      <c r="J7" s="175">
        <f>H7/DAY(B2)</f>
        <v>26086.705882352941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911055</v>
      </c>
      <c r="F8" s="95">
        <v>937803</v>
      </c>
      <c r="G8" s="476">
        <f>F8-E8</f>
        <v>26748</v>
      </c>
      <c r="H8" s="99">
        <f>G8+'16'!H8</f>
        <v>449216</v>
      </c>
      <c r="I8" s="116"/>
      <c r="J8" s="175">
        <f>H8/DAY(B2)</f>
        <v>26424.470588235294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-257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3387526</v>
      </c>
      <c r="F9" s="469">
        <v>3395351</v>
      </c>
      <c r="G9" s="475">
        <f>F9-E9</f>
        <v>7825</v>
      </c>
      <c r="H9" s="99">
        <f>G9+'16'!H9</f>
        <v>116285</v>
      </c>
      <c r="I9" s="124">
        <f>I7-J7</f>
        <v>-14086.705882352941</v>
      </c>
      <c r="J9" s="175">
        <f>H9/DAY(B2)</f>
        <v>6840.2941176470586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1964526</v>
      </c>
      <c r="F10" s="353">
        <v>1982477</v>
      </c>
      <c r="G10" s="475">
        <f t="shared" ref="G10:G12" si="0">F10-E10</f>
        <v>17951</v>
      </c>
      <c r="H10" s="99">
        <f>G10+'16'!H10</f>
        <v>315319</v>
      </c>
      <c r="I10" s="282"/>
      <c r="J10" s="175">
        <f>H10/DAY(B2)</f>
        <v>18548.176470588234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37560</v>
      </c>
      <c r="F11" s="95">
        <v>37560</v>
      </c>
      <c r="G11" s="475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>
        <f>G8-G7</f>
        <v>257</v>
      </c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40380</v>
      </c>
      <c r="F12" s="117">
        <v>40380</v>
      </c>
      <c r="G12" s="475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77">
        <f>G9+G10+G11+G12</f>
        <v>25776</v>
      </c>
      <c r="H13" s="99">
        <f>G13+'16'!H13</f>
        <v>432938.59999999986</v>
      </c>
      <c r="I13" s="120">
        <f>G7-G13</f>
        <v>715</v>
      </c>
      <c r="J13" s="175">
        <f>H13/DAY(B2)</f>
        <v>25466.976470588226</v>
      </c>
      <c r="K13" s="79"/>
      <c r="L13" s="66"/>
      <c r="N13" s="87"/>
      <c r="O13" s="71"/>
    </row>
    <row r="14" spans="1:15" ht="27.75" customHeight="1">
      <c r="A14" s="943" t="s">
        <v>137</v>
      </c>
      <c r="B14" s="944"/>
      <c r="C14" s="945"/>
      <c r="D14" s="111"/>
      <c r="E14" s="111"/>
      <c r="F14" s="111"/>
      <c r="G14" s="478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'16'!F15</f>
        <v>2117570</v>
      </c>
      <c r="F15" s="469">
        <v>2118571</v>
      </c>
      <c r="G15" s="475">
        <f>(F15-E15)</f>
        <v>1001</v>
      </c>
      <c r="H15" s="99">
        <f>G15+'16'!H15</f>
        <v>17703</v>
      </c>
      <c r="I15" s="113">
        <f>'1'!I15</f>
        <v>800</v>
      </c>
      <c r="J15" s="175">
        <f>H15/DAY(B2)</f>
        <v>1041.3529411764705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75"/>
      <c r="H16" s="124"/>
      <c r="I16" s="120">
        <f>I15-J15</f>
        <v>-241.35294117647049</v>
      </c>
      <c r="J16" s="176"/>
      <c r="K16" s="79"/>
      <c r="L16" s="66"/>
      <c r="N16" s="87"/>
      <c r="O16" s="71"/>
    </row>
    <row r="17" spans="1:15" ht="27.75" customHeight="1">
      <c r="A17" s="943" t="s">
        <v>140</v>
      </c>
      <c r="B17" s="944"/>
      <c r="C17" s="945"/>
      <c r="D17" s="111"/>
      <c r="E17" s="111"/>
      <c r="F17" s="111"/>
      <c r="G17" s="478"/>
      <c r="H17" s="111"/>
      <c r="I17" s="111"/>
      <c r="J17" s="174"/>
      <c r="K17" s="79"/>
      <c r="L17" s="66"/>
      <c r="N17" s="87"/>
      <c r="O17" s="71"/>
    </row>
    <row r="18" spans="1:15" ht="27.75" customHeight="1">
      <c r="A18" s="919" t="s">
        <v>141</v>
      </c>
      <c r="B18" s="920"/>
      <c r="C18" s="921"/>
      <c r="D18" s="151" t="s">
        <v>142</v>
      </c>
      <c r="E18" s="95">
        <f>'16'!F18</f>
        <v>9</v>
      </c>
      <c r="F18" s="122">
        <v>24</v>
      </c>
      <c r="G18" s="477">
        <f>F18*10</f>
        <v>240</v>
      </c>
      <c r="H18" s="99">
        <f>G18+'16'!H18</f>
        <v>2710</v>
      </c>
      <c r="I18" s="113">
        <f>'1'!I18</f>
        <v>65</v>
      </c>
      <c r="J18" s="175">
        <f>H18/DAY(B2)</f>
        <v>159.41176470588235</v>
      </c>
      <c r="K18" s="79"/>
      <c r="L18" s="66"/>
      <c r="N18" s="87"/>
      <c r="O18" s="71"/>
    </row>
    <row r="19" spans="1:15" ht="27.75" customHeight="1">
      <c r="A19" s="919" t="s">
        <v>69</v>
      </c>
      <c r="B19" s="920"/>
      <c r="C19" s="921"/>
      <c r="D19" s="151" t="s">
        <v>142</v>
      </c>
      <c r="E19" s="95">
        <f>'16'!F19</f>
        <v>163143</v>
      </c>
      <c r="F19" s="122">
        <v>163192</v>
      </c>
      <c r="G19" s="475">
        <f t="shared" ref="G19" si="1">F19-E19</f>
        <v>49</v>
      </c>
      <c r="H19" s="99">
        <f>G19+'16'!H19</f>
        <v>857</v>
      </c>
      <c r="I19" s="335"/>
      <c r="J19" s="175">
        <f>H19/DAY(B2)</f>
        <v>50.411764705882355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79">
        <f>G18+G19</f>
        <v>289</v>
      </c>
      <c r="H20" s="99">
        <f>G20+'16'!H20</f>
        <v>3567</v>
      </c>
      <c r="I20" s="336">
        <f>I18-J20</f>
        <v>-144.8235294117647</v>
      </c>
      <c r="J20" s="175">
        <f>H20/DAY(B2)</f>
        <v>209.8235294117647</v>
      </c>
      <c r="K20" s="79"/>
      <c r="L20" s="66"/>
      <c r="N20" s="87"/>
      <c r="O20" s="71"/>
    </row>
    <row r="21" spans="1:15" ht="27.75" customHeight="1">
      <c r="A21" s="943" t="s">
        <v>144</v>
      </c>
      <c r="B21" s="944"/>
      <c r="C21" s="945"/>
      <c r="D21" s="111"/>
      <c r="E21" s="111"/>
      <c r="F21" s="111"/>
      <c r="G21" s="478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77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477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477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48" t="s">
        <v>149</v>
      </c>
      <c r="B25" s="949"/>
      <c r="C25" s="950"/>
      <c r="D25" s="110"/>
      <c r="E25" s="110"/>
      <c r="F25" s="110"/>
      <c r="G25" s="480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81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26748</v>
      </c>
      <c r="F27" s="136">
        <v>9</v>
      </c>
      <c r="G27" s="482">
        <f>E27*F27</f>
        <v>240732</v>
      </c>
      <c r="H27" s="99">
        <f>G27+'16'!H27</f>
        <v>4042944</v>
      </c>
      <c r="I27" s="138"/>
      <c r="J27" s="175">
        <f>H27/DAY(B2)</f>
        <v>237820.23529411765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1001</v>
      </c>
      <c r="F28" s="136">
        <v>70</v>
      </c>
      <c r="G28" s="482">
        <f>E28*F28</f>
        <v>70070</v>
      </c>
      <c r="H28" s="99">
        <f>G28+'16'!H28</f>
        <v>1239210</v>
      </c>
      <c r="I28" s="140"/>
      <c r="J28" s="175">
        <f>H28/DAY(B2)</f>
        <v>72894.705882352937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2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482">
        <f>E30*F30</f>
        <v>7399</v>
      </c>
      <c r="H30" s="99">
        <f>G30+'16'!H30</f>
        <v>129407</v>
      </c>
      <c r="I30" s="140"/>
      <c r="J30" s="175">
        <f>H30/DAY(B2)</f>
        <v>7612.1764705882351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482">
        <f>E31*F31</f>
        <v>19200</v>
      </c>
      <c r="H31" s="99">
        <f>G31+'16'!H31</f>
        <v>216800</v>
      </c>
      <c r="I31" s="140"/>
      <c r="J31" s="175">
        <f>H31/DAY(B2)</f>
        <v>12752.941176470587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83">
        <f>G27+G28+G29+G30+G31</f>
        <v>337401</v>
      </c>
      <c r="H32" s="99">
        <f>G32+'16'!H32</f>
        <v>5628361</v>
      </c>
      <c r="I32" s="144"/>
      <c r="J32" s="175">
        <f>H32/DAY(B2)</f>
        <v>331080.0588235294</v>
      </c>
      <c r="K32" s="63"/>
      <c r="L32" s="89"/>
      <c r="N32" s="87"/>
      <c r="O32" s="71"/>
    </row>
    <row r="33" spans="1:15" ht="27.75" customHeight="1">
      <c r="A33" s="951" t="s">
        <v>331</v>
      </c>
      <c r="B33" s="952"/>
      <c r="C33" s="952"/>
      <c r="D33" s="337"/>
      <c r="E33" s="337"/>
      <c r="F33" s="337"/>
      <c r="G33" s="484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85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238713.05</v>
      </c>
      <c r="F35" s="145">
        <v>238713.05</v>
      </c>
      <c r="G35" s="475">
        <f t="shared" ref="G35:G46" si="3">F35-E35</f>
        <v>0</v>
      </c>
      <c r="H35" s="99">
        <f>G35+'16'!H35</f>
        <v>4.9999999988358468E-2</v>
      </c>
      <c r="I35" s="95"/>
      <c r="J35" s="175">
        <f>H35/DAY(B2)</f>
        <v>2.9411764699034393E-3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229442</v>
      </c>
      <c r="F36" s="145">
        <v>230192</v>
      </c>
      <c r="G36" s="475">
        <f t="shared" si="3"/>
        <v>750</v>
      </c>
      <c r="H36" s="99">
        <f>G36+'16'!H36</f>
        <v>14662</v>
      </c>
      <c r="I36" s="95"/>
      <c r="J36" s="175">
        <f>H36/DAY(B2)</f>
        <v>862.47058823529414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322999</v>
      </c>
      <c r="F37" s="145">
        <v>322999</v>
      </c>
      <c r="G37" s="475">
        <f t="shared" si="3"/>
        <v>0</v>
      </c>
      <c r="H37" s="99">
        <f>G37+'16'!H37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493310</v>
      </c>
      <c r="F38" s="108">
        <v>495582</v>
      </c>
      <c r="G38" s="475">
        <f t="shared" si="3"/>
        <v>2272</v>
      </c>
      <c r="H38" s="99">
        <f>G38+'16'!H38</f>
        <v>38221</v>
      </c>
      <c r="I38" s="95"/>
      <c r="J38" s="175">
        <f>H38/DAY(B2)</f>
        <v>2248.294117647059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591584</v>
      </c>
      <c r="F39" s="145">
        <v>591584</v>
      </c>
      <c r="G39" s="475">
        <f t="shared" si="3"/>
        <v>0</v>
      </c>
      <c r="H39" s="99">
        <f>G39+'16'!H39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120716</v>
      </c>
      <c r="F40" s="423">
        <v>121557</v>
      </c>
      <c r="G40" s="475">
        <f t="shared" si="3"/>
        <v>841</v>
      </c>
      <c r="H40" s="99">
        <f>G40+'16'!H40</f>
        <v>14781</v>
      </c>
      <c r="I40" s="95"/>
      <c r="J40" s="175">
        <f>H40/DAY(B2)</f>
        <v>869.47058823529414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249927</v>
      </c>
      <c r="F41" s="145">
        <v>254915</v>
      </c>
      <c r="G41" s="475">
        <f t="shared" si="3"/>
        <v>4988</v>
      </c>
      <c r="H41" s="99">
        <f>G41+'16'!H41</f>
        <v>43212</v>
      </c>
      <c r="I41" s="95"/>
      <c r="J41" s="175">
        <f>H41/DAY(B2)</f>
        <v>2541.8823529411766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771007</v>
      </c>
      <c r="F42" s="145">
        <v>771007</v>
      </c>
      <c r="G42" s="475">
        <f t="shared" si="3"/>
        <v>0</v>
      </c>
      <c r="H42" s="99">
        <f>G42+'16'!H42</f>
        <v>22643</v>
      </c>
      <c r="I42" s="95"/>
      <c r="J42" s="175">
        <f>H42/DAY(B2)</f>
        <v>1331.9411764705883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407028</v>
      </c>
      <c r="F43" s="145">
        <v>407028</v>
      </c>
      <c r="G43" s="475">
        <f t="shared" si="3"/>
        <v>0</v>
      </c>
      <c r="H43" s="99">
        <f>G43+'16'!H43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5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5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5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77">
        <f>G35+G36+G37+G38+G39+G40+G41+G42+G43+G44+G45+G46</f>
        <v>8851</v>
      </c>
      <c r="H47" s="99">
        <f>G47+'16'!H47</f>
        <v>133519.04999999999</v>
      </c>
      <c r="I47" s="95"/>
      <c r="J47" s="175">
        <f>H47/DAY(B2)</f>
        <v>7854.0617647058816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85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548896</v>
      </c>
      <c r="F49" s="145">
        <v>552732</v>
      </c>
      <c r="G49" s="475">
        <f t="shared" ref="G49:G58" si="4">F49-E49</f>
        <v>3836</v>
      </c>
      <c r="H49" s="99">
        <f>G49+'16'!H49</f>
        <v>67678</v>
      </c>
      <c r="I49" s="95"/>
      <c r="J49" s="175">
        <f>H49/DAY(B2)</f>
        <v>3981.0588235294117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302240</v>
      </c>
      <c r="F50" s="145">
        <v>304102</v>
      </c>
      <c r="G50" s="475">
        <f t="shared" si="4"/>
        <v>1862</v>
      </c>
      <c r="H50" s="99">
        <f>G50+'16'!H50</f>
        <v>21352</v>
      </c>
      <c r="I50" s="95"/>
      <c r="J50" s="175">
        <f>H50/DAY(B2)</f>
        <v>1256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25555</v>
      </c>
      <c r="F51" s="145">
        <v>26544</v>
      </c>
      <c r="G51" s="475">
        <f t="shared" si="4"/>
        <v>989</v>
      </c>
      <c r="H51" s="99">
        <f>G51+'16'!H51</f>
        <v>18036</v>
      </c>
      <c r="I51" s="95"/>
      <c r="J51" s="175">
        <f>H51/DAY(B2)</f>
        <v>1060.9411764705883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10</v>
      </c>
      <c r="F52" s="145">
        <v>10</v>
      </c>
      <c r="G52" s="475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104520</v>
      </c>
      <c r="F53" s="145">
        <v>108859</v>
      </c>
      <c r="G53" s="475">
        <f t="shared" si="4"/>
        <v>4339</v>
      </c>
      <c r="H53" s="99">
        <f>G53+'16'!H53</f>
        <v>74998</v>
      </c>
      <c r="I53" s="95"/>
      <c r="J53" s="175">
        <f>H53/DAY(B2)</f>
        <v>4411.6470588235297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92962</v>
      </c>
      <c r="F54" s="145">
        <v>93144</v>
      </c>
      <c r="G54" s="475">
        <f t="shared" si="4"/>
        <v>182</v>
      </c>
      <c r="H54" s="99">
        <f>G54+'16'!H54</f>
        <v>5201</v>
      </c>
      <c r="I54" s="95"/>
      <c r="J54" s="175">
        <f>H54/DAY(B2)</f>
        <v>305.94117647058823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410228</v>
      </c>
      <c r="F55" s="145">
        <v>412561</v>
      </c>
      <c r="G55" s="475">
        <f t="shared" si="4"/>
        <v>2333</v>
      </c>
      <c r="H55" s="99">
        <f>G55+'16'!H55</f>
        <v>49784</v>
      </c>
      <c r="I55" s="95"/>
      <c r="J55" s="175">
        <f>H55/DAY(B2)</f>
        <v>2928.4705882352941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123882</v>
      </c>
      <c r="F56" s="145">
        <v>123882</v>
      </c>
      <c r="G56" s="475">
        <f t="shared" si="4"/>
        <v>0</v>
      </c>
      <c r="H56" s="99">
        <f>G56+'16'!H56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276023</v>
      </c>
      <c r="F57" s="145">
        <v>279255</v>
      </c>
      <c r="G57" s="475">
        <f t="shared" si="4"/>
        <v>3232</v>
      </c>
      <c r="H57" s="99">
        <f>G57+'16'!H57</f>
        <v>53085</v>
      </c>
      <c r="I57" s="95"/>
      <c r="J57" s="175">
        <f>H57/DAY(B2)</f>
        <v>3122.6470588235293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53345</v>
      </c>
      <c r="F58" s="423">
        <v>53604</v>
      </c>
      <c r="G58" s="475">
        <f t="shared" si="4"/>
        <v>259</v>
      </c>
      <c r="H58" s="99">
        <f>G58+'16'!H58</f>
        <v>4495</v>
      </c>
      <c r="I58" s="95"/>
      <c r="J58" s="175">
        <f>H58/DAY(B2)</f>
        <v>264.41176470588238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77">
        <f>G49+G50+G51+G52+G53+G54+G55+G56+G57+G58</f>
        <v>17032</v>
      </c>
      <c r="H59" s="99">
        <f>G59+'16'!H59</f>
        <v>294629.00000000006</v>
      </c>
      <c r="I59" s="95">
        <f>G7-G60</f>
        <v>608</v>
      </c>
      <c r="J59" s="175">
        <f>H59/DAY(B2)</f>
        <v>17331.117647058825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77">
        <f>G47+G59</f>
        <v>25883</v>
      </c>
      <c r="H60" s="99">
        <f>G60+'16'!H60</f>
        <v>428148.05000000005</v>
      </c>
      <c r="I60" s="95">
        <f>G13-G60</f>
        <v>-107</v>
      </c>
      <c r="J60" s="175">
        <f>H60/DAY(B2)</f>
        <v>25185.179411764708</v>
      </c>
      <c r="K60" s="79"/>
      <c r="L60" s="66"/>
      <c r="N60" s="87"/>
      <c r="O60" s="71"/>
    </row>
    <row r="61" spans="1:15" s="68" customFormat="1" ht="27.75" customHeight="1">
      <c r="A61" s="953" t="s">
        <v>332</v>
      </c>
      <c r="B61" s="954"/>
      <c r="C61" s="955"/>
      <c r="D61" s="339"/>
      <c r="E61" s="339"/>
      <c r="F61" s="339"/>
      <c r="G61" s="486"/>
      <c r="H61" s="339"/>
      <c r="I61" s="339"/>
      <c r="J61" s="341"/>
      <c r="K61" s="69"/>
      <c r="L61" s="67"/>
      <c r="N61" s="87"/>
      <c r="O61" s="71"/>
    </row>
    <row r="62" spans="1:15" ht="27.75" customHeight="1">
      <c r="A62" s="919" t="s">
        <v>198</v>
      </c>
      <c r="B62" s="920"/>
      <c r="C62" s="921"/>
      <c r="D62" s="151" t="s">
        <v>142</v>
      </c>
      <c r="E62" s="95">
        <f>'16'!F62</f>
        <v>298048</v>
      </c>
      <c r="F62" s="122">
        <v>298143</v>
      </c>
      <c r="G62" s="475">
        <f t="shared" ref="G62:G63" si="5">F62-E62</f>
        <v>95</v>
      </c>
      <c r="H62" s="99">
        <f>G62+'16'!H62</f>
        <v>1868</v>
      </c>
      <c r="I62" s="118"/>
      <c r="J62" s="175">
        <f>H62/DAY(B2)</f>
        <v>109.88235294117646</v>
      </c>
      <c r="K62" s="80"/>
      <c r="L62" s="66"/>
      <c r="N62" s="87"/>
      <c r="O62" s="71"/>
    </row>
    <row r="63" spans="1:15" ht="27.75" customHeight="1">
      <c r="A63" s="919" t="s">
        <v>199</v>
      </c>
      <c r="B63" s="920"/>
      <c r="C63" s="921"/>
      <c r="D63" s="151" t="s">
        <v>142</v>
      </c>
      <c r="E63" s="95">
        <f>'16'!F63</f>
        <v>241147</v>
      </c>
      <c r="F63" s="122">
        <v>241255</v>
      </c>
      <c r="G63" s="475">
        <f t="shared" si="5"/>
        <v>108</v>
      </c>
      <c r="H63" s="99">
        <f>G63+'16'!H63</f>
        <v>2122</v>
      </c>
      <c r="I63" s="118"/>
      <c r="J63" s="175">
        <f>H63/DAY(B2)</f>
        <v>124.82352941176471</v>
      </c>
      <c r="K63" s="69"/>
      <c r="L63" s="66"/>
      <c r="N63" s="87"/>
      <c r="O63" s="71"/>
    </row>
    <row r="64" spans="1:15" ht="27.75" customHeight="1">
      <c r="A64" s="928" t="s">
        <v>200</v>
      </c>
      <c r="B64" s="929"/>
      <c r="C64" s="930"/>
      <c r="D64" s="151"/>
      <c r="E64" s="95">
        <f>'16'!F64</f>
        <v>0</v>
      </c>
      <c r="F64" s="122"/>
      <c r="G64" s="475">
        <f>G62+G63</f>
        <v>203</v>
      </c>
      <c r="H64" s="99">
        <f>G64+'16'!H64</f>
        <v>3990</v>
      </c>
      <c r="I64" s="118"/>
      <c r="J64" s="175">
        <f>H64/DAY(B2)</f>
        <v>234.70588235294119</v>
      </c>
      <c r="K64" s="69"/>
      <c r="L64" s="66"/>
      <c r="N64" s="87"/>
      <c r="O64" s="71"/>
    </row>
    <row r="65" spans="1:15" ht="27.75" customHeight="1">
      <c r="A65" s="919" t="s">
        <v>201</v>
      </c>
      <c r="B65" s="920"/>
      <c r="C65" s="921"/>
      <c r="D65" s="151" t="s">
        <v>142</v>
      </c>
      <c r="E65" s="95">
        <f>'16'!F65</f>
        <v>456353</v>
      </c>
      <c r="F65" s="122">
        <v>456454</v>
      </c>
      <c r="G65" s="475">
        <f t="shared" ref="G65:G70" si="6">F65-E65</f>
        <v>101</v>
      </c>
      <c r="H65" s="99">
        <f>G65+'16'!H65</f>
        <v>1744</v>
      </c>
      <c r="I65" s="118"/>
      <c r="J65" s="175">
        <f>H65/DAY(B2)</f>
        <v>102.58823529411765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112071</v>
      </c>
      <c r="F66" s="122">
        <v>112108</v>
      </c>
      <c r="G66" s="475">
        <f t="shared" si="6"/>
        <v>37</v>
      </c>
      <c r="H66" s="99">
        <f>G66+'16'!H66</f>
        <v>386</v>
      </c>
      <c r="I66" s="118"/>
      <c r="J66" s="175">
        <f>H66/DAY(B2)</f>
        <v>22.705882352941178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113852</v>
      </c>
      <c r="F67" s="122">
        <v>113852</v>
      </c>
      <c r="G67" s="475">
        <f t="shared" si="6"/>
        <v>0</v>
      </c>
      <c r="H67" s="99">
        <f>G67+'16'!H67</f>
        <v>172</v>
      </c>
      <c r="I67" s="118"/>
      <c r="J67" s="175">
        <f>H67/DAY(B2)</f>
        <v>10.117647058823529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165121</v>
      </c>
      <c r="F68" s="122">
        <v>165152</v>
      </c>
      <c r="G68" s="475">
        <f t="shared" si="6"/>
        <v>31</v>
      </c>
      <c r="H68" s="99">
        <f>G68+'16'!H68</f>
        <v>490</v>
      </c>
      <c r="I68" s="118"/>
      <c r="J68" s="175">
        <f>H68/DAY(B2)</f>
        <v>28.823529411764707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12376</v>
      </c>
      <c r="F69" s="122">
        <v>12379</v>
      </c>
      <c r="G69" s="475">
        <f t="shared" si="6"/>
        <v>3</v>
      </c>
      <c r="H69" s="99">
        <f>G69+'16'!H69</f>
        <v>104</v>
      </c>
      <c r="I69" s="118"/>
      <c r="J69" s="175">
        <f>H69/DAY(B2)</f>
        <v>6.117647058823529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9978</v>
      </c>
      <c r="F70" s="122">
        <v>9988</v>
      </c>
      <c r="G70" s="475">
        <f t="shared" si="6"/>
        <v>10</v>
      </c>
      <c r="H70" s="99">
        <f>G70+'16'!H70</f>
        <v>161</v>
      </c>
      <c r="I70" s="118"/>
      <c r="J70" s="175">
        <f>H70/DAY(B2)</f>
        <v>9.4705882352941178</v>
      </c>
      <c r="K70" s="69"/>
      <c r="L70" s="66"/>
      <c r="N70" s="87"/>
      <c r="O70" s="71"/>
    </row>
    <row r="71" spans="1:15" ht="27.75" customHeight="1">
      <c r="A71" s="928" t="s">
        <v>208</v>
      </c>
      <c r="B71" s="929"/>
      <c r="C71" s="930"/>
      <c r="D71" s="152"/>
      <c r="E71" s="152"/>
      <c r="F71" s="152"/>
      <c r="G71" s="487">
        <f>SUM(G65:G70)</f>
        <v>182</v>
      </c>
      <c r="H71" s="99">
        <f>G71+'16'!H71</f>
        <v>3057</v>
      </c>
      <c r="I71" s="154"/>
      <c r="J71" s="175">
        <f>H71/DAY(B2)</f>
        <v>179.8235294117647</v>
      </c>
      <c r="K71" s="69"/>
      <c r="L71" s="66"/>
      <c r="N71" s="87"/>
      <c r="O71" s="71"/>
    </row>
    <row r="72" spans="1:15" s="88" customFormat="1" ht="27.75" customHeight="1">
      <c r="A72" s="915"/>
      <c r="B72" s="900"/>
      <c r="C72" s="347"/>
      <c r="D72" s="180"/>
      <c r="E72" s="180" t="s">
        <v>207</v>
      </c>
      <c r="F72" s="180"/>
      <c r="G72" s="488"/>
      <c r="H72" s="181"/>
      <c r="I72" s="180"/>
      <c r="J72" s="182"/>
      <c r="N72" s="87"/>
      <c r="O72" s="71"/>
    </row>
    <row r="73" spans="1:15" ht="27.75" customHeight="1">
      <c r="A73" s="925" t="s">
        <v>333</v>
      </c>
      <c r="B73" s="926"/>
      <c r="C73" s="927"/>
      <c r="D73" s="339"/>
      <c r="E73" s="339"/>
      <c r="F73" s="339"/>
      <c r="G73" s="486"/>
      <c r="H73" s="342"/>
      <c r="I73" s="342"/>
      <c r="J73" s="343"/>
      <c r="K73" s="69"/>
      <c r="L73" s="66"/>
      <c r="N73" s="87"/>
      <c r="O73" s="71"/>
    </row>
    <row r="74" spans="1:15" ht="27.75" customHeight="1">
      <c r="A74" s="919" t="s">
        <v>220</v>
      </c>
      <c r="B74" s="920"/>
      <c r="C74" s="921"/>
      <c r="D74" s="151" t="s">
        <v>139</v>
      </c>
      <c r="E74" s="95">
        <f>'16'!F74</f>
        <v>962722</v>
      </c>
      <c r="F74" s="117">
        <v>963033</v>
      </c>
      <c r="G74" s="475">
        <f t="shared" ref="G74:G78" si="7">F74-E74</f>
        <v>311</v>
      </c>
      <c r="H74" s="99">
        <f>G74+'16'!H74</f>
        <v>5375.140000000014</v>
      </c>
      <c r="I74" s="154"/>
      <c r="J74" s="175">
        <f>H74/DAY(B2)</f>
        <v>316.18470588235374</v>
      </c>
      <c r="K74" s="69"/>
      <c r="L74" s="66"/>
      <c r="N74" s="87"/>
      <c r="O74" s="71"/>
    </row>
    <row r="75" spans="1:15" ht="27.75" customHeight="1">
      <c r="A75" s="919" t="s">
        <v>221</v>
      </c>
      <c r="B75" s="920"/>
      <c r="C75" s="921"/>
      <c r="D75" s="151" t="s">
        <v>139</v>
      </c>
      <c r="E75" s="95">
        <f>'16'!F75</f>
        <v>73586.8</v>
      </c>
      <c r="F75" s="123">
        <v>73586.8</v>
      </c>
      <c r="G75" s="475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6" t="s">
        <v>222</v>
      </c>
      <c r="B76" s="917"/>
      <c r="C76" s="918"/>
      <c r="D76" s="151" t="s">
        <v>139</v>
      </c>
      <c r="E76" s="95">
        <f>'16'!F76</f>
        <v>191986</v>
      </c>
      <c r="F76" s="123">
        <v>192088</v>
      </c>
      <c r="G76" s="475">
        <f t="shared" si="7"/>
        <v>102</v>
      </c>
      <c r="H76" s="99">
        <f>G76+'16'!H76</f>
        <v>1916</v>
      </c>
      <c r="I76" s="154"/>
      <c r="J76" s="175">
        <f>H76/DAY(B2)</f>
        <v>112.70588235294117</v>
      </c>
      <c r="K76" s="69"/>
      <c r="L76" s="66"/>
      <c r="N76" s="87"/>
      <c r="O76" s="71"/>
    </row>
    <row r="77" spans="1:15" ht="27.75" customHeight="1">
      <c r="A77" s="916" t="s">
        <v>223</v>
      </c>
      <c r="B77" s="917"/>
      <c r="C77" s="918"/>
      <c r="D77" s="151" t="s">
        <v>139</v>
      </c>
      <c r="E77" s="95">
        <f>'16'!F77</f>
        <v>51109</v>
      </c>
      <c r="F77" s="123">
        <v>51165</v>
      </c>
      <c r="G77" s="475">
        <f t="shared" si="7"/>
        <v>56</v>
      </c>
      <c r="H77" s="99">
        <f>G77+'16'!H77</f>
        <v>852</v>
      </c>
      <c r="I77" s="154"/>
      <c r="J77" s="175">
        <f>H77/DAY(B2)</f>
        <v>50.117647058823529</v>
      </c>
      <c r="K77" s="69"/>
      <c r="L77" s="66"/>
      <c r="N77" s="87"/>
      <c r="O77" s="71"/>
    </row>
    <row r="78" spans="1:15" ht="27.75" customHeight="1">
      <c r="A78" s="916" t="s">
        <v>224</v>
      </c>
      <c r="B78" s="917"/>
      <c r="C78" s="918"/>
      <c r="D78" s="151" t="s">
        <v>139</v>
      </c>
      <c r="E78" s="95">
        <f>'16'!F78</f>
        <v>9564</v>
      </c>
      <c r="F78" s="123">
        <v>9564</v>
      </c>
      <c r="G78" s="475">
        <f t="shared" si="7"/>
        <v>0</v>
      </c>
      <c r="H78" s="99">
        <f>G78+'16'!H78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16" t="s">
        <v>225</v>
      </c>
      <c r="B79" s="917"/>
      <c r="C79" s="918"/>
      <c r="D79" s="151"/>
      <c r="E79" s="95">
        <f>'16'!F79</f>
        <v>0</v>
      </c>
      <c r="F79" s="123"/>
      <c r="G79" s="475">
        <f>G15-SUM(G74:G78)</f>
        <v>532</v>
      </c>
      <c r="H79" s="99">
        <f>G79+'16'!H79</f>
        <v>9559.859999999986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28" t="s">
        <v>329</v>
      </c>
      <c r="B80" s="929"/>
      <c r="C80" s="930"/>
      <c r="D80" s="151"/>
      <c r="E80" s="117"/>
      <c r="F80" s="117"/>
      <c r="G80" s="475">
        <f>SUM(G74:G79)</f>
        <v>1001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33" t="s">
        <v>226</v>
      </c>
      <c r="B81" s="934"/>
      <c r="C81" s="935"/>
      <c r="D81" s="110"/>
      <c r="E81" s="110"/>
      <c r="F81" s="110"/>
      <c r="G81" s="489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5">
        <f t="shared" ref="G82:G92" si="8">F82-E82</f>
        <v>0</v>
      </c>
      <c r="H82" s="99">
        <f>G82+'16'!H82</f>
        <v>0</v>
      </c>
      <c r="I82" s="571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5">
        <f t="shared" si="8"/>
        <v>0</v>
      </c>
      <c r="H83" s="99">
        <f>G83+'16'!H83</f>
        <v>0</v>
      </c>
      <c r="I83" s="571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164">
        <v>42767</v>
      </c>
      <c r="F84" s="164">
        <v>42789</v>
      </c>
      <c r="G84" s="475">
        <f t="shared" si="8"/>
        <v>22</v>
      </c>
      <c r="H84" s="99">
        <f>G84+'16'!H84</f>
        <v>160</v>
      </c>
      <c r="I84" s="571"/>
      <c r="J84" s="175">
        <f>H84/DAY(B2)</f>
        <v>9.4117647058823533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5241</v>
      </c>
      <c r="F85" s="164">
        <v>5241</v>
      </c>
      <c r="G85" s="475">
        <f t="shared" si="8"/>
        <v>0</v>
      </c>
      <c r="H85" s="99">
        <f>G85+'16'!H85</f>
        <v>100.8100000000004</v>
      </c>
      <c r="I85" s="571"/>
      <c r="J85" s="175">
        <f>H85/DAY(B2)</f>
        <v>5.9300000000000237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45698</v>
      </c>
      <c r="F86" s="164">
        <v>45715</v>
      </c>
      <c r="G86" s="475">
        <f t="shared" si="8"/>
        <v>17</v>
      </c>
      <c r="H86" s="99">
        <f>G86+'16'!H86</f>
        <v>336</v>
      </c>
      <c r="I86" s="571"/>
      <c r="J86" s="175">
        <f>H86/DAY(B2)</f>
        <v>19.764705882352942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35481</v>
      </c>
      <c r="F87" s="164">
        <v>35481</v>
      </c>
      <c r="G87" s="475">
        <f t="shared" si="8"/>
        <v>0</v>
      </c>
      <c r="H87" s="99">
        <f>G87+'16'!H87</f>
        <v>23.569999999999709</v>
      </c>
      <c r="I87" s="553">
        <f>G84+G85+G86+G87</f>
        <v>39</v>
      </c>
      <c r="J87" s="175">
        <f>H87/DAY(B2)</f>
        <v>1.386470588235277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24318.959999999999</v>
      </c>
      <c r="F88" s="164">
        <v>24318.959999999999</v>
      </c>
      <c r="G88" s="475">
        <f t="shared" si="8"/>
        <v>0</v>
      </c>
      <c r="H88" s="99">
        <f>G88+'16'!H88</f>
        <v>15.5</v>
      </c>
      <c r="I88" s="553"/>
      <c r="J88" s="175">
        <f>H88/DAY(B2)</f>
        <v>0.91176470588235292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27694.74</v>
      </c>
      <c r="F89" s="164">
        <v>27703.200000000001</v>
      </c>
      <c r="G89" s="475">
        <f t="shared" si="8"/>
        <v>8.4599999999991269</v>
      </c>
      <c r="H89" s="99">
        <f>G89+'16'!H89</f>
        <v>136.59000000000015</v>
      </c>
      <c r="I89" s="553">
        <f>G88+G89</f>
        <v>8.4599999999991269</v>
      </c>
      <c r="J89" s="175">
        <f>H89/DAY(B2)</f>
        <v>8.0347058823529505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72784.149999999994</v>
      </c>
      <c r="F90" s="164">
        <v>72793.89</v>
      </c>
      <c r="G90" s="475">
        <f t="shared" si="8"/>
        <v>9.7400000000052387</v>
      </c>
      <c r="H90" s="99">
        <f>G90+'16'!H90</f>
        <v>187.33999999999651</v>
      </c>
      <c r="I90" s="553">
        <f>G90</f>
        <v>9.7400000000052387</v>
      </c>
      <c r="J90" s="175">
        <f>H90/DAY(B2)</f>
        <v>11.019999999999795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4289.5</v>
      </c>
      <c r="F91" s="122">
        <v>4289.5</v>
      </c>
      <c r="G91" s="475">
        <f t="shared" si="8"/>
        <v>0</v>
      </c>
      <c r="H91" s="99">
        <f>G91+'16'!H91</f>
        <v>-3.999999999996362E-2</v>
      </c>
      <c r="I91" s="612"/>
      <c r="J91" s="175">
        <f>H91/DAY(B2)</f>
        <v>-2.3529411764684482E-3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6895.05</v>
      </c>
      <c r="F92" s="122">
        <v>6906.32</v>
      </c>
      <c r="G92" s="475">
        <f t="shared" si="8"/>
        <v>11.269999999999527</v>
      </c>
      <c r="H92" s="99">
        <f>G92+'16'!H92</f>
        <v>188.98999999999978</v>
      </c>
      <c r="I92" s="613">
        <f>G91+G92</f>
        <v>11.269999999999527</v>
      </c>
      <c r="J92" s="175">
        <f>H92/DAY(B2)</f>
        <v>11.117058823529399</v>
      </c>
      <c r="O92" s="71"/>
    </row>
    <row r="93" spans="1:15" ht="27.75" customHeight="1">
      <c r="A93" s="922" t="s">
        <v>239</v>
      </c>
      <c r="B93" s="923"/>
      <c r="C93" s="924"/>
      <c r="D93" s="111"/>
      <c r="E93" s="111"/>
      <c r="F93" s="111"/>
      <c r="G93" s="478"/>
      <c r="H93" s="121"/>
      <c r="I93" s="121"/>
      <c r="J93" s="183"/>
      <c r="K93" s="69"/>
      <c r="L93" s="66"/>
      <c r="O93" s="71"/>
    </row>
    <row r="94" spans="1:15" ht="27.75" customHeight="1">
      <c r="A94" s="919" t="s">
        <v>240</v>
      </c>
      <c r="B94" s="920"/>
      <c r="C94" s="921"/>
      <c r="D94" s="151" t="s">
        <v>130</v>
      </c>
      <c r="E94" s="151"/>
      <c r="F94" s="151"/>
      <c r="G94" s="490">
        <f>G35+G43+G49+G57</f>
        <v>7068</v>
      </c>
      <c r="H94" s="99">
        <f>G94+'16'!H94</f>
        <v>120763.04999999999</v>
      </c>
      <c r="I94" s="118"/>
      <c r="J94" s="175">
        <f>H94/DAY(B2)</f>
        <v>7103.7088235294113</v>
      </c>
      <c r="K94" s="69"/>
      <c r="L94" s="66"/>
      <c r="O94" s="71"/>
    </row>
    <row r="95" spans="1:15" ht="27.75" customHeight="1">
      <c r="A95" s="919" t="s">
        <v>241</v>
      </c>
      <c r="B95" s="920"/>
      <c r="C95" s="921"/>
      <c r="D95" s="151" t="s">
        <v>23</v>
      </c>
      <c r="E95" s="146"/>
      <c r="F95" s="146"/>
      <c r="G95" s="491">
        <f>G94/G7</f>
        <v>0.26680759503227514</v>
      </c>
      <c r="H95" s="99">
        <f>G95+'16'!H95</f>
        <v>4.6380429828399308</v>
      </c>
      <c r="I95" s="167"/>
      <c r="J95" s="175">
        <f>H95/DAY(B2)</f>
        <v>0.27282605781411357</v>
      </c>
      <c r="K95" s="69"/>
      <c r="L95" s="66"/>
      <c r="O95" s="71"/>
    </row>
    <row r="96" spans="1:15" ht="27.75" customHeight="1">
      <c r="A96" s="919" t="s">
        <v>242</v>
      </c>
      <c r="B96" s="920"/>
      <c r="C96" s="921"/>
      <c r="D96" s="151" t="s">
        <v>130</v>
      </c>
      <c r="E96" s="95"/>
      <c r="F96" s="95"/>
      <c r="G96" s="490">
        <f>G41+G42+G55+G56</f>
        <v>7321</v>
      </c>
      <c r="H96" s="99">
        <f>G96+'16'!H96</f>
        <v>115639</v>
      </c>
      <c r="I96" s="118"/>
      <c r="J96" s="175">
        <f>H96/DAY(B2)</f>
        <v>6802.2941176470586</v>
      </c>
      <c r="K96" s="69"/>
      <c r="L96" s="66"/>
      <c r="O96" s="71"/>
    </row>
    <row r="97" spans="1:15" ht="27.75" customHeight="1">
      <c r="A97" s="919" t="s">
        <v>243</v>
      </c>
      <c r="B97" s="920"/>
      <c r="C97" s="921"/>
      <c r="D97" s="151" t="s">
        <v>23</v>
      </c>
      <c r="E97" s="95"/>
      <c r="F97" s="95"/>
      <c r="G97" s="491">
        <f>G96/G7</f>
        <v>0.27635800838020458</v>
      </c>
      <c r="H97" s="99">
        <f>G97+'16'!H97</f>
        <v>4.4210859867007501</v>
      </c>
      <c r="I97" s="167"/>
      <c r="J97" s="175">
        <f>H97/DAY(B2)</f>
        <v>0.26006388157063237</v>
      </c>
      <c r="K97" s="69"/>
      <c r="L97" s="66"/>
      <c r="O97" s="71"/>
    </row>
    <row r="98" spans="1:15" ht="27.75" customHeight="1">
      <c r="A98" s="919" t="s">
        <v>244</v>
      </c>
      <c r="B98" s="920"/>
      <c r="C98" s="921"/>
      <c r="D98" s="151" t="s">
        <v>130</v>
      </c>
      <c r="E98" s="95"/>
      <c r="F98" s="95"/>
      <c r="G98" s="490">
        <f>G39+G53</f>
        <v>4339</v>
      </c>
      <c r="H98" s="99">
        <f>G98+'16'!H98</f>
        <v>74998</v>
      </c>
      <c r="I98" s="168"/>
      <c r="J98" s="175">
        <f>H98/DAY(B2)</f>
        <v>4411.6470588235297</v>
      </c>
      <c r="K98" s="69"/>
      <c r="L98" s="66"/>
      <c r="O98" s="71"/>
    </row>
    <row r="99" spans="1:15" ht="27.75" customHeight="1">
      <c r="A99" s="919" t="s">
        <v>245</v>
      </c>
      <c r="B99" s="920"/>
      <c r="C99" s="921"/>
      <c r="D99" s="151" t="s">
        <v>23</v>
      </c>
      <c r="E99" s="95"/>
      <c r="F99" s="95"/>
      <c r="G99" s="491">
        <f>G98/G7</f>
        <v>0.16379147635045865</v>
      </c>
      <c r="H99" s="99">
        <f>G99+'16'!H99</f>
        <v>2.8793641557217082</v>
      </c>
      <c r="I99" s="168"/>
      <c r="J99" s="175">
        <f>H99/DAY(B2)</f>
        <v>0.16937436210127696</v>
      </c>
      <c r="O99" s="71"/>
    </row>
    <row r="100" spans="1:15" ht="27.75" customHeight="1">
      <c r="A100" s="919" t="s">
        <v>246</v>
      </c>
      <c r="B100" s="920"/>
      <c r="C100" s="921"/>
      <c r="D100" s="151" t="s">
        <v>180</v>
      </c>
      <c r="E100" s="95"/>
      <c r="F100" s="95"/>
      <c r="G100" s="490">
        <f>G38+G52</f>
        <v>2272</v>
      </c>
      <c r="H100" s="99">
        <f>G100+'16'!H100</f>
        <v>38221</v>
      </c>
      <c r="I100" s="118"/>
      <c r="J100" s="175">
        <f>H100/DAY(B2)</f>
        <v>2248.294117647059</v>
      </c>
      <c r="K100" s="70"/>
      <c r="O100" s="71"/>
    </row>
    <row r="101" spans="1:15" ht="27.75" customHeight="1">
      <c r="A101" s="919" t="s">
        <v>247</v>
      </c>
      <c r="B101" s="920"/>
      <c r="C101" s="921"/>
      <c r="D101" s="151" t="s">
        <v>23</v>
      </c>
      <c r="E101" s="95"/>
      <c r="F101" s="95"/>
      <c r="G101" s="491">
        <f>G100/G7</f>
        <v>8.5764976784568348E-2</v>
      </c>
      <c r="H101" s="99">
        <f>G101+'16'!H101</f>
        <v>1.4673558003890956</v>
      </c>
      <c r="I101" s="168"/>
      <c r="J101" s="175">
        <f>H101/DAY(B2)</f>
        <v>8.6315047081711505E-2</v>
      </c>
      <c r="O101" s="71"/>
    </row>
    <row r="102" spans="1:15" ht="27.75" customHeight="1">
      <c r="A102" s="919" t="s">
        <v>248</v>
      </c>
      <c r="B102" s="920"/>
      <c r="C102" s="921"/>
      <c r="D102" s="151" t="s">
        <v>180</v>
      </c>
      <c r="E102" s="95"/>
      <c r="F102" s="95"/>
      <c r="G102" s="490">
        <f>G36+G50</f>
        <v>2612</v>
      </c>
      <c r="H102" s="99">
        <f>G102+'16'!H102</f>
        <v>36014</v>
      </c>
      <c r="I102" s="168"/>
      <c r="J102" s="175">
        <f>H102/DAY(B2)</f>
        <v>2118.4705882352941</v>
      </c>
      <c r="O102" s="71"/>
    </row>
    <row r="103" spans="1:15" ht="27.75" customHeight="1">
      <c r="A103" s="919" t="s">
        <v>249</v>
      </c>
      <c r="B103" s="920"/>
      <c r="C103" s="921"/>
      <c r="D103" s="151" t="s">
        <v>23</v>
      </c>
      <c r="E103" s="95"/>
      <c r="F103" s="95"/>
      <c r="G103" s="491">
        <f>G102/G7</f>
        <v>9.859952436676607E-2</v>
      </c>
      <c r="H103" s="99">
        <f>G103+'16'!H103</f>
        <v>1.3759223630538724</v>
      </c>
      <c r="I103" s="118"/>
      <c r="J103" s="175">
        <f>H103/DAY(B2)</f>
        <v>8.0936609591404252E-2</v>
      </c>
      <c r="O103" s="71"/>
    </row>
    <row r="104" spans="1:15" ht="27.75" customHeight="1">
      <c r="A104" s="919" t="s">
        <v>250</v>
      </c>
      <c r="B104" s="920"/>
      <c r="C104" s="921"/>
      <c r="D104" s="151" t="s">
        <v>180</v>
      </c>
      <c r="E104" s="95"/>
      <c r="F104" s="95"/>
      <c r="G104" s="490">
        <f>G37+G51</f>
        <v>989</v>
      </c>
      <c r="H104" s="99">
        <f>G104+'16'!H104</f>
        <v>18036</v>
      </c>
      <c r="I104" s="118"/>
      <c r="J104" s="175">
        <f>H104/DAY(B2)</f>
        <v>1060.9411764705883</v>
      </c>
      <c r="O104" s="71"/>
    </row>
    <row r="105" spans="1:15" ht="27.75" customHeight="1" thickBot="1">
      <c r="A105" s="912" t="s">
        <v>251</v>
      </c>
      <c r="B105" s="913"/>
      <c r="C105" s="914"/>
      <c r="D105" s="231" t="s">
        <v>23</v>
      </c>
      <c r="E105" s="185"/>
      <c r="F105" s="185"/>
      <c r="G105" s="492">
        <f>G104/G7</f>
        <v>3.7333433996451622E-2</v>
      </c>
      <c r="H105" s="99">
        <f>G105+'16'!H105</f>
        <v>0.69209730457366647</v>
      </c>
      <c r="I105" s="187"/>
      <c r="J105" s="188">
        <f>H105/DAY(B2)</f>
        <v>4.0711606151392146E-2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93"/>
      <c r="H106" s="170"/>
      <c r="I106" s="169"/>
      <c r="J106" s="171"/>
      <c r="O106" s="71"/>
    </row>
    <row r="108" spans="1:15" ht="27.75" customHeight="1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7.75" customHeight="1">
      <c r="A109" s="936"/>
      <c r="B109" s="936"/>
    </row>
    <row r="110" spans="1:15" ht="27.75" customHeight="1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7.75" customHeight="1">
      <c r="A111" s="902"/>
      <c r="B111" s="903"/>
      <c r="C111" s="904"/>
      <c r="D111" s="165"/>
      <c r="E111" s="165"/>
      <c r="F111" s="165"/>
      <c r="G111" s="495"/>
      <c r="H111" s="156"/>
      <c r="I111" s="165"/>
      <c r="J111" s="327"/>
    </row>
    <row r="112" spans="1:15" ht="27.75" customHeight="1">
      <c r="A112" s="898" t="s">
        <v>252</v>
      </c>
      <c r="B112" s="899"/>
      <c r="C112" s="900"/>
      <c r="D112" s="146" t="s">
        <v>183</v>
      </c>
      <c r="E112" s="95">
        <f>'16'!F112</f>
        <v>8422</v>
      </c>
      <c r="F112" s="237">
        <v>8494</v>
      </c>
      <c r="G112" s="475">
        <f t="shared" ref="G112:G123" si="9">F112-E112</f>
        <v>72</v>
      </c>
      <c r="H112" s="99">
        <f>G112+'16'!H112</f>
        <v>1229</v>
      </c>
      <c r="I112" s="165"/>
      <c r="J112" s="328">
        <f>H112/DAY(B2)</f>
        <v>72.294117647058826</v>
      </c>
    </row>
    <row r="113" spans="1:18" ht="27.75" customHeight="1">
      <c r="A113" s="898" t="s">
        <v>253</v>
      </c>
      <c r="B113" s="899"/>
      <c r="C113" s="900"/>
      <c r="D113" s="146" t="s">
        <v>183</v>
      </c>
      <c r="E113" s="95">
        <f>'16'!F113</f>
        <v>17249</v>
      </c>
      <c r="F113" s="237">
        <v>17392</v>
      </c>
      <c r="G113" s="475">
        <f t="shared" si="9"/>
        <v>143</v>
      </c>
      <c r="H113" s="99">
        <f>G113+'16'!H113</f>
        <v>2377</v>
      </c>
      <c r="I113" s="165"/>
      <c r="J113" s="328">
        <f>H113/DAY(B2)</f>
        <v>139.8235294117647</v>
      </c>
    </row>
    <row r="114" spans="1:18" ht="27.75" customHeight="1">
      <c r="A114" s="898" t="s">
        <v>254</v>
      </c>
      <c r="B114" s="899"/>
      <c r="C114" s="900"/>
      <c r="D114" s="146" t="s">
        <v>183</v>
      </c>
      <c r="E114" s="95">
        <f>'16'!F114</f>
        <v>24768</v>
      </c>
      <c r="F114" s="417">
        <v>24993</v>
      </c>
      <c r="G114" s="475">
        <f t="shared" si="9"/>
        <v>225</v>
      </c>
      <c r="H114" s="99">
        <f>G114+'16'!H114</f>
        <v>3725</v>
      </c>
      <c r="I114" s="165"/>
      <c r="J114" s="328">
        <f>H114/DAY(B2)</f>
        <v>219.11764705882354</v>
      </c>
    </row>
    <row r="115" spans="1:18" ht="27.75" customHeight="1">
      <c r="A115" s="898" t="s">
        <v>255</v>
      </c>
      <c r="B115" s="899"/>
      <c r="C115" s="900"/>
      <c r="D115" s="146" t="s">
        <v>183</v>
      </c>
      <c r="E115" s="95">
        <f>'16'!F115</f>
        <v>15597</v>
      </c>
      <c r="F115" s="417">
        <v>15720</v>
      </c>
      <c r="G115" s="606">
        <f t="shared" si="9"/>
        <v>123</v>
      </c>
      <c r="H115" s="99">
        <f>G115+'16'!H115</f>
        <v>2144.5200000000004</v>
      </c>
      <c r="I115" s="165"/>
      <c r="J115" s="328">
        <f>H115/DAY(B2)</f>
        <v>126.14823529411767</v>
      </c>
    </row>
    <row r="116" spans="1:18" ht="27.75" customHeight="1">
      <c r="A116" s="905" t="s">
        <v>96</v>
      </c>
      <c r="B116" s="906"/>
      <c r="C116" s="907"/>
      <c r="D116" s="146" t="s">
        <v>183</v>
      </c>
      <c r="E116" s="95">
        <f>'16'!F116</f>
        <v>77338</v>
      </c>
      <c r="F116" s="237">
        <v>77729</v>
      </c>
      <c r="G116" s="475">
        <f t="shared" si="9"/>
        <v>391</v>
      </c>
      <c r="H116" s="99">
        <f>G116+'16'!H116</f>
        <v>7237</v>
      </c>
      <c r="I116" s="165"/>
      <c r="J116" s="328">
        <f>H116/DAY(B2)</f>
        <v>425.70588235294116</v>
      </c>
      <c r="Q116" s="898"/>
      <c r="R116" s="900"/>
    </row>
    <row r="117" spans="1:18" ht="27.75" customHeight="1">
      <c r="A117" s="905" t="s">
        <v>184</v>
      </c>
      <c r="B117" s="906"/>
      <c r="C117" s="907"/>
      <c r="D117" s="146" t="s">
        <v>183</v>
      </c>
      <c r="E117" s="95">
        <f>'16'!F117</f>
        <v>44715</v>
      </c>
      <c r="F117" s="237">
        <v>44917</v>
      </c>
      <c r="G117" s="475">
        <f t="shared" si="9"/>
        <v>202</v>
      </c>
      <c r="H117" s="99">
        <f>G117+'16'!H117</f>
        <v>3995</v>
      </c>
      <c r="I117" s="165"/>
      <c r="J117" s="328">
        <f>H117/DAY(B2)</f>
        <v>235</v>
      </c>
      <c r="Q117" s="898"/>
      <c r="R117" s="900"/>
    </row>
    <row r="118" spans="1:18" ht="27.75" customHeight="1">
      <c r="A118" s="897" t="s">
        <v>97</v>
      </c>
      <c r="B118" s="897"/>
      <c r="C118" s="897"/>
      <c r="D118" s="151" t="s">
        <v>183</v>
      </c>
      <c r="E118" s="95">
        <f>'16'!F118</f>
        <v>74120</v>
      </c>
      <c r="F118" s="237">
        <v>74719</v>
      </c>
      <c r="G118" s="475">
        <f t="shared" si="9"/>
        <v>599</v>
      </c>
      <c r="H118" s="99">
        <f>G118+'16'!H118</f>
        <v>10047</v>
      </c>
      <c r="I118" s="165"/>
      <c r="J118" s="328">
        <f>H118/DAY(B2)</f>
        <v>591</v>
      </c>
      <c r="Q118" s="898"/>
      <c r="R118" s="900"/>
    </row>
    <row r="119" spans="1:18" ht="27.75" customHeight="1">
      <c r="A119" s="897" t="s">
        <v>98</v>
      </c>
      <c r="B119" s="897"/>
      <c r="C119" s="897"/>
      <c r="D119" s="151" t="s">
        <v>183</v>
      </c>
      <c r="E119" s="95">
        <f>'16'!F119</f>
        <v>41212</v>
      </c>
      <c r="F119" s="237">
        <v>41444</v>
      </c>
      <c r="G119" s="475">
        <f t="shared" si="9"/>
        <v>232</v>
      </c>
      <c r="H119" s="99">
        <f>G119+'16'!H119</f>
        <v>3995</v>
      </c>
      <c r="I119" s="165"/>
      <c r="J119" s="328">
        <f>H119/DAY(B2)</f>
        <v>235</v>
      </c>
    </row>
    <row r="120" spans="1:18" ht="27.75" customHeight="1">
      <c r="A120" s="897" t="s">
        <v>99</v>
      </c>
      <c r="B120" s="897"/>
      <c r="C120" s="897"/>
      <c r="D120" s="151" t="s">
        <v>183</v>
      </c>
      <c r="E120" s="95">
        <f>'16'!F120</f>
        <v>52908</v>
      </c>
      <c r="F120" s="237">
        <v>53308</v>
      </c>
      <c r="G120" s="475">
        <f t="shared" si="9"/>
        <v>400</v>
      </c>
      <c r="H120" s="99">
        <f>G120+'16'!H120</f>
        <v>7041</v>
      </c>
      <c r="I120" s="165"/>
      <c r="J120" s="328">
        <f>H120/DAY(B2)</f>
        <v>414.1764705882353</v>
      </c>
    </row>
    <row r="121" spans="1:18" ht="27.75" customHeight="1">
      <c r="A121" s="897" t="s">
        <v>100</v>
      </c>
      <c r="B121" s="897"/>
      <c r="C121" s="897"/>
      <c r="D121" s="151" t="s">
        <v>183</v>
      </c>
      <c r="E121" s="95">
        <f>'16'!F121</f>
        <v>61124</v>
      </c>
      <c r="F121" s="237">
        <v>61581</v>
      </c>
      <c r="G121" s="475">
        <f t="shared" si="9"/>
        <v>457</v>
      </c>
      <c r="H121" s="99">
        <f>G121+'16'!H121</f>
        <v>8038</v>
      </c>
      <c r="I121" s="165"/>
      <c r="J121" s="328">
        <f>H121/DAY(B2)</f>
        <v>472.8235294117647</v>
      </c>
    </row>
    <row r="122" spans="1:18" ht="27.75" customHeight="1">
      <c r="A122" s="897" t="s">
        <v>101</v>
      </c>
      <c r="B122" s="897"/>
      <c r="C122" s="897"/>
      <c r="D122" s="151" t="s">
        <v>183</v>
      </c>
      <c r="E122" s="95">
        <f>'16'!F122</f>
        <v>33713</v>
      </c>
      <c r="F122" s="237">
        <v>34045</v>
      </c>
      <c r="G122" s="475">
        <f t="shared" si="9"/>
        <v>332</v>
      </c>
      <c r="H122" s="99">
        <f>G122+'16'!H122</f>
        <v>5371</v>
      </c>
      <c r="I122" s="165"/>
      <c r="J122" s="328">
        <f>H122/DAY(B2)</f>
        <v>315.94117647058823</v>
      </c>
    </row>
    <row r="123" spans="1:18" ht="27.75" customHeight="1">
      <c r="A123" s="897" t="s">
        <v>102</v>
      </c>
      <c r="B123" s="897"/>
      <c r="C123" s="897"/>
      <c r="D123" s="151" t="s">
        <v>183</v>
      </c>
      <c r="E123" s="95">
        <f>'16'!F123</f>
        <v>35404</v>
      </c>
      <c r="F123" s="237">
        <v>35730</v>
      </c>
      <c r="G123" s="475">
        <f t="shared" si="9"/>
        <v>326</v>
      </c>
      <c r="H123" s="99">
        <f>G123+'16'!H123</f>
        <v>5542</v>
      </c>
      <c r="I123" s="165"/>
      <c r="J123" s="328">
        <f>H123/DAY(B2)</f>
        <v>326</v>
      </c>
    </row>
    <row r="124" spans="1:18" ht="27.75" customHeight="1">
      <c r="A124" s="902"/>
      <c r="B124" s="903"/>
      <c r="C124" s="904"/>
      <c r="D124" s="165"/>
      <c r="E124" s="95">
        <f>'16'!F124</f>
        <v>0</v>
      </c>
      <c r="F124" s="165"/>
      <c r="G124" s="495"/>
      <c r="H124" s="99">
        <f>G124+'16'!H124</f>
        <v>0</v>
      </c>
      <c r="I124" s="165"/>
      <c r="J124" s="327"/>
    </row>
    <row r="125" spans="1:18" ht="27.75" customHeight="1">
      <c r="A125" s="880" t="s">
        <v>196</v>
      </c>
      <c r="B125" s="881"/>
      <c r="C125" s="245"/>
      <c r="D125" s="307"/>
      <c r="E125" s="308"/>
      <c r="F125" s="308"/>
      <c r="G125" s="496">
        <f>SUM(G112:G124)</f>
        <v>3502</v>
      </c>
      <c r="H125" s="156"/>
      <c r="I125" s="327">
        <f>G125-(G39+G53)</f>
        <v>-837</v>
      </c>
      <c r="J125" s="327"/>
    </row>
    <row r="126" spans="1:18" ht="27.75" customHeight="1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7.75" customHeight="1">
      <c r="A127" s="885"/>
      <c r="B127" s="885"/>
      <c r="C127" s="245"/>
      <c r="D127" s="307"/>
      <c r="E127" s="308"/>
      <c r="F127" s="308"/>
      <c r="G127" s="496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898" t="s">
        <v>318</v>
      </c>
      <c r="B128" s="899"/>
      <c r="C128" s="900"/>
      <c r="D128" s="151" t="s">
        <v>183</v>
      </c>
      <c r="E128" s="95">
        <f>'16'!F128</f>
        <v>135928</v>
      </c>
      <c r="F128" s="165">
        <v>136341</v>
      </c>
      <c r="G128" s="475">
        <f t="shared" ref="G128:G133" si="10">F128-E128</f>
        <v>413</v>
      </c>
      <c r="H128" s="99">
        <f>G128+'16'!H128</f>
        <v>8697</v>
      </c>
      <c r="I128" s="165"/>
      <c r="J128" s="328">
        <f>H128/DAY(B2)</f>
        <v>511.58823529411762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75607</v>
      </c>
      <c r="F129" s="165">
        <v>75786</v>
      </c>
      <c r="G129" s="475">
        <f t="shared" si="10"/>
        <v>179</v>
      </c>
      <c r="H129" s="99">
        <f>G129+'16'!H129</f>
        <v>3283</v>
      </c>
      <c r="I129" s="165"/>
      <c r="J129" s="328">
        <f>H129/DAY(B2)</f>
        <v>193.11764705882354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175657</v>
      </c>
      <c r="F130" s="165">
        <v>176312</v>
      </c>
      <c r="G130" s="475">
        <f t="shared" si="10"/>
        <v>655</v>
      </c>
      <c r="H130" s="99">
        <f>G130+'16'!H130</f>
        <v>11176.479999999981</v>
      </c>
      <c r="I130" s="165"/>
      <c r="J130" s="328">
        <f>H130/DAY(B2)</f>
        <v>657.43999999999892</v>
      </c>
      <c r="N130" s="240"/>
      <c r="O130" s="241"/>
    </row>
    <row r="131" spans="1:15" ht="27.75" customHeight="1">
      <c r="A131" s="898" t="s">
        <v>321</v>
      </c>
      <c r="B131" s="899"/>
      <c r="C131" s="900"/>
      <c r="D131" s="151" t="s">
        <v>183</v>
      </c>
      <c r="E131" s="95">
        <f>'16'!F131</f>
        <v>51431</v>
      </c>
      <c r="F131" s="165">
        <v>51649</v>
      </c>
      <c r="G131" s="475">
        <f t="shared" si="10"/>
        <v>218</v>
      </c>
      <c r="H131" s="99">
        <f>G131+'16'!H131</f>
        <v>3200</v>
      </c>
      <c r="I131" s="165"/>
      <c r="J131" s="328">
        <f>H131/DAY(B2)</f>
        <v>188.23529411764707</v>
      </c>
      <c r="N131" s="240"/>
      <c r="O131" s="241"/>
    </row>
    <row r="132" spans="1:15" ht="27.75" customHeight="1">
      <c r="A132" s="898" t="s">
        <v>322</v>
      </c>
      <c r="B132" s="899"/>
      <c r="C132" s="900"/>
      <c r="D132" s="151" t="s">
        <v>183</v>
      </c>
      <c r="E132" s="95">
        <f>'16'!F132</f>
        <v>134714</v>
      </c>
      <c r="F132" s="165">
        <v>135129</v>
      </c>
      <c r="G132" s="475">
        <f t="shared" si="10"/>
        <v>415</v>
      </c>
      <c r="H132" s="99">
        <f>G132+'16'!H132</f>
        <v>6955</v>
      </c>
      <c r="I132" s="165"/>
      <c r="J132" s="328">
        <f>H132/DAY(B2)</f>
        <v>409.11764705882354</v>
      </c>
    </row>
    <row r="133" spans="1:15" ht="27.75" customHeight="1">
      <c r="A133" s="898" t="s">
        <v>359</v>
      </c>
      <c r="B133" s="899"/>
      <c r="C133" s="900"/>
      <c r="D133" s="151" t="s">
        <v>183</v>
      </c>
      <c r="E133" s="95">
        <f>'16'!F133</f>
        <v>227740</v>
      </c>
      <c r="F133" s="165">
        <v>228600</v>
      </c>
      <c r="G133" s="475">
        <f t="shared" si="10"/>
        <v>860</v>
      </c>
      <c r="H133" s="99">
        <f>G133+'16'!H133</f>
        <v>6195.429999999993</v>
      </c>
      <c r="I133" s="165"/>
      <c r="J133" s="328">
        <f>H133/DAY(B2)</f>
        <v>364.43705882352901</v>
      </c>
    </row>
    <row r="134" spans="1:15" ht="27.75" customHeight="1">
      <c r="A134" s="898" t="s">
        <v>340</v>
      </c>
      <c r="B134" s="899"/>
      <c r="C134" s="900"/>
      <c r="D134" s="151" t="s">
        <v>183</v>
      </c>
      <c r="E134" s="95">
        <f>'16'!F134</f>
        <v>52455</v>
      </c>
      <c r="F134" s="165">
        <v>52701</v>
      </c>
      <c r="G134" s="475">
        <f>F134-E134</f>
        <v>246</v>
      </c>
      <c r="H134" s="99">
        <f>G134+'16'!H134</f>
        <v>3666</v>
      </c>
      <c r="I134" s="165"/>
      <c r="J134" s="328">
        <f>H134/DAY(B2)</f>
        <v>215.64705882352942</v>
      </c>
    </row>
    <row r="135" spans="1:15" ht="27.75" customHeight="1">
      <c r="A135" s="880" t="s">
        <v>196</v>
      </c>
      <c r="B135" s="881"/>
      <c r="C135" s="331"/>
      <c r="D135" s="151"/>
      <c r="E135" s="95"/>
      <c r="F135" s="165"/>
      <c r="G135" s="475">
        <f>SUM(G128:G134)</f>
        <v>2986</v>
      </c>
      <c r="H135" s="99">
        <f>G135+'10'!H135</f>
        <v>24784.969999999987</v>
      </c>
      <c r="I135" s="327">
        <f>G135-(G35+G49)</f>
        <v>-850</v>
      </c>
      <c r="J135" s="328"/>
    </row>
    <row r="136" spans="1:15" ht="27.75" customHeight="1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7.75" customHeight="1">
      <c r="A137" s="245"/>
      <c r="B137" s="246"/>
      <c r="C137" s="246"/>
      <c r="D137" s="165"/>
      <c r="E137" s="165"/>
      <c r="F137" s="165"/>
      <c r="G137" s="495"/>
      <c r="H137" s="156"/>
      <c r="I137" s="165"/>
      <c r="J137" s="327"/>
    </row>
    <row r="138" spans="1:15" ht="27.75" customHeight="1">
      <c r="A138" s="977" t="s">
        <v>185</v>
      </c>
      <c r="B138" s="977"/>
      <c r="C138" s="977"/>
      <c r="D138" s="233" t="s">
        <v>183</v>
      </c>
      <c r="E138" s="406">
        <f>'16'!F138</f>
        <v>893362</v>
      </c>
      <c r="F138" s="148">
        <v>893528</v>
      </c>
      <c r="G138" s="606">
        <f t="shared" ref="G138:G152" si="11">F138-E138</f>
        <v>166</v>
      </c>
      <c r="H138" s="238">
        <f>G138+'16'!H138</f>
        <v>2417</v>
      </c>
      <c r="I138" s="407"/>
      <c r="J138" s="408">
        <f>H138/DAY(B2)</f>
        <v>142.1764705882353</v>
      </c>
    </row>
    <row r="139" spans="1:15" ht="27.75" customHeight="1">
      <c r="A139" s="977" t="s">
        <v>186</v>
      </c>
      <c r="B139" s="977"/>
      <c r="C139" s="977"/>
      <c r="D139" s="233" t="s">
        <v>183</v>
      </c>
      <c r="E139" s="406">
        <f>'16'!F139</f>
        <v>911337</v>
      </c>
      <c r="F139" s="148">
        <v>911511</v>
      </c>
      <c r="G139" s="606">
        <f t="shared" si="11"/>
        <v>174</v>
      </c>
      <c r="H139" s="238">
        <f>G139+'16'!H139</f>
        <v>2616</v>
      </c>
      <c r="I139" s="407"/>
      <c r="J139" s="408">
        <f>H139/DAY(B2)</f>
        <v>153.88235294117646</v>
      </c>
    </row>
    <row r="140" spans="1:15" ht="27.75" customHeight="1">
      <c r="A140" s="977" t="s">
        <v>187</v>
      </c>
      <c r="B140" s="977"/>
      <c r="C140" s="977"/>
      <c r="D140" s="233" t="s">
        <v>183</v>
      </c>
      <c r="E140" s="406">
        <f>'16'!F140</f>
        <v>1739</v>
      </c>
      <c r="F140" s="148">
        <v>1753</v>
      </c>
      <c r="G140" s="606">
        <f t="shared" si="11"/>
        <v>14</v>
      </c>
      <c r="H140" s="238">
        <f>G140+'16'!H140</f>
        <v>240</v>
      </c>
      <c r="I140" s="407"/>
      <c r="J140" s="408">
        <f>H140/DAY(B2)</f>
        <v>14.117647058823529</v>
      </c>
    </row>
    <row r="141" spans="1:15" ht="27.75" customHeight="1">
      <c r="A141" s="978" t="s">
        <v>188</v>
      </c>
      <c r="B141" s="978"/>
      <c r="C141" s="978"/>
      <c r="D141" s="233" t="s">
        <v>183</v>
      </c>
      <c r="E141" s="406">
        <f>'16'!F141</f>
        <v>93636</v>
      </c>
      <c r="F141" s="148">
        <v>93851</v>
      </c>
      <c r="G141" s="606">
        <f t="shared" si="11"/>
        <v>215</v>
      </c>
      <c r="H141" s="238">
        <f>G141+'16'!H141</f>
        <v>3399</v>
      </c>
      <c r="I141" s="407"/>
      <c r="J141" s="408">
        <f>H141/DAY(B2)</f>
        <v>199.94117647058823</v>
      </c>
    </row>
    <row r="142" spans="1:15" ht="27.75" customHeight="1">
      <c r="A142" s="978" t="s">
        <v>189</v>
      </c>
      <c r="B142" s="978"/>
      <c r="C142" s="978"/>
      <c r="D142" s="233" t="s">
        <v>183</v>
      </c>
      <c r="E142" s="406">
        <f>'16'!F142</f>
        <v>37983</v>
      </c>
      <c r="F142" s="148">
        <v>38063</v>
      </c>
      <c r="G142" s="606">
        <f t="shared" si="11"/>
        <v>80</v>
      </c>
      <c r="H142" s="238">
        <f>G142+'16'!H142</f>
        <v>1402</v>
      </c>
      <c r="I142" s="534"/>
      <c r="J142" s="408">
        <f>H142/DAY(B2)</f>
        <v>82.470588235294116</v>
      </c>
    </row>
    <row r="143" spans="1:15" ht="27.75" customHeight="1">
      <c r="A143" s="977" t="s">
        <v>91</v>
      </c>
      <c r="B143" s="977"/>
      <c r="C143" s="977"/>
      <c r="D143" s="233" t="s">
        <v>183</v>
      </c>
      <c r="E143" s="406">
        <f>'16'!F143</f>
        <v>9463</v>
      </c>
      <c r="F143" s="148">
        <v>9491</v>
      </c>
      <c r="G143" s="606">
        <f t="shared" si="11"/>
        <v>28</v>
      </c>
      <c r="H143" s="238">
        <f>G143+'16'!H143</f>
        <v>440</v>
      </c>
      <c r="I143" s="534"/>
      <c r="J143" s="408">
        <f>H143/DAY(B2)</f>
        <v>25.882352941176471</v>
      </c>
    </row>
    <row r="144" spans="1:15" ht="27.75" customHeight="1">
      <c r="A144" s="978" t="s">
        <v>90</v>
      </c>
      <c r="B144" s="978"/>
      <c r="C144" s="978"/>
      <c r="D144" s="233" t="s">
        <v>183</v>
      </c>
      <c r="E144" s="406">
        <f>'16'!F144</f>
        <v>923362</v>
      </c>
      <c r="F144" s="148">
        <v>923596</v>
      </c>
      <c r="G144" s="606">
        <f t="shared" si="11"/>
        <v>234</v>
      </c>
      <c r="H144" s="238">
        <f>G144+'16'!H144</f>
        <v>3759</v>
      </c>
      <c r="I144" s="534"/>
      <c r="J144" s="408">
        <f>H144/DAY(B2)</f>
        <v>221.11764705882354</v>
      </c>
    </row>
    <row r="145" spans="1:10" ht="27.75" customHeight="1">
      <c r="A145" s="977" t="s">
        <v>190</v>
      </c>
      <c r="B145" s="977"/>
      <c r="C145" s="977"/>
      <c r="D145" s="233" t="s">
        <v>183</v>
      </c>
      <c r="E145" s="406">
        <f>'16'!F145</f>
        <v>6295</v>
      </c>
      <c r="F145" s="148">
        <v>6331</v>
      </c>
      <c r="G145" s="606">
        <f t="shared" si="11"/>
        <v>36</v>
      </c>
      <c r="H145" s="238">
        <f>G145+'16'!H145</f>
        <v>524</v>
      </c>
      <c r="I145" s="534"/>
      <c r="J145" s="408">
        <f>H145/DAY(B2)</f>
        <v>30.823529411764707</v>
      </c>
    </row>
    <row r="146" spans="1:10" ht="27.75" customHeight="1">
      <c r="A146" s="982" t="s">
        <v>191</v>
      </c>
      <c r="B146" s="983"/>
      <c r="C146" s="984"/>
      <c r="D146" s="233" t="s">
        <v>183</v>
      </c>
      <c r="E146" s="406">
        <f>'16'!F146</f>
        <v>782073</v>
      </c>
      <c r="F146" s="148">
        <v>782125</v>
      </c>
      <c r="G146" s="606">
        <f t="shared" si="11"/>
        <v>52</v>
      </c>
      <c r="H146" s="238">
        <f>G146+'16'!H146</f>
        <v>1325</v>
      </c>
      <c r="I146" s="534"/>
      <c r="J146" s="408">
        <f>H146/DAY(B2)</f>
        <v>77.941176470588232</v>
      </c>
    </row>
    <row r="147" spans="1:10" ht="27.75" customHeight="1">
      <c r="A147" s="978" t="s">
        <v>192</v>
      </c>
      <c r="B147" s="978"/>
      <c r="C147" s="978"/>
      <c r="D147" s="233" t="s">
        <v>183</v>
      </c>
      <c r="E147" s="406">
        <f>'16'!F147</f>
        <v>705940</v>
      </c>
      <c r="F147" s="148">
        <v>706327</v>
      </c>
      <c r="G147" s="606">
        <f t="shared" si="11"/>
        <v>387</v>
      </c>
      <c r="H147" s="238">
        <f>G147+'16'!H147</f>
        <v>6558</v>
      </c>
      <c r="I147" s="534"/>
      <c r="J147" s="408">
        <f>H147/DAY(B2)</f>
        <v>385.76470588235293</v>
      </c>
    </row>
    <row r="148" spans="1:10" ht="27.75" customHeight="1">
      <c r="A148" s="979" t="s">
        <v>193</v>
      </c>
      <c r="B148" s="980"/>
      <c r="C148" s="981"/>
      <c r="D148" s="410" t="s">
        <v>130</v>
      </c>
      <c r="E148" s="406">
        <f>'16'!F148</f>
        <v>753393</v>
      </c>
      <c r="F148" s="164">
        <v>753677</v>
      </c>
      <c r="G148" s="606">
        <f t="shared" si="11"/>
        <v>284</v>
      </c>
      <c r="H148" s="238">
        <f>G148+'16'!H148</f>
        <v>5147</v>
      </c>
      <c r="I148" s="238"/>
      <c r="J148" s="408">
        <f>H148/DAY(B2)</f>
        <v>302.76470588235293</v>
      </c>
    </row>
    <row r="149" spans="1:10" ht="27.75" customHeight="1">
      <c r="A149" s="979" t="s">
        <v>336</v>
      </c>
      <c r="B149" s="980"/>
      <c r="C149" s="981"/>
      <c r="D149" s="416" t="s">
        <v>130</v>
      </c>
      <c r="E149" s="406">
        <f>'16'!F149</f>
        <v>140019</v>
      </c>
      <c r="F149" s="416">
        <v>140456</v>
      </c>
      <c r="G149" s="606">
        <f t="shared" si="11"/>
        <v>437</v>
      </c>
      <c r="H149" s="238">
        <f>G149+'16'!H149</f>
        <v>8022</v>
      </c>
      <c r="I149" s="236"/>
      <c r="J149" s="408">
        <f>H149/DAY(B2)</f>
        <v>471.88235294117646</v>
      </c>
    </row>
    <row r="150" spans="1:10" ht="27.75" customHeight="1">
      <c r="A150" s="979" t="s">
        <v>337</v>
      </c>
      <c r="B150" s="980"/>
      <c r="C150" s="981"/>
      <c r="D150" s="410" t="s">
        <v>130</v>
      </c>
      <c r="E150" s="406">
        <f>'16'!F150</f>
        <v>54178</v>
      </c>
      <c r="F150" s="233">
        <v>54392</v>
      </c>
      <c r="G150" s="606">
        <f t="shared" si="11"/>
        <v>214</v>
      </c>
      <c r="H150" s="238">
        <f>G150+'16'!H150</f>
        <v>3777</v>
      </c>
      <c r="I150" s="236"/>
      <c r="J150" s="408">
        <f>H150/DAY(B2)</f>
        <v>222.1764705882353</v>
      </c>
    </row>
    <row r="151" spans="1:10" ht="27.75" customHeight="1">
      <c r="A151" s="979" t="s">
        <v>338</v>
      </c>
      <c r="B151" s="980"/>
      <c r="C151" s="981"/>
      <c r="D151" s="410" t="s">
        <v>130</v>
      </c>
      <c r="E151" s="406">
        <f>'16'!F151</f>
        <v>139790</v>
      </c>
      <c r="F151" s="233">
        <v>140061</v>
      </c>
      <c r="G151" s="606">
        <f t="shared" si="11"/>
        <v>271</v>
      </c>
      <c r="H151" s="238">
        <f>G151+'16'!H151</f>
        <v>4612</v>
      </c>
      <c r="I151" s="236"/>
      <c r="J151" s="408">
        <f>H151/DAY(B2)</f>
        <v>271.29411764705884</v>
      </c>
    </row>
    <row r="152" spans="1:10" ht="27.75" customHeight="1">
      <c r="A152" s="979" t="s">
        <v>339</v>
      </c>
      <c r="B152" s="980"/>
      <c r="C152" s="981"/>
      <c r="D152" s="410" t="s">
        <v>130</v>
      </c>
      <c r="E152" s="406">
        <f>'16'!F152</f>
        <v>25068</v>
      </c>
      <c r="F152" s="233">
        <v>25192</v>
      </c>
      <c r="G152" s="606">
        <f t="shared" si="11"/>
        <v>124</v>
      </c>
      <c r="H152" s="238">
        <f>G152+'16'!H152</f>
        <v>2038</v>
      </c>
      <c r="I152" s="236"/>
      <c r="J152" s="408">
        <f>H152/DAY(B2)</f>
        <v>119.88235294117646</v>
      </c>
    </row>
    <row r="153" spans="1:10" ht="27.75" customHeight="1">
      <c r="A153" s="986" t="s">
        <v>196</v>
      </c>
      <c r="B153" s="987"/>
      <c r="C153" s="535"/>
      <c r="D153" s="536"/>
      <c r="E153" s="537"/>
      <c r="F153" s="361"/>
      <c r="G153" s="607">
        <f>SUM(G138:G152)</f>
        <v>2716</v>
      </c>
      <c r="H153" s="538"/>
      <c r="I153" s="236">
        <f>G153-(G38+G52)</f>
        <v>444</v>
      </c>
      <c r="J153" s="539"/>
    </row>
    <row r="154" spans="1:10" ht="27.75" customHeight="1">
      <c r="A154" s="985" t="s">
        <v>344</v>
      </c>
      <c r="B154" s="985"/>
      <c r="C154" s="985"/>
      <c r="D154" s="985"/>
      <c r="E154" s="985"/>
      <c r="F154" s="985"/>
      <c r="G154" s="985"/>
      <c r="H154" s="985"/>
      <c r="I154" s="985"/>
      <c r="J154" s="985"/>
    </row>
    <row r="155" spans="1:10" ht="27.75" customHeight="1">
      <c r="A155" s="978" t="s">
        <v>345</v>
      </c>
      <c r="B155" s="978"/>
      <c r="C155" s="978"/>
      <c r="D155" s="410" t="s">
        <v>130</v>
      </c>
      <c r="E155" s="406">
        <f>'16'!F155</f>
        <v>158465</v>
      </c>
      <c r="F155" s="419">
        <v>159038</v>
      </c>
      <c r="G155" s="606">
        <f t="shared" ref="G155:G156" si="12">F155-E155</f>
        <v>573</v>
      </c>
      <c r="H155" s="238">
        <f>G155+'16'!H155</f>
        <v>10889</v>
      </c>
      <c r="I155" s="540"/>
      <c r="J155" s="408">
        <f>H155/DAY(B2)</f>
        <v>640.52941176470586</v>
      </c>
    </row>
    <row r="156" spans="1:10" ht="27.75" customHeight="1">
      <c r="A156" s="978" t="s">
        <v>347</v>
      </c>
      <c r="B156" s="978"/>
      <c r="C156" s="978"/>
      <c r="D156" s="410" t="s">
        <v>130</v>
      </c>
      <c r="E156" s="406">
        <f>'16'!F156</f>
        <v>16313</v>
      </c>
      <c r="F156" s="157">
        <v>16407</v>
      </c>
      <c r="G156" s="606">
        <f t="shared" si="12"/>
        <v>94</v>
      </c>
      <c r="H156" s="238">
        <f>G156+'16'!H156</f>
        <v>1673</v>
      </c>
      <c r="I156" s="158"/>
      <c r="J156" s="408">
        <f>H156/DAY(B2)</f>
        <v>98.411764705882348</v>
      </c>
    </row>
    <row r="157" spans="1:10" ht="27.75" customHeight="1">
      <c r="A157" s="979" t="s">
        <v>360</v>
      </c>
      <c r="B157" s="980"/>
      <c r="C157" s="981"/>
      <c r="D157" s="410" t="s">
        <v>130</v>
      </c>
      <c r="E157" s="406">
        <f>'16'!F157</f>
        <v>29730</v>
      </c>
      <c r="F157" s="157">
        <v>29844</v>
      </c>
      <c r="G157" s="606">
        <f>F157-E157</f>
        <v>114</v>
      </c>
      <c r="H157" s="238">
        <f>G157+'16'!H157</f>
        <v>2398</v>
      </c>
      <c r="I157" s="158"/>
      <c r="J157" s="408">
        <f>H157/DAY(B2)</f>
        <v>141.05882352941177</v>
      </c>
    </row>
    <row r="158" spans="1:10" ht="27.75" customHeight="1">
      <c r="A158" s="979" t="s">
        <v>361</v>
      </c>
      <c r="B158" s="980"/>
      <c r="C158" s="981"/>
      <c r="D158" s="410" t="s">
        <v>130</v>
      </c>
      <c r="E158" s="406">
        <f>'16'!F158</f>
        <v>241</v>
      </c>
      <c r="F158" s="157">
        <v>241</v>
      </c>
      <c r="G158" s="606">
        <f>F158-E158</f>
        <v>0</v>
      </c>
      <c r="H158" s="238">
        <f>G158+'16'!H158</f>
        <v>152.57999999999998</v>
      </c>
      <c r="I158" s="158"/>
      <c r="J158" s="408">
        <f>H158/DAY(B2)</f>
        <v>8.9752941176470582</v>
      </c>
    </row>
    <row r="159" spans="1:10" ht="27.75" customHeight="1">
      <c r="A159" s="988"/>
      <c r="B159" s="989"/>
      <c r="C159" s="990"/>
      <c r="D159" s="410"/>
      <c r="E159" s="406"/>
      <c r="F159" s="158"/>
      <c r="G159" s="606"/>
      <c r="H159" s="238"/>
      <c r="I159" s="158"/>
      <c r="J159" s="408"/>
    </row>
    <row r="160" spans="1:10" ht="27.75" customHeight="1">
      <c r="A160" s="985" t="s">
        <v>326</v>
      </c>
      <c r="B160" s="985"/>
      <c r="C160" s="985"/>
      <c r="D160" s="985"/>
      <c r="E160" s="985"/>
      <c r="F160" s="985"/>
      <c r="G160" s="985"/>
      <c r="H160" s="985"/>
      <c r="I160" s="985"/>
      <c r="J160" s="985"/>
    </row>
    <row r="161" spans="1:10" ht="27.75" customHeight="1">
      <c r="A161" s="242" t="s">
        <v>92</v>
      </c>
      <c r="B161" s="243"/>
      <c r="C161" s="243"/>
      <c r="D161" s="244" t="s">
        <v>180</v>
      </c>
      <c r="E161" s="406">
        <f>'16'!F161</f>
        <v>480784</v>
      </c>
      <c r="F161" s="235">
        <v>481047</v>
      </c>
      <c r="G161" s="498">
        <f t="shared" ref="G161:G165" si="13">F161-E161</f>
        <v>263</v>
      </c>
      <c r="H161" s="238">
        <v>0</v>
      </c>
      <c r="I161" s="236"/>
      <c r="J161" s="239">
        <f>H161/DAY(B2)</f>
        <v>0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95545</v>
      </c>
      <c r="F162" s="235">
        <v>95600</v>
      </c>
      <c r="G162" s="498">
        <f t="shared" si="13"/>
        <v>55</v>
      </c>
      <c r="H162" s="99">
        <f>G162+'16'!H162</f>
        <v>672</v>
      </c>
      <c r="I162" s="236"/>
      <c r="J162" s="239">
        <f>H162/DAY(B2)</f>
        <v>39.529411764705884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8338</v>
      </c>
      <c r="F163" s="235">
        <v>8454</v>
      </c>
      <c r="G163" s="498">
        <f t="shared" si="13"/>
        <v>116</v>
      </c>
      <c r="H163" s="99">
        <f>G163+'16'!H163</f>
        <v>1953</v>
      </c>
      <c r="I163" s="236"/>
      <c r="J163" s="239">
        <f>H163/DAY(B2)</f>
        <v>114.88235294117646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6316</v>
      </c>
      <c r="F164" s="235">
        <v>6321</v>
      </c>
      <c r="G164" s="498">
        <f t="shared" si="13"/>
        <v>5</v>
      </c>
      <c r="H164" s="99">
        <f>G164+'16'!H164</f>
        <v>41</v>
      </c>
      <c r="I164" s="236"/>
      <c r="J164" s="239">
        <f>H164/DAY(B2)</f>
        <v>2.4117647058823528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31755</v>
      </c>
      <c r="F165" s="235">
        <v>31763</v>
      </c>
      <c r="G165" s="498">
        <f t="shared" si="13"/>
        <v>8</v>
      </c>
      <c r="H165" s="99">
        <f>G165+'16'!H165</f>
        <v>129</v>
      </c>
      <c r="I165" s="236"/>
      <c r="J165" s="239">
        <f>H165/DAY(B2)</f>
        <v>7.5882352941176467</v>
      </c>
    </row>
    <row r="166" spans="1:10" ht="27.75" customHeight="1">
      <c r="A166" s="885"/>
      <c r="B166" s="885"/>
      <c r="C166" s="246"/>
      <c r="D166" s="244"/>
      <c r="E166" s="95"/>
      <c r="F166" s="165"/>
      <c r="G166" s="495"/>
      <c r="H166" s="99"/>
      <c r="I166" s="165"/>
      <c r="J166" s="239"/>
    </row>
    <row r="167" spans="1:10" ht="27.75" customHeight="1">
      <c r="A167" s="885"/>
      <c r="B167" s="885"/>
      <c r="C167" s="246"/>
      <c r="D167" s="244"/>
      <c r="E167" s="95"/>
      <c r="F167" s="165"/>
      <c r="G167" s="495"/>
      <c r="H167" s="99"/>
      <c r="I167" s="165"/>
      <c r="J167" s="239"/>
    </row>
    <row r="168" spans="1:10" ht="27.75" customHeight="1">
      <c r="A168" s="885"/>
      <c r="B168" s="885"/>
      <c r="C168" s="246"/>
      <c r="D168" s="244"/>
      <c r="E168" s="95"/>
      <c r="F168" s="165"/>
      <c r="G168" s="495"/>
      <c r="H168" s="99"/>
      <c r="I168" s="165"/>
      <c r="J168" s="239"/>
    </row>
    <row r="171" spans="1:10" ht="27.75" customHeight="1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7.75" customHeight="1">
      <c r="A172" s="895"/>
      <c r="B172" s="896"/>
      <c r="C172" s="332"/>
      <c r="D172" s="228"/>
      <c r="E172" s="155"/>
      <c r="F172" s="155"/>
      <c r="G172" s="499"/>
      <c r="H172" s="156"/>
      <c r="I172" s="155"/>
      <c r="J172" s="178"/>
    </row>
    <row r="173" spans="1:10" ht="27.75" customHeight="1">
      <c r="A173" s="891" t="s">
        <v>209</v>
      </c>
      <c r="B173" s="892"/>
      <c r="C173" s="333"/>
      <c r="D173" s="228" t="s">
        <v>142</v>
      </c>
      <c r="E173" s="95">
        <f>'16'!F173</f>
        <v>8276</v>
      </c>
      <c r="F173" s="157">
        <v>8276</v>
      </c>
      <c r="G173" s="499">
        <f>F173-E173</f>
        <v>0</v>
      </c>
      <c r="H173" s="99">
        <f>G173+'16'!H173</f>
        <v>41</v>
      </c>
      <c r="I173" s="155"/>
      <c r="J173" s="178">
        <f>H173/DAY(B2)</f>
        <v>2.4117647058823528</v>
      </c>
    </row>
    <row r="174" spans="1:10" ht="27.75" customHeight="1">
      <c r="A174" s="891" t="s">
        <v>75</v>
      </c>
      <c r="B174" s="892"/>
      <c r="C174" s="333"/>
      <c r="D174" s="228" t="s">
        <v>142</v>
      </c>
      <c r="E174" s="95">
        <f>'16'!F174</f>
        <v>41420</v>
      </c>
      <c r="F174" s="157">
        <v>41437</v>
      </c>
      <c r="G174" s="499">
        <f t="shared" ref="G174:G175" si="14">F174-E174</f>
        <v>17</v>
      </c>
      <c r="H174" s="99">
        <f>G174+'16'!H174</f>
        <v>233</v>
      </c>
      <c r="I174" s="155"/>
      <c r="J174" s="178">
        <f>H174/DAY(B2)</f>
        <v>13.705882352941176</v>
      </c>
    </row>
    <row r="175" spans="1:10" ht="27.75" customHeight="1">
      <c r="A175" s="891" t="s">
        <v>76</v>
      </c>
      <c r="B175" s="931"/>
      <c r="C175" s="892"/>
      <c r="D175" s="228" t="s">
        <v>142</v>
      </c>
      <c r="E175" s="95">
        <f>'16'!F175</f>
        <v>24214</v>
      </c>
      <c r="F175" s="155">
        <v>24224</v>
      </c>
      <c r="G175" s="499">
        <f t="shared" si="14"/>
        <v>10</v>
      </c>
      <c r="H175" s="99">
        <f>G175+'16'!H175</f>
        <v>193</v>
      </c>
      <c r="I175" s="155"/>
      <c r="J175" s="178">
        <f>H175/DAY(B2)</f>
        <v>11.352941176470589</v>
      </c>
    </row>
    <row r="176" spans="1:10" ht="27.75" customHeight="1">
      <c r="A176" s="880" t="s">
        <v>196</v>
      </c>
      <c r="B176" s="881"/>
      <c r="C176" s="333"/>
      <c r="D176" s="228" t="s">
        <v>142</v>
      </c>
      <c r="E176" s="95"/>
      <c r="F176" s="155"/>
      <c r="G176" s="499">
        <f>SUM(G173:G175)</f>
        <v>27</v>
      </c>
      <c r="H176" s="99">
        <f>G176+'16'!H176</f>
        <v>467</v>
      </c>
      <c r="I176" s="155"/>
      <c r="J176" s="178">
        <f>H176/DAY(B2)</f>
        <v>27.470588235294116</v>
      </c>
    </row>
    <row r="177" spans="1:11" ht="27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499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891" t="s">
        <v>210</v>
      </c>
      <c r="B178" s="892"/>
      <c r="C178" s="333"/>
      <c r="D178" s="228" t="s">
        <v>142</v>
      </c>
      <c r="E178" s="95">
        <f>'16'!F178</f>
        <v>99005</v>
      </c>
      <c r="F178" s="155">
        <v>99095</v>
      </c>
      <c r="G178" s="499">
        <f>F178-E178</f>
        <v>90</v>
      </c>
      <c r="H178" s="99">
        <f>G178+'16'!H178</f>
        <v>1382</v>
      </c>
      <c r="I178" s="155"/>
      <c r="J178" s="178">
        <f>H178/DAY(B2)</f>
        <v>81.294117647058826</v>
      </c>
    </row>
    <row r="179" spans="1:11" ht="27.75" customHeight="1">
      <c r="A179" s="891" t="s">
        <v>211</v>
      </c>
      <c r="B179" s="892"/>
      <c r="C179" s="333"/>
      <c r="D179" s="228" t="s">
        <v>142</v>
      </c>
      <c r="E179" s="95">
        <f>'16'!F179</f>
        <v>36002</v>
      </c>
      <c r="F179" s="155">
        <v>36002</v>
      </c>
      <c r="G179" s="499">
        <f t="shared" ref="G179:G180" si="15">F179-E179</f>
        <v>0</v>
      </c>
      <c r="H179" s="99">
        <f>G179+'16'!H179</f>
        <v>0</v>
      </c>
      <c r="I179" s="155"/>
      <c r="J179" s="178">
        <f>H179/DAY(B2)</f>
        <v>0</v>
      </c>
    </row>
    <row r="180" spans="1:11" ht="27.75" customHeight="1">
      <c r="A180" s="891" t="s">
        <v>212</v>
      </c>
      <c r="B180" s="892"/>
      <c r="C180" s="333"/>
      <c r="D180" s="228" t="s">
        <v>142</v>
      </c>
      <c r="E180" s="95">
        <v>37036</v>
      </c>
      <c r="F180" s="155">
        <v>37086</v>
      </c>
      <c r="G180" s="499">
        <f t="shared" si="15"/>
        <v>50</v>
      </c>
      <c r="H180" s="99">
        <f>G180+'16'!H180</f>
        <v>69</v>
      </c>
      <c r="I180" s="155"/>
      <c r="J180" s="178">
        <f>H180/DAY(B2)</f>
        <v>4.0588235294117645</v>
      </c>
    </row>
    <row r="181" spans="1:11" ht="27.75" customHeight="1">
      <c r="A181" s="893" t="s">
        <v>108</v>
      </c>
      <c r="B181" s="894"/>
      <c r="C181" s="333"/>
      <c r="D181" s="228" t="s">
        <v>142</v>
      </c>
      <c r="E181" s="95"/>
      <c r="F181" s="155"/>
      <c r="G181" s="499">
        <f>SUM(G178:G180)</f>
        <v>140</v>
      </c>
      <c r="H181" s="99">
        <f>G181+'16'!H181</f>
        <v>1451</v>
      </c>
      <c r="I181" s="155"/>
      <c r="J181" s="178">
        <f>H181/DAY(B2)</f>
        <v>85.352941176470594</v>
      </c>
    </row>
    <row r="182" spans="1:11" ht="27.75" customHeight="1">
      <c r="A182" s="891" t="s">
        <v>213</v>
      </c>
      <c r="B182" s="892"/>
      <c r="C182" s="333"/>
      <c r="D182" s="228" t="s">
        <v>142</v>
      </c>
      <c r="E182" s="95"/>
      <c r="F182" s="155"/>
      <c r="G182" s="499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891" t="s">
        <v>214</v>
      </c>
      <c r="B183" s="892"/>
      <c r="C183" s="334"/>
      <c r="D183" s="228" t="s">
        <v>142</v>
      </c>
      <c r="E183" s="95">
        <f>'16'!F183</f>
        <v>17601</v>
      </c>
      <c r="F183" s="157">
        <v>17604</v>
      </c>
      <c r="G183" s="500">
        <f>F183-E183</f>
        <v>3</v>
      </c>
      <c r="H183" s="99">
        <f>G183+'16'!H183</f>
        <v>131</v>
      </c>
      <c r="I183" s="155"/>
      <c r="J183" s="178">
        <f>H183/DAY(B2)</f>
        <v>7.7058823529411766</v>
      </c>
    </row>
    <row r="184" spans="1:11" ht="27.75" customHeight="1">
      <c r="A184" s="891" t="s">
        <v>215</v>
      </c>
      <c r="B184" s="892"/>
      <c r="C184" s="334"/>
      <c r="D184" s="228" t="s">
        <v>142</v>
      </c>
      <c r="E184" s="95">
        <f>'16'!F184</f>
        <v>12054</v>
      </c>
      <c r="F184" s="157">
        <v>12063</v>
      </c>
      <c r="G184" s="500">
        <f t="shared" ref="G184:G185" si="16">F184-E184</f>
        <v>9</v>
      </c>
      <c r="H184" s="99">
        <f>G184+'16'!H184</f>
        <v>128</v>
      </c>
      <c r="I184" s="155"/>
      <c r="J184" s="178">
        <f>H184/DAY(B2)</f>
        <v>7.5294117647058822</v>
      </c>
    </row>
    <row r="185" spans="1:11" ht="27.75" customHeight="1">
      <c r="A185" s="891" t="s">
        <v>216</v>
      </c>
      <c r="B185" s="892"/>
      <c r="C185" s="334"/>
      <c r="D185" s="228" t="s">
        <v>142</v>
      </c>
      <c r="E185" s="95">
        <f>'16'!F185</f>
        <v>0</v>
      </c>
      <c r="F185" s="157"/>
      <c r="G185" s="500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880" t="s">
        <v>196</v>
      </c>
      <c r="B186" s="881"/>
      <c r="C186" s="334"/>
      <c r="D186" s="228" t="s">
        <v>142</v>
      </c>
      <c r="E186" s="95"/>
      <c r="F186" s="157"/>
      <c r="G186" s="500">
        <f>SUM(G183:G185)</f>
        <v>12</v>
      </c>
      <c r="H186" s="99">
        <f>G186+'16'!H186</f>
        <v>259</v>
      </c>
      <c r="I186" s="157"/>
      <c r="J186" s="178">
        <f>H186/DAY(B2)</f>
        <v>15.235294117647058</v>
      </c>
    </row>
    <row r="187" spans="1:11" ht="27.75" customHeight="1">
      <c r="A187" s="882" t="s">
        <v>217</v>
      </c>
      <c r="B187" s="883"/>
      <c r="C187" s="333"/>
      <c r="D187" s="228" t="s">
        <v>142</v>
      </c>
      <c r="E187" s="95"/>
      <c r="F187" s="159"/>
      <c r="G187" s="500">
        <f>G62+G19</f>
        <v>144</v>
      </c>
      <c r="H187" s="99">
        <f>G187+'16'!H187</f>
        <v>2725</v>
      </c>
      <c r="I187" s="158"/>
      <c r="J187" s="179">
        <f>H187/DAY(B2)</f>
        <v>160.29411764705881</v>
      </c>
    </row>
    <row r="188" spans="1:11" ht="27.75" customHeight="1">
      <c r="A188" s="882" t="s">
        <v>218</v>
      </c>
      <c r="B188" s="883"/>
      <c r="C188" s="333"/>
      <c r="D188" s="230" t="s">
        <v>142</v>
      </c>
      <c r="E188" s="95"/>
      <c r="F188" s="159"/>
      <c r="G188" s="500">
        <f>G65+G66+G67+G69+G70</f>
        <v>151</v>
      </c>
      <c r="H188" s="99">
        <f>G188+'16'!H188</f>
        <v>398</v>
      </c>
      <c r="I188" s="158"/>
      <c r="J188" s="179">
        <f>H188/DAY(B2)</f>
        <v>23.411764705882351</v>
      </c>
    </row>
    <row r="189" spans="1:11" ht="27.75" customHeight="1">
      <c r="A189" s="882" t="s">
        <v>219</v>
      </c>
      <c r="B189" s="883"/>
      <c r="C189" s="333"/>
      <c r="D189" s="230" t="s">
        <v>142</v>
      </c>
      <c r="E189" s="95"/>
      <c r="F189" s="157"/>
      <c r="G189" s="500">
        <f>G181</f>
        <v>140</v>
      </c>
      <c r="H189" s="99">
        <f>G189+'16'!H189</f>
        <v>1451</v>
      </c>
      <c r="I189" s="158"/>
      <c r="J189" s="179">
        <f>H189/DAY(B2)</f>
        <v>85.352941176470594</v>
      </c>
    </row>
    <row r="190" spans="1:11" ht="27.75" customHeight="1">
      <c r="A190" s="889"/>
      <c r="B190" s="890"/>
      <c r="C190" s="399"/>
      <c r="D190" s="396"/>
      <c r="E190" s="396"/>
      <c r="F190" s="396"/>
      <c r="G190" s="608"/>
      <c r="H190" s="397"/>
      <c r="I190" s="396"/>
      <c r="J190" s="398"/>
    </row>
    <row r="191" spans="1:11" ht="23.25" customHeight="1">
      <c r="A191" s="245"/>
      <c r="B191" s="246"/>
      <c r="C191" s="246"/>
      <c r="D191" s="165"/>
      <c r="E191" s="165"/>
      <c r="F191" s="155"/>
      <c r="G191" s="495"/>
      <c r="H191" s="238"/>
      <c r="I191" s="99"/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zoomScale="55" zoomScaleNormal="68" zoomScaleSheetLayoutView="55" workbookViewId="0">
      <selection activeCell="F143" sqref="F143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1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7.75" customHeight="1">
      <c r="A2" s="191" t="s">
        <v>349</v>
      </c>
      <c r="B2" s="262">
        <v>44791</v>
      </c>
      <c r="C2" s="348" t="s">
        <v>67</v>
      </c>
      <c r="D2" s="218">
        <v>0.98</v>
      </c>
      <c r="E2" s="100"/>
      <c r="F2" s="100"/>
      <c r="G2" s="428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946" t="s">
        <v>119</v>
      </c>
      <c r="F3" s="947"/>
      <c r="G3" s="429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0.78</v>
      </c>
      <c r="E4" s="103"/>
      <c r="F4" s="103"/>
      <c r="G4" s="429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0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40" t="s">
        <v>128</v>
      </c>
      <c r="B6" s="941"/>
      <c r="C6" s="942"/>
      <c r="D6" s="110"/>
      <c r="E6" s="110"/>
      <c r="F6" s="110"/>
      <c r="G6" s="431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780604</v>
      </c>
      <c r="F7" s="95">
        <v>805193.15</v>
      </c>
      <c r="G7" s="432">
        <v>25260.899999999994</v>
      </c>
      <c r="H7" s="99">
        <f>G7+'17'!H7</f>
        <v>468734.9</v>
      </c>
      <c r="I7" s="113">
        <f>'1'!I7</f>
        <v>12000</v>
      </c>
      <c r="J7" s="175">
        <f>H7/DAY(B2)</f>
        <v>26040.82777777778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937803</v>
      </c>
      <c r="F8" s="95">
        <v>962569</v>
      </c>
      <c r="G8" s="433">
        <f>F8-E8</f>
        <v>24766</v>
      </c>
      <c r="H8" s="99">
        <f>G8+'17'!H8</f>
        <v>473982</v>
      </c>
      <c r="I8" s="116"/>
      <c r="J8" s="175">
        <f>H8/DAY(B2)</f>
        <v>26332.333333333332</v>
      </c>
      <c r="K8" s="172">
        <v>1715917</v>
      </c>
      <c r="L8" s="76">
        <v>1728480</v>
      </c>
      <c r="M8" s="87">
        <f>L8-K8</f>
        <v>12563</v>
      </c>
      <c r="N8" s="87">
        <f>G8-64</f>
        <v>24702</v>
      </c>
      <c r="O8" s="71">
        <f>G7-N8</f>
        <v>558.89999999999418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3395351</v>
      </c>
      <c r="F9" s="469">
        <v>3400770</v>
      </c>
      <c r="G9" s="432">
        <f>F9-E9</f>
        <v>5419</v>
      </c>
      <c r="H9" s="99">
        <f>G9+'17'!H9</f>
        <v>121704</v>
      </c>
      <c r="I9" s="124">
        <f>I7-J7</f>
        <v>-14040.82777777778</v>
      </c>
      <c r="J9" s="175">
        <f>H9/DAY(B2)</f>
        <v>6761.333333333333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1982477</v>
      </c>
      <c r="F10" s="353">
        <v>2001107.9</v>
      </c>
      <c r="G10" s="432">
        <f>F10-E10</f>
        <v>18630.899999999907</v>
      </c>
      <c r="H10" s="99">
        <f>G10+'17'!H10</f>
        <v>333949.89999999991</v>
      </c>
      <c r="I10" s="282"/>
      <c r="J10" s="175">
        <f>H10/DAY(B2)</f>
        <v>18552.772222222218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37560</v>
      </c>
      <c r="F11" s="95">
        <v>37560</v>
      </c>
      <c r="G11" s="432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40380</v>
      </c>
      <c r="F12" s="117">
        <v>40380</v>
      </c>
      <c r="G12" s="432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34">
        <f>G9+G10+G11+G12</f>
        <v>24049.899999999907</v>
      </c>
      <c r="H13" s="99">
        <f>G13+'17'!H13</f>
        <v>456988.49999999977</v>
      </c>
      <c r="I13" s="120">
        <f>G7-G13</f>
        <v>1211.0000000000873</v>
      </c>
      <c r="J13" s="175">
        <f>H13/DAY(B2)</f>
        <v>25388.249999999985</v>
      </c>
      <c r="K13" s="79"/>
      <c r="L13" s="66"/>
      <c r="N13" s="87"/>
      <c r="O13" s="71"/>
    </row>
    <row r="14" spans="1:15" ht="27.75" customHeight="1">
      <c r="A14" s="943" t="s">
        <v>137</v>
      </c>
      <c r="B14" s="944"/>
      <c r="C14" s="945"/>
      <c r="D14" s="111"/>
      <c r="E14" s="111"/>
      <c r="F14" s="111"/>
      <c r="G14" s="435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'17'!F15</f>
        <v>2118571</v>
      </c>
      <c r="F15" s="469">
        <v>2119551.5</v>
      </c>
      <c r="G15" s="432">
        <f>(F15-E15)</f>
        <v>980.5</v>
      </c>
      <c r="H15" s="99">
        <f>G15+'17'!H15</f>
        <v>18683.5</v>
      </c>
      <c r="I15" s="113">
        <f>'1'!I15</f>
        <v>800</v>
      </c>
      <c r="J15" s="175">
        <f>H15/DAY(B2)</f>
        <v>1037.9722222222222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32"/>
      <c r="H16" s="124"/>
      <c r="I16" s="120">
        <f>I15-J15</f>
        <v>-237.97222222222217</v>
      </c>
      <c r="J16" s="176"/>
      <c r="K16" s="79"/>
      <c r="L16" s="66"/>
      <c r="N16" s="87"/>
      <c r="O16" s="71"/>
    </row>
    <row r="17" spans="1:15" ht="27.75" customHeight="1">
      <c r="A17" s="943" t="s">
        <v>140</v>
      </c>
      <c r="B17" s="944"/>
      <c r="C17" s="945"/>
      <c r="D17" s="111"/>
      <c r="E17" s="111"/>
      <c r="F17" s="111"/>
      <c r="G17" s="435"/>
      <c r="H17" s="111"/>
      <c r="I17" s="111"/>
      <c r="J17" s="174"/>
      <c r="K17" s="79"/>
      <c r="L17" s="66"/>
      <c r="N17" s="87"/>
      <c r="O17" s="71"/>
    </row>
    <row r="18" spans="1:15" ht="27.75" customHeight="1">
      <c r="A18" s="919" t="s">
        <v>141</v>
      </c>
      <c r="B18" s="920"/>
      <c r="C18" s="921"/>
      <c r="D18" s="151" t="s">
        <v>142</v>
      </c>
      <c r="E18" s="95">
        <f>'17'!F18</f>
        <v>24</v>
      </c>
      <c r="F18" s="122">
        <v>15</v>
      </c>
      <c r="G18" s="434">
        <f>F18*10</f>
        <v>150</v>
      </c>
      <c r="H18" s="99">
        <f>G18+'17'!H18</f>
        <v>2860</v>
      </c>
      <c r="I18" s="113">
        <f>'1'!I18</f>
        <v>65</v>
      </c>
      <c r="J18" s="175">
        <f>H18/DAY(B2)</f>
        <v>158.88888888888889</v>
      </c>
      <c r="K18" s="79"/>
      <c r="L18" s="66"/>
      <c r="N18" s="87"/>
      <c r="O18" s="71"/>
    </row>
    <row r="19" spans="1:15" ht="27.75" customHeight="1">
      <c r="A19" s="919" t="s">
        <v>69</v>
      </c>
      <c r="B19" s="920"/>
      <c r="C19" s="921"/>
      <c r="D19" s="151" t="s">
        <v>142</v>
      </c>
      <c r="E19" s="95">
        <f>'17'!F19</f>
        <v>163192</v>
      </c>
      <c r="F19" s="122">
        <v>163241</v>
      </c>
      <c r="G19" s="432">
        <f t="shared" ref="G19" si="1">F19-E19</f>
        <v>49</v>
      </c>
      <c r="H19" s="99">
        <f>G19+'17'!H19</f>
        <v>906</v>
      </c>
      <c r="I19" s="335"/>
      <c r="J19" s="175">
        <f>H19/DAY(B2)</f>
        <v>50.333333333333336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36">
        <f>G18+G19</f>
        <v>199</v>
      </c>
      <c r="H20" s="99">
        <f>G20+'17'!H20</f>
        <v>3766</v>
      </c>
      <c r="I20" s="336">
        <f>I18-J20</f>
        <v>-144.22222222222223</v>
      </c>
      <c r="J20" s="175">
        <f>H20/DAY(B2)</f>
        <v>209.22222222222223</v>
      </c>
      <c r="K20" s="79"/>
      <c r="L20" s="66"/>
      <c r="N20" s="87"/>
      <c r="O20" s="71"/>
    </row>
    <row r="21" spans="1:15" ht="27.75" customHeight="1">
      <c r="A21" s="943" t="s">
        <v>144</v>
      </c>
      <c r="B21" s="944"/>
      <c r="C21" s="945"/>
      <c r="D21" s="111"/>
      <c r="E21" s="111"/>
      <c r="F21" s="111"/>
      <c r="G21" s="435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4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406">
        <f>'17'!F23</f>
        <v>1500</v>
      </c>
      <c r="F23" s="164">
        <v>1500</v>
      </c>
      <c r="G23" s="520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1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4470</v>
      </c>
      <c r="G24" s="434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48" t="s">
        <v>149</v>
      </c>
      <c r="B25" s="949"/>
      <c r="C25" s="950"/>
      <c r="D25" s="110"/>
      <c r="E25" s="110"/>
      <c r="F25" s="110"/>
      <c r="G25" s="437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38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24766</v>
      </c>
      <c r="F27" s="136">
        <v>9</v>
      </c>
      <c r="G27" s="439">
        <f>E27*F27</f>
        <v>222894</v>
      </c>
      <c r="H27" s="99">
        <f>G27+'17'!H27</f>
        <v>4265838</v>
      </c>
      <c r="I27" s="138"/>
      <c r="J27" s="175">
        <f>H27/DAY(B2)</f>
        <v>236991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980.5</v>
      </c>
      <c r="F28" s="136">
        <v>70</v>
      </c>
      <c r="G28" s="439">
        <f>E28*F28</f>
        <v>68635</v>
      </c>
      <c r="H28" s="99">
        <f>G28+'17'!H28</f>
        <v>1307845</v>
      </c>
      <c r="I28" s="140"/>
      <c r="J28" s="175">
        <f>H28/DAY(B2)</f>
        <v>72658.055555555562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9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439">
        <f>E30*F30</f>
        <v>7399</v>
      </c>
      <c r="H30" s="99">
        <f>G30+'17'!H30</f>
        <v>136806</v>
      </c>
      <c r="I30" s="140"/>
      <c r="J30" s="175">
        <f>H30/DAY(B2)</f>
        <v>7600.333333333333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439">
        <f>E31*F31</f>
        <v>12000</v>
      </c>
      <c r="H31" s="99">
        <f>G31+'17'!H31</f>
        <v>228800</v>
      </c>
      <c r="I31" s="140"/>
      <c r="J31" s="175">
        <f>H31/DAY(B2)</f>
        <v>12711.111111111111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40">
        <f>G27+G28+G29+G30+G31</f>
        <v>310928</v>
      </c>
      <c r="H32" s="99">
        <f>G32+'17'!H32</f>
        <v>5939289</v>
      </c>
      <c r="I32" s="144"/>
      <c r="J32" s="175">
        <f>H32/DAY(B2)</f>
        <v>329960.5</v>
      </c>
      <c r="K32" s="63"/>
      <c r="L32" s="89"/>
      <c r="N32" s="87"/>
      <c r="O32" s="71"/>
    </row>
    <row r="33" spans="1:15" ht="27.75" customHeight="1">
      <c r="A33" s="951" t="s">
        <v>331</v>
      </c>
      <c r="B33" s="952"/>
      <c r="C33" s="952"/>
      <c r="D33" s="337"/>
      <c r="E33" s="337"/>
      <c r="F33" s="337"/>
      <c r="G33" s="441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42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238713.05</v>
      </c>
      <c r="F35" s="145">
        <v>238713.05</v>
      </c>
      <c r="G35" s="432">
        <f t="shared" ref="G35:G46" si="2">F35-E35</f>
        <v>0</v>
      </c>
      <c r="H35" s="99">
        <f>G35+'17'!H35</f>
        <v>4.9999999988358468E-2</v>
      </c>
      <c r="I35" s="95"/>
      <c r="J35" s="175">
        <f>H35/DAY(B2)</f>
        <v>2.7777777771310261E-3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230192</v>
      </c>
      <c r="F36" s="145">
        <v>230987.17</v>
      </c>
      <c r="G36" s="432">
        <f t="shared" si="2"/>
        <v>795.17000000001281</v>
      </c>
      <c r="H36" s="99">
        <f>G36+'17'!H36</f>
        <v>15457.170000000013</v>
      </c>
      <c r="I36" s="95"/>
      <c r="J36" s="175">
        <f>H36/DAY(B2)</f>
        <v>858.73166666666737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322999</v>
      </c>
      <c r="F37" s="145">
        <v>322998.69</v>
      </c>
      <c r="G37" s="432">
        <f t="shared" si="2"/>
        <v>-0.30999999999767169</v>
      </c>
      <c r="H37" s="99">
        <f>G37+'17'!H37</f>
        <v>-0.30999999999767169</v>
      </c>
      <c r="I37" s="95"/>
      <c r="J37" s="175">
        <f>H37/DAY(B2)</f>
        <v>-1.7222222222092871E-2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495582</v>
      </c>
      <c r="F38" s="108">
        <v>497717.31</v>
      </c>
      <c r="G38" s="432">
        <f t="shared" si="2"/>
        <v>2135.3099999999977</v>
      </c>
      <c r="H38" s="99">
        <f>G38+'17'!H38</f>
        <v>40356.31</v>
      </c>
      <c r="I38" s="95"/>
      <c r="J38" s="175">
        <f>H38/DAY(B2)</f>
        <v>2242.0172222222222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591584</v>
      </c>
      <c r="F39" s="145">
        <v>591584.18999999994</v>
      </c>
      <c r="G39" s="432">
        <f t="shared" si="2"/>
        <v>0.18999999994412065</v>
      </c>
      <c r="H39" s="99">
        <f>G39+'17'!H39</f>
        <v>0.18999999994412065</v>
      </c>
      <c r="I39" s="95"/>
      <c r="J39" s="175">
        <f>H39/DAY(B2)</f>
        <v>1.0555555552451147E-2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'17'!F40</f>
        <v>121557</v>
      </c>
      <c r="F40" s="423">
        <v>122388.29</v>
      </c>
      <c r="G40" s="520">
        <f t="shared" si="2"/>
        <v>831.2899999999936</v>
      </c>
      <c r="H40" s="99">
        <f>G40+'17'!H40</f>
        <v>15612.289999999994</v>
      </c>
      <c r="I40" s="95"/>
      <c r="J40" s="175">
        <f>H40/DAY(B2)</f>
        <v>867.34944444444409</v>
      </c>
      <c r="K40" s="80"/>
      <c r="L40" s="66"/>
      <c r="N40" s="87">
        <v>7285</v>
      </c>
      <c r="O40" s="71" t="s">
        <v>364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254915</v>
      </c>
      <c r="F41" s="145">
        <v>257421.37</v>
      </c>
      <c r="G41" s="432">
        <f t="shared" si="2"/>
        <v>2506.3699999999953</v>
      </c>
      <c r="H41" s="99">
        <f>G41+'17'!H41</f>
        <v>45718.369999999995</v>
      </c>
      <c r="I41" s="95"/>
      <c r="J41" s="175">
        <f>H41/DAY(B2)</f>
        <v>2539.909444444444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771007</v>
      </c>
      <c r="F42" s="145">
        <v>771007.03</v>
      </c>
      <c r="G42" s="432">
        <f t="shared" si="2"/>
        <v>3.0000000027939677E-2</v>
      </c>
      <c r="H42" s="99">
        <f>G42+'17'!H42</f>
        <v>22643.030000000028</v>
      </c>
      <c r="I42" s="95"/>
      <c r="J42" s="175">
        <f>H42/DAY(B2)</f>
        <v>1257.9461111111127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407028</v>
      </c>
      <c r="F43" s="145">
        <v>407028</v>
      </c>
      <c r="G43" s="432">
        <f t="shared" si="2"/>
        <v>0</v>
      </c>
      <c r="H43" s="99">
        <f>G43+'17'!H43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2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2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2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34">
        <f>G35+G36+G37+G38+G39+G40+G41+G42+G43+G44+G45+G46</f>
        <v>6268.0499999999738</v>
      </c>
      <c r="H47" s="99">
        <f>G47+'17'!H47</f>
        <v>139787.09999999998</v>
      </c>
      <c r="I47" s="95"/>
      <c r="J47" s="175">
        <f>H47/DAY(B2)</f>
        <v>7765.9499999999989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42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552732</v>
      </c>
      <c r="F49" s="145">
        <v>556529.87</v>
      </c>
      <c r="G49" s="432">
        <f t="shared" ref="G49:G58" si="3">F49-E49</f>
        <v>3797.8699999999953</v>
      </c>
      <c r="H49" s="99">
        <f>G49+'17'!H49</f>
        <v>71475.87</v>
      </c>
      <c r="I49" s="95"/>
      <c r="J49" s="175">
        <f>H49/DAY(B2)</f>
        <v>3970.8816666666662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304102</v>
      </c>
      <c r="F50" s="145">
        <v>305329.09999999998</v>
      </c>
      <c r="G50" s="432">
        <f t="shared" si="3"/>
        <v>1227.0999999999767</v>
      </c>
      <c r="H50" s="99">
        <f>G50+'17'!H50</f>
        <v>22579.099999999977</v>
      </c>
      <c r="I50" s="95"/>
      <c r="J50" s="175">
        <f>H50/DAY(B2)</f>
        <v>1254.3944444444433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26544</v>
      </c>
      <c r="F51" s="145">
        <v>27529.200000000001</v>
      </c>
      <c r="G51" s="432">
        <f t="shared" si="3"/>
        <v>985.20000000000073</v>
      </c>
      <c r="H51" s="99">
        <f>G51+'17'!H51</f>
        <v>19021.2</v>
      </c>
      <c r="I51" s="95"/>
      <c r="J51" s="175">
        <f>H51/DAY(B2)</f>
        <v>1056.7333333333333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10</v>
      </c>
      <c r="F52" s="145">
        <v>10</v>
      </c>
      <c r="G52" s="432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108859</v>
      </c>
      <c r="F53" s="145">
        <v>113028.1</v>
      </c>
      <c r="G53" s="432">
        <f t="shared" si="3"/>
        <v>4169.1000000000058</v>
      </c>
      <c r="H53" s="99">
        <f>G53+'17'!H53</f>
        <v>79167.100000000006</v>
      </c>
      <c r="I53" s="95"/>
      <c r="J53" s="175">
        <f>H53/DAY(B2)</f>
        <v>4398.1722222222224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93144</v>
      </c>
      <c r="F54" s="145">
        <v>93323</v>
      </c>
      <c r="G54" s="432">
        <f t="shared" si="3"/>
        <v>179</v>
      </c>
      <c r="H54" s="99">
        <f>G54+'17'!H54</f>
        <v>5380</v>
      </c>
      <c r="I54" s="95"/>
      <c r="J54" s="175">
        <f>H54/DAY(B2)</f>
        <v>298.88888888888891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412561</v>
      </c>
      <c r="F55" s="145">
        <v>416055.15</v>
      </c>
      <c r="G55" s="432">
        <f t="shared" si="3"/>
        <v>3494.1500000000233</v>
      </c>
      <c r="H55" s="99">
        <f>G55+'17'!H55</f>
        <v>53278.150000000023</v>
      </c>
      <c r="I55" s="95"/>
      <c r="J55" s="175">
        <f>H55/DAY(B2)</f>
        <v>2959.8972222222237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123882</v>
      </c>
      <c r="F56" s="145">
        <v>123882.39</v>
      </c>
      <c r="G56" s="432">
        <f t="shared" si="3"/>
        <v>0.38999999999941792</v>
      </c>
      <c r="H56" s="99">
        <f>G56+'17'!H56</f>
        <v>0.38999999999941792</v>
      </c>
      <c r="I56" s="95"/>
      <c r="J56" s="175">
        <f>H56/DAY(B2)</f>
        <v>2.1666666666634329E-2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279255</v>
      </c>
      <c r="F57" s="145">
        <v>282341.90999999997</v>
      </c>
      <c r="G57" s="432">
        <f t="shared" si="3"/>
        <v>3086.9099999999744</v>
      </c>
      <c r="H57" s="99">
        <f>G57+'17'!H57</f>
        <v>56171.909999999974</v>
      </c>
      <c r="I57" s="95"/>
      <c r="J57" s="175">
        <f>H57/DAY(B2)</f>
        <v>3120.661666666665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53604</v>
      </c>
      <c r="F58" s="423">
        <v>53832.7</v>
      </c>
      <c r="G58" s="432">
        <f t="shared" si="3"/>
        <v>228.69999999999709</v>
      </c>
      <c r="H58" s="99">
        <f>G58+'17'!H58</f>
        <v>4723.6999999999971</v>
      </c>
      <c r="I58" s="95"/>
      <c r="J58" s="175">
        <f>H58/DAY(B2)</f>
        <v>262.42777777777764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34">
        <f>G49+G50+G51+G52+G53+G54+G55+G56+G57+G58</f>
        <v>17168.419999999973</v>
      </c>
      <c r="H59" s="99">
        <f>G59+'17'!H59</f>
        <v>311797.42000000004</v>
      </c>
      <c r="I59" s="95">
        <f>G7-G60</f>
        <v>1824.4300000000476</v>
      </c>
      <c r="J59" s="175">
        <f>H59/DAY(B2)</f>
        <v>17322.078888888893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34">
        <f>G47+G59</f>
        <v>23436.469999999947</v>
      </c>
      <c r="H60" s="99">
        <f>G60+'17'!H60</f>
        <v>451584.52</v>
      </c>
      <c r="I60" s="95">
        <f>G13-G60</f>
        <v>613.42999999996027</v>
      </c>
      <c r="J60" s="175">
        <f>H60/DAY(B2)</f>
        <v>25088.02888888889</v>
      </c>
      <c r="K60" s="79"/>
      <c r="L60" s="66"/>
      <c r="N60" s="87"/>
      <c r="O60" s="71"/>
    </row>
    <row r="61" spans="1:15" s="68" customFormat="1" ht="27.75" customHeight="1">
      <c r="A61" s="953" t="s">
        <v>332</v>
      </c>
      <c r="B61" s="954"/>
      <c r="C61" s="955"/>
      <c r="D61" s="339"/>
      <c r="E61" s="339"/>
      <c r="F61" s="339"/>
      <c r="G61" s="443"/>
      <c r="H61" s="339"/>
      <c r="I61" s="339"/>
      <c r="J61" s="341"/>
      <c r="K61" s="69"/>
      <c r="L61" s="67"/>
      <c r="N61" s="87"/>
      <c r="O61" s="71"/>
    </row>
    <row r="62" spans="1:15" ht="27.75" customHeight="1">
      <c r="A62" s="919" t="s">
        <v>198</v>
      </c>
      <c r="B62" s="920"/>
      <c r="C62" s="921"/>
      <c r="D62" s="151" t="s">
        <v>142</v>
      </c>
      <c r="E62" s="95">
        <f>'17'!F62</f>
        <v>298143</v>
      </c>
      <c r="F62" s="122">
        <v>298238</v>
      </c>
      <c r="G62" s="432">
        <f t="shared" ref="G62:G63" si="4">F62-E62</f>
        <v>95</v>
      </c>
      <c r="H62" s="99">
        <f>G62+'17'!H62</f>
        <v>1963</v>
      </c>
      <c r="I62" s="118"/>
      <c r="J62" s="175">
        <f>H62/DAY(B2)</f>
        <v>109.05555555555556</v>
      </c>
      <c r="K62" s="80"/>
      <c r="L62" s="66"/>
      <c r="N62" s="87"/>
      <c r="O62" s="71"/>
    </row>
    <row r="63" spans="1:15" ht="27.75" customHeight="1">
      <c r="A63" s="919" t="s">
        <v>199</v>
      </c>
      <c r="B63" s="920"/>
      <c r="C63" s="921"/>
      <c r="D63" s="151" t="s">
        <v>142</v>
      </c>
      <c r="E63" s="95">
        <f>'17'!F63</f>
        <v>241255</v>
      </c>
      <c r="F63" s="122">
        <v>241350</v>
      </c>
      <c r="G63" s="432">
        <f t="shared" si="4"/>
        <v>95</v>
      </c>
      <c r="H63" s="99">
        <f>G63+'17'!H63</f>
        <v>2217</v>
      </c>
      <c r="I63" s="118"/>
      <c r="J63" s="175">
        <f>H63/DAY(B2)</f>
        <v>123.16666666666667</v>
      </c>
      <c r="K63" s="69"/>
      <c r="L63" s="66"/>
      <c r="N63" s="87"/>
      <c r="O63" s="71"/>
    </row>
    <row r="64" spans="1:15" ht="27.75" customHeight="1">
      <c r="A64" s="928" t="s">
        <v>200</v>
      </c>
      <c r="B64" s="929"/>
      <c r="C64" s="930"/>
      <c r="D64" s="151"/>
      <c r="E64" s="95">
        <f>'17'!F64</f>
        <v>0</v>
      </c>
      <c r="F64" s="122"/>
      <c r="G64" s="432">
        <f>G62+G63</f>
        <v>190</v>
      </c>
      <c r="H64" s="99">
        <f>G64+'17'!H64</f>
        <v>4180</v>
      </c>
      <c r="I64" s="118"/>
      <c r="J64" s="175">
        <f>H64/DAY(B2)</f>
        <v>232.22222222222223</v>
      </c>
      <c r="K64" s="69"/>
      <c r="L64" s="66"/>
      <c r="N64" s="87"/>
      <c r="O64" s="71"/>
    </row>
    <row r="65" spans="1:15" ht="27.75" customHeight="1">
      <c r="A65" s="919" t="s">
        <v>201</v>
      </c>
      <c r="B65" s="920"/>
      <c r="C65" s="921"/>
      <c r="D65" s="151" t="s">
        <v>142</v>
      </c>
      <c r="E65" s="95">
        <f>'17'!F65</f>
        <v>456454</v>
      </c>
      <c r="F65" s="122">
        <v>456548</v>
      </c>
      <c r="G65" s="432">
        <f t="shared" ref="G65:G70" si="5">F65-E65</f>
        <v>94</v>
      </c>
      <c r="H65" s="99">
        <f>G65+'17'!H65</f>
        <v>1838</v>
      </c>
      <c r="I65" s="118"/>
      <c r="J65" s="175">
        <f>H65/DAY(B2)</f>
        <v>102.11111111111111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112108</v>
      </c>
      <c r="F66" s="122">
        <v>112124</v>
      </c>
      <c r="G66" s="432">
        <f t="shared" si="5"/>
        <v>16</v>
      </c>
      <c r="H66" s="99">
        <f>G66+'17'!H66</f>
        <v>402</v>
      </c>
      <c r="I66" s="118"/>
      <c r="J66" s="175">
        <f>H66/DAY(B2)</f>
        <v>22.333333333333332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113852</v>
      </c>
      <c r="F67" s="122">
        <v>113962</v>
      </c>
      <c r="G67" s="432">
        <f t="shared" si="5"/>
        <v>110</v>
      </c>
      <c r="H67" s="99">
        <f>G67+'17'!H67</f>
        <v>282</v>
      </c>
      <c r="I67" s="118"/>
      <c r="J67" s="175">
        <f>H67/DAY(B2)</f>
        <v>15.666666666666666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165152</v>
      </c>
      <c r="F68" s="122">
        <v>165172</v>
      </c>
      <c r="G68" s="432">
        <f t="shared" si="5"/>
        <v>20</v>
      </c>
      <c r="H68" s="99">
        <f>G68+'17'!H68</f>
        <v>510</v>
      </c>
      <c r="I68" s="118"/>
      <c r="J68" s="175">
        <f>H68/DAY(B2)</f>
        <v>28.333333333333332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12379</v>
      </c>
      <c r="F69" s="122">
        <v>12382</v>
      </c>
      <c r="G69" s="432">
        <f t="shared" si="5"/>
        <v>3</v>
      </c>
      <c r="H69" s="99">
        <f>G69+'17'!H69</f>
        <v>107</v>
      </c>
      <c r="I69" s="118"/>
      <c r="J69" s="175">
        <f>H69/DAY(B2)</f>
        <v>5.9444444444444446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9988</v>
      </c>
      <c r="F70" s="122">
        <v>9998</v>
      </c>
      <c r="G70" s="432">
        <f t="shared" si="5"/>
        <v>10</v>
      </c>
      <c r="H70" s="99">
        <f>G70+'17'!H70</f>
        <v>171</v>
      </c>
      <c r="I70" s="118"/>
      <c r="J70" s="175">
        <f>H70/DAY(B2)</f>
        <v>9.5</v>
      </c>
      <c r="K70" s="69"/>
      <c r="L70" s="66"/>
      <c r="N70" s="87"/>
      <c r="O70" s="71"/>
    </row>
    <row r="71" spans="1:15" ht="27.75" customHeight="1">
      <c r="A71" s="928" t="s">
        <v>208</v>
      </c>
      <c r="B71" s="929"/>
      <c r="C71" s="930"/>
      <c r="D71" s="152"/>
      <c r="E71" s="152"/>
      <c r="F71" s="152"/>
      <c r="G71" s="444">
        <f>SUM(G65:G70)</f>
        <v>253</v>
      </c>
      <c r="H71" s="99">
        <f>G71+'17'!H71</f>
        <v>3310</v>
      </c>
      <c r="I71" s="154"/>
      <c r="J71" s="175">
        <f>H71/DAY(B2)</f>
        <v>183.88888888888889</v>
      </c>
      <c r="K71" s="69"/>
      <c r="L71" s="66"/>
      <c r="N71" s="87"/>
      <c r="O71" s="71"/>
    </row>
    <row r="72" spans="1:15" s="88" customFormat="1" ht="27.75" customHeight="1">
      <c r="A72" s="915"/>
      <c r="B72" s="900"/>
      <c r="C72" s="347"/>
      <c r="D72" s="180"/>
      <c r="E72" s="180" t="s">
        <v>207</v>
      </c>
      <c r="F72" s="180"/>
      <c r="G72" s="445"/>
      <c r="H72" s="181"/>
      <c r="I72" s="180"/>
      <c r="J72" s="182"/>
      <c r="N72" s="87"/>
      <c r="O72" s="71"/>
    </row>
    <row r="73" spans="1:15" ht="27.75" customHeight="1">
      <c r="A73" s="925" t="s">
        <v>333</v>
      </c>
      <c r="B73" s="926"/>
      <c r="C73" s="927"/>
      <c r="D73" s="339"/>
      <c r="E73" s="339"/>
      <c r="F73" s="339"/>
      <c r="G73" s="443"/>
      <c r="H73" s="342"/>
      <c r="I73" s="342"/>
      <c r="J73" s="343"/>
      <c r="K73" s="69"/>
      <c r="L73" s="66"/>
      <c r="N73" s="87"/>
      <c r="O73" s="71"/>
    </row>
    <row r="74" spans="1:15" ht="27.75" customHeight="1">
      <c r="A74" s="919" t="s">
        <v>220</v>
      </c>
      <c r="B74" s="920"/>
      <c r="C74" s="921"/>
      <c r="D74" s="151" t="s">
        <v>139</v>
      </c>
      <c r="E74" s="95">
        <f>'17'!F74</f>
        <v>963033</v>
      </c>
      <c r="F74" s="123">
        <v>963339.3</v>
      </c>
      <c r="G74" s="432">
        <f>F74-E74</f>
        <v>306.30000000004657</v>
      </c>
      <c r="H74" s="99">
        <f>G74+'17'!H74</f>
        <v>5681.4400000000605</v>
      </c>
      <c r="I74" s="154"/>
      <c r="J74" s="175">
        <f>H74/DAY(B2)</f>
        <v>315.63555555555894</v>
      </c>
      <c r="K74" s="69"/>
      <c r="L74" s="66"/>
      <c r="N74" s="87"/>
      <c r="O74" s="71"/>
    </row>
    <row r="75" spans="1:15" ht="27.75" customHeight="1">
      <c r="A75" s="919" t="s">
        <v>221</v>
      </c>
      <c r="B75" s="920"/>
      <c r="C75" s="921"/>
      <c r="D75" s="151" t="s">
        <v>139</v>
      </c>
      <c r="E75" s="95">
        <f>'17'!F75</f>
        <v>73586.8</v>
      </c>
      <c r="F75" s="410">
        <v>73586</v>
      </c>
      <c r="G75" s="432">
        <f t="shared" ref="G75:G78" si="6">F75-E75</f>
        <v>-0.80000000000291038</v>
      </c>
      <c r="H75" s="99">
        <f>G75+'17'!H75</f>
        <v>-0.80000000000291038</v>
      </c>
      <c r="I75" s="154"/>
      <c r="J75" s="175">
        <f>H75/DAY(B2)</f>
        <v>-4.4444444444606129E-2</v>
      </c>
      <c r="K75" s="69"/>
      <c r="L75" s="66"/>
      <c r="N75" s="87"/>
      <c r="O75" s="71"/>
    </row>
    <row r="76" spans="1:15" ht="27.75" customHeight="1">
      <c r="A76" s="916" t="s">
        <v>222</v>
      </c>
      <c r="B76" s="917"/>
      <c r="C76" s="918"/>
      <c r="D76" s="151" t="s">
        <v>139</v>
      </c>
      <c r="E76" s="95">
        <f>'17'!F76</f>
        <v>192088</v>
      </c>
      <c r="F76" s="123">
        <v>192183</v>
      </c>
      <c r="G76" s="432">
        <f>F76-E76</f>
        <v>95</v>
      </c>
      <c r="H76" s="99">
        <f>G76+'17'!H76</f>
        <v>2011</v>
      </c>
      <c r="I76" s="154"/>
      <c r="J76" s="175">
        <f>H76/DAY(B2)</f>
        <v>111.72222222222223</v>
      </c>
      <c r="K76" s="69"/>
      <c r="L76" s="66"/>
      <c r="N76" s="87"/>
      <c r="O76" s="71"/>
    </row>
    <row r="77" spans="1:15" ht="27.75" customHeight="1">
      <c r="A77" s="916" t="s">
        <v>223</v>
      </c>
      <c r="B77" s="917"/>
      <c r="C77" s="918"/>
      <c r="D77" s="151" t="s">
        <v>139</v>
      </c>
      <c r="E77" s="95">
        <f>'17'!F77</f>
        <v>51165</v>
      </c>
      <c r="F77" s="123">
        <v>51208</v>
      </c>
      <c r="G77" s="432">
        <f t="shared" si="6"/>
        <v>43</v>
      </c>
      <c r="H77" s="99">
        <f>G77+'17'!H77</f>
        <v>895</v>
      </c>
      <c r="I77" s="154"/>
      <c r="J77" s="175">
        <f>H77/DAY(B2)</f>
        <v>49.722222222222221</v>
      </c>
      <c r="K77" s="69"/>
      <c r="L77" s="66"/>
      <c r="N77" s="87"/>
      <c r="O77" s="71"/>
    </row>
    <row r="78" spans="1:15" ht="27.75" customHeight="1">
      <c r="A78" s="916" t="s">
        <v>224</v>
      </c>
      <c r="B78" s="917"/>
      <c r="C78" s="918"/>
      <c r="D78" s="151" t="s">
        <v>139</v>
      </c>
      <c r="E78" s="95">
        <f>'17'!F78</f>
        <v>9564</v>
      </c>
      <c r="F78" s="123">
        <v>9564</v>
      </c>
      <c r="G78" s="432">
        <f t="shared" si="6"/>
        <v>0</v>
      </c>
      <c r="H78" s="99">
        <f>G78+'17'!H78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16" t="s">
        <v>225</v>
      </c>
      <c r="B79" s="917"/>
      <c r="C79" s="918"/>
      <c r="D79" s="151"/>
      <c r="E79" s="95">
        <f>'17'!F79</f>
        <v>0</v>
      </c>
      <c r="F79" s="123">
        <v>0</v>
      </c>
      <c r="G79" s="432">
        <f>G15-SUM(G74:G78)</f>
        <v>536.99999999995634</v>
      </c>
      <c r="H79" s="99">
        <f>G79+'17'!H79</f>
        <v>10096.859999999942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28" t="s">
        <v>329</v>
      </c>
      <c r="B80" s="929"/>
      <c r="C80" s="930"/>
      <c r="D80" s="151"/>
      <c r="E80" s="117"/>
      <c r="F80" s="117"/>
      <c r="G80" s="432">
        <f>SUM(G74:G79)</f>
        <v>980.5</v>
      </c>
      <c r="H80" s="99">
        <f>G80+'17'!H80</f>
        <v>980.5</v>
      </c>
      <c r="I80" s="118"/>
      <c r="J80" s="175"/>
      <c r="K80" s="59"/>
      <c r="L80" s="58"/>
      <c r="N80" s="87"/>
      <c r="O80" s="71"/>
    </row>
    <row r="81" spans="1:15" ht="27.75" customHeight="1">
      <c r="A81" s="933" t="s">
        <v>226</v>
      </c>
      <c r="B81" s="934"/>
      <c r="C81" s="935"/>
      <c r="D81" s="110"/>
      <c r="E81" s="110"/>
      <c r="F81" s="110"/>
      <c r="G81" s="446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2">
        <f t="shared" ref="G82:G92" si="7">F82-E82</f>
        <v>0</v>
      </c>
      <c r="H82" s="99">
        <f>G82+'17'!H82</f>
        <v>0</v>
      </c>
      <c r="I82" s="571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2">
        <f t="shared" si="7"/>
        <v>0</v>
      </c>
      <c r="H83" s="99">
        <f>G83+'17'!H83</f>
        <v>0</v>
      </c>
      <c r="I83" s="571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42789</v>
      </c>
      <c r="F84" s="164">
        <v>42801.34</v>
      </c>
      <c r="G84" s="432">
        <f>F84-E84</f>
        <v>12.339999999996508</v>
      </c>
      <c r="H84" s="99">
        <f>G84+'17'!H84</f>
        <v>172.33999999999651</v>
      </c>
      <c r="I84" s="571"/>
      <c r="J84" s="175">
        <f>H84/DAY(B2)</f>
        <v>9.57444444444425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5241</v>
      </c>
      <c r="F85" s="164">
        <v>5241.05</v>
      </c>
      <c r="G85" s="432">
        <f t="shared" si="7"/>
        <v>5.0000000000181899E-2</v>
      </c>
      <c r="H85" s="99">
        <f>G85+'17'!H85</f>
        <v>100.86000000000058</v>
      </c>
      <c r="I85" s="571"/>
      <c r="J85" s="175">
        <f>H85/DAY(B2)</f>
        <v>5.6033333333333655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45715</v>
      </c>
      <c r="F86" s="164">
        <v>45738.02</v>
      </c>
      <c r="G86" s="432">
        <f t="shared" si="7"/>
        <v>23.019999999996799</v>
      </c>
      <c r="H86" s="99">
        <f>G86+'17'!H86</f>
        <v>359.0199999999968</v>
      </c>
      <c r="I86" s="571"/>
      <c r="J86" s="175">
        <f>H86/DAY(B2)</f>
        <v>19.945555555555377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35481</v>
      </c>
      <c r="F87" s="164">
        <v>35481</v>
      </c>
      <c r="G87" s="432">
        <f t="shared" si="7"/>
        <v>0</v>
      </c>
      <c r="H87" s="99">
        <f>G87+'17'!H87</f>
        <v>23.569999999999709</v>
      </c>
      <c r="I87" s="571">
        <f>G84+G85+G86+G87</f>
        <v>35.409999999993488</v>
      </c>
      <c r="J87" s="175">
        <f>H87/DAY(B2)</f>
        <v>1.3094444444444282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24318.959999999999</v>
      </c>
      <c r="F88" s="164">
        <v>24318.959999999999</v>
      </c>
      <c r="G88" s="432">
        <f t="shared" si="7"/>
        <v>0</v>
      </c>
      <c r="H88" s="99">
        <f>G88+'17'!H88</f>
        <v>15.5</v>
      </c>
      <c r="I88" s="571"/>
      <c r="J88" s="175">
        <f>H88/DAY(B2)</f>
        <v>0.86111111111111116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27703.200000000001</v>
      </c>
      <c r="F89" s="164">
        <v>27712.26</v>
      </c>
      <c r="G89" s="432">
        <f t="shared" si="7"/>
        <v>9.0599999999976717</v>
      </c>
      <c r="H89" s="99">
        <f>G89+'17'!H89</f>
        <v>145.64999999999782</v>
      </c>
      <c r="I89" s="571">
        <f>G88+G89</f>
        <v>9.0599999999976717</v>
      </c>
      <c r="J89" s="175">
        <f>H89/DAY(B2)</f>
        <v>8.091666666666546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72793.89</v>
      </c>
      <c r="F90" s="164">
        <v>72803.08</v>
      </c>
      <c r="G90" s="432">
        <f t="shared" si="7"/>
        <v>9.1900000000023283</v>
      </c>
      <c r="H90" s="99">
        <f>G90+'17'!H90</f>
        <v>196.52999999999884</v>
      </c>
      <c r="I90" s="571">
        <f>G90</f>
        <v>9.1900000000023283</v>
      </c>
      <c r="J90" s="175">
        <f>H90/DAY(B2)</f>
        <v>10.918333333333269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4289.5</v>
      </c>
      <c r="F91" s="164">
        <v>4289.5</v>
      </c>
      <c r="G91" s="432">
        <f t="shared" si="7"/>
        <v>0</v>
      </c>
      <c r="H91" s="99">
        <f>G91+'17'!H91</f>
        <v>-3.999999999996362E-2</v>
      </c>
      <c r="I91" s="590"/>
      <c r="J91" s="175">
        <f>H91/DAY(B2)</f>
        <v>-2.2222222222202013E-3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6906.32</v>
      </c>
      <c r="F92" s="164">
        <v>6917.34</v>
      </c>
      <c r="G92" s="432">
        <f t="shared" si="7"/>
        <v>11.020000000000437</v>
      </c>
      <c r="H92" s="99">
        <f>G92+'17'!H92</f>
        <v>200.01000000000022</v>
      </c>
      <c r="I92" s="596">
        <f>G91+G92</f>
        <v>11.020000000000437</v>
      </c>
      <c r="J92" s="175">
        <f>H92/DAY(B2)</f>
        <v>11.111666666666679</v>
      </c>
      <c r="O92" s="71"/>
    </row>
    <row r="93" spans="1:15" ht="27.75" customHeight="1">
      <c r="A93" s="922" t="s">
        <v>239</v>
      </c>
      <c r="B93" s="923"/>
      <c r="C93" s="924"/>
      <c r="D93" s="111"/>
      <c r="E93" s="111"/>
      <c r="F93" s="111"/>
      <c r="G93" s="435"/>
      <c r="H93" s="121"/>
      <c r="I93" s="121"/>
      <c r="J93" s="183"/>
      <c r="K93" s="69"/>
      <c r="L93" s="66"/>
      <c r="O93" s="71"/>
    </row>
    <row r="94" spans="1:15" ht="27.75" customHeight="1">
      <c r="A94" s="919" t="s">
        <v>240</v>
      </c>
      <c r="B94" s="920"/>
      <c r="C94" s="921"/>
      <c r="D94" s="151" t="s">
        <v>130</v>
      </c>
      <c r="E94" s="151"/>
      <c r="F94" s="151"/>
      <c r="G94" s="447">
        <f>G35+G43+G49+G57</f>
        <v>6884.7799999999697</v>
      </c>
      <c r="H94" s="99">
        <f>G94+'17'!H94</f>
        <v>127647.82999999996</v>
      </c>
      <c r="I94" s="118"/>
      <c r="J94" s="175">
        <f>H94/DAY(B2)</f>
        <v>7091.546111111109</v>
      </c>
      <c r="K94" s="69"/>
      <c r="L94" s="66"/>
      <c r="O94" s="71"/>
    </row>
    <row r="95" spans="1:15" ht="27.75" customHeight="1">
      <c r="A95" s="919" t="s">
        <v>241</v>
      </c>
      <c r="B95" s="920"/>
      <c r="C95" s="921"/>
      <c r="D95" s="151" t="s">
        <v>23</v>
      </c>
      <c r="E95" s="146"/>
      <c r="F95" s="146"/>
      <c r="G95" s="448">
        <f>G94/G7</f>
        <v>0.2725469005459018</v>
      </c>
      <c r="H95" s="99">
        <f>G95+'17'!H95</f>
        <v>4.9105898833858328</v>
      </c>
      <c r="I95" s="167"/>
      <c r="J95" s="175">
        <f>H95/DAY(B2)</f>
        <v>0.2728105490769907</v>
      </c>
      <c r="K95" s="69"/>
      <c r="L95" s="66"/>
      <c r="O95" s="71"/>
    </row>
    <row r="96" spans="1:15" ht="27.75" customHeight="1">
      <c r="A96" s="919" t="s">
        <v>242</v>
      </c>
      <c r="B96" s="920"/>
      <c r="C96" s="921"/>
      <c r="D96" s="151" t="s">
        <v>130</v>
      </c>
      <c r="E96" s="95"/>
      <c r="F96" s="95"/>
      <c r="G96" s="447">
        <f>G41+G42+G55+G56</f>
        <v>6000.940000000046</v>
      </c>
      <c r="H96" s="99">
        <f>G96+'17'!H96</f>
        <v>121639.94000000005</v>
      </c>
      <c r="I96" s="118"/>
      <c r="J96" s="175">
        <f>H96/DAY(B2)</f>
        <v>6757.774444444447</v>
      </c>
      <c r="K96" s="69"/>
      <c r="L96" s="66"/>
      <c r="O96" s="71"/>
    </row>
    <row r="97" spans="1:15" ht="27.75" customHeight="1">
      <c r="A97" s="919" t="s">
        <v>243</v>
      </c>
      <c r="B97" s="920"/>
      <c r="C97" s="921"/>
      <c r="D97" s="151" t="s">
        <v>23</v>
      </c>
      <c r="E97" s="95"/>
      <c r="F97" s="95"/>
      <c r="G97" s="448">
        <f>G96/G7</f>
        <v>0.23755844011892083</v>
      </c>
      <c r="H97" s="99">
        <f>G97+'17'!H97</f>
        <v>4.6586444268196709</v>
      </c>
      <c r="I97" s="167"/>
      <c r="J97" s="175">
        <f>H97/DAY(B2)</f>
        <v>0.2588135792677595</v>
      </c>
      <c r="K97" s="69"/>
      <c r="L97" s="66"/>
      <c r="O97" s="71"/>
    </row>
    <row r="98" spans="1:15" ht="27.75" customHeight="1">
      <c r="A98" s="919" t="s">
        <v>244</v>
      </c>
      <c r="B98" s="920"/>
      <c r="C98" s="921"/>
      <c r="D98" s="151" t="s">
        <v>130</v>
      </c>
      <c r="E98" s="95"/>
      <c r="F98" s="95"/>
      <c r="G98" s="447">
        <f>G39+G53</f>
        <v>4169.2899999999499</v>
      </c>
      <c r="H98" s="99">
        <f>G98+'17'!H98</f>
        <v>79167.28999999995</v>
      </c>
      <c r="I98" s="168"/>
      <c r="J98" s="175">
        <f>H98/DAY(B2)</f>
        <v>4398.1827777777753</v>
      </c>
      <c r="K98" s="69"/>
      <c r="L98" s="66"/>
      <c r="O98" s="71"/>
    </row>
    <row r="99" spans="1:15" ht="27.75" customHeight="1">
      <c r="A99" s="919" t="s">
        <v>245</v>
      </c>
      <c r="B99" s="920"/>
      <c r="C99" s="921"/>
      <c r="D99" s="151" t="s">
        <v>23</v>
      </c>
      <c r="E99" s="95"/>
      <c r="F99" s="95"/>
      <c r="G99" s="448">
        <f>G98/G7</f>
        <v>0.16504914710085353</v>
      </c>
      <c r="H99" s="99">
        <f>G99+'17'!H99</f>
        <v>3.0444133028225617</v>
      </c>
      <c r="I99" s="168"/>
      <c r="J99" s="175">
        <f>H99/DAY(B2)</f>
        <v>0.16913407237903122</v>
      </c>
      <c r="O99" s="71"/>
    </row>
    <row r="100" spans="1:15" ht="27.75" customHeight="1">
      <c r="A100" s="919" t="s">
        <v>246</v>
      </c>
      <c r="B100" s="920"/>
      <c r="C100" s="921"/>
      <c r="D100" s="151" t="s">
        <v>180</v>
      </c>
      <c r="E100" s="95"/>
      <c r="F100" s="95"/>
      <c r="G100" s="447">
        <f>G38+G52</f>
        <v>2135.3099999999977</v>
      </c>
      <c r="H100" s="99">
        <f>G100+'17'!H100</f>
        <v>40356.31</v>
      </c>
      <c r="I100" s="118"/>
      <c r="J100" s="175">
        <f>H100/DAY(B2)</f>
        <v>2242.0172222222222</v>
      </c>
      <c r="K100" s="70"/>
      <c r="O100" s="71"/>
    </row>
    <row r="101" spans="1:15" ht="27.75" customHeight="1">
      <c r="A101" s="919" t="s">
        <v>247</v>
      </c>
      <c r="B101" s="920"/>
      <c r="C101" s="921"/>
      <c r="D101" s="151" t="s">
        <v>23</v>
      </c>
      <c r="E101" s="95"/>
      <c r="F101" s="95"/>
      <c r="G101" s="448">
        <f>G100/G7</f>
        <v>8.4530242390413568E-2</v>
      </c>
      <c r="H101" s="99">
        <f>G101+'17'!H101</f>
        <v>1.5518860427795091</v>
      </c>
      <c r="I101" s="168"/>
      <c r="J101" s="175">
        <f>H101/DAY(B2)</f>
        <v>8.6215891265528283E-2</v>
      </c>
      <c r="O101" s="71"/>
    </row>
    <row r="102" spans="1:15" ht="27.75" customHeight="1">
      <c r="A102" s="919" t="s">
        <v>248</v>
      </c>
      <c r="B102" s="920"/>
      <c r="C102" s="921"/>
      <c r="D102" s="151" t="s">
        <v>180</v>
      </c>
      <c r="E102" s="95"/>
      <c r="F102" s="95"/>
      <c r="G102" s="447">
        <f>G36+G50</f>
        <v>2022.2699999999895</v>
      </c>
      <c r="H102" s="99">
        <f>G102+'17'!H102</f>
        <v>38036.26999999999</v>
      </c>
      <c r="I102" s="168"/>
      <c r="J102" s="175">
        <f>H102/DAY(B2)</f>
        <v>2113.1261111111107</v>
      </c>
      <c r="O102" s="71"/>
    </row>
    <row r="103" spans="1:15" ht="27.75" customHeight="1">
      <c r="A103" s="919" t="s">
        <v>249</v>
      </c>
      <c r="B103" s="920"/>
      <c r="C103" s="921"/>
      <c r="D103" s="151" t="s">
        <v>23</v>
      </c>
      <c r="E103" s="95"/>
      <c r="F103" s="95"/>
      <c r="G103" s="448">
        <f>G102/G7</f>
        <v>8.0055342446230734E-2</v>
      </c>
      <c r="H103" s="99">
        <f>G103+'17'!H103</f>
        <v>1.4559777055001031</v>
      </c>
      <c r="I103" s="118"/>
      <c r="J103" s="175">
        <f>H103/DAY(B2)</f>
        <v>8.0887650305561276E-2</v>
      </c>
      <c r="O103" s="71"/>
    </row>
    <row r="104" spans="1:15" ht="27.75" customHeight="1">
      <c r="A104" s="919" t="s">
        <v>250</v>
      </c>
      <c r="B104" s="920"/>
      <c r="C104" s="921"/>
      <c r="D104" s="151" t="s">
        <v>180</v>
      </c>
      <c r="E104" s="95"/>
      <c r="F104" s="95"/>
      <c r="G104" s="447">
        <f>G37+G51</f>
        <v>984.89000000000306</v>
      </c>
      <c r="H104" s="99">
        <f>G104+'17'!H104</f>
        <v>19020.890000000003</v>
      </c>
      <c r="I104" s="118"/>
      <c r="J104" s="175">
        <f>H104/DAY(B2)</f>
        <v>1056.7161111111113</v>
      </c>
      <c r="O104" s="71"/>
    </row>
    <row r="105" spans="1:15" ht="27.75" customHeight="1" thickBot="1">
      <c r="A105" s="912" t="s">
        <v>251</v>
      </c>
      <c r="B105" s="913"/>
      <c r="C105" s="914"/>
      <c r="D105" s="231" t="s">
        <v>23</v>
      </c>
      <c r="E105" s="185"/>
      <c r="F105" s="185"/>
      <c r="G105" s="449">
        <f>G104/G7</f>
        <v>3.8988713782961149E-2</v>
      </c>
      <c r="H105" s="99">
        <f>G105+'17'!H105</f>
        <v>0.73108601835662768</v>
      </c>
      <c r="I105" s="187"/>
      <c r="J105" s="188">
        <f>H105/DAY(B2)</f>
        <v>4.061588990870154E-2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50"/>
      <c r="H106" s="170"/>
      <c r="I106" s="169"/>
      <c r="J106" s="171"/>
      <c r="O106" s="71"/>
    </row>
    <row r="108" spans="1:15" ht="27.75" customHeight="1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7.75" customHeight="1">
      <c r="A109" s="936"/>
      <c r="B109" s="936"/>
    </row>
    <row r="110" spans="1:15" ht="27.75" customHeight="1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7.75" customHeight="1">
      <c r="A111" s="902"/>
      <c r="B111" s="903"/>
      <c r="C111" s="904"/>
      <c r="D111" s="165"/>
      <c r="E111" s="165"/>
      <c r="F111" s="165"/>
      <c r="G111" s="452"/>
      <c r="H111" s="156"/>
      <c r="I111" s="165"/>
      <c r="J111" s="327"/>
    </row>
    <row r="112" spans="1:15" ht="27.75" customHeight="1">
      <c r="A112" s="898" t="s">
        <v>252</v>
      </c>
      <c r="B112" s="899"/>
      <c r="C112" s="900"/>
      <c r="D112" s="146" t="s">
        <v>183</v>
      </c>
      <c r="E112" s="95">
        <f>'17'!F112</f>
        <v>8494</v>
      </c>
      <c r="F112" s="237">
        <v>8564.67</v>
      </c>
      <c r="G112" s="432">
        <f t="shared" ref="G112:G123" si="8">F112-E112</f>
        <v>70.670000000000073</v>
      </c>
      <c r="H112" s="99">
        <f>G112+'17'!H112</f>
        <v>1299.67</v>
      </c>
      <c r="I112" s="165"/>
      <c r="J112" s="328">
        <f>H112/DAY(B2)</f>
        <v>72.203888888888898</v>
      </c>
    </row>
    <row r="113" spans="1:18" ht="27.75" customHeight="1">
      <c r="A113" s="898" t="s">
        <v>253</v>
      </c>
      <c r="B113" s="899"/>
      <c r="C113" s="900"/>
      <c r="D113" s="146" t="s">
        <v>183</v>
      </c>
      <c r="E113" s="95">
        <f>'17'!F113</f>
        <v>17392</v>
      </c>
      <c r="F113" s="237">
        <v>17534.599999999999</v>
      </c>
      <c r="G113" s="432">
        <f t="shared" si="8"/>
        <v>142.59999999999854</v>
      </c>
      <c r="H113" s="99">
        <f>G113+'17'!H113</f>
        <v>2519.5999999999985</v>
      </c>
      <c r="I113" s="165"/>
      <c r="J113" s="328">
        <f>H113/DAY(B2)</f>
        <v>139.9777777777777</v>
      </c>
    </row>
    <row r="114" spans="1:18" ht="27.75" customHeight="1">
      <c r="A114" s="898" t="s">
        <v>254</v>
      </c>
      <c r="B114" s="899"/>
      <c r="C114" s="900"/>
      <c r="D114" s="146" t="s">
        <v>183</v>
      </c>
      <c r="E114" s="95">
        <f>'17'!F114</f>
        <v>24993</v>
      </c>
      <c r="F114" s="237">
        <v>25213.9</v>
      </c>
      <c r="G114" s="432">
        <f t="shared" si="8"/>
        <v>220.90000000000146</v>
      </c>
      <c r="H114" s="99">
        <f>G114+'17'!H114</f>
        <v>3945.9000000000015</v>
      </c>
      <c r="I114" s="165"/>
      <c r="J114" s="328">
        <f>H114/DAY(B2)</f>
        <v>219.21666666666675</v>
      </c>
    </row>
    <row r="115" spans="1:18" ht="27.75" customHeight="1">
      <c r="A115" s="898" t="s">
        <v>255</v>
      </c>
      <c r="B115" s="899"/>
      <c r="C115" s="900"/>
      <c r="D115" s="146" t="s">
        <v>183</v>
      </c>
      <c r="E115" s="95">
        <f>'17'!F115</f>
        <v>15720</v>
      </c>
      <c r="F115" s="237">
        <v>15826</v>
      </c>
      <c r="G115" s="432">
        <f t="shared" si="8"/>
        <v>106</v>
      </c>
      <c r="H115" s="99">
        <f>G115+'17'!H115</f>
        <v>2250.5200000000004</v>
      </c>
      <c r="I115" s="165"/>
      <c r="J115" s="328">
        <f>H115/DAY(B2)</f>
        <v>125.02888888888891</v>
      </c>
    </row>
    <row r="116" spans="1:18" ht="27.75" customHeight="1">
      <c r="A116" s="905" t="s">
        <v>96</v>
      </c>
      <c r="B116" s="906"/>
      <c r="C116" s="907"/>
      <c r="D116" s="146" t="s">
        <v>183</v>
      </c>
      <c r="E116" s="95">
        <f>'17'!F116</f>
        <v>77729</v>
      </c>
      <c r="F116" s="237">
        <v>78069.2</v>
      </c>
      <c r="G116" s="432">
        <f t="shared" si="8"/>
        <v>340.19999999999709</v>
      </c>
      <c r="H116" s="99">
        <f>G116+'17'!H116</f>
        <v>7577.1999999999971</v>
      </c>
      <c r="I116" s="165"/>
      <c r="J116" s="328">
        <f>H116/DAY(B2)</f>
        <v>420.95555555555541</v>
      </c>
      <c r="Q116" s="898" t="s">
        <v>311</v>
      </c>
      <c r="R116" s="900"/>
    </row>
    <row r="117" spans="1:18" ht="27.75" customHeight="1">
      <c r="A117" s="905" t="s">
        <v>184</v>
      </c>
      <c r="B117" s="906"/>
      <c r="C117" s="907"/>
      <c r="D117" s="146" t="s">
        <v>183</v>
      </c>
      <c r="E117" s="95">
        <f>'17'!F117</f>
        <v>44917</v>
      </c>
      <c r="F117" s="237">
        <v>45163.199999999997</v>
      </c>
      <c r="G117" s="432">
        <f t="shared" si="8"/>
        <v>246.19999999999709</v>
      </c>
      <c r="H117" s="99">
        <f>G117+'17'!H117</f>
        <v>4241.1999999999971</v>
      </c>
      <c r="I117" s="165"/>
      <c r="J117" s="328">
        <f>H117/DAY(B2)</f>
        <v>235.62222222222206</v>
      </c>
      <c r="Q117" s="898" t="s">
        <v>312</v>
      </c>
      <c r="R117" s="900"/>
    </row>
    <row r="118" spans="1:18" ht="27.75" customHeight="1">
      <c r="A118" s="897" t="s">
        <v>97</v>
      </c>
      <c r="B118" s="897"/>
      <c r="C118" s="897"/>
      <c r="D118" s="151" t="s">
        <v>183</v>
      </c>
      <c r="E118" s="95">
        <f>'17'!F118</f>
        <v>74719</v>
      </c>
      <c r="F118" s="237">
        <v>75310.7</v>
      </c>
      <c r="G118" s="432">
        <f t="shared" si="8"/>
        <v>591.69999999999709</v>
      </c>
      <c r="H118" s="99">
        <f>G118+'17'!H118</f>
        <v>10638.699999999997</v>
      </c>
      <c r="I118" s="165"/>
      <c r="J118" s="328">
        <f>H118/DAY(B2)</f>
        <v>591.03888888888878</v>
      </c>
      <c r="Q118" s="898" t="s">
        <v>311</v>
      </c>
      <c r="R118" s="900"/>
    </row>
    <row r="119" spans="1:18" ht="27.75" customHeight="1">
      <c r="A119" s="897" t="s">
        <v>98</v>
      </c>
      <c r="B119" s="897"/>
      <c r="C119" s="897"/>
      <c r="D119" s="151" t="s">
        <v>183</v>
      </c>
      <c r="E119" s="95">
        <f>'17'!F119</f>
        <v>41444</v>
      </c>
      <c r="F119" s="237">
        <v>41583.199999999997</v>
      </c>
      <c r="G119" s="432">
        <f t="shared" si="8"/>
        <v>139.19999999999709</v>
      </c>
      <c r="H119" s="99">
        <f>G119+'17'!H119</f>
        <v>4134.1999999999971</v>
      </c>
      <c r="I119" s="165"/>
      <c r="J119" s="328">
        <f>H119/DAY(B2)</f>
        <v>229.67777777777761</v>
      </c>
    </row>
    <row r="120" spans="1:18" ht="27.75" customHeight="1">
      <c r="A120" s="897" t="s">
        <v>99</v>
      </c>
      <c r="B120" s="897"/>
      <c r="C120" s="897"/>
      <c r="D120" s="151" t="s">
        <v>183</v>
      </c>
      <c r="E120" s="95">
        <f>'17'!F120</f>
        <v>53308</v>
      </c>
      <c r="F120" s="237">
        <v>53704.6</v>
      </c>
      <c r="G120" s="432">
        <f t="shared" si="8"/>
        <v>396.59999999999854</v>
      </c>
      <c r="H120" s="99">
        <f>G120+'17'!H120</f>
        <v>7437.5999999999985</v>
      </c>
      <c r="I120" s="165"/>
      <c r="J120" s="328">
        <f>H120/DAY(B2)</f>
        <v>413.19999999999993</v>
      </c>
    </row>
    <row r="121" spans="1:18" ht="27.75" customHeight="1">
      <c r="A121" s="897" t="s">
        <v>100</v>
      </c>
      <c r="B121" s="897"/>
      <c r="C121" s="897"/>
      <c r="D121" s="151" t="s">
        <v>183</v>
      </c>
      <c r="E121" s="95">
        <f>'17'!F121</f>
        <v>61581</v>
      </c>
      <c r="F121" s="237">
        <v>62029.69</v>
      </c>
      <c r="G121" s="432">
        <f t="shared" si="8"/>
        <v>448.69000000000233</v>
      </c>
      <c r="H121" s="99">
        <f>G121+'17'!H121</f>
        <v>8486.6900000000023</v>
      </c>
      <c r="I121" s="165"/>
      <c r="J121" s="328">
        <f>H121/DAY(B2)</f>
        <v>471.48277777777793</v>
      </c>
    </row>
    <row r="122" spans="1:18" ht="27.75" customHeight="1">
      <c r="A122" s="897" t="s">
        <v>101</v>
      </c>
      <c r="B122" s="897"/>
      <c r="C122" s="897"/>
      <c r="D122" s="151" t="s">
        <v>183</v>
      </c>
      <c r="E122" s="95">
        <f>'17'!F122</f>
        <v>34045</v>
      </c>
      <c r="F122" s="237">
        <v>34410.089999999997</v>
      </c>
      <c r="G122" s="432">
        <f t="shared" si="8"/>
        <v>365.08999999999651</v>
      </c>
      <c r="H122" s="99">
        <f>G122+'17'!H122</f>
        <v>5736.0899999999965</v>
      </c>
      <c r="I122" s="165"/>
      <c r="J122" s="328">
        <f>H122/DAY(B2)</f>
        <v>318.67166666666645</v>
      </c>
    </row>
    <row r="123" spans="1:18" ht="27.75" customHeight="1">
      <c r="A123" s="897" t="s">
        <v>102</v>
      </c>
      <c r="B123" s="897"/>
      <c r="C123" s="897"/>
      <c r="D123" s="151" t="s">
        <v>183</v>
      </c>
      <c r="E123" s="95">
        <f>'17'!F123</f>
        <v>35730</v>
      </c>
      <c r="F123" s="237">
        <v>36041.699999999997</v>
      </c>
      <c r="G123" s="432">
        <f t="shared" si="8"/>
        <v>311.69999999999709</v>
      </c>
      <c r="H123" s="99">
        <f>G123+'17'!H123</f>
        <v>5853.6999999999971</v>
      </c>
      <c r="I123" s="165"/>
      <c r="J123" s="328">
        <f>H123/DAY(B2)</f>
        <v>325.20555555555541</v>
      </c>
    </row>
    <row r="124" spans="1:18" ht="27.75" customHeight="1">
      <c r="A124" s="902"/>
      <c r="B124" s="903"/>
      <c r="C124" s="904"/>
      <c r="D124" s="165"/>
      <c r="E124" s="95">
        <f>'17'!F124</f>
        <v>0</v>
      </c>
      <c r="F124" s="165"/>
      <c r="G124" s="452"/>
      <c r="H124" s="99">
        <f>G124+'17'!H124</f>
        <v>0</v>
      </c>
      <c r="I124" s="165"/>
      <c r="J124" s="327"/>
    </row>
    <row r="125" spans="1:18" ht="27.75" customHeight="1">
      <c r="A125" s="880" t="s">
        <v>196</v>
      </c>
      <c r="B125" s="881"/>
      <c r="C125" s="245"/>
      <c r="D125" s="307"/>
      <c r="E125" s="308"/>
      <c r="F125" s="308"/>
      <c r="G125" s="453">
        <f>SUM(G112:G124)</f>
        <v>3379.5499999999829</v>
      </c>
      <c r="H125" s="156"/>
      <c r="I125" s="327">
        <f>G125-(G39+G53)</f>
        <v>-789.73999999996704</v>
      </c>
      <c r="J125" s="327"/>
    </row>
    <row r="126" spans="1:18" ht="27.75" customHeight="1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7.75" customHeight="1">
      <c r="A127" s="885"/>
      <c r="B127" s="885"/>
      <c r="C127" s="245"/>
      <c r="D127" s="307"/>
      <c r="E127" s="308"/>
      <c r="F127" s="308"/>
      <c r="G127" s="453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898" t="s">
        <v>318</v>
      </c>
      <c r="B128" s="899"/>
      <c r="C128" s="900"/>
      <c r="D128" s="151" t="s">
        <v>183</v>
      </c>
      <c r="E128" s="95">
        <f>'17'!F128</f>
        <v>136341</v>
      </c>
      <c r="F128" s="165">
        <v>136747.45000000001</v>
      </c>
      <c r="G128" s="432">
        <f t="shared" ref="G128:G134" si="9">F128-E128</f>
        <v>406.45000000001164</v>
      </c>
      <c r="H128" s="99">
        <f>G128+'17'!H128</f>
        <v>9103.4500000000116</v>
      </c>
      <c r="I128" s="165"/>
      <c r="J128" s="328">
        <f>H128/DAY(B2)</f>
        <v>505.74722222222289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75786</v>
      </c>
      <c r="F129" s="165">
        <v>76006.23</v>
      </c>
      <c r="G129" s="432">
        <f t="shared" si="9"/>
        <v>220.22999999999593</v>
      </c>
      <c r="H129" s="99">
        <f>G129+'17'!H129</f>
        <v>3503.2299999999959</v>
      </c>
      <c r="I129" s="165"/>
      <c r="J129" s="328">
        <f>H129/DAY(B2)</f>
        <v>194.62388888888867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176312</v>
      </c>
      <c r="F130" s="165">
        <v>176979.89</v>
      </c>
      <c r="G130" s="432">
        <f t="shared" si="9"/>
        <v>667.89000000001397</v>
      </c>
      <c r="H130" s="99">
        <f>G130+'17'!H130</f>
        <v>11844.369999999995</v>
      </c>
      <c r="I130" s="165"/>
      <c r="J130" s="328">
        <f>H130/DAY(B2)</f>
        <v>658.02055555555535</v>
      </c>
      <c r="N130" s="240"/>
      <c r="O130" s="241"/>
    </row>
    <row r="131" spans="1:15" ht="27.75" customHeight="1">
      <c r="A131" s="898" t="s">
        <v>321</v>
      </c>
      <c r="B131" s="899"/>
      <c r="C131" s="900"/>
      <c r="D131" s="151" t="s">
        <v>183</v>
      </c>
      <c r="E131" s="95">
        <f>'17'!F131</f>
        <v>51649</v>
      </c>
      <c r="F131" s="158">
        <v>51817.3</v>
      </c>
      <c r="G131" s="432">
        <f t="shared" si="9"/>
        <v>168.30000000000291</v>
      </c>
      <c r="H131" s="99">
        <f>G131+'17'!H131</f>
        <v>3368.3000000000029</v>
      </c>
      <c r="I131" s="165"/>
      <c r="J131" s="328">
        <f>H131/DAY(B2)</f>
        <v>187.12777777777794</v>
      </c>
      <c r="N131" s="240"/>
      <c r="O131" s="241"/>
    </row>
    <row r="132" spans="1:15" ht="27.75" customHeight="1">
      <c r="A132" s="898" t="s">
        <v>322</v>
      </c>
      <c r="B132" s="899"/>
      <c r="C132" s="900"/>
      <c r="D132" s="151" t="s">
        <v>183</v>
      </c>
      <c r="E132" s="95">
        <f>'17'!F132</f>
        <v>135129</v>
      </c>
      <c r="F132" s="158">
        <v>135538.89000000001</v>
      </c>
      <c r="G132" s="432">
        <f t="shared" si="9"/>
        <v>409.89000000001397</v>
      </c>
      <c r="H132" s="99">
        <f>G132+'17'!H132</f>
        <v>7364.890000000014</v>
      </c>
      <c r="I132" s="165"/>
      <c r="J132" s="328">
        <f>H132/DAY(B2)</f>
        <v>409.16055555555636</v>
      </c>
    </row>
    <row r="133" spans="1:15" ht="27.75" customHeight="1">
      <c r="A133" s="898" t="s">
        <v>359</v>
      </c>
      <c r="B133" s="899"/>
      <c r="C133" s="900"/>
      <c r="D133" s="151" t="s">
        <v>183</v>
      </c>
      <c r="E133" s="95">
        <f>'17'!F133</f>
        <v>228600</v>
      </c>
      <c r="F133" s="165">
        <v>229430</v>
      </c>
      <c r="G133" s="432">
        <f t="shared" si="9"/>
        <v>830</v>
      </c>
      <c r="H133" s="99">
        <f>G133+'17'!H133</f>
        <v>7025.429999999993</v>
      </c>
      <c r="I133" s="165"/>
      <c r="J133" s="328">
        <f>H133/DAY(B2)</f>
        <v>390.30166666666628</v>
      </c>
    </row>
    <row r="134" spans="1:15" ht="27.75" customHeight="1">
      <c r="A134" s="898" t="s">
        <v>340</v>
      </c>
      <c r="B134" s="899"/>
      <c r="C134" s="900"/>
      <c r="D134" s="151" t="s">
        <v>183</v>
      </c>
      <c r="E134" s="95">
        <f>'17'!F134</f>
        <v>52701</v>
      </c>
      <c r="F134" s="158">
        <v>52941.2</v>
      </c>
      <c r="G134" s="432">
        <f t="shared" si="9"/>
        <v>240.19999999999709</v>
      </c>
      <c r="H134" s="99">
        <f>G134+'17'!H134</f>
        <v>3906.1999999999971</v>
      </c>
      <c r="I134" s="165"/>
      <c r="J134" s="328">
        <f>H134/DAY(B2)</f>
        <v>217.01111111111095</v>
      </c>
    </row>
    <row r="135" spans="1:15" ht="27.75" customHeight="1">
      <c r="A135" s="880" t="s">
        <v>196</v>
      </c>
      <c r="B135" s="881"/>
      <c r="C135" s="331"/>
      <c r="D135" s="151"/>
      <c r="E135" s="95"/>
      <c r="F135" s="165"/>
      <c r="G135" s="432">
        <f>SUM(G128:G134)</f>
        <v>2942.9600000000355</v>
      </c>
      <c r="H135" s="99">
        <f>G135+'10'!H135</f>
        <v>24741.930000000022</v>
      </c>
      <c r="I135" s="327">
        <f>G135-(G35+G49)</f>
        <v>-854.90999999995984</v>
      </c>
      <c r="J135" s="328"/>
    </row>
    <row r="136" spans="1:15" ht="27.75" customHeight="1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7.75" customHeight="1">
      <c r="A137" s="245"/>
      <c r="B137" s="246"/>
      <c r="C137" s="246"/>
      <c r="D137" s="165"/>
      <c r="E137" s="165"/>
      <c r="F137" s="165"/>
      <c r="G137" s="452"/>
      <c r="H137" s="156"/>
      <c r="I137" s="165"/>
      <c r="J137" s="327"/>
    </row>
    <row r="138" spans="1:15" ht="27.75" customHeight="1">
      <c r="A138" s="897" t="s">
        <v>185</v>
      </c>
      <c r="B138" s="897"/>
      <c r="C138" s="897"/>
      <c r="D138" s="151" t="s">
        <v>183</v>
      </c>
      <c r="E138" s="95">
        <f>'17'!F138</f>
        <v>893528</v>
      </c>
      <c r="F138" s="147">
        <v>893672</v>
      </c>
      <c r="G138" s="432">
        <f t="shared" ref="G138:G152" si="10">F138-E138</f>
        <v>144</v>
      </c>
      <c r="H138" s="99">
        <f>G138+'17'!H138</f>
        <v>2561</v>
      </c>
      <c r="I138" s="118"/>
      <c r="J138" s="328">
        <f>H138/DAY(B2)</f>
        <v>142.27777777777777</v>
      </c>
    </row>
    <row r="139" spans="1:15" ht="27.75" customHeight="1">
      <c r="A139" s="897" t="s">
        <v>186</v>
      </c>
      <c r="B139" s="897"/>
      <c r="C139" s="897"/>
      <c r="D139" s="151" t="s">
        <v>183</v>
      </c>
      <c r="E139" s="95">
        <f>'17'!F139</f>
        <v>911511</v>
      </c>
      <c r="F139" s="148">
        <v>911685</v>
      </c>
      <c r="G139" s="432">
        <f t="shared" si="10"/>
        <v>174</v>
      </c>
      <c r="H139" s="99">
        <f>G139+'17'!H139</f>
        <v>2790</v>
      </c>
      <c r="I139" s="118"/>
      <c r="J139" s="328">
        <f>H139/DAY(B2)</f>
        <v>155</v>
      </c>
    </row>
    <row r="140" spans="1:15" ht="27.75" customHeight="1">
      <c r="A140" s="897" t="s">
        <v>187</v>
      </c>
      <c r="B140" s="897"/>
      <c r="C140" s="897"/>
      <c r="D140" s="151" t="s">
        <v>183</v>
      </c>
      <c r="E140" s="95">
        <f>'17'!F140</f>
        <v>1753</v>
      </c>
      <c r="F140" s="149">
        <v>1769</v>
      </c>
      <c r="G140" s="432">
        <f t="shared" si="10"/>
        <v>16</v>
      </c>
      <c r="H140" s="99">
        <f>G140+'17'!H140</f>
        <v>256</v>
      </c>
      <c r="I140" s="118"/>
      <c r="J140" s="328">
        <f>H140/DAY(B2)</f>
        <v>14.222222222222221</v>
      </c>
    </row>
    <row r="141" spans="1:15" ht="27.75" customHeight="1">
      <c r="A141" s="876" t="s">
        <v>188</v>
      </c>
      <c r="B141" s="876"/>
      <c r="C141" s="876"/>
      <c r="D141" s="151" t="s">
        <v>183</v>
      </c>
      <c r="E141" s="95">
        <f>'17'!F141</f>
        <v>93851</v>
      </c>
      <c r="F141" s="149">
        <v>94051.3</v>
      </c>
      <c r="G141" s="432">
        <f t="shared" si="10"/>
        <v>200.30000000000291</v>
      </c>
      <c r="H141" s="99">
        <f>G141+'17'!H141</f>
        <v>3599.3000000000029</v>
      </c>
      <c r="I141" s="118"/>
      <c r="J141" s="328">
        <f>H141/DAY(B2)</f>
        <v>199.96111111111128</v>
      </c>
    </row>
    <row r="142" spans="1:15" ht="27.75" customHeight="1">
      <c r="A142" s="876" t="s">
        <v>189</v>
      </c>
      <c r="B142" s="876"/>
      <c r="C142" s="876"/>
      <c r="D142" s="151" t="s">
        <v>183</v>
      </c>
      <c r="E142" s="95">
        <f>'17'!F142</f>
        <v>38063</v>
      </c>
      <c r="F142" s="148">
        <v>38142.129999999997</v>
      </c>
      <c r="G142" s="432">
        <f t="shared" si="10"/>
        <v>79.129999999997381</v>
      </c>
      <c r="H142" s="99">
        <f>G142+'17'!H142</f>
        <v>1481.1299999999974</v>
      </c>
      <c r="I142" s="140"/>
      <c r="J142" s="328">
        <f>H142/DAY(B2)</f>
        <v>82.284999999999854</v>
      </c>
    </row>
    <row r="143" spans="1:15" ht="27.75" customHeight="1">
      <c r="A143" s="897" t="s">
        <v>91</v>
      </c>
      <c r="B143" s="897"/>
      <c r="C143" s="897"/>
      <c r="D143" s="151" t="s">
        <v>183</v>
      </c>
      <c r="E143" s="95">
        <f>'17'!F143</f>
        <v>9491</v>
      </c>
      <c r="F143" s="149">
        <v>9518.83</v>
      </c>
      <c r="G143" s="432">
        <f t="shared" si="10"/>
        <v>27.829999999999927</v>
      </c>
      <c r="H143" s="99">
        <f>G143+'17'!H143</f>
        <v>467.82999999999993</v>
      </c>
      <c r="I143" s="140"/>
      <c r="J143" s="328">
        <f>H143/DAY(B2)</f>
        <v>25.990555555555552</v>
      </c>
    </row>
    <row r="144" spans="1:15" ht="27.75" customHeight="1">
      <c r="A144" s="876" t="s">
        <v>90</v>
      </c>
      <c r="B144" s="876"/>
      <c r="C144" s="876"/>
      <c r="D144" s="151" t="s">
        <v>183</v>
      </c>
      <c r="E144" s="95">
        <f>'17'!F144</f>
        <v>923596</v>
      </c>
      <c r="F144" s="148">
        <v>923822</v>
      </c>
      <c r="G144" s="432">
        <f t="shared" si="10"/>
        <v>226</v>
      </c>
      <c r="H144" s="99">
        <f>G144+'17'!H144</f>
        <v>3985</v>
      </c>
      <c r="I144" s="140"/>
      <c r="J144" s="328">
        <f>H144/DAY(B2)</f>
        <v>221.38888888888889</v>
      </c>
    </row>
    <row r="145" spans="1:10" ht="27.75" customHeight="1">
      <c r="A145" s="897" t="s">
        <v>190</v>
      </c>
      <c r="B145" s="897"/>
      <c r="C145" s="897"/>
      <c r="D145" s="152" t="s">
        <v>183</v>
      </c>
      <c r="E145" s="95">
        <f>'17'!F145</f>
        <v>6331</v>
      </c>
      <c r="F145" s="149">
        <v>6369.43</v>
      </c>
      <c r="G145" s="432">
        <f t="shared" si="10"/>
        <v>38.430000000000291</v>
      </c>
      <c r="H145" s="99">
        <f>G145+'17'!H145</f>
        <v>562.43000000000029</v>
      </c>
      <c r="I145" s="140"/>
      <c r="J145" s="328">
        <f>H145/DAY(B2)</f>
        <v>31.246111111111126</v>
      </c>
    </row>
    <row r="146" spans="1:10" ht="27.75" customHeight="1">
      <c r="A146" s="932" t="s">
        <v>191</v>
      </c>
      <c r="B146" s="917"/>
      <c r="C146" s="918"/>
      <c r="D146" s="152" t="s">
        <v>183</v>
      </c>
      <c r="E146" s="95">
        <f>'17'!F146</f>
        <v>782125</v>
      </c>
      <c r="F146" s="148">
        <v>782175</v>
      </c>
      <c r="G146" s="432">
        <f t="shared" si="10"/>
        <v>50</v>
      </c>
      <c r="H146" s="99">
        <f>G146+'17'!H146</f>
        <v>1375</v>
      </c>
      <c r="I146" s="140"/>
      <c r="J146" s="328">
        <f>H146/DAY(B2)</f>
        <v>76.388888888888886</v>
      </c>
    </row>
    <row r="147" spans="1:10" ht="27.75" customHeight="1">
      <c r="A147" s="876" t="s">
        <v>192</v>
      </c>
      <c r="B147" s="876"/>
      <c r="C147" s="876"/>
      <c r="D147" s="152" t="s">
        <v>183</v>
      </c>
      <c r="E147" s="95">
        <f>'17'!F147</f>
        <v>706327</v>
      </c>
      <c r="F147" s="148">
        <v>706704.48</v>
      </c>
      <c r="G147" s="432">
        <f t="shared" si="10"/>
        <v>377.47999999998137</v>
      </c>
      <c r="H147" s="99">
        <f>G147+'17'!H147</f>
        <v>6935.4799999999814</v>
      </c>
      <c r="I147" s="140"/>
      <c r="J147" s="328">
        <f>H147/DAY(B2)</f>
        <v>385.30444444444339</v>
      </c>
    </row>
    <row r="148" spans="1:10" ht="27.75" customHeight="1">
      <c r="A148" s="877" t="s">
        <v>193</v>
      </c>
      <c r="B148" s="878"/>
      <c r="C148" s="879"/>
      <c r="D148" s="123" t="s">
        <v>130</v>
      </c>
      <c r="E148" s="95">
        <f>'17'!F148</f>
        <v>753677</v>
      </c>
      <c r="F148" s="150">
        <v>753979.5</v>
      </c>
      <c r="G148" s="432">
        <f t="shared" si="10"/>
        <v>302.5</v>
      </c>
      <c r="H148" s="99">
        <f>G148+'17'!H148</f>
        <v>5449.5</v>
      </c>
      <c r="I148" s="124"/>
      <c r="J148" s="328">
        <f>H148/DAY(B2)</f>
        <v>302.75</v>
      </c>
    </row>
    <row r="149" spans="1:10" ht="27.75" customHeight="1">
      <c r="A149" s="877" t="s">
        <v>336</v>
      </c>
      <c r="B149" s="878"/>
      <c r="C149" s="879"/>
      <c r="D149" s="227" t="s">
        <v>130</v>
      </c>
      <c r="E149" s="95">
        <f>'17'!F149</f>
        <v>140456</v>
      </c>
      <c r="F149" s="416">
        <v>140895</v>
      </c>
      <c r="G149" s="432">
        <f t="shared" si="10"/>
        <v>439</v>
      </c>
      <c r="H149" s="99">
        <f>G149+'17'!H149</f>
        <v>8461</v>
      </c>
      <c r="I149" s="119"/>
      <c r="J149" s="328">
        <f>H149/DAY(B2)</f>
        <v>470.05555555555554</v>
      </c>
    </row>
    <row r="150" spans="1:10" ht="27.75" customHeight="1">
      <c r="A150" s="877" t="s">
        <v>337</v>
      </c>
      <c r="B150" s="878"/>
      <c r="C150" s="879"/>
      <c r="D150" s="117" t="s">
        <v>130</v>
      </c>
      <c r="E150" s="95">
        <f>'17'!F150</f>
        <v>54392</v>
      </c>
      <c r="F150" s="233">
        <v>54609.42</v>
      </c>
      <c r="G150" s="432">
        <f t="shared" si="10"/>
        <v>217.41999999999825</v>
      </c>
      <c r="H150" s="99">
        <f>G150+'17'!H150</f>
        <v>3994.4199999999983</v>
      </c>
      <c r="I150" s="119"/>
      <c r="J150" s="328">
        <f>H150/DAY(B2)</f>
        <v>221.91222222222211</v>
      </c>
    </row>
    <row r="151" spans="1:10" ht="27.75" customHeight="1">
      <c r="A151" s="877" t="s">
        <v>338</v>
      </c>
      <c r="B151" s="878"/>
      <c r="C151" s="879"/>
      <c r="D151" s="117" t="s">
        <v>130</v>
      </c>
      <c r="E151" s="95">
        <f>'17'!F151</f>
        <v>140061</v>
      </c>
      <c r="F151" s="233">
        <v>140290</v>
      </c>
      <c r="G151" s="432">
        <f t="shared" si="10"/>
        <v>229</v>
      </c>
      <c r="H151" s="99">
        <f>G151+'17'!H151</f>
        <v>4841</v>
      </c>
      <c r="I151" s="119"/>
      <c r="J151" s="328">
        <f>H151/DAY(B2)</f>
        <v>268.94444444444446</v>
      </c>
    </row>
    <row r="152" spans="1:10" ht="27.75" customHeight="1">
      <c r="A152" s="877" t="s">
        <v>339</v>
      </c>
      <c r="B152" s="878"/>
      <c r="C152" s="879"/>
      <c r="D152" s="117" t="s">
        <v>130</v>
      </c>
      <c r="E152" s="95">
        <f>'17'!F152</f>
        <v>25192</v>
      </c>
      <c r="F152" s="233">
        <v>25312.46</v>
      </c>
      <c r="G152" s="432">
        <f t="shared" si="10"/>
        <v>120.45999999999913</v>
      </c>
      <c r="H152" s="99">
        <f>G152+'17'!H152</f>
        <v>2158.4599999999991</v>
      </c>
      <c r="I152" s="119"/>
      <c r="J152" s="328">
        <f>H152/DAY(B2)</f>
        <v>119.9144444444444</v>
      </c>
    </row>
    <row r="153" spans="1:10" ht="27.75" customHeight="1">
      <c r="A153" s="880" t="s">
        <v>196</v>
      </c>
      <c r="B153" s="881"/>
      <c r="C153" s="365"/>
      <c r="D153" s="358"/>
      <c r="E153" s="360"/>
      <c r="F153" s="361"/>
      <c r="G153" s="454">
        <f>SUM(G138:G152)</f>
        <v>2641.5499999999793</v>
      </c>
      <c r="H153" s="363"/>
      <c r="I153" s="119">
        <f>G153-(G38+G52)</f>
        <v>506.23999999998159</v>
      </c>
      <c r="J153" s="366"/>
    </row>
    <row r="154" spans="1:10" ht="27.75" customHeight="1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 customHeight="1">
      <c r="A155" s="876" t="s">
        <v>345</v>
      </c>
      <c r="B155" s="876"/>
      <c r="C155" s="876"/>
      <c r="D155" s="117" t="s">
        <v>130</v>
      </c>
      <c r="E155" s="95">
        <f>'17'!F155</f>
        <v>159038</v>
      </c>
      <c r="F155" s="389">
        <v>159637.79999999999</v>
      </c>
      <c r="G155" s="432">
        <f t="shared" ref="G155:G157" si="11">F155-E155</f>
        <v>599.79999999998836</v>
      </c>
      <c r="H155" s="99">
        <f>G155+'17'!H155</f>
        <v>11488.799999999988</v>
      </c>
      <c r="I155" s="364"/>
      <c r="J155" s="328">
        <f>H155/DAY(B2)</f>
        <v>638.26666666666597</v>
      </c>
    </row>
    <row r="156" spans="1:10" ht="27.75" customHeight="1">
      <c r="A156" s="876" t="s">
        <v>347</v>
      </c>
      <c r="B156" s="876"/>
      <c r="C156" s="876"/>
      <c r="D156" s="117" t="s">
        <v>130</v>
      </c>
      <c r="E156" s="95">
        <f>'17'!F156</f>
        <v>16407</v>
      </c>
      <c r="F156" s="155">
        <v>16562.650000000001</v>
      </c>
      <c r="G156" s="432">
        <f t="shared" si="11"/>
        <v>155.65000000000146</v>
      </c>
      <c r="H156" s="99">
        <f>G156+'17'!H156</f>
        <v>1828.6500000000015</v>
      </c>
      <c r="I156" s="165"/>
      <c r="J156" s="328">
        <f>H156/DAY(B2)</f>
        <v>101.59166666666675</v>
      </c>
    </row>
    <row r="157" spans="1:10" ht="27.75" customHeight="1">
      <c r="A157" s="877" t="s">
        <v>360</v>
      </c>
      <c r="B157" s="878"/>
      <c r="C157" s="879"/>
      <c r="D157" s="117" t="s">
        <v>130</v>
      </c>
      <c r="E157" s="95">
        <f>'17'!F157</f>
        <v>29844</v>
      </c>
      <c r="F157" s="155">
        <v>29955.08</v>
      </c>
      <c r="G157" s="432">
        <f t="shared" si="11"/>
        <v>111.08000000000175</v>
      </c>
      <c r="H157" s="99">
        <f>G157+'17'!H157</f>
        <v>2509.0800000000017</v>
      </c>
      <c r="I157" s="165"/>
      <c r="J157" s="328">
        <f>H157/DAY(B2)</f>
        <v>139.39333333333343</v>
      </c>
    </row>
    <row r="158" spans="1:10" ht="27.75" customHeight="1">
      <c r="A158" s="877" t="s">
        <v>361</v>
      </c>
      <c r="B158" s="878"/>
      <c r="C158" s="879"/>
      <c r="D158" s="117" t="s">
        <v>130</v>
      </c>
      <c r="E158" s="95">
        <f>'17'!F158</f>
        <v>241</v>
      </c>
      <c r="F158" s="155">
        <v>241.34</v>
      </c>
      <c r="G158" s="432">
        <f t="shared" ref="G158" si="12">F158-E158</f>
        <v>0.34000000000000341</v>
      </c>
      <c r="H158" s="99">
        <f>G158+'17'!H158</f>
        <v>152.91999999999999</v>
      </c>
      <c r="I158" s="165"/>
      <c r="J158" s="328">
        <f>H158/DAY(B2)</f>
        <v>8.4955555555555549</v>
      </c>
    </row>
    <row r="159" spans="1:10" ht="27.75" customHeight="1">
      <c r="A159" s="962"/>
      <c r="B159" s="963"/>
      <c r="C159" s="964"/>
      <c r="D159" s="117"/>
      <c r="E159" s="95"/>
      <c r="F159" s="165"/>
      <c r="G159" s="432"/>
      <c r="H159" s="99"/>
      <c r="I159" s="165"/>
      <c r="J159" s="328"/>
    </row>
    <row r="160" spans="1:10" ht="27.75" customHeight="1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6" ht="27.75" customHeight="1">
      <c r="A161" s="242" t="s">
        <v>92</v>
      </c>
      <c r="B161" s="243"/>
      <c r="C161" s="243"/>
      <c r="D161" s="244" t="s">
        <v>180</v>
      </c>
      <c r="E161" s="95">
        <f>'17'!F161</f>
        <v>481047</v>
      </c>
      <c r="F161" s="235">
        <v>481106.6</v>
      </c>
      <c r="G161" s="455">
        <f t="shared" ref="G161:G166" si="13">F161-E161</f>
        <v>59.599999999976717</v>
      </c>
      <c r="H161" s="99">
        <f>G161+'17'!H161</f>
        <v>59.599999999976717</v>
      </c>
      <c r="I161" s="236"/>
      <c r="J161" s="239">
        <f>H161/DAY(B2)</f>
        <v>3.3111111111098177</v>
      </c>
    </row>
    <row r="162" spans="1:16" ht="27.75" customHeight="1">
      <c r="A162" s="242" t="s">
        <v>93</v>
      </c>
      <c r="B162" s="243"/>
      <c r="C162" s="243"/>
      <c r="D162" s="244" t="s">
        <v>180</v>
      </c>
      <c r="E162" s="95">
        <f>'17'!F162</f>
        <v>95600</v>
      </c>
      <c r="F162" s="235">
        <v>95651.199999999997</v>
      </c>
      <c r="G162" s="455">
        <f t="shared" si="13"/>
        <v>51.19999999999709</v>
      </c>
      <c r="H162" s="99">
        <f>G162+'17'!H162</f>
        <v>723.19999999999709</v>
      </c>
      <c r="I162" s="236"/>
      <c r="J162" s="239">
        <f>H162/DAY(B2)</f>
        <v>40.177777777777614</v>
      </c>
    </row>
    <row r="163" spans="1:16" ht="27.75" customHeight="1">
      <c r="A163" s="242" t="s">
        <v>197</v>
      </c>
      <c r="B163" s="243"/>
      <c r="C163" s="243"/>
      <c r="D163" s="244" t="s">
        <v>180</v>
      </c>
      <c r="E163" s="95">
        <f>'17'!F163</f>
        <v>8454</v>
      </c>
      <c r="F163" s="235">
        <v>8562.7999999999993</v>
      </c>
      <c r="G163" s="455">
        <f t="shared" si="13"/>
        <v>108.79999999999927</v>
      </c>
      <c r="H163" s="99">
        <f>G163+'17'!H163</f>
        <v>2061.7999999999993</v>
      </c>
      <c r="I163" s="236"/>
      <c r="J163" s="239">
        <f>H163/DAY(B2)</f>
        <v>114.54444444444441</v>
      </c>
    </row>
    <row r="164" spans="1:16" ht="27.75" customHeight="1">
      <c r="A164" s="242" t="s">
        <v>197</v>
      </c>
      <c r="B164" s="243"/>
      <c r="C164" s="243"/>
      <c r="D164" s="244" t="s">
        <v>180</v>
      </c>
      <c r="E164" s="95">
        <f>'17'!F164</f>
        <v>6321</v>
      </c>
      <c r="F164" s="235">
        <v>6327</v>
      </c>
      <c r="G164" s="455">
        <f t="shared" si="13"/>
        <v>6</v>
      </c>
      <c r="H164" s="99">
        <f>G164+'17'!H164</f>
        <v>47</v>
      </c>
      <c r="I164" s="236"/>
      <c r="J164" s="239">
        <f>H164/DAY(B2)</f>
        <v>2.6111111111111112</v>
      </c>
    </row>
    <row r="165" spans="1:16" ht="27.75" customHeight="1">
      <c r="A165" s="242" t="s">
        <v>309</v>
      </c>
      <c r="B165" s="243"/>
      <c r="C165" s="243"/>
      <c r="D165" s="244" t="s">
        <v>180</v>
      </c>
      <c r="E165" s="95">
        <f>'17'!F165</f>
        <v>31763</v>
      </c>
      <c r="F165" s="235">
        <v>31771.39</v>
      </c>
      <c r="G165" s="455">
        <f t="shared" si="13"/>
        <v>8.3899999999994179</v>
      </c>
      <c r="H165" s="99">
        <f>G165+'17'!H165</f>
        <v>137.38999999999942</v>
      </c>
      <c r="I165" s="236"/>
      <c r="J165" s="239">
        <f>H165/DAY(B2)</f>
        <v>7.6327777777777452</v>
      </c>
    </row>
    <row r="166" spans="1:16" ht="27.75" customHeight="1">
      <c r="A166" s="885"/>
      <c r="B166" s="885"/>
      <c r="C166" s="246"/>
      <c r="D166" s="244" t="s">
        <v>180</v>
      </c>
      <c r="E166" s="95">
        <f>'17'!F166</f>
        <v>0</v>
      </c>
      <c r="F166" s="165"/>
      <c r="G166" s="452">
        <f t="shared" si="13"/>
        <v>0</v>
      </c>
      <c r="H166" s="99">
        <f>G166+'17'!H166</f>
        <v>0</v>
      </c>
      <c r="I166" s="165"/>
      <c r="J166" s="239">
        <f>H166/DAY(B2)</f>
        <v>0</v>
      </c>
    </row>
    <row r="167" spans="1:16" ht="27.75" customHeight="1">
      <c r="A167" s="885"/>
      <c r="B167" s="885"/>
      <c r="C167" s="246"/>
      <c r="D167" s="244" t="s">
        <v>180</v>
      </c>
      <c r="E167" s="95">
        <f>'17'!F167</f>
        <v>0</v>
      </c>
      <c r="F167" s="165"/>
      <c r="G167" s="452"/>
      <c r="H167" s="99">
        <f>G167+'17'!H167</f>
        <v>0</v>
      </c>
      <c r="I167" s="165"/>
      <c r="J167" s="239">
        <f>H167/DAY(B2)</f>
        <v>0</v>
      </c>
    </row>
    <row r="168" spans="1:16" ht="27.75" customHeight="1">
      <c r="A168" s="885"/>
      <c r="B168" s="885"/>
      <c r="C168" s="246"/>
      <c r="D168" s="244" t="s">
        <v>180</v>
      </c>
      <c r="E168" s="95">
        <f>'17'!F168</f>
        <v>0</v>
      </c>
      <c r="F168" s="165"/>
      <c r="G168" s="452"/>
      <c r="H168" s="99">
        <f>G168+'17'!H168</f>
        <v>0</v>
      </c>
      <c r="I168" s="165"/>
      <c r="J168" s="239">
        <f>H168/DAY(B2)</f>
        <v>0</v>
      </c>
    </row>
    <row r="171" spans="1:16" ht="27.75" customHeight="1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6" ht="27.75" customHeight="1">
      <c r="A172" s="895"/>
      <c r="B172" s="896"/>
      <c r="C172" s="332"/>
      <c r="D172" s="228"/>
      <c r="E172" s="155"/>
      <c r="F172" s="155"/>
      <c r="G172" s="456"/>
      <c r="H172" s="156"/>
      <c r="I172" s="155"/>
      <c r="J172" s="178"/>
    </row>
    <row r="173" spans="1:16" ht="27.75" customHeight="1">
      <c r="A173" s="891" t="s">
        <v>209</v>
      </c>
      <c r="B173" s="892"/>
      <c r="C173" s="333"/>
      <c r="D173" s="228" t="s">
        <v>142</v>
      </c>
      <c r="E173" s="95">
        <f>'17'!F173</f>
        <v>8276</v>
      </c>
      <c r="F173" s="155">
        <v>8276</v>
      </c>
      <c r="G173" s="456">
        <f>F173-E173</f>
        <v>0</v>
      </c>
      <c r="H173" s="99">
        <f>G173+'17'!H173</f>
        <v>41</v>
      </c>
      <c r="I173" s="155"/>
      <c r="J173" s="178">
        <f>H173/DAY(B2)</f>
        <v>2.2777777777777777</v>
      </c>
    </row>
    <row r="174" spans="1:16" ht="27.75" customHeight="1">
      <c r="A174" s="891" t="s">
        <v>75</v>
      </c>
      <c r="B174" s="892"/>
      <c r="C174" s="333"/>
      <c r="D174" s="228" t="s">
        <v>142</v>
      </c>
      <c r="E174" s="95">
        <f>'17'!F174</f>
        <v>41437</v>
      </c>
      <c r="F174" s="157">
        <v>41448</v>
      </c>
      <c r="G174" s="457">
        <f t="shared" ref="G174:G175" si="14">F174-E174</f>
        <v>11</v>
      </c>
      <c r="H174" s="99">
        <f>G174+'17'!H174</f>
        <v>244</v>
      </c>
      <c r="I174" s="155"/>
      <c r="J174" s="178">
        <f>H174/DAY(B2)</f>
        <v>13.555555555555555</v>
      </c>
      <c r="P174" s="65">
        <v>800561</v>
      </c>
    </row>
    <row r="175" spans="1:16" ht="27.75" customHeight="1">
      <c r="A175" s="891" t="s">
        <v>76</v>
      </c>
      <c r="B175" s="931"/>
      <c r="C175" s="892"/>
      <c r="D175" s="228" t="s">
        <v>142</v>
      </c>
      <c r="E175" s="95">
        <f>'17'!F175</f>
        <v>24224</v>
      </c>
      <c r="F175" s="155">
        <v>24234</v>
      </c>
      <c r="G175" s="456">
        <f t="shared" si="14"/>
        <v>10</v>
      </c>
      <c r="H175" s="99">
        <f>G175+'17'!H175</f>
        <v>203</v>
      </c>
      <c r="I175" s="155"/>
      <c r="J175" s="178">
        <f>H175/DAY(B2)</f>
        <v>11.277777777777779</v>
      </c>
    </row>
    <row r="176" spans="1:16" ht="27.75" customHeight="1">
      <c r="A176" s="880" t="s">
        <v>196</v>
      </c>
      <c r="B176" s="881"/>
      <c r="C176" s="401"/>
      <c r="D176" s="228" t="s">
        <v>142</v>
      </c>
      <c r="E176" s="95"/>
      <c r="F176" s="155"/>
      <c r="G176" s="456">
        <f>SUM(G173:G175)</f>
        <v>21</v>
      </c>
      <c r="H176" s="99">
        <f>G176+'17'!H176</f>
        <v>488</v>
      </c>
      <c r="I176" s="155"/>
      <c r="J176" s="178">
        <f>H176/DAY(B2)</f>
        <v>27.111111111111111</v>
      </c>
    </row>
    <row r="177" spans="1:11" ht="27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456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891" t="s">
        <v>210</v>
      </c>
      <c r="B178" s="892"/>
      <c r="C178" s="333"/>
      <c r="D178" s="228" t="s">
        <v>142</v>
      </c>
      <c r="E178" s="95">
        <f>'17'!F178</f>
        <v>99095</v>
      </c>
      <c r="F178" s="155">
        <v>99140</v>
      </c>
      <c r="G178" s="456">
        <f>F178-E178</f>
        <v>45</v>
      </c>
      <c r="H178" s="99">
        <f>G178+'17'!H178</f>
        <v>1427</v>
      </c>
      <c r="I178" s="155"/>
      <c r="J178" s="178">
        <f>H178/DAY(B2)</f>
        <v>79.277777777777771</v>
      </c>
    </row>
    <row r="179" spans="1:11" ht="27.75" customHeight="1">
      <c r="A179" s="891" t="s">
        <v>211</v>
      </c>
      <c r="B179" s="892"/>
      <c r="C179" s="333"/>
      <c r="D179" s="228" t="s">
        <v>142</v>
      </c>
      <c r="E179" s="95">
        <f>'17'!F179</f>
        <v>36002</v>
      </c>
      <c r="F179" s="155">
        <v>36002</v>
      </c>
      <c r="G179" s="456">
        <f t="shared" ref="G179:G180" si="15">F179-E179</f>
        <v>0</v>
      </c>
      <c r="H179" s="99">
        <f>G179+'17'!H179</f>
        <v>0</v>
      </c>
      <c r="I179" s="155"/>
      <c r="J179" s="178">
        <f>H179/DAY(B2)</f>
        <v>0</v>
      </c>
    </row>
    <row r="180" spans="1:11" ht="27.75" customHeight="1">
      <c r="A180" s="891" t="s">
        <v>212</v>
      </c>
      <c r="B180" s="892"/>
      <c r="C180" s="333"/>
      <c r="D180" s="228" t="s">
        <v>142</v>
      </c>
      <c r="E180" s="95">
        <f>'17'!F180</f>
        <v>37086</v>
      </c>
      <c r="F180" s="155">
        <v>37099</v>
      </c>
      <c r="G180" s="456">
        <f t="shared" si="15"/>
        <v>13</v>
      </c>
      <c r="H180" s="99">
        <f>G180+'17'!H180</f>
        <v>82</v>
      </c>
      <c r="I180" s="155"/>
      <c r="J180" s="178">
        <f>H180/DAY(B2)</f>
        <v>4.5555555555555554</v>
      </c>
    </row>
    <row r="181" spans="1:11" ht="27.75" customHeight="1">
      <c r="A181" s="893" t="s">
        <v>108</v>
      </c>
      <c r="B181" s="894"/>
      <c r="C181" s="401"/>
      <c r="D181" s="228" t="s">
        <v>142</v>
      </c>
      <c r="E181" s="95"/>
      <c r="F181" s="155"/>
      <c r="G181" s="456">
        <f>SUM(G178:G180)</f>
        <v>58</v>
      </c>
      <c r="H181" s="99">
        <f>G181+'17'!H181</f>
        <v>1509</v>
      </c>
      <c r="I181" s="155"/>
      <c r="J181" s="178">
        <f>H181/DAY(B2)</f>
        <v>83.833333333333329</v>
      </c>
    </row>
    <row r="182" spans="1:11" ht="27.75" customHeight="1">
      <c r="A182" s="891" t="s">
        <v>213</v>
      </c>
      <c r="B182" s="892"/>
      <c r="C182" s="333"/>
      <c r="D182" s="228" t="s">
        <v>142</v>
      </c>
      <c r="E182" s="95"/>
      <c r="F182" s="155"/>
      <c r="G182" s="456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891" t="s">
        <v>214</v>
      </c>
      <c r="B183" s="892"/>
      <c r="C183" s="334"/>
      <c r="D183" s="228" t="s">
        <v>142</v>
      </c>
      <c r="E183" s="95">
        <f>'17'!F183</f>
        <v>17604</v>
      </c>
      <c r="F183" s="157">
        <v>17609</v>
      </c>
      <c r="G183" s="457">
        <f>F183-E183</f>
        <v>5</v>
      </c>
      <c r="H183" s="99">
        <f>G183+'17'!H183</f>
        <v>136</v>
      </c>
      <c r="I183" s="155"/>
      <c r="J183" s="178">
        <f>H183/DAY(B2)</f>
        <v>7.5555555555555554</v>
      </c>
    </row>
    <row r="184" spans="1:11" ht="27.75" customHeight="1">
      <c r="A184" s="891" t="s">
        <v>215</v>
      </c>
      <c r="B184" s="892"/>
      <c r="C184" s="334"/>
      <c r="D184" s="228" t="s">
        <v>142</v>
      </c>
      <c r="E184" s="95">
        <f>'17'!F184</f>
        <v>12063</v>
      </c>
      <c r="F184" s="157">
        <v>12076</v>
      </c>
      <c r="G184" s="457">
        <f t="shared" ref="G184:G185" si="16">F184-E184</f>
        <v>13</v>
      </c>
      <c r="H184" s="99">
        <f>G184+'17'!H184</f>
        <v>141</v>
      </c>
      <c r="I184" s="155"/>
      <c r="J184" s="178">
        <f>H184/DAY(B2)</f>
        <v>7.833333333333333</v>
      </c>
    </row>
    <row r="185" spans="1:11" ht="27.75" customHeight="1">
      <c r="A185" s="891" t="s">
        <v>216</v>
      </c>
      <c r="B185" s="892"/>
      <c r="C185" s="334"/>
      <c r="D185" s="228" t="s">
        <v>142</v>
      </c>
      <c r="E185" s="95">
        <f>'17'!F185</f>
        <v>0</v>
      </c>
      <c r="F185" s="157"/>
      <c r="G185" s="457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880" t="s">
        <v>196</v>
      </c>
      <c r="B186" s="881"/>
      <c r="C186" s="400"/>
      <c r="D186" s="228" t="s">
        <v>142</v>
      </c>
      <c r="E186" s="95"/>
      <c r="F186" s="157"/>
      <c r="G186" s="457">
        <f>SUM(G183:G185)</f>
        <v>18</v>
      </c>
      <c r="H186" s="99">
        <f>G186+'17'!H186</f>
        <v>277</v>
      </c>
      <c r="I186" s="157"/>
      <c r="J186" s="178">
        <f>H186/DAY(B2)</f>
        <v>15.388888888888889</v>
      </c>
    </row>
    <row r="187" spans="1:11" ht="27.75" customHeight="1">
      <c r="A187" s="882" t="s">
        <v>217</v>
      </c>
      <c r="B187" s="883"/>
      <c r="C187" s="333"/>
      <c r="D187" s="230" t="s">
        <v>142</v>
      </c>
      <c r="E187" s="95"/>
      <c r="F187" s="159"/>
      <c r="G187" s="458">
        <f>G62+G19</f>
        <v>144</v>
      </c>
      <c r="H187" s="99">
        <f>G187+'17'!H187</f>
        <v>2869</v>
      </c>
      <c r="I187" s="158"/>
      <c r="J187" s="179">
        <f>H187/DAY(B2)</f>
        <v>159.38888888888889</v>
      </c>
    </row>
    <row r="188" spans="1:11" ht="27.75" customHeight="1">
      <c r="A188" s="882" t="s">
        <v>218</v>
      </c>
      <c r="B188" s="883"/>
      <c r="C188" s="333"/>
      <c r="D188" s="230" t="s">
        <v>142</v>
      </c>
      <c r="E188" s="95"/>
      <c r="F188" s="159"/>
      <c r="G188" s="458">
        <f>G65+G66+G67+G69+G70</f>
        <v>233</v>
      </c>
      <c r="H188" s="99">
        <f>G188+'17'!H188</f>
        <v>631</v>
      </c>
      <c r="I188" s="158"/>
      <c r="J188" s="179">
        <f>H188/DAY(B2)</f>
        <v>35.055555555555557</v>
      </c>
    </row>
    <row r="189" spans="1:11" ht="27.75" customHeight="1">
      <c r="A189" s="882" t="s">
        <v>219</v>
      </c>
      <c r="B189" s="883"/>
      <c r="C189" s="333"/>
      <c r="D189" s="230" t="s">
        <v>142</v>
      </c>
      <c r="E189" s="95"/>
      <c r="F189" s="157"/>
      <c r="G189" s="458">
        <f>G181</f>
        <v>58</v>
      </c>
      <c r="H189" s="99">
        <f>G189+'17'!H189</f>
        <v>1509</v>
      </c>
      <c r="I189" s="158"/>
      <c r="J189" s="179">
        <f>H189/DAY(B2)</f>
        <v>83.833333333333329</v>
      </c>
    </row>
    <row r="190" spans="1:11" ht="23.25" customHeight="1">
      <c r="A190" s="245"/>
      <c r="B190" s="246"/>
      <c r="C190" s="246"/>
      <c r="D190" s="165"/>
      <c r="E190" s="165"/>
      <c r="F190" s="155"/>
      <c r="G190" s="452"/>
      <c r="H190" s="238"/>
      <c r="I190" s="99"/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78" zoomScale="55" zoomScaleNormal="40" zoomScaleSheetLayoutView="55" zoomScalePageLayoutView="60" workbookViewId="0">
      <selection activeCell="G155" sqref="G15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4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349</v>
      </c>
      <c r="B2" s="262">
        <v>44792</v>
      </c>
      <c r="C2" s="348" t="s">
        <v>67</v>
      </c>
      <c r="D2" s="218">
        <v>0.94</v>
      </c>
      <c r="E2" s="100"/>
      <c r="F2" s="100"/>
      <c r="G2" s="47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46" t="s">
        <v>119</v>
      </c>
      <c r="F3" s="947"/>
      <c r="G3" s="472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472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40" t="s">
        <v>128</v>
      </c>
      <c r="B6" s="941"/>
      <c r="C6" s="942"/>
      <c r="D6" s="110"/>
      <c r="E6" s="110"/>
      <c r="F6" s="110"/>
      <c r="G6" s="474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'18 '!F7</f>
        <v>805193.15</v>
      </c>
      <c r="F7" s="95">
        <v>831587</v>
      </c>
      <c r="G7" s="475">
        <f>F7-E7</f>
        <v>26393.849999999977</v>
      </c>
      <c r="H7" s="99">
        <f>G7+'18 '!H7</f>
        <v>495128.75</v>
      </c>
      <c r="I7" s="113">
        <f>'1'!I7</f>
        <v>12000</v>
      </c>
      <c r="J7" s="175">
        <f>H7/DAY(B2)</f>
        <v>26059.407894736843</v>
      </c>
      <c r="K7" s="172">
        <v>1375467</v>
      </c>
      <c r="L7" s="66"/>
      <c r="N7" s="87">
        <f>G7-G8</f>
        <v>-221.84999999997672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962569</v>
      </c>
      <c r="F8" s="95">
        <v>989184.7</v>
      </c>
      <c r="G8" s="476">
        <f>F8-E8</f>
        <v>26615.699999999953</v>
      </c>
      <c r="H8" s="99">
        <f>G8+'18 '!H8</f>
        <v>500597.69999999995</v>
      </c>
      <c r="I8" s="116"/>
      <c r="J8" s="175">
        <f>H8/DAY(B2)</f>
        <v>26347.247368421049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3400770</v>
      </c>
      <c r="F9" s="469">
        <v>3406628.7</v>
      </c>
      <c r="G9" s="475">
        <f>F9-E9</f>
        <v>5858.7000000001863</v>
      </c>
      <c r="H9" s="99">
        <f>G9+'18 '!H9</f>
        <v>127562.70000000019</v>
      </c>
      <c r="I9" s="124">
        <f>I7-J7</f>
        <v>-14059.407894736843</v>
      </c>
      <c r="J9" s="175">
        <f>H9/DAY(B2)</f>
        <v>6713.8263157894835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2001107.9</v>
      </c>
      <c r="F10" s="353">
        <v>2020811.5</v>
      </c>
      <c r="G10" s="475">
        <f t="shared" ref="G10:G12" si="0">F10-E10</f>
        <v>19703.600000000093</v>
      </c>
      <c r="H10" s="99">
        <f>G10+'18 '!H10</f>
        <v>353653.5</v>
      </c>
      <c r="I10" s="282"/>
      <c r="J10" s="175">
        <f>H10/DAY(B2)</f>
        <v>18613.342105263157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37560</v>
      </c>
      <c r="F11" s="95">
        <v>37560</v>
      </c>
      <c r="G11" s="475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40380</v>
      </c>
      <c r="F12" s="117">
        <v>40380</v>
      </c>
      <c r="G12" s="475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77">
        <f>G9+G10+G11+G12</f>
        <v>25562.300000000279</v>
      </c>
      <c r="H13" s="99">
        <f>G13+'18 '!H13</f>
        <v>482550.80000000005</v>
      </c>
      <c r="I13" s="120">
        <f>G7-G13</f>
        <v>831.54999999969732</v>
      </c>
      <c r="J13" s="175">
        <f>H13/DAY(B2)</f>
        <v>25397.410526315791</v>
      </c>
      <c r="K13" s="79"/>
      <c r="L13" s="66"/>
      <c r="N13" s="87"/>
      <c r="O13" s="71"/>
    </row>
    <row r="14" spans="1:15" ht="26.25">
      <c r="A14" s="943" t="s">
        <v>137</v>
      </c>
      <c r="B14" s="944"/>
      <c r="C14" s="945"/>
      <c r="D14" s="111"/>
      <c r="E14" s="111"/>
      <c r="F14" s="111"/>
      <c r="G14" s="478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'18 '!F15</f>
        <v>2119551.5</v>
      </c>
      <c r="F15" s="469">
        <v>2120497</v>
      </c>
      <c r="G15" s="475">
        <f>(F15-E15)</f>
        <v>945.5</v>
      </c>
      <c r="H15" s="99">
        <f>G15+'18 '!H15</f>
        <v>19629</v>
      </c>
      <c r="I15" s="113">
        <f>'1'!I15</f>
        <v>800</v>
      </c>
      <c r="J15" s="175">
        <f>H15/DAY(B2)</f>
        <v>1033.1052631578948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75" t="s">
        <v>207</v>
      </c>
      <c r="H16" s="124"/>
      <c r="I16" s="120">
        <f>I15-J15</f>
        <v>-233.1052631578948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478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'18 '!F18</f>
        <v>15</v>
      </c>
      <c r="F18" s="122">
        <v>10</v>
      </c>
      <c r="G18" s="477">
        <f>F18*10</f>
        <v>100</v>
      </c>
      <c r="H18" s="99">
        <f>G18+'18 '!H18</f>
        <v>2960</v>
      </c>
      <c r="I18" s="113">
        <f>'1'!I18</f>
        <v>65</v>
      </c>
      <c r="J18" s="175">
        <f>H18/DAY(B2)</f>
        <v>155.78947368421052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'18 '!F19</f>
        <v>163241</v>
      </c>
      <c r="F19" s="756">
        <v>163292</v>
      </c>
      <c r="G19" s="475">
        <f t="shared" ref="G19" si="1">F19-E19</f>
        <v>51</v>
      </c>
      <c r="H19" s="99">
        <f>G19+'18 '!H19</f>
        <v>957</v>
      </c>
      <c r="I19" s="335"/>
      <c r="J19" s="175">
        <f>H19/DAY(B2)</f>
        <v>50.368421052631582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79">
        <f>G18+G19</f>
        <v>151</v>
      </c>
      <c r="H20" s="99">
        <f>G20+'18 '!H20</f>
        <v>3917</v>
      </c>
      <c r="I20" s="336">
        <f>I18-J20</f>
        <v>-141.15789473684211</v>
      </c>
      <c r="J20" s="175">
        <f>H20/DAY(B2)</f>
        <v>206.15789473684211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478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77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77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4470</v>
      </c>
      <c r="F24" s="128">
        <v>4470</v>
      </c>
      <c r="G24" s="477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480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81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26615.699999999953</v>
      </c>
      <c r="F27" s="136">
        <v>9</v>
      </c>
      <c r="G27" s="482">
        <f>E27*F27</f>
        <v>239541.29999999958</v>
      </c>
      <c r="H27" s="99">
        <f>G27+'18 '!H27</f>
        <v>4505379.3</v>
      </c>
      <c r="I27" s="138"/>
      <c r="J27" s="175">
        <f>H27/DAY(B2)</f>
        <v>237125.22631578948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945.5</v>
      </c>
      <c r="F28" s="136">
        <v>70</v>
      </c>
      <c r="G28" s="482">
        <f>E28*F28</f>
        <v>66185</v>
      </c>
      <c r="H28" s="99">
        <f>G28+'18 '!H28</f>
        <v>1374030</v>
      </c>
      <c r="I28" s="140"/>
      <c r="J28" s="175">
        <f>H28/DAY(B2)</f>
        <v>72317.368421052626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2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482">
        <f>E30*F30</f>
        <v>7701</v>
      </c>
      <c r="H30" s="99">
        <f>G30+'18 '!H30</f>
        <v>144507</v>
      </c>
      <c r="I30" s="140"/>
      <c r="J30" s="175">
        <f>H30/DAY(B2)</f>
        <v>7605.6315789473683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482">
        <f>E31*F31</f>
        <v>8000</v>
      </c>
      <c r="H31" s="99">
        <f>G31+'18 '!H31</f>
        <v>236800</v>
      </c>
      <c r="I31" s="140"/>
      <c r="J31" s="175">
        <f>H31/DAY(B2)</f>
        <v>12463.157894736842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83">
        <f>G27+G28+G29+G30+G31</f>
        <v>321427.29999999958</v>
      </c>
      <c r="H32" s="99">
        <f>G32+'18 '!H32</f>
        <v>6260716.2999999998</v>
      </c>
      <c r="I32" s="144"/>
      <c r="J32" s="175">
        <f>H32/DAY(B2)</f>
        <v>329511.3842105263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337"/>
      <c r="G33" s="484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85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238713.05</v>
      </c>
      <c r="F35" s="145">
        <v>238713.05</v>
      </c>
      <c r="G35" s="475">
        <f t="shared" ref="G35:G46" si="3">F35-E35</f>
        <v>0</v>
      </c>
      <c r="H35" s="99">
        <f>G35+'18 '!H35</f>
        <v>4.9999999988358468E-2</v>
      </c>
      <c r="I35" s="95"/>
      <c r="J35" s="175">
        <f>H35/DAY(B2)</f>
        <v>2.6315789467557089E-3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230987.17</v>
      </c>
      <c r="F36" s="145">
        <v>231800.93</v>
      </c>
      <c r="G36" s="475">
        <f t="shared" si="3"/>
        <v>813.75999999998021</v>
      </c>
      <c r="H36" s="99">
        <f>G36+'18 '!H36</f>
        <v>16270.929999999993</v>
      </c>
      <c r="I36" s="95"/>
      <c r="J36" s="175">
        <f>H36/DAY(B2)</f>
        <v>856.36473684210489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322998.69</v>
      </c>
      <c r="F37" s="145">
        <v>322998.69</v>
      </c>
      <c r="G37" s="475">
        <f t="shared" si="3"/>
        <v>0</v>
      </c>
      <c r="H37" s="99">
        <f>G37+'18 '!H37</f>
        <v>-0.30999999999767169</v>
      </c>
      <c r="I37" s="95"/>
      <c r="J37" s="175">
        <f>H37/DAY(B2)</f>
        <v>-1.631578947356167E-2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497717.31</v>
      </c>
      <c r="F38" s="108">
        <v>499888.27</v>
      </c>
      <c r="G38" s="475">
        <f t="shared" si="3"/>
        <v>2170.960000000021</v>
      </c>
      <c r="H38" s="99">
        <f>G38+'18 '!H38</f>
        <v>42527.270000000019</v>
      </c>
      <c r="I38" s="95"/>
      <c r="J38" s="175">
        <f>H38/DAY(B2)</f>
        <v>2238.2773684210538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591584.18999999994</v>
      </c>
      <c r="F39" s="145">
        <v>591584.18999999994</v>
      </c>
      <c r="G39" s="475">
        <f t="shared" si="3"/>
        <v>0</v>
      </c>
      <c r="H39" s="99">
        <f>G39+'18 '!H39</f>
        <v>0.18999999994412065</v>
      </c>
      <c r="I39" s="95"/>
      <c r="J39" s="175">
        <f>H39/DAY(B2)</f>
        <v>9.9999999970589813E-3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122388.29</v>
      </c>
      <c r="F40" s="418">
        <v>123235.08</v>
      </c>
      <c r="G40" s="475">
        <f t="shared" si="3"/>
        <v>846.79000000000815</v>
      </c>
      <c r="H40" s="99">
        <f>G40+'18 '!H40</f>
        <v>16459.080000000002</v>
      </c>
      <c r="I40" s="95"/>
      <c r="J40" s="175">
        <f>H40/DAY(B2)</f>
        <v>866.26736842105277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257421.37</v>
      </c>
      <c r="F41" s="145">
        <v>257421.37</v>
      </c>
      <c r="G41" s="475">
        <f t="shared" si="3"/>
        <v>0</v>
      </c>
      <c r="H41" s="99">
        <f>G41+'18 '!H41</f>
        <v>45718.369999999995</v>
      </c>
      <c r="I41" s="95"/>
      <c r="J41" s="175">
        <f>H41/DAY(B2)</f>
        <v>2406.2299999999996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771007.03</v>
      </c>
      <c r="F42" s="145">
        <v>774068.47</v>
      </c>
      <c r="G42" s="475">
        <f t="shared" si="3"/>
        <v>3061.4399999999441</v>
      </c>
      <c r="H42" s="99">
        <f>G42+'18 '!H42</f>
        <v>25704.469999999972</v>
      </c>
      <c r="I42" s="95"/>
      <c r="J42" s="175">
        <f>H42/DAY(B2)</f>
        <v>1352.8668421052616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407028</v>
      </c>
      <c r="F43" s="145">
        <v>407028</v>
      </c>
      <c r="G43" s="475">
        <f t="shared" si="3"/>
        <v>0</v>
      </c>
      <c r="H43" s="99">
        <f>G43+'18 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5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5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5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77">
        <f>G35+G36+G37+G38+G39+G40+G41+G42+G43+G44+G45+G46</f>
        <v>6892.9499999999534</v>
      </c>
      <c r="H47" s="99">
        <f>G47+'18 '!H47</f>
        <v>146680.04999999993</v>
      </c>
      <c r="I47" s="95"/>
      <c r="J47" s="175">
        <f>H47/DAY(B2)</f>
        <v>7720.0026315789437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85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556529.87</v>
      </c>
      <c r="F49" s="145">
        <v>560503.82999999996</v>
      </c>
      <c r="G49" s="475">
        <f t="shared" ref="G49:G58" si="4">F49-E49</f>
        <v>3973.9599999999627</v>
      </c>
      <c r="H49" s="99">
        <f>G49+'18 '!H49</f>
        <v>75449.829999999958</v>
      </c>
      <c r="I49" s="95"/>
      <c r="J49" s="175">
        <f>H49/DAY(B2)</f>
        <v>3971.0436842105241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305329.09999999998</v>
      </c>
      <c r="F50" s="145">
        <v>306988.25</v>
      </c>
      <c r="G50" s="475">
        <f t="shared" si="4"/>
        <v>1659.1500000000233</v>
      </c>
      <c r="H50" s="99">
        <f>G50+'18 '!H50</f>
        <v>24238.25</v>
      </c>
      <c r="I50" s="95"/>
      <c r="J50" s="175">
        <f>H50/DAY(B2)</f>
        <v>1275.6973684210527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27529.200000000001</v>
      </c>
      <c r="F51" s="145">
        <v>28520.25</v>
      </c>
      <c r="G51" s="475">
        <f t="shared" si="4"/>
        <v>991.04999999999927</v>
      </c>
      <c r="H51" s="99">
        <f>G51+'18 '!H51</f>
        <v>20012.25</v>
      </c>
      <c r="I51" s="95"/>
      <c r="J51" s="175">
        <f>H51/DAY(B2)</f>
        <v>1053.2763157894738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10</v>
      </c>
      <c r="F52" s="145">
        <v>10</v>
      </c>
      <c r="G52" s="475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113028.1</v>
      </c>
      <c r="F53" s="145">
        <v>117312.75</v>
      </c>
      <c r="G53" s="475">
        <f t="shared" si="4"/>
        <v>4284.6499999999942</v>
      </c>
      <c r="H53" s="99">
        <f>G53+'18 '!H53</f>
        <v>83451.75</v>
      </c>
      <c r="I53" s="95"/>
      <c r="J53" s="175">
        <f>H53/DAY(B2)</f>
        <v>4392.1973684210525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93323</v>
      </c>
      <c r="F54" s="145">
        <v>93504.9</v>
      </c>
      <c r="G54" s="475">
        <f t="shared" si="4"/>
        <v>181.89999999999418</v>
      </c>
      <c r="H54" s="99">
        <f>G54+'18 '!H54</f>
        <v>5561.8999999999942</v>
      </c>
      <c r="I54" s="95"/>
      <c r="J54" s="175">
        <f>H54/DAY(B2)</f>
        <v>292.73157894736812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416055.15</v>
      </c>
      <c r="F55" s="145">
        <v>419747.91</v>
      </c>
      <c r="G55" s="475">
        <f t="shared" si="4"/>
        <v>3692.7599999999511</v>
      </c>
      <c r="H55" s="99">
        <f>G55+'18 '!H55</f>
        <v>56970.909999999974</v>
      </c>
      <c r="I55" s="95"/>
      <c r="J55" s="175">
        <f>H55/DAY(B2)</f>
        <v>2998.4689473684198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123882.39</v>
      </c>
      <c r="F56" s="145">
        <v>123882.39</v>
      </c>
      <c r="G56" s="475">
        <f t="shared" si="4"/>
        <v>0</v>
      </c>
      <c r="H56" s="99">
        <f>G56+'18 '!H56</f>
        <v>0.38999999999941792</v>
      </c>
      <c r="I56" s="95"/>
      <c r="J56" s="175">
        <f>H56/DAY(B2)</f>
        <v>2.0526315789443049E-2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'18 '!F57</f>
        <v>282341.90999999997</v>
      </c>
      <c r="F57" s="145">
        <v>285558.83</v>
      </c>
      <c r="G57" s="475">
        <f t="shared" si="4"/>
        <v>3216.9200000000419</v>
      </c>
      <c r="H57" s="99">
        <f>G57+'18 '!H57</f>
        <v>59388.830000000016</v>
      </c>
      <c r="I57" s="95"/>
      <c r="J57" s="175">
        <f>H57/DAY(B2)</f>
        <v>3125.7278947368432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53832.7</v>
      </c>
      <c r="F58" s="145">
        <v>54027.21</v>
      </c>
      <c r="G58" s="475">
        <f t="shared" si="4"/>
        <v>194.51000000000204</v>
      </c>
      <c r="H58" s="99">
        <f>G58+'18 '!H58</f>
        <v>4918.2099999999991</v>
      </c>
      <c r="I58" s="95"/>
      <c r="J58" s="175">
        <f>H58/DAY(B2)</f>
        <v>258.8531578947368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77">
        <f>G49+G50+G51+G52+G53+G54+G55+G56+G57+G58</f>
        <v>18194.899999999969</v>
      </c>
      <c r="H59" s="99">
        <f>G59+'18 '!H59</f>
        <v>329992.32000000001</v>
      </c>
      <c r="I59" s="95">
        <f>G7-G60</f>
        <v>1306.0000000000546</v>
      </c>
      <c r="J59" s="175">
        <f>H59/DAY(B2)</f>
        <v>17368.016842105262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77">
        <f>G47+G59</f>
        <v>25087.849999999922</v>
      </c>
      <c r="H60" s="99">
        <f>G60+'18 '!H60</f>
        <v>476672.36999999994</v>
      </c>
      <c r="I60" s="95">
        <f>G13-G60</f>
        <v>474.45000000035725</v>
      </c>
      <c r="J60" s="175">
        <f>H60/DAY(B2)</f>
        <v>25088.019473684206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486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'18 '!F62</f>
        <v>298238</v>
      </c>
      <c r="F62" s="122">
        <v>298336</v>
      </c>
      <c r="G62" s="475">
        <f t="shared" ref="G62:G63" si="5">F62-E62</f>
        <v>98</v>
      </c>
      <c r="H62" s="99">
        <f>G62+'18 '!H62</f>
        <v>2061</v>
      </c>
      <c r="I62" s="118"/>
      <c r="J62" s="175">
        <f>H62/DAY(B2)</f>
        <v>108.47368421052632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'18 '!F63</f>
        <v>241350</v>
      </c>
      <c r="F63" s="122">
        <v>241452</v>
      </c>
      <c r="G63" s="475">
        <f t="shared" si="5"/>
        <v>102</v>
      </c>
      <c r="H63" s="99">
        <f>G63+'18 '!H63</f>
        <v>2319</v>
      </c>
      <c r="I63" s="118"/>
      <c r="J63" s="175">
        <f>H63/DAY(B2)</f>
        <v>122.05263157894737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'18 '!F64</f>
        <v>0</v>
      </c>
      <c r="F64" s="122"/>
      <c r="G64" s="475">
        <f>G62+G63</f>
        <v>200</v>
      </c>
      <c r="H64" s="99">
        <f>G64+'18 '!H64</f>
        <v>4380</v>
      </c>
      <c r="I64" s="118"/>
      <c r="J64" s="175">
        <f>H64/DAY(B2)</f>
        <v>230.52631578947367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'18 '!F65</f>
        <v>456548</v>
      </c>
      <c r="F65" s="122">
        <v>456647</v>
      </c>
      <c r="G65" s="475">
        <f t="shared" ref="G65:G70" si="6">F65-E65</f>
        <v>99</v>
      </c>
      <c r="H65" s="99">
        <f>G65+'18 '!H65</f>
        <v>1937</v>
      </c>
      <c r="I65" s="118"/>
      <c r="J65" s="175">
        <f>H65/DAY(B2)</f>
        <v>101.94736842105263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'18 '!F66</f>
        <v>112124</v>
      </c>
      <c r="F66" s="122">
        <v>112147</v>
      </c>
      <c r="G66" s="475">
        <f t="shared" si="6"/>
        <v>23</v>
      </c>
      <c r="H66" s="99">
        <f>G66+'18 '!H66</f>
        <v>425</v>
      </c>
      <c r="I66" s="118"/>
      <c r="J66" s="175">
        <f>H66/DAY(B2)</f>
        <v>22.368421052631579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'18 '!F67</f>
        <v>113962</v>
      </c>
      <c r="F67" s="122">
        <v>113983</v>
      </c>
      <c r="G67" s="475">
        <f t="shared" si="6"/>
        <v>21</v>
      </c>
      <c r="H67" s="99">
        <f>G67+'18 '!H67</f>
        <v>303</v>
      </c>
      <c r="I67" s="118"/>
      <c r="J67" s="175">
        <f>H67/DAY(B2)</f>
        <v>15.947368421052632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'18 '!F68</f>
        <v>165172</v>
      </c>
      <c r="F68" s="122">
        <v>165187</v>
      </c>
      <c r="G68" s="475">
        <f t="shared" si="6"/>
        <v>15</v>
      </c>
      <c r="H68" s="99">
        <f>G68+'18 '!H68</f>
        <v>525</v>
      </c>
      <c r="I68" s="118"/>
      <c r="J68" s="175">
        <f>H68/DAY(B2)</f>
        <v>27.631578947368421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'18 '!F69</f>
        <v>12382</v>
      </c>
      <c r="F69" s="122">
        <v>12387</v>
      </c>
      <c r="G69" s="475">
        <f t="shared" si="6"/>
        <v>5</v>
      </c>
      <c r="H69" s="99">
        <f>G69+'18 '!H69</f>
        <v>112</v>
      </c>
      <c r="I69" s="118"/>
      <c r="J69" s="175">
        <f>H69/DAY(B2)</f>
        <v>5.8947368421052628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'18 '!F70</f>
        <v>9998</v>
      </c>
      <c r="F70" s="122">
        <v>10013</v>
      </c>
      <c r="G70" s="475">
        <f t="shared" si="6"/>
        <v>15</v>
      </c>
      <c r="H70" s="99">
        <f>G70+'18 '!H70</f>
        <v>186</v>
      </c>
      <c r="I70" s="118"/>
      <c r="J70" s="175">
        <f>H70/DAY(B2)</f>
        <v>9.7894736842105257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95">
        <f>'18 '!F71</f>
        <v>0</v>
      </c>
      <c r="F71" s="152"/>
      <c r="G71" s="487">
        <f>SUM(G65:G70)</f>
        <v>178</v>
      </c>
      <c r="H71" s="99">
        <f>G71+'18 '!H71</f>
        <v>3488</v>
      </c>
      <c r="I71" s="154"/>
      <c r="J71" s="175">
        <f>H71/DAY(B2)</f>
        <v>183.57894736842104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488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486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'18 '!F74</f>
        <v>963339.3</v>
      </c>
      <c r="F74" s="117">
        <v>963654.5</v>
      </c>
      <c r="G74" s="475">
        <f t="shared" ref="G74:G78" si="7">F74-E74</f>
        <v>315.19999999995343</v>
      </c>
      <c r="H74" s="99">
        <f>G74+'18 '!H74</f>
        <v>5996.640000000014</v>
      </c>
      <c r="I74" s="154"/>
      <c r="J74" s="175">
        <f>H74/DAY(B2)</f>
        <v>315.61263157894808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'18 '!F75</f>
        <v>73586</v>
      </c>
      <c r="F75" s="123">
        <v>73586.8</v>
      </c>
      <c r="G75" s="475">
        <f t="shared" si="7"/>
        <v>0.80000000000291038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'18 '!F76</f>
        <v>192183</v>
      </c>
      <c r="F76" s="410">
        <v>192273</v>
      </c>
      <c r="G76" s="475">
        <f t="shared" si="7"/>
        <v>90</v>
      </c>
      <c r="H76" s="99">
        <f>G76+'18 '!H76</f>
        <v>2101</v>
      </c>
      <c r="I76" s="154"/>
      <c r="J76" s="175">
        <f>H76/DAY(B2)</f>
        <v>110.57894736842105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'18 '!F77</f>
        <v>51208</v>
      </c>
      <c r="F77" s="123">
        <v>51259.3</v>
      </c>
      <c r="G77" s="475">
        <f t="shared" si="7"/>
        <v>51.30000000000291</v>
      </c>
      <c r="H77" s="99">
        <f>G77+'18 '!H77</f>
        <v>946.30000000000291</v>
      </c>
      <c r="I77" s="154"/>
      <c r="J77" s="175">
        <f>H77/DAY(B2)</f>
        <v>49.805263157894892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'18 '!F78</f>
        <v>9564</v>
      </c>
      <c r="F78" s="123">
        <v>9564</v>
      </c>
      <c r="G78" s="475">
        <f t="shared" si="7"/>
        <v>0</v>
      </c>
      <c r="H78" s="99">
        <f>G78+'18 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'18 '!F79</f>
        <v>0</v>
      </c>
      <c r="F79" s="123"/>
      <c r="G79" s="475">
        <f>G15-SUM(G74:G78)</f>
        <v>488.20000000004075</v>
      </c>
      <c r="H79" s="99">
        <f>G79+'18 '!H79</f>
        <v>10585.059999999983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475">
        <f>SUM(G74:G79)</f>
        <v>945.5</v>
      </c>
      <c r="H80" s="99"/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489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5">
        <f t="shared" ref="G82:G92" si="8">F82-E82</f>
        <v>0</v>
      </c>
      <c r="H82" s="99">
        <f>G82+'18 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5">
        <f t="shared" si="8"/>
        <v>0</v>
      </c>
      <c r="H83" s="99">
        <f>G83+'18 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'18 '!F84</f>
        <v>42801.34</v>
      </c>
      <c r="F84" s="164">
        <v>42801.34</v>
      </c>
      <c r="G84" s="475">
        <f t="shared" si="8"/>
        <v>0</v>
      </c>
      <c r="H84" s="99">
        <f>G84+'18 '!H84</f>
        <v>172.33999999999651</v>
      </c>
      <c r="I84" s="571"/>
      <c r="J84" s="175">
        <f>H84/DAY(B2)</f>
        <v>9.070526315789289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'18 '!F85</f>
        <v>5241.05</v>
      </c>
      <c r="F85" s="164">
        <v>5254.13</v>
      </c>
      <c r="G85" s="475">
        <f t="shared" si="8"/>
        <v>13.079999999999927</v>
      </c>
      <c r="H85" s="99">
        <f>G85+'18 '!H85</f>
        <v>113.94000000000051</v>
      </c>
      <c r="I85" s="571"/>
      <c r="J85" s="175">
        <f>H85/DAY(B2)</f>
        <v>5.9968421052631848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'18 '!F86</f>
        <v>45738.02</v>
      </c>
      <c r="F86" s="164">
        <v>45762.559999999998</v>
      </c>
      <c r="G86" s="475">
        <f t="shared" si="8"/>
        <v>24.540000000000873</v>
      </c>
      <c r="H86" s="99">
        <f>G86+'18 '!H86</f>
        <v>383.55999999999767</v>
      </c>
      <c r="I86" s="571"/>
      <c r="J86" s="175">
        <f>H86/DAY(B2)</f>
        <v>20.187368421052508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'18 '!F87</f>
        <v>35481</v>
      </c>
      <c r="F87" s="164">
        <v>35481</v>
      </c>
      <c r="G87" s="475">
        <f t="shared" si="8"/>
        <v>0</v>
      </c>
      <c r="H87" s="99">
        <f>G87+'18 '!H87</f>
        <v>23.569999999999709</v>
      </c>
      <c r="I87" s="571">
        <f>G84+G85+G86+G87</f>
        <v>37.6200000000008</v>
      </c>
      <c r="J87" s="175">
        <f>H87/DAY(B2)</f>
        <v>1.2405263157894584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'18 '!F88</f>
        <v>24318.959999999999</v>
      </c>
      <c r="F88" s="164">
        <v>24318.959999999999</v>
      </c>
      <c r="G88" s="475">
        <f t="shared" si="8"/>
        <v>0</v>
      </c>
      <c r="H88" s="99">
        <f>G88+'18 '!H88</f>
        <v>15.5</v>
      </c>
      <c r="I88" s="571"/>
      <c r="J88" s="175">
        <f>H88/DAY(B2)</f>
        <v>0.81578947368421051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'18 '!F89</f>
        <v>27712.26</v>
      </c>
      <c r="F89" s="164">
        <v>27719.02</v>
      </c>
      <c r="G89" s="475">
        <f t="shared" si="8"/>
        <v>6.7600000000020373</v>
      </c>
      <c r="H89" s="99">
        <f>G89+'18 '!H89</f>
        <v>152.40999999999985</v>
      </c>
      <c r="I89" s="571">
        <f>G88+G89</f>
        <v>6.7600000000020373</v>
      </c>
      <c r="J89" s="175">
        <f>H89/DAY(B2)</f>
        <v>8.0215789473684129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'18 '!F90</f>
        <v>72803.08</v>
      </c>
      <c r="F90" s="164">
        <v>72813.649999999994</v>
      </c>
      <c r="G90" s="475">
        <f t="shared" si="8"/>
        <v>10.569999999992433</v>
      </c>
      <c r="H90" s="99">
        <f>G90+'18 '!H90</f>
        <v>207.09999999999127</v>
      </c>
      <c r="I90" s="571">
        <f>G90</f>
        <v>10.569999999992433</v>
      </c>
      <c r="J90" s="175">
        <f>H90/DAY(B2)</f>
        <v>10.89999999999954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'18 '!F91</f>
        <v>4289.5</v>
      </c>
      <c r="F91" s="122">
        <v>4289.5</v>
      </c>
      <c r="G91" s="475">
        <f t="shared" si="8"/>
        <v>0</v>
      </c>
      <c r="H91" s="99">
        <f>G91+'18 '!H91</f>
        <v>-3.999999999996362E-2</v>
      </c>
      <c r="I91" s="590"/>
      <c r="J91" s="175">
        <f>H91/DAY(B2)</f>
        <v>-2.1052631578928221E-3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'18 '!F92</f>
        <v>6917.34</v>
      </c>
      <c r="F92" s="122">
        <v>6928.71</v>
      </c>
      <c r="G92" s="475">
        <f t="shared" si="8"/>
        <v>11.369999999999891</v>
      </c>
      <c r="H92" s="99">
        <f>G92+'18 '!H92</f>
        <v>211.38000000000011</v>
      </c>
      <c r="I92" s="596">
        <f>G91+G92</f>
        <v>11.369999999999891</v>
      </c>
      <c r="J92" s="175">
        <f>H92/DAY(B2)</f>
        <v>11.125263157894743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478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490">
        <f>G35+G43+G49+G57</f>
        <v>7190.8800000000047</v>
      </c>
      <c r="H94" s="99">
        <f>G94+'18 '!H94</f>
        <v>134838.70999999996</v>
      </c>
      <c r="I94" s="118"/>
      <c r="J94" s="175">
        <f>H94/DAY(B2)</f>
        <v>7096.7742105263142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491">
        <f>G94/G7</f>
        <v>0.272445285549475</v>
      </c>
      <c r="H95" s="99">
        <f>G95+'18 '!H95</f>
        <v>5.1830351689353078</v>
      </c>
      <c r="I95" s="167"/>
      <c r="J95" s="175">
        <f>H95/DAY(B2)</f>
        <v>0.27279132468080569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490">
        <f>G41+G42+G55+G56</f>
        <v>6754.1999999998952</v>
      </c>
      <c r="H96" s="99">
        <f>G96+'18 '!H96</f>
        <v>128394.13999999994</v>
      </c>
      <c r="I96" s="118"/>
      <c r="J96" s="175">
        <f>H96/DAY(B2)</f>
        <v>6757.586315789471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491">
        <f>G96/G7</f>
        <v>0.25590052228075483</v>
      </c>
      <c r="H97" s="99">
        <f>G97+'18 '!H97</f>
        <v>4.9145449491004261</v>
      </c>
      <c r="I97" s="167"/>
      <c r="J97" s="175">
        <f>H97/DAY(B2)</f>
        <v>0.25866026047896978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490">
        <f>G39+G53</f>
        <v>4284.6499999999942</v>
      </c>
      <c r="H98" s="99">
        <f>G98+'18 '!H98</f>
        <v>83451.939999999944</v>
      </c>
      <c r="I98" s="168"/>
      <c r="J98" s="175">
        <f>H98/DAY(B2)</f>
        <v>4392.20736842105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491">
        <f>G98/G7</f>
        <v>0.16233516519946875</v>
      </c>
      <c r="H99" s="99">
        <f>G99+'18 '!H99</f>
        <v>3.2067484680220306</v>
      </c>
      <c r="I99" s="168"/>
      <c r="J99" s="175">
        <f>H99/DAY(B2)</f>
        <v>0.16877623515905424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490">
        <f>G38+G52</f>
        <v>2170.960000000021</v>
      </c>
      <c r="H100" s="99">
        <f>G100+'18 '!H100</f>
        <v>42527.270000000019</v>
      </c>
      <c r="I100" s="118"/>
      <c r="J100" s="175">
        <f>H100/DAY(B2)</f>
        <v>2238.2773684210538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491">
        <f>G100/G7</f>
        <v>8.2252494425785666E-2</v>
      </c>
      <c r="H101" s="99">
        <f>G101+'18 '!H101</f>
        <v>1.6341385372052948</v>
      </c>
      <c r="I101" s="168"/>
      <c r="J101" s="175">
        <f>H101/DAY(B2)</f>
        <v>8.6007291431857619E-2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490">
        <f>G36+G50</f>
        <v>2472.9100000000035</v>
      </c>
      <c r="H102" s="99">
        <f>G102+'18 '!H102</f>
        <v>40509.179999999993</v>
      </c>
      <c r="I102" s="168"/>
      <c r="J102" s="175">
        <f>H102/DAY(B2)</f>
        <v>2132.0621052631577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491">
        <f>G102/G7</f>
        <v>9.369265946423147E-2</v>
      </c>
      <c r="H103" s="99">
        <f>G103+'18 '!H103</f>
        <v>1.5496703649643346</v>
      </c>
      <c r="I103" s="118"/>
      <c r="J103" s="175">
        <f>H103/DAY(B2)</f>
        <v>8.1561598156017615E-2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490">
        <f>G37+G51</f>
        <v>991.04999999999927</v>
      </c>
      <c r="H104" s="99">
        <f>G104+'18 '!H104</f>
        <v>20011.940000000002</v>
      </c>
      <c r="I104" s="118"/>
      <c r="J104" s="175">
        <f>H104/DAY(B2)</f>
        <v>1053.2600000000002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492">
        <f>G104/G7</f>
        <v>3.7548519825641204E-2</v>
      </c>
      <c r="H105" s="99">
        <f>G105+'18 '!H105</f>
        <v>0.7686345381822689</v>
      </c>
      <c r="I105" s="187"/>
      <c r="J105" s="188">
        <f>H105/DAY(B2)</f>
        <v>4.0454449378014151E-2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93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49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'18 '!F112</f>
        <v>8564.67</v>
      </c>
      <c r="F112" s="237">
        <v>8634</v>
      </c>
      <c r="G112" s="475">
        <f t="shared" ref="G112:G123" si="9">F112-E112</f>
        <v>69.329999999999927</v>
      </c>
      <c r="H112" s="99">
        <f>G112+'18 '!H112</f>
        <v>1369</v>
      </c>
      <c r="I112" s="165"/>
      <c r="J112" s="328">
        <f>H112/DAY(B2)</f>
        <v>72.05263157894737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'18 '!F113</f>
        <v>17534.599999999999</v>
      </c>
      <c r="F113" s="237">
        <v>17675.2</v>
      </c>
      <c r="G113" s="475">
        <f t="shared" si="9"/>
        <v>140.60000000000218</v>
      </c>
      <c r="H113" s="99">
        <f>G113+'18 '!H113</f>
        <v>2660.2000000000007</v>
      </c>
      <c r="I113" s="165"/>
      <c r="J113" s="328">
        <f>H113/DAY(B2)</f>
        <v>140.01052631578952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'18 '!F114</f>
        <v>25213.9</v>
      </c>
      <c r="F114" s="237">
        <v>25438.799999999999</v>
      </c>
      <c r="G114" s="475">
        <f t="shared" si="9"/>
        <v>224.89999999999782</v>
      </c>
      <c r="H114" s="99">
        <f>G114+'18 '!H114</f>
        <v>4170.7999999999993</v>
      </c>
      <c r="I114" s="165"/>
      <c r="J114" s="328">
        <f>H114/DAY(B2)</f>
        <v>219.51578947368418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'18 '!F115</f>
        <v>15826</v>
      </c>
      <c r="F115" s="237">
        <v>15946.5</v>
      </c>
      <c r="G115" s="475">
        <f t="shared" si="9"/>
        <v>120.5</v>
      </c>
      <c r="H115" s="99">
        <f>G115+'18 '!H115</f>
        <v>2371.0200000000004</v>
      </c>
      <c r="I115" s="165"/>
      <c r="J115" s="328">
        <f>H115/DAY(B2)</f>
        <v>124.79052631578949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'18 '!F116</f>
        <v>78069.2</v>
      </c>
      <c r="F116" s="417">
        <v>78518.8</v>
      </c>
      <c r="G116" s="475">
        <f t="shared" si="9"/>
        <v>449.60000000000582</v>
      </c>
      <c r="H116" s="99">
        <f>G116+'18 '!H116</f>
        <v>8026.8000000000029</v>
      </c>
      <c r="I116" s="165"/>
      <c r="J116" s="328">
        <f>H116/DAY(B2)</f>
        <v>422.46315789473698</v>
      </c>
      <c r="Q116" s="898"/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'18 '!F117</f>
        <v>45163.199999999997</v>
      </c>
      <c r="F117" s="237">
        <v>45428.3</v>
      </c>
      <c r="G117" s="475">
        <f t="shared" si="9"/>
        <v>265.10000000000582</v>
      </c>
      <c r="H117" s="99">
        <f>G117+'18 '!H117</f>
        <v>4506.3000000000029</v>
      </c>
      <c r="I117" s="165"/>
      <c r="J117" s="328">
        <f>H117/DAY(B2)</f>
        <v>237.17368421052646</v>
      </c>
      <c r="Q117" s="898"/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'18 '!F118</f>
        <v>75310.7</v>
      </c>
      <c r="F118" s="237">
        <v>75909.899999999994</v>
      </c>
      <c r="G118" s="475">
        <f t="shared" si="9"/>
        <v>599.19999999999709</v>
      </c>
      <c r="H118" s="99">
        <f>G118+'18 '!H118</f>
        <v>11237.899999999994</v>
      </c>
      <c r="I118" s="165"/>
      <c r="J118" s="328">
        <f>H118/DAY(B2)</f>
        <v>591.46842105263124</v>
      </c>
      <c r="Q118" s="898"/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'18 '!F119</f>
        <v>41583.199999999997</v>
      </c>
      <c r="F119" s="237">
        <v>41670.1</v>
      </c>
      <c r="G119" s="475">
        <f t="shared" si="9"/>
        <v>86.900000000001455</v>
      </c>
      <c r="H119" s="99">
        <f>G119+'18 '!H119</f>
        <v>4221.0999999999985</v>
      </c>
      <c r="I119" s="165"/>
      <c r="J119" s="328">
        <f>H119/DAY(B2)</f>
        <v>222.16315789473677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'18 '!F120</f>
        <v>53704.6</v>
      </c>
      <c r="F120" s="237">
        <v>54109</v>
      </c>
      <c r="G120" s="475">
        <f t="shared" si="9"/>
        <v>404.40000000000146</v>
      </c>
      <c r="H120" s="99">
        <f>G120+'18 '!H120</f>
        <v>7842</v>
      </c>
      <c r="I120" s="165"/>
      <c r="J120" s="328">
        <f>H120/DAY(B2)</f>
        <v>412.73684210526318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'18 '!F121</f>
        <v>62029.69</v>
      </c>
      <c r="F121" s="237">
        <v>62482.2</v>
      </c>
      <c r="G121" s="475">
        <f t="shared" si="9"/>
        <v>452.50999999999476</v>
      </c>
      <c r="H121" s="99">
        <f>G121+'18 '!H121</f>
        <v>8939.1999999999971</v>
      </c>
      <c r="I121" s="165"/>
      <c r="J121" s="328">
        <f>H121/DAY(B2)</f>
        <v>470.48421052631562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'18 '!F122</f>
        <v>34410.089999999997</v>
      </c>
      <c r="F122" s="237">
        <v>34769.800000000003</v>
      </c>
      <c r="G122" s="475">
        <f t="shared" si="9"/>
        <v>359.7100000000064</v>
      </c>
      <c r="H122" s="99">
        <f>G122+'18 '!H122</f>
        <v>6095.8000000000029</v>
      </c>
      <c r="I122" s="165"/>
      <c r="J122" s="328">
        <f>H122/DAY(B2)</f>
        <v>320.8315789473686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'18 '!F123</f>
        <v>36041.699999999997</v>
      </c>
      <c r="F123" s="237">
        <v>36363.269999999997</v>
      </c>
      <c r="G123" s="475">
        <f t="shared" si="9"/>
        <v>321.56999999999971</v>
      </c>
      <c r="H123" s="99">
        <f>G123+'18 '!H123</f>
        <v>6175.2699999999968</v>
      </c>
      <c r="I123" s="165"/>
      <c r="J123" s="328">
        <f>H123/DAY(B2)</f>
        <v>325.01421052631559</v>
      </c>
    </row>
    <row r="124" spans="1:18" ht="29.25" customHeight="1">
      <c r="A124" s="902"/>
      <c r="B124" s="903"/>
      <c r="C124" s="904"/>
      <c r="D124" s="165"/>
      <c r="E124" s="95">
        <f>'18 '!F124</f>
        <v>0</v>
      </c>
      <c r="F124" s="165"/>
      <c r="G124" s="495"/>
      <c r="H124" s="156"/>
      <c r="I124" s="165"/>
      <c r="J124" s="327"/>
    </row>
    <row r="125" spans="1:18" ht="25.5">
      <c r="A125" s="880" t="s">
        <v>196</v>
      </c>
      <c r="B125" s="881"/>
      <c r="C125" s="245"/>
      <c r="D125" s="307"/>
      <c r="E125" s="308"/>
      <c r="F125" s="308"/>
      <c r="G125" s="496">
        <f>SUM(G112:G124)</f>
        <v>3494.3200000000124</v>
      </c>
      <c r="H125" s="156"/>
      <c r="I125" s="327">
        <f>G125-(G39+G53)</f>
        <v>-790.32999999998174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496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'18 '!F128</f>
        <v>136747.45000000001</v>
      </c>
      <c r="F128" s="165">
        <v>137166.71</v>
      </c>
      <c r="G128" s="475">
        <f t="shared" ref="G128:G134" si="10">F128-E128</f>
        <v>419.25999999998021</v>
      </c>
      <c r="H128" s="99">
        <f>G128+'18 '!H128</f>
        <v>9522.7099999999919</v>
      </c>
      <c r="I128" s="165"/>
      <c r="J128" s="328">
        <f>H128/DAY(B2)</f>
        <v>501.19526315789432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'18 '!F129</f>
        <v>76006.23</v>
      </c>
      <c r="F129" s="165">
        <v>76249.37</v>
      </c>
      <c r="G129" s="475">
        <f t="shared" si="10"/>
        <v>243.13999999999942</v>
      </c>
      <c r="H129" s="99">
        <f>G129+'18 '!H129</f>
        <v>3746.3699999999953</v>
      </c>
      <c r="I129" s="165"/>
      <c r="J129" s="328">
        <f>H129/DAY(B2)</f>
        <v>197.17736842105239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'18 '!F130</f>
        <v>176979.89</v>
      </c>
      <c r="F130" s="158">
        <v>177702.35</v>
      </c>
      <c r="G130" s="475">
        <f t="shared" si="10"/>
        <v>722.45999999999185</v>
      </c>
      <c r="H130" s="99">
        <f>G130+'18 '!H130</f>
        <v>12566.829999999987</v>
      </c>
      <c r="I130" s="165"/>
      <c r="J130" s="328">
        <f>H130/DAY(B2)</f>
        <v>661.41210526315717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'18 '!F131</f>
        <v>51817.3</v>
      </c>
      <c r="F131" s="165">
        <v>52009.32</v>
      </c>
      <c r="G131" s="475">
        <f t="shared" si="10"/>
        <v>192.0199999999968</v>
      </c>
      <c r="H131" s="99">
        <f>G131+'18 '!H131</f>
        <v>3560.3199999999997</v>
      </c>
      <c r="I131" s="165"/>
      <c r="J131" s="328">
        <f>H131/DAY(B2)</f>
        <v>187.38526315789471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'18 '!F132</f>
        <v>135538.89000000001</v>
      </c>
      <c r="F132" s="165">
        <v>135956.45000000001</v>
      </c>
      <c r="G132" s="475">
        <f t="shared" si="10"/>
        <v>417.55999999999767</v>
      </c>
      <c r="H132" s="99">
        <f>G132+'18 '!H132</f>
        <v>7782.4500000000116</v>
      </c>
      <c r="I132" s="165"/>
      <c r="J132" s="328">
        <f>H132/DAY(B2)</f>
        <v>409.60263157894798</v>
      </c>
    </row>
    <row r="133" spans="1:15" ht="25.5">
      <c r="A133" s="898" t="s">
        <v>359</v>
      </c>
      <c r="B133" s="899"/>
      <c r="C133" s="900"/>
      <c r="D133" s="151" t="s">
        <v>183</v>
      </c>
      <c r="E133" s="95">
        <f>'18 '!F133</f>
        <v>229430</v>
      </c>
      <c r="F133" s="165">
        <v>230341.67</v>
      </c>
      <c r="G133" s="475">
        <f t="shared" si="10"/>
        <v>911.67000000001281</v>
      </c>
      <c r="H133" s="99">
        <f>G133+'18 '!H133</f>
        <v>7937.1000000000058</v>
      </c>
      <c r="I133" s="165"/>
      <c r="J133" s="328">
        <f>H133/DAY(B2)</f>
        <v>417.74210526315818</v>
      </c>
    </row>
    <row r="134" spans="1:15" ht="25.5">
      <c r="A134" s="898" t="s">
        <v>340</v>
      </c>
      <c r="B134" s="899"/>
      <c r="C134" s="900"/>
      <c r="D134" s="151" t="s">
        <v>183</v>
      </c>
      <c r="E134" s="95">
        <f>'18 '!F134</f>
        <v>52941.2</v>
      </c>
      <c r="F134" s="165">
        <v>53187.74</v>
      </c>
      <c r="G134" s="475">
        <f t="shared" si="10"/>
        <v>246.54000000000087</v>
      </c>
      <c r="H134" s="99">
        <f>G134+'18 '!H134</f>
        <v>4152.739999999998</v>
      </c>
      <c r="I134" s="165"/>
      <c r="J134" s="328">
        <f>H134/DAY(B2)</f>
        <v>218.56526315789463</v>
      </c>
    </row>
    <row r="135" spans="1:15" ht="25.5">
      <c r="A135" s="880" t="s">
        <v>196</v>
      </c>
      <c r="B135" s="881"/>
      <c r="C135" s="331"/>
      <c r="D135" s="151"/>
      <c r="E135" s="95"/>
      <c r="F135" s="165"/>
      <c r="G135" s="475">
        <f>SUM(G128:G134)</f>
        <v>3152.6499999999796</v>
      </c>
      <c r="H135" s="99">
        <f>G135+'10'!H135</f>
        <v>24951.619999999966</v>
      </c>
      <c r="I135" s="327">
        <f>G135-(G35+G49)</f>
        <v>-821.30999999998312</v>
      </c>
      <c r="J135" s="328"/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49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'18 '!F138</f>
        <v>893672</v>
      </c>
      <c r="F138" s="147">
        <v>893806</v>
      </c>
      <c r="G138" s="475">
        <f t="shared" ref="G138:G152" si="11">F138-E138</f>
        <v>134</v>
      </c>
      <c r="H138" s="99">
        <f>G138+'18 '!H138</f>
        <v>2695</v>
      </c>
      <c r="I138" s="118"/>
      <c r="J138" s="328">
        <f>H138/DAY(B2)</f>
        <v>141.84210526315789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'18 '!F139</f>
        <v>911685</v>
      </c>
      <c r="F139" s="148">
        <v>911809</v>
      </c>
      <c r="G139" s="475">
        <f t="shared" si="11"/>
        <v>124</v>
      </c>
      <c r="H139" s="99">
        <f>G139+'18 '!H139</f>
        <v>2914</v>
      </c>
      <c r="I139" s="118"/>
      <c r="J139" s="328">
        <f>H139/DAY(B2)</f>
        <v>153.36842105263159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'18 '!F140</f>
        <v>1769</v>
      </c>
      <c r="F140" s="148">
        <v>1787.4</v>
      </c>
      <c r="G140" s="475">
        <f t="shared" si="11"/>
        <v>18.400000000000091</v>
      </c>
      <c r="H140" s="99">
        <f>G140+'18 '!H140</f>
        <v>274.40000000000009</v>
      </c>
      <c r="I140" s="118"/>
      <c r="J140" s="328">
        <f>H140/DAY(B2)</f>
        <v>14.442105263157899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'18 '!F141</f>
        <v>94051.3</v>
      </c>
      <c r="F141" s="148">
        <v>94267.56</v>
      </c>
      <c r="G141" s="475">
        <f t="shared" si="11"/>
        <v>216.25999999999476</v>
      </c>
      <c r="H141" s="99">
        <f>G141+'18 '!H141</f>
        <v>3815.5599999999977</v>
      </c>
      <c r="I141" s="118"/>
      <c r="J141" s="328">
        <f>H141/DAY(B2)</f>
        <v>200.81894736842094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'18 '!F142</f>
        <v>38142.129999999997</v>
      </c>
      <c r="F142" s="148">
        <v>38228.75</v>
      </c>
      <c r="G142" s="475">
        <f t="shared" si="11"/>
        <v>86.620000000002619</v>
      </c>
      <c r="H142" s="99">
        <f>G142+'18 '!H142</f>
        <v>1567.75</v>
      </c>
      <c r="I142" s="140"/>
      <c r="J142" s="328">
        <f>H142/DAY(B2)</f>
        <v>82.513157894736835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'18 '!F143</f>
        <v>9518.83</v>
      </c>
      <c r="F143" s="148">
        <v>9546.83</v>
      </c>
      <c r="G143" s="475">
        <f t="shared" si="11"/>
        <v>28</v>
      </c>
      <c r="H143" s="99">
        <f>G143+'18 '!H143</f>
        <v>495.82999999999993</v>
      </c>
      <c r="I143" s="140"/>
      <c r="J143" s="328">
        <f>H143/DAY(B2)</f>
        <v>26.096315789473682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'18 '!F144</f>
        <v>923822</v>
      </c>
      <c r="F144" s="148">
        <v>924038</v>
      </c>
      <c r="G144" s="475">
        <f t="shared" si="11"/>
        <v>216</v>
      </c>
      <c r="H144" s="99">
        <f>G144+'18 '!H144</f>
        <v>4201</v>
      </c>
      <c r="I144" s="140"/>
      <c r="J144" s="328">
        <f>H144/DAY(B2)</f>
        <v>221.10526315789474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'18 '!F145</f>
        <v>6369.43</v>
      </c>
      <c r="F145" s="148">
        <v>6402.35</v>
      </c>
      <c r="G145" s="475">
        <f t="shared" si="11"/>
        <v>32.920000000000073</v>
      </c>
      <c r="H145" s="99">
        <f>G145+'18 '!H145</f>
        <v>595.35000000000036</v>
      </c>
      <c r="I145" s="140"/>
      <c r="J145" s="328">
        <f>H145/DAY(B2)</f>
        <v>31.334210526315807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'18 '!F146</f>
        <v>782175</v>
      </c>
      <c r="F146" s="148">
        <v>782223</v>
      </c>
      <c r="G146" s="475">
        <f t="shared" si="11"/>
        <v>48</v>
      </c>
      <c r="H146" s="99">
        <f>G146+'18 '!H146</f>
        <v>1423</v>
      </c>
      <c r="I146" s="140"/>
      <c r="J146" s="328">
        <f>H146/DAY(B2)</f>
        <v>74.89473684210526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'18 '!F147</f>
        <v>706704.48</v>
      </c>
      <c r="F147" s="148">
        <v>707088.88</v>
      </c>
      <c r="G147" s="475">
        <f t="shared" si="11"/>
        <v>384.40000000002328</v>
      </c>
      <c r="H147" s="99">
        <f>G147+'18 '!H147</f>
        <v>7319.8800000000047</v>
      </c>
      <c r="I147" s="140"/>
      <c r="J147" s="328">
        <f>H147/DAY(B2)</f>
        <v>385.25684210526339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'18 '!F148</f>
        <v>753979.5</v>
      </c>
      <c r="F148" s="164">
        <v>754238.16</v>
      </c>
      <c r="G148" s="475">
        <f t="shared" si="11"/>
        <v>258.6600000000326</v>
      </c>
      <c r="H148" s="99">
        <f>G148+'18 '!H148</f>
        <v>5708.1600000000326</v>
      </c>
      <c r="I148" s="124"/>
      <c r="J148" s="328">
        <f>H148/DAY(B2)</f>
        <v>300.42947368421227</v>
      </c>
    </row>
    <row r="149" spans="1:10" ht="25.5">
      <c r="A149" s="877" t="s">
        <v>336</v>
      </c>
      <c r="B149" s="878"/>
      <c r="C149" s="879"/>
      <c r="D149" s="227" t="s">
        <v>130</v>
      </c>
      <c r="E149" s="95">
        <f>'18 '!F149</f>
        <v>140895</v>
      </c>
      <c r="F149" s="416">
        <v>141333.14000000001</v>
      </c>
      <c r="G149" s="475">
        <f t="shared" si="11"/>
        <v>438.14000000001397</v>
      </c>
      <c r="H149" s="99">
        <f>G149+'18 '!H149</f>
        <v>8899.140000000014</v>
      </c>
      <c r="I149" s="119"/>
      <c r="J149" s="328">
        <f>H149/DAY(B2)</f>
        <v>468.37578947368496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'18 '!F150</f>
        <v>54609.42</v>
      </c>
      <c r="F150" s="233">
        <v>54824.74</v>
      </c>
      <c r="G150" s="475">
        <f t="shared" si="11"/>
        <v>215.31999999999971</v>
      </c>
      <c r="H150" s="99">
        <f>G150+'18 '!H150</f>
        <v>4209.739999999998</v>
      </c>
      <c r="I150" s="119"/>
      <c r="J150" s="328">
        <f>H150/DAY(B2)</f>
        <v>221.56526315789463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'18 '!F151</f>
        <v>140290</v>
      </c>
      <c r="F151" s="233">
        <v>140521</v>
      </c>
      <c r="G151" s="475">
        <f t="shared" si="11"/>
        <v>231</v>
      </c>
      <c r="H151" s="99">
        <f>G151+'18 '!H151</f>
        <v>5072</v>
      </c>
      <c r="I151" s="119"/>
      <c r="J151" s="328">
        <f>H151/DAY(B2)</f>
        <v>266.94736842105266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'18 '!F152</f>
        <v>25312.46</v>
      </c>
      <c r="F152" s="233">
        <v>25436.7</v>
      </c>
      <c r="G152" s="475">
        <f t="shared" si="11"/>
        <v>124.2400000000016</v>
      </c>
      <c r="H152" s="99">
        <f>G152+'18 '!H152</f>
        <v>2282.7000000000007</v>
      </c>
      <c r="I152" s="119"/>
      <c r="J152" s="328">
        <f>H152/DAY(B2)</f>
        <v>120.14210526315793</v>
      </c>
    </row>
    <row r="153" spans="1:10" ht="25.5">
      <c r="A153" s="880" t="s">
        <v>196</v>
      </c>
      <c r="B153" s="881"/>
      <c r="C153" s="365"/>
      <c r="D153" s="358"/>
      <c r="E153" s="360"/>
      <c r="F153" s="361"/>
      <c r="G153" s="497">
        <f>SUM(G138:G152)</f>
        <v>2555.9600000000687</v>
      </c>
      <c r="H153" s="363"/>
      <c r="I153" s="119">
        <f>G153-(G38+G52)</f>
        <v>385.00000000004775</v>
      </c>
      <c r="J153" s="366"/>
    </row>
    <row r="154" spans="1:10" ht="27.75">
      <c r="A154" s="884" t="s">
        <v>207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95">
        <f>'18 '!F155</f>
        <v>159637.79999999999</v>
      </c>
      <c r="F155" s="157">
        <v>160217</v>
      </c>
      <c r="G155" s="475">
        <f t="shared" ref="G155:G158" si="12">F155-E155</f>
        <v>579.20000000001164</v>
      </c>
      <c r="H155" s="99">
        <f>G155+'18 '!H155</f>
        <v>12068</v>
      </c>
      <c r="I155" s="364"/>
      <c r="J155" s="328">
        <f>H155/DAY(B2)</f>
        <v>635.15789473684208</v>
      </c>
    </row>
    <row r="156" spans="1:10" ht="25.5">
      <c r="A156" s="876" t="s">
        <v>347</v>
      </c>
      <c r="B156" s="876"/>
      <c r="C156" s="876"/>
      <c r="D156" s="117" t="s">
        <v>130</v>
      </c>
      <c r="E156" s="95">
        <f>'18 '!F156</f>
        <v>16562.650000000001</v>
      </c>
      <c r="F156" s="157">
        <v>16722.650000000001</v>
      </c>
      <c r="G156" s="475">
        <f t="shared" si="12"/>
        <v>160</v>
      </c>
      <c r="H156" s="99">
        <f>G156+'18 '!H156</f>
        <v>1988.6500000000015</v>
      </c>
      <c r="I156" s="165"/>
      <c r="J156" s="328">
        <f>H156/DAY(B2)</f>
        <v>104.66578947368428</v>
      </c>
    </row>
    <row r="157" spans="1:10" ht="25.5">
      <c r="A157" s="877" t="s">
        <v>360</v>
      </c>
      <c r="B157" s="878"/>
      <c r="C157" s="879"/>
      <c r="D157" s="117" t="s">
        <v>130</v>
      </c>
      <c r="E157" s="95">
        <f>'18 '!F157</f>
        <v>29955.08</v>
      </c>
      <c r="F157" s="374">
        <v>30039.5</v>
      </c>
      <c r="G157" s="475">
        <f t="shared" si="12"/>
        <v>84.419999999998254</v>
      </c>
      <c r="H157" s="99"/>
      <c r="I157" s="165"/>
      <c r="J157" s="328"/>
    </row>
    <row r="158" spans="1:10" ht="25.5">
      <c r="A158" s="877" t="s">
        <v>361</v>
      </c>
      <c r="B158" s="878"/>
      <c r="C158" s="879"/>
      <c r="D158" s="117" t="s">
        <v>130</v>
      </c>
      <c r="E158" s="95">
        <f>'18 '!F158</f>
        <v>241.34</v>
      </c>
      <c r="F158" s="374">
        <v>241.39</v>
      </c>
      <c r="G158" s="475">
        <f t="shared" si="12"/>
        <v>4.9999999999982947E-2</v>
      </c>
      <c r="H158" s="99"/>
      <c r="I158" s="165"/>
      <c r="J158" s="328"/>
    </row>
    <row r="159" spans="1:10" ht="25.5">
      <c r="A159" s="962"/>
      <c r="B159" s="963"/>
      <c r="C159" s="964"/>
      <c r="D159" s="117"/>
      <c r="E159" s="95"/>
      <c r="F159" s="165"/>
      <c r="G159" s="475"/>
      <c r="H159" s="99"/>
      <c r="I159" s="165"/>
      <c r="J159" s="328"/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481106.6</v>
      </c>
      <c r="F161" s="235">
        <v>481178.12</v>
      </c>
      <c r="G161" s="498">
        <f t="shared" ref="G161:G165" si="13">F161-E161</f>
        <v>71.520000000018626</v>
      </c>
      <c r="H161" s="99">
        <f>G161+'18 '!H161</f>
        <v>131.11999999999534</v>
      </c>
      <c r="I161" s="236"/>
      <c r="J161" s="239">
        <f>H161/DAY(B2)</f>
        <v>6.9010526315787022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95651.199999999997</v>
      </c>
      <c r="F162" s="235">
        <v>95695.5</v>
      </c>
      <c r="G162" s="498">
        <f t="shared" si="13"/>
        <v>44.30000000000291</v>
      </c>
      <c r="H162" s="99">
        <f>G162+'18 '!H162</f>
        <v>767.5</v>
      </c>
      <c r="I162" s="236"/>
      <c r="J162" s="239">
        <f>H162/DAY(B2)</f>
        <v>40.39473684210526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8562.7999999999993</v>
      </c>
      <c r="F163" s="235">
        <v>8664.6</v>
      </c>
      <c r="G163" s="498">
        <f t="shared" si="13"/>
        <v>101.80000000000109</v>
      </c>
      <c r="H163" s="99">
        <f>G163+'18 '!H163</f>
        <v>2163.6000000000004</v>
      </c>
      <c r="I163" s="236"/>
      <c r="J163" s="239">
        <f>H163/DAY(B2)</f>
        <v>113.87368421052633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6327</v>
      </c>
      <c r="F164" s="235">
        <v>6332.2</v>
      </c>
      <c r="G164" s="498">
        <f t="shared" si="13"/>
        <v>5.1999999999998181</v>
      </c>
      <c r="H164" s="99">
        <f>G164+'18 '!H164</f>
        <v>52.199999999999818</v>
      </c>
      <c r="I164" s="236"/>
      <c r="J164" s="239">
        <f>H164/DAY(B2)</f>
        <v>2.7473684210526219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31771.39</v>
      </c>
      <c r="F165" s="235">
        <v>31779.3</v>
      </c>
      <c r="G165" s="498">
        <f t="shared" si="13"/>
        <v>7.9099999999998545</v>
      </c>
      <c r="H165" s="99">
        <f>G165+'18 '!H165</f>
        <v>145.29999999999927</v>
      </c>
      <c r="I165" s="236"/>
      <c r="J165" s="239">
        <f>H165/DAY(B2)</f>
        <v>7.647368421052593</v>
      </c>
    </row>
    <row r="166" spans="1:10" ht="26.25">
      <c r="A166" s="885"/>
      <c r="B166" s="885"/>
      <c r="C166" s="246"/>
      <c r="D166" s="244"/>
      <c r="E166" s="95"/>
      <c r="F166" s="165"/>
      <c r="G166" s="495"/>
      <c r="H166" s="99"/>
      <c r="I166" s="165"/>
      <c r="J166" s="239"/>
    </row>
    <row r="167" spans="1:10" ht="26.25">
      <c r="A167" s="885"/>
      <c r="B167" s="885"/>
      <c r="C167" s="246"/>
      <c r="D167" s="244"/>
      <c r="E167" s="95"/>
      <c r="F167" s="165"/>
      <c r="G167" s="495"/>
      <c r="H167" s="99"/>
      <c r="I167" s="165"/>
      <c r="J167" s="239"/>
    </row>
    <row r="168" spans="1:10" ht="26.25">
      <c r="A168" s="885"/>
      <c r="B168" s="885"/>
      <c r="C168" s="246"/>
      <c r="D168" s="244"/>
      <c r="E168" s="95"/>
      <c r="F168" s="165"/>
      <c r="G168" s="495"/>
      <c r="H168" s="99"/>
      <c r="I168" s="165"/>
      <c r="J168" s="239"/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895"/>
      <c r="B172" s="896"/>
      <c r="C172" s="332"/>
      <c r="D172" s="228"/>
      <c r="E172" s="155"/>
      <c r="F172" s="155"/>
      <c r="G172" s="499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'18 '!F173</f>
        <v>8276</v>
      </c>
      <c r="F173" s="157">
        <v>8276</v>
      </c>
      <c r="G173" s="499">
        <f>F173-E173</f>
        <v>0</v>
      </c>
      <c r="H173" s="99">
        <f>G173+'18 '!H173</f>
        <v>41</v>
      </c>
      <c r="I173" s="155"/>
      <c r="J173" s="178">
        <f>H173/DAY(B2)</f>
        <v>2.1578947368421053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'18 '!F174</f>
        <v>41448</v>
      </c>
      <c r="F174" s="157">
        <v>41458</v>
      </c>
      <c r="G174" s="499">
        <f t="shared" ref="G174:G175" si="14">F174-E174</f>
        <v>10</v>
      </c>
      <c r="H174" s="99">
        <f>G174+'18 '!H174</f>
        <v>254</v>
      </c>
      <c r="I174" s="155"/>
      <c r="J174" s="178">
        <f>H174/DAY(B2)</f>
        <v>13.368421052631579</v>
      </c>
    </row>
    <row r="175" spans="1:10" ht="25.5">
      <c r="A175" s="891" t="s">
        <v>76</v>
      </c>
      <c r="B175" s="931"/>
      <c r="C175" s="892"/>
      <c r="D175" s="228" t="s">
        <v>142</v>
      </c>
      <c r="E175" s="95">
        <f>'18 '!F175</f>
        <v>24234</v>
      </c>
      <c r="F175" s="155">
        <v>24245</v>
      </c>
      <c r="G175" s="499">
        <f t="shared" si="14"/>
        <v>11</v>
      </c>
      <c r="H175" s="99">
        <f>G175+'18 '!H175</f>
        <v>214</v>
      </c>
      <c r="I175" s="155"/>
      <c r="J175" s="178">
        <f>H175/DAY(B2)</f>
        <v>11.263157894736842</v>
      </c>
    </row>
    <row r="176" spans="1:10" ht="25.5">
      <c r="A176" s="880" t="s">
        <v>196</v>
      </c>
      <c r="B176" s="881"/>
      <c r="C176" s="401"/>
      <c r="D176" s="228" t="s">
        <v>142</v>
      </c>
      <c r="E176" s="95"/>
      <c r="F176" s="155"/>
      <c r="G176" s="499">
        <f>SUM(G173:G175)</f>
        <v>21</v>
      </c>
      <c r="H176" s="99">
        <f>G176+'18 '!H176</f>
        <v>509</v>
      </c>
      <c r="I176" s="155"/>
      <c r="J176" s="178">
        <f>H176/DAY(B2)</f>
        <v>26.789473684210527</v>
      </c>
    </row>
    <row r="177" spans="1:11" ht="25.5">
      <c r="A177" s="891" t="s">
        <v>77</v>
      </c>
      <c r="B177" s="892"/>
      <c r="C177" s="333"/>
      <c r="D177" s="228" t="s">
        <v>142</v>
      </c>
      <c r="E177" s="95"/>
      <c r="F177" s="155"/>
      <c r="G177" s="499"/>
      <c r="H177" s="99">
        <f>G177+'18 '!H177</f>
        <v>0</v>
      </c>
      <c r="I177" s="155"/>
      <c r="J177" s="178">
        <f>H177/DAY(B2)</f>
        <v>0</v>
      </c>
    </row>
    <row r="178" spans="1:11" ht="25.5">
      <c r="A178" s="891" t="s">
        <v>210</v>
      </c>
      <c r="B178" s="892"/>
      <c r="C178" s="333"/>
      <c r="D178" s="228" t="s">
        <v>142</v>
      </c>
      <c r="E178" s="95">
        <f>'18 '!F178</f>
        <v>99140</v>
      </c>
      <c r="F178" s="155">
        <v>99207</v>
      </c>
      <c r="G178" s="499">
        <f>F178-E178</f>
        <v>67</v>
      </c>
      <c r="H178" s="99">
        <f>G178+'18 '!H178</f>
        <v>1494</v>
      </c>
      <c r="I178" s="155"/>
      <c r="J178" s="178">
        <f>H178/DAY(B2)</f>
        <v>78.631578947368425</v>
      </c>
    </row>
    <row r="179" spans="1:11" ht="25.5">
      <c r="A179" s="891" t="s">
        <v>211</v>
      </c>
      <c r="B179" s="892"/>
      <c r="C179" s="333"/>
      <c r="D179" s="228" t="s">
        <v>142</v>
      </c>
      <c r="E179" s="95">
        <f>'18 '!F179</f>
        <v>36002</v>
      </c>
      <c r="F179" s="155">
        <v>36002</v>
      </c>
      <c r="G179" s="499">
        <f t="shared" ref="G179:G180" si="15">F179-E179</f>
        <v>0</v>
      </c>
      <c r="H179" s="99">
        <f>G179+'18 '!H179</f>
        <v>0</v>
      </c>
      <c r="I179" s="155"/>
      <c r="J179" s="178">
        <f>H179/DAY(B2)</f>
        <v>0</v>
      </c>
    </row>
    <row r="180" spans="1:11" ht="25.5">
      <c r="A180" s="891" t="s">
        <v>212</v>
      </c>
      <c r="B180" s="892"/>
      <c r="C180" s="333"/>
      <c r="D180" s="228" t="s">
        <v>142</v>
      </c>
      <c r="E180" s="95">
        <f>'18 '!F180</f>
        <v>37099</v>
      </c>
      <c r="F180" s="155">
        <v>37121</v>
      </c>
      <c r="G180" s="499">
        <f t="shared" si="15"/>
        <v>22</v>
      </c>
      <c r="H180" s="99">
        <f>G180+'18 '!H180</f>
        <v>104</v>
      </c>
      <c r="I180" s="155"/>
      <c r="J180" s="178">
        <f>H180/DAY(B2)</f>
        <v>5.4736842105263159</v>
      </c>
    </row>
    <row r="181" spans="1:11" ht="25.5">
      <c r="A181" s="893" t="s">
        <v>108</v>
      </c>
      <c r="B181" s="894"/>
      <c r="C181" s="401"/>
      <c r="D181" s="228" t="s">
        <v>142</v>
      </c>
      <c r="E181" s="95"/>
      <c r="F181" s="155"/>
      <c r="G181" s="499">
        <f>SUM(G178:G180)</f>
        <v>89</v>
      </c>
      <c r="H181" s="99">
        <f>G181+'18 '!H181</f>
        <v>1598</v>
      </c>
      <c r="I181" s="155"/>
      <c r="J181" s="178">
        <f>H181/DAY(B2)</f>
        <v>84.10526315789474</v>
      </c>
    </row>
    <row r="182" spans="1:11" ht="25.5">
      <c r="A182" s="891" t="s">
        <v>213</v>
      </c>
      <c r="B182" s="892"/>
      <c r="C182" s="333"/>
      <c r="D182" s="228" t="s">
        <v>142</v>
      </c>
      <c r="E182" s="95"/>
      <c r="F182" s="155"/>
      <c r="G182" s="499"/>
      <c r="H182" s="99">
        <f>G182+'18 '!H182</f>
        <v>0</v>
      </c>
      <c r="I182" s="155"/>
      <c r="J182" s="178">
        <f>H182/DAY(B2)</f>
        <v>0</v>
      </c>
    </row>
    <row r="183" spans="1:11" ht="25.5">
      <c r="A183" s="891" t="s">
        <v>214</v>
      </c>
      <c r="B183" s="892"/>
      <c r="C183" s="334"/>
      <c r="D183" s="228" t="s">
        <v>142</v>
      </c>
      <c r="E183" s="95">
        <f>'18 '!F183</f>
        <v>17609</v>
      </c>
      <c r="F183" s="157">
        <v>17616</v>
      </c>
      <c r="G183" s="500">
        <f>F183-E183</f>
        <v>7</v>
      </c>
      <c r="H183" s="99">
        <f>G183+'18 '!H183</f>
        <v>143</v>
      </c>
      <c r="I183" s="155"/>
      <c r="J183" s="178">
        <f>H183/DAY(B2)</f>
        <v>7.5263157894736841</v>
      </c>
    </row>
    <row r="184" spans="1:11" ht="25.5">
      <c r="A184" s="891" t="s">
        <v>215</v>
      </c>
      <c r="B184" s="892"/>
      <c r="C184" s="334"/>
      <c r="D184" s="228" t="s">
        <v>142</v>
      </c>
      <c r="E184" s="95">
        <f>'18 '!F184</f>
        <v>12076</v>
      </c>
      <c r="F184" s="157">
        <v>12082</v>
      </c>
      <c r="G184" s="500">
        <f t="shared" ref="G184:G185" si="16">F184-E184</f>
        <v>6</v>
      </c>
      <c r="H184" s="99">
        <f>G184+'18 '!H184</f>
        <v>147</v>
      </c>
      <c r="I184" s="155"/>
      <c r="J184" s="178">
        <f>H184/DAY(B2)</f>
        <v>7.7368421052631575</v>
      </c>
    </row>
    <row r="185" spans="1:11" ht="30.75" customHeight="1">
      <c r="A185" s="891" t="s">
        <v>216</v>
      </c>
      <c r="B185" s="892"/>
      <c r="C185" s="334"/>
      <c r="D185" s="228" t="s">
        <v>142</v>
      </c>
      <c r="E185" s="95">
        <f>'18 '!F185</f>
        <v>0</v>
      </c>
      <c r="F185" s="157"/>
      <c r="G185" s="500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880" t="s">
        <v>196</v>
      </c>
      <c r="B186" s="881"/>
      <c r="C186" s="400"/>
      <c r="D186" s="228" t="s">
        <v>142</v>
      </c>
      <c r="E186" s="95"/>
      <c r="F186" s="157"/>
      <c r="G186" s="500">
        <f>SUM(G183:G185)</f>
        <v>13</v>
      </c>
      <c r="H186" s="99">
        <f>G186+'18 '!H186</f>
        <v>290</v>
      </c>
      <c r="I186" s="157"/>
      <c r="J186" s="178">
        <f>H186/DAY(B2)</f>
        <v>15.263157894736842</v>
      </c>
    </row>
    <row r="187" spans="1:11" ht="25.5">
      <c r="A187" s="882" t="s">
        <v>217</v>
      </c>
      <c r="B187" s="883"/>
      <c r="C187" s="333"/>
      <c r="D187" s="230" t="s">
        <v>142</v>
      </c>
      <c r="E187" s="95"/>
      <c r="F187" s="159"/>
      <c r="G187" s="501">
        <f>G62+G19</f>
        <v>149</v>
      </c>
      <c r="H187" s="99">
        <f>G187+'18 '!H187</f>
        <v>3018</v>
      </c>
      <c r="I187" s="158"/>
      <c r="J187" s="179">
        <f>H187/DAY(B2)</f>
        <v>158.84210526315789</v>
      </c>
    </row>
    <row r="188" spans="1:11" ht="25.5">
      <c r="A188" s="882" t="s">
        <v>218</v>
      </c>
      <c r="B188" s="883"/>
      <c r="C188" s="333"/>
      <c r="D188" s="230" t="s">
        <v>142</v>
      </c>
      <c r="E188" s="95"/>
      <c r="F188" s="159"/>
      <c r="G188" s="501">
        <f>G65+G66+G67+G69+G70</f>
        <v>163</v>
      </c>
      <c r="H188" s="99">
        <f>G188+'18 '!H188</f>
        <v>794</v>
      </c>
      <c r="I188" s="158"/>
      <c r="J188" s="179">
        <f>H188/DAY(B2)</f>
        <v>41.789473684210527</v>
      </c>
    </row>
    <row r="189" spans="1:11" ht="25.5">
      <c r="A189" s="882" t="s">
        <v>219</v>
      </c>
      <c r="B189" s="883"/>
      <c r="C189" s="333"/>
      <c r="D189" s="230" t="s">
        <v>142</v>
      </c>
      <c r="E189" s="95"/>
      <c r="F189" s="157"/>
      <c r="G189" s="501">
        <f>G181</f>
        <v>89</v>
      </c>
      <c r="H189" s="99">
        <f>G189+'30'!H238</f>
        <v>89</v>
      </c>
      <c r="I189" s="158"/>
      <c r="J189" s="179">
        <f>H189/DAY(B2)</f>
        <v>4.6842105263157894</v>
      </c>
    </row>
    <row r="190" spans="1:11" ht="23.25" customHeight="1">
      <c r="A190" s="245"/>
      <c r="B190" s="246"/>
      <c r="C190" s="246"/>
      <c r="D190" s="165"/>
      <c r="E190" s="165"/>
      <c r="F190" s="456"/>
      <c r="G190" s="495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zoomScale="55" zoomScaleSheetLayoutView="55" zoomScalePageLayoutView="78" workbookViewId="0">
      <selection activeCell="G185" sqref="G1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349</v>
      </c>
      <c r="B2" s="262">
        <v>44793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'19'!F7</f>
        <v>831587</v>
      </c>
      <c r="F7" s="95">
        <v>857344</v>
      </c>
      <c r="G7" s="112">
        <f>F7-E7</f>
        <v>25757</v>
      </c>
      <c r="H7" s="99">
        <f>G7+'19'!H7</f>
        <v>520885.75</v>
      </c>
      <c r="I7" s="113">
        <v>24000</v>
      </c>
      <c r="J7" s="175">
        <f>H7/DAY(B2)</f>
        <v>26044.287499999999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989184.7</v>
      </c>
      <c r="F8" s="95">
        <f>G7+220+E8</f>
        <v>1015161.7</v>
      </c>
      <c r="G8" s="115">
        <f>F8-E8</f>
        <v>25977</v>
      </c>
      <c r="H8" s="99">
        <f>G8+'19'!H8</f>
        <v>526574.69999999995</v>
      </c>
      <c r="I8" s="116"/>
      <c r="J8" s="175">
        <f>H8/DAY(B2)</f>
        <v>26328.734999999997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3406628.7</v>
      </c>
      <c r="F9" s="469">
        <v>3415064.3</v>
      </c>
      <c r="G9" s="112">
        <f>F9-E9</f>
        <v>8435.5999999996275</v>
      </c>
      <c r="H9" s="99">
        <f>G9+'19'!H9</f>
        <v>135998.29999999981</v>
      </c>
      <c r="I9" s="124">
        <f>I7-J7</f>
        <v>-2044.2874999999985</v>
      </c>
      <c r="J9" s="175">
        <f>H9/DAY(B2)</f>
        <v>6799.9149999999909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2020811.5</v>
      </c>
      <c r="F10" s="353">
        <v>2037455.3</v>
      </c>
      <c r="G10" s="112">
        <f t="shared" ref="G10:G12" si="0">F10-E10</f>
        <v>16643.800000000047</v>
      </c>
      <c r="H10" s="99">
        <f>G10+'19'!H10</f>
        <v>370297.30000000005</v>
      </c>
      <c r="I10" s="282"/>
      <c r="J10" s="175">
        <f>H10/DAY(B2)</f>
        <v>18514.865000000002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37560</v>
      </c>
      <c r="F11" s="95">
        <v>37560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40380</v>
      </c>
      <c r="F12" s="117">
        <v>40380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25079.399999999674</v>
      </c>
      <c r="H13" s="99">
        <f>G13+'19'!H13</f>
        <v>507630.19999999972</v>
      </c>
      <c r="I13" s="120">
        <f>G7-G13</f>
        <v>677.60000000032596</v>
      </c>
      <c r="J13" s="175">
        <f>H13/DAY(B2)</f>
        <v>25381.509999999987</v>
      </c>
      <c r="K13" s="79"/>
      <c r="L13" s="66"/>
      <c r="N13" s="87"/>
      <c r="O13" s="71"/>
    </row>
    <row r="14" spans="1:15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'19'!F15</f>
        <v>2120497</v>
      </c>
      <c r="F15" s="469">
        <v>2121480</v>
      </c>
      <c r="G15" s="112">
        <f>(F15-E15)</f>
        <v>983</v>
      </c>
      <c r="H15" s="99">
        <f>G15+'19'!H15</f>
        <v>20612</v>
      </c>
      <c r="I15" s="113">
        <f>'1'!I15</f>
        <v>800</v>
      </c>
      <c r="J15" s="175">
        <f>H15/DAY(B2)</f>
        <v>1030.5999999999999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-230.59999999999991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'19'!F18</f>
        <v>10</v>
      </c>
      <c r="F18" s="122">
        <v>19</v>
      </c>
      <c r="G18" s="119">
        <f>F18*10</f>
        <v>190</v>
      </c>
      <c r="H18" s="99">
        <f>G18+'19'!H18</f>
        <v>3150</v>
      </c>
      <c r="I18" s="113">
        <f>'1'!I18</f>
        <v>65</v>
      </c>
      <c r="J18" s="175">
        <f>H18/DAY(B2)</f>
        <v>157.5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'19'!F19</f>
        <v>163292</v>
      </c>
      <c r="F19" s="541">
        <v>163343</v>
      </c>
      <c r="G19" s="112">
        <f t="shared" ref="G19" si="1">F19-E19</f>
        <v>51</v>
      </c>
      <c r="H19" s="99">
        <f>G19+'19'!H19</f>
        <v>1008</v>
      </c>
      <c r="I19" s="335"/>
      <c r="J19" s="175">
        <f>H19/DAY(B2)</f>
        <v>50.4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241</v>
      </c>
      <c r="H20" s="99">
        <f>G20+'19'!H20</f>
        <v>4158</v>
      </c>
      <c r="I20" s="336">
        <f>I18-J20</f>
        <v>-142.9</v>
      </c>
      <c r="J20" s="175">
        <f>H20/DAY(B2)</f>
        <v>207.9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1500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4470</v>
      </c>
      <c r="F24" s="128">
        <v>4470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25977</v>
      </c>
      <c r="F27" s="136">
        <v>9</v>
      </c>
      <c r="G27" s="137">
        <f>E27*F27</f>
        <v>233793</v>
      </c>
      <c r="H27" s="99">
        <f>G27+'19'!H27</f>
        <v>4739172.3</v>
      </c>
      <c r="I27" s="138"/>
      <c r="J27" s="175">
        <f>H27/DAY(B2)</f>
        <v>236958.61499999999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983</v>
      </c>
      <c r="F28" s="136">
        <v>70</v>
      </c>
      <c r="G28" s="137">
        <f>E28*F28</f>
        <v>68810</v>
      </c>
      <c r="H28" s="99">
        <f>G28+'19'!H28</f>
        <v>1442840</v>
      </c>
      <c r="I28" s="140"/>
      <c r="J28" s="175">
        <f>H28/DAY(B2)</f>
        <v>72142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G30+'19'!H30</f>
        <v>152208</v>
      </c>
      <c r="I30" s="140"/>
      <c r="J30" s="175">
        <f>H30/DAY(B2)</f>
        <v>7610.4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G31+'19'!H31</f>
        <v>252000</v>
      </c>
      <c r="I31" s="140"/>
      <c r="J31" s="175">
        <f>H31/DAY(B2)</f>
        <v>12600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325504</v>
      </c>
      <c r="H32" s="99">
        <f>G32+'19'!H32</f>
        <v>6586220.2999999998</v>
      </c>
      <c r="I32" s="144"/>
      <c r="J32" s="175">
        <f>H32/DAY(B2)</f>
        <v>329311.01500000001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238713.05</v>
      </c>
      <c r="F35" s="145">
        <v>238713.05</v>
      </c>
      <c r="G35" s="112">
        <f t="shared" ref="G35:G46" si="3">F35-E35</f>
        <v>0</v>
      </c>
      <c r="H35" s="99">
        <f>G35+'19'!H35</f>
        <v>4.9999999988358468E-2</v>
      </c>
      <c r="I35" s="95"/>
      <c r="J35" s="175">
        <f>H35/DAY(B2)</f>
        <v>2.4999999994179236E-3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231800.93</v>
      </c>
      <c r="F36" s="145">
        <v>232765</v>
      </c>
      <c r="G36" s="112">
        <f t="shared" si="3"/>
        <v>964.07000000000698</v>
      </c>
      <c r="H36" s="99">
        <f>G36+'19'!H36</f>
        <v>17235</v>
      </c>
      <c r="I36" s="95"/>
      <c r="J36" s="175">
        <f>H36/DAY(B2)</f>
        <v>861.75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322998.69</v>
      </c>
      <c r="F37" s="418">
        <v>322998.69</v>
      </c>
      <c r="G37" s="112">
        <f t="shared" si="3"/>
        <v>0</v>
      </c>
      <c r="H37" s="99">
        <f>G37+'19'!H37</f>
        <v>-0.30999999999767169</v>
      </c>
      <c r="I37" s="95"/>
      <c r="J37" s="175">
        <f>H37/DAY(B2)</f>
        <v>-1.5499999999883584E-2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499888.27</v>
      </c>
      <c r="F38" s="106">
        <v>502039.87</v>
      </c>
      <c r="G38" s="112">
        <f t="shared" si="3"/>
        <v>2151.5999999999767</v>
      </c>
      <c r="H38" s="99">
        <f>G38+'19'!H38</f>
        <v>44678.869999999995</v>
      </c>
      <c r="I38" s="95"/>
      <c r="J38" s="175">
        <f>H38/DAY(B2)</f>
        <v>2233.9434999999999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591584.18999999994</v>
      </c>
      <c r="F39" s="418">
        <v>591584.18999999994</v>
      </c>
      <c r="G39" s="112">
        <f t="shared" si="3"/>
        <v>0</v>
      </c>
      <c r="H39" s="99">
        <f>G39+'19'!H39</f>
        <v>0.18999999994412065</v>
      </c>
      <c r="I39" s="95"/>
      <c r="J39" s="175">
        <f>H39/DAY(B2)</f>
        <v>9.4999999972060316E-3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123235.08</v>
      </c>
      <c r="F40" s="145">
        <v>124075.09</v>
      </c>
      <c r="G40" s="112">
        <f t="shared" si="3"/>
        <v>840.00999999999476</v>
      </c>
      <c r="H40" s="99">
        <f>G40+'19'!H40</f>
        <v>17299.089999999997</v>
      </c>
      <c r="I40" s="95"/>
      <c r="J40" s="175">
        <f>H40/DAY(B2)</f>
        <v>864.95449999999983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257421.37</v>
      </c>
      <c r="F41" s="145">
        <v>257421.37</v>
      </c>
      <c r="G41" s="112">
        <f t="shared" si="3"/>
        <v>0</v>
      </c>
      <c r="H41" s="99">
        <f>G41+'19'!H41</f>
        <v>45718.369999999995</v>
      </c>
      <c r="I41" s="95"/>
      <c r="J41" s="175">
        <f>H41/DAY(B2)</f>
        <v>2285.9184999999998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774068.47</v>
      </c>
      <c r="F42" s="145">
        <v>779602</v>
      </c>
      <c r="G42" s="112">
        <f t="shared" si="3"/>
        <v>5533.5300000000279</v>
      </c>
      <c r="H42" s="99">
        <f>G42+'19'!H42</f>
        <v>31238</v>
      </c>
      <c r="I42" s="95"/>
      <c r="J42" s="175">
        <f>H42/DAY(B2)</f>
        <v>1561.9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407028</v>
      </c>
      <c r="F43" s="145">
        <v>407028</v>
      </c>
      <c r="G43" s="112">
        <f t="shared" si="3"/>
        <v>0</v>
      </c>
      <c r="H43" s="99">
        <f>G43+'19'!H43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9489.2100000000064</v>
      </c>
      <c r="H47" s="99">
        <f>G47+'19'!H47</f>
        <v>156169.25999999995</v>
      </c>
      <c r="I47" s="95"/>
      <c r="J47" s="175">
        <f>H47/DAY(B2)</f>
        <v>7808.4629999999979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560503.82999999996</v>
      </c>
      <c r="F49" s="423">
        <v>564383.11</v>
      </c>
      <c r="G49" s="112">
        <f t="shared" ref="G49:G58" si="4">F49-E49</f>
        <v>3879.2800000000279</v>
      </c>
      <c r="H49" s="99">
        <f>G49+'19'!H49</f>
        <v>79329.109999999986</v>
      </c>
      <c r="I49" s="95"/>
      <c r="J49" s="175">
        <f>H49/DAY(B2)</f>
        <v>3966.4554999999991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306988.25</v>
      </c>
      <c r="F50" s="423">
        <v>308202.57</v>
      </c>
      <c r="G50" s="112">
        <f t="shared" si="4"/>
        <v>1214.320000000007</v>
      </c>
      <c r="H50" s="145">
        <v>232086</v>
      </c>
      <c r="I50" s="95"/>
      <c r="J50" s="175">
        <f>H50/DAY(B2)</f>
        <v>11604.3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28520.25</v>
      </c>
      <c r="F51" s="423">
        <v>29530.39</v>
      </c>
      <c r="G51" s="112">
        <f t="shared" si="4"/>
        <v>1010.1399999999994</v>
      </c>
      <c r="H51" s="99">
        <f>G51+'19'!H51</f>
        <v>21022.39</v>
      </c>
      <c r="I51" s="95"/>
      <c r="J51" s="175">
        <f>H51/DAY(B2)</f>
        <v>1051.1195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10</v>
      </c>
      <c r="F52" s="423">
        <v>10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117312.75</v>
      </c>
      <c r="F53" s="145">
        <v>121518.26</v>
      </c>
      <c r="G53" s="112">
        <f t="shared" si="4"/>
        <v>4205.5099999999948</v>
      </c>
      <c r="H53" s="99">
        <f>G53+'19'!H53</f>
        <v>87657.26</v>
      </c>
      <c r="I53" s="95"/>
      <c r="J53" s="175">
        <f>H53/DAY(B2)</f>
        <v>4382.8629999999994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93504.9</v>
      </c>
      <c r="F54" s="145">
        <v>93688.27</v>
      </c>
      <c r="G54" s="112">
        <f t="shared" si="4"/>
        <v>183.3700000000099</v>
      </c>
      <c r="H54" s="99">
        <f>G54+'19'!H54</f>
        <v>5745.2700000000041</v>
      </c>
      <c r="I54" s="95"/>
      <c r="J54" s="175">
        <f>H54/DAY(B2)</f>
        <v>287.26350000000019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419747.91</v>
      </c>
      <c r="F55" s="145">
        <v>421735.79</v>
      </c>
      <c r="G55" s="112">
        <f t="shared" si="4"/>
        <v>1987.8800000000047</v>
      </c>
      <c r="H55" s="99">
        <f>G55+'19'!H55</f>
        <v>58958.789999999979</v>
      </c>
      <c r="I55" s="95"/>
      <c r="J55" s="175">
        <f>H55/DAY(B2)</f>
        <v>2947.939499999999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123882.39</v>
      </c>
      <c r="F56" s="145">
        <v>123882.39</v>
      </c>
      <c r="G56" s="112">
        <f t="shared" si="4"/>
        <v>0</v>
      </c>
      <c r="H56" s="99">
        <f>G56+'19'!H56</f>
        <v>0.38999999999941792</v>
      </c>
      <c r="I56" s="95"/>
      <c r="J56" s="175">
        <f>H56/DAY(B2)</f>
        <v>1.9499999999970895E-2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'19'!F57</f>
        <v>285558.83</v>
      </c>
      <c r="F57" s="145">
        <v>288781.11</v>
      </c>
      <c r="G57" s="112">
        <f t="shared" si="4"/>
        <v>3222.2799999999697</v>
      </c>
      <c r="H57" s="99">
        <f>G57+'19'!H57</f>
        <v>62611.109999999986</v>
      </c>
      <c r="I57" s="95"/>
      <c r="J57" s="175">
        <f>H57/DAY(B2)</f>
        <v>3130.5554999999995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54027.21</v>
      </c>
      <c r="F58" s="145">
        <v>54263.54</v>
      </c>
      <c r="G58" s="112">
        <f t="shared" si="4"/>
        <v>236.33000000000175</v>
      </c>
      <c r="H58" s="99">
        <f>G58+'19'!H58</f>
        <v>5154.5400000000009</v>
      </c>
      <c r="I58" s="95"/>
      <c r="J58" s="175">
        <f>H58/DAY(B2)</f>
        <v>257.72700000000003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15939.110000000015</v>
      </c>
      <c r="H59" s="99">
        <f>G59+'19'!H59</f>
        <v>345931.43000000005</v>
      </c>
      <c r="I59" s="95">
        <f>G7-G60</f>
        <v>328.67999999997846</v>
      </c>
      <c r="J59" s="175">
        <f>H59/DAY(B2)</f>
        <v>17296.571500000002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25428.320000000022</v>
      </c>
      <c r="H60" s="99">
        <f>G60+'19'!H60</f>
        <v>502100.68999999994</v>
      </c>
      <c r="I60" s="95">
        <f>G13-G60</f>
        <v>-348.9200000003475</v>
      </c>
      <c r="J60" s="175">
        <f>H60/DAY(B2)</f>
        <v>25105.034499999998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'19'!F62</f>
        <v>298336</v>
      </c>
      <c r="F62" s="122">
        <v>298441</v>
      </c>
      <c r="G62" s="112">
        <f t="shared" ref="G62:G63" si="5">F62-E62</f>
        <v>105</v>
      </c>
      <c r="H62" s="99">
        <f>G62+'19'!H62</f>
        <v>2166</v>
      </c>
      <c r="I62" s="118"/>
      <c r="J62" s="175">
        <f>H62/DAY(B2)</f>
        <v>108.3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'19'!F63</f>
        <v>241452</v>
      </c>
      <c r="F63" s="122">
        <v>241564</v>
      </c>
      <c r="G63" s="112">
        <f t="shared" si="5"/>
        <v>112</v>
      </c>
      <c r="H63" s="99">
        <f>G63+'19'!H63</f>
        <v>2431</v>
      </c>
      <c r="I63" s="118"/>
      <c r="J63" s="175">
        <f>H63/DAY(B2)</f>
        <v>121.55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'19'!F64</f>
        <v>0</v>
      </c>
      <c r="F64" s="122"/>
      <c r="G64" s="112">
        <f>G62+G63</f>
        <v>217</v>
      </c>
      <c r="H64" s="99">
        <f>G64+'19'!H64</f>
        <v>4597</v>
      </c>
      <c r="I64" s="118"/>
      <c r="J64" s="175">
        <f>H64/DAY(B2)</f>
        <v>229.85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'19'!F65</f>
        <v>456647</v>
      </c>
      <c r="F65" s="122">
        <v>456757</v>
      </c>
      <c r="G65" s="112">
        <f t="shared" ref="G65:G70" si="6">F65-E65</f>
        <v>110</v>
      </c>
      <c r="H65" s="99">
        <f>G65+'19'!H65</f>
        <v>2047</v>
      </c>
      <c r="I65" s="118"/>
      <c r="J65" s="175">
        <f>H65/DAY(B2)</f>
        <v>102.35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'19'!F66</f>
        <v>112147</v>
      </c>
      <c r="F66" s="122">
        <v>112162</v>
      </c>
      <c r="G66" s="112">
        <f t="shared" si="6"/>
        <v>15</v>
      </c>
      <c r="H66" s="99">
        <f>G66+'19'!H66</f>
        <v>440</v>
      </c>
      <c r="I66" s="118"/>
      <c r="J66" s="175">
        <f>H66/DAY(B2)</f>
        <v>22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'19'!F67</f>
        <v>113983</v>
      </c>
      <c r="F67" s="122">
        <v>114006</v>
      </c>
      <c r="G67" s="112">
        <f t="shared" si="6"/>
        <v>23</v>
      </c>
      <c r="H67" s="99">
        <f>G67+'19'!H67</f>
        <v>326</v>
      </c>
      <c r="I67" s="118"/>
      <c r="J67" s="175">
        <f>H67/DAY(B2)</f>
        <v>16.3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'19'!F68</f>
        <v>165187</v>
      </c>
      <c r="F68" s="164">
        <v>165222</v>
      </c>
      <c r="G68" s="112">
        <f t="shared" si="6"/>
        <v>35</v>
      </c>
      <c r="H68" s="99">
        <f>G68+'19'!H68</f>
        <v>560</v>
      </c>
      <c r="I68" s="118"/>
      <c r="J68" s="175">
        <f>H68/DAY(B2)</f>
        <v>28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'19'!F69</f>
        <v>12387</v>
      </c>
      <c r="F69" s="164">
        <v>12390</v>
      </c>
      <c r="G69" s="112">
        <f t="shared" si="6"/>
        <v>3</v>
      </c>
      <c r="H69" s="99">
        <f>G69+'19'!H69</f>
        <v>115</v>
      </c>
      <c r="I69" s="118"/>
      <c r="J69" s="175">
        <f>H69/DAY(B2)</f>
        <v>5.75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'19'!F70</f>
        <v>10013</v>
      </c>
      <c r="F70" s="164">
        <v>10019</v>
      </c>
      <c r="G70" s="112">
        <f t="shared" si="6"/>
        <v>6</v>
      </c>
      <c r="H70" s="99">
        <f>G70+'19'!H70</f>
        <v>192</v>
      </c>
      <c r="I70" s="118"/>
      <c r="J70" s="175">
        <f>H70/DAY(B2)</f>
        <v>9.6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233"/>
      <c r="G71" s="153">
        <f>SUM(G65:G70)</f>
        <v>192</v>
      </c>
      <c r="H71" s="99">
        <f>G71+'19'!H71</f>
        <v>3680</v>
      </c>
      <c r="I71" s="154"/>
      <c r="J71" s="175">
        <f>H71/DAY(B2)</f>
        <v>184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768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233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'19'!F74</f>
        <v>963654.5</v>
      </c>
      <c r="F74" s="410">
        <v>963963.13</v>
      </c>
      <c r="G74" s="112">
        <f t="shared" ref="G74:G78" si="7">F74-E74</f>
        <v>308.63000000000466</v>
      </c>
      <c r="H74" s="99">
        <f>G74+'19'!H74</f>
        <v>6305.2700000000186</v>
      </c>
      <c r="I74" s="154"/>
      <c r="J74" s="175">
        <f>H74/DAY(B2)</f>
        <v>315.26350000000093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'19'!F75</f>
        <v>73586.8</v>
      </c>
      <c r="F75" s="410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'19'!F76</f>
        <v>192273</v>
      </c>
      <c r="F76" s="410">
        <v>192382</v>
      </c>
      <c r="G76" s="112">
        <f t="shared" si="7"/>
        <v>109</v>
      </c>
      <c r="H76" s="99">
        <f>G76+'19'!H76</f>
        <v>2210</v>
      </c>
      <c r="I76" s="154"/>
      <c r="J76" s="175">
        <f>H76/DAY(B2)</f>
        <v>110.5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'19'!F77</f>
        <v>51259.3</v>
      </c>
      <c r="F77" s="123">
        <v>51313</v>
      </c>
      <c r="G77" s="112">
        <f t="shared" si="7"/>
        <v>53.69999999999709</v>
      </c>
      <c r="H77" s="99">
        <f>G77+'19'!H77</f>
        <v>1000</v>
      </c>
      <c r="I77" s="154"/>
      <c r="J77" s="175">
        <f>H77/DAY(B2)</f>
        <v>50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'19'!F79</f>
        <v>0</v>
      </c>
      <c r="F79" s="117"/>
      <c r="G79" s="112">
        <f>G15-SUM(G74:G78)</f>
        <v>511.66999999999825</v>
      </c>
      <c r="H79" s="99">
        <f>G79+'19'!H79</f>
        <v>11096.729999999981</v>
      </c>
      <c r="I79" s="118"/>
      <c r="J79" s="175"/>
      <c r="K79" s="59"/>
      <c r="L79" s="58"/>
      <c r="N79" s="87"/>
      <c r="O79" s="71"/>
    </row>
    <row r="80" spans="1:15" s="57" customFormat="1" ht="26.25">
      <c r="A80" s="993" t="s">
        <v>329</v>
      </c>
      <c r="B80" s="994"/>
      <c r="C80" s="995"/>
      <c r="D80" s="151"/>
      <c r="E80" s="117"/>
      <c r="F80" s="117"/>
      <c r="G80" s="112">
        <f>SUM(G74:G79)</f>
        <v>983</v>
      </c>
      <c r="H80" s="99"/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'19'!F84</f>
        <v>42801.34</v>
      </c>
      <c r="F84" s="164">
        <v>42801.34</v>
      </c>
      <c r="G84" s="112">
        <f t="shared" si="8"/>
        <v>0</v>
      </c>
      <c r="H84" s="99">
        <f>G84+'19'!H84</f>
        <v>172.33999999999651</v>
      </c>
      <c r="I84" s="571"/>
      <c r="J84" s="175">
        <f>H84/DAY(B2)</f>
        <v>8.616999999999825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'19'!F85</f>
        <v>5254.13</v>
      </c>
      <c r="F85" s="164">
        <v>5278.11</v>
      </c>
      <c r="G85" s="112">
        <f t="shared" si="8"/>
        <v>23.979999999999563</v>
      </c>
      <c r="H85" s="99">
        <f>G85+'19'!H85</f>
        <v>137.92000000000007</v>
      </c>
      <c r="I85" s="571"/>
      <c r="J85" s="175">
        <f>H85/DAY(B2)</f>
        <v>6.8960000000000035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'19'!F86</f>
        <v>45762.559999999998</v>
      </c>
      <c r="F86" s="164">
        <v>45777.52</v>
      </c>
      <c r="G86" s="112">
        <f t="shared" si="8"/>
        <v>14.959999999999127</v>
      </c>
      <c r="H86" s="99">
        <f>G86+'19'!H86</f>
        <v>398.5199999999968</v>
      </c>
      <c r="I86" s="571"/>
      <c r="J86" s="175">
        <f>H86/DAY(B2)</f>
        <v>19.925999999999839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'19'!F87</f>
        <v>35481</v>
      </c>
      <c r="F87" s="164">
        <v>35481</v>
      </c>
      <c r="G87" s="112">
        <f t="shared" si="8"/>
        <v>0</v>
      </c>
      <c r="H87" s="99">
        <f>G87+'19'!H87</f>
        <v>23.569999999999709</v>
      </c>
      <c r="I87" s="571">
        <f>G84+G85+G86+G87</f>
        <v>38.93999999999869</v>
      </c>
      <c r="J87" s="175">
        <f>H87/DAY(B2)</f>
        <v>1.1784999999999854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'19'!F88</f>
        <v>24318.959999999999</v>
      </c>
      <c r="F88" s="164">
        <v>24320.23</v>
      </c>
      <c r="G88" s="112">
        <f t="shared" si="8"/>
        <v>1.2700000000004366</v>
      </c>
      <c r="H88" s="99">
        <f>G88+'19'!H88</f>
        <v>16.770000000000437</v>
      </c>
      <c r="I88" s="571"/>
      <c r="J88" s="175">
        <f>H88/DAY(B2)</f>
        <v>0.83850000000002178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'19'!F89</f>
        <v>27719.02</v>
      </c>
      <c r="F89" s="164">
        <v>27725.99</v>
      </c>
      <c r="G89" s="112">
        <f t="shared" si="8"/>
        <v>6.9700000000011642</v>
      </c>
      <c r="H89" s="99">
        <f>G89+'19'!H89</f>
        <v>159.38000000000102</v>
      </c>
      <c r="I89" s="571">
        <f>G88+G89</f>
        <v>8.2400000000016007</v>
      </c>
      <c r="J89" s="175">
        <f>H89/DAY(B2)</f>
        <v>7.9690000000000509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'19'!F90</f>
        <v>72813.649999999994</v>
      </c>
      <c r="F90" s="164">
        <v>72823.55</v>
      </c>
      <c r="G90" s="112">
        <f t="shared" si="8"/>
        <v>9.9000000000087311</v>
      </c>
      <c r="H90" s="99">
        <f>G90+'19'!H90</f>
        <v>217</v>
      </c>
      <c r="I90" s="571">
        <f>G90</f>
        <v>9.9000000000087311</v>
      </c>
      <c r="J90" s="175">
        <f>H90/DAY(B2)</f>
        <v>10.85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'19'!F91</f>
        <v>4289.5</v>
      </c>
      <c r="F91" s="122">
        <v>4289.5</v>
      </c>
      <c r="G91" s="112">
        <f t="shared" si="8"/>
        <v>0</v>
      </c>
      <c r="H91" s="99">
        <f>G91+'19'!H91</f>
        <v>-3.999999999996362E-2</v>
      </c>
      <c r="I91" s="590"/>
      <c r="J91" s="175">
        <f>H91/DAY(B2)</f>
        <v>-1.9999999999981812E-3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'19'!F92</f>
        <v>6928.71</v>
      </c>
      <c r="F92" s="122">
        <v>6939.83</v>
      </c>
      <c r="G92" s="112">
        <f t="shared" si="8"/>
        <v>11.119999999999891</v>
      </c>
      <c r="H92" s="99">
        <f>G92+'19'!H92</f>
        <v>222.5</v>
      </c>
      <c r="I92" s="596">
        <f>G91+G92</f>
        <v>11.119999999999891</v>
      </c>
      <c r="J92" s="175">
        <f>H92/DAY(B2)</f>
        <v>11.125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7101.5599999999977</v>
      </c>
      <c r="H94" s="99">
        <f>G94+'19'!H94</f>
        <v>141940.26999999996</v>
      </c>
      <c r="I94" s="118"/>
      <c r="J94" s="175">
        <f>H94/DAY(B2)</f>
        <v>7097.0134999999982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0.27571378654346385</v>
      </c>
      <c r="H95" s="99">
        <f>G95+'19'!H95</f>
        <v>5.4587489554787716</v>
      </c>
      <c r="I95" s="167"/>
      <c r="J95" s="175">
        <f>H95/DAY(B2)</f>
        <v>0.27293744777393858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7521.4100000000326</v>
      </c>
      <c r="H96" s="99">
        <f>G96+'19'!H96</f>
        <v>135915.54999999999</v>
      </c>
      <c r="I96" s="118"/>
      <c r="J96" s="175">
        <f>H96/DAY(B2)</f>
        <v>6795.7774999999992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0.29201420972939524</v>
      </c>
      <c r="H97" s="99">
        <f>G97+'19'!H97</f>
        <v>5.2065591588298217</v>
      </c>
      <c r="I97" s="167"/>
      <c r="J97" s="175">
        <f>H97/DAY(B2)</f>
        <v>0.26032795794149111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4205.5099999999948</v>
      </c>
      <c r="H98" s="99">
        <f>G98+'19'!H98</f>
        <v>87657.449999999939</v>
      </c>
      <c r="I98" s="168"/>
      <c r="J98" s="175">
        <f>H98/DAY(B2)</f>
        <v>4382.8724999999968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0.16327639088403131</v>
      </c>
      <c r="H99" s="99">
        <f>G99+'19'!H99</f>
        <v>3.3700248589060617</v>
      </c>
      <c r="I99" s="168"/>
      <c r="J99" s="175">
        <f>H99/DAY(B2)</f>
        <v>0.16850124294530308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2151.5999999999767</v>
      </c>
      <c r="H100" s="99">
        <f>G100+'19'!H100</f>
        <v>44678.869999999995</v>
      </c>
      <c r="I100" s="118"/>
      <c r="J100" s="175">
        <f>H100/DAY(B2)</f>
        <v>2233.9434999999999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8.3534573125751313E-2</v>
      </c>
      <c r="H101" s="99">
        <f>G101+'19'!H101</f>
        <v>1.7176731103310461</v>
      </c>
      <c r="I101" s="168"/>
      <c r="J101" s="175">
        <f>H101/DAY(B2)</f>
        <v>8.5883655516552304E-2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2178.390000000014</v>
      </c>
      <c r="H102" s="99">
        <f>G102+'19'!H102</f>
        <v>42687.570000000007</v>
      </c>
      <c r="I102" s="168"/>
      <c r="J102" s="175">
        <f>H102/DAY(B2)</f>
        <v>2134.3785000000003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8.4574678728113292E-2</v>
      </c>
      <c r="H103" s="99">
        <f>G103+'19'!H103</f>
        <v>1.6342450436924478</v>
      </c>
      <c r="I103" s="118"/>
      <c r="J103" s="175">
        <f>H103/DAY(B2)</f>
        <v>8.1712252184622386E-2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1010.1399999999994</v>
      </c>
      <c r="H104" s="99">
        <f>G104+'19'!H104</f>
        <v>21022.080000000002</v>
      </c>
      <c r="I104" s="118"/>
      <c r="J104" s="175">
        <f>H104/DAY(B2)</f>
        <v>1051.104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3.9218076639360153E-2</v>
      </c>
      <c r="H105" s="99">
        <f>G105+'19'!H105</f>
        <v>0.80785261482162907</v>
      </c>
      <c r="I105" s="187"/>
      <c r="J105" s="188">
        <f>H105/DAY(B2)</f>
        <v>4.0392630741081452E-2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58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'19'!F112</f>
        <v>8634</v>
      </c>
      <c r="F112" s="417">
        <v>8907.33</v>
      </c>
      <c r="G112" s="112">
        <f t="shared" ref="G112:G123" si="9">F112-E112</f>
        <v>273.32999999999993</v>
      </c>
      <c r="H112" s="99">
        <f>G112+'19'!H112</f>
        <v>1642.33</v>
      </c>
      <c r="I112" s="165"/>
      <c r="J112" s="328">
        <f>H112/DAY(B2)</f>
        <v>82.116500000000002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'19'!F113</f>
        <v>17675.2</v>
      </c>
      <c r="F113" s="417">
        <v>17817</v>
      </c>
      <c r="G113" s="112">
        <f t="shared" si="9"/>
        <v>141.79999999999927</v>
      </c>
      <c r="H113" s="99">
        <f>G113+'19'!H113</f>
        <v>2802</v>
      </c>
      <c r="I113" s="165"/>
      <c r="J113" s="328">
        <f>H113/DAY(B2)</f>
        <v>140.1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'19'!F114</f>
        <v>25438.799999999999</v>
      </c>
      <c r="F114" s="237">
        <v>25661.07</v>
      </c>
      <c r="G114" s="112">
        <f t="shared" si="9"/>
        <v>222.27000000000044</v>
      </c>
      <c r="H114" s="99">
        <f>G114+'19'!H114</f>
        <v>4393.07</v>
      </c>
      <c r="I114" s="165"/>
      <c r="J114" s="328">
        <f>H114/DAY(B2)</f>
        <v>219.65349999999998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'19'!F115</f>
        <v>15946.5</v>
      </c>
      <c r="F115" s="237">
        <v>16067.2</v>
      </c>
      <c r="G115" s="112">
        <f t="shared" si="9"/>
        <v>120.70000000000073</v>
      </c>
      <c r="H115" s="99">
        <f>G115+'19'!H115</f>
        <v>2491.7200000000012</v>
      </c>
      <c r="I115" s="165"/>
      <c r="J115" s="328">
        <f>H115/DAY(B2)</f>
        <v>124.58600000000006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'19'!F116</f>
        <v>78518.8</v>
      </c>
      <c r="F116" s="237">
        <v>78920.800000000003</v>
      </c>
      <c r="G116" s="769">
        <f t="shared" si="9"/>
        <v>402</v>
      </c>
      <c r="H116" s="99">
        <f>G116+'19'!H116</f>
        <v>8428.8000000000029</v>
      </c>
      <c r="I116" s="165"/>
      <c r="J116" s="328">
        <f>H116/DAY(B2)</f>
        <v>421.44000000000017</v>
      </c>
      <c r="Q116" s="898"/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'19'!F117</f>
        <v>45428.3</v>
      </c>
      <c r="F117" s="237">
        <v>45676.2</v>
      </c>
      <c r="G117" s="112">
        <f t="shared" si="9"/>
        <v>247.89999999999418</v>
      </c>
      <c r="H117" s="99">
        <f>G117+'19'!H117</f>
        <v>4754.1999999999971</v>
      </c>
      <c r="I117" s="165"/>
      <c r="J117" s="328">
        <f>H117/DAY(B2)</f>
        <v>237.70999999999987</v>
      </c>
      <c r="Q117" s="898"/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'19'!F118</f>
        <v>75909.899999999994</v>
      </c>
      <c r="F118" s="237">
        <v>76499.66</v>
      </c>
      <c r="G118" s="112">
        <f t="shared" si="9"/>
        <v>589.76000000000931</v>
      </c>
      <c r="H118" s="99">
        <f>G118+'19'!H118</f>
        <v>11827.660000000003</v>
      </c>
      <c r="I118" s="165"/>
      <c r="J118" s="328">
        <f>H118/DAY(B2)</f>
        <v>591.38300000000015</v>
      </c>
      <c r="Q118" s="898"/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'19'!F119</f>
        <v>41670.1</v>
      </c>
      <c r="F119" s="237">
        <v>41751.17</v>
      </c>
      <c r="G119" s="112">
        <f t="shared" si="9"/>
        <v>81.069999999999709</v>
      </c>
      <c r="H119" s="99">
        <f>G119+'19'!H119</f>
        <v>4302.1699999999983</v>
      </c>
      <c r="I119" s="165"/>
      <c r="J119" s="328">
        <f>H119/DAY(B2)</f>
        <v>215.10849999999991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'19'!F120</f>
        <v>54109</v>
      </c>
      <c r="F120" s="237">
        <v>54522.5</v>
      </c>
      <c r="G120" s="112">
        <f t="shared" si="9"/>
        <v>413.5</v>
      </c>
      <c r="H120" s="99">
        <f>G120+'19'!H120</f>
        <v>8255.5</v>
      </c>
      <c r="I120" s="165"/>
      <c r="J120" s="328">
        <f>H120/DAY(B2)</f>
        <v>412.77499999999998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'19'!F121</f>
        <v>62482.2</v>
      </c>
      <c r="F121" s="237">
        <v>62924.9</v>
      </c>
      <c r="G121" s="112">
        <f t="shared" si="9"/>
        <v>442.70000000000437</v>
      </c>
      <c r="H121" s="99">
        <f>G121+'19'!H121</f>
        <v>9381.9000000000015</v>
      </c>
      <c r="I121" s="165"/>
      <c r="J121" s="328">
        <f>H121/DAY(B2)</f>
        <v>469.09500000000008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'19'!F122</f>
        <v>34769.800000000003</v>
      </c>
      <c r="F122" s="237">
        <v>35129.300000000003</v>
      </c>
      <c r="G122" s="112">
        <f t="shared" si="9"/>
        <v>359.5</v>
      </c>
      <c r="H122" s="99">
        <f>G122+'19'!H122</f>
        <v>6455.3000000000029</v>
      </c>
      <c r="I122" s="165"/>
      <c r="J122" s="328">
        <f>H122/DAY(B2)</f>
        <v>322.76500000000016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'19'!F123</f>
        <v>36363.269999999997</v>
      </c>
      <c r="F123" s="237">
        <v>36693.4</v>
      </c>
      <c r="G123" s="112">
        <f t="shared" si="9"/>
        <v>330.13000000000466</v>
      </c>
      <c r="H123" s="99">
        <f>G123+'19'!H123</f>
        <v>6505.4000000000015</v>
      </c>
      <c r="I123" s="165"/>
      <c r="J123" s="328">
        <f>H123/DAY(B2)</f>
        <v>325.2700000000001</v>
      </c>
    </row>
    <row r="124" spans="1:18" ht="29.25" customHeight="1">
      <c r="A124" s="902"/>
      <c r="B124" s="903"/>
      <c r="C124" s="904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5.5">
      <c r="A125" s="970" t="s">
        <v>108</v>
      </c>
      <c r="B125" s="970"/>
      <c r="C125" s="245"/>
      <c r="D125" s="307"/>
      <c r="E125" s="308"/>
      <c r="F125" s="308"/>
      <c r="G125" s="309">
        <f>SUM(G112:G124)</f>
        <v>3624.6600000000126</v>
      </c>
      <c r="H125" s="156"/>
      <c r="I125" s="327">
        <f>G125-(G39+G53)</f>
        <v>-580.84999999998217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'19'!F128</f>
        <v>137166.71</v>
      </c>
      <c r="F128" s="165">
        <v>137562.9</v>
      </c>
      <c r="G128" s="112">
        <f t="shared" ref="G128:G134" si="10">F128-E128</f>
        <v>396.19000000000233</v>
      </c>
      <c r="H128" s="99">
        <f>G128+'19'!H128</f>
        <v>9918.8999999999942</v>
      </c>
      <c r="I128" s="165"/>
      <c r="J128" s="328">
        <f>H128/DAY(B2)</f>
        <v>495.94499999999971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'19'!F129</f>
        <v>76249.37</v>
      </c>
      <c r="F129" s="165">
        <v>76450.7</v>
      </c>
      <c r="G129" s="112">
        <f t="shared" si="10"/>
        <v>201.33000000000175</v>
      </c>
      <c r="H129" s="99">
        <f>G129+'19'!H129</f>
        <v>3947.6999999999971</v>
      </c>
      <c r="I129" s="165"/>
      <c r="J129" s="328">
        <f>H129/DAY(B2)</f>
        <v>197.38499999999985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'19'!F130</f>
        <v>177702.35</v>
      </c>
      <c r="F130" s="165">
        <v>178410.71</v>
      </c>
      <c r="G130" s="112">
        <f t="shared" si="10"/>
        <v>708.35999999998603</v>
      </c>
      <c r="H130" s="99">
        <f>G130+'19'!H130</f>
        <v>13275.189999999973</v>
      </c>
      <c r="I130" s="165"/>
      <c r="J130" s="328">
        <f>H130/DAY(B2)</f>
        <v>663.75949999999864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'19'!F131</f>
        <v>52009.32</v>
      </c>
      <c r="F131" s="165">
        <v>52188.19</v>
      </c>
      <c r="G131" s="112">
        <f t="shared" si="10"/>
        <v>178.87000000000262</v>
      </c>
      <c r="H131" s="99">
        <f>G131+'19'!H131</f>
        <v>3739.1900000000023</v>
      </c>
      <c r="I131" s="165"/>
      <c r="J131" s="328">
        <f>H131/DAY(B2)</f>
        <v>186.95950000000011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'19'!F132</f>
        <v>135956.45000000001</v>
      </c>
      <c r="F132" s="165">
        <v>136373.5</v>
      </c>
      <c r="G132" s="112">
        <f t="shared" si="10"/>
        <v>417.04999999998836</v>
      </c>
      <c r="H132" s="99">
        <f>G132+'19'!H132</f>
        <v>8199.5</v>
      </c>
      <c r="I132" s="165"/>
      <c r="J132" s="328">
        <f>H132/DAY(B2)</f>
        <v>409.97500000000002</v>
      </c>
    </row>
    <row r="133" spans="1:15" ht="25.5">
      <c r="A133" s="898" t="s">
        <v>359</v>
      </c>
      <c r="B133" s="899"/>
      <c r="C133" s="900"/>
      <c r="D133" s="151" t="s">
        <v>183</v>
      </c>
      <c r="E133" s="95">
        <f>'19'!F133</f>
        <v>230341.67</v>
      </c>
      <c r="F133" s="158">
        <v>231224.79</v>
      </c>
      <c r="G133" s="112">
        <f t="shared" si="10"/>
        <v>883.11999999999534</v>
      </c>
      <c r="H133" s="99">
        <f>G133+'19'!H133</f>
        <v>8820.2200000000012</v>
      </c>
      <c r="I133" s="165"/>
      <c r="J133" s="328">
        <f>H133/DAY(B2)</f>
        <v>441.01100000000008</v>
      </c>
    </row>
    <row r="134" spans="1:15" ht="25.5">
      <c r="A134" s="898" t="s">
        <v>340</v>
      </c>
      <c r="B134" s="899"/>
      <c r="C134" s="900"/>
      <c r="D134" s="151" t="s">
        <v>183</v>
      </c>
      <c r="E134" s="95">
        <f>'19'!F134</f>
        <v>53187.74</v>
      </c>
      <c r="F134" s="465">
        <v>53433.41</v>
      </c>
      <c r="G134" s="112">
        <f t="shared" si="10"/>
        <v>245.67000000000553</v>
      </c>
      <c r="H134" s="99">
        <f>G134+'19'!H134</f>
        <v>4398.4100000000035</v>
      </c>
      <c r="I134" s="165"/>
      <c r="J134" s="328">
        <f>H134/DAY(B2)</f>
        <v>219.92050000000017</v>
      </c>
    </row>
    <row r="135" spans="1:15" ht="25.5">
      <c r="A135" s="991" t="s">
        <v>108</v>
      </c>
      <c r="B135" s="992"/>
      <c r="C135" s="894"/>
      <c r="D135" s="151"/>
      <c r="E135" s="95"/>
      <c r="F135" s="165"/>
      <c r="G135" s="112">
        <f>SUM(G128:G134)</f>
        <v>3030.589999999982</v>
      </c>
      <c r="H135" s="99"/>
      <c r="I135" s="327">
        <f>G135-(G35+G49)</f>
        <v>-848.69000000004598</v>
      </c>
      <c r="J135" s="328"/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'19'!F138</f>
        <v>893806</v>
      </c>
      <c r="F138" s="147">
        <v>893928</v>
      </c>
      <c r="G138" s="112">
        <f t="shared" ref="G138:G152" si="11">F138-E138</f>
        <v>122</v>
      </c>
      <c r="H138" s="99">
        <f>G138+'19'!H138</f>
        <v>2817</v>
      </c>
      <c r="I138" s="118"/>
      <c r="J138" s="328">
        <f>H138/DAY(B2)</f>
        <v>140.85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'19'!F139</f>
        <v>911809</v>
      </c>
      <c r="F139" s="148">
        <v>911959</v>
      </c>
      <c r="G139" s="112">
        <f t="shared" si="11"/>
        <v>150</v>
      </c>
      <c r="H139" s="99">
        <f>G139+'19'!H139</f>
        <v>3064</v>
      </c>
      <c r="I139" s="118"/>
      <c r="J139" s="328">
        <f>H139/DAY(B2)</f>
        <v>153.19999999999999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'19'!F140</f>
        <v>1787.4</v>
      </c>
      <c r="F140" s="149">
        <v>1807.54</v>
      </c>
      <c r="G140" s="112">
        <f>F140-E140</f>
        <v>20.139999999999873</v>
      </c>
      <c r="H140" s="99">
        <f>G140+'19'!H140</f>
        <v>294.53999999999996</v>
      </c>
      <c r="I140" s="118"/>
      <c r="J140" s="328">
        <f>H140/DAY(B2)</f>
        <v>14.726999999999999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'19'!F141</f>
        <v>94267.56</v>
      </c>
      <c r="F141" s="149">
        <v>94474.13</v>
      </c>
      <c r="G141" s="112">
        <f t="shared" si="11"/>
        <v>206.57000000000698</v>
      </c>
      <c r="H141" s="99">
        <f>G141+'19'!H141</f>
        <v>4022.1300000000047</v>
      </c>
      <c r="I141" s="118"/>
      <c r="J141" s="328">
        <f>H141/DAY(B2)</f>
        <v>201.10650000000024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'19'!F142</f>
        <v>38228.75</v>
      </c>
      <c r="F142" s="148">
        <v>38313.15</v>
      </c>
      <c r="G142" s="112">
        <f t="shared" si="11"/>
        <v>84.400000000001455</v>
      </c>
      <c r="H142" s="99">
        <f>G142+'19'!H142</f>
        <v>1652.1500000000015</v>
      </c>
      <c r="I142" s="140"/>
      <c r="J142" s="328">
        <f>H142/DAY(B2)</f>
        <v>82.607500000000073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'19'!F143</f>
        <v>9546.83</v>
      </c>
      <c r="F143" s="149">
        <v>9570.2099999999991</v>
      </c>
      <c r="G143" s="112">
        <f t="shared" si="11"/>
        <v>23.3799999999992</v>
      </c>
      <c r="H143" s="99">
        <f>G143+'19'!H143</f>
        <v>519.20999999999913</v>
      </c>
      <c r="I143" s="140"/>
      <c r="J143" s="328">
        <f>H143/DAY(B2)</f>
        <v>25.960499999999957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'19'!F144</f>
        <v>924038</v>
      </c>
      <c r="F144" s="148">
        <v>924264</v>
      </c>
      <c r="G144" s="112">
        <f t="shared" si="11"/>
        <v>226</v>
      </c>
      <c r="H144" s="99">
        <f>G144+'19'!H144</f>
        <v>4427</v>
      </c>
      <c r="I144" s="140"/>
      <c r="J144" s="328">
        <f>H144/DAY(B2)</f>
        <v>221.35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'19'!F145</f>
        <v>6402.35</v>
      </c>
      <c r="F145" s="149">
        <v>6432.38</v>
      </c>
      <c r="G145" s="112">
        <f t="shared" si="11"/>
        <v>30.029999999999745</v>
      </c>
      <c r="H145" s="99">
        <f>G145+'19'!H145</f>
        <v>625.38000000000011</v>
      </c>
      <c r="I145" s="140"/>
      <c r="J145" s="328">
        <f>H145/DAY(B2)</f>
        <v>31.269000000000005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'19'!F146</f>
        <v>782223</v>
      </c>
      <c r="F146" s="148">
        <v>782267</v>
      </c>
      <c r="G146" s="112">
        <f t="shared" si="11"/>
        <v>44</v>
      </c>
      <c r="H146" s="99">
        <f>G146+'19'!H146</f>
        <v>1467</v>
      </c>
      <c r="I146" s="140"/>
      <c r="J146" s="328">
        <f>H146/DAY(B2)</f>
        <v>73.349999999999994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'19'!F147</f>
        <v>707088.88</v>
      </c>
      <c r="F147" s="148">
        <v>707467.76</v>
      </c>
      <c r="G147" s="112">
        <f t="shared" si="11"/>
        <v>378.88000000000466</v>
      </c>
      <c r="H147" s="99">
        <f>G147+'19'!H147</f>
        <v>7698.7600000000093</v>
      </c>
      <c r="I147" s="140"/>
      <c r="J147" s="328">
        <f>H147/DAY(B2)</f>
        <v>384.93800000000044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'19'!F148</f>
        <v>754238.16</v>
      </c>
      <c r="F148" s="150">
        <v>754595.15</v>
      </c>
      <c r="G148" s="112">
        <f t="shared" si="11"/>
        <v>356.98999999999069</v>
      </c>
      <c r="H148" s="99">
        <f>G148+'19'!H148</f>
        <v>6065.1500000000233</v>
      </c>
      <c r="I148" s="124"/>
      <c r="J148" s="328">
        <f>H148/DAY(B2)</f>
        <v>303.25750000000119</v>
      </c>
    </row>
    <row r="149" spans="1:10" ht="25.5">
      <c r="A149" s="877" t="s">
        <v>336</v>
      </c>
      <c r="B149" s="878"/>
      <c r="C149" s="879"/>
      <c r="D149" s="227" t="s">
        <v>130</v>
      </c>
      <c r="E149" s="95">
        <f>'19'!F149</f>
        <v>141333.14000000001</v>
      </c>
      <c r="F149" s="146">
        <v>141780.69</v>
      </c>
      <c r="G149" s="112">
        <f t="shared" si="11"/>
        <v>447.54999999998836</v>
      </c>
      <c r="H149" s="99">
        <f>G149+'19'!H149</f>
        <v>9346.6900000000023</v>
      </c>
      <c r="I149" s="119"/>
      <c r="J149" s="328">
        <f>H149/DAY(B2)</f>
        <v>467.33450000000011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'19'!F150</f>
        <v>54824.74</v>
      </c>
      <c r="F150" s="233">
        <v>55044.55</v>
      </c>
      <c r="G150" s="112">
        <f t="shared" si="11"/>
        <v>219.81000000000495</v>
      </c>
      <c r="H150" s="99">
        <f>G150+'19'!H150</f>
        <v>4429.5500000000029</v>
      </c>
      <c r="I150" s="119"/>
      <c r="J150" s="328">
        <f>H150/DAY(B2)</f>
        <v>221.47750000000013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'19'!F151</f>
        <v>140521</v>
      </c>
      <c r="F151" s="233">
        <v>140782</v>
      </c>
      <c r="G151" s="112">
        <f t="shared" si="11"/>
        <v>261</v>
      </c>
      <c r="H151" s="99">
        <f>G151+'19'!H151</f>
        <v>5333</v>
      </c>
      <c r="I151" s="119"/>
      <c r="J151" s="328">
        <f>H151/DAY(B2)</f>
        <v>266.64999999999998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'19'!F152</f>
        <v>25436.7</v>
      </c>
      <c r="F152" s="233">
        <v>25558.639999999999</v>
      </c>
      <c r="G152" s="112">
        <f t="shared" si="11"/>
        <v>121.93999999999869</v>
      </c>
      <c r="H152" s="99">
        <f>G152+'19'!H152</f>
        <v>2404.6399999999994</v>
      </c>
      <c r="I152" s="119"/>
      <c r="J152" s="328">
        <f>H152/DAY(B2)</f>
        <v>120.23199999999997</v>
      </c>
    </row>
    <row r="153" spans="1:10" ht="25.5">
      <c r="A153" s="459" t="s">
        <v>108</v>
      </c>
      <c r="B153" s="365"/>
      <c r="C153" s="365"/>
      <c r="D153" s="117"/>
      <c r="E153" s="95"/>
      <c r="F153" s="233"/>
      <c r="G153" s="112">
        <f>SUM(G138:G152)</f>
        <v>2692.6899999999946</v>
      </c>
      <c r="H153" s="99"/>
      <c r="I153" s="119">
        <f>G153-(G38+G52)</f>
        <v>541.09000000001788</v>
      </c>
      <c r="J153" s="328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95">
        <f>'19'!F155</f>
        <v>160217</v>
      </c>
      <c r="F155" s="374">
        <v>160797</v>
      </c>
      <c r="G155" s="112">
        <f t="shared" ref="G155:G158" si="12">F155-E155</f>
        <v>580</v>
      </c>
      <c r="H155" s="99">
        <f>G155+'19'!H155</f>
        <v>12648</v>
      </c>
      <c r="I155" s="364"/>
      <c r="J155" s="328">
        <f>H155/DAY(B2)</f>
        <v>632.4</v>
      </c>
    </row>
    <row r="156" spans="1:10" ht="25.5">
      <c r="A156" s="876" t="s">
        <v>347</v>
      </c>
      <c r="B156" s="876"/>
      <c r="C156" s="876"/>
      <c r="D156" s="117" t="s">
        <v>130</v>
      </c>
      <c r="E156" s="95">
        <f>'19'!F156</f>
        <v>16722.650000000001</v>
      </c>
      <c r="F156" s="155">
        <v>16882</v>
      </c>
      <c r="G156" s="112">
        <f t="shared" si="12"/>
        <v>159.34999999999854</v>
      </c>
      <c r="H156" s="99">
        <f>G156+'19'!H156</f>
        <v>2148</v>
      </c>
      <c r="I156" s="165"/>
      <c r="J156" s="328">
        <f>H156/DAY(B2)</f>
        <v>107.4</v>
      </c>
    </row>
    <row r="157" spans="1:10" ht="25.5">
      <c r="A157" s="877" t="s">
        <v>360</v>
      </c>
      <c r="B157" s="878"/>
      <c r="C157" s="879"/>
      <c r="D157" s="117" t="s">
        <v>130</v>
      </c>
      <c r="E157" s="95">
        <f>'19'!F157</f>
        <v>30039.5</v>
      </c>
      <c r="F157" s="155">
        <v>30162.68</v>
      </c>
      <c r="G157" s="112">
        <f t="shared" si="12"/>
        <v>123.18000000000029</v>
      </c>
      <c r="H157" s="99">
        <f>G157+'19'!H157</f>
        <v>123.18000000000029</v>
      </c>
      <c r="I157" s="165"/>
      <c r="J157" s="328">
        <f>H157/DAY(B2)</f>
        <v>6.1590000000000149</v>
      </c>
    </row>
    <row r="158" spans="1:10" ht="25.5">
      <c r="A158" s="877" t="s">
        <v>361</v>
      </c>
      <c r="B158" s="878"/>
      <c r="C158" s="879"/>
      <c r="D158" s="117" t="s">
        <v>130</v>
      </c>
      <c r="E158" s="95">
        <f>'19'!F158</f>
        <v>241.39</v>
      </c>
      <c r="F158" s="155">
        <v>241.57</v>
      </c>
      <c r="G158" s="112">
        <f t="shared" si="12"/>
        <v>0.18000000000000682</v>
      </c>
      <c r="H158" s="99">
        <f>G158+'19'!H158</f>
        <v>0.18000000000000682</v>
      </c>
      <c r="I158" s="165"/>
      <c r="J158" s="328">
        <f>H158/DAY(B2)</f>
        <v>9.0000000000003411E-3</v>
      </c>
    </row>
    <row r="159" spans="1:10" ht="25.5">
      <c r="A159" s="962"/>
      <c r="B159" s="963"/>
      <c r="C159" s="964"/>
      <c r="D159" s="117"/>
      <c r="E159" s="95"/>
      <c r="F159" s="155"/>
      <c r="G159" s="112"/>
      <c r="H159" s="99"/>
      <c r="I159" s="165"/>
      <c r="J159" s="328"/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481178.12</v>
      </c>
      <c r="F161" s="235">
        <v>481231.2</v>
      </c>
      <c r="G161" s="238">
        <f t="shared" ref="G161:G166" si="13">F161-E161</f>
        <v>53.080000000016298</v>
      </c>
      <c r="H161" s="99">
        <f>G161+'19'!H161</f>
        <v>184.20000000001164</v>
      </c>
      <c r="I161" s="236"/>
      <c r="J161" s="239">
        <f>H161/DAY(B2)</f>
        <v>9.2100000000005817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95695.5</v>
      </c>
      <c r="F162" s="235">
        <v>95739.3</v>
      </c>
      <c r="G162" s="238">
        <f t="shared" si="13"/>
        <v>43.80000000000291</v>
      </c>
      <c r="H162" s="99">
        <f>G162+'19'!H162</f>
        <v>811.30000000000291</v>
      </c>
      <c r="I162" s="236"/>
      <c r="J162" s="239">
        <f>H162/DAY(B2)</f>
        <v>40.565000000000147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'19'!F163</f>
        <v>8664.6</v>
      </c>
      <c r="F163" s="235">
        <v>8764.9</v>
      </c>
      <c r="G163" s="238">
        <f t="shared" si="13"/>
        <v>100.29999999999927</v>
      </c>
      <c r="H163" s="99">
        <f>G163+'19'!H163</f>
        <v>2263.8999999999996</v>
      </c>
      <c r="I163" s="236"/>
      <c r="J163" s="239">
        <f>H163/DAY(B2)</f>
        <v>113.19499999999998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6332.2</v>
      </c>
      <c r="F164" s="235">
        <v>6337</v>
      </c>
      <c r="G164" s="238">
        <f t="shared" si="13"/>
        <v>4.8000000000001819</v>
      </c>
      <c r="H164" s="99">
        <f>G164+'19'!H164</f>
        <v>57</v>
      </c>
      <c r="I164" s="236"/>
      <c r="J164" s="239">
        <f>H164/DAY(B2)</f>
        <v>2.85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31779.3</v>
      </c>
      <c r="F165" s="235">
        <v>31785.69</v>
      </c>
      <c r="G165" s="238">
        <f t="shared" si="13"/>
        <v>6.3899999999994179</v>
      </c>
      <c r="H165" s="99">
        <f>G165+'19'!H165</f>
        <v>151.68999999999869</v>
      </c>
      <c r="I165" s="236"/>
      <c r="J165" s="239">
        <f>H165/DAY(B2)</f>
        <v>7.5844999999999345</v>
      </c>
    </row>
    <row r="166" spans="1:10" ht="26.25">
      <c r="A166" s="885"/>
      <c r="B166" s="885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885"/>
      <c r="B167" s="885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885"/>
      <c r="B168" s="885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'19'!F173</f>
        <v>8276</v>
      </c>
      <c r="F173" s="155">
        <v>8276</v>
      </c>
      <c r="G173" s="155">
        <f>F173-E173</f>
        <v>0</v>
      </c>
      <c r="H173" s="99">
        <f>G173+'19'!H173</f>
        <v>41</v>
      </c>
      <c r="I173" s="155"/>
      <c r="J173" s="178">
        <f>H173/DAY(B2)</f>
        <v>2.0499999999999998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'19'!F174</f>
        <v>41458</v>
      </c>
      <c r="F174" s="157">
        <v>41472</v>
      </c>
      <c r="G174" s="155">
        <f t="shared" ref="G174:G175" si="14">F174-E174</f>
        <v>14</v>
      </c>
      <c r="H174" s="99">
        <f>G174+'19'!H174</f>
        <v>268</v>
      </c>
      <c r="I174" s="155"/>
      <c r="J174" s="178">
        <f>H174/DAY(B2)</f>
        <v>13.4</v>
      </c>
    </row>
    <row r="175" spans="1:10" ht="25.5">
      <c r="A175" s="891" t="s">
        <v>76</v>
      </c>
      <c r="B175" s="931"/>
      <c r="C175" s="892"/>
      <c r="D175" s="228" t="s">
        <v>142</v>
      </c>
      <c r="E175" s="95">
        <f>'19'!F175</f>
        <v>24245</v>
      </c>
      <c r="F175" s="155">
        <v>24257</v>
      </c>
      <c r="G175" s="155">
        <f t="shared" si="14"/>
        <v>12</v>
      </c>
      <c r="H175" s="99">
        <f>G175+'19'!H175</f>
        <v>226</v>
      </c>
      <c r="I175" s="155"/>
      <c r="J175" s="178">
        <f>H175/DAY(B2)</f>
        <v>11.3</v>
      </c>
    </row>
    <row r="176" spans="1:10" ht="25.5">
      <c r="A176" s="880" t="s">
        <v>196</v>
      </c>
      <c r="B176" s="881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G176+'19'!H176</f>
        <v>535</v>
      </c>
      <c r="I176" s="155"/>
      <c r="J176" s="178">
        <f>H176/DAY(B2)</f>
        <v>26.75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'19'!F178</f>
        <v>99207</v>
      </c>
      <c r="F178" s="155">
        <v>99275</v>
      </c>
      <c r="G178" s="155">
        <f>F178-E178</f>
        <v>68</v>
      </c>
      <c r="H178" s="99">
        <f>G178+'19'!H178</f>
        <v>1562</v>
      </c>
      <c r="I178" s="155"/>
      <c r="J178" s="178">
        <f>H178/DAY(B2)</f>
        <v>78.099999999999994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'19'!F179</f>
        <v>36002</v>
      </c>
      <c r="F179" s="155">
        <v>36002</v>
      </c>
      <c r="G179" s="155">
        <f t="shared" ref="G179:G180" si="15">F179-E179</f>
        <v>0</v>
      </c>
      <c r="H179" s="99">
        <f>G179+'19'!H179</f>
        <v>0</v>
      </c>
      <c r="I179" s="155"/>
      <c r="J179" s="178">
        <f>H179/DAY(B2)</f>
        <v>0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'19'!F180</f>
        <v>37121</v>
      </c>
      <c r="F180" s="155">
        <v>37169</v>
      </c>
      <c r="G180" s="155">
        <f t="shared" si="15"/>
        <v>48</v>
      </c>
      <c r="H180" s="99">
        <f>G180+'19'!H180</f>
        <v>152</v>
      </c>
      <c r="I180" s="155"/>
      <c r="J180" s="178">
        <f>H180/DAY(B2)</f>
        <v>7.6</v>
      </c>
    </row>
    <row r="181" spans="1:10" ht="24.75" customHeight="1">
      <c r="A181" s="893" t="s">
        <v>108</v>
      </c>
      <c r="B181" s="894"/>
      <c r="C181" s="401"/>
      <c r="D181" s="228" t="s">
        <v>142</v>
      </c>
      <c r="E181" s="95"/>
      <c r="F181" s="155"/>
      <c r="G181" s="155">
        <f>SUM(G178:G180)</f>
        <v>116</v>
      </c>
      <c r="H181" s="99">
        <f>G181+'19'!H181</f>
        <v>1714</v>
      </c>
      <c r="I181" s="155"/>
      <c r="J181" s="178">
        <f>H181/DAY(B2)</f>
        <v>85.7</v>
      </c>
    </row>
    <row r="182" spans="1:10" ht="24.75" customHeight="1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891" t="s">
        <v>214</v>
      </c>
      <c r="B183" s="892"/>
      <c r="C183" s="334"/>
      <c r="D183" s="228" t="s">
        <v>142</v>
      </c>
      <c r="E183" s="95">
        <f>'19'!F183</f>
        <v>17616</v>
      </c>
      <c r="F183" s="157">
        <v>17620</v>
      </c>
      <c r="G183" s="157">
        <f>F183-E183</f>
        <v>4</v>
      </c>
      <c r="H183" s="99">
        <f>G183+'19'!H183</f>
        <v>147</v>
      </c>
      <c r="I183" s="155"/>
      <c r="J183" s="178">
        <f>H183/DAY(B2)</f>
        <v>7.35</v>
      </c>
    </row>
    <row r="184" spans="1:10" ht="24.75" customHeight="1">
      <c r="A184" s="891" t="s">
        <v>215</v>
      </c>
      <c r="B184" s="892"/>
      <c r="C184" s="334"/>
      <c r="D184" s="228" t="s">
        <v>142</v>
      </c>
      <c r="E184" s="95">
        <f>'19'!F184</f>
        <v>12082</v>
      </c>
      <c r="F184" s="157">
        <v>12088</v>
      </c>
      <c r="G184" s="157">
        <f t="shared" ref="G184:G185" si="16">F184-E184</f>
        <v>6</v>
      </c>
      <c r="H184" s="99">
        <f>G184+'19'!H184</f>
        <v>153</v>
      </c>
      <c r="I184" s="155"/>
      <c r="J184" s="178">
        <f>H184/DAY(B2)</f>
        <v>7.65</v>
      </c>
    </row>
    <row r="185" spans="1:10" ht="24.75" customHeight="1">
      <c r="A185" s="891" t="s">
        <v>216</v>
      </c>
      <c r="B185" s="892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880" t="s">
        <v>196</v>
      </c>
      <c r="B186" s="881"/>
      <c r="C186" s="400"/>
      <c r="D186" s="228" t="s">
        <v>142</v>
      </c>
      <c r="E186" s="95"/>
      <c r="F186" s="157"/>
      <c r="G186" s="157">
        <f>SUM(G183:G185)</f>
        <v>10</v>
      </c>
      <c r="H186" s="99">
        <f>G186+'19'!H186</f>
        <v>300</v>
      </c>
      <c r="I186" s="157"/>
      <c r="J186" s="178">
        <f>H186/DAY(B2)</f>
        <v>15</v>
      </c>
    </row>
    <row r="187" spans="1:10" ht="25.5">
      <c r="A187" s="882" t="s">
        <v>217</v>
      </c>
      <c r="B187" s="883"/>
      <c r="C187" s="333"/>
      <c r="D187" s="230" t="s">
        <v>142</v>
      </c>
      <c r="E187" s="95"/>
      <c r="F187" s="159"/>
      <c r="G187" s="378">
        <f>G62+G19</f>
        <v>156</v>
      </c>
      <c r="H187" s="99">
        <f>G187+'19'!H187</f>
        <v>3174</v>
      </c>
      <c r="I187" s="158"/>
      <c r="J187" s="179">
        <f>H187/DAY(B2)</f>
        <v>158.69999999999999</v>
      </c>
    </row>
    <row r="188" spans="1:10" ht="25.5">
      <c r="A188" s="882" t="s">
        <v>218</v>
      </c>
      <c r="B188" s="883"/>
      <c r="C188" s="333"/>
      <c r="D188" s="230" t="s">
        <v>142</v>
      </c>
      <c r="E188" s="95"/>
      <c r="F188" s="159"/>
      <c r="G188" s="378">
        <f>G65+G66+G67+G69+G70</f>
        <v>157</v>
      </c>
      <c r="H188" s="99">
        <f>G188+'19'!H188</f>
        <v>951</v>
      </c>
      <c r="I188" s="158"/>
      <c r="J188" s="179">
        <f>H188/DAY(B2)</f>
        <v>47.55</v>
      </c>
    </row>
    <row r="189" spans="1:10" ht="25.5">
      <c r="A189" s="882" t="s">
        <v>219</v>
      </c>
      <c r="B189" s="883"/>
      <c r="C189" s="333"/>
      <c r="D189" s="230" t="s">
        <v>142</v>
      </c>
      <c r="E189" s="95"/>
      <c r="F189" s="157"/>
      <c r="G189" s="377">
        <f>G181</f>
        <v>116</v>
      </c>
      <c r="H189" s="99">
        <f>G189+'19'!H189</f>
        <v>205</v>
      </c>
      <c r="I189" s="158"/>
      <c r="J189" s="179">
        <f>H189/DAY(B2)</f>
        <v>10.25</v>
      </c>
    </row>
    <row r="190" spans="1:10" ht="25.5">
      <c r="A190" s="889"/>
      <c r="B190" s="89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zoomScale="60" zoomScaleNormal="60" zoomScalePageLayoutView="20" workbookViewId="0">
      <selection activeCell="F156" sqref="F15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5546875" style="161" customWidth="1"/>
    <col min="9" max="9" width="19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355</v>
      </c>
      <c r="B2" s="262">
        <v>44794</v>
      </c>
      <c r="C2" s="34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375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857344</v>
      </c>
      <c r="F7" s="95">
        <v>881511</v>
      </c>
      <c r="G7" s="112">
        <f>F7-E7</f>
        <v>24167</v>
      </c>
      <c r="H7" s="99">
        <f>G7+'20'!H7</f>
        <v>545052.75</v>
      </c>
      <c r="I7" s="113">
        <f>'1'!I7</f>
        <v>12000</v>
      </c>
      <c r="J7" s="175">
        <f>H7/DAY(B2)</f>
        <v>25954.892857142859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v>14971</v>
      </c>
      <c r="F8" s="95">
        <v>39401</v>
      </c>
      <c r="G8" s="115">
        <f>F8-E8</f>
        <v>24430</v>
      </c>
      <c r="H8" s="99">
        <f>G8+'20'!H8</f>
        <v>551004.69999999995</v>
      </c>
      <c r="I8" s="116"/>
      <c r="J8" s="175">
        <f>H8/DAY(B2)</f>
        <v>26238.319047619047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3415064.3</v>
      </c>
      <c r="F9" s="469">
        <v>3418464</v>
      </c>
      <c r="G9" s="112">
        <f>F9-E9</f>
        <v>3399.7000000001863</v>
      </c>
      <c r="H9" s="99">
        <f>G9+'20'!H9</f>
        <v>139398</v>
      </c>
      <c r="I9" s="124">
        <f>I7-J7</f>
        <v>-13954.892857142859</v>
      </c>
      <c r="J9" s="175">
        <f>H9/DAY(B2)</f>
        <v>6638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2037455.3</v>
      </c>
      <c r="F10" s="353">
        <v>2057534</v>
      </c>
      <c r="G10" s="112">
        <f t="shared" ref="G10:G12" si="0">F10-E10</f>
        <v>20078.699999999953</v>
      </c>
      <c r="H10" s="99">
        <f>G10+'20'!H10</f>
        <v>390376</v>
      </c>
      <c r="I10" s="282"/>
      <c r="J10" s="175">
        <f>H10/DAY(B2)</f>
        <v>18589.333333333332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37560</v>
      </c>
      <c r="F11" s="95">
        <v>37560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40380</v>
      </c>
      <c r="F12" s="117">
        <v>40380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23478.40000000014</v>
      </c>
      <c r="H13" s="99">
        <f>G13+'20'!H13</f>
        <v>531108.59999999986</v>
      </c>
      <c r="I13" s="120">
        <f>G7-G13</f>
        <v>688.5999999998603</v>
      </c>
      <c r="J13" s="175">
        <f>H13/DAY(B2)</f>
        <v>25290.885714285709</v>
      </c>
      <c r="K13" s="79"/>
      <c r="L13" s="66"/>
      <c r="N13" s="87"/>
      <c r="O13" s="71"/>
    </row>
    <row r="14" spans="1:15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'20'!F15</f>
        <v>2121480</v>
      </c>
      <c r="F15" s="469">
        <v>2122439</v>
      </c>
      <c r="G15" s="112">
        <f>(F15-E15)</f>
        <v>959</v>
      </c>
      <c r="H15" s="99">
        <f>G15+'20'!H15</f>
        <v>21571</v>
      </c>
      <c r="I15" s="113">
        <f>'1'!I15</f>
        <v>800</v>
      </c>
      <c r="J15" s="175">
        <f>H15/DAY(B2)</f>
        <v>1027.1904761904761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-227.19047619047615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'20'!F18</f>
        <v>19</v>
      </c>
      <c r="F18" s="404">
        <v>14</v>
      </c>
      <c r="G18" s="119">
        <f>F18*10</f>
        <v>140</v>
      </c>
      <c r="H18" s="99">
        <f>G18+'20'!H18</f>
        <v>3290</v>
      </c>
      <c r="I18" s="113">
        <f>'1'!I18</f>
        <v>65</v>
      </c>
      <c r="J18" s="175">
        <f>H18/DAY(B2)</f>
        <v>156.66666666666666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'20'!F19</f>
        <v>163343</v>
      </c>
      <c r="F19" s="122">
        <v>163394</v>
      </c>
      <c r="G19" s="112">
        <f t="shared" ref="G19" si="1">F19-E19</f>
        <v>51</v>
      </c>
      <c r="H19" s="99">
        <f>G19+'20'!H19</f>
        <v>1059</v>
      </c>
      <c r="I19" s="335"/>
      <c r="J19" s="175">
        <f>H19/DAY(B2)</f>
        <v>50.428571428571431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191</v>
      </c>
      <c r="H20" s="99">
        <f>G20+'20'!H20</f>
        <v>4349</v>
      </c>
      <c r="I20" s="336">
        <f>I18-J20</f>
        <v>-142.0952380952381</v>
      </c>
      <c r="J20" s="175">
        <f>H20/DAY(B2)</f>
        <v>207.0952380952381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'20'!F23</f>
        <v>1500</v>
      </c>
      <c r="F23" s="122">
        <v>1500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4470</v>
      </c>
      <c r="F24" s="128">
        <v>4470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24430</v>
      </c>
      <c r="F27" s="136">
        <v>9</v>
      </c>
      <c r="G27" s="137">
        <f>E27*F27</f>
        <v>219870</v>
      </c>
      <c r="H27" s="99">
        <f>G27+'20'!H27</f>
        <v>4959042.3</v>
      </c>
      <c r="I27" s="138"/>
      <c r="J27" s="175">
        <f>H27/DAY(B2)</f>
        <v>236144.87142857141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959</v>
      </c>
      <c r="F28" s="136">
        <v>70</v>
      </c>
      <c r="G28" s="137">
        <f>E28*F28</f>
        <v>67130</v>
      </c>
      <c r="H28" s="99">
        <f>G28+'20'!H28</f>
        <v>1509970</v>
      </c>
      <c r="I28" s="140"/>
      <c r="J28" s="175">
        <f>H28/DAY(B2)</f>
        <v>71903.333333333328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G30+'20'!H30</f>
        <v>159909</v>
      </c>
      <c r="I30" s="140"/>
      <c r="J30" s="175">
        <f>H30/DAY(B2)</f>
        <v>7614.7142857142853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G31+'20'!H31</f>
        <v>263200</v>
      </c>
      <c r="I31" s="140"/>
      <c r="J31" s="175">
        <f>H31/DAY(B2)</f>
        <v>12533.333333333334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305901</v>
      </c>
      <c r="H32" s="99">
        <f>G32+'20'!H32</f>
        <v>6892121.2999999998</v>
      </c>
      <c r="I32" s="144"/>
      <c r="J32" s="175">
        <f>H32/DAY(B2)</f>
        <v>328196.25238095236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238713.05</v>
      </c>
      <c r="F35" s="145">
        <v>238713</v>
      </c>
      <c r="G35" s="112">
        <f t="shared" ref="G35:G46" si="3">F35-E35</f>
        <v>-4.9999999988358468E-2</v>
      </c>
      <c r="H35" s="99">
        <f>G35+'20'!H35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232765</v>
      </c>
      <c r="F36" s="145">
        <v>233556</v>
      </c>
      <c r="G36" s="112">
        <f t="shared" si="3"/>
        <v>791</v>
      </c>
      <c r="H36" s="99">
        <f>G36+'20'!H36</f>
        <v>18026</v>
      </c>
      <c r="I36" s="95"/>
      <c r="J36" s="175">
        <f>H36/DAY(B2)</f>
        <v>858.38095238095241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322998.69</v>
      </c>
      <c r="F37" s="418">
        <v>322998.69</v>
      </c>
      <c r="G37" s="112">
        <f t="shared" si="3"/>
        <v>0</v>
      </c>
      <c r="H37" s="99">
        <f>G37+'20'!H37</f>
        <v>-0.30999999999767169</v>
      </c>
      <c r="I37" s="95"/>
      <c r="J37" s="175">
        <f>H37/DAY(B2)</f>
        <v>-1.4761904761793889E-2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502039.87</v>
      </c>
      <c r="F38" s="108">
        <v>504206</v>
      </c>
      <c r="G38" s="112">
        <f t="shared" si="3"/>
        <v>2166.1300000000047</v>
      </c>
      <c r="H38" s="99">
        <f>G38+'20'!H38</f>
        <v>46845</v>
      </c>
      <c r="I38" s="95"/>
      <c r="J38" s="175">
        <f>H38/DAY(B2)</f>
        <v>2230.7142857142858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591584.18999999994</v>
      </c>
      <c r="F39" s="418">
        <v>591584</v>
      </c>
      <c r="G39" s="112">
        <f t="shared" si="3"/>
        <v>-0.18999999994412065</v>
      </c>
      <c r="H39" s="99">
        <f>G39+'20'!H39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124075.09</v>
      </c>
      <c r="F40" s="145">
        <v>124938</v>
      </c>
      <c r="G40" s="112">
        <f t="shared" si="3"/>
        <v>862.91000000000349</v>
      </c>
      <c r="H40" s="99">
        <f>G40+'20'!H40</f>
        <v>18162</v>
      </c>
      <c r="I40" s="95"/>
      <c r="J40" s="175">
        <f>H40/DAY(B2)</f>
        <v>864.85714285714289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257421.37</v>
      </c>
      <c r="F41" s="145">
        <v>257421</v>
      </c>
      <c r="G41" s="112">
        <f t="shared" si="3"/>
        <v>-0.36999999999534339</v>
      </c>
      <c r="H41" s="99">
        <f>G41+'20'!H41</f>
        <v>45718</v>
      </c>
      <c r="I41" s="95"/>
      <c r="J41" s="175">
        <f>H41/DAY(B2)</f>
        <v>2177.0476190476193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779602</v>
      </c>
      <c r="F42" s="145">
        <v>780052</v>
      </c>
      <c r="G42" s="112">
        <f t="shared" si="3"/>
        <v>450</v>
      </c>
      <c r="H42" s="99">
        <f>G42+'20'!H42</f>
        <v>31688</v>
      </c>
      <c r="I42" s="95"/>
      <c r="J42" s="175">
        <f>H42/DAY(B2)</f>
        <v>1508.952380952381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407028</v>
      </c>
      <c r="F43" s="145">
        <v>407028</v>
      </c>
      <c r="G43" s="112">
        <f t="shared" si="3"/>
        <v>0</v>
      </c>
      <c r="H43" s="99">
        <f>G43+'20'!H43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4269.4300000000803</v>
      </c>
      <c r="H47" s="99">
        <f>G47+'20'!H47</f>
        <v>160438.69000000003</v>
      </c>
      <c r="I47" s="95"/>
      <c r="J47" s="175">
        <f>H47/DAY(B2)</f>
        <v>7639.9376190476205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564383.11</v>
      </c>
      <c r="F49" s="145">
        <v>568262</v>
      </c>
      <c r="G49" s="112">
        <f t="shared" ref="G49:G58" si="4">F49-E49</f>
        <v>3878.890000000014</v>
      </c>
      <c r="H49" s="99">
        <f>G49+'20'!H49</f>
        <v>83208</v>
      </c>
      <c r="I49" s="95"/>
      <c r="J49" s="175">
        <f>H49/DAY(B2)</f>
        <v>3962.2857142857142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308202.57</v>
      </c>
      <c r="F50" s="145">
        <v>309556</v>
      </c>
      <c r="G50" s="112">
        <f t="shared" si="4"/>
        <v>1353.429999999993</v>
      </c>
      <c r="H50" s="99">
        <f>G50+'20'!H50</f>
        <v>233439.43</v>
      </c>
      <c r="I50" s="95"/>
      <c r="J50" s="175">
        <f>H50/DAY(B2)</f>
        <v>11116.163333333334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29530.39</v>
      </c>
      <c r="F51" s="145">
        <v>30549</v>
      </c>
      <c r="G51" s="112">
        <f t="shared" si="4"/>
        <v>1018.6100000000006</v>
      </c>
      <c r="H51" s="99">
        <f>G51+'20'!H51</f>
        <v>22041</v>
      </c>
      <c r="I51" s="95"/>
      <c r="J51" s="175">
        <f>H51/DAY(B2)</f>
        <v>1049.5714285714287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10</v>
      </c>
      <c r="F52" s="145">
        <v>10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121518.26</v>
      </c>
      <c r="F53" s="145">
        <v>125897</v>
      </c>
      <c r="G53" s="112">
        <f t="shared" si="4"/>
        <v>4378.7400000000052</v>
      </c>
      <c r="H53" s="99">
        <f>G53+'20'!H53</f>
        <v>92036</v>
      </c>
      <c r="I53" s="95"/>
      <c r="J53" s="175">
        <f>H53/DAY(B2)</f>
        <v>4382.666666666667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93688.27</v>
      </c>
      <c r="F54" s="145">
        <v>93874</v>
      </c>
      <c r="G54" s="112">
        <f t="shared" si="4"/>
        <v>185.72999999999593</v>
      </c>
      <c r="H54" s="99">
        <f>G54+'20'!H54</f>
        <v>5931</v>
      </c>
      <c r="I54" s="95"/>
      <c r="J54" s="175">
        <f>H54/DAY(B2)</f>
        <v>282.42857142857144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421735.79</v>
      </c>
      <c r="F55" s="145">
        <v>425795</v>
      </c>
      <c r="G55" s="112">
        <f t="shared" si="4"/>
        <v>4059.210000000021</v>
      </c>
      <c r="H55" s="99">
        <f>G55+'20'!H55</f>
        <v>63018</v>
      </c>
      <c r="I55" s="95"/>
      <c r="J55" s="175">
        <f>H55/DAY(B2)</f>
        <v>3000.8571428571427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123882.39</v>
      </c>
      <c r="F56" s="418">
        <v>123882</v>
      </c>
      <c r="G56" s="112">
        <f t="shared" si="4"/>
        <v>-0.38999999999941792</v>
      </c>
      <c r="H56" s="99">
        <f>G56+'20'!H56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288781.11</v>
      </c>
      <c r="F57" s="145">
        <v>291942</v>
      </c>
      <c r="G57" s="112">
        <f t="shared" si="4"/>
        <v>3160.890000000014</v>
      </c>
      <c r="H57" s="99">
        <f>G57+'20'!H57</f>
        <v>65772</v>
      </c>
      <c r="I57" s="95"/>
      <c r="J57" s="175">
        <f>H57/DAY(B2)</f>
        <v>3132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54263.54</v>
      </c>
      <c r="F58" s="145">
        <v>54481</v>
      </c>
      <c r="G58" s="112">
        <f t="shared" si="4"/>
        <v>217.45999999999913</v>
      </c>
      <c r="H58" s="99">
        <f>G58+'20'!H58</f>
        <v>5372</v>
      </c>
      <c r="I58" s="95"/>
      <c r="J58" s="175">
        <f>H58/DAY(B2)</f>
        <v>255.8095238095238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18252.570000000043</v>
      </c>
      <c r="H59" s="99">
        <f>G59+'20'!H59</f>
        <v>364184.00000000012</v>
      </c>
      <c r="I59" s="95">
        <f>G7-G60</f>
        <v>1644.9999999998763</v>
      </c>
      <c r="J59" s="175">
        <f>H59/DAY(B2)</f>
        <v>17342.095238095244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22522.000000000124</v>
      </c>
      <c r="H60" s="99">
        <f>G60+'20'!H60</f>
        <v>524622.69000000006</v>
      </c>
      <c r="I60" s="95">
        <f>G13-G60</f>
        <v>956.40000000001601</v>
      </c>
      <c r="J60" s="175">
        <f>H60/DAY(B2)</f>
        <v>24982.032857142862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'20'!F62</f>
        <v>298441</v>
      </c>
      <c r="F62" s="122">
        <v>298531</v>
      </c>
      <c r="G62" s="112">
        <f t="shared" ref="G62:G63" si="5">F62-E62</f>
        <v>90</v>
      </c>
      <c r="H62" s="99">
        <f>G62+'20'!H62</f>
        <v>2256</v>
      </c>
      <c r="I62" s="118"/>
      <c r="J62" s="175">
        <f>H62/DAY(B2)</f>
        <v>107.42857142857143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'20'!F63</f>
        <v>241564</v>
      </c>
      <c r="F63" s="404">
        <v>241621</v>
      </c>
      <c r="G63" s="112">
        <f t="shared" si="5"/>
        <v>57</v>
      </c>
      <c r="H63" s="99">
        <f>G63+'20'!H63</f>
        <v>2488</v>
      </c>
      <c r="I63" s="118"/>
      <c r="J63" s="175">
        <f>H63/DAY(B2)</f>
        <v>118.47619047619048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'20'!F64</f>
        <v>0</v>
      </c>
      <c r="F64" s="122"/>
      <c r="G64" s="112">
        <f>G62+G63</f>
        <v>147</v>
      </c>
      <c r="H64" s="99">
        <f>G64+'20'!H64</f>
        <v>4744</v>
      </c>
      <c r="I64" s="118"/>
      <c r="J64" s="175">
        <f>H64/DAY(B2)</f>
        <v>225.9047619047619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'20'!F65</f>
        <v>456757</v>
      </c>
      <c r="F65" s="122">
        <v>456859</v>
      </c>
      <c r="G65" s="112">
        <f t="shared" ref="G65:G70" si="6">F65-E65</f>
        <v>102</v>
      </c>
      <c r="H65" s="99">
        <f>G65+'20'!H65</f>
        <v>2149</v>
      </c>
      <c r="I65" s="118"/>
      <c r="J65" s="175">
        <f>H65/DAY(B2)</f>
        <v>102.33333333333333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'20'!F66</f>
        <v>112162</v>
      </c>
      <c r="F66" s="122">
        <v>112183</v>
      </c>
      <c r="G66" s="112">
        <f t="shared" si="6"/>
        <v>21</v>
      </c>
      <c r="H66" s="99">
        <f>G66+'20'!H66</f>
        <v>461</v>
      </c>
      <c r="I66" s="118"/>
      <c r="J66" s="175">
        <f>H66/DAY(B2)</f>
        <v>21.952380952380953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'20'!F67</f>
        <v>114006</v>
      </c>
      <c r="F67" s="122">
        <v>114026</v>
      </c>
      <c r="G67" s="112">
        <f t="shared" si="6"/>
        <v>20</v>
      </c>
      <c r="H67" s="99">
        <f>G67+'20'!H67</f>
        <v>346</v>
      </c>
      <c r="I67" s="118"/>
      <c r="J67" s="175">
        <f>H67/DAY(B2)</f>
        <v>16.476190476190474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'20'!F68</f>
        <v>165222</v>
      </c>
      <c r="F68" s="122">
        <v>165270</v>
      </c>
      <c r="G68" s="112">
        <f t="shared" si="6"/>
        <v>48</v>
      </c>
      <c r="H68" s="99">
        <f>G68+'20'!H68</f>
        <v>608</v>
      </c>
      <c r="I68" s="118"/>
      <c r="J68" s="175">
        <f>H68/DAY(B2)</f>
        <v>28.952380952380953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'20'!F69</f>
        <v>12390</v>
      </c>
      <c r="F69" s="122">
        <v>12394</v>
      </c>
      <c r="G69" s="112">
        <f t="shared" si="6"/>
        <v>4</v>
      </c>
      <c r="H69" s="99">
        <f>G69+'20'!H69</f>
        <v>119</v>
      </c>
      <c r="I69" s="118"/>
      <c r="J69" s="175">
        <f>H69/DAY(B2)</f>
        <v>5.666666666666667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'20'!F70</f>
        <v>10019</v>
      </c>
      <c r="F70" s="122">
        <v>10027</v>
      </c>
      <c r="G70" s="112">
        <f t="shared" si="6"/>
        <v>8</v>
      </c>
      <c r="H70" s="99">
        <f>G70+'20'!H70</f>
        <v>200</v>
      </c>
      <c r="I70" s="118"/>
      <c r="J70" s="175">
        <f>H70/DAY(B2)</f>
        <v>9.5238095238095237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203</v>
      </c>
      <c r="H71" s="99">
        <f>G71+'20'!H71</f>
        <v>3883</v>
      </c>
      <c r="I71" s="154"/>
      <c r="J71" s="175">
        <f>H71/DAY(B2)</f>
        <v>184.9047619047619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'20'!F74</f>
        <v>963963.13</v>
      </c>
      <c r="F74" s="123">
        <v>964281</v>
      </c>
      <c r="G74" s="112">
        <f t="shared" ref="G74:G78" si="7">F74-E74</f>
        <v>317.86999999999534</v>
      </c>
      <c r="H74" s="99">
        <f>G74+'20'!H74</f>
        <v>6623.140000000014</v>
      </c>
      <c r="I74" s="154"/>
      <c r="J74" s="175">
        <f>H74/DAY(B2)</f>
        <v>315.38761904761969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'20'!F76</f>
        <v>192382</v>
      </c>
      <c r="F76" s="123">
        <v>192477</v>
      </c>
      <c r="G76" s="112">
        <f t="shared" si="7"/>
        <v>95</v>
      </c>
      <c r="H76" s="99">
        <f>G76+'20'!H76</f>
        <v>2305</v>
      </c>
      <c r="I76" s="154"/>
      <c r="J76" s="175">
        <f>H76/DAY(B2)</f>
        <v>109.76190476190476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'20'!F77</f>
        <v>51313</v>
      </c>
      <c r="F77" s="123">
        <v>51360</v>
      </c>
      <c r="G77" s="112">
        <f t="shared" si="7"/>
        <v>47</v>
      </c>
      <c r="H77" s="99">
        <f>G77+'20'!H77</f>
        <v>1047</v>
      </c>
      <c r="I77" s="154"/>
      <c r="J77" s="175">
        <f>H77/DAY(B2)</f>
        <v>49.857142857142854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'20'!F78</f>
        <v>9564</v>
      </c>
      <c r="F78" s="123">
        <v>9564</v>
      </c>
      <c r="G78" s="112">
        <f t="shared" si="7"/>
        <v>0</v>
      </c>
      <c r="H78" s="99">
        <f>G78+'20'!H78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'20'!F79</f>
        <v>0</v>
      </c>
      <c r="F79" s="123"/>
      <c r="G79" s="112">
        <f>G15-SUM(G74:G78)</f>
        <v>499.13000000000466</v>
      </c>
      <c r="H79" s="99">
        <f>G79+'20'!H79</f>
        <v>11595.859999999986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959</v>
      </c>
      <c r="H80" s="99"/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'20'!F84</f>
        <v>42801.34</v>
      </c>
      <c r="F84" s="164">
        <v>42801.36</v>
      </c>
      <c r="G84" s="112">
        <f t="shared" si="8"/>
        <v>2.0000000004074536E-2</v>
      </c>
      <c r="H84" s="99">
        <f>G84+'20'!H84</f>
        <v>172.36000000000058</v>
      </c>
      <c r="I84" s="571"/>
      <c r="J84" s="175">
        <f>H84/DAY(B2)</f>
        <v>8.207619047619076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'20'!F85</f>
        <v>5278.11</v>
      </c>
      <c r="F85" s="164">
        <v>5280.21</v>
      </c>
      <c r="G85" s="112">
        <f t="shared" si="8"/>
        <v>2.1000000000003638</v>
      </c>
      <c r="H85" s="99">
        <f>G85+'20'!H85</f>
        <v>140.02000000000044</v>
      </c>
      <c r="I85" s="571"/>
      <c r="J85" s="175">
        <f>H85/DAY(B2)</f>
        <v>6.667619047619068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'20'!F86</f>
        <v>45777.52</v>
      </c>
      <c r="F86" s="164">
        <v>45802</v>
      </c>
      <c r="G86" s="112">
        <f t="shared" si="8"/>
        <v>24.480000000003201</v>
      </c>
      <c r="H86" s="99">
        <f>G86+'20'!H86</f>
        <v>423</v>
      </c>
      <c r="I86" s="571"/>
      <c r="J86" s="175">
        <f>H86/DAY(B2)</f>
        <v>20.142857142857142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'20'!F87</f>
        <v>35481</v>
      </c>
      <c r="F87" s="164">
        <v>35481</v>
      </c>
      <c r="G87" s="112">
        <f t="shared" si="8"/>
        <v>0</v>
      </c>
      <c r="H87" s="99">
        <f>G87+'20'!H87</f>
        <v>23.569999999999709</v>
      </c>
      <c r="I87" s="571">
        <f>G84+G85+G86+G87</f>
        <v>26.60000000000764</v>
      </c>
      <c r="J87" s="175">
        <f>H87/DAY(B2)</f>
        <v>1.1223809523809385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'20'!F88</f>
        <v>24320.23</v>
      </c>
      <c r="F88" s="164">
        <v>24320</v>
      </c>
      <c r="G88" s="112">
        <f t="shared" si="8"/>
        <v>-0.22999999999956344</v>
      </c>
      <c r="H88" s="99">
        <f>G88+'20'!H88</f>
        <v>16.540000000000873</v>
      </c>
      <c r="I88" s="571"/>
      <c r="J88" s="175">
        <f>H88/DAY(B2)</f>
        <v>0.78761904761908919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'20'!F89</f>
        <v>27725.99</v>
      </c>
      <c r="F89" s="164">
        <v>27733.89</v>
      </c>
      <c r="G89" s="112">
        <f t="shared" si="8"/>
        <v>7.8999999999978172</v>
      </c>
      <c r="H89" s="99">
        <f>G89+'20'!H89</f>
        <v>167.27999999999884</v>
      </c>
      <c r="I89" s="571">
        <f>G88+G89</f>
        <v>7.6699999999982538</v>
      </c>
      <c r="J89" s="175">
        <f>H89/DAY(B2)</f>
        <v>7.9657142857142302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'20'!F90</f>
        <v>72823.55</v>
      </c>
      <c r="F90" s="164">
        <v>72833.66</v>
      </c>
      <c r="G90" s="112">
        <f t="shared" si="8"/>
        <v>10.110000000000582</v>
      </c>
      <c r="H90" s="99">
        <f>G90+'20'!H90</f>
        <v>227.11000000000058</v>
      </c>
      <c r="I90" s="571">
        <f>G90</f>
        <v>10.110000000000582</v>
      </c>
      <c r="J90" s="175">
        <f>H90/DAY(B2)</f>
        <v>10.814761904761932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'20'!F91</f>
        <v>4289.5</v>
      </c>
      <c r="F91" s="122">
        <v>4289.54</v>
      </c>
      <c r="G91" s="112">
        <f t="shared" si="8"/>
        <v>3.999999999996362E-2</v>
      </c>
      <c r="H91" s="99">
        <f>G91+'20'!H91</f>
        <v>0</v>
      </c>
      <c r="I91" s="590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'20'!F92</f>
        <v>6939.83</v>
      </c>
      <c r="F92" s="122">
        <v>6951</v>
      </c>
      <c r="G92" s="112">
        <f t="shared" si="8"/>
        <v>11.170000000000073</v>
      </c>
      <c r="H92" s="99">
        <f>G92+'20'!H92</f>
        <v>233.67000000000007</v>
      </c>
      <c r="I92" s="596">
        <f>G91+G92</f>
        <v>11.210000000000036</v>
      </c>
      <c r="J92" s="175">
        <f>H92/DAY(B2)</f>
        <v>11.127142857142861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7039.7300000000396</v>
      </c>
      <c r="H94" s="99">
        <f>G94+'20'!H94</f>
        <v>148980</v>
      </c>
      <c r="I94" s="118"/>
      <c r="J94" s="175">
        <f>H94/DAY(B2)</f>
        <v>7094.2857142857147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0.29129515454959404</v>
      </c>
      <c r="H95" s="99">
        <f>G95+'20'!H95</f>
        <v>5.7500441100283659</v>
      </c>
      <c r="I95" s="167"/>
      <c r="J95" s="175">
        <f>H95/DAY(B2)</f>
        <v>0.27381162428706507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4508.4500000000262</v>
      </c>
      <c r="H96" s="99">
        <f>G96+'20'!H96</f>
        <v>140424</v>
      </c>
      <c r="I96" s="118"/>
      <c r="J96" s="175">
        <f>H96/DAY(B2)</f>
        <v>6686.8571428571431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0.18655397856581396</v>
      </c>
      <c r="H97" s="99">
        <f>G97+'20'!H97</f>
        <v>5.3931131373956358</v>
      </c>
      <c r="I97" s="167"/>
      <c r="J97" s="175">
        <f>H97/DAY(B2)</f>
        <v>0.25681491130455408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4378.5500000000611</v>
      </c>
      <c r="H98" s="99">
        <f>G98+'20'!H98</f>
        <v>92036</v>
      </c>
      <c r="I98" s="168"/>
      <c r="J98" s="175">
        <f>H98/DAY(B2)</f>
        <v>4382.666666666667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0.18117888029130885</v>
      </c>
      <c r="H99" s="99">
        <f>G99+'20'!H99</f>
        <v>3.5512037391973705</v>
      </c>
      <c r="I99" s="168"/>
      <c r="J99" s="175">
        <f>H99/DAY(B2)</f>
        <v>0.16910493996177955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2166.1300000000047</v>
      </c>
      <c r="H100" s="99">
        <f>G100+'20'!H100</f>
        <v>46845</v>
      </c>
      <c r="I100" s="118"/>
      <c r="J100" s="175">
        <f>H100/DAY(B2)</f>
        <v>2230.7142857142858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8.9631729217528225E-2</v>
      </c>
      <c r="H101" s="99">
        <f>G101+'20'!H101</f>
        <v>1.8073048395485742</v>
      </c>
      <c r="I101" s="168"/>
      <c r="J101" s="175">
        <f>H101/DAY(B2)</f>
        <v>8.6062135216598779E-2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2144.429999999993</v>
      </c>
      <c r="H102" s="99">
        <f>G102+'20'!H102</f>
        <v>44832</v>
      </c>
      <c r="I102" s="168"/>
      <c r="J102" s="175">
        <f>H102/DAY(B2)</f>
        <v>2134.8571428571427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8.8733810568129803E-2</v>
      </c>
      <c r="H103" s="99">
        <f>G103+'20'!H103</f>
        <v>1.7229788542605777</v>
      </c>
      <c r="I103" s="118"/>
      <c r="J103" s="175">
        <f>H103/DAY(B2)</f>
        <v>8.2046612107646563E-2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1018.6100000000006</v>
      </c>
      <c r="H104" s="99">
        <f>G104+'20'!H104</f>
        <v>22040.690000000002</v>
      </c>
      <c r="I104" s="118"/>
      <c r="J104" s="175">
        <f>H104/DAY(B2)</f>
        <v>1049.5566666666668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4.2148797947614537E-2</v>
      </c>
      <c r="H105" s="99">
        <f>G105+'20'!H105</f>
        <v>0.85000141276924357</v>
      </c>
      <c r="I105" s="187"/>
      <c r="J105" s="188">
        <f>H105/DAY(B2)</f>
        <v>4.0476257750916358E-2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v>6444</v>
      </c>
      <c r="F112" s="237">
        <v>8777</v>
      </c>
      <c r="G112" s="112">
        <f t="shared" ref="G112:G123" si="9">F112-E112</f>
        <v>2333</v>
      </c>
      <c r="H112" s="99">
        <f>G112+'20'!H112</f>
        <v>3975.33</v>
      </c>
      <c r="I112" s="165"/>
      <c r="J112" s="328">
        <f>H112/DAY(B2)</f>
        <v>189.30142857142857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'20'!F113</f>
        <v>17817</v>
      </c>
      <c r="F113" s="468">
        <v>17957</v>
      </c>
      <c r="G113" s="112">
        <f t="shared" si="9"/>
        <v>140</v>
      </c>
      <c r="H113" s="99">
        <f>G113+'20'!H113</f>
        <v>2942</v>
      </c>
      <c r="I113" s="165"/>
      <c r="J113" s="328">
        <f>H113/DAY(B2)</f>
        <v>140.0952380952381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'20'!F114</f>
        <v>25661.07</v>
      </c>
      <c r="F114" s="237">
        <v>25879</v>
      </c>
      <c r="G114" s="112">
        <f t="shared" si="9"/>
        <v>217.93000000000029</v>
      </c>
      <c r="H114" s="99">
        <f>G114+'20'!H114</f>
        <v>4611</v>
      </c>
      <c r="I114" s="165"/>
      <c r="J114" s="328">
        <f>H114/DAY(B2)</f>
        <v>219.57142857142858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'20'!F115</f>
        <v>16067.2</v>
      </c>
      <c r="F115" s="237">
        <v>16196</v>
      </c>
      <c r="G115" s="112">
        <f t="shared" si="9"/>
        <v>128.79999999999927</v>
      </c>
      <c r="H115" s="99">
        <f>G115+'20'!H115</f>
        <v>2620.5200000000004</v>
      </c>
      <c r="I115" s="165"/>
      <c r="J115" s="328">
        <f>H115/DAY(B2)</f>
        <v>124.78666666666669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'20'!F116</f>
        <v>78920.800000000003</v>
      </c>
      <c r="F116" s="237">
        <v>79419</v>
      </c>
      <c r="G116" s="112">
        <f t="shared" si="9"/>
        <v>498.19999999999709</v>
      </c>
      <c r="H116" s="99">
        <f>G116+'20'!H116</f>
        <v>8927</v>
      </c>
      <c r="I116" s="165"/>
      <c r="J116" s="328">
        <f>H116/DAY(B2)</f>
        <v>425.09523809523807</v>
      </c>
      <c r="Q116" s="898" t="s">
        <v>311</v>
      </c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'20'!F117</f>
        <v>45676.2</v>
      </c>
      <c r="F117" s="237">
        <v>45953</v>
      </c>
      <c r="G117" s="112">
        <f t="shared" si="9"/>
        <v>276.80000000000291</v>
      </c>
      <c r="H117" s="99">
        <f>G117+'20'!H117</f>
        <v>5031</v>
      </c>
      <c r="I117" s="165"/>
      <c r="J117" s="328">
        <f>H117/DAY(B2)</f>
        <v>239.57142857142858</v>
      </c>
      <c r="Q117" s="898" t="s">
        <v>312</v>
      </c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'20'!F118</f>
        <v>76499.66</v>
      </c>
      <c r="F118" s="237">
        <v>77103</v>
      </c>
      <c r="G118" s="112">
        <f t="shared" si="9"/>
        <v>603.33999999999651</v>
      </c>
      <c r="H118" s="99">
        <f>G118+'20'!H118</f>
        <v>12431</v>
      </c>
      <c r="I118" s="165"/>
      <c r="J118" s="328">
        <f>H118/DAY(B2)</f>
        <v>591.95238095238096</v>
      </c>
      <c r="Q118" s="898" t="s">
        <v>311</v>
      </c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'20'!F119</f>
        <v>41751.17</v>
      </c>
      <c r="F119" s="237">
        <v>41825</v>
      </c>
      <c r="G119" s="112">
        <f t="shared" si="9"/>
        <v>73.830000000001746</v>
      </c>
      <c r="H119" s="99">
        <f>G119+'20'!H119</f>
        <v>4376</v>
      </c>
      <c r="I119" s="165"/>
      <c r="J119" s="328">
        <f>H119/DAY(B2)</f>
        <v>208.38095238095238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'20'!F120</f>
        <v>54522.5</v>
      </c>
      <c r="F120" s="468">
        <v>54936</v>
      </c>
      <c r="G120" s="112">
        <f t="shared" si="9"/>
        <v>413.5</v>
      </c>
      <c r="H120" s="99">
        <f>G120+'20'!H120</f>
        <v>8669</v>
      </c>
      <c r="I120" s="165"/>
      <c r="J120" s="328">
        <f>H120/DAY(B2)</f>
        <v>412.8095238095238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'20'!F121</f>
        <v>62924.9</v>
      </c>
      <c r="F121" s="237">
        <v>63361</v>
      </c>
      <c r="G121" s="112">
        <f t="shared" si="9"/>
        <v>436.09999999999854</v>
      </c>
      <c r="H121" s="99">
        <f>G121+'20'!H121</f>
        <v>9818</v>
      </c>
      <c r="I121" s="165"/>
      <c r="J121" s="328">
        <f>H121/DAY(B2)</f>
        <v>467.52380952380952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'20'!F122</f>
        <v>35129.300000000003</v>
      </c>
      <c r="F122" s="237">
        <v>35483</v>
      </c>
      <c r="G122" s="112">
        <f t="shared" si="9"/>
        <v>353.69999999999709</v>
      </c>
      <c r="H122" s="99">
        <f>G122+'20'!H122</f>
        <v>6809</v>
      </c>
      <c r="I122" s="165"/>
      <c r="J122" s="328">
        <f>H122/DAY(B2)</f>
        <v>324.23809523809524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'20'!F123</f>
        <v>36693.4</v>
      </c>
      <c r="F123" s="237">
        <v>37026</v>
      </c>
      <c r="G123" s="112">
        <f t="shared" si="9"/>
        <v>332.59999999999854</v>
      </c>
      <c r="H123" s="99">
        <f>G123+'20'!H123</f>
        <v>6838</v>
      </c>
      <c r="I123" s="165"/>
      <c r="J123" s="328">
        <f>H123/DAY(B2)</f>
        <v>325.61904761904759</v>
      </c>
    </row>
    <row r="124" spans="1:18" ht="29.25" customHeight="1">
      <c r="A124" s="902"/>
      <c r="B124" s="903"/>
      <c r="C124" s="904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5.5">
      <c r="A125" s="880" t="s">
        <v>196</v>
      </c>
      <c r="B125" s="881"/>
      <c r="C125" s="245"/>
      <c r="D125" s="307"/>
      <c r="E125" s="308"/>
      <c r="F125" s="308"/>
      <c r="G125" s="309">
        <f>SUM(G112:G124)</f>
        <v>5807.799999999992</v>
      </c>
      <c r="H125" s="156"/>
      <c r="I125" s="327">
        <f>G125-(G39+G53)</f>
        <v>1429.2499999999309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'20'!F128</f>
        <v>137562.9</v>
      </c>
      <c r="F128" s="165">
        <v>137930</v>
      </c>
      <c r="G128" s="112">
        <f t="shared" ref="G128:G134" si="10">F128-E128</f>
        <v>367.10000000000582</v>
      </c>
      <c r="H128" s="99">
        <f>G128+'20'!H128</f>
        <v>10286</v>
      </c>
      <c r="I128" s="165"/>
      <c r="J128" s="328">
        <f>H128/DAY(B2)</f>
        <v>489.8095238095238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'20'!F129</f>
        <v>76450.7</v>
      </c>
      <c r="F129" s="165">
        <v>76629</v>
      </c>
      <c r="G129" s="112">
        <f t="shared" si="10"/>
        <v>178.30000000000291</v>
      </c>
      <c r="H129" s="99">
        <f>G129+'20'!H129</f>
        <v>4126</v>
      </c>
      <c r="I129" s="165"/>
      <c r="J129" s="328">
        <f>H129/DAY(B2)</f>
        <v>196.47619047619048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'20'!F130</f>
        <v>178410.71</v>
      </c>
      <c r="F130" s="465">
        <v>179150</v>
      </c>
      <c r="G130" s="112">
        <f t="shared" si="10"/>
        <v>739.29000000000815</v>
      </c>
      <c r="H130" s="99">
        <f>G130+'20'!H130</f>
        <v>14014.479999999981</v>
      </c>
      <c r="I130" s="165"/>
      <c r="J130" s="328">
        <f>H130/DAY(B2)</f>
        <v>667.35619047618957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'20'!F131</f>
        <v>52188.19</v>
      </c>
      <c r="F131" s="165">
        <v>52360</v>
      </c>
      <c r="G131" s="112">
        <f t="shared" si="10"/>
        <v>171.80999999999767</v>
      </c>
      <c r="H131" s="99">
        <f>G131+'20'!H131</f>
        <v>3911</v>
      </c>
      <c r="I131" s="165"/>
      <c r="J131" s="328">
        <f>H131/DAY(B2)</f>
        <v>186.23809523809524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'20'!F132</f>
        <v>136373.5</v>
      </c>
      <c r="F132" s="165">
        <v>136790</v>
      </c>
      <c r="G132" s="112">
        <f t="shared" si="10"/>
        <v>416.5</v>
      </c>
      <c r="H132" s="99">
        <f>G132+'20'!H132</f>
        <v>8616</v>
      </c>
      <c r="I132" s="165"/>
      <c r="J132" s="328">
        <f>H132/DAY(B2)</f>
        <v>410.28571428571428</v>
      </c>
    </row>
    <row r="133" spans="1:15" ht="25.5">
      <c r="A133" s="898" t="s">
        <v>359</v>
      </c>
      <c r="B133" s="899"/>
      <c r="C133" s="900"/>
      <c r="D133" s="151" t="s">
        <v>183</v>
      </c>
      <c r="E133" s="95">
        <f>'20'!F133</f>
        <v>231224.79</v>
      </c>
      <c r="F133" s="165">
        <v>232110</v>
      </c>
      <c r="G133" s="112">
        <f t="shared" si="10"/>
        <v>885.20999999999185</v>
      </c>
      <c r="H133" s="99">
        <f>G133+'20'!H133</f>
        <v>9705.429999999993</v>
      </c>
      <c r="I133" s="165"/>
      <c r="J133" s="328">
        <f>H133/DAY(B2)</f>
        <v>462.16333333333301</v>
      </c>
    </row>
    <row r="134" spans="1:15" ht="25.5">
      <c r="A134" s="898" t="s">
        <v>340</v>
      </c>
      <c r="B134" s="899"/>
      <c r="C134" s="900"/>
      <c r="D134" s="151" t="s">
        <v>183</v>
      </c>
      <c r="E134" s="95">
        <f>'20'!F134</f>
        <v>53433.41</v>
      </c>
      <c r="F134" s="165">
        <v>53679</v>
      </c>
      <c r="G134" s="112">
        <f t="shared" si="10"/>
        <v>245.58999999999651</v>
      </c>
      <c r="H134" s="99">
        <f>G134+'20'!H134</f>
        <v>4644</v>
      </c>
      <c r="I134" s="165"/>
      <c r="J134" s="328">
        <f>H134/DAY(B2)</f>
        <v>221.14285714285714</v>
      </c>
    </row>
    <row r="135" spans="1:15" ht="25.5">
      <c r="A135" s="880" t="s">
        <v>196</v>
      </c>
      <c r="B135" s="881"/>
      <c r="C135" s="331"/>
      <c r="D135" s="151"/>
      <c r="E135" s="95"/>
      <c r="F135" s="165"/>
      <c r="G135" s="112">
        <f>SUM(G128:G134)</f>
        <v>3003.8000000000029</v>
      </c>
      <c r="H135" s="99">
        <f>G135+'10'!H135</f>
        <v>24802.76999999999</v>
      </c>
      <c r="I135" s="327">
        <f>G135-(G35+G49)</f>
        <v>-875.0400000000227</v>
      </c>
      <c r="J135" s="328"/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'20'!F138</f>
        <v>893928</v>
      </c>
      <c r="F138" s="147">
        <v>894065</v>
      </c>
      <c r="G138" s="112">
        <f t="shared" ref="G138:G152" si="11">F138-E138</f>
        <v>137</v>
      </c>
      <c r="H138" s="99">
        <f>G138+'20'!H138</f>
        <v>2954</v>
      </c>
      <c r="I138" s="118"/>
      <c r="J138" s="328">
        <f>H138/DAY(B2)</f>
        <v>140.66666666666666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'20'!F139</f>
        <v>911959</v>
      </c>
      <c r="F139" s="148">
        <v>912096</v>
      </c>
      <c r="G139" s="112">
        <f t="shared" si="11"/>
        <v>137</v>
      </c>
      <c r="H139" s="99">
        <f>G139+'20'!H139</f>
        <v>3201</v>
      </c>
      <c r="I139" s="118"/>
      <c r="J139" s="328">
        <f>H139/DAY(B2)</f>
        <v>152.42857142857142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'20'!F140</f>
        <v>1807.54</v>
      </c>
      <c r="F140" s="149">
        <v>1822</v>
      </c>
      <c r="G140" s="112">
        <f t="shared" si="11"/>
        <v>14.460000000000036</v>
      </c>
      <c r="H140" s="99">
        <f>G140+'20'!H140</f>
        <v>309</v>
      </c>
      <c r="I140" s="118"/>
      <c r="J140" s="328">
        <f>H140/DAY(B2)</f>
        <v>14.714285714285714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'20'!F141</f>
        <v>94474.13</v>
      </c>
      <c r="F141" s="149">
        <v>94680</v>
      </c>
      <c r="G141" s="112">
        <f t="shared" si="11"/>
        <v>205.86999999999534</v>
      </c>
      <c r="H141" s="99">
        <f>G141+'20'!H141</f>
        <v>4228</v>
      </c>
      <c r="I141" s="118"/>
      <c r="J141" s="328">
        <f>H141/DAY(B2)</f>
        <v>201.33333333333334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'20'!F142</f>
        <v>38313.15</v>
      </c>
      <c r="F142" s="148">
        <v>38407</v>
      </c>
      <c r="G142" s="112">
        <f t="shared" si="11"/>
        <v>93.849999999998545</v>
      </c>
      <c r="H142" s="99">
        <f>G142+'20'!H142</f>
        <v>1746</v>
      </c>
      <c r="I142" s="140"/>
      <c r="J142" s="328">
        <f>H142/DAY(B2)</f>
        <v>83.142857142857139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'20'!F143</f>
        <v>9570.2099999999991</v>
      </c>
      <c r="F143" s="149">
        <v>9601</v>
      </c>
      <c r="G143" s="112">
        <f t="shared" si="11"/>
        <v>30.790000000000873</v>
      </c>
      <c r="H143" s="99">
        <f>G143+'20'!H143</f>
        <v>550</v>
      </c>
      <c r="I143" s="140"/>
      <c r="J143" s="328">
        <f>H143/DAY(B2)</f>
        <v>26.19047619047619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'20'!F144</f>
        <v>924264</v>
      </c>
      <c r="F144" s="147">
        <v>924474</v>
      </c>
      <c r="G144" s="112">
        <f t="shared" si="11"/>
        <v>210</v>
      </c>
      <c r="H144" s="99">
        <f>G144+'20'!H144</f>
        <v>4637</v>
      </c>
      <c r="I144" s="140"/>
      <c r="J144" s="328">
        <f>H144/DAY(B2)</f>
        <v>220.8095238095238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'20'!F145</f>
        <v>6432.38</v>
      </c>
      <c r="F145" s="147">
        <v>6466</v>
      </c>
      <c r="G145" s="112">
        <f t="shared" si="11"/>
        <v>33.619999999999891</v>
      </c>
      <c r="H145" s="99">
        <f>G145+'20'!H145</f>
        <v>659</v>
      </c>
      <c r="I145" s="140"/>
      <c r="J145" s="328">
        <f>H145/DAY(B2)</f>
        <v>31.38095238095238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'20'!F146</f>
        <v>782267</v>
      </c>
      <c r="F146" s="148">
        <v>782315</v>
      </c>
      <c r="G146" s="112">
        <f t="shared" si="11"/>
        <v>48</v>
      </c>
      <c r="H146" s="99">
        <f>G146+'20'!H146</f>
        <v>1515</v>
      </c>
      <c r="I146" s="140"/>
      <c r="J146" s="328">
        <f>H146/DAY(B2)</f>
        <v>72.142857142857139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'20'!F147</f>
        <v>707467.76</v>
      </c>
      <c r="F147" s="148">
        <v>707886</v>
      </c>
      <c r="G147" s="112">
        <f t="shared" si="11"/>
        <v>418.23999999999069</v>
      </c>
      <c r="H147" s="99">
        <f>G147+'20'!H147</f>
        <v>8117</v>
      </c>
      <c r="I147" s="140"/>
      <c r="J147" s="328">
        <f>H147/DAY(B2)</f>
        <v>386.52380952380952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'20'!F148</f>
        <v>754595.15</v>
      </c>
      <c r="F148" s="150">
        <v>754912</v>
      </c>
      <c r="G148" s="112">
        <f t="shared" si="11"/>
        <v>316.84999999997672</v>
      </c>
      <c r="H148" s="99">
        <f>G148+'20'!H148</f>
        <v>6382</v>
      </c>
      <c r="I148" s="124"/>
      <c r="J148" s="328">
        <f>H148/DAY(B2)</f>
        <v>303.90476190476193</v>
      </c>
    </row>
    <row r="149" spans="1:10" ht="25.5">
      <c r="A149" s="877" t="s">
        <v>336</v>
      </c>
      <c r="B149" s="878"/>
      <c r="C149" s="879"/>
      <c r="D149" s="227" t="s">
        <v>130</v>
      </c>
      <c r="E149" s="95">
        <f>'20'!F149</f>
        <v>141780.69</v>
      </c>
      <c r="F149" s="146">
        <v>142222</v>
      </c>
      <c r="G149" s="112">
        <f t="shared" si="11"/>
        <v>441.30999999999767</v>
      </c>
      <c r="H149" s="99">
        <f>G149+'20'!H149</f>
        <v>9788</v>
      </c>
      <c r="I149" s="119"/>
      <c r="J149" s="328">
        <f>H149/DAY(B2)</f>
        <v>466.09523809523807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'20'!F150</f>
        <v>55044.55</v>
      </c>
      <c r="F150" s="233">
        <v>55262</v>
      </c>
      <c r="G150" s="112">
        <f t="shared" si="11"/>
        <v>217.44999999999709</v>
      </c>
      <c r="H150" s="99">
        <f>G150+'20'!H150</f>
        <v>4647</v>
      </c>
      <c r="I150" s="119"/>
      <c r="J150" s="328">
        <f>H150/DAY(B2)</f>
        <v>221.28571428571428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'20'!F151</f>
        <v>140782</v>
      </c>
      <c r="F151" s="152">
        <v>141014</v>
      </c>
      <c r="G151" s="112">
        <f t="shared" si="11"/>
        <v>232</v>
      </c>
      <c r="H151" s="99">
        <f>G151+'20'!H151</f>
        <v>5565</v>
      </c>
      <c r="I151" s="119"/>
      <c r="J151" s="328">
        <f>H151/DAY(B2)</f>
        <v>265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'20'!F152</f>
        <v>25558.639999999999</v>
      </c>
      <c r="F152" s="233">
        <v>25682</v>
      </c>
      <c r="G152" s="112">
        <f t="shared" si="11"/>
        <v>123.36000000000058</v>
      </c>
      <c r="H152" s="99">
        <f>G152+'20'!H152</f>
        <v>2528</v>
      </c>
      <c r="I152" s="119"/>
      <c r="J152" s="328">
        <f>H152/DAY(B2)</f>
        <v>120.38095238095238</v>
      </c>
    </row>
    <row r="153" spans="1:10" ht="25.5">
      <c r="A153" s="880" t="s">
        <v>196</v>
      </c>
      <c r="B153" s="881"/>
      <c r="C153" s="365"/>
      <c r="D153" s="358"/>
      <c r="E153" s="360"/>
      <c r="F153" s="361"/>
      <c r="G153" s="362">
        <f>SUM(G138:G152)</f>
        <v>2659.7999999999574</v>
      </c>
      <c r="H153" s="363"/>
      <c r="I153" s="119">
        <f>G153-(G38+G52)</f>
        <v>493.66999999995278</v>
      </c>
      <c r="J153" s="366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95">
        <f>'20'!F155</f>
        <v>160797</v>
      </c>
      <c r="F155" s="374">
        <v>161454</v>
      </c>
      <c r="G155" s="112">
        <f t="shared" ref="G155:G158" si="12">F155-E155</f>
        <v>657</v>
      </c>
      <c r="H155" s="99">
        <f>G155+'20'!H155</f>
        <v>13305</v>
      </c>
      <c r="I155" s="364"/>
      <c r="J155" s="328">
        <f>H155/DAY(B2)</f>
        <v>633.57142857142856</v>
      </c>
    </row>
    <row r="156" spans="1:10" ht="25.5">
      <c r="A156" s="876" t="s">
        <v>347</v>
      </c>
      <c r="B156" s="876"/>
      <c r="C156" s="876"/>
      <c r="D156" s="117" t="s">
        <v>130</v>
      </c>
      <c r="E156" s="95">
        <f>'20'!F156</f>
        <v>16882</v>
      </c>
      <c r="F156" s="155">
        <v>17034</v>
      </c>
      <c r="G156" s="112">
        <f t="shared" si="12"/>
        <v>152</v>
      </c>
      <c r="H156" s="99">
        <f>G156+'20'!H156</f>
        <v>2300</v>
      </c>
      <c r="I156" s="165"/>
      <c r="J156" s="328">
        <f>H156/DAY(B2)</f>
        <v>109.52380952380952</v>
      </c>
    </row>
    <row r="157" spans="1:10" ht="25.5">
      <c r="A157" s="877" t="s">
        <v>360</v>
      </c>
      <c r="B157" s="878"/>
      <c r="C157" s="879"/>
      <c r="D157" s="117" t="s">
        <v>130</v>
      </c>
      <c r="E157" s="95">
        <f>'20'!F157</f>
        <v>30162.68</v>
      </c>
      <c r="F157" s="155">
        <v>30382</v>
      </c>
      <c r="G157" s="112">
        <f t="shared" si="12"/>
        <v>219.31999999999971</v>
      </c>
      <c r="H157" s="99">
        <f>G157+'20'!H157</f>
        <v>342.5</v>
      </c>
      <c r="I157" s="165"/>
      <c r="J157" s="328">
        <f>H157/DAY(B2)</f>
        <v>16.30952380952381</v>
      </c>
    </row>
    <row r="158" spans="1:10" ht="25.5">
      <c r="A158" s="877" t="s">
        <v>361</v>
      </c>
      <c r="B158" s="878"/>
      <c r="C158" s="879"/>
      <c r="D158" s="117" t="s">
        <v>130</v>
      </c>
      <c r="E158" s="95">
        <f>'20'!F158</f>
        <v>241.57</v>
      </c>
      <c r="F158" s="155">
        <v>252</v>
      </c>
      <c r="G158" s="112">
        <f t="shared" si="12"/>
        <v>10.430000000000007</v>
      </c>
      <c r="H158" s="99">
        <f>G158+'20'!H158</f>
        <v>10.610000000000014</v>
      </c>
      <c r="I158" s="165"/>
      <c r="J158" s="328">
        <f>H158/DAY(B2)</f>
        <v>0.50523809523809593</v>
      </c>
    </row>
    <row r="159" spans="1:10" ht="25.5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481231.2</v>
      </c>
      <c r="F161" s="235">
        <v>481299</v>
      </c>
      <c r="G161" s="238">
        <f t="shared" ref="G161:G165" si="13">F161-E161</f>
        <v>67.799999999988358</v>
      </c>
      <c r="H161" s="99">
        <f>G161+'20'!H161</f>
        <v>252</v>
      </c>
      <c r="I161" s="236"/>
      <c r="J161" s="239">
        <f>H161/DAY(B2)</f>
        <v>12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95739.3</v>
      </c>
      <c r="F162" s="235">
        <v>95774</v>
      </c>
      <c r="G162" s="238">
        <f t="shared" si="13"/>
        <v>34.69999999999709</v>
      </c>
      <c r="H162" s="99">
        <f>G162+'20'!H162</f>
        <v>846</v>
      </c>
      <c r="I162" s="236"/>
      <c r="J162" s="239">
        <f>H162/DAY(B2)</f>
        <v>40.285714285714285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8764.9</v>
      </c>
      <c r="F163" s="502">
        <v>8897</v>
      </c>
      <c r="G163" s="238">
        <f t="shared" si="13"/>
        <v>132.10000000000036</v>
      </c>
      <c r="H163" s="99">
        <f>G163+'20'!H163</f>
        <v>2396</v>
      </c>
      <c r="I163" s="236"/>
      <c r="J163" s="239">
        <f>H163/DAY(B2)</f>
        <v>114.0952380952381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6337</v>
      </c>
      <c r="F164" s="502">
        <v>6341</v>
      </c>
      <c r="G164" s="238">
        <f t="shared" si="13"/>
        <v>4</v>
      </c>
      <c r="H164" s="99">
        <f>G164+'20'!H164</f>
        <v>61</v>
      </c>
      <c r="I164" s="236"/>
      <c r="J164" s="239">
        <f>H164/DAY(B2)</f>
        <v>2.9047619047619047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31785.69</v>
      </c>
      <c r="F165" s="235">
        <v>31788</v>
      </c>
      <c r="G165" s="238">
        <f t="shared" si="13"/>
        <v>2.3100000000013097</v>
      </c>
      <c r="H165" s="99">
        <f>G165+'20'!H165</f>
        <v>154</v>
      </c>
      <c r="I165" s="236"/>
      <c r="J165" s="239">
        <f>H165/DAY(B2)</f>
        <v>7.333333333333333</v>
      </c>
    </row>
    <row r="166" spans="1:10" ht="26.25">
      <c r="A166" s="885"/>
      <c r="B166" s="885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885"/>
      <c r="B167" s="885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885"/>
      <c r="B168" s="885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'20'!F173</f>
        <v>8276</v>
      </c>
      <c r="F173" s="155">
        <v>8276</v>
      </c>
      <c r="G173" s="155">
        <f>F173-E173</f>
        <v>0</v>
      </c>
      <c r="H173" s="99">
        <f>G173+'20'!H173</f>
        <v>41</v>
      </c>
      <c r="I173" s="155"/>
      <c r="J173" s="178">
        <f>H173/DAY(B2)</f>
        <v>1.9523809523809523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'20'!F174</f>
        <v>41472</v>
      </c>
      <c r="F174" s="157">
        <v>41483</v>
      </c>
      <c r="G174" s="155">
        <f t="shared" ref="G174:G175" si="14">F174-E174</f>
        <v>11</v>
      </c>
      <c r="H174" s="99">
        <f>G174+'20'!H174</f>
        <v>279</v>
      </c>
      <c r="I174" s="155"/>
      <c r="J174" s="178">
        <f>H174/DAY(B2)</f>
        <v>13.285714285714286</v>
      </c>
    </row>
    <row r="175" spans="1:10" ht="25.5">
      <c r="A175" s="891" t="s">
        <v>76</v>
      </c>
      <c r="B175" s="931"/>
      <c r="C175" s="892"/>
      <c r="D175" s="228" t="s">
        <v>142</v>
      </c>
      <c r="E175" s="95">
        <f>'20'!F175</f>
        <v>24257</v>
      </c>
      <c r="F175" s="155">
        <v>24266</v>
      </c>
      <c r="G175" s="155">
        <f t="shared" si="14"/>
        <v>9</v>
      </c>
      <c r="H175" s="99">
        <f>G175+'20'!H175</f>
        <v>235</v>
      </c>
      <c r="I175" s="155"/>
      <c r="J175" s="178">
        <f>H175/DAY(B2)</f>
        <v>11.19047619047619</v>
      </c>
    </row>
    <row r="176" spans="1:10" ht="25.5">
      <c r="A176" s="880" t="s">
        <v>196</v>
      </c>
      <c r="B176" s="881"/>
      <c r="C176" s="401"/>
      <c r="D176" s="228" t="s">
        <v>142</v>
      </c>
      <c r="E176" s="95"/>
      <c r="F176" s="155"/>
      <c r="G176" s="155">
        <f>SUM(G173:G175)</f>
        <v>20</v>
      </c>
      <c r="H176" s="99">
        <f>G176+'20'!H176</f>
        <v>555</v>
      </c>
      <c r="I176" s="155"/>
      <c r="J176" s="178">
        <f>H176/DAY(B2)</f>
        <v>26.428571428571427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'20'!F178</f>
        <v>99275</v>
      </c>
      <c r="F178" s="155">
        <v>99343</v>
      </c>
      <c r="G178" s="155">
        <f>F178-E178</f>
        <v>68</v>
      </c>
      <c r="H178" s="99">
        <f>G178+'20'!H178</f>
        <v>1630</v>
      </c>
      <c r="I178" s="155"/>
      <c r="J178" s="178">
        <f>H178/DAY(B2)</f>
        <v>77.61904761904762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'20'!F179</f>
        <v>36002</v>
      </c>
      <c r="F179" s="155">
        <v>36002</v>
      </c>
      <c r="G179" s="155">
        <f t="shared" ref="G179:G180" si="15">F179-E179</f>
        <v>0</v>
      </c>
      <c r="H179" s="99">
        <f>G179+'20'!H179</f>
        <v>0</v>
      </c>
      <c r="I179" s="155"/>
      <c r="J179" s="178">
        <f>H179/DAY(B2)</f>
        <v>0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'20'!F180</f>
        <v>37169</v>
      </c>
      <c r="F180" s="155">
        <v>37193</v>
      </c>
      <c r="G180" s="155">
        <f t="shared" si="15"/>
        <v>24</v>
      </c>
      <c r="H180" s="99">
        <f>G180+'20'!H180</f>
        <v>176</v>
      </c>
      <c r="I180" s="155"/>
      <c r="J180" s="178">
        <f>H180/DAY(B2)</f>
        <v>8.3809523809523814</v>
      </c>
    </row>
    <row r="181" spans="1:10" ht="25.5">
      <c r="A181" s="893" t="s">
        <v>108</v>
      </c>
      <c r="B181" s="894"/>
      <c r="C181" s="401"/>
      <c r="D181" s="228" t="s">
        <v>142</v>
      </c>
      <c r="E181" s="95"/>
      <c r="F181" s="155"/>
      <c r="G181" s="155">
        <f>SUM(G178:G180)</f>
        <v>92</v>
      </c>
      <c r="H181" s="99">
        <f>G181+'20'!H181</f>
        <v>1806</v>
      </c>
      <c r="I181" s="155"/>
      <c r="J181" s="178">
        <f>H181/DAY(B2)</f>
        <v>86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'20'!F183</f>
        <v>17620</v>
      </c>
      <c r="F183" s="157">
        <v>17626</v>
      </c>
      <c r="G183" s="157">
        <f>F183-E183</f>
        <v>6</v>
      </c>
      <c r="H183" s="99">
        <f>G183+'20'!H183</f>
        <v>153</v>
      </c>
      <c r="I183" s="155"/>
      <c r="J183" s="178">
        <f>H183/DAY(B2)</f>
        <v>7.2857142857142856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'20'!F184</f>
        <v>12088</v>
      </c>
      <c r="F184" s="157">
        <v>12096</v>
      </c>
      <c r="G184" s="157">
        <f t="shared" ref="G184:G185" si="16">F184-E184</f>
        <v>8</v>
      </c>
      <c r="H184" s="99">
        <f>G184+'20'!H184</f>
        <v>161</v>
      </c>
      <c r="I184" s="155"/>
      <c r="J184" s="178">
        <f>H184/DAY(B2)</f>
        <v>7.666666666666667</v>
      </c>
    </row>
    <row r="185" spans="1:10" ht="32.25" customHeight="1">
      <c r="A185" s="891" t="s">
        <v>216</v>
      </c>
      <c r="B185" s="892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880" t="s">
        <v>196</v>
      </c>
      <c r="B186" s="881"/>
      <c r="C186" s="400"/>
      <c r="D186" s="228" t="s">
        <v>142</v>
      </c>
      <c r="E186" s="95"/>
      <c r="F186" s="157"/>
      <c r="G186" s="157">
        <f>SUM(G183:G185)</f>
        <v>14</v>
      </c>
      <c r="H186" s="99">
        <f>G186+'20'!H186</f>
        <v>314</v>
      </c>
      <c r="I186" s="157"/>
      <c r="J186" s="178">
        <f>H186/DAY(B2)</f>
        <v>14.952380952380953</v>
      </c>
    </row>
    <row r="187" spans="1:10" ht="25.5">
      <c r="A187" s="882" t="s">
        <v>217</v>
      </c>
      <c r="B187" s="883"/>
      <c r="C187" s="333"/>
      <c r="D187" s="230" t="s">
        <v>142</v>
      </c>
      <c r="E187" s="95"/>
      <c r="F187" s="159"/>
      <c r="G187" s="378">
        <f>G62+G19</f>
        <v>141</v>
      </c>
      <c r="H187" s="99">
        <f>G187+'20'!H187</f>
        <v>3315</v>
      </c>
      <c r="I187" s="158"/>
      <c r="J187" s="179">
        <f>H187/DAY(B2)</f>
        <v>157.85714285714286</v>
      </c>
    </row>
    <row r="188" spans="1:10" ht="25.5">
      <c r="A188" s="882" t="s">
        <v>218</v>
      </c>
      <c r="B188" s="883"/>
      <c r="C188" s="333"/>
      <c r="D188" s="230" t="s">
        <v>142</v>
      </c>
      <c r="E188" s="95"/>
      <c r="F188" s="159"/>
      <c r="G188" s="378">
        <f>G65+G66+G67+G69+G70</f>
        <v>155</v>
      </c>
      <c r="H188" s="99">
        <f>G188+'20'!H188</f>
        <v>1106</v>
      </c>
      <c r="I188" s="158"/>
      <c r="J188" s="179">
        <f>H188/DAY(B2)</f>
        <v>52.666666666666664</v>
      </c>
    </row>
    <row r="189" spans="1:10" ht="21" customHeight="1">
      <c r="A189" s="882" t="s">
        <v>219</v>
      </c>
      <c r="B189" s="883"/>
      <c r="C189" s="333"/>
      <c r="D189" s="230" t="s">
        <v>142</v>
      </c>
      <c r="E189" s="95"/>
      <c r="F189" s="157"/>
      <c r="G189" s="377">
        <f>G181</f>
        <v>92</v>
      </c>
      <c r="H189" s="99">
        <f>G189+'20'!H189</f>
        <v>297</v>
      </c>
      <c r="I189" s="158"/>
      <c r="J189" s="179">
        <f>H189/DAY(B2)</f>
        <v>14.142857142857142</v>
      </c>
    </row>
    <row r="190" spans="1:10" ht="25.5">
      <c r="A190" s="889"/>
      <c r="B190" s="89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205"/>
  <sheetViews>
    <sheetView view="pageBreakPreview" zoomScale="60" zoomScaleNormal="71" workbookViewId="0">
      <selection activeCell="G185" sqref="G1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355</v>
      </c>
      <c r="B2" s="262">
        <v>44795</v>
      </c>
      <c r="C2" s="34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'21'!F7</f>
        <v>881511</v>
      </c>
      <c r="F7" s="95">
        <v>904984</v>
      </c>
      <c r="G7" s="112">
        <f>F7-E7</f>
        <v>23473</v>
      </c>
      <c r="H7" s="99">
        <f>G7+'21'!H7</f>
        <v>568525.75</v>
      </c>
      <c r="I7" s="113">
        <f>'1'!I7</f>
        <v>12000</v>
      </c>
      <c r="J7" s="175">
        <f>H7/DAY(B2)</f>
        <v>25842.079545454544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39401</v>
      </c>
      <c r="F8" s="95">
        <v>62978</v>
      </c>
      <c r="G8" s="115">
        <f>F8-E8</f>
        <v>23577</v>
      </c>
      <c r="H8" s="99">
        <f>G8+'21'!H8</f>
        <v>574581.69999999995</v>
      </c>
      <c r="I8" s="116"/>
      <c r="J8" s="175">
        <f>H8/DAY(B2)</f>
        <v>26117.35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3418464</v>
      </c>
      <c r="F9" s="469">
        <v>3423095</v>
      </c>
      <c r="G9" s="112">
        <f>F9-E9</f>
        <v>4631</v>
      </c>
      <c r="H9" s="99">
        <f>G9+'21'!H9</f>
        <v>144029</v>
      </c>
      <c r="I9" s="124">
        <f>I7-J7</f>
        <v>-13842.079545454544</v>
      </c>
      <c r="J9" s="175">
        <f>H9/DAY(B2)</f>
        <v>6546.772727272727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2057534</v>
      </c>
      <c r="F10" s="353">
        <v>2075726</v>
      </c>
      <c r="G10" s="112">
        <f t="shared" ref="G10:G12" si="0">F10-E10</f>
        <v>18192</v>
      </c>
      <c r="H10" s="99">
        <f>G10+'21'!H10</f>
        <v>408568</v>
      </c>
      <c r="I10" s="282"/>
      <c r="J10" s="175">
        <f>H10/DAY(B2)</f>
        <v>18571.272727272728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37560</v>
      </c>
      <c r="F11" s="95">
        <v>37560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40380</v>
      </c>
      <c r="F12" s="117">
        <v>40380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22823</v>
      </c>
      <c r="H13" s="99">
        <f>G13+'21'!H13</f>
        <v>553931.59999999986</v>
      </c>
      <c r="I13" s="120">
        <f>G7-G13</f>
        <v>650</v>
      </c>
      <c r="J13" s="175">
        <f>H13/DAY(B2)</f>
        <v>25178.709090909084</v>
      </c>
      <c r="K13" s="79"/>
      <c r="L13" s="66"/>
      <c r="N13" s="87"/>
      <c r="O13" s="71"/>
    </row>
    <row r="14" spans="1:15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'21'!F15</f>
        <v>2122439</v>
      </c>
      <c r="F15" s="469">
        <v>2123366</v>
      </c>
      <c r="G15" s="112">
        <f>(F15-E15)</f>
        <v>927</v>
      </c>
      <c r="H15" s="99">
        <f>G15+'21'!H15</f>
        <v>22498</v>
      </c>
      <c r="I15" s="113">
        <f>'1'!I15</f>
        <v>800</v>
      </c>
      <c r="J15" s="175">
        <f>H15/DAY(B2)</f>
        <v>1022.6363636363636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-222.63636363636363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'21'!F18</f>
        <v>14</v>
      </c>
      <c r="F18" s="122">
        <v>13</v>
      </c>
      <c r="G18" s="119">
        <f>F18*10</f>
        <v>130</v>
      </c>
      <c r="H18" s="99">
        <f>G18+'21'!H18</f>
        <v>3420</v>
      </c>
      <c r="I18" s="113">
        <f>'1'!I18</f>
        <v>65</v>
      </c>
      <c r="J18" s="175">
        <f>H18/DAY(B2)</f>
        <v>155.45454545454547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'21'!F19</f>
        <v>163394</v>
      </c>
      <c r="F19" s="122">
        <v>163445</v>
      </c>
      <c r="G19" s="112">
        <f t="shared" ref="G19" si="1">F19-E19</f>
        <v>51</v>
      </c>
      <c r="H19" s="99">
        <f>G19+'21'!H19</f>
        <v>1110</v>
      </c>
      <c r="I19" s="335"/>
      <c r="J19" s="175">
        <f>H19/DAY(B2)</f>
        <v>50.454545454545453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181</v>
      </c>
      <c r="H20" s="99">
        <f>G20+'21'!H20</f>
        <v>4530</v>
      </c>
      <c r="I20" s="336">
        <f>I18-J20</f>
        <v>-140.90909090909091</v>
      </c>
      <c r="J20" s="175">
        <f>H20/DAY(B2)</f>
        <v>205.90909090909091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'21'!F23</f>
        <v>1500</v>
      </c>
      <c r="F23" s="122">
        <v>1500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23577</v>
      </c>
      <c r="F27" s="136">
        <v>9</v>
      </c>
      <c r="G27" s="137">
        <f>E27*F27</f>
        <v>212193</v>
      </c>
      <c r="H27" s="99">
        <f>G27+'21'!H27</f>
        <v>5171235.3</v>
      </c>
      <c r="I27" s="138"/>
      <c r="J27" s="175">
        <f>H27/DAY(B2)</f>
        <v>235056.15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927</v>
      </c>
      <c r="F28" s="136">
        <v>70</v>
      </c>
      <c r="G28" s="137">
        <f>E28*F28</f>
        <v>64890</v>
      </c>
      <c r="H28" s="99">
        <f>G28+'21'!H28</f>
        <v>1574860</v>
      </c>
      <c r="I28" s="140"/>
      <c r="J28" s="175">
        <f>H28/DAY(B2)</f>
        <v>71584.545454545456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G30+'21'!H30</f>
        <v>167610</v>
      </c>
      <c r="I30" s="140"/>
      <c r="J30" s="175">
        <f>H30/DAY(B2)</f>
        <v>7618.636363636364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80</v>
      </c>
      <c r="G31" s="137">
        <f>E31*F31</f>
        <v>10400</v>
      </c>
      <c r="H31" s="99">
        <f>G31+'21'!H31</f>
        <v>273600</v>
      </c>
      <c r="I31" s="140"/>
      <c r="J31" s="175">
        <f>H31/DAY(B2)</f>
        <v>12436.363636363636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295184</v>
      </c>
      <c r="H32" s="99">
        <f>G32+'21'!H32</f>
        <v>7187305.2999999998</v>
      </c>
      <c r="I32" s="144"/>
      <c r="J32" s="175">
        <f>H32/DAY(B2)</f>
        <v>326695.69545454544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238713</v>
      </c>
      <c r="F35" s="418">
        <v>238713</v>
      </c>
      <c r="G35" s="112">
        <f t="shared" ref="G35:G46" si="3">F35-E35</f>
        <v>0</v>
      </c>
      <c r="H35" s="99">
        <f>G35+'21'!H35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233556</v>
      </c>
      <c r="F36" s="145">
        <v>234247</v>
      </c>
      <c r="G36" s="112">
        <f t="shared" si="3"/>
        <v>691</v>
      </c>
      <c r="H36" s="99">
        <f>G36+'21'!H36</f>
        <v>18717</v>
      </c>
      <c r="I36" s="95"/>
      <c r="J36" s="175">
        <f>H36/DAY(B2)</f>
        <v>850.77272727272725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322998.69</v>
      </c>
      <c r="F37" s="418">
        <v>322999</v>
      </c>
      <c r="G37" s="112">
        <f t="shared" si="3"/>
        <v>0.30999999999767169</v>
      </c>
      <c r="H37" s="99">
        <f>G37+'21'!H37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504206</v>
      </c>
      <c r="F38" s="108">
        <v>506327</v>
      </c>
      <c r="G38" s="112">
        <f t="shared" si="3"/>
        <v>2121</v>
      </c>
      <c r="H38" s="99">
        <f>G38+'21'!H38</f>
        <v>48966</v>
      </c>
      <c r="I38" s="95"/>
      <c r="J38" s="175">
        <f>H38/DAY(B2)</f>
        <v>2225.7272727272725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591584</v>
      </c>
      <c r="F39" s="418">
        <v>591584</v>
      </c>
      <c r="G39" s="112">
        <f t="shared" si="3"/>
        <v>0</v>
      </c>
      <c r="H39" s="99">
        <f>G39+'21'!H39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124938</v>
      </c>
      <c r="F40" s="145">
        <v>125776</v>
      </c>
      <c r="G40" s="112">
        <f t="shared" si="3"/>
        <v>838</v>
      </c>
      <c r="H40" s="99">
        <f>G40+'21'!H40</f>
        <v>19000</v>
      </c>
      <c r="I40" s="95"/>
      <c r="J40" s="175">
        <f>H40/DAY(B2)</f>
        <v>863.63636363636363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257421</v>
      </c>
      <c r="F41" s="145">
        <v>257421</v>
      </c>
      <c r="G41" s="112">
        <f t="shared" si="3"/>
        <v>0</v>
      </c>
      <c r="H41" s="99">
        <f>G41+'21'!H41</f>
        <v>45718</v>
      </c>
      <c r="I41" s="95"/>
      <c r="J41" s="175">
        <f>H41/DAY(B2)</f>
        <v>2078.090909090909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'21'!F42</f>
        <v>780052</v>
      </c>
      <c r="F42" s="145">
        <v>781937</v>
      </c>
      <c r="G42" s="112">
        <f t="shared" si="3"/>
        <v>1885</v>
      </c>
      <c r="H42" s="99">
        <f>G42+'21'!H42</f>
        <v>33573</v>
      </c>
      <c r="I42" s="95"/>
      <c r="J42" s="175">
        <f>H42/DAY(B2)</f>
        <v>1526.0454545454545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407028</v>
      </c>
      <c r="F43" s="145">
        <v>407028</v>
      </c>
      <c r="G43" s="112">
        <f t="shared" si="3"/>
        <v>0</v>
      </c>
      <c r="H43" s="99">
        <f>G43+'21'!H43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5535.3099999999977</v>
      </c>
      <c r="H47" s="99">
        <f>G47+'21'!H47</f>
        <v>165974.00000000003</v>
      </c>
      <c r="I47" s="95"/>
      <c r="J47" s="175">
        <f>H47/DAY(B2)</f>
        <v>7544.2727272727288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568262</v>
      </c>
      <c r="F49" s="145">
        <v>572059</v>
      </c>
      <c r="G49" s="112">
        <f t="shared" ref="G49:G58" si="4">F49-E49</f>
        <v>3797</v>
      </c>
      <c r="H49" s="99">
        <f>G49+'21'!H49</f>
        <v>87005</v>
      </c>
      <c r="I49" s="95"/>
      <c r="J49" s="175">
        <f>H49/DAY(B2)</f>
        <v>3954.7727272727275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309556</v>
      </c>
      <c r="F50" s="145">
        <v>310101</v>
      </c>
      <c r="G50" s="112">
        <f t="shared" si="4"/>
        <v>545</v>
      </c>
      <c r="H50" s="99">
        <f>G50+'21'!H50</f>
        <v>233984.43</v>
      </c>
      <c r="I50" s="95"/>
      <c r="J50" s="175">
        <f>H50/DAY(B2)</f>
        <v>10635.655909090909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30549</v>
      </c>
      <c r="F51" s="145">
        <v>31571</v>
      </c>
      <c r="G51" s="112">
        <f t="shared" si="4"/>
        <v>1022</v>
      </c>
      <c r="H51" s="99">
        <f>G51+'21'!H51</f>
        <v>23063</v>
      </c>
      <c r="I51" s="95"/>
      <c r="J51" s="175">
        <f>H51/DAY(B2)</f>
        <v>1048.3181818181818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10</v>
      </c>
      <c r="F52" s="145">
        <v>10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125897</v>
      </c>
      <c r="F53" s="145">
        <v>130102</v>
      </c>
      <c r="G53" s="112">
        <f t="shared" si="4"/>
        <v>4205</v>
      </c>
      <c r="H53" s="99">
        <f>G53+'21'!H53</f>
        <v>96241</v>
      </c>
      <c r="I53" s="95"/>
      <c r="J53" s="175">
        <f>H53/DAY(B2)</f>
        <v>4374.590909090909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93874</v>
      </c>
      <c r="F54" s="145">
        <v>94057</v>
      </c>
      <c r="G54" s="112">
        <f t="shared" si="4"/>
        <v>183</v>
      </c>
      <c r="H54" s="99">
        <f>G54+'21'!H54</f>
        <v>6114</v>
      </c>
      <c r="I54" s="95"/>
      <c r="J54" s="175">
        <f>H54/DAY(B2)</f>
        <v>277.90909090909093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425795</v>
      </c>
      <c r="F55" s="418">
        <v>429042</v>
      </c>
      <c r="G55" s="112">
        <f t="shared" si="4"/>
        <v>3247</v>
      </c>
      <c r="H55" s="99">
        <f>G55+'21'!H55</f>
        <v>66265</v>
      </c>
      <c r="I55" s="95"/>
      <c r="J55" s="175">
        <f>H55/DAY(B2)</f>
        <v>3012.0454545454545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123882</v>
      </c>
      <c r="F56" s="418">
        <v>123882</v>
      </c>
      <c r="G56" s="112">
        <f>F56-E56</f>
        <v>0</v>
      </c>
      <c r="H56" s="99">
        <f>G56+'21'!H56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'21'!F57</f>
        <v>291942</v>
      </c>
      <c r="F57" s="145">
        <v>295064</v>
      </c>
      <c r="G57" s="112">
        <f t="shared" si="4"/>
        <v>3122</v>
      </c>
      <c r="H57" s="99">
        <f>G57+'21'!H57</f>
        <v>68894</v>
      </c>
      <c r="I57" s="95"/>
      <c r="J57" s="175">
        <f>H57/DAY(B2)</f>
        <v>3131.5454545454545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54481</v>
      </c>
      <c r="F58" s="145">
        <v>54732</v>
      </c>
      <c r="G58" s="112">
        <f t="shared" si="4"/>
        <v>251</v>
      </c>
      <c r="H58" s="99">
        <f>G58+'21'!H58</f>
        <v>5623</v>
      </c>
      <c r="I58" s="95"/>
      <c r="J58" s="175">
        <f>H58/DAY(B2)</f>
        <v>255.59090909090909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16372</v>
      </c>
      <c r="H59" s="99">
        <f>G59+'21'!H59</f>
        <v>380556.00000000012</v>
      </c>
      <c r="I59" s="95">
        <f>G7-G60</f>
        <v>1565.6900000000023</v>
      </c>
      <c r="J59" s="175">
        <f>H59/DAY(B2)</f>
        <v>17298.000000000004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21907.309999999998</v>
      </c>
      <c r="H60" s="99">
        <f>G60+'21'!H60</f>
        <v>546530</v>
      </c>
      <c r="I60" s="95">
        <f>G13-G60</f>
        <v>915.69000000000233</v>
      </c>
      <c r="J60" s="175">
        <f>H60/DAY(B2)</f>
        <v>24842.272727272728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'21'!F62</f>
        <v>298531</v>
      </c>
      <c r="F62" s="122">
        <v>298635</v>
      </c>
      <c r="G62" s="112">
        <f t="shared" ref="G62:G63" si="5">F62-E62</f>
        <v>104</v>
      </c>
      <c r="H62" s="99">
        <f>G62+'21'!H62</f>
        <v>2360</v>
      </c>
      <c r="I62" s="118"/>
      <c r="J62" s="175">
        <f>H62/DAY(B2)</f>
        <v>107.27272727272727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'21'!F63</f>
        <v>241621</v>
      </c>
      <c r="F63" s="122">
        <v>241722</v>
      </c>
      <c r="G63" s="112">
        <f t="shared" si="5"/>
        <v>101</v>
      </c>
      <c r="H63" s="99">
        <f>G63+'21'!H63</f>
        <v>2589</v>
      </c>
      <c r="I63" s="118"/>
      <c r="J63" s="175">
        <f>H63/DAY(B2)</f>
        <v>117.68181818181819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'21'!F64</f>
        <v>0</v>
      </c>
      <c r="F64" s="122"/>
      <c r="G64" s="112">
        <f>G62+G63</f>
        <v>205</v>
      </c>
      <c r="H64" s="99">
        <f>G64+'21'!H64</f>
        <v>4949</v>
      </c>
      <c r="I64" s="118"/>
      <c r="J64" s="175">
        <f>H64/DAY(B2)</f>
        <v>224.95454545454547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'21'!F65</f>
        <v>456859</v>
      </c>
      <c r="F65" s="122">
        <v>456957</v>
      </c>
      <c r="G65" s="112">
        <f t="shared" ref="G65:G70" si="6">F65-E65</f>
        <v>98</v>
      </c>
      <c r="H65" s="99">
        <f>G65+'21'!H65</f>
        <v>2247</v>
      </c>
      <c r="I65" s="118"/>
      <c r="J65" s="175">
        <f>H65/DAY(B2)</f>
        <v>102.13636363636364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'21'!F66</f>
        <v>112183</v>
      </c>
      <c r="F66" s="122">
        <v>112201</v>
      </c>
      <c r="G66" s="112">
        <f t="shared" si="6"/>
        <v>18</v>
      </c>
      <c r="H66" s="99">
        <f>G66+'21'!H66</f>
        <v>479</v>
      </c>
      <c r="I66" s="118"/>
      <c r="J66" s="175">
        <f>H66/DAY(B2)</f>
        <v>21.772727272727273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'21'!F67</f>
        <v>114026</v>
      </c>
      <c r="F67" s="122">
        <v>114041</v>
      </c>
      <c r="G67" s="112">
        <f t="shared" si="6"/>
        <v>15</v>
      </c>
      <c r="H67" s="99">
        <f>G67+'21'!H67</f>
        <v>361</v>
      </c>
      <c r="I67" s="118"/>
      <c r="J67" s="175">
        <f>H67/DAY(B2)</f>
        <v>16.40909090909091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'21'!F68</f>
        <v>165270</v>
      </c>
      <c r="F68" s="122">
        <v>165286</v>
      </c>
      <c r="G68" s="112">
        <f t="shared" si="6"/>
        <v>16</v>
      </c>
      <c r="H68" s="99">
        <f>G68+'21'!H68</f>
        <v>624</v>
      </c>
      <c r="I68" s="118"/>
      <c r="J68" s="175">
        <f>H68/DAY(B2)</f>
        <v>28.363636363636363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'21'!F69</f>
        <v>12394</v>
      </c>
      <c r="F69" s="122">
        <v>12401</v>
      </c>
      <c r="G69" s="112">
        <f t="shared" si="6"/>
        <v>7</v>
      </c>
      <c r="H69" s="99">
        <f>G69+'21'!H69</f>
        <v>126</v>
      </c>
      <c r="I69" s="118"/>
      <c r="J69" s="175">
        <f>H69/DAY(B2)</f>
        <v>5.7272727272727275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'21'!F70</f>
        <v>10027</v>
      </c>
      <c r="F70" s="122">
        <v>10033</v>
      </c>
      <c r="G70" s="112">
        <f t="shared" si="6"/>
        <v>6</v>
      </c>
      <c r="H70" s="99">
        <f>G70+'21'!H70</f>
        <v>206</v>
      </c>
      <c r="I70" s="118"/>
      <c r="J70" s="175">
        <f>H70/DAY(B2)</f>
        <v>9.3636363636363633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160</v>
      </c>
      <c r="H71" s="99">
        <f>G71+'21'!H71</f>
        <v>4043</v>
      </c>
      <c r="I71" s="154"/>
      <c r="J71" s="175">
        <f>H71/DAY(B2)</f>
        <v>183.77272727272728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'21'!F74</f>
        <v>964281</v>
      </c>
      <c r="F74" s="123">
        <v>964597</v>
      </c>
      <c r="G74" s="112">
        <f t="shared" ref="G74:G78" si="7">F74-E74</f>
        <v>316</v>
      </c>
      <c r="H74" s="99">
        <f>G74+'21'!H74</f>
        <v>6939.140000000014</v>
      </c>
      <c r="I74" s="154"/>
      <c r="J74" s="175">
        <f>H74/DAY(B2)</f>
        <v>315.41545454545519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'21'!F76</f>
        <v>192477</v>
      </c>
      <c r="F76" s="123">
        <v>192562</v>
      </c>
      <c r="G76" s="112">
        <f t="shared" si="7"/>
        <v>85</v>
      </c>
      <c r="H76" s="99">
        <f>G76+'21'!H76</f>
        <v>2390</v>
      </c>
      <c r="I76" s="154"/>
      <c r="J76" s="175">
        <f>H76/DAY(B2)</f>
        <v>108.63636363636364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'21'!F77</f>
        <v>51360</v>
      </c>
      <c r="F77" s="123">
        <v>51416</v>
      </c>
      <c r="G77" s="112">
        <f t="shared" si="7"/>
        <v>56</v>
      </c>
      <c r="H77" s="99">
        <f>G77+'21'!H77</f>
        <v>1103</v>
      </c>
      <c r="I77" s="154"/>
      <c r="J77" s="175">
        <f>H77/DAY(B2)</f>
        <v>50.136363636363633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'21'!F78</f>
        <v>9564</v>
      </c>
      <c r="F78" s="123">
        <v>9564</v>
      </c>
      <c r="G78" s="112">
        <f t="shared" si="7"/>
        <v>0</v>
      </c>
      <c r="H78" s="99">
        <f>G78+'21'!H78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'21'!F79</f>
        <v>0</v>
      </c>
      <c r="F79" s="123"/>
      <c r="G79" s="112">
        <f>G15-SUM(G74:G78)</f>
        <v>470</v>
      </c>
      <c r="H79" s="99">
        <f>G79+'21'!H79</f>
        <v>12065.859999999986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927</v>
      </c>
      <c r="H80" s="99"/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'21'!F84</f>
        <v>42801.36</v>
      </c>
      <c r="F84" s="164">
        <v>42801</v>
      </c>
      <c r="G84" s="112">
        <f t="shared" si="8"/>
        <v>-0.36000000000058208</v>
      </c>
      <c r="H84" s="99">
        <f>G84+'21'!H84</f>
        <v>172</v>
      </c>
      <c r="I84" s="571"/>
      <c r="J84" s="175">
        <f>H84/DAY(B2)</f>
        <v>7.8181818181818183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'21'!F85</f>
        <v>5280.21</v>
      </c>
      <c r="F85" s="164">
        <v>5289</v>
      </c>
      <c r="G85" s="112">
        <f t="shared" si="8"/>
        <v>8.7899999999999636</v>
      </c>
      <c r="H85" s="99">
        <f>G85+'21'!H85</f>
        <v>148.8100000000004</v>
      </c>
      <c r="I85" s="571"/>
      <c r="J85" s="175">
        <f>H85/DAY(B2)</f>
        <v>6.7640909090909274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'21'!F86</f>
        <v>45802</v>
      </c>
      <c r="F86" s="164">
        <v>45823.58</v>
      </c>
      <c r="G86" s="112">
        <f t="shared" si="8"/>
        <v>21.580000000001746</v>
      </c>
      <c r="H86" s="99">
        <f>G86+'21'!H86</f>
        <v>444.58000000000175</v>
      </c>
      <c r="I86" s="571"/>
      <c r="J86" s="175">
        <f>H86/DAY(B2)</f>
        <v>20.208181818181899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'21'!F87</f>
        <v>35481</v>
      </c>
      <c r="F87" s="164">
        <v>35481</v>
      </c>
      <c r="G87" s="112">
        <f t="shared" si="8"/>
        <v>0</v>
      </c>
      <c r="H87" s="99">
        <f>G87+'21'!H87</f>
        <v>23.569999999999709</v>
      </c>
      <c r="I87" s="571">
        <f>G84+G85+G86+G87</f>
        <v>30.010000000001128</v>
      </c>
      <c r="J87" s="175">
        <f>H87/DAY(B2)</f>
        <v>1.0713636363636232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'21'!F88</f>
        <v>24320</v>
      </c>
      <c r="F88" s="164">
        <v>24329.5</v>
      </c>
      <c r="G88" s="112">
        <f t="shared" si="8"/>
        <v>9.5</v>
      </c>
      <c r="H88" s="99">
        <f>G88+'21'!H88</f>
        <v>26.040000000000873</v>
      </c>
      <c r="I88" s="571"/>
      <c r="J88" s="175">
        <f>H88/DAY(B2)</f>
        <v>1.1836363636364033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'21'!F89</f>
        <v>27733.89</v>
      </c>
      <c r="F89" s="164">
        <v>27733.89</v>
      </c>
      <c r="G89" s="112">
        <f t="shared" si="8"/>
        <v>0</v>
      </c>
      <c r="H89" s="99">
        <f>G89+'21'!H89</f>
        <v>167.27999999999884</v>
      </c>
      <c r="I89" s="571">
        <f>G88+G89</f>
        <v>9.5</v>
      </c>
      <c r="J89" s="175">
        <f>H89/DAY(B2)</f>
        <v>7.6036363636363111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'21'!F90</f>
        <v>72833.66</v>
      </c>
      <c r="F90" s="164">
        <v>72843.91</v>
      </c>
      <c r="G90" s="112">
        <f t="shared" si="8"/>
        <v>10.25</v>
      </c>
      <c r="H90" s="99">
        <f>G90+'21'!H90</f>
        <v>237.36000000000058</v>
      </c>
      <c r="I90" s="571">
        <f>G90</f>
        <v>10.25</v>
      </c>
      <c r="J90" s="175">
        <f>H90/DAY(B2)</f>
        <v>10.789090909090936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'21'!F91</f>
        <v>4289.54</v>
      </c>
      <c r="F91" s="122">
        <v>4289.54</v>
      </c>
      <c r="G91" s="112">
        <f t="shared" si="8"/>
        <v>0</v>
      </c>
      <c r="H91" s="99">
        <f>G91+'21'!H91</f>
        <v>0</v>
      </c>
      <c r="I91" s="590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'21'!F92</f>
        <v>6951</v>
      </c>
      <c r="F92" s="122">
        <v>6962.49</v>
      </c>
      <c r="G92" s="112">
        <f t="shared" si="8"/>
        <v>11.489999999999782</v>
      </c>
      <c r="H92" s="99">
        <f>G92+'21'!H92</f>
        <v>245.15999999999985</v>
      </c>
      <c r="I92" s="596">
        <f>G91+G92</f>
        <v>11.489999999999782</v>
      </c>
      <c r="J92" s="175">
        <f>H92/DAY(B2)</f>
        <v>11.143636363636357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6919</v>
      </c>
      <c r="H94" s="99">
        <f>G94+'21'!H94</f>
        <v>155899</v>
      </c>
      <c r="I94" s="118"/>
      <c r="J94" s="175">
        <f>H94/DAY(B2)</f>
        <v>7086.318181818182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0.29476419716269758</v>
      </c>
      <c r="H95" s="99">
        <f>G95+'21'!H95</f>
        <v>6.0448083071910634</v>
      </c>
      <c r="I95" s="167"/>
      <c r="J95" s="175">
        <f>H95/DAY(B2)</f>
        <v>0.27476401396323014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5132</v>
      </c>
      <c r="H96" s="99">
        <f>G96+'21'!H96</f>
        <v>145556</v>
      </c>
      <c r="I96" s="118"/>
      <c r="J96" s="175">
        <f>H96/DAY(B2)</f>
        <v>6616.181818181818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0.21863417543560687</v>
      </c>
      <c r="H97" s="99">
        <f>G97+'21'!H97</f>
        <v>5.611747312831243</v>
      </c>
      <c r="I97" s="167"/>
      <c r="J97" s="175">
        <f>H97/DAY(B2)</f>
        <v>0.25507942331051103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4205</v>
      </c>
      <c r="H98" s="99">
        <f>G98+'21'!H98</f>
        <v>96241</v>
      </c>
      <c r="I98" s="168"/>
      <c r="J98" s="175">
        <f>H98/DAY(B2)</f>
        <v>4374.590909090909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0.17914199292804497</v>
      </c>
      <c r="H99" s="99">
        <f>G99+'21'!H99</f>
        <v>3.7303457321254156</v>
      </c>
      <c r="I99" s="168"/>
      <c r="J99" s="175">
        <f>H99/DAY(B2)</f>
        <v>0.16956116964206436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2121</v>
      </c>
      <c r="H100" s="99">
        <f>G100+'21'!H100</f>
        <v>48966</v>
      </c>
      <c r="I100" s="118"/>
      <c r="J100" s="175">
        <f>H100/DAY(B2)</f>
        <v>2225.7272727272725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9.0359136028628634E-2</v>
      </c>
      <c r="H101" s="99">
        <f>G101+'21'!H101</f>
        <v>1.8976639755772029</v>
      </c>
      <c r="I101" s="168"/>
      <c r="J101" s="175">
        <f>H101/DAY(B2)</f>
        <v>8.6257453435327411E-2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1236</v>
      </c>
      <c r="H102" s="99">
        <f>G102+'21'!H102</f>
        <v>46068</v>
      </c>
      <c r="I102" s="168"/>
      <c r="J102" s="175">
        <f>H102/DAY(B2)</f>
        <v>2094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5.2656243343415843E-2</v>
      </c>
      <c r="H103" s="99">
        <f>G103+'21'!H103</f>
        <v>1.7756350976039936</v>
      </c>
      <c r="I103" s="118"/>
      <c r="J103" s="175">
        <f>H103/DAY(B2)</f>
        <v>8.0710686254726979E-2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1022.3099999999977</v>
      </c>
      <c r="H104" s="99">
        <f>G104+'21'!H104</f>
        <v>23063</v>
      </c>
      <c r="I104" s="118"/>
      <c r="J104" s="175">
        <f>H104/DAY(B2)</f>
        <v>1048.3181818181818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4.3552592340135372E-2</v>
      </c>
      <c r="H105" s="99">
        <f>G105+'21'!H105</f>
        <v>0.89355400510937899</v>
      </c>
      <c r="I105" s="187"/>
      <c r="J105" s="188">
        <f>H105/DAY(B2)</f>
        <v>4.0616091141335409E-2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'21'!F112</f>
        <v>8777</v>
      </c>
      <c r="F112" s="237">
        <v>8850</v>
      </c>
      <c r="G112" s="112">
        <f t="shared" ref="G112:G123" si="9">F112-E112</f>
        <v>73</v>
      </c>
      <c r="H112" s="99">
        <f>G112+'21'!H112</f>
        <v>4048.33</v>
      </c>
      <c r="I112" s="165"/>
      <c r="J112" s="328">
        <f>H112/DAY(B2)</f>
        <v>184.01499999999999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'21'!F113</f>
        <v>17957</v>
      </c>
      <c r="F113" s="237">
        <v>18097</v>
      </c>
      <c r="G113" s="112">
        <f t="shared" si="9"/>
        <v>140</v>
      </c>
      <c r="H113" s="99">
        <f>G113+'21'!H113</f>
        <v>3082</v>
      </c>
      <c r="I113" s="165"/>
      <c r="J113" s="328">
        <f>H113/DAY(B2)</f>
        <v>140.09090909090909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'21'!F114</f>
        <v>25879</v>
      </c>
      <c r="F114" s="237">
        <v>26101</v>
      </c>
      <c r="G114" s="112">
        <f t="shared" si="9"/>
        <v>222</v>
      </c>
      <c r="H114" s="99">
        <f>G114+'21'!H114</f>
        <v>4833</v>
      </c>
      <c r="I114" s="165"/>
      <c r="J114" s="328">
        <f>H114/DAY(B2)</f>
        <v>219.68181818181819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'21'!F115</f>
        <v>16196</v>
      </c>
      <c r="F115" s="237">
        <v>16288</v>
      </c>
      <c r="G115" s="112">
        <f t="shared" si="9"/>
        <v>92</v>
      </c>
      <c r="H115" s="99">
        <f>G115+'21'!H115</f>
        <v>2712.5200000000004</v>
      </c>
      <c r="I115" s="165"/>
      <c r="J115" s="328">
        <f>H115/DAY(B2)</f>
        <v>123.29636363636365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'21'!F116</f>
        <v>79419</v>
      </c>
      <c r="F116" s="237">
        <v>79864</v>
      </c>
      <c r="G116" s="112">
        <f t="shared" si="9"/>
        <v>445</v>
      </c>
      <c r="H116" s="99">
        <f>G116+'21'!H116</f>
        <v>9372</v>
      </c>
      <c r="I116" s="165"/>
      <c r="J116" s="328">
        <f>H116/DAY(B2)</f>
        <v>426</v>
      </c>
      <c r="Q116" s="898"/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'21'!F117</f>
        <v>45953</v>
      </c>
      <c r="F117" s="237">
        <v>46214</v>
      </c>
      <c r="G117" s="112">
        <f t="shared" si="9"/>
        <v>261</v>
      </c>
      <c r="H117" s="99">
        <f>G117+'21'!H117</f>
        <v>5292</v>
      </c>
      <c r="I117" s="165"/>
      <c r="J117" s="328">
        <f>H117/DAY(B2)</f>
        <v>240.54545454545453</v>
      </c>
      <c r="Q117" s="898"/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'21'!F118</f>
        <v>77103</v>
      </c>
      <c r="F118" s="237">
        <v>77738</v>
      </c>
      <c r="G118" s="112">
        <f t="shared" si="9"/>
        <v>635</v>
      </c>
      <c r="H118" s="99">
        <f>G118+'21'!H118</f>
        <v>13066</v>
      </c>
      <c r="I118" s="165"/>
      <c r="J118" s="328">
        <f>H118/DAY(B2)</f>
        <v>593.90909090909088</v>
      </c>
      <c r="Q118" s="898"/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'21'!F119</f>
        <v>41825</v>
      </c>
      <c r="F119" s="237">
        <v>41877</v>
      </c>
      <c r="G119" s="112">
        <f t="shared" si="9"/>
        <v>52</v>
      </c>
      <c r="H119" s="99">
        <f>G119+'21'!H119</f>
        <v>4428</v>
      </c>
      <c r="I119" s="165"/>
      <c r="J119" s="328">
        <f>H119/DAY(B2)</f>
        <v>201.27272727272728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'21'!F120</f>
        <v>54936</v>
      </c>
      <c r="F120" s="237">
        <v>55350</v>
      </c>
      <c r="G120" s="112">
        <f t="shared" si="9"/>
        <v>414</v>
      </c>
      <c r="H120" s="99">
        <f>G120+'21'!H120</f>
        <v>9083</v>
      </c>
      <c r="I120" s="165"/>
      <c r="J120" s="328">
        <f>H120/DAY(B2)</f>
        <v>412.86363636363637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'21'!F121</f>
        <v>63361</v>
      </c>
      <c r="F121" s="237">
        <v>63803</v>
      </c>
      <c r="G121" s="112">
        <f t="shared" si="9"/>
        <v>442</v>
      </c>
      <c r="H121" s="99">
        <f>G121+'21'!H121</f>
        <v>10260</v>
      </c>
      <c r="I121" s="165"/>
      <c r="J121" s="328">
        <f>H121/DAY(B2)</f>
        <v>466.36363636363637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'21'!F122</f>
        <v>35483</v>
      </c>
      <c r="F122" s="237">
        <v>35830</v>
      </c>
      <c r="G122" s="112">
        <f t="shared" si="9"/>
        <v>347</v>
      </c>
      <c r="H122" s="99">
        <f>G122+'21'!H122</f>
        <v>7156</v>
      </c>
      <c r="I122" s="165"/>
      <c r="J122" s="328">
        <f>H122/DAY(B2)</f>
        <v>325.27272727272725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'21'!F123</f>
        <v>37026</v>
      </c>
      <c r="F123" s="237">
        <v>37354</v>
      </c>
      <c r="G123" s="112">
        <f t="shared" si="9"/>
        <v>328</v>
      </c>
      <c r="H123" s="99">
        <f>G123+'21'!H123</f>
        <v>7166</v>
      </c>
      <c r="I123" s="165"/>
      <c r="J123" s="328">
        <f>H123/DAY(B2)</f>
        <v>325.72727272727275</v>
      </c>
    </row>
    <row r="124" spans="1:18" ht="29.25" customHeight="1">
      <c r="A124" s="902"/>
      <c r="B124" s="903"/>
      <c r="C124" s="904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5.5">
      <c r="A125" s="880" t="s">
        <v>196</v>
      </c>
      <c r="B125" s="881"/>
      <c r="C125" s="245"/>
      <c r="D125" s="307"/>
      <c r="E125" s="308"/>
      <c r="F125" s="308"/>
      <c r="G125" s="309">
        <f>SUM(G112:G124)</f>
        <v>3451</v>
      </c>
      <c r="H125" s="156"/>
      <c r="I125" s="327">
        <f>G125-(G39+G53)</f>
        <v>-754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'21'!F128</f>
        <v>137930</v>
      </c>
      <c r="F128" s="165">
        <v>138310</v>
      </c>
      <c r="G128" s="112">
        <f t="shared" ref="G128:G134" si="10">F128-E128</f>
        <v>380</v>
      </c>
      <c r="H128" s="99">
        <f>G128+'21'!H128</f>
        <v>10666</v>
      </c>
      <c r="I128" s="165"/>
      <c r="J128" s="328">
        <f>H128/DAY(B2)</f>
        <v>484.81818181818181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'21'!F129</f>
        <v>76629</v>
      </c>
      <c r="F129" s="165">
        <v>76830</v>
      </c>
      <c r="G129" s="112">
        <f t="shared" si="10"/>
        <v>201</v>
      </c>
      <c r="H129" s="99">
        <f>G129+'21'!H129</f>
        <v>4327</v>
      </c>
      <c r="I129" s="165"/>
      <c r="J129" s="328">
        <f>H129/DAY(B2)</f>
        <v>196.68181818181819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'21'!F130</f>
        <v>179150</v>
      </c>
      <c r="F130" s="165">
        <v>179803</v>
      </c>
      <c r="G130" s="112">
        <f t="shared" si="10"/>
        <v>653</v>
      </c>
      <c r="H130" s="99">
        <f>G130+'21'!H130</f>
        <v>14667.479999999981</v>
      </c>
      <c r="I130" s="165"/>
      <c r="J130" s="328">
        <f>H130/DAY(B2)</f>
        <v>666.7036363636355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'21'!F131</f>
        <v>52360</v>
      </c>
      <c r="F131" s="165">
        <v>52562</v>
      </c>
      <c r="G131" s="112">
        <f t="shared" si="10"/>
        <v>202</v>
      </c>
      <c r="H131" s="99">
        <f>G131+'21'!H131</f>
        <v>4113</v>
      </c>
      <c r="I131" s="165"/>
      <c r="J131" s="328">
        <f>H131/DAY(B2)</f>
        <v>186.95454545454547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'21'!F132</f>
        <v>136790</v>
      </c>
      <c r="F132" s="165">
        <v>137206</v>
      </c>
      <c r="G132" s="112">
        <f t="shared" si="10"/>
        <v>416</v>
      </c>
      <c r="H132" s="99">
        <f>G132+'21'!H132</f>
        <v>9032</v>
      </c>
      <c r="I132" s="165"/>
      <c r="J132" s="328">
        <f>H132/DAY(B2)</f>
        <v>410.54545454545456</v>
      </c>
    </row>
    <row r="133" spans="1:15" ht="25.5">
      <c r="A133" s="898" t="s">
        <v>359</v>
      </c>
      <c r="B133" s="899"/>
      <c r="C133" s="900"/>
      <c r="D133" s="151" t="s">
        <v>183</v>
      </c>
      <c r="E133" s="95">
        <f>'21'!F133</f>
        <v>232110</v>
      </c>
      <c r="F133" s="165">
        <v>232990</v>
      </c>
      <c r="G133" s="112">
        <f t="shared" si="10"/>
        <v>880</v>
      </c>
      <c r="H133" s="99">
        <f>G133+'21'!H133</f>
        <v>10585.429999999993</v>
      </c>
      <c r="I133" s="165"/>
      <c r="J133" s="328">
        <f>H133/DAY(B2)</f>
        <v>481.15590909090878</v>
      </c>
    </row>
    <row r="134" spans="1:15" ht="25.5">
      <c r="A134" s="898" t="s">
        <v>340</v>
      </c>
      <c r="B134" s="899"/>
      <c r="C134" s="900"/>
      <c r="D134" s="151" t="s">
        <v>183</v>
      </c>
      <c r="E134" s="95">
        <f>'21'!F134</f>
        <v>53679</v>
      </c>
      <c r="F134" s="165">
        <v>53922</v>
      </c>
      <c r="G134" s="112">
        <f t="shared" si="10"/>
        <v>243</v>
      </c>
      <c r="H134" s="99">
        <f>G134+'21'!H134</f>
        <v>4887</v>
      </c>
      <c r="I134" s="165"/>
      <c r="J134" s="328">
        <f>H134/DAY(B2)</f>
        <v>222.13636363636363</v>
      </c>
    </row>
    <row r="135" spans="1:15" ht="25.5">
      <c r="A135" s="880" t="s">
        <v>196</v>
      </c>
      <c r="B135" s="881"/>
      <c r="C135" s="331"/>
      <c r="D135" s="151"/>
      <c r="E135" s="95"/>
      <c r="F135" s="165"/>
      <c r="G135" s="112">
        <f>SUM(G128:G134)</f>
        <v>2975</v>
      </c>
      <c r="H135" s="99">
        <f>G135+'10'!H135</f>
        <v>24773.969999999987</v>
      </c>
      <c r="I135" s="327">
        <f>G135-(G35+G49)</f>
        <v>-822</v>
      </c>
      <c r="J135" s="328"/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'21'!F138</f>
        <v>894065</v>
      </c>
      <c r="F138" s="147">
        <v>894174</v>
      </c>
      <c r="G138" s="112">
        <f t="shared" ref="G138:G152" si="11">F138-E138</f>
        <v>109</v>
      </c>
      <c r="H138" s="99">
        <f>G138+'21'!H138</f>
        <v>3063</v>
      </c>
      <c r="I138" s="118"/>
      <c r="J138" s="328">
        <f>H138/DAY(B2)</f>
        <v>139.22727272727272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'21'!F139</f>
        <v>912096</v>
      </c>
      <c r="F139" s="148">
        <v>912251</v>
      </c>
      <c r="G139" s="112">
        <f t="shared" si="11"/>
        <v>155</v>
      </c>
      <c r="H139" s="99">
        <f>G139+'21'!H139</f>
        <v>3356</v>
      </c>
      <c r="I139" s="118"/>
      <c r="J139" s="328">
        <f>H139/DAY(B2)</f>
        <v>152.54545454545453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'21'!F140</f>
        <v>1822</v>
      </c>
      <c r="F140" s="149">
        <v>1836</v>
      </c>
      <c r="G140" s="112">
        <f t="shared" si="11"/>
        <v>14</v>
      </c>
      <c r="H140" s="99">
        <f>G140+'21'!H140</f>
        <v>323</v>
      </c>
      <c r="I140" s="118"/>
      <c r="J140" s="328">
        <f>H140/DAY(B2)</f>
        <v>14.681818181818182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'21'!F141</f>
        <v>94680</v>
      </c>
      <c r="F141" s="149">
        <v>94908</v>
      </c>
      <c r="G141" s="112">
        <f t="shared" si="11"/>
        <v>228</v>
      </c>
      <c r="H141" s="99">
        <f>G141+'21'!H141</f>
        <v>4456</v>
      </c>
      <c r="I141" s="118"/>
      <c r="J141" s="328">
        <f>H141/DAY(B2)</f>
        <v>202.54545454545453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'21'!F142</f>
        <v>38407</v>
      </c>
      <c r="F142" s="148">
        <v>38487</v>
      </c>
      <c r="G142" s="112">
        <f t="shared" si="11"/>
        <v>80</v>
      </c>
      <c r="H142" s="99">
        <f>G142+'21'!H142</f>
        <v>1826</v>
      </c>
      <c r="I142" s="140"/>
      <c r="J142" s="328">
        <f>H142/DAY(B2)</f>
        <v>83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'21'!F143</f>
        <v>9601</v>
      </c>
      <c r="F143" s="149">
        <v>9626</v>
      </c>
      <c r="G143" s="112">
        <f t="shared" si="11"/>
        <v>25</v>
      </c>
      <c r="H143" s="99">
        <f>G143+'21'!H143</f>
        <v>575</v>
      </c>
      <c r="I143" s="140"/>
      <c r="J143" s="328">
        <f>H143/DAY(B2)</f>
        <v>26.136363636363637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'21'!F144</f>
        <v>924474</v>
      </c>
      <c r="F144" s="149">
        <v>924689</v>
      </c>
      <c r="G144" s="112">
        <f t="shared" si="11"/>
        <v>215</v>
      </c>
      <c r="H144" s="99">
        <f>G144+'21'!H144</f>
        <v>4852</v>
      </c>
      <c r="I144" s="140"/>
      <c r="J144" s="328">
        <f>H144/DAY(B2)</f>
        <v>220.54545454545453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'21'!F145</f>
        <v>6466</v>
      </c>
      <c r="F145" s="149">
        <v>6512</v>
      </c>
      <c r="G145" s="112">
        <f t="shared" si="11"/>
        <v>46</v>
      </c>
      <c r="H145" s="99">
        <f>G145+'21'!H145</f>
        <v>705</v>
      </c>
      <c r="I145" s="140"/>
      <c r="J145" s="328">
        <f>H145/DAY(B2)</f>
        <v>32.045454545454547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'21'!F146</f>
        <v>782315</v>
      </c>
      <c r="F146" s="148">
        <v>782359</v>
      </c>
      <c r="G146" s="112">
        <f t="shared" si="11"/>
        <v>44</v>
      </c>
      <c r="H146" s="99">
        <f>G146+'21'!H146</f>
        <v>1559</v>
      </c>
      <c r="I146" s="140"/>
      <c r="J146" s="328">
        <f>H146/DAY(B2)</f>
        <v>70.86363636363636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'21'!F147</f>
        <v>707886</v>
      </c>
      <c r="F147" s="148">
        <v>708250</v>
      </c>
      <c r="G147" s="112">
        <f t="shared" si="11"/>
        <v>364</v>
      </c>
      <c r="H147" s="99">
        <f>G147+'21'!H147</f>
        <v>8481</v>
      </c>
      <c r="I147" s="140"/>
      <c r="J147" s="328">
        <f>H147/DAY(B2)</f>
        <v>385.5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'21'!F148</f>
        <v>754912</v>
      </c>
      <c r="F148" s="150">
        <v>755183</v>
      </c>
      <c r="G148" s="112">
        <f t="shared" si="11"/>
        <v>271</v>
      </c>
      <c r="H148" s="99">
        <f>G148+'21'!H148</f>
        <v>6653</v>
      </c>
      <c r="I148" s="124"/>
      <c r="J148" s="328">
        <f>H148/DAY(B2)</f>
        <v>302.40909090909093</v>
      </c>
    </row>
    <row r="149" spans="1:10" ht="25.5">
      <c r="A149" s="877" t="s">
        <v>336</v>
      </c>
      <c r="B149" s="878"/>
      <c r="C149" s="879"/>
      <c r="D149" s="227" t="s">
        <v>130</v>
      </c>
      <c r="E149" s="95">
        <f>'21'!F149</f>
        <v>142222</v>
      </c>
      <c r="F149" s="146">
        <v>142651</v>
      </c>
      <c r="G149" s="112">
        <f t="shared" si="11"/>
        <v>429</v>
      </c>
      <c r="H149" s="99">
        <f>G149+'21'!H149</f>
        <v>10217</v>
      </c>
      <c r="I149" s="119"/>
      <c r="J149" s="328">
        <f>H149/DAY(B2)</f>
        <v>464.40909090909093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'21'!F150</f>
        <v>55262</v>
      </c>
      <c r="F150" s="233">
        <v>55474</v>
      </c>
      <c r="G150" s="112">
        <f t="shared" si="11"/>
        <v>212</v>
      </c>
      <c r="H150" s="99">
        <f>G150+'21'!H150</f>
        <v>4859</v>
      </c>
      <c r="I150" s="119"/>
      <c r="J150" s="328">
        <f>H150/DAY(B2)</f>
        <v>220.86363636363637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'21'!F151</f>
        <v>141014</v>
      </c>
      <c r="F151" s="233">
        <v>141236</v>
      </c>
      <c r="G151" s="112">
        <f t="shared" si="11"/>
        <v>222</v>
      </c>
      <c r="H151" s="99">
        <f>G151+'21'!H151</f>
        <v>5787</v>
      </c>
      <c r="I151" s="119"/>
      <c r="J151" s="328">
        <f>H151/DAY(B2)</f>
        <v>263.04545454545456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'21'!F152</f>
        <v>25682</v>
      </c>
      <c r="F152" s="233">
        <v>25804</v>
      </c>
      <c r="G152" s="112">
        <f t="shared" si="11"/>
        <v>122</v>
      </c>
      <c r="H152" s="99">
        <f>G152+'21'!H152</f>
        <v>2650</v>
      </c>
      <c r="I152" s="119"/>
      <c r="J152" s="328">
        <f>H152/DAY(B2)</f>
        <v>120.45454545454545</v>
      </c>
    </row>
    <row r="153" spans="1:10" ht="25.5">
      <c r="A153" s="880" t="s">
        <v>196</v>
      </c>
      <c r="B153" s="881"/>
      <c r="C153" s="365"/>
      <c r="D153" s="358"/>
      <c r="E153" s="360"/>
      <c r="F153" s="361"/>
      <c r="G153" s="362">
        <f>SUM(G138:G152)</f>
        <v>2536</v>
      </c>
      <c r="H153" s="363"/>
      <c r="I153" s="119">
        <f>G153-(G38+G52)</f>
        <v>415</v>
      </c>
      <c r="J153" s="366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95">
        <f>'21'!F155</f>
        <v>161454</v>
      </c>
      <c r="F155" s="374">
        <v>162045</v>
      </c>
      <c r="G155" s="112">
        <f t="shared" ref="G155:G158" si="12">F155-E155</f>
        <v>591</v>
      </c>
      <c r="H155" s="99">
        <f>G155+'21'!H155</f>
        <v>13896</v>
      </c>
      <c r="I155" s="364"/>
      <c r="J155" s="328">
        <f>H155/DAY(B2)</f>
        <v>631.63636363636363</v>
      </c>
    </row>
    <row r="156" spans="1:10" ht="25.5">
      <c r="A156" s="876" t="s">
        <v>347</v>
      </c>
      <c r="B156" s="876"/>
      <c r="C156" s="876"/>
      <c r="D156" s="117" t="s">
        <v>130</v>
      </c>
      <c r="E156" s="95">
        <f>'21'!F156</f>
        <v>17034</v>
      </c>
      <c r="F156" s="374">
        <v>17099</v>
      </c>
      <c r="G156" s="112">
        <f t="shared" si="12"/>
        <v>65</v>
      </c>
      <c r="H156" s="99">
        <f>G156+'21'!H156</f>
        <v>2365</v>
      </c>
      <c r="I156" s="165"/>
      <c r="J156" s="328">
        <f>H156/DAY(B2)</f>
        <v>107.5</v>
      </c>
    </row>
    <row r="157" spans="1:10" ht="25.5">
      <c r="A157" s="877" t="s">
        <v>360</v>
      </c>
      <c r="B157" s="878"/>
      <c r="C157" s="879"/>
      <c r="D157" s="117" t="s">
        <v>130</v>
      </c>
      <c r="E157" s="95">
        <f>'21'!F157</f>
        <v>30382</v>
      </c>
      <c r="F157" s="155">
        <v>30382</v>
      </c>
      <c r="G157" s="112">
        <f t="shared" si="12"/>
        <v>0</v>
      </c>
      <c r="H157" s="99">
        <f>G157+'21'!H157</f>
        <v>342.5</v>
      </c>
      <c r="I157" s="165"/>
      <c r="J157" s="328">
        <f>H157/DAY(B2)</f>
        <v>15.568181818181818</v>
      </c>
    </row>
    <row r="158" spans="1:10" ht="25.5">
      <c r="A158" s="877" t="s">
        <v>361</v>
      </c>
      <c r="B158" s="878"/>
      <c r="C158" s="879"/>
      <c r="D158" s="117" t="s">
        <v>130</v>
      </c>
      <c r="E158" s="95">
        <f>'21'!F158</f>
        <v>252</v>
      </c>
      <c r="F158" s="155">
        <v>275.70999999999998</v>
      </c>
      <c r="G158" s="112">
        <f t="shared" si="12"/>
        <v>23.70999999999998</v>
      </c>
      <c r="H158" s="99">
        <f>G158+'21'!H158</f>
        <v>34.319999999999993</v>
      </c>
      <c r="I158" s="165"/>
      <c r="J158" s="328">
        <f>H158/DAY(B2)</f>
        <v>1.5599999999999996</v>
      </c>
    </row>
    <row r="159" spans="1:10" ht="25.5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481299</v>
      </c>
      <c r="F161" s="235">
        <v>481382</v>
      </c>
      <c r="G161" s="238">
        <f t="shared" ref="G161:G165" si="13">F161-E161</f>
        <v>83</v>
      </c>
      <c r="H161" s="99">
        <f>G161+'21'!H161</f>
        <v>335</v>
      </c>
      <c r="I161" s="236"/>
      <c r="J161" s="239">
        <f>H161/DAY(B2)</f>
        <v>15.227272727272727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95774</v>
      </c>
      <c r="F162" s="235">
        <v>95810</v>
      </c>
      <c r="G162" s="238">
        <f t="shared" si="13"/>
        <v>36</v>
      </c>
      <c r="H162" s="99">
        <f>G162+'21'!H162</f>
        <v>882</v>
      </c>
      <c r="I162" s="236"/>
      <c r="J162" s="239">
        <f>H162/DAY(B2)</f>
        <v>40.090909090909093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8897</v>
      </c>
      <c r="F163" s="235">
        <v>9037</v>
      </c>
      <c r="G163" s="238">
        <f t="shared" si="13"/>
        <v>140</v>
      </c>
      <c r="H163" s="99">
        <f>G163+'21'!H163</f>
        <v>2536</v>
      </c>
      <c r="I163" s="236"/>
      <c r="J163" s="239">
        <f>H163/DAY(B2)</f>
        <v>115.27272727272727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6341</v>
      </c>
      <c r="F164" s="235">
        <v>6350</v>
      </c>
      <c r="G164" s="238">
        <f t="shared" si="13"/>
        <v>9</v>
      </c>
      <c r="H164" s="99">
        <f>G164+'21'!H164</f>
        <v>70</v>
      </c>
      <c r="I164" s="236"/>
      <c r="J164" s="239">
        <f>H164/DAY(B2)</f>
        <v>3.1818181818181817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31788</v>
      </c>
      <c r="F165" s="235">
        <v>31796</v>
      </c>
      <c r="G165" s="238">
        <f t="shared" si="13"/>
        <v>8</v>
      </c>
      <c r="H165" s="99">
        <f>G165+'21'!H165</f>
        <v>162</v>
      </c>
      <c r="I165" s="236"/>
      <c r="J165" s="239">
        <f>H165/DAY(B2)</f>
        <v>7.3636363636363633</v>
      </c>
    </row>
    <row r="166" spans="1:10" ht="21.95" customHeight="1">
      <c r="A166" s="885"/>
      <c r="B166" s="885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885"/>
      <c r="B167" s="885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885"/>
      <c r="B168" s="885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'21'!F173</f>
        <v>8276</v>
      </c>
      <c r="F173" s="155">
        <v>8280</v>
      </c>
      <c r="G173" s="155">
        <f>F173-E173</f>
        <v>4</v>
      </c>
      <c r="H173" s="99">
        <f>G173+'21'!H173</f>
        <v>45</v>
      </c>
      <c r="I173" s="155"/>
      <c r="J173" s="178">
        <f>H173/DAY(B2)</f>
        <v>2.0454545454545454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'21'!F174</f>
        <v>41483</v>
      </c>
      <c r="F174" s="157">
        <v>41497</v>
      </c>
      <c r="G174" s="155">
        <f t="shared" ref="G174:G175" si="14">F174-E174</f>
        <v>14</v>
      </c>
      <c r="H174" s="99">
        <f>G174+'21'!H174</f>
        <v>293</v>
      </c>
      <c r="I174" s="155"/>
      <c r="J174" s="178">
        <f>H174/DAY(B2)</f>
        <v>13.318181818181818</v>
      </c>
    </row>
    <row r="175" spans="1:10" ht="25.5">
      <c r="A175" s="891" t="s">
        <v>76</v>
      </c>
      <c r="B175" s="931"/>
      <c r="C175" s="892"/>
      <c r="D175" s="228" t="s">
        <v>142</v>
      </c>
      <c r="E175" s="95">
        <f>'21'!F175</f>
        <v>24266</v>
      </c>
      <c r="F175" s="155">
        <v>24277</v>
      </c>
      <c r="G175" s="155">
        <f t="shared" si="14"/>
        <v>11</v>
      </c>
      <c r="H175" s="99">
        <f>G175+'21'!H175</f>
        <v>246</v>
      </c>
      <c r="I175" s="155"/>
      <c r="J175" s="178">
        <f>H175/DAY(B2)</f>
        <v>11.181818181818182</v>
      </c>
    </row>
    <row r="176" spans="1:10" ht="25.5">
      <c r="A176" s="880" t="s">
        <v>196</v>
      </c>
      <c r="B176" s="881"/>
      <c r="C176" s="401"/>
      <c r="D176" s="228" t="s">
        <v>142</v>
      </c>
      <c r="E176" s="95"/>
      <c r="F176" s="155"/>
      <c r="G176" s="155">
        <f>SUM(G173:G175)</f>
        <v>29</v>
      </c>
      <c r="H176" s="99">
        <f>G176+'21'!H176</f>
        <v>584</v>
      </c>
      <c r="I176" s="155"/>
      <c r="J176" s="178">
        <f>H176/DAY(B2)</f>
        <v>26.545454545454547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'21'!F178</f>
        <v>99343</v>
      </c>
      <c r="F178" s="425">
        <v>99390</v>
      </c>
      <c r="G178" s="155">
        <f>F178-E178</f>
        <v>47</v>
      </c>
      <c r="H178" s="99">
        <f>G178+'21'!H178</f>
        <v>1677</v>
      </c>
      <c r="I178" s="155"/>
      <c r="J178" s="178">
        <f>H178/DAY(B2)</f>
        <v>76.227272727272734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'21'!F179</f>
        <v>36002</v>
      </c>
      <c r="F179" s="155">
        <v>36002</v>
      </c>
      <c r="G179" s="155">
        <f t="shared" ref="G179:G180" si="15">F179-E179</f>
        <v>0</v>
      </c>
      <c r="H179" s="99">
        <f>G179+'21'!H179</f>
        <v>0</v>
      </c>
      <c r="I179" s="155"/>
      <c r="J179" s="178">
        <f>H179/DAY(B2)</f>
        <v>0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'21'!F180</f>
        <v>37193</v>
      </c>
      <c r="F180" s="155">
        <v>37193</v>
      </c>
      <c r="G180" s="374">
        <f t="shared" si="15"/>
        <v>0</v>
      </c>
      <c r="H180" s="99">
        <f>G180+'21'!H180</f>
        <v>176</v>
      </c>
      <c r="I180" s="155"/>
      <c r="J180" s="178">
        <f>H180/DAY(B2)</f>
        <v>8</v>
      </c>
    </row>
    <row r="181" spans="1:10" ht="27.75" customHeight="1">
      <c r="A181" s="893" t="s">
        <v>108</v>
      </c>
      <c r="B181" s="894"/>
      <c r="C181" s="401"/>
      <c r="D181" s="228" t="s">
        <v>142</v>
      </c>
      <c r="E181" s="95"/>
      <c r="F181" s="155"/>
      <c r="G181" s="155">
        <f>SUM(G178:G180)</f>
        <v>47</v>
      </c>
      <c r="H181" s="99">
        <f>G181+'21'!H181</f>
        <v>1853</v>
      </c>
      <c r="I181" s="155"/>
      <c r="J181" s="178">
        <f>H181/DAY(B2)</f>
        <v>84.227272727272734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'21'!F183</f>
        <v>17626</v>
      </c>
      <c r="F183" s="157">
        <v>17635</v>
      </c>
      <c r="G183" s="157">
        <f>F183-E183</f>
        <v>9</v>
      </c>
      <c r="H183" s="99">
        <f>G183+'21'!H183</f>
        <v>162</v>
      </c>
      <c r="I183" s="155"/>
      <c r="J183" s="178">
        <f>H183/DAY(B2)</f>
        <v>7.3636363636363633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'21'!F184</f>
        <v>12096</v>
      </c>
      <c r="F184" s="157">
        <v>12099</v>
      </c>
      <c r="G184" s="157">
        <f t="shared" ref="G184:G185" si="16">F184-E184</f>
        <v>3</v>
      </c>
      <c r="H184" s="99">
        <f>G184+'21'!H184</f>
        <v>164</v>
      </c>
      <c r="I184" s="155"/>
      <c r="J184" s="178">
        <f>H184/DAY(B2)</f>
        <v>7.4545454545454541</v>
      </c>
    </row>
    <row r="185" spans="1:10" ht="25.5">
      <c r="A185" s="891" t="s">
        <v>216</v>
      </c>
      <c r="B185" s="892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880" t="s">
        <v>196</v>
      </c>
      <c r="B186" s="881"/>
      <c r="C186" s="400"/>
      <c r="D186" s="228" t="s">
        <v>142</v>
      </c>
      <c r="E186" s="95"/>
      <c r="F186" s="157"/>
      <c r="G186" s="157">
        <f>SUM(G183:G185)</f>
        <v>12</v>
      </c>
      <c r="H186" s="99">
        <f>G186+'21'!H186</f>
        <v>326</v>
      </c>
      <c r="I186" s="157"/>
      <c r="J186" s="178">
        <f>H186/DAY(B2)</f>
        <v>14.818181818181818</v>
      </c>
    </row>
    <row r="187" spans="1:10" ht="25.5">
      <c r="A187" s="882" t="s">
        <v>217</v>
      </c>
      <c r="B187" s="883"/>
      <c r="C187" s="333"/>
      <c r="D187" s="230" t="s">
        <v>142</v>
      </c>
      <c r="E187" s="95"/>
      <c r="F187" s="159"/>
      <c r="G187" s="378">
        <f>G62+G19</f>
        <v>155</v>
      </c>
      <c r="H187" s="99">
        <f>G187+'21'!H187</f>
        <v>3470</v>
      </c>
      <c r="I187" s="158"/>
      <c r="J187" s="179">
        <f>H187/DAY(B2)</f>
        <v>157.72727272727272</v>
      </c>
    </row>
    <row r="188" spans="1:10" ht="25.5">
      <c r="A188" s="882" t="s">
        <v>218</v>
      </c>
      <c r="B188" s="883"/>
      <c r="C188" s="333"/>
      <c r="D188" s="230" t="s">
        <v>142</v>
      </c>
      <c r="E188" s="95"/>
      <c r="F188" s="159"/>
      <c r="G188" s="378">
        <f>G65+G66+G67+G69+G70</f>
        <v>144</v>
      </c>
      <c r="H188" s="99">
        <f>G188+'21'!H188</f>
        <v>1250</v>
      </c>
      <c r="I188" s="158"/>
      <c r="J188" s="179">
        <f>H188/DAY(B2)</f>
        <v>56.81818181818182</v>
      </c>
    </row>
    <row r="189" spans="1:10" ht="25.5">
      <c r="A189" s="882" t="s">
        <v>219</v>
      </c>
      <c r="B189" s="883"/>
      <c r="C189" s="333"/>
      <c r="D189" s="230" t="s">
        <v>142</v>
      </c>
      <c r="E189" s="95"/>
      <c r="F189" s="157"/>
      <c r="G189" s="377">
        <f>G181</f>
        <v>47</v>
      </c>
      <c r="H189" s="99">
        <f>G189+'21'!H189</f>
        <v>344</v>
      </c>
      <c r="I189" s="158"/>
      <c r="J189" s="179">
        <f>H189/DAY(B2)</f>
        <v>15.636363636363637</v>
      </c>
    </row>
    <row r="190" spans="1:10" ht="25.5">
      <c r="A190" s="889"/>
      <c r="B190" s="89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205" spans="6:6" ht="21.95" customHeight="1">
      <c r="F205" s="160">
        <v>99390</v>
      </c>
    </row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169" zoomScale="50" zoomScaleNormal="80" zoomScaleSheetLayoutView="50" workbookViewId="0">
      <selection activeCell="F189" sqref="F189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30.75" customHeight="1">
      <c r="A2" s="191" t="s">
        <v>355</v>
      </c>
      <c r="B2" s="262">
        <v>44796</v>
      </c>
      <c r="C2" s="348" t="s">
        <v>67</v>
      </c>
      <c r="D2" s="218">
        <v>0.48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27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904984</v>
      </c>
      <c r="F7" s="95">
        <v>928593</v>
      </c>
      <c r="G7" s="112">
        <f>F7-E7</f>
        <v>23609</v>
      </c>
      <c r="H7" s="99">
        <f>G7+'22'!H7</f>
        <v>592134.75</v>
      </c>
      <c r="I7" s="113">
        <f>'1'!I7</f>
        <v>12000</v>
      </c>
      <c r="J7" s="175">
        <f>H7/DAY(B2)</f>
        <v>25744.989130434784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62978</v>
      </c>
      <c r="F8" s="95">
        <v>86737</v>
      </c>
      <c r="G8" s="115">
        <f>F8-E8</f>
        <v>23759</v>
      </c>
      <c r="H8" s="99">
        <f>G8+'22'!H8</f>
        <v>598340.69999999995</v>
      </c>
      <c r="I8" s="116"/>
      <c r="J8" s="175">
        <f>H8/DAY(B2)</f>
        <v>26014.813043478258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3423095</v>
      </c>
      <c r="F9" s="469">
        <v>3430243</v>
      </c>
      <c r="G9" s="112">
        <f>F9-E9</f>
        <v>7148</v>
      </c>
      <c r="H9" s="99">
        <f>G9+'22'!H9</f>
        <v>151177</v>
      </c>
      <c r="I9" s="124">
        <f>I7-J7</f>
        <v>-13744.989130434784</v>
      </c>
      <c r="J9" s="175">
        <f>H9/DAY(B2)</f>
        <v>6572.913043478261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2075726</v>
      </c>
      <c r="F10" s="353">
        <v>2091551</v>
      </c>
      <c r="G10" s="112">
        <f t="shared" ref="G10:G11" si="0">F10-E10</f>
        <v>15825</v>
      </c>
      <c r="H10" s="99">
        <f>G10+'22'!H10</f>
        <v>424393</v>
      </c>
      <c r="I10" s="282"/>
      <c r="J10" s="175">
        <f>H10/DAY(B2)</f>
        <v>18451.869565217392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37560</v>
      </c>
      <c r="F11" s="95">
        <v>37560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40380</v>
      </c>
      <c r="F12" s="117">
        <v>40380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22973</v>
      </c>
      <c r="H13" s="99">
        <f>G13+'22'!H13</f>
        <v>576904.59999999986</v>
      </c>
      <c r="I13" s="120">
        <f>G7-G13</f>
        <v>636</v>
      </c>
      <c r="J13" s="175">
        <f>H13/DAY(B2)</f>
        <v>25082.808695652169</v>
      </c>
      <c r="K13" s="79"/>
      <c r="L13" s="66"/>
      <c r="N13" s="87"/>
      <c r="O13" s="71"/>
    </row>
    <row r="14" spans="1:15" ht="30.75" customHeight="1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2123366</v>
      </c>
      <c r="F15" s="469">
        <v>2124317</v>
      </c>
      <c r="G15" s="112">
        <f>(F15-E15)</f>
        <v>951</v>
      </c>
      <c r="H15" s="99">
        <f>G15+'22'!H15</f>
        <v>23449</v>
      </c>
      <c r="I15" s="113">
        <f>'1'!I15</f>
        <v>800</v>
      </c>
      <c r="J15" s="175">
        <f>H15/DAY(B2)</f>
        <v>1019.5217391304348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-219.52173913043475</v>
      </c>
      <c r="J16" s="176"/>
      <c r="K16" s="79"/>
      <c r="L16" s="66"/>
      <c r="N16" s="87"/>
      <c r="O16" s="71"/>
    </row>
    <row r="17" spans="1:15" ht="30.75" customHeight="1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19" t="s">
        <v>141</v>
      </c>
      <c r="B18" s="920"/>
      <c r="C18" s="921"/>
      <c r="D18" s="151" t="s">
        <v>142</v>
      </c>
      <c r="E18" s="95">
        <f>'22'!F18</f>
        <v>13</v>
      </c>
      <c r="F18" s="122">
        <v>16</v>
      </c>
      <c r="G18" s="119">
        <f>F18*10</f>
        <v>160</v>
      </c>
      <c r="H18" s="99">
        <f>G18+'22'!H18</f>
        <v>3580</v>
      </c>
      <c r="I18" s="113">
        <f>'1'!I18</f>
        <v>65</v>
      </c>
      <c r="J18" s="175">
        <f>H18/DAY(B2)</f>
        <v>155.65217391304347</v>
      </c>
      <c r="K18" s="79"/>
      <c r="L18" s="66"/>
      <c r="N18" s="87"/>
      <c r="O18" s="71"/>
    </row>
    <row r="19" spans="1:15" ht="30.75" customHeight="1">
      <c r="A19" s="919" t="s">
        <v>69</v>
      </c>
      <c r="B19" s="920"/>
      <c r="C19" s="921"/>
      <c r="D19" s="151" t="s">
        <v>142</v>
      </c>
      <c r="E19" s="95">
        <f>'22'!F19</f>
        <v>163445</v>
      </c>
      <c r="F19" s="122">
        <v>163494</v>
      </c>
      <c r="G19" s="112">
        <f t="shared" ref="G19" si="1">F19-E19</f>
        <v>49</v>
      </c>
      <c r="H19" s="99">
        <f>G19+'22'!H19</f>
        <v>1159</v>
      </c>
      <c r="I19" s="335"/>
      <c r="J19" s="175">
        <f>H19/DAY(B2)</f>
        <v>50.391304347826086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209</v>
      </c>
      <c r="H20" s="99">
        <f>G20+'22'!H20</f>
        <v>4739</v>
      </c>
      <c r="I20" s="336">
        <f>I18-J20</f>
        <v>-141.04347826086956</v>
      </c>
      <c r="J20" s="175">
        <f>H20/DAY(B2)</f>
        <v>206.04347826086956</v>
      </c>
      <c r="K20" s="79"/>
      <c r="L20" s="66"/>
      <c r="N20" s="87"/>
      <c r="O20" s="71"/>
    </row>
    <row r="21" spans="1:15" ht="30.75" customHeight="1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1500</v>
      </c>
      <c r="F23" s="122">
        <v>1500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4470</v>
      </c>
      <c r="F24" s="128">
        <v>4470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23759</v>
      </c>
      <c r="F27" s="136">
        <v>9</v>
      </c>
      <c r="G27" s="137">
        <f>E27*F27</f>
        <v>213831</v>
      </c>
      <c r="H27" s="99">
        <f>G27+'22'!H27</f>
        <v>5385066.2999999998</v>
      </c>
      <c r="I27" s="138"/>
      <c r="J27" s="175">
        <f>H27/DAY(B2)</f>
        <v>234133.31739130433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951</v>
      </c>
      <c r="F28" s="136">
        <v>70</v>
      </c>
      <c r="G28" s="137">
        <f>E28*F28</f>
        <v>66570</v>
      </c>
      <c r="H28" s="99">
        <f>G28+'22'!H28</f>
        <v>1641430</v>
      </c>
      <c r="I28" s="140"/>
      <c r="J28" s="175">
        <f>H28/DAY(B2)</f>
        <v>71366.521739130432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G30+'22'!H30</f>
        <v>175009</v>
      </c>
      <c r="I30" s="140"/>
      <c r="J30" s="175">
        <f>H30/DAY(B2)</f>
        <v>7609.086956521739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G31+'22'!H31</f>
        <v>286400</v>
      </c>
      <c r="I31" s="140"/>
      <c r="J31" s="175">
        <f>H31/DAY(B2)</f>
        <v>12452.173913043478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300600</v>
      </c>
      <c r="H32" s="99">
        <f>G32+'22'!H32</f>
        <v>7487905.2999999998</v>
      </c>
      <c r="I32" s="144"/>
      <c r="J32" s="175">
        <f>H32/DAY(B2)</f>
        <v>325561.09999999998</v>
      </c>
      <c r="K32" s="63"/>
      <c r="L32" s="89"/>
      <c r="N32" s="87"/>
      <c r="O32" s="71"/>
    </row>
    <row r="33" spans="1:15" ht="30.7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238713</v>
      </c>
      <c r="F35" s="145">
        <v>238713</v>
      </c>
      <c r="G35" s="112">
        <f t="shared" ref="G35:G46" si="3">F35-E35</f>
        <v>0</v>
      </c>
      <c r="H35" s="99">
        <f>G35+'22'!H35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234247</v>
      </c>
      <c r="F36" s="145">
        <v>234958</v>
      </c>
      <c r="G36" s="112">
        <f t="shared" si="3"/>
        <v>711</v>
      </c>
      <c r="H36" s="99">
        <f>G36+'22'!H36</f>
        <v>19428</v>
      </c>
      <c r="I36" s="95"/>
      <c r="J36" s="175">
        <f>H36/DAY(B2)</f>
        <v>844.695652173913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322999</v>
      </c>
      <c r="F37" s="145">
        <v>322999</v>
      </c>
      <c r="G37" s="112">
        <f t="shared" si="3"/>
        <v>0</v>
      </c>
      <c r="H37" s="99">
        <f>G37+'22'!H37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506327</v>
      </c>
      <c r="F38" s="108">
        <v>508459</v>
      </c>
      <c r="G38" s="112">
        <f t="shared" si="3"/>
        <v>2132</v>
      </c>
      <c r="H38" s="99">
        <f>G38+'22'!H38</f>
        <v>51098</v>
      </c>
      <c r="I38" s="95"/>
      <c r="J38" s="175">
        <f>H38/DAY(B2)</f>
        <v>2221.6521739130435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591584</v>
      </c>
      <c r="F39" s="145">
        <v>591584</v>
      </c>
      <c r="G39" s="112">
        <f t="shared" si="3"/>
        <v>0</v>
      </c>
      <c r="H39" s="99">
        <f>G39+'22'!H39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125776</v>
      </c>
      <c r="F40" s="145">
        <v>126605</v>
      </c>
      <c r="G40" s="112">
        <f t="shared" si="3"/>
        <v>829</v>
      </c>
      <c r="H40" s="99">
        <f>G40+'22'!H40</f>
        <v>19829</v>
      </c>
      <c r="I40" s="95"/>
      <c r="J40" s="175">
        <f>H40/DAY(B2)</f>
        <v>862.13043478260875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257421</v>
      </c>
      <c r="F41" s="145">
        <v>257421</v>
      </c>
      <c r="G41" s="112">
        <f t="shared" si="3"/>
        <v>0</v>
      </c>
      <c r="H41" s="99">
        <f>G41+'22'!H41</f>
        <v>45718</v>
      </c>
      <c r="I41" s="95"/>
      <c r="J41" s="175">
        <f>H41/DAY(B2)</f>
        <v>1987.7391304347825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781937</v>
      </c>
      <c r="F42" s="145">
        <v>786414</v>
      </c>
      <c r="G42" s="112">
        <f t="shared" si="3"/>
        <v>4477</v>
      </c>
      <c r="H42" s="99">
        <f>G42+'22'!H42</f>
        <v>38050</v>
      </c>
      <c r="I42" s="95"/>
      <c r="J42" s="175">
        <f>H42/DAY(B2)</f>
        <v>1654.3478260869565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407028</v>
      </c>
      <c r="F43" s="145">
        <v>407028.03</v>
      </c>
      <c r="G43" s="112">
        <f t="shared" si="3"/>
        <v>3.0000000027939677E-2</v>
      </c>
      <c r="H43" s="99">
        <f>G43+'22'!H43</f>
        <v>3.0000000027939677E-2</v>
      </c>
      <c r="I43" s="95"/>
      <c r="J43" s="175">
        <f>H43/DAY(B2)</f>
        <v>1.3043478273017251E-3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8149.0300000000279</v>
      </c>
      <c r="H47" s="99">
        <f>G47+'22'!H47</f>
        <v>174123.03000000006</v>
      </c>
      <c r="I47" s="95"/>
      <c r="J47" s="175">
        <f>H47/DAY(B2)</f>
        <v>7570.5665217391333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572059</v>
      </c>
      <c r="F49" s="145">
        <v>575770</v>
      </c>
      <c r="G49" s="112">
        <f t="shared" ref="G49:G58" si="4">F49-E49</f>
        <v>3711</v>
      </c>
      <c r="H49" s="99">
        <f>G49+'22'!H49</f>
        <v>90716</v>
      </c>
      <c r="I49" s="95"/>
      <c r="J49" s="175">
        <f>H49/DAY(B2)</f>
        <v>3944.1739130434785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310101</v>
      </c>
      <c r="F50" s="145">
        <v>311512</v>
      </c>
      <c r="G50" s="112">
        <f t="shared" si="4"/>
        <v>1411</v>
      </c>
      <c r="H50" s="99">
        <f>G50+'22'!H50</f>
        <v>235395.43</v>
      </c>
      <c r="I50" s="95"/>
      <c r="J50" s="175">
        <f>H50/DAY(B2)</f>
        <v>10234.583913043478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31571</v>
      </c>
      <c r="F51" s="145">
        <v>32556</v>
      </c>
      <c r="G51" s="112">
        <f t="shared" si="4"/>
        <v>985</v>
      </c>
      <c r="H51" s="99">
        <f>G51+'22'!H51</f>
        <v>24048</v>
      </c>
      <c r="I51" s="95"/>
      <c r="J51" s="175">
        <f>H51/DAY(B2)</f>
        <v>1045.5652173913043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10</v>
      </c>
      <c r="F52" s="145">
        <v>10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130102</v>
      </c>
      <c r="F53" s="145">
        <v>134044</v>
      </c>
      <c r="G53" s="112">
        <f t="shared" si="4"/>
        <v>3942</v>
      </c>
      <c r="H53" s="99">
        <f>G53+'22'!H53</f>
        <v>100183</v>
      </c>
      <c r="I53" s="95"/>
      <c r="J53" s="175">
        <f>H53/DAY(B2)</f>
        <v>4355.782608695652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94057</v>
      </c>
      <c r="F54" s="145">
        <v>94241</v>
      </c>
      <c r="G54" s="112">
        <f t="shared" si="4"/>
        <v>184</v>
      </c>
      <c r="H54" s="99">
        <f>G54+'22'!H54</f>
        <v>6298</v>
      </c>
      <c r="I54" s="95"/>
      <c r="J54" s="175">
        <f>H54/DAY(B2)</f>
        <v>273.82608695652175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429042</v>
      </c>
      <c r="F55" s="145">
        <v>430992</v>
      </c>
      <c r="G55" s="112">
        <f t="shared" si="4"/>
        <v>1950</v>
      </c>
      <c r="H55" s="99">
        <f>G55+'22'!H55</f>
        <v>68215</v>
      </c>
      <c r="I55" s="95"/>
      <c r="J55" s="175">
        <f>H55/DAY(B2)</f>
        <v>2965.8695652173915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123882</v>
      </c>
      <c r="F56" s="145">
        <v>123882</v>
      </c>
      <c r="G56" s="112">
        <f t="shared" si="4"/>
        <v>0</v>
      </c>
      <c r="H56" s="99">
        <f>G56+'22'!H56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295064</v>
      </c>
      <c r="F57" s="145">
        <v>298164</v>
      </c>
      <c r="G57" s="112">
        <f t="shared" si="4"/>
        <v>3100</v>
      </c>
      <c r="H57" s="99">
        <f>G57+'22'!H57</f>
        <v>71994</v>
      </c>
      <c r="I57" s="95"/>
      <c r="J57" s="175">
        <f>H57/DAY(B2)</f>
        <v>3130.1739130434785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54732</v>
      </c>
      <c r="F58" s="145">
        <v>54973</v>
      </c>
      <c r="G58" s="112">
        <f t="shared" si="4"/>
        <v>241</v>
      </c>
      <c r="H58" s="99">
        <f>G58+'22'!H58</f>
        <v>5864</v>
      </c>
      <c r="I58" s="95"/>
      <c r="J58" s="175">
        <f>H58/DAY(B2)</f>
        <v>254.95652173913044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15524</v>
      </c>
      <c r="H59" s="99">
        <f>G59+'22'!H59</f>
        <v>396080.00000000012</v>
      </c>
      <c r="I59" s="95">
        <f>G7-G60</f>
        <v>-64.03000000002794</v>
      </c>
      <c r="J59" s="175">
        <f>H59/DAY(B2)</f>
        <v>17220.869565217396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23673.030000000028</v>
      </c>
      <c r="H60" s="99">
        <f>G60+'22'!H60</f>
        <v>570203.03</v>
      </c>
      <c r="I60" s="95">
        <f>G13-G60</f>
        <v>-700.03000000002794</v>
      </c>
      <c r="J60" s="175">
        <f>H60/DAY(B2)</f>
        <v>24791.436086956524</v>
      </c>
      <c r="K60" s="79"/>
      <c r="L60" s="66"/>
      <c r="N60" s="87"/>
      <c r="O60" s="71"/>
    </row>
    <row r="61" spans="1:15" s="68" customFormat="1" ht="30.75" customHeight="1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919" t="s">
        <v>198</v>
      </c>
      <c r="B62" s="920"/>
      <c r="C62" s="921"/>
      <c r="D62" s="151" t="s">
        <v>142</v>
      </c>
      <c r="E62" s="95">
        <f>'22'!F62</f>
        <v>298635</v>
      </c>
      <c r="F62" s="122">
        <v>298751</v>
      </c>
      <c r="G62" s="112">
        <f t="shared" ref="G62:G63" si="5">F62-E62</f>
        <v>116</v>
      </c>
      <c r="H62" s="99">
        <f>G62+'22'!H62</f>
        <v>2476</v>
      </c>
      <c r="I62" s="118"/>
      <c r="J62" s="175">
        <f>H62/DAY(B2)</f>
        <v>107.65217391304348</v>
      </c>
      <c r="K62" s="80"/>
      <c r="L62" s="66"/>
      <c r="N62" s="87"/>
      <c r="O62" s="71"/>
    </row>
    <row r="63" spans="1:15" ht="30.75" customHeight="1">
      <c r="A63" s="919" t="s">
        <v>199</v>
      </c>
      <c r="B63" s="920"/>
      <c r="C63" s="921"/>
      <c r="D63" s="151" t="s">
        <v>142</v>
      </c>
      <c r="E63" s="95">
        <f>'22'!F63</f>
        <v>241722</v>
      </c>
      <c r="F63" s="122">
        <v>241808</v>
      </c>
      <c r="G63" s="112">
        <f t="shared" si="5"/>
        <v>86</v>
      </c>
      <c r="H63" s="99">
        <f>G63+'22'!H63</f>
        <v>2675</v>
      </c>
      <c r="I63" s="118"/>
      <c r="J63" s="175">
        <f>H63/DAY(B2)</f>
        <v>116.30434782608695</v>
      </c>
      <c r="K63" s="69"/>
      <c r="L63" s="66"/>
      <c r="N63" s="87"/>
      <c r="O63" s="71"/>
    </row>
    <row r="64" spans="1:15" ht="30.75" customHeight="1">
      <c r="A64" s="928" t="s">
        <v>200</v>
      </c>
      <c r="B64" s="929"/>
      <c r="C64" s="930"/>
      <c r="D64" s="151"/>
      <c r="E64" s="95">
        <f>'22'!F64</f>
        <v>0</v>
      </c>
      <c r="F64" s="122"/>
      <c r="G64" s="112">
        <f>G62+G63</f>
        <v>202</v>
      </c>
      <c r="H64" s="99">
        <f>G64+'22'!H64</f>
        <v>5151</v>
      </c>
      <c r="I64" s="118"/>
      <c r="J64" s="175">
        <f>H64/DAY(B2)</f>
        <v>223.95652173913044</v>
      </c>
      <c r="K64" s="69"/>
      <c r="L64" s="66"/>
      <c r="N64" s="87"/>
      <c r="O64" s="71"/>
    </row>
    <row r="65" spans="1:15" ht="30.75" customHeight="1">
      <c r="A65" s="919" t="s">
        <v>201</v>
      </c>
      <c r="B65" s="920"/>
      <c r="C65" s="921"/>
      <c r="D65" s="151" t="s">
        <v>142</v>
      </c>
      <c r="E65" s="95">
        <f>'22'!F65</f>
        <v>456957</v>
      </c>
      <c r="F65" s="122">
        <v>457047</v>
      </c>
      <c r="G65" s="112">
        <f t="shared" ref="G65:G70" si="6">F65-E65</f>
        <v>90</v>
      </c>
      <c r="H65" s="99">
        <f>G65+'22'!H65</f>
        <v>2337</v>
      </c>
      <c r="I65" s="118"/>
      <c r="J65" s="175">
        <f>H65/DAY(B2)</f>
        <v>101.60869565217391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112201</v>
      </c>
      <c r="F66" s="122">
        <v>112217</v>
      </c>
      <c r="G66" s="112">
        <f t="shared" si="6"/>
        <v>16</v>
      </c>
      <c r="H66" s="99">
        <f>G66+'22'!H66</f>
        <v>495</v>
      </c>
      <c r="I66" s="118"/>
      <c r="J66" s="175">
        <f>H66/DAY(B2)</f>
        <v>21.521739130434781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114041</v>
      </c>
      <c r="F67" s="150">
        <v>114058</v>
      </c>
      <c r="G67" s="112">
        <f t="shared" si="6"/>
        <v>17</v>
      </c>
      <c r="H67" s="99">
        <f>G67+'22'!H67</f>
        <v>378</v>
      </c>
      <c r="I67" s="118"/>
      <c r="J67" s="175">
        <f>H67/DAY(B2)</f>
        <v>16.434782608695652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165286</v>
      </c>
      <c r="F68" s="122">
        <v>165294</v>
      </c>
      <c r="G68" s="112">
        <f t="shared" si="6"/>
        <v>8</v>
      </c>
      <c r="H68" s="99">
        <f>G68+'22'!H68</f>
        <v>632</v>
      </c>
      <c r="I68" s="118"/>
      <c r="J68" s="175">
        <f>H68/DAY(B2)</f>
        <v>27.478260869565219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12401</v>
      </c>
      <c r="F69" s="122">
        <v>12406</v>
      </c>
      <c r="G69" s="112">
        <f t="shared" si="6"/>
        <v>5</v>
      </c>
      <c r="H69" s="99">
        <f>G69+'22'!H69</f>
        <v>131</v>
      </c>
      <c r="I69" s="118"/>
      <c r="J69" s="175">
        <f>H69/DAY(B2)</f>
        <v>5.6956521739130439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10033</v>
      </c>
      <c r="F70" s="150">
        <v>10040</v>
      </c>
      <c r="G70" s="112">
        <f t="shared" si="6"/>
        <v>7</v>
      </c>
      <c r="H70" s="99">
        <f>G70+'22'!H70</f>
        <v>213</v>
      </c>
      <c r="I70" s="118"/>
      <c r="J70" s="175">
        <f>H70/DAY(B2)</f>
        <v>9.2608695652173907</v>
      </c>
      <c r="K70" s="69"/>
      <c r="L70" s="66"/>
      <c r="N70" s="87"/>
      <c r="O70" s="71"/>
    </row>
    <row r="71" spans="1:15" ht="30.75" customHeight="1">
      <c r="A71" s="928" t="s">
        <v>208</v>
      </c>
      <c r="B71" s="929"/>
      <c r="C71" s="930"/>
      <c r="D71" s="152"/>
      <c r="E71" s="152"/>
      <c r="F71" s="152"/>
      <c r="G71" s="153">
        <f>SUM(G65:G70)</f>
        <v>143</v>
      </c>
      <c r="H71" s="99">
        <f>G71+'22'!H71</f>
        <v>4186</v>
      </c>
      <c r="I71" s="154"/>
      <c r="J71" s="175">
        <f>H71/DAY(B2)</f>
        <v>182</v>
      </c>
      <c r="K71" s="69"/>
      <c r="L71" s="66"/>
      <c r="N71" s="87"/>
      <c r="O71" s="71"/>
    </row>
    <row r="72" spans="1:15" s="88" customFormat="1" ht="30.75" customHeight="1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919" t="s">
        <v>220</v>
      </c>
      <c r="B74" s="920"/>
      <c r="C74" s="921"/>
      <c r="D74" s="151" t="s">
        <v>139</v>
      </c>
      <c r="E74" s="95">
        <f>'22'!F74</f>
        <v>964597</v>
      </c>
      <c r="F74" s="117">
        <v>964903</v>
      </c>
      <c r="G74" s="112">
        <f t="shared" ref="G74:G78" si="7">F74-E74</f>
        <v>306</v>
      </c>
      <c r="H74" s="99">
        <f>G74+'22'!H74</f>
        <v>7245.140000000014</v>
      </c>
      <c r="I74" s="154"/>
      <c r="J74" s="175">
        <f>H74/DAY(B2)</f>
        <v>315.00608695652232</v>
      </c>
      <c r="K74" s="69"/>
      <c r="L74" s="66"/>
      <c r="N74" s="87"/>
      <c r="O74" s="71"/>
    </row>
    <row r="75" spans="1:15" ht="30.75" customHeight="1">
      <c r="A75" s="919" t="s">
        <v>221</v>
      </c>
      <c r="B75" s="920"/>
      <c r="C75" s="921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6" t="s">
        <v>222</v>
      </c>
      <c r="B76" s="917"/>
      <c r="C76" s="918"/>
      <c r="D76" s="151" t="s">
        <v>139</v>
      </c>
      <c r="E76" s="95">
        <f>'22'!F76</f>
        <v>192562</v>
      </c>
      <c r="F76" s="123">
        <v>192651</v>
      </c>
      <c r="G76" s="112">
        <f t="shared" si="7"/>
        <v>89</v>
      </c>
      <c r="H76" s="99">
        <f>G76+'22'!H76</f>
        <v>2479</v>
      </c>
      <c r="I76" s="154"/>
      <c r="J76" s="175">
        <f>H76/DAY(B2)</f>
        <v>107.78260869565217</v>
      </c>
      <c r="K76" s="69"/>
      <c r="L76" s="66"/>
      <c r="N76" s="87"/>
      <c r="O76" s="71"/>
    </row>
    <row r="77" spans="1:15" ht="30.75" customHeight="1">
      <c r="A77" s="916" t="s">
        <v>223</v>
      </c>
      <c r="B77" s="917"/>
      <c r="C77" s="918"/>
      <c r="D77" s="151" t="s">
        <v>139</v>
      </c>
      <c r="E77" s="95">
        <f>'22'!F77</f>
        <v>51416</v>
      </c>
      <c r="F77" s="123">
        <v>51456</v>
      </c>
      <c r="G77" s="112">
        <f t="shared" si="7"/>
        <v>40</v>
      </c>
      <c r="H77" s="99">
        <f>G77+'22'!H77</f>
        <v>1143</v>
      </c>
      <c r="I77" s="154"/>
      <c r="J77" s="175">
        <f>H77/DAY(B2)</f>
        <v>49.695652173913047</v>
      </c>
      <c r="K77" s="69"/>
      <c r="L77" s="66"/>
      <c r="N77" s="87"/>
      <c r="O77" s="71"/>
    </row>
    <row r="78" spans="1:15" ht="30.75" customHeight="1">
      <c r="A78" s="916" t="s">
        <v>224</v>
      </c>
      <c r="B78" s="917"/>
      <c r="C78" s="918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16" t="s">
        <v>225</v>
      </c>
      <c r="B79" s="917"/>
      <c r="C79" s="918"/>
      <c r="D79" s="151"/>
      <c r="E79" s="95">
        <f>'22'!F79</f>
        <v>0</v>
      </c>
      <c r="F79" s="123"/>
      <c r="G79" s="112">
        <f>G15-SUM(G74:G78)</f>
        <v>516</v>
      </c>
      <c r="H79" s="99">
        <f>G79+'22'!H79</f>
        <v>12581.859999999986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28" t="s">
        <v>329</v>
      </c>
      <c r="B80" s="929"/>
      <c r="C80" s="930"/>
      <c r="D80" s="151"/>
      <c r="E80" s="117"/>
      <c r="F80" s="117"/>
      <c r="G80" s="112">
        <f>SUM(G74:G79)</f>
        <v>951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71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71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42801</v>
      </c>
      <c r="F84" s="164">
        <v>42801</v>
      </c>
      <c r="G84" s="112">
        <f t="shared" si="8"/>
        <v>0</v>
      </c>
      <c r="H84" s="99">
        <f>G84+'22'!H84</f>
        <v>172</v>
      </c>
      <c r="I84" s="571"/>
      <c r="J84" s="175">
        <f>H84/DAY(B2)</f>
        <v>7.4782608695652177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5289</v>
      </c>
      <c r="F85" s="164">
        <v>5310</v>
      </c>
      <c r="G85" s="112">
        <f t="shared" si="8"/>
        <v>21</v>
      </c>
      <c r="H85" s="99">
        <f>G85+'22'!H85</f>
        <v>169.8100000000004</v>
      </c>
      <c r="I85" s="571"/>
      <c r="J85" s="175">
        <f>H85/DAY(B2)</f>
        <v>7.3830434782608867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45823.58</v>
      </c>
      <c r="F86" s="164">
        <v>45838.58</v>
      </c>
      <c r="G86" s="112">
        <f t="shared" si="8"/>
        <v>15</v>
      </c>
      <c r="H86" s="99">
        <f>G86+'22'!H86</f>
        <v>459.58000000000175</v>
      </c>
      <c r="I86" s="571"/>
      <c r="J86" s="175">
        <f>H86/DAY(B2)</f>
        <v>19.981739130434857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35481</v>
      </c>
      <c r="F87" s="164">
        <v>35481</v>
      </c>
      <c r="G87" s="112">
        <f t="shared" si="8"/>
        <v>0</v>
      </c>
      <c r="H87" s="99">
        <f>G87+'22'!H87</f>
        <v>23.569999999999709</v>
      </c>
      <c r="I87" s="571">
        <f>G84+G85+G86+G87</f>
        <v>36</v>
      </c>
      <c r="J87" s="175">
        <f>H87/DAY(B2)</f>
        <v>1.0247826086956395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24329.5</v>
      </c>
      <c r="F88" s="164">
        <v>24335</v>
      </c>
      <c r="G88" s="112">
        <f t="shared" si="8"/>
        <v>5.5</v>
      </c>
      <c r="H88" s="99">
        <f>G88+'22'!H88</f>
        <v>31.540000000000873</v>
      </c>
      <c r="I88" s="571"/>
      <c r="J88" s="175">
        <f>H88/DAY(B2)</f>
        <v>1.3713043478261249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27733.89</v>
      </c>
      <c r="F89" s="164">
        <v>27737</v>
      </c>
      <c r="G89" s="112">
        <f t="shared" si="8"/>
        <v>3.1100000000005821</v>
      </c>
      <c r="H89" s="99">
        <f>G89+'22'!H89</f>
        <v>170.38999999999942</v>
      </c>
      <c r="I89" s="571">
        <f>G88+G89</f>
        <v>8.6100000000005821</v>
      </c>
      <c r="J89" s="175">
        <f>H89/DAY(B2)</f>
        <v>7.4082608695651917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72843.91</v>
      </c>
      <c r="F90" s="164">
        <v>72854</v>
      </c>
      <c r="G90" s="112">
        <f t="shared" si="8"/>
        <v>10.089999999996508</v>
      </c>
      <c r="H90" s="99">
        <f>G90+'22'!H90</f>
        <v>247.44999999999709</v>
      </c>
      <c r="I90" s="571">
        <f>G90</f>
        <v>10.089999999996508</v>
      </c>
      <c r="J90" s="175">
        <f>H90/DAY(B2)</f>
        <v>10.758695652173786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4289.54</v>
      </c>
      <c r="F91" s="122">
        <v>4289.54</v>
      </c>
      <c r="G91" s="112">
        <f t="shared" si="8"/>
        <v>0</v>
      </c>
      <c r="H91" s="99">
        <f>G91+'22'!H91</f>
        <v>0</v>
      </c>
      <c r="I91" s="590"/>
      <c r="J91" s="175">
        <f>H91/DAY(B2)</f>
        <v>0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6962.49</v>
      </c>
      <c r="F92" s="122">
        <v>6973.45</v>
      </c>
      <c r="G92" s="112">
        <f t="shared" si="8"/>
        <v>10.960000000000036</v>
      </c>
      <c r="H92" s="99">
        <f>G92+'22'!H92</f>
        <v>256.11999999999989</v>
      </c>
      <c r="I92" s="596">
        <f>G91+G92</f>
        <v>10.960000000000036</v>
      </c>
      <c r="J92" s="175">
        <f>H92/DAY(B2)</f>
        <v>11.135652173913039</v>
      </c>
      <c r="O92" s="71"/>
    </row>
    <row r="93" spans="1:15" ht="30.75" customHeight="1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6811.0300000000279</v>
      </c>
      <c r="H94" s="99">
        <f>G94+'22'!H94</f>
        <v>162710.03000000003</v>
      </c>
      <c r="I94" s="118"/>
      <c r="J94" s="175">
        <f>H94/DAY(B2)</f>
        <v>7074.3491304347835</v>
      </c>
      <c r="K94" s="69"/>
      <c r="L94" s="66"/>
      <c r="O94" s="71"/>
    </row>
    <row r="95" spans="1:15" ht="30.75" customHeight="1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0.28849294760472821</v>
      </c>
      <c r="H95" s="99">
        <f>G95+'22'!H95</f>
        <v>6.3333012547957921</v>
      </c>
      <c r="I95" s="167"/>
      <c r="J95" s="175">
        <f>H95/DAY(B2)</f>
        <v>0.27536092412155616</v>
      </c>
      <c r="K95" s="69"/>
      <c r="L95" s="66"/>
      <c r="O95" s="71"/>
    </row>
    <row r="96" spans="1:15" ht="30.75" customHeight="1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6427</v>
      </c>
      <c r="H96" s="99">
        <f>G96+'22'!H96</f>
        <v>151983</v>
      </c>
      <c r="I96" s="118"/>
      <c r="J96" s="175">
        <f>H96/DAY(B2)</f>
        <v>6607.95652173913</v>
      </c>
      <c r="K96" s="69"/>
      <c r="L96" s="66"/>
      <c r="O96" s="71"/>
    </row>
    <row r="97" spans="1:15" ht="30.75" customHeight="1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0.27222669321021642</v>
      </c>
      <c r="H97" s="99">
        <f>G97+'22'!H97</f>
        <v>5.8839740060414591</v>
      </c>
      <c r="I97" s="167"/>
      <c r="J97" s="175">
        <f>H97/DAY(B2)</f>
        <v>0.25582495678441125</v>
      </c>
      <c r="K97" s="69"/>
      <c r="L97" s="66"/>
      <c r="O97" s="71"/>
    </row>
    <row r="98" spans="1:15" ht="30.75" customHeight="1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3942</v>
      </c>
      <c r="H98" s="99">
        <f>G98+'22'!H98</f>
        <v>100183</v>
      </c>
      <c r="I98" s="168"/>
      <c r="J98" s="175">
        <f>H98/DAY(B2)</f>
        <v>4355.782608695652</v>
      </c>
      <c r="K98" s="69"/>
      <c r="L98" s="66"/>
      <c r="O98" s="71"/>
    </row>
    <row r="99" spans="1:15" ht="30.75" customHeight="1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0.1669702232199585</v>
      </c>
      <c r="H99" s="99">
        <f>G99+'22'!H99</f>
        <v>3.8973159553453742</v>
      </c>
      <c r="I99" s="168"/>
      <c r="J99" s="175">
        <f>H99/DAY(B2)</f>
        <v>0.16944851979762496</v>
      </c>
      <c r="O99" s="71"/>
    </row>
    <row r="100" spans="1:15" ht="30.75" customHeight="1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2132</v>
      </c>
      <c r="H100" s="99">
        <f>G100+'22'!H100</f>
        <v>51098</v>
      </c>
      <c r="I100" s="118"/>
      <c r="J100" s="175">
        <f>H100/DAY(B2)</f>
        <v>2221.6521739130435</v>
      </c>
      <c r="K100" s="70"/>
      <c r="O100" s="71"/>
    </row>
    <row r="101" spans="1:15" ht="30.75" customHeight="1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9.0304544876953705E-2</v>
      </c>
      <c r="H101" s="99">
        <f>G101+'22'!H101</f>
        <v>1.9879685204541566</v>
      </c>
      <c r="I101" s="168"/>
      <c r="J101" s="175">
        <f>H101/DAY(B2)</f>
        <v>8.6433413932789416E-2</v>
      </c>
      <c r="O101" s="71"/>
    </row>
    <row r="102" spans="1:15" ht="30.75" customHeight="1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2122</v>
      </c>
      <c r="H102" s="99">
        <f>G102+'22'!H102</f>
        <v>48190</v>
      </c>
      <c r="I102" s="168"/>
      <c r="J102" s="175">
        <f>H102/DAY(B2)</f>
        <v>2095.217391304348</v>
      </c>
      <c r="O102" s="71"/>
    </row>
    <row r="103" spans="1:15" ht="30.75" customHeight="1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8.9880977593290695E-2</v>
      </c>
      <c r="H103" s="99">
        <f>G103+'22'!H103</f>
        <v>1.8655160751972844</v>
      </c>
      <c r="I103" s="118"/>
      <c r="J103" s="175">
        <f>H103/DAY(B2)</f>
        <v>8.1109394573794971E-2</v>
      </c>
      <c r="O103" s="71"/>
    </row>
    <row r="104" spans="1:15" ht="30.75" customHeight="1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985</v>
      </c>
      <c r="H104" s="99">
        <f>G104+'22'!H104</f>
        <v>24048</v>
      </c>
      <c r="I104" s="118"/>
      <c r="J104" s="175">
        <f>H104/DAY(B2)</f>
        <v>1045.5652173913043</v>
      </c>
      <c r="O104" s="71"/>
    </row>
    <row r="105" spans="1:15" ht="30.75" customHeight="1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4.1721377440806472E-2</v>
      </c>
      <c r="H105" s="99">
        <f>G105+'22'!H105</f>
        <v>0.9352753825501855</v>
      </c>
      <c r="I105" s="187"/>
      <c r="J105" s="188">
        <f>H105/DAY(B2)</f>
        <v>4.0664147067399369E-2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30.75" customHeight="1">
      <c r="A109" s="936"/>
      <c r="B109" s="936"/>
    </row>
    <row r="110" spans="1:15" ht="30.75" customHeight="1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30.75" customHeight="1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98" t="s">
        <v>252</v>
      </c>
      <c r="B112" s="899"/>
      <c r="C112" s="900"/>
      <c r="D112" s="146" t="s">
        <v>183</v>
      </c>
      <c r="E112" s="95">
        <f>'22'!F112</f>
        <v>8850</v>
      </c>
      <c r="F112" s="237">
        <v>8923</v>
      </c>
      <c r="G112" s="112">
        <f t="shared" ref="G112:G123" si="9">F112-E112</f>
        <v>73</v>
      </c>
      <c r="H112" s="99">
        <f>G112+'22'!H112</f>
        <v>4121.33</v>
      </c>
      <c r="I112" s="165"/>
      <c r="J112" s="328">
        <f>H112/DAY(B2)</f>
        <v>179.18826086956523</v>
      </c>
    </row>
    <row r="113" spans="1:18" ht="30.75" customHeight="1">
      <c r="A113" s="898" t="s">
        <v>253</v>
      </c>
      <c r="B113" s="899"/>
      <c r="C113" s="900"/>
      <c r="D113" s="146" t="s">
        <v>183</v>
      </c>
      <c r="E113" s="95">
        <f>'22'!F113</f>
        <v>18097</v>
      </c>
      <c r="F113" s="237">
        <v>18237</v>
      </c>
      <c r="G113" s="112">
        <f t="shared" si="9"/>
        <v>140</v>
      </c>
      <c r="H113" s="99">
        <f>G113+'22'!H113</f>
        <v>3222</v>
      </c>
      <c r="I113" s="165"/>
      <c r="J113" s="328">
        <f>H113/DAY(B2)</f>
        <v>140.08695652173913</v>
      </c>
    </row>
    <row r="114" spans="1:18" ht="30.75" customHeight="1">
      <c r="A114" s="898" t="s">
        <v>254</v>
      </c>
      <c r="B114" s="899"/>
      <c r="C114" s="900"/>
      <c r="D114" s="146" t="s">
        <v>183</v>
      </c>
      <c r="E114" s="95">
        <f>'22'!F114</f>
        <v>26101</v>
      </c>
      <c r="F114" s="237">
        <v>26325</v>
      </c>
      <c r="G114" s="112">
        <f t="shared" si="9"/>
        <v>224</v>
      </c>
      <c r="H114" s="99">
        <f>G114+'22'!H114</f>
        <v>5057</v>
      </c>
      <c r="I114" s="165"/>
      <c r="J114" s="328">
        <f>H114/DAY(B2)</f>
        <v>219.86956521739131</v>
      </c>
    </row>
    <row r="115" spans="1:18" ht="30.75" customHeight="1">
      <c r="A115" s="898" t="s">
        <v>255</v>
      </c>
      <c r="B115" s="899"/>
      <c r="C115" s="900"/>
      <c r="D115" s="146" t="s">
        <v>183</v>
      </c>
      <c r="E115" s="95">
        <f>'22'!F115</f>
        <v>16288</v>
      </c>
      <c r="F115" s="237">
        <v>16387</v>
      </c>
      <c r="G115" s="112">
        <f t="shared" si="9"/>
        <v>99</v>
      </c>
      <c r="H115" s="99">
        <f>G115+'22'!H115</f>
        <v>2811.5200000000004</v>
      </c>
      <c r="I115" s="165"/>
      <c r="J115" s="328">
        <f>H115/DAY(B2)</f>
        <v>122.24000000000002</v>
      </c>
    </row>
    <row r="116" spans="1:18" ht="30.75" customHeight="1">
      <c r="A116" s="905" t="s">
        <v>96</v>
      </c>
      <c r="B116" s="906"/>
      <c r="C116" s="907"/>
      <c r="D116" s="146" t="s">
        <v>183</v>
      </c>
      <c r="E116" s="95">
        <f>'22'!F116</f>
        <v>79864</v>
      </c>
      <c r="F116" s="237">
        <v>80122</v>
      </c>
      <c r="G116" s="112">
        <f t="shared" si="9"/>
        <v>258</v>
      </c>
      <c r="H116" s="99">
        <f>G116+'22'!H116</f>
        <v>9630</v>
      </c>
      <c r="I116" s="165"/>
      <c r="J116" s="328">
        <f>H116/DAY(B2)</f>
        <v>418.69565217391306</v>
      </c>
      <c r="Q116" s="898" t="s">
        <v>311</v>
      </c>
      <c r="R116" s="900"/>
    </row>
    <row r="117" spans="1:18" ht="30.75" customHeight="1">
      <c r="A117" s="905" t="s">
        <v>184</v>
      </c>
      <c r="B117" s="906"/>
      <c r="C117" s="907"/>
      <c r="D117" s="146" t="s">
        <v>183</v>
      </c>
      <c r="E117" s="95">
        <f>'22'!F117</f>
        <v>46214</v>
      </c>
      <c r="F117" s="237">
        <v>46491</v>
      </c>
      <c r="G117" s="112">
        <f t="shared" si="9"/>
        <v>277</v>
      </c>
      <c r="H117" s="99">
        <f>G117+'22'!H117</f>
        <v>5569</v>
      </c>
      <c r="I117" s="165"/>
      <c r="J117" s="328">
        <f>H117/DAY(B2)</f>
        <v>242.13043478260869</v>
      </c>
      <c r="Q117" s="898" t="s">
        <v>312</v>
      </c>
      <c r="R117" s="900"/>
    </row>
    <row r="118" spans="1:18" ht="30.75" customHeight="1">
      <c r="A118" s="897" t="s">
        <v>97</v>
      </c>
      <c r="B118" s="897"/>
      <c r="C118" s="897"/>
      <c r="D118" s="151" t="s">
        <v>183</v>
      </c>
      <c r="E118" s="95">
        <f>'22'!F118</f>
        <v>77738</v>
      </c>
      <c r="F118" s="237">
        <v>78322</v>
      </c>
      <c r="G118" s="112">
        <f t="shared" si="9"/>
        <v>584</v>
      </c>
      <c r="H118" s="99">
        <f>G118+'22'!H118</f>
        <v>13650</v>
      </c>
      <c r="I118" s="165"/>
      <c r="J118" s="328">
        <f>H118/DAY(B2)</f>
        <v>593.47826086956525</v>
      </c>
      <c r="Q118" s="898" t="s">
        <v>311</v>
      </c>
      <c r="R118" s="900"/>
    </row>
    <row r="119" spans="1:18" ht="30.75" customHeight="1">
      <c r="A119" s="897" t="s">
        <v>98</v>
      </c>
      <c r="B119" s="897"/>
      <c r="C119" s="897"/>
      <c r="D119" s="151" t="s">
        <v>183</v>
      </c>
      <c r="E119" s="95">
        <f>'22'!F119</f>
        <v>41877</v>
      </c>
      <c r="F119" s="237">
        <v>41908</v>
      </c>
      <c r="G119" s="112">
        <f t="shared" si="9"/>
        <v>31</v>
      </c>
      <c r="H119" s="99">
        <f>G119+'22'!H119</f>
        <v>4459</v>
      </c>
      <c r="I119" s="165"/>
      <c r="J119" s="328">
        <f>H119/DAY(B2)</f>
        <v>193.86956521739131</v>
      </c>
    </row>
    <row r="120" spans="1:18" ht="30.75" customHeight="1">
      <c r="A120" s="897" t="s">
        <v>99</v>
      </c>
      <c r="B120" s="897"/>
      <c r="C120" s="897"/>
      <c r="D120" s="151" t="s">
        <v>183</v>
      </c>
      <c r="E120" s="95">
        <f>'22'!F120</f>
        <v>55350</v>
      </c>
      <c r="F120" s="237">
        <v>55755</v>
      </c>
      <c r="G120" s="112">
        <f t="shared" si="9"/>
        <v>405</v>
      </c>
      <c r="H120" s="99">
        <f>G120+'22'!H120</f>
        <v>9488</v>
      </c>
      <c r="I120" s="165"/>
      <c r="J120" s="328">
        <f>H120/DAY(B2)</f>
        <v>412.52173913043481</v>
      </c>
    </row>
    <row r="121" spans="1:18" ht="30.75" customHeight="1">
      <c r="A121" s="897" t="s">
        <v>100</v>
      </c>
      <c r="B121" s="897"/>
      <c r="C121" s="897"/>
      <c r="D121" s="151" t="s">
        <v>183</v>
      </c>
      <c r="E121" s="95">
        <f>'22'!F121</f>
        <v>63803</v>
      </c>
      <c r="F121" s="237">
        <v>64249</v>
      </c>
      <c r="G121" s="112">
        <f t="shared" si="9"/>
        <v>446</v>
      </c>
      <c r="H121" s="99">
        <f>G121+'22'!H121</f>
        <v>10706</v>
      </c>
      <c r="I121" s="165"/>
      <c r="J121" s="328">
        <f>H121/DAY(B2)</f>
        <v>465.47826086956519</v>
      </c>
    </row>
    <row r="122" spans="1:18" ht="30.75" customHeight="1">
      <c r="A122" s="897" t="s">
        <v>101</v>
      </c>
      <c r="B122" s="897"/>
      <c r="C122" s="897"/>
      <c r="D122" s="151" t="s">
        <v>183</v>
      </c>
      <c r="E122" s="95">
        <f>'22'!F122</f>
        <v>35830</v>
      </c>
      <c r="F122" s="237">
        <v>36158</v>
      </c>
      <c r="G122" s="112">
        <f t="shared" si="9"/>
        <v>328</v>
      </c>
      <c r="H122" s="99">
        <f>G122+'22'!H122</f>
        <v>7484</v>
      </c>
      <c r="I122" s="165"/>
      <c r="J122" s="328">
        <f>H122/DAY(B2)</f>
        <v>325.39130434782606</v>
      </c>
    </row>
    <row r="123" spans="1:18" ht="30.75" customHeight="1">
      <c r="A123" s="897" t="s">
        <v>102</v>
      </c>
      <c r="B123" s="897"/>
      <c r="C123" s="897"/>
      <c r="D123" s="151" t="s">
        <v>183</v>
      </c>
      <c r="E123" s="95">
        <f>'22'!F123</f>
        <v>37354</v>
      </c>
      <c r="F123" s="237">
        <v>37685</v>
      </c>
      <c r="G123" s="112">
        <f t="shared" si="9"/>
        <v>331</v>
      </c>
      <c r="H123" s="99">
        <f>G123+'22'!H123</f>
        <v>7497</v>
      </c>
      <c r="I123" s="165"/>
      <c r="J123" s="328">
        <f>H123/DAY(B2)</f>
        <v>325.95652173913044</v>
      </c>
    </row>
    <row r="124" spans="1:18" ht="30.75" customHeight="1">
      <c r="A124" s="902"/>
      <c r="B124" s="903"/>
      <c r="C124" s="904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880" t="s">
        <v>196</v>
      </c>
      <c r="B125" s="881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-746</v>
      </c>
      <c r="J125" s="327"/>
    </row>
    <row r="126" spans="1:18" ht="30.75" customHeight="1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30.75" customHeight="1">
      <c r="A127" s="885"/>
      <c r="B127" s="885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898" t="s">
        <v>318</v>
      </c>
      <c r="B128" s="899"/>
      <c r="C128" s="900"/>
      <c r="D128" s="151" t="s">
        <v>183</v>
      </c>
      <c r="E128" s="95">
        <f>'22'!F128</f>
        <v>138310</v>
      </c>
      <c r="F128" s="155">
        <v>138683</v>
      </c>
      <c r="G128" s="112">
        <f t="shared" ref="G128:G134" si="10">F128-E128</f>
        <v>373</v>
      </c>
      <c r="H128" s="99">
        <f>G128+'22'!H128</f>
        <v>11039</v>
      </c>
      <c r="I128" s="165"/>
      <c r="J128" s="328">
        <f>H128/DAY(B2)</f>
        <v>479.95652173913044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76830</v>
      </c>
      <c r="F129" s="155">
        <v>77033</v>
      </c>
      <c r="G129" s="112">
        <f t="shared" si="10"/>
        <v>203</v>
      </c>
      <c r="H129" s="99">
        <f>G129+'22'!H129</f>
        <v>4530</v>
      </c>
      <c r="I129" s="165"/>
      <c r="J129" s="328">
        <f>H129/DAY(B2)</f>
        <v>196.95652173913044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179803</v>
      </c>
      <c r="F130" s="155">
        <v>180406</v>
      </c>
      <c r="G130" s="112">
        <f t="shared" si="10"/>
        <v>603</v>
      </c>
      <c r="H130" s="99">
        <f>G130+'22'!H130</f>
        <v>15270.479999999981</v>
      </c>
      <c r="I130" s="165"/>
      <c r="J130" s="328">
        <f>H130/DAY(B2)</f>
        <v>663.93391304347745</v>
      </c>
      <c r="N130" s="240"/>
      <c r="O130" s="241"/>
    </row>
    <row r="131" spans="1:15" ht="30.75" customHeight="1">
      <c r="A131" s="898" t="s">
        <v>321</v>
      </c>
      <c r="B131" s="899"/>
      <c r="C131" s="900"/>
      <c r="D131" s="151" t="s">
        <v>183</v>
      </c>
      <c r="E131" s="95">
        <f>'22'!F131</f>
        <v>52562</v>
      </c>
      <c r="F131" s="155">
        <v>52717</v>
      </c>
      <c r="G131" s="112">
        <f t="shared" si="10"/>
        <v>155</v>
      </c>
      <c r="H131" s="99">
        <f>G131+'22'!H131</f>
        <v>4268</v>
      </c>
      <c r="I131" s="165"/>
      <c r="J131" s="328">
        <f>H131/DAY(B2)</f>
        <v>185.56521739130434</v>
      </c>
      <c r="N131" s="240"/>
      <c r="O131" s="241"/>
    </row>
    <row r="132" spans="1:15" ht="30.75" customHeight="1">
      <c r="A132" s="898" t="s">
        <v>322</v>
      </c>
      <c r="B132" s="899"/>
      <c r="C132" s="900"/>
      <c r="D132" s="151" t="s">
        <v>183</v>
      </c>
      <c r="E132" s="95">
        <f>'22'!F132</f>
        <v>137206</v>
      </c>
      <c r="F132" s="155">
        <v>137622</v>
      </c>
      <c r="G132" s="112">
        <f t="shared" si="10"/>
        <v>416</v>
      </c>
      <c r="H132" s="99">
        <f>G132+'22'!H132</f>
        <v>9448</v>
      </c>
      <c r="I132" s="165"/>
      <c r="J132" s="328">
        <f>H132/DAY(B2)</f>
        <v>410.78260869565219</v>
      </c>
    </row>
    <row r="133" spans="1:15" ht="30.75" customHeight="1">
      <c r="A133" s="898" t="s">
        <v>359</v>
      </c>
      <c r="B133" s="899"/>
      <c r="C133" s="900"/>
      <c r="D133" s="151" t="s">
        <v>183</v>
      </c>
      <c r="E133" s="95">
        <f>'22'!F133</f>
        <v>232990</v>
      </c>
      <c r="F133" s="155">
        <v>233869</v>
      </c>
      <c r="G133" s="112">
        <f t="shared" si="10"/>
        <v>879</v>
      </c>
      <c r="H133" s="99">
        <f>G133+'22'!H133</f>
        <v>11464.429999999993</v>
      </c>
      <c r="I133" s="165"/>
      <c r="J133" s="328">
        <f>H133/DAY(B2)</f>
        <v>498.45347826086925</v>
      </c>
    </row>
    <row r="134" spans="1:15" ht="30.75" customHeight="1">
      <c r="A134" s="898" t="s">
        <v>340</v>
      </c>
      <c r="B134" s="899"/>
      <c r="C134" s="900"/>
      <c r="D134" s="151" t="s">
        <v>183</v>
      </c>
      <c r="E134" s="95">
        <f>'22'!F134</f>
        <v>53922</v>
      </c>
      <c r="F134" s="374">
        <v>54169</v>
      </c>
      <c r="G134" s="112">
        <f t="shared" si="10"/>
        <v>247</v>
      </c>
      <c r="H134" s="99">
        <f>G134+'22'!H134</f>
        <v>5134</v>
      </c>
      <c r="I134" s="165"/>
      <c r="J134" s="328">
        <f>H134/DAY(B2)</f>
        <v>223.21739130434781</v>
      </c>
    </row>
    <row r="135" spans="1:15" ht="30.75" customHeight="1">
      <c r="A135" s="880" t="s">
        <v>196</v>
      </c>
      <c r="B135" s="881"/>
      <c r="C135" s="331"/>
      <c r="D135" s="151"/>
      <c r="E135" s="95"/>
      <c r="F135" s="465"/>
      <c r="G135" s="112">
        <f>SUM(G128:G134)</f>
        <v>2876</v>
      </c>
      <c r="H135" s="99">
        <f>G135+'10'!H135</f>
        <v>24674.969999999987</v>
      </c>
      <c r="I135" s="327">
        <f>G135-(G35+G49)</f>
        <v>-835</v>
      </c>
      <c r="J135" s="328"/>
    </row>
    <row r="136" spans="1:15" ht="30.75" customHeight="1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97" t="s">
        <v>185</v>
      </c>
      <c r="B138" s="897"/>
      <c r="C138" s="897"/>
      <c r="D138" s="151" t="s">
        <v>183</v>
      </c>
      <c r="E138" s="95">
        <f>'22'!F138</f>
        <v>894174</v>
      </c>
      <c r="F138" s="147">
        <v>894252</v>
      </c>
      <c r="G138" s="112">
        <f t="shared" ref="G138:G152" si="11">F138-E138</f>
        <v>78</v>
      </c>
      <c r="H138" s="99">
        <f>G138+'22'!H138</f>
        <v>3141</v>
      </c>
      <c r="I138" s="118"/>
      <c r="J138" s="328">
        <f>H138/DAY(B2)</f>
        <v>136.56521739130434</v>
      </c>
    </row>
    <row r="139" spans="1:15" ht="30.75" customHeight="1">
      <c r="A139" s="897" t="s">
        <v>186</v>
      </c>
      <c r="B139" s="897"/>
      <c r="C139" s="897"/>
      <c r="D139" s="151" t="s">
        <v>183</v>
      </c>
      <c r="E139" s="95">
        <f>'22'!F139</f>
        <v>912251</v>
      </c>
      <c r="F139" s="148">
        <v>912392</v>
      </c>
      <c r="G139" s="112">
        <f t="shared" si="11"/>
        <v>141</v>
      </c>
      <c r="H139" s="99">
        <f>G139+'22'!H139</f>
        <v>3497</v>
      </c>
      <c r="I139" s="118"/>
      <c r="J139" s="328">
        <f>H139/DAY(B2)</f>
        <v>152.04347826086956</v>
      </c>
    </row>
    <row r="140" spans="1:15" ht="30.75" customHeight="1">
      <c r="A140" s="897" t="s">
        <v>187</v>
      </c>
      <c r="B140" s="897"/>
      <c r="C140" s="897"/>
      <c r="D140" s="151" t="s">
        <v>183</v>
      </c>
      <c r="E140" s="95">
        <f>'22'!F140</f>
        <v>1836</v>
      </c>
      <c r="F140" s="149">
        <v>1851</v>
      </c>
      <c r="G140" s="112">
        <f t="shared" si="11"/>
        <v>15</v>
      </c>
      <c r="H140" s="99">
        <f>G140+'22'!H140</f>
        <v>338</v>
      </c>
      <c r="I140" s="118"/>
      <c r="J140" s="328">
        <f>H140/DAY(B2)</f>
        <v>14.695652173913043</v>
      </c>
    </row>
    <row r="141" spans="1:15" ht="30.75" customHeight="1">
      <c r="A141" s="876" t="s">
        <v>188</v>
      </c>
      <c r="B141" s="876"/>
      <c r="C141" s="876"/>
      <c r="D141" s="151" t="s">
        <v>183</v>
      </c>
      <c r="E141" s="95">
        <f>'22'!F141</f>
        <v>94908</v>
      </c>
      <c r="F141" s="149">
        <v>95130</v>
      </c>
      <c r="G141" s="112">
        <f t="shared" si="11"/>
        <v>222</v>
      </c>
      <c r="H141" s="99">
        <f>G141+'22'!H141</f>
        <v>4678</v>
      </c>
      <c r="I141" s="118"/>
      <c r="J141" s="328">
        <f>H141/DAY(B2)</f>
        <v>203.39130434782609</v>
      </c>
    </row>
    <row r="142" spans="1:15" ht="30.75" customHeight="1">
      <c r="A142" s="876" t="s">
        <v>189</v>
      </c>
      <c r="B142" s="876"/>
      <c r="C142" s="876"/>
      <c r="D142" s="151" t="s">
        <v>183</v>
      </c>
      <c r="E142" s="95">
        <f>'22'!F142</f>
        <v>38487</v>
      </c>
      <c r="F142" s="148">
        <v>38553</v>
      </c>
      <c r="G142" s="112">
        <f t="shared" si="11"/>
        <v>66</v>
      </c>
      <c r="H142" s="99">
        <f>G142+'22'!H142</f>
        <v>1892</v>
      </c>
      <c r="I142" s="140"/>
      <c r="J142" s="328">
        <f>H142/DAY(B2)</f>
        <v>82.260869565217391</v>
      </c>
    </row>
    <row r="143" spans="1:15" ht="30.75" customHeight="1">
      <c r="A143" s="897" t="s">
        <v>91</v>
      </c>
      <c r="B143" s="897"/>
      <c r="C143" s="897"/>
      <c r="D143" s="151" t="s">
        <v>183</v>
      </c>
      <c r="E143" s="95">
        <f>'22'!F143</f>
        <v>9626</v>
      </c>
      <c r="F143" s="149">
        <v>9654</v>
      </c>
      <c r="G143" s="112">
        <f t="shared" si="11"/>
        <v>28</v>
      </c>
      <c r="H143" s="99">
        <f>G143+'22'!H143</f>
        <v>603</v>
      </c>
      <c r="I143" s="140"/>
      <c r="J143" s="328">
        <f>H143/DAY(B2)</f>
        <v>26.217391304347824</v>
      </c>
    </row>
    <row r="144" spans="1:15" ht="30.75" customHeight="1">
      <c r="A144" s="876" t="s">
        <v>90</v>
      </c>
      <c r="B144" s="876"/>
      <c r="C144" s="876"/>
      <c r="D144" s="151" t="s">
        <v>183</v>
      </c>
      <c r="E144" s="95">
        <f>'22'!F144</f>
        <v>924689</v>
      </c>
      <c r="F144" s="149">
        <v>924904</v>
      </c>
      <c r="G144" s="112">
        <f t="shared" si="11"/>
        <v>215</v>
      </c>
      <c r="H144" s="99">
        <f>G144+'22'!H144</f>
        <v>5067</v>
      </c>
      <c r="I144" s="140"/>
      <c r="J144" s="328">
        <f>H144/DAY(B2)</f>
        <v>220.30434782608697</v>
      </c>
    </row>
    <row r="145" spans="1:10" ht="30.75" customHeight="1">
      <c r="A145" s="897" t="s">
        <v>190</v>
      </c>
      <c r="B145" s="897"/>
      <c r="C145" s="897"/>
      <c r="D145" s="152" t="s">
        <v>183</v>
      </c>
      <c r="E145" s="95">
        <f>'22'!F145</f>
        <v>6512</v>
      </c>
      <c r="F145" s="149">
        <v>6570</v>
      </c>
      <c r="G145" s="112">
        <f t="shared" si="11"/>
        <v>58</v>
      </c>
      <c r="H145" s="99">
        <f>G145+'22'!H145</f>
        <v>763</v>
      </c>
      <c r="I145" s="140"/>
      <c r="J145" s="328">
        <f>H145/DAY(B2)</f>
        <v>33.173913043478258</v>
      </c>
    </row>
    <row r="146" spans="1:10" ht="30.75" customHeight="1">
      <c r="A146" s="932" t="s">
        <v>191</v>
      </c>
      <c r="B146" s="917"/>
      <c r="C146" s="918"/>
      <c r="D146" s="152" t="s">
        <v>183</v>
      </c>
      <c r="E146" s="95">
        <f>'22'!F146</f>
        <v>782359</v>
      </c>
      <c r="F146" s="148">
        <v>782407</v>
      </c>
      <c r="G146" s="112">
        <f t="shared" si="11"/>
        <v>48</v>
      </c>
      <c r="H146" s="99">
        <f>G146+'22'!H146</f>
        <v>1607</v>
      </c>
      <c r="I146" s="140"/>
      <c r="J146" s="328">
        <f>H146/DAY(B2)</f>
        <v>69.869565217391298</v>
      </c>
    </row>
    <row r="147" spans="1:10" ht="30.75" customHeight="1">
      <c r="A147" s="876" t="s">
        <v>192</v>
      </c>
      <c r="B147" s="876"/>
      <c r="C147" s="876"/>
      <c r="D147" s="152" t="s">
        <v>183</v>
      </c>
      <c r="E147" s="95">
        <f>'22'!F147</f>
        <v>708250</v>
      </c>
      <c r="F147" s="148">
        <v>708610</v>
      </c>
      <c r="G147" s="112">
        <f t="shared" si="11"/>
        <v>360</v>
      </c>
      <c r="H147" s="99">
        <f>G147+'22'!H147</f>
        <v>8841</v>
      </c>
      <c r="I147" s="140"/>
      <c r="J147" s="328">
        <f>H147/DAY(B2)</f>
        <v>384.39130434782606</v>
      </c>
    </row>
    <row r="148" spans="1:10" ht="30.75" customHeight="1">
      <c r="A148" s="877" t="s">
        <v>193</v>
      </c>
      <c r="B148" s="878"/>
      <c r="C148" s="879"/>
      <c r="D148" s="123" t="s">
        <v>130</v>
      </c>
      <c r="E148" s="95">
        <f>'22'!F148</f>
        <v>755183</v>
      </c>
      <c r="F148" s="150">
        <v>755476</v>
      </c>
      <c r="G148" s="112">
        <f t="shared" si="11"/>
        <v>293</v>
      </c>
      <c r="H148" s="99">
        <f>G148+'22'!H148</f>
        <v>6946</v>
      </c>
      <c r="I148" s="124"/>
      <c r="J148" s="328">
        <f>H148/DAY(B2)</f>
        <v>302</v>
      </c>
    </row>
    <row r="149" spans="1:10" ht="30.75" customHeight="1">
      <c r="A149" s="877" t="s">
        <v>336</v>
      </c>
      <c r="B149" s="878"/>
      <c r="C149" s="879"/>
      <c r="D149" s="227" t="s">
        <v>130</v>
      </c>
      <c r="E149" s="95">
        <f>'22'!F149</f>
        <v>142651</v>
      </c>
      <c r="F149" s="227">
        <v>143110</v>
      </c>
      <c r="G149" s="112">
        <f t="shared" si="11"/>
        <v>459</v>
      </c>
      <c r="H149" s="99">
        <f>G149+'22'!H149</f>
        <v>10676</v>
      </c>
      <c r="I149" s="119"/>
      <c r="J149" s="328">
        <f>H149/DAY(B2)</f>
        <v>464.17391304347825</v>
      </c>
    </row>
    <row r="150" spans="1:10" ht="30.75" customHeight="1">
      <c r="A150" s="877" t="s">
        <v>337</v>
      </c>
      <c r="B150" s="878"/>
      <c r="C150" s="879"/>
      <c r="D150" s="117" t="s">
        <v>130</v>
      </c>
      <c r="E150" s="95">
        <f>'22'!F150</f>
        <v>55474</v>
      </c>
      <c r="F150" s="233">
        <v>55696</v>
      </c>
      <c r="G150" s="112">
        <f t="shared" si="11"/>
        <v>222</v>
      </c>
      <c r="H150" s="99">
        <f>G150+'22'!H150</f>
        <v>5081</v>
      </c>
      <c r="I150" s="119"/>
      <c r="J150" s="328">
        <f>H150/DAY(B2)</f>
        <v>220.91304347826087</v>
      </c>
    </row>
    <row r="151" spans="1:10" ht="30.75" customHeight="1">
      <c r="A151" s="877" t="s">
        <v>338</v>
      </c>
      <c r="B151" s="878"/>
      <c r="C151" s="879"/>
      <c r="D151" s="117" t="s">
        <v>130</v>
      </c>
      <c r="E151" s="95">
        <f>'22'!F151</f>
        <v>141236</v>
      </c>
      <c r="F151" s="233">
        <v>141475</v>
      </c>
      <c r="G151" s="112">
        <f t="shared" si="11"/>
        <v>239</v>
      </c>
      <c r="H151" s="99">
        <f>G151+'22'!H151</f>
        <v>6026</v>
      </c>
      <c r="I151" s="119"/>
      <c r="J151" s="328">
        <f>H151/DAY(B2)</f>
        <v>262</v>
      </c>
    </row>
    <row r="152" spans="1:10" ht="30.75" customHeight="1">
      <c r="A152" s="877" t="s">
        <v>339</v>
      </c>
      <c r="B152" s="878"/>
      <c r="C152" s="879"/>
      <c r="D152" s="117" t="s">
        <v>130</v>
      </c>
      <c r="E152" s="95">
        <f>'22'!F152</f>
        <v>25804</v>
      </c>
      <c r="F152" s="233">
        <v>25928</v>
      </c>
      <c r="G152" s="112">
        <f t="shared" si="11"/>
        <v>124</v>
      </c>
      <c r="H152" s="99">
        <f>G152+'22'!H152</f>
        <v>2774</v>
      </c>
      <c r="I152" s="119"/>
      <c r="J152" s="328">
        <f>H152/DAY(B2)</f>
        <v>120.60869565217391</v>
      </c>
    </row>
    <row r="153" spans="1:10" ht="30.75" customHeight="1">
      <c r="A153" s="880" t="s">
        <v>196</v>
      </c>
      <c r="B153" s="881"/>
      <c r="C153" s="365"/>
      <c r="D153" s="358"/>
      <c r="E153" s="360"/>
      <c r="F153" s="361"/>
      <c r="G153" s="362">
        <f>SUM(G138:G152)</f>
        <v>2568</v>
      </c>
      <c r="H153" s="363"/>
      <c r="I153" s="119">
        <f>G153-(G38+G52)</f>
        <v>436</v>
      </c>
      <c r="J153" s="366"/>
    </row>
    <row r="154" spans="1:10" ht="30.75" customHeight="1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30.75" customHeight="1">
      <c r="A155" s="876" t="s">
        <v>345</v>
      </c>
      <c r="B155" s="876"/>
      <c r="C155" s="876"/>
      <c r="D155" s="117" t="s">
        <v>130</v>
      </c>
      <c r="E155" s="95">
        <f>'22'!F155</f>
        <v>162045</v>
      </c>
      <c r="F155" s="374">
        <v>162615</v>
      </c>
      <c r="G155" s="112">
        <f t="shared" ref="G155:G158" si="12">F155-E155</f>
        <v>570</v>
      </c>
      <c r="H155" s="99">
        <f>G155+'22'!H155</f>
        <v>14466</v>
      </c>
      <c r="I155" s="364"/>
      <c r="J155" s="161">
        <v>329</v>
      </c>
    </row>
    <row r="156" spans="1:10" ht="30.75" customHeight="1">
      <c r="A156" s="876" t="s">
        <v>347</v>
      </c>
      <c r="B156" s="876"/>
      <c r="C156" s="876"/>
      <c r="D156" s="117" t="s">
        <v>130</v>
      </c>
      <c r="E156" s="95">
        <v>16901</v>
      </c>
      <c r="F156" s="374">
        <v>17000</v>
      </c>
      <c r="G156" s="112">
        <f t="shared" si="12"/>
        <v>99</v>
      </c>
      <c r="H156" s="99">
        <f>G156+'22'!H156</f>
        <v>2464</v>
      </c>
      <c r="I156" s="165"/>
      <c r="J156" s="328">
        <f>H156/DAY(B2)</f>
        <v>107.1304347826087</v>
      </c>
    </row>
    <row r="157" spans="1:10" ht="30.75" customHeight="1">
      <c r="A157" s="877" t="s">
        <v>360</v>
      </c>
      <c r="B157" s="878"/>
      <c r="C157" s="879"/>
      <c r="D157" s="117" t="s">
        <v>130</v>
      </c>
      <c r="E157" s="95">
        <f>'22'!F157</f>
        <v>30382</v>
      </c>
      <c r="F157" s="95">
        <v>30494</v>
      </c>
      <c r="G157" s="112">
        <f t="shared" si="12"/>
        <v>112</v>
      </c>
      <c r="H157" s="99">
        <f>G157+'22'!H157</f>
        <v>454.5</v>
      </c>
      <c r="I157" s="165"/>
      <c r="J157" s="328">
        <f>H157/DAY(B2)</f>
        <v>19.760869565217391</v>
      </c>
    </row>
    <row r="158" spans="1:10" ht="30.75" customHeight="1">
      <c r="A158" s="877" t="s">
        <v>361</v>
      </c>
      <c r="B158" s="878"/>
      <c r="C158" s="879"/>
      <c r="D158" s="117" t="s">
        <v>130</v>
      </c>
      <c r="E158" s="95">
        <f>'22'!F158</f>
        <v>275.70999999999998</v>
      </c>
      <c r="F158" s="95">
        <v>275.75</v>
      </c>
      <c r="G158" s="112">
        <f t="shared" si="12"/>
        <v>4.0000000000020464E-2</v>
      </c>
      <c r="H158" s="99">
        <f>G158+'22'!H158</f>
        <v>34.360000000000014</v>
      </c>
      <c r="I158" s="165"/>
      <c r="J158" s="328">
        <f>H158/DAY(B2)</f>
        <v>1.4939130434782615</v>
      </c>
    </row>
    <row r="159" spans="1:10" ht="30.75" customHeight="1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481382</v>
      </c>
      <c r="F161" s="235">
        <v>481470</v>
      </c>
      <c r="G161" s="238">
        <f t="shared" ref="G161:G165" si="13">F161-E161</f>
        <v>88</v>
      </c>
      <c r="H161" s="99">
        <f>G161+'22'!H161</f>
        <v>423</v>
      </c>
      <c r="I161" s="236"/>
      <c r="J161" s="239">
        <f>H161/DAY(B2)</f>
        <v>18.391304347826086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95810</v>
      </c>
      <c r="F162" s="235">
        <v>95845</v>
      </c>
      <c r="G162" s="238">
        <f t="shared" si="13"/>
        <v>35</v>
      </c>
      <c r="H162" s="99">
        <f>G162+'22'!H162</f>
        <v>917</v>
      </c>
      <c r="I162" s="236"/>
      <c r="J162" s="239">
        <f>H162/DAY(B2)</f>
        <v>39.869565217391305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9037</v>
      </c>
      <c r="F163" s="235">
        <v>9120</v>
      </c>
      <c r="G163" s="238">
        <f t="shared" si="13"/>
        <v>83</v>
      </c>
      <c r="H163" s="99">
        <f>G163+'22'!H163</f>
        <v>2619</v>
      </c>
      <c r="I163" s="236"/>
      <c r="J163" s="239">
        <f>H163/DAY(B2)</f>
        <v>113.8695652173913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6350</v>
      </c>
      <c r="F164" s="235">
        <v>6358</v>
      </c>
      <c r="G164" s="238">
        <f t="shared" si="13"/>
        <v>8</v>
      </c>
      <c r="H164" s="99">
        <f>G164+'22'!H164</f>
        <v>78</v>
      </c>
      <c r="I164" s="236"/>
      <c r="J164" s="239">
        <f>H164/DAY(B2)</f>
        <v>3.3913043478260869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31796</v>
      </c>
      <c r="F165" s="235">
        <v>31804</v>
      </c>
      <c r="G165" s="238">
        <f t="shared" si="13"/>
        <v>8</v>
      </c>
      <c r="H165" s="99">
        <f>G165+'22'!H165</f>
        <v>170</v>
      </c>
      <c r="I165" s="236"/>
      <c r="J165" s="239">
        <f>H165/DAY(B2)</f>
        <v>7.3913043478260869</v>
      </c>
    </row>
    <row r="166" spans="1:10" ht="30.75" customHeight="1">
      <c r="A166" s="885"/>
      <c r="B166" s="885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885"/>
      <c r="B167" s="885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885"/>
      <c r="B168" s="885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30.75" customHeight="1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1" t="s">
        <v>209</v>
      </c>
      <c r="B173" s="892"/>
      <c r="C173" s="333"/>
      <c r="D173" s="228" t="s">
        <v>142</v>
      </c>
      <c r="E173" s="95">
        <v>8229</v>
      </c>
      <c r="F173" s="155">
        <v>8231</v>
      </c>
      <c r="G173" s="155">
        <f>F173-E173</f>
        <v>2</v>
      </c>
      <c r="H173" s="99">
        <f>G173+'22'!H173</f>
        <v>47</v>
      </c>
      <c r="I173" s="155"/>
      <c r="J173" s="178">
        <f>H173/DAY(B2)</f>
        <v>2.0434782608695654</v>
      </c>
    </row>
    <row r="174" spans="1:10" ht="30.75" customHeight="1">
      <c r="A174" s="891" t="s">
        <v>75</v>
      </c>
      <c r="B174" s="892"/>
      <c r="C174" s="333"/>
      <c r="D174" s="228" t="s">
        <v>142</v>
      </c>
      <c r="E174" s="95">
        <f>'22'!F174</f>
        <v>41497</v>
      </c>
      <c r="F174" s="157">
        <v>41508</v>
      </c>
      <c r="G174" s="155">
        <f t="shared" ref="G174:G175" si="14">F174-E174</f>
        <v>11</v>
      </c>
      <c r="H174" s="99">
        <f>G174+'22'!H174</f>
        <v>304</v>
      </c>
      <c r="I174" s="155"/>
      <c r="J174" s="178">
        <f>H174/DAY(B2)</f>
        <v>13.217391304347826</v>
      </c>
    </row>
    <row r="175" spans="1:10" ht="30.75" customHeight="1">
      <c r="A175" s="891" t="s">
        <v>76</v>
      </c>
      <c r="B175" s="931"/>
      <c r="C175" s="892"/>
      <c r="D175" s="228" t="s">
        <v>142</v>
      </c>
      <c r="E175" s="95">
        <f>'22'!F175</f>
        <v>24277</v>
      </c>
      <c r="F175" s="155">
        <v>24289</v>
      </c>
      <c r="G175" s="155">
        <f t="shared" si="14"/>
        <v>12</v>
      </c>
      <c r="H175" s="99">
        <f>G175+'22'!H175</f>
        <v>258</v>
      </c>
      <c r="I175" s="155"/>
      <c r="J175" s="178">
        <f>H175/DAY(B2)</f>
        <v>11.217391304347826</v>
      </c>
    </row>
    <row r="176" spans="1:10" ht="30.75" customHeight="1">
      <c r="A176" s="880" t="s">
        <v>196</v>
      </c>
      <c r="B176" s="881"/>
      <c r="C176" s="401"/>
      <c r="D176" s="228"/>
      <c r="E176" s="95"/>
      <c r="F176" s="155"/>
      <c r="G176" s="155">
        <f>SUM(G173:G175)</f>
        <v>25</v>
      </c>
      <c r="H176" s="99">
        <f>G176+'22'!H176</f>
        <v>609</v>
      </c>
      <c r="I176" s="155"/>
      <c r="J176" s="178">
        <f>H176/DAY(B2)</f>
        <v>26.478260869565219</v>
      </c>
    </row>
    <row r="177" spans="1:10" ht="30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891" t="s">
        <v>210</v>
      </c>
      <c r="B178" s="892"/>
      <c r="C178" s="333"/>
      <c r="D178" s="228" t="s">
        <v>142</v>
      </c>
      <c r="E178" s="95">
        <f>'22'!F178</f>
        <v>99390</v>
      </c>
      <c r="F178" s="155">
        <v>99461</v>
      </c>
      <c r="G178" s="155">
        <f>F178-E178</f>
        <v>71</v>
      </c>
      <c r="H178" s="99">
        <f>G178+'22'!H178</f>
        <v>1748</v>
      </c>
      <c r="I178" s="155"/>
      <c r="J178" s="178">
        <f>H178/DAY(B2)</f>
        <v>76</v>
      </c>
    </row>
    <row r="179" spans="1:10" ht="30.75" customHeight="1">
      <c r="A179" s="891" t="s">
        <v>211</v>
      </c>
      <c r="B179" s="892"/>
      <c r="C179" s="333"/>
      <c r="D179" s="228" t="s">
        <v>142</v>
      </c>
      <c r="E179" s="95">
        <f>'22'!F179</f>
        <v>36002</v>
      </c>
      <c r="F179" s="155">
        <v>36002</v>
      </c>
      <c r="G179" s="155">
        <f t="shared" ref="G179:G180" si="15">F179-E179</f>
        <v>0</v>
      </c>
      <c r="H179" s="99">
        <f>G179+'22'!H179</f>
        <v>0</v>
      </c>
      <c r="I179" s="155"/>
      <c r="J179" s="178">
        <f>H179/DAY(B2)</f>
        <v>0</v>
      </c>
    </row>
    <row r="180" spans="1:10" ht="30.75" customHeight="1">
      <c r="A180" s="891" t="s">
        <v>212</v>
      </c>
      <c r="B180" s="892"/>
      <c r="C180" s="333"/>
      <c r="D180" s="228" t="s">
        <v>142</v>
      </c>
      <c r="E180" s="95">
        <f>'22'!F180</f>
        <v>37193</v>
      </c>
      <c r="F180" s="155">
        <v>37211</v>
      </c>
      <c r="G180" s="155">
        <f t="shared" si="15"/>
        <v>18</v>
      </c>
      <c r="H180" s="99">
        <f>G180+'22'!H180</f>
        <v>194</v>
      </c>
      <c r="I180" s="155"/>
      <c r="J180" s="178">
        <f>H180/DAY(B2)</f>
        <v>8.4347826086956523</v>
      </c>
    </row>
    <row r="181" spans="1:10" ht="30.75" customHeight="1">
      <c r="A181" s="893" t="s">
        <v>108</v>
      </c>
      <c r="B181" s="894"/>
      <c r="C181" s="401"/>
      <c r="D181" s="228"/>
      <c r="E181" s="95"/>
      <c r="F181" s="155"/>
      <c r="G181" s="155">
        <f>SUM(G178:G180)</f>
        <v>89</v>
      </c>
      <c r="H181" s="99">
        <f>G181+'22'!H181</f>
        <v>1942</v>
      </c>
      <c r="I181" s="155"/>
      <c r="J181" s="178">
        <f>H181/DAY(B2)</f>
        <v>84.434782608695656</v>
      </c>
    </row>
    <row r="182" spans="1:10" ht="30.75" customHeight="1">
      <c r="A182" s="891" t="s">
        <v>213</v>
      </c>
      <c r="B182" s="892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891" t="s">
        <v>214</v>
      </c>
      <c r="B183" s="892"/>
      <c r="C183" s="334"/>
      <c r="D183" s="228" t="s">
        <v>142</v>
      </c>
      <c r="E183" s="95">
        <f>'22'!F183</f>
        <v>17635</v>
      </c>
      <c r="F183" s="157">
        <v>17640</v>
      </c>
      <c r="G183" s="157">
        <f>F183-E183</f>
        <v>5</v>
      </c>
      <c r="H183" s="99">
        <f>G183+'22'!H183</f>
        <v>167</v>
      </c>
      <c r="I183" s="155"/>
      <c r="J183" s="178">
        <f>H183/DAY(B2)</f>
        <v>7.2608695652173916</v>
      </c>
    </row>
    <row r="184" spans="1:10" ht="30.75" customHeight="1">
      <c r="A184" s="891" t="s">
        <v>215</v>
      </c>
      <c r="B184" s="892"/>
      <c r="C184" s="334"/>
      <c r="D184" s="228" t="s">
        <v>142</v>
      </c>
      <c r="E184" s="95">
        <f>'22'!F184</f>
        <v>12099</v>
      </c>
      <c r="F184" s="157">
        <v>12106</v>
      </c>
      <c r="G184" s="157">
        <f t="shared" ref="G184:G185" si="16">F184-E184</f>
        <v>7</v>
      </c>
      <c r="H184" s="99">
        <f>G184+'22'!H184</f>
        <v>171</v>
      </c>
      <c r="I184" s="155"/>
      <c r="J184" s="178">
        <f>H184/DAY(B2)</f>
        <v>7.4347826086956523</v>
      </c>
    </row>
    <row r="185" spans="1:10" ht="30.75" customHeight="1">
      <c r="A185" s="891" t="s">
        <v>216</v>
      </c>
      <c r="B185" s="892"/>
      <c r="C185" s="334"/>
      <c r="D185" s="228" t="s">
        <v>142</v>
      </c>
      <c r="E185" s="95">
        <f>'22'!F185</f>
        <v>0</v>
      </c>
      <c r="F185" s="157">
        <v>12106</v>
      </c>
      <c r="G185" s="157">
        <f t="shared" si="16"/>
        <v>12106</v>
      </c>
      <c r="H185" s="99">
        <f>G185+'22'!H185</f>
        <v>12106</v>
      </c>
      <c r="I185" s="155"/>
      <c r="J185" s="178">
        <f>H185/DAY(B2)</f>
        <v>526.3478260869565</v>
      </c>
    </row>
    <row r="186" spans="1:10" ht="30.75" customHeight="1">
      <c r="A186" s="880" t="s">
        <v>196</v>
      </c>
      <c r="B186" s="881"/>
      <c r="C186" s="400"/>
      <c r="D186" s="229"/>
      <c r="E186" s="95"/>
      <c r="F186" s="157"/>
      <c r="G186" s="157">
        <f>SUM(G183:G185)</f>
        <v>12118</v>
      </c>
      <c r="H186" s="99">
        <f>G186+'22'!H186</f>
        <v>12444</v>
      </c>
      <c r="I186" s="157"/>
      <c r="J186" s="178">
        <f>H186/DAY(B2)</f>
        <v>541.04347826086962</v>
      </c>
    </row>
    <row r="187" spans="1:10" ht="30.75" customHeight="1">
      <c r="A187" s="882" t="s">
        <v>217</v>
      </c>
      <c r="B187" s="883"/>
      <c r="C187" s="333"/>
      <c r="D187" s="230" t="s">
        <v>142</v>
      </c>
      <c r="E187" s="95"/>
      <c r="F187" s="159"/>
      <c r="G187" s="378">
        <f>G62+G19</f>
        <v>165</v>
      </c>
      <c r="H187" s="99">
        <f>G187+'22'!H187</f>
        <v>3635</v>
      </c>
      <c r="I187" s="158"/>
      <c r="J187" s="179">
        <f>H187/DAY(B2)</f>
        <v>158.04347826086956</v>
      </c>
    </row>
    <row r="188" spans="1:10" ht="30.75" customHeight="1">
      <c r="A188" s="882" t="s">
        <v>218</v>
      </c>
      <c r="B188" s="883"/>
      <c r="C188" s="333"/>
      <c r="D188" s="230" t="s">
        <v>142</v>
      </c>
      <c r="E188" s="95"/>
      <c r="F188" s="159"/>
      <c r="G188" s="378">
        <f>G65+G66+G67+G69+G70</f>
        <v>135</v>
      </c>
      <c r="H188" s="99">
        <f>G188+'22'!H188</f>
        <v>1385</v>
      </c>
      <c r="I188" s="158"/>
      <c r="J188" s="179">
        <f>H188/DAY(B2)</f>
        <v>60.217391304347828</v>
      </c>
    </row>
    <row r="189" spans="1:10" ht="30.75" customHeight="1">
      <c r="A189" s="882" t="s">
        <v>219</v>
      </c>
      <c r="B189" s="883"/>
      <c r="C189" s="333"/>
      <c r="D189" s="230" t="s">
        <v>142</v>
      </c>
      <c r="E189" s="95"/>
      <c r="F189" s="157"/>
      <c r="G189" s="377">
        <f>G181</f>
        <v>89</v>
      </c>
      <c r="H189" s="99">
        <f>G189+'22'!H189</f>
        <v>433</v>
      </c>
      <c r="I189" s="158"/>
      <c r="J189" s="179">
        <f>H189/DAY(B2)</f>
        <v>18.826086956521738</v>
      </c>
    </row>
    <row r="190" spans="1:10" ht="30.75" customHeight="1">
      <c r="A190" s="889"/>
      <c r="B190" s="890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zoomScale="55" zoomScaleNormal="44" zoomScaleSheetLayoutView="55" workbookViewId="0">
      <selection activeCell="F179" sqref="F179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354</v>
      </c>
      <c r="B2" s="262">
        <v>44797</v>
      </c>
      <c r="C2" s="348" t="s">
        <v>67</v>
      </c>
      <c r="D2" s="218">
        <v>0.43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928593</v>
      </c>
      <c r="F7" s="95">
        <v>952289.11</v>
      </c>
      <c r="G7" s="112">
        <f>F7-E7</f>
        <v>23696.109999999986</v>
      </c>
      <c r="H7" s="99">
        <f>G7+'23'!H7</f>
        <v>615830.86</v>
      </c>
      <c r="I7" s="113">
        <f>'1'!I7</f>
        <v>12000</v>
      </c>
      <c r="J7" s="175">
        <f>H7/DAY(B2)</f>
        <v>25659.619166666667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86737</v>
      </c>
      <c r="F8" s="95">
        <v>110549.02</v>
      </c>
      <c r="G8" s="115">
        <f>F8-E8</f>
        <v>23812.020000000004</v>
      </c>
      <c r="H8" s="99">
        <f>G8+'23'!H8</f>
        <v>622152.72</v>
      </c>
      <c r="I8" s="116"/>
      <c r="J8" s="175">
        <f>H8/DAY(B2)</f>
        <v>25923.03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3430243</v>
      </c>
      <c r="F9" s="469">
        <v>3435615.1</v>
      </c>
      <c r="G9" s="112">
        <f>F9-E9</f>
        <v>5372.1000000000931</v>
      </c>
      <c r="H9" s="99">
        <f>G9+'23'!H9</f>
        <v>156549.10000000009</v>
      </c>
      <c r="I9" s="124">
        <f>I7-J7</f>
        <v>-13659.619166666667</v>
      </c>
      <c r="J9" s="175">
        <f>H9/DAY(B2)</f>
        <v>6522.8791666666702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2091551</v>
      </c>
      <c r="F10" s="353">
        <v>2109223.2999999998</v>
      </c>
      <c r="G10" s="112">
        <f t="shared" ref="G10:G12" si="0">F10-E10</f>
        <v>17672.299999999814</v>
      </c>
      <c r="H10" s="99">
        <f>G10+'23'!H10</f>
        <v>442065.29999999981</v>
      </c>
      <c r="I10" s="282"/>
      <c r="J10" s="175">
        <f>H10/DAY(B2)</f>
        <v>18419.387499999993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37560</v>
      </c>
      <c r="F11" s="95">
        <v>37560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40380</v>
      </c>
      <c r="F12" s="117">
        <v>40380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23044.399999999907</v>
      </c>
      <c r="H13" s="99">
        <f>G13+'23'!H13</f>
        <v>599948.99999999977</v>
      </c>
      <c r="I13" s="120">
        <f>G7-G13</f>
        <v>651.71000000007916</v>
      </c>
      <c r="J13" s="175">
        <f>H13/DAY(B2)</f>
        <v>24997.874999999989</v>
      </c>
      <c r="K13" s="79"/>
      <c r="L13" s="66"/>
      <c r="N13" s="87"/>
      <c r="O13" s="71"/>
    </row>
    <row r="14" spans="1:15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'23'!F15</f>
        <v>2124317</v>
      </c>
      <c r="F15" s="469">
        <v>2125236.8199999998</v>
      </c>
      <c r="G15" s="112">
        <f>(F15-E15)</f>
        <v>919.81999999983236</v>
      </c>
      <c r="H15" s="99">
        <f>G15+'23'!H15</f>
        <v>24368.819999999832</v>
      </c>
      <c r="I15" s="113">
        <f>'1'!I15</f>
        <v>800</v>
      </c>
      <c r="J15" s="175">
        <f>H15/DAY(B2)</f>
        <v>1015.367499999993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-215.36749999999302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'23'!F18</f>
        <v>16</v>
      </c>
      <c r="F18" s="122">
        <v>25</v>
      </c>
      <c r="G18" s="119">
        <f>F18*10</f>
        <v>250</v>
      </c>
      <c r="H18" s="99">
        <f>G18+'23'!H18</f>
        <v>3830</v>
      </c>
      <c r="I18" s="113">
        <f>'1'!I18</f>
        <v>65</v>
      </c>
      <c r="J18" s="175">
        <f>H18/DAY(B2)</f>
        <v>159.58333333333334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'23'!F19</f>
        <v>163494</v>
      </c>
      <c r="F19" s="122">
        <v>163541</v>
      </c>
      <c r="G19" s="112">
        <f t="shared" ref="G19" si="1">F19-E19</f>
        <v>47</v>
      </c>
      <c r="H19" s="99">
        <f>G19+'23'!H19</f>
        <v>1206</v>
      </c>
      <c r="I19" s="335"/>
      <c r="J19" s="175">
        <f>H19/DAY(B2)</f>
        <v>50.25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297</v>
      </c>
      <c r="H20" s="99">
        <f>G20+'23'!H20</f>
        <v>5036</v>
      </c>
      <c r="I20" s="336">
        <f>I18-J20</f>
        <v>-144.83333333333334</v>
      </c>
      <c r="J20" s="175">
        <f>H20/DAY(B2)</f>
        <v>209.83333333333334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'23'!F23</f>
        <v>1500</v>
      </c>
      <c r="F23" s="122">
        <v>1500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4470</v>
      </c>
      <c r="F24" s="128">
        <v>4470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23812.020000000004</v>
      </c>
      <c r="F27" s="136">
        <v>9</v>
      </c>
      <c r="G27" s="137">
        <f>E27*F27</f>
        <v>214308.18000000005</v>
      </c>
      <c r="H27" s="99">
        <f>G27+'23'!H27</f>
        <v>5599374.4799999995</v>
      </c>
      <c r="I27" s="138"/>
      <c r="J27" s="175">
        <f>H27/DAY(B2)</f>
        <v>233307.27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919.81999999983236</v>
      </c>
      <c r="F28" s="136">
        <v>70</v>
      </c>
      <c r="G28" s="137">
        <f>E28*F28</f>
        <v>64387.399999988265</v>
      </c>
      <c r="H28" s="99">
        <f>G28+'23'!H28</f>
        <v>1705817.3999999883</v>
      </c>
      <c r="I28" s="140"/>
      <c r="J28" s="175">
        <f>H28/DAY(B2)</f>
        <v>71075.724999999511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G30+'23'!H30</f>
        <v>182106</v>
      </c>
      <c r="I30" s="140"/>
      <c r="J30" s="175">
        <f>H30/DAY(B2)</f>
        <v>7587.75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G31+'23'!H31</f>
        <v>306400</v>
      </c>
      <c r="I31" s="140"/>
      <c r="J31" s="175">
        <f>H31/DAY(B2)</f>
        <v>12766.666666666666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305792.57999998832</v>
      </c>
      <c r="H32" s="99">
        <f>G32+'23'!H32</f>
        <v>7793697.8799999878</v>
      </c>
      <c r="I32" s="144"/>
      <c r="J32" s="175">
        <f>H32/DAY(B2)</f>
        <v>324737.41166666616</v>
      </c>
      <c r="K32" s="63"/>
      <c r="L32" s="89"/>
      <c r="N32" s="87"/>
      <c r="O32" s="71"/>
    </row>
    <row r="33" spans="1:15" ht="25.5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238713</v>
      </c>
      <c r="F35" s="145">
        <v>238713.05</v>
      </c>
      <c r="G35" s="112">
        <f t="shared" ref="G35:G46" si="3">F35-E35</f>
        <v>4.9999999988358468E-2</v>
      </c>
      <c r="H35" s="99">
        <f>G35+'23'!H35</f>
        <v>4.9999999988358468E-2</v>
      </c>
      <c r="I35" s="95"/>
      <c r="J35" s="175">
        <f>H35/DAY(B2)</f>
        <v>2.0833333328482695E-3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234958</v>
      </c>
      <c r="F36" s="145">
        <v>235734.39</v>
      </c>
      <c r="G36" s="112">
        <f t="shared" si="3"/>
        <v>776.39000000001397</v>
      </c>
      <c r="H36" s="99">
        <f>G36+'23'!H36</f>
        <v>20204.390000000014</v>
      </c>
      <c r="I36" s="95"/>
      <c r="J36" s="175">
        <f>H36/DAY(B2)</f>
        <v>841.84958333333395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322999</v>
      </c>
      <c r="F37" s="145">
        <v>322998.69</v>
      </c>
      <c r="G37" s="112">
        <f t="shared" si="3"/>
        <v>-0.30999999999767169</v>
      </c>
      <c r="H37" s="99">
        <f>G37+'23'!H37</f>
        <v>-0.30999999999767169</v>
      </c>
      <c r="I37" s="95"/>
      <c r="J37" s="175">
        <f>H37/DAY(B2)</f>
        <v>-1.2916666666569654E-2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508459</v>
      </c>
      <c r="F38" s="108">
        <v>510688.15</v>
      </c>
      <c r="G38" s="112">
        <f t="shared" si="3"/>
        <v>2229.1500000000233</v>
      </c>
      <c r="H38" s="99">
        <f>G38+'23'!H38</f>
        <v>53327.150000000023</v>
      </c>
      <c r="I38" s="95"/>
      <c r="J38" s="175">
        <f>H38/DAY(B2)</f>
        <v>2221.9645833333343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591584</v>
      </c>
      <c r="F39" s="145">
        <v>591584.18999999994</v>
      </c>
      <c r="G39" s="112">
        <f t="shared" si="3"/>
        <v>0.18999999994412065</v>
      </c>
      <c r="H39" s="99">
        <f>G39+'23'!H39</f>
        <v>0.18999999994412065</v>
      </c>
      <c r="I39" s="95"/>
      <c r="J39" s="175">
        <f>H39/DAY(B2)</f>
        <v>7.9166666643383597E-3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126605</v>
      </c>
      <c r="F40" s="145">
        <v>127434.58</v>
      </c>
      <c r="G40" s="112">
        <f t="shared" si="3"/>
        <v>829.58000000000175</v>
      </c>
      <c r="H40" s="99">
        <f>G40+'23'!H40</f>
        <v>20658.580000000002</v>
      </c>
      <c r="I40" s="95"/>
      <c r="J40" s="175">
        <f>H40/DAY(B2)</f>
        <v>860.7741666666667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257421</v>
      </c>
      <c r="F41" s="145">
        <v>257421.37</v>
      </c>
      <c r="G41" s="112">
        <f t="shared" si="3"/>
        <v>0.36999999999534339</v>
      </c>
      <c r="H41" s="99">
        <f>G41+'23'!H41</f>
        <v>45718.369999999995</v>
      </c>
      <c r="I41" s="95"/>
      <c r="J41" s="175">
        <f>H41/DAY(B2)</f>
        <v>1904.9320833333331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'23'!F42</f>
        <v>786414</v>
      </c>
      <c r="F42" s="145">
        <v>788875.83</v>
      </c>
      <c r="G42" s="112">
        <f t="shared" si="3"/>
        <v>2461.8299999999581</v>
      </c>
      <c r="H42" s="99">
        <f>G42+'23'!H42</f>
        <v>40511.829999999958</v>
      </c>
      <c r="I42" s="95"/>
      <c r="J42" s="175">
        <f>H42/DAY(B2)</f>
        <v>1687.992916666665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407028.03</v>
      </c>
      <c r="F43" s="145">
        <v>407028.03</v>
      </c>
      <c r="G43" s="112">
        <f t="shared" si="3"/>
        <v>0</v>
      </c>
      <c r="H43" s="99">
        <f>G43+'23'!H43</f>
        <v>3.0000000027939677E-2</v>
      </c>
      <c r="I43" s="95"/>
      <c r="J43" s="175">
        <f>H43/DAY(B2)</f>
        <v>1.2500000011641532E-3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6297.2499999999272</v>
      </c>
      <c r="H47" s="99">
        <f>G47+'23'!H47</f>
        <v>180420.27999999997</v>
      </c>
      <c r="I47" s="95"/>
      <c r="J47" s="175">
        <f>H47/DAY(B2)</f>
        <v>7517.5116666666654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575770</v>
      </c>
      <c r="F49" s="145">
        <v>579580.31000000006</v>
      </c>
      <c r="G49" s="112">
        <f t="shared" ref="G49:G58" si="4">F49-E49</f>
        <v>3810.3100000000559</v>
      </c>
      <c r="H49" s="99">
        <f>G49+'23'!H49</f>
        <v>94526.310000000056</v>
      </c>
      <c r="I49" s="95"/>
      <c r="J49" s="175">
        <f>H49/DAY(B2)</f>
        <v>3938.5962500000023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311512</v>
      </c>
      <c r="F50" s="145">
        <v>312648.53000000003</v>
      </c>
      <c r="G50" s="112">
        <f t="shared" si="4"/>
        <v>1136.5300000000279</v>
      </c>
      <c r="H50" s="99">
        <f>G50+'23'!H50</f>
        <v>236531.96000000002</v>
      </c>
      <c r="I50" s="95"/>
      <c r="J50" s="175">
        <f>H50/DAY(B2)</f>
        <v>9855.4983333333348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32556</v>
      </c>
      <c r="F51" s="145">
        <v>33610.83</v>
      </c>
      <c r="G51" s="112">
        <f t="shared" si="4"/>
        <v>1054.8300000000017</v>
      </c>
      <c r="H51" s="99">
        <f>G51+'23'!H51</f>
        <v>25102.83</v>
      </c>
      <c r="I51" s="95"/>
      <c r="J51" s="175">
        <f>H51/DAY(B2)</f>
        <v>1045.9512500000001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10</v>
      </c>
      <c r="F52" s="145">
        <v>10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134044</v>
      </c>
      <c r="F53" s="145">
        <v>138128.5</v>
      </c>
      <c r="G53" s="112">
        <f t="shared" si="4"/>
        <v>4084.5</v>
      </c>
      <c r="H53" s="99">
        <f>G53+'23'!H53</f>
        <v>104267.5</v>
      </c>
      <c r="I53" s="95"/>
      <c r="J53" s="175">
        <f>H53/DAY(B2)</f>
        <v>4344.479166666667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94241</v>
      </c>
      <c r="F54" s="145">
        <v>94427.5</v>
      </c>
      <c r="G54" s="112">
        <f t="shared" si="4"/>
        <v>186.5</v>
      </c>
      <c r="H54" s="99">
        <f>G54+'23'!H54</f>
        <v>6484.5</v>
      </c>
      <c r="I54" s="95"/>
      <c r="J54" s="175">
        <f>H54/DAY(B2)</f>
        <v>270.1875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430992</v>
      </c>
      <c r="F55" s="145">
        <v>433987.19</v>
      </c>
      <c r="G55" s="112">
        <f t="shared" si="4"/>
        <v>2995.1900000000023</v>
      </c>
      <c r="H55" s="99">
        <f>G55+'23'!H55</f>
        <v>71210.19</v>
      </c>
      <c r="I55" s="95"/>
      <c r="J55" s="175">
        <f>H55/DAY(B2)</f>
        <v>2967.0912499999999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123882</v>
      </c>
      <c r="F56" s="145">
        <v>123882.39</v>
      </c>
      <c r="G56" s="112">
        <f t="shared" si="4"/>
        <v>0.38999999999941792</v>
      </c>
      <c r="H56" s="99">
        <f>G56+'23'!H56</f>
        <v>0.38999999999941792</v>
      </c>
      <c r="I56" s="95"/>
      <c r="J56" s="175">
        <f>H56/DAY(B2)</f>
        <v>1.6249999999975746E-2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298164</v>
      </c>
      <c r="F57" s="145">
        <v>301070.21000000002</v>
      </c>
      <c r="G57" s="112">
        <f t="shared" si="4"/>
        <v>2906.210000000021</v>
      </c>
      <c r="H57" s="99">
        <f>G57+'23'!H57</f>
        <v>74900.210000000021</v>
      </c>
      <c r="I57" s="95"/>
      <c r="J57" s="175">
        <f>H57/DAY(B2)</f>
        <v>3120.8420833333344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54973</v>
      </c>
      <c r="F58" s="145">
        <v>55206.46</v>
      </c>
      <c r="G58" s="112">
        <f t="shared" si="4"/>
        <v>233.45999999999913</v>
      </c>
      <c r="H58" s="99">
        <f>G58+'23'!H58</f>
        <v>6097.4599999999991</v>
      </c>
      <c r="I58" s="95"/>
      <c r="J58" s="175">
        <f>H58/DAY(B2)</f>
        <v>254.06083333333331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16407.920000000107</v>
      </c>
      <c r="H59" s="99">
        <f>G59+'23'!H59</f>
        <v>412487.92000000022</v>
      </c>
      <c r="I59" s="95">
        <f>G7-G60</f>
        <v>990.9399999999514</v>
      </c>
      <c r="J59" s="175">
        <f>H59/DAY(B2)</f>
        <v>17186.996666666677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22705.170000000035</v>
      </c>
      <c r="H60" s="99">
        <f>G60+'23'!H60</f>
        <v>592908.20000000007</v>
      </c>
      <c r="I60" s="95">
        <f>G13-G60</f>
        <v>339.22999999987223</v>
      </c>
      <c r="J60" s="175">
        <f>H60/DAY(B2)</f>
        <v>24704.508333333335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'23'!F62</f>
        <v>298751</v>
      </c>
      <c r="F62" s="122">
        <v>298883</v>
      </c>
      <c r="G62" s="112">
        <f t="shared" ref="G62:G63" si="5">F62-E62</f>
        <v>132</v>
      </c>
      <c r="H62" s="99">
        <f>G62+'23'!H62</f>
        <v>2608</v>
      </c>
      <c r="I62" s="118"/>
      <c r="J62" s="175">
        <f>H62/DAY(B2)</f>
        <v>108.66666666666667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'23'!F63</f>
        <v>241808</v>
      </c>
      <c r="F63" s="122">
        <v>241860</v>
      </c>
      <c r="G63" s="112">
        <f t="shared" si="5"/>
        <v>52</v>
      </c>
      <c r="H63" s="99">
        <f>G63+'23'!H63</f>
        <v>2727</v>
      </c>
      <c r="I63" s="118"/>
      <c r="J63" s="175">
        <f>H63/DAY(B2)</f>
        <v>113.625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'23'!F64</f>
        <v>0</v>
      </c>
      <c r="F64" s="122"/>
      <c r="G64" s="112">
        <f>G62+G63</f>
        <v>184</v>
      </c>
      <c r="H64" s="99">
        <f>G64+'23'!H64</f>
        <v>5335</v>
      </c>
      <c r="I64" s="118"/>
      <c r="J64" s="175">
        <f>H64/DAY(B2)</f>
        <v>222.29166666666666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'23'!F65</f>
        <v>457047</v>
      </c>
      <c r="F65" s="122">
        <v>457152</v>
      </c>
      <c r="G65" s="112">
        <f t="shared" ref="G65:G70" si="6">F65-E65</f>
        <v>105</v>
      </c>
      <c r="H65" s="99">
        <f>G65+'23'!H65</f>
        <v>2442</v>
      </c>
      <c r="I65" s="118"/>
      <c r="J65" s="175">
        <f>H65/DAY(B2)</f>
        <v>101.75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'23'!F66</f>
        <v>112217</v>
      </c>
      <c r="F66" s="122">
        <v>112232</v>
      </c>
      <c r="G66" s="112">
        <f t="shared" si="6"/>
        <v>15</v>
      </c>
      <c r="H66" s="99">
        <f>G66+'23'!H66</f>
        <v>510</v>
      </c>
      <c r="I66" s="118"/>
      <c r="J66" s="175">
        <f>H66/DAY(B2)</f>
        <v>21.25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'23'!F67</f>
        <v>114058</v>
      </c>
      <c r="F67" s="122">
        <v>114077</v>
      </c>
      <c r="G67" s="112">
        <f t="shared" si="6"/>
        <v>19</v>
      </c>
      <c r="H67" s="99">
        <f>G67+'23'!H67</f>
        <v>397</v>
      </c>
      <c r="I67" s="118"/>
      <c r="J67" s="175">
        <f>H67/DAY(B2)</f>
        <v>16.541666666666668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'23'!F68</f>
        <v>165294</v>
      </c>
      <c r="F68" s="122">
        <v>165314</v>
      </c>
      <c r="G68" s="112">
        <f t="shared" si="6"/>
        <v>20</v>
      </c>
      <c r="H68" s="99">
        <f>G68+'23'!H68</f>
        <v>652</v>
      </c>
      <c r="I68" s="118"/>
      <c r="J68" s="175">
        <f>H68/DAY(B2)</f>
        <v>27.166666666666668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'23'!F69</f>
        <v>12406</v>
      </c>
      <c r="F69" s="122">
        <v>12408</v>
      </c>
      <c r="G69" s="112">
        <f t="shared" si="6"/>
        <v>2</v>
      </c>
      <c r="H69" s="99">
        <f>G69+'23'!H69</f>
        <v>133</v>
      </c>
      <c r="I69" s="118"/>
      <c r="J69" s="175">
        <f>H69/DAY(B2)</f>
        <v>5.541666666666667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'23'!F70</f>
        <v>10040</v>
      </c>
      <c r="F70" s="122">
        <v>10048</v>
      </c>
      <c r="G70" s="112">
        <f t="shared" si="6"/>
        <v>8</v>
      </c>
      <c r="H70" s="99">
        <f>G70+'23'!H70</f>
        <v>221</v>
      </c>
      <c r="I70" s="118"/>
      <c r="J70" s="175">
        <f>H70/DAY(B2)</f>
        <v>9.2083333333333339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169</v>
      </c>
      <c r="H71" s="99">
        <f>G71+'23'!H71</f>
        <v>4355</v>
      </c>
      <c r="I71" s="154"/>
      <c r="J71" s="175">
        <f>H71/DAY(B2)</f>
        <v>181.45833333333334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'23'!F74</f>
        <v>964903</v>
      </c>
      <c r="F74" s="117">
        <v>965155.5</v>
      </c>
      <c r="G74" s="112">
        <f t="shared" ref="G74:G78" si="7">F74-E74</f>
        <v>252.5</v>
      </c>
      <c r="H74" s="99">
        <f>G74+'23'!H74</f>
        <v>7497.640000000014</v>
      </c>
      <c r="I74" s="154"/>
      <c r="J74" s="175">
        <f>H74/DAY(B2)</f>
        <v>312.40166666666727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'23'!F76</f>
        <v>192651</v>
      </c>
      <c r="F76" s="123">
        <v>192751.11</v>
      </c>
      <c r="G76" s="112">
        <f t="shared" si="7"/>
        <v>100.10999999998603</v>
      </c>
      <c r="H76" s="99">
        <f>G76+'23'!H76</f>
        <v>2579.109999999986</v>
      </c>
      <c r="I76" s="154"/>
      <c r="J76" s="175">
        <f>H76/DAY(B2)</f>
        <v>107.46291666666609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'23'!F77</f>
        <v>51456</v>
      </c>
      <c r="F77" s="123">
        <v>51495.9</v>
      </c>
      <c r="G77" s="112">
        <f t="shared" si="7"/>
        <v>39.900000000001455</v>
      </c>
      <c r="H77" s="99">
        <f>G77+'23'!H77</f>
        <v>1182.9000000000015</v>
      </c>
      <c r="I77" s="154"/>
      <c r="J77" s="175">
        <f>H77/DAY(B2)</f>
        <v>49.287500000000058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v>9563.4</v>
      </c>
      <c r="F78" s="123">
        <v>9563.4</v>
      </c>
      <c r="G78" s="112">
        <f t="shared" si="7"/>
        <v>0</v>
      </c>
      <c r="H78" s="99">
        <f>G78+'23'!H78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'23'!F79</f>
        <v>0</v>
      </c>
      <c r="F79" s="117"/>
      <c r="G79" s="112">
        <f>G15-SUM(G74:G78)</f>
        <v>527.30999999984488</v>
      </c>
      <c r="H79" s="99">
        <f>G79+'23'!H79</f>
        <v>13109.169999999831</v>
      </c>
      <c r="I79" s="118"/>
      <c r="J79" s="175">
        <f>H79/DAY(B2)</f>
        <v>546.21541666665962</v>
      </c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919.81999999983236</v>
      </c>
      <c r="H80" s="99"/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'23'!F84</f>
        <v>42801</v>
      </c>
      <c r="F84" s="164">
        <v>42801.36</v>
      </c>
      <c r="G84" s="112">
        <f t="shared" si="8"/>
        <v>0.36000000000058208</v>
      </c>
      <c r="H84" s="99">
        <f>G84+'23'!H84</f>
        <v>172.36000000000058</v>
      </c>
      <c r="I84" s="571"/>
      <c r="J84" s="175">
        <f>H84/DAY(B2)</f>
        <v>7.1816666666666906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'23'!F85</f>
        <v>5310</v>
      </c>
      <c r="F85" s="164">
        <v>5320.46</v>
      </c>
      <c r="G85" s="112">
        <f t="shared" si="8"/>
        <v>10.460000000000036</v>
      </c>
      <c r="H85" s="99">
        <f>G85+'23'!H85</f>
        <v>180.27000000000044</v>
      </c>
      <c r="I85" s="571"/>
      <c r="J85" s="175">
        <f>H85/DAY(B2)</f>
        <v>7.5112500000000182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'23'!F86</f>
        <v>45838.58</v>
      </c>
      <c r="F86" s="164">
        <v>45858.48</v>
      </c>
      <c r="G86" s="112">
        <f t="shared" si="8"/>
        <v>19.900000000001455</v>
      </c>
      <c r="H86" s="99">
        <f>G86+'23'!H86</f>
        <v>479.4800000000032</v>
      </c>
      <c r="I86" s="571"/>
      <c r="J86" s="175">
        <f>H86/DAY(B2)</f>
        <v>19.978333333333467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v>35457.49</v>
      </c>
      <c r="F87" s="164">
        <v>35457.49</v>
      </c>
      <c r="G87" s="112">
        <f t="shared" si="8"/>
        <v>0</v>
      </c>
      <c r="H87" s="99">
        <f>G87+'23'!H87</f>
        <v>23.569999999999709</v>
      </c>
      <c r="I87" s="571">
        <f>G84+G85+G86+G87</f>
        <v>30.720000000002074</v>
      </c>
      <c r="J87" s="175">
        <f>H87/DAY(B2)</f>
        <v>0.98208333333332121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'23'!F88</f>
        <v>24335</v>
      </c>
      <c r="F88" s="164">
        <v>24335.16</v>
      </c>
      <c r="G88" s="112">
        <f t="shared" si="8"/>
        <v>0.15999999999985448</v>
      </c>
      <c r="H88" s="99">
        <f>G88+'23'!H88</f>
        <v>31.700000000000728</v>
      </c>
      <c r="I88" s="571"/>
      <c r="J88" s="175">
        <f>H88/DAY(B2)</f>
        <v>1.3208333333333637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'23'!F89</f>
        <v>27737</v>
      </c>
      <c r="F89" s="164">
        <v>27745.5</v>
      </c>
      <c r="G89" s="112">
        <f t="shared" si="8"/>
        <v>8.5</v>
      </c>
      <c r="H89" s="99">
        <f>G89+'23'!H89</f>
        <v>178.88999999999942</v>
      </c>
      <c r="I89" s="571">
        <f>G88+G89</f>
        <v>8.6599999999998545</v>
      </c>
      <c r="J89" s="175">
        <f>H89/DAY(B2)</f>
        <v>7.4537499999999755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'23'!F90</f>
        <v>72854</v>
      </c>
      <c r="F90" s="164">
        <v>72863.94</v>
      </c>
      <c r="G90" s="112">
        <f t="shared" si="8"/>
        <v>9.9400000000023283</v>
      </c>
      <c r="H90" s="99">
        <f>G90+'23'!H90</f>
        <v>257.38999999999942</v>
      </c>
      <c r="I90" s="571">
        <f>G90</f>
        <v>9.9400000000023283</v>
      </c>
      <c r="J90" s="175">
        <f>H90/DAY(B2)</f>
        <v>10.724583333333308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'23'!F91</f>
        <v>4289.54</v>
      </c>
      <c r="F91" s="122">
        <v>4289.54</v>
      </c>
      <c r="G91" s="112">
        <f t="shared" si="8"/>
        <v>0</v>
      </c>
      <c r="H91" s="99">
        <f>G91+'23'!H91</f>
        <v>0</v>
      </c>
      <c r="I91" s="590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'23'!F92</f>
        <v>6973.45</v>
      </c>
      <c r="F92" s="122">
        <v>6983.08</v>
      </c>
      <c r="G92" s="112">
        <f t="shared" si="8"/>
        <v>9.6300000000001091</v>
      </c>
      <c r="H92" s="99">
        <f>G92+'23'!H92</f>
        <v>265.75</v>
      </c>
      <c r="I92" s="596">
        <f>G91+G92</f>
        <v>9.6300000000001091</v>
      </c>
      <c r="J92" s="175">
        <f>H92/DAY(B2)</f>
        <v>11.072916666666666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6716.5700000000652</v>
      </c>
      <c r="H94" s="99">
        <f>G94+'23'!H94</f>
        <v>169426.60000000009</v>
      </c>
      <c r="I94" s="118"/>
      <c r="J94" s="175">
        <f>H94/DAY(B2)</f>
        <v>7059.4416666666702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0.28344610149092275</v>
      </c>
      <c r="H95" s="99">
        <f>G95+'23'!H95</f>
        <v>6.616747356286715</v>
      </c>
      <c r="I95" s="167"/>
      <c r="J95" s="175">
        <f>H95/DAY(B2)</f>
        <v>0.27569780651194647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5457.7799999999552</v>
      </c>
      <c r="H96" s="99">
        <f>G96+'23'!H96</f>
        <v>157440.77999999997</v>
      </c>
      <c r="I96" s="118"/>
      <c r="J96" s="175">
        <f>H96/DAY(B2)</f>
        <v>6560.0324999999984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0.23032388016429525</v>
      </c>
      <c r="H97" s="99">
        <f>G97+'23'!H97</f>
        <v>6.1142978862057547</v>
      </c>
      <c r="I97" s="167"/>
      <c r="J97" s="175">
        <f>H97/DAY(B2)</f>
        <v>0.2547624119252398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4084.6899999999441</v>
      </c>
      <c r="H98" s="99">
        <f>G98+'23'!H98</f>
        <v>104267.68999999994</v>
      </c>
      <c r="I98" s="168"/>
      <c r="J98" s="175">
        <f>H98/DAY(B2)</f>
        <v>4344.4870833333307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0.17237808230971019</v>
      </c>
      <c r="H99" s="99">
        <f>G99+'23'!H99</f>
        <v>4.0696940376550845</v>
      </c>
      <c r="I99" s="168"/>
      <c r="J99" s="175">
        <f>H99/DAY(B2)</f>
        <v>0.16957058490229518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2229.1500000000233</v>
      </c>
      <c r="H100" s="99">
        <f>G100+'23'!H100</f>
        <v>53327.150000000023</v>
      </c>
      <c r="I100" s="118"/>
      <c r="J100" s="175">
        <f>H100/DAY(B2)</f>
        <v>2221.9645833333343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9.407240260110307E-2</v>
      </c>
      <c r="H101" s="99">
        <f>G101+'23'!H101</f>
        <v>2.0820409230552599</v>
      </c>
      <c r="I101" s="168"/>
      <c r="J101" s="175">
        <f>H101/DAY(B2)</f>
        <v>8.67517051273025E-2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1912.9200000000419</v>
      </c>
      <c r="H102" s="99">
        <f>G102+'23'!H102</f>
        <v>50102.920000000042</v>
      </c>
      <c r="I102" s="168"/>
      <c r="J102" s="175">
        <f>H102/DAY(B2)</f>
        <v>2087.6216666666683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8.0727174207076313E-2</v>
      </c>
      <c r="H103" s="99">
        <f>G103+'23'!H103</f>
        <v>1.9462432494043607</v>
      </c>
      <c r="I103" s="118"/>
      <c r="J103" s="175">
        <f>H103/DAY(B2)</f>
        <v>8.1093468725181694E-2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1054.5200000000041</v>
      </c>
      <c r="H104" s="99">
        <f>G104+'23'!H104</f>
        <v>25102.520000000004</v>
      </c>
      <c r="I104" s="118"/>
      <c r="J104" s="175">
        <f>H104/DAY(B2)</f>
        <v>1045.9383333333335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4.4501819074945409E-2</v>
      </c>
      <c r="H105" s="99">
        <f>G105+'23'!H105</f>
        <v>0.97977720162513093</v>
      </c>
      <c r="I105" s="187"/>
      <c r="J105" s="188">
        <f>H105/DAY(B2)</f>
        <v>4.0824050067713787E-2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'23'!F112</f>
        <v>8923</v>
      </c>
      <c r="F112" s="237">
        <v>8996.76</v>
      </c>
      <c r="G112" s="112">
        <f t="shared" ref="G112:G123" si="9">F112-E112</f>
        <v>73.760000000000218</v>
      </c>
      <c r="H112" s="99">
        <f>G112+'23'!H112</f>
        <v>4195.09</v>
      </c>
      <c r="I112" s="165"/>
      <c r="J112" s="328">
        <f>H112/DAY(B2)</f>
        <v>174.79541666666668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'23'!F113</f>
        <v>18237</v>
      </c>
      <c r="F113" s="237">
        <v>18378.509999999998</v>
      </c>
      <c r="G113" s="112">
        <f t="shared" si="9"/>
        <v>141.5099999999984</v>
      </c>
      <c r="H113" s="99">
        <f>G113+'23'!H113</f>
        <v>3363.5099999999984</v>
      </c>
      <c r="I113" s="165"/>
      <c r="J113" s="328">
        <f>H113/DAY(B2)</f>
        <v>140.14624999999992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'23'!F114</f>
        <v>26325</v>
      </c>
      <c r="F114" s="237">
        <v>26549.27</v>
      </c>
      <c r="G114" s="112">
        <f t="shared" si="9"/>
        <v>224.27000000000044</v>
      </c>
      <c r="H114" s="99">
        <f>G114+'23'!H114</f>
        <v>5281.27</v>
      </c>
      <c r="I114" s="165"/>
      <c r="J114" s="328">
        <f>H114/DAY(B2)</f>
        <v>220.05291666666668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'23'!F115</f>
        <v>16387</v>
      </c>
      <c r="F115" s="237">
        <v>16518.91</v>
      </c>
      <c r="G115" s="112">
        <f t="shared" si="9"/>
        <v>131.90999999999985</v>
      </c>
      <c r="H115" s="99">
        <f>G115+'23'!H115</f>
        <v>2943.4300000000003</v>
      </c>
      <c r="I115" s="165"/>
      <c r="J115" s="328">
        <f>H115/DAY(B2)</f>
        <v>122.64291666666668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'23'!F116</f>
        <v>80122</v>
      </c>
      <c r="F116" s="417">
        <v>80467.47</v>
      </c>
      <c r="G116" s="112">
        <f t="shared" si="9"/>
        <v>345.47000000000116</v>
      </c>
      <c r="H116" s="99">
        <f>G116+'23'!H116</f>
        <v>9975.4700000000012</v>
      </c>
      <c r="I116" s="165"/>
      <c r="J116" s="328">
        <f>H116/DAY(B2)</f>
        <v>415.6445833333334</v>
      </c>
      <c r="Q116" s="898"/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'23'!F117</f>
        <v>46491</v>
      </c>
      <c r="F117" s="237">
        <v>46783.33</v>
      </c>
      <c r="G117" s="112">
        <f t="shared" si="9"/>
        <v>292.33000000000175</v>
      </c>
      <c r="H117" s="99">
        <f>G117+'23'!H117</f>
        <v>5861.3300000000017</v>
      </c>
      <c r="I117" s="165"/>
      <c r="J117" s="328">
        <f>H117/DAY(B2)</f>
        <v>244.22208333333342</v>
      </c>
      <c r="Q117" s="898"/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'23'!F118</f>
        <v>78322</v>
      </c>
      <c r="F118" s="237">
        <v>78956.149999999994</v>
      </c>
      <c r="G118" s="112">
        <f t="shared" si="9"/>
        <v>634.14999999999418</v>
      </c>
      <c r="H118" s="99">
        <f>G118+'23'!H118</f>
        <v>14284.149999999994</v>
      </c>
      <c r="I118" s="165"/>
      <c r="J118" s="328">
        <f>H118/DAY(B2)</f>
        <v>595.17291666666642</v>
      </c>
      <c r="Q118" s="898"/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'23'!F119</f>
        <v>41908</v>
      </c>
      <c r="F119" s="237">
        <v>41936.449999999997</v>
      </c>
      <c r="G119" s="112">
        <f t="shared" si="9"/>
        <v>28.44999999999709</v>
      </c>
      <c r="H119" s="99">
        <f>G119+'23'!H119</f>
        <v>4487.4499999999971</v>
      </c>
      <c r="I119" s="165"/>
      <c r="J119" s="328">
        <f>H119/DAY(B2)</f>
        <v>186.97708333333321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'23'!F120</f>
        <v>55755</v>
      </c>
      <c r="F120" s="237">
        <v>56180.88</v>
      </c>
      <c r="G120" s="112">
        <f t="shared" si="9"/>
        <v>425.87999999999738</v>
      </c>
      <c r="H120" s="99">
        <f>G120+'23'!H120</f>
        <v>9913.8799999999974</v>
      </c>
      <c r="I120" s="165"/>
      <c r="J120" s="328">
        <f>H120/DAY(B2)</f>
        <v>413.07833333333321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'23'!F121</f>
        <v>64249</v>
      </c>
      <c r="F121" s="237">
        <v>64699.44</v>
      </c>
      <c r="G121" s="112">
        <f t="shared" si="9"/>
        <v>450.44000000000233</v>
      </c>
      <c r="H121" s="99">
        <f>G121+'23'!H121</f>
        <v>11156.440000000002</v>
      </c>
      <c r="I121" s="165"/>
      <c r="J121" s="328">
        <f>H121/DAY(B2)</f>
        <v>464.85166666666674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'23'!F122</f>
        <v>36158</v>
      </c>
      <c r="F122" s="237">
        <v>36441.18</v>
      </c>
      <c r="G122" s="112">
        <f t="shared" si="9"/>
        <v>283.18000000000029</v>
      </c>
      <c r="H122" s="99">
        <f>G122+'23'!H122</f>
        <v>7767.18</v>
      </c>
      <c r="I122" s="165"/>
      <c r="J122" s="328">
        <f>H122/DAY(B2)</f>
        <v>323.63249999999999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'23'!F123</f>
        <v>37685</v>
      </c>
      <c r="F123" s="237">
        <v>38021.81</v>
      </c>
      <c r="G123" s="112">
        <f t="shared" si="9"/>
        <v>336.80999999999767</v>
      </c>
      <c r="H123" s="99">
        <f>G123+'23'!H123</f>
        <v>7833.8099999999977</v>
      </c>
      <c r="I123" s="165"/>
      <c r="J123" s="328">
        <f>H123/DAY(B2)</f>
        <v>326.40874999999988</v>
      </c>
    </row>
    <row r="124" spans="1:18" ht="29.25" customHeight="1">
      <c r="A124" s="902"/>
      <c r="B124" s="903"/>
      <c r="C124" s="904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5.5">
      <c r="A125" s="880" t="s">
        <v>196</v>
      </c>
      <c r="B125" s="881"/>
      <c r="C125" s="245"/>
      <c r="D125" s="307"/>
      <c r="E125" s="308"/>
      <c r="F125" s="308"/>
      <c r="G125" s="309">
        <f>SUM(G112:G124)</f>
        <v>3368.1599999999908</v>
      </c>
      <c r="H125" s="156"/>
      <c r="I125" s="327">
        <f>G125-(G39+G53)</f>
        <v>-716.52999999995336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'23'!F128</f>
        <v>138683</v>
      </c>
      <c r="F128" s="165">
        <v>139057.91</v>
      </c>
      <c r="G128" s="112">
        <f t="shared" ref="G128:G134" si="10">F128-E128</f>
        <v>374.91000000000349</v>
      </c>
      <c r="H128" s="99">
        <f>G128+'23'!H128</f>
        <v>11413.910000000003</v>
      </c>
      <c r="I128" s="165"/>
      <c r="J128" s="328">
        <f>H128/DAY(B2)</f>
        <v>475.57958333333346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'23'!F129</f>
        <v>77033</v>
      </c>
      <c r="F129" s="165">
        <v>77235.47</v>
      </c>
      <c r="G129" s="112">
        <f t="shared" si="10"/>
        <v>202.47000000000116</v>
      </c>
      <c r="H129" s="99">
        <f>G129+'23'!H129</f>
        <v>4732.4700000000012</v>
      </c>
      <c r="I129" s="165"/>
      <c r="J129" s="328">
        <f>H129/DAY(B2)</f>
        <v>197.18625000000006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'23'!F130</f>
        <v>180406</v>
      </c>
      <c r="F130" s="165">
        <v>181097.23</v>
      </c>
      <c r="G130" s="112">
        <f t="shared" si="10"/>
        <v>691.23000000001048</v>
      </c>
      <c r="H130" s="99">
        <f>G130+'23'!H130</f>
        <v>15961.709999999992</v>
      </c>
      <c r="I130" s="165"/>
      <c r="J130" s="328">
        <f>H130/DAY(B2)</f>
        <v>665.07124999999962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'23'!F131</f>
        <v>52717</v>
      </c>
      <c r="F131" s="165">
        <v>52896.83</v>
      </c>
      <c r="G131" s="112">
        <f t="shared" si="10"/>
        <v>179.83000000000175</v>
      </c>
      <c r="H131" s="99">
        <f>G131+'23'!H131</f>
        <v>4447.8300000000017</v>
      </c>
      <c r="I131" s="165"/>
      <c r="J131" s="328">
        <f>H131/DAY(B2)</f>
        <v>185.32625000000007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'23'!F132</f>
        <v>137622</v>
      </c>
      <c r="F132" s="165">
        <v>138045.23000000001</v>
      </c>
      <c r="G132" s="112">
        <f t="shared" si="10"/>
        <v>423.23000000001048</v>
      </c>
      <c r="H132" s="99">
        <f>G132+'23'!H132</f>
        <v>9871.2300000000105</v>
      </c>
      <c r="I132" s="165"/>
      <c r="J132" s="328">
        <f>H132/DAY(B2)</f>
        <v>411.30125000000044</v>
      </c>
    </row>
    <row r="133" spans="1:15" ht="25.5">
      <c r="A133" s="898" t="s">
        <v>359</v>
      </c>
      <c r="B133" s="899"/>
      <c r="C133" s="900"/>
      <c r="D133" s="151" t="s">
        <v>183</v>
      </c>
      <c r="E133" s="95">
        <f>'23'!F133</f>
        <v>233869</v>
      </c>
      <c r="F133" s="165">
        <v>234762.23</v>
      </c>
      <c r="G133" s="112">
        <f t="shared" si="10"/>
        <v>893.23000000001048</v>
      </c>
      <c r="H133" s="99">
        <f>G133+'23'!H133</f>
        <v>12357.660000000003</v>
      </c>
      <c r="I133" s="165"/>
      <c r="J133" s="328">
        <f>H133/DAY(B2)</f>
        <v>514.90250000000015</v>
      </c>
    </row>
    <row r="134" spans="1:15" ht="25.5">
      <c r="A134" s="898" t="s">
        <v>340</v>
      </c>
      <c r="B134" s="899"/>
      <c r="C134" s="900"/>
      <c r="D134" s="151" t="s">
        <v>183</v>
      </c>
      <c r="E134" s="95">
        <f>'23'!F134</f>
        <v>54169</v>
      </c>
      <c r="F134" s="158">
        <v>54418.31</v>
      </c>
      <c r="G134" s="112">
        <f t="shared" si="10"/>
        <v>249.30999999999767</v>
      </c>
      <c r="H134" s="99">
        <f>G134+'23'!H134</f>
        <v>5383.3099999999977</v>
      </c>
      <c r="I134" s="165"/>
      <c r="J134" s="328">
        <f>H134/DAY(B2)</f>
        <v>224.30458333333323</v>
      </c>
    </row>
    <row r="135" spans="1:15" ht="25.5">
      <c r="A135" s="880" t="s">
        <v>196</v>
      </c>
      <c r="B135" s="881"/>
      <c r="C135" s="331"/>
      <c r="D135" s="151"/>
      <c r="E135" s="95"/>
      <c r="F135" s="165"/>
      <c r="G135" s="112">
        <f>SUM(G128:G134)</f>
        <v>3014.2100000000355</v>
      </c>
      <c r="H135" s="99">
        <f>G135+'23'!H135</f>
        <v>27689.180000000022</v>
      </c>
      <c r="I135" s="327">
        <f>G135-(G35+G49)</f>
        <v>-796.15000000000873</v>
      </c>
      <c r="J135" s="328"/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'23'!F138</f>
        <v>894252</v>
      </c>
      <c r="F138" s="147">
        <v>894382</v>
      </c>
      <c r="G138" s="112">
        <f t="shared" ref="G138:G152" si="11">F138-E138</f>
        <v>130</v>
      </c>
      <c r="H138" s="99">
        <f>G138+'23'!H138</f>
        <v>3271</v>
      </c>
      <c r="I138" s="118"/>
      <c r="J138" s="328">
        <f>H138/DAY(B2)</f>
        <v>136.29166666666666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'23'!F139</f>
        <v>912392</v>
      </c>
      <c r="F139" s="148">
        <v>912536</v>
      </c>
      <c r="G139" s="112">
        <f t="shared" si="11"/>
        <v>144</v>
      </c>
      <c r="H139" s="99">
        <f>G139+'23'!H139</f>
        <v>3641</v>
      </c>
      <c r="I139" s="118"/>
      <c r="J139" s="328">
        <f>H139/DAY(B2)</f>
        <v>151.70833333333334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'23'!F140</f>
        <v>1851</v>
      </c>
      <c r="F140" s="149">
        <v>1868.62</v>
      </c>
      <c r="G140" s="112">
        <f t="shared" si="11"/>
        <v>17.619999999999891</v>
      </c>
      <c r="H140" s="99">
        <f>G140+'23'!H140</f>
        <v>355.61999999999989</v>
      </c>
      <c r="I140" s="118"/>
      <c r="J140" s="328">
        <f>H140/DAY(B2)</f>
        <v>14.817499999999995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'23'!F141</f>
        <v>95130</v>
      </c>
      <c r="F141" s="149">
        <v>95334.83</v>
      </c>
      <c r="G141" s="112">
        <f t="shared" si="11"/>
        <v>204.83000000000175</v>
      </c>
      <c r="H141" s="99">
        <f>G141+'23'!H141</f>
        <v>4882.8300000000017</v>
      </c>
      <c r="I141" s="118"/>
      <c r="J141" s="328">
        <f>H141/DAY(B2)</f>
        <v>203.45125000000007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'23'!F142</f>
        <v>38553</v>
      </c>
      <c r="F142" s="148">
        <v>38634.92</v>
      </c>
      <c r="G142" s="112">
        <f t="shared" si="11"/>
        <v>81.919999999998254</v>
      </c>
      <c r="H142" s="99">
        <f>G142+'23'!H142</f>
        <v>1973.9199999999983</v>
      </c>
      <c r="I142" s="140"/>
      <c r="J142" s="328">
        <f>H142/DAY(B2)</f>
        <v>82.246666666666599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'23'!F143</f>
        <v>9654</v>
      </c>
      <c r="F143" s="149">
        <v>9683.74</v>
      </c>
      <c r="G143" s="112">
        <f t="shared" si="11"/>
        <v>29.739999999999782</v>
      </c>
      <c r="H143" s="99">
        <f>G143+'23'!H143</f>
        <v>632.73999999999978</v>
      </c>
      <c r="I143" s="140"/>
      <c r="J143" s="328">
        <f>H143/DAY(B2)</f>
        <v>26.364166666666659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'23'!F144</f>
        <v>924904</v>
      </c>
      <c r="F144" s="149">
        <v>925125</v>
      </c>
      <c r="G144" s="112">
        <f t="shared" si="11"/>
        <v>221</v>
      </c>
      <c r="H144" s="99">
        <f>G144+'23'!H144</f>
        <v>5288</v>
      </c>
      <c r="I144" s="140"/>
      <c r="J144" s="328">
        <f>H144/DAY(B2)</f>
        <v>220.33333333333334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'23'!F145</f>
        <v>6570</v>
      </c>
      <c r="F145" s="149">
        <v>6640</v>
      </c>
      <c r="G145" s="112">
        <f t="shared" si="11"/>
        <v>70</v>
      </c>
      <c r="H145" s="99">
        <f>G145+'23'!H145</f>
        <v>833</v>
      </c>
      <c r="I145" s="140"/>
      <c r="J145" s="328">
        <f>H145/DAY(B2)</f>
        <v>34.708333333333336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'23'!F146</f>
        <v>782407</v>
      </c>
      <c r="F146" s="148">
        <v>782454</v>
      </c>
      <c r="G146" s="112">
        <f t="shared" si="11"/>
        <v>47</v>
      </c>
      <c r="H146" s="99">
        <f>G146+'23'!H146</f>
        <v>1654</v>
      </c>
      <c r="I146" s="140"/>
      <c r="J146" s="328">
        <f>H146/DAY(B2)</f>
        <v>68.916666666666671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'23'!F147</f>
        <v>708610</v>
      </c>
      <c r="F147" s="148">
        <v>708987.6</v>
      </c>
      <c r="G147" s="112">
        <f t="shared" si="11"/>
        <v>377.59999999997672</v>
      </c>
      <c r="H147" s="99">
        <f>G147+'23'!H147</f>
        <v>9218.5999999999767</v>
      </c>
      <c r="I147" s="140"/>
      <c r="J147" s="328">
        <f>H147/DAY(B2)</f>
        <v>384.10833333333238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'23'!F148</f>
        <v>755476</v>
      </c>
      <c r="F148" s="150">
        <v>755774.72</v>
      </c>
      <c r="G148" s="112">
        <f t="shared" si="11"/>
        <v>298.71999999997206</v>
      </c>
      <c r="H148" s="99">
        <f>G148+'23'!H148</f>
        <v>7244.7199999999721</v>
      </c>
      <c r="I148" s="124"/>
      <c r="J148" s="328">
        <f>H148/DAY(B2)</f>
        <v>301.86333333333215</v>
      </c>
    </row>
    <row r="149" spans="1:10" ht="25.5">
      <c r="A149" s="877" t="s">
        <v>336</v>
      </c>
      <c r="B149" s="878"/>
      <c r="C149" s="879"/>
      <c r="D149" s="227" t="s">
        <v>130</v>
      </c>
      <c r="E149" s="95">
        <f>'23'!F149</f>
        <v>143110</v>
      </c>
      <c r="F149" s="146">
        <v>143550.64000000001</v>
      </c>
      <c r="G149" s="112">
        <f t="shared" si="11"/>
        <v>440.64000000001397</v>
      </c>
      <c r="H149" s="99">
        <f>G149+'23'!H149</f>
        <v>11116.640000000014</v>
      </c>
      <c r="I149" s="119"/>
      <c r="J149" s="328">
        <f>H149/DAY(B2)</f>
        <v>463.1933333333339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'23'!F150</f>
        <v>55696</v>
      </c>
      <c r="F150" s="233">
        <v>55929.47</v>
      </c>
      <c r="G150" s="112">
        <f t="shared" si="11"/>
        <v>233.47000000000116</v>
      </c>
      <c r="H150" s="99">
        <f>G150+'23'!H150</f>
        <v>5314.4700000000012</v>
      </c>
      <c r="I150" s="119"/>
      <c r="J150" s="328">
        <f>H150/DAY(B2)</f>
        <v>221.43625000000006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'23'!F151</f>
        <v>141475</v>
      </c>
      <c r="F151" s="233">
        <v>141738</v>
      </c>
      <c r="G151" s="112">
        <f t="shared" si="11"/>
        <v>263</v>
      </c>
      <c r="H151" s="99">
        <f>G151+'23'!H151</f>
        <v>6289</v>
      </c>
      <c r="I151" s="119"/>
      <c r="J151" s="328">
        <f>H151/DAY(B2)</f>
        <v>262.04166666666669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'23'!F152</f>
        <v>25928</v>
      </c>
      <c r="F152" s="233">
        <v>26053.99</v>
      </c>
      <c r="G152" s="112">
        <f t="shared" si="11"/>
        <v>125.9900000000016</v>
      </c>
      <c r="H152" s="99">
        <f>G152+'23'!H152</f>
        <v>2899.9900000000016</v>
      </c>
      <c r="I152" s="119"/>
      <c r="J152" s="328">
        <f>H152/DAY(B2)</f>
        <v>120.83291666666673</v>
      </c>
    </row>
    <row r="153" spans="1:10" ht="25.5">
      <c r="A153" s="880" t="s">
        <v>196</v>
      </c>
      <c r="B153" s="881"/>
      <c r="C153" s="365"/>
      <c r="D153" s="358"/>
      <c r="E153" s="360"/>
      <c r="F153" s="361"/>
      <c r="G153" s="362">
        <f>SUM(G138:G152)</f>
        <v>2685.5299999999652</v>
      </c>
      <c r="H153" s="363"/>
      <c r="I153" s="119">
        <f>G153-(G38+G52)</f>
        <v>456.3799999999419</v>
      </c>
      <c r="J153" s="366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95">
        <f>'23'!F155</f>
        <v>162615</v>
      </c>
      <c r="F155" s="752">
        <v>163226.71</v>
      </c>
      <c r="G155" s="112">
        <f t="shared" ref="G155:G158" si="12">F155-E155</f>
        <v>611.70999999999185</v>
      </c>
      <c r="H155" s="99">
        <f>G155+'23'!H155</f>
        <v>15077.709999999992</v>
      </c>
      <c r="I155" s="364"/>
      <c r="J155" s="328">
        <f>H155/DAY(B2)</f>
        <v>628.23791666666637</v>
      </c>
    </row>
    <row r="156" spans="1:10" ht="25.5">
      <c r="A156" s="876" t="s">
        <v>347</v>
      </c>
      <c r="B156" s="876"/>
      <c r="C156" s="876"/>
      <c r="D156" s="117" t="s">
        <v>130</v>
      </c>
      <c r="E156" s="95">
        <f>'23'!F156</f>
        <v>17000</v>
      </c>
      <c r="F156" s="155">
        <v>17104.07</v>
      </c>
      <c r="G156" s="112">
        <f t="shared" si="12"/>
        <v>104.06999999999971</v>
      </c>
      <c r="H156" s="99">
        <f>G156+'23'!H156</f>
        <v>2568.0699999999997</v>
      </c>
      <c r="I156" s="165"/>
      <c r="J156" s="328">
        <f>H156/DAY(B2)</f>
        <v>107.00291666666665</v>
      </c>
    </row>
    <row r="157" spans="1:10" ht="25.5">
      <c r="A157" s="877" t="s">
        <v>360</v>
      </c>
      <c r="B157" s="878"/>
      <c r="C157" s="879"/>
      <c r="D157" s="117" t="s">
        <v>130</v>
      </c>
      <c r="E157" s="95">
        <f>'23'!F157</f>
        <v>30494</v>
      </c>
      <c r="F157" s="155">
        <v>30637.45</v>
      </c>
      <c r="G157" s="112">
        <f t="shared" si="12"/>
        <v>143.45000000000073</v>
      </c>
      <c r="H157" s="99">
        <f>G157+'23'!H157</f>
        <v>597.95000000000073</v>
      </c>
      <c r="I157" s="165"/>
      <c r="J157" s="328"/>
    </row>
    <row r="158" spans="1:10" ht="25.5">
      <c r="A158" s="877" t="s">
        <v>361</v>
      </c>
      <c r="B158" s="878"/>
      <c r="C158" s="879"/>
      <c r="D158" s="117" t="s">
        <v>130</v>
      </c>
      <c r="E158" s="95">
        <f>'23'!F158</f>
        <v>275.75</v>
      </c>
      <c r="F158" s="155">
        <v>275.85000000000002</v>
      </c>
      <c r="G158" s="112">
        <f t="shared" si="12"/>
        <v>0.10000000000002274</v>
      </c>
      <c r="H158" s="99">
        <f>G158+'23'!H158</f>
        <v>34.460000000000036</v>
      </c>
      <c r="I158" s="165"/>
      <c r="J158" s="328"/>
    </row>
    <row r="159" spans="1:10" ht="25.5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481470</v>
      </c>
      <c r="F161" s="235">
        <v>481535.72</v>
      </c>
      <c r="G161" s="238">
        <f t="shared" ref="G161:G165" si="13">F161-E161</f>
        <v>65.71999999997206</v>
      </c>
      <c r="H161" s="99">
        <f>G161+'23'!H161</f>
        <v>488.71999999997206</v>
      </c>
      <c r="I161" s="236"/>
      <c r="J161" s="239">
        <f>H161/DAY(B2)</f>
        <v>20.363333333332168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95845</v>
      </c>
      <c r="F162" s="235">
        <v>95886</v>
      </c>
      <c r="G162" s="238">
        <f t="shared" si="13"/>
        <v>41</v>
      </c>
      <c r="H162" s="99">
        <f>G162+'23'!H162</f>
        <v>958</v>
      </c>
      <c r="I162" s="236"/>
      <c r="J162" s="239">
        <f>H162/DAY(B2)</f>
        <v>39.916666666666664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9120</v>
      </c>
      <c r="F163" s="235">
        <v>9243.4</v>
      </c>
      <c r="G163" s="238">
        <f t="shared" si="13"/>
        <v>123.39999999999964</v>
      </c>
      <c r="H163" s="99">
        <f>G163+'23'!H163</f>
        <v>2742.3999999999996</v>
      </c>
      <c r="I163" s="236"/>
      <c r="J163" s="239">
        <f>H163/DAY(B2)</f>
        <v>114.26666666666665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6358</v>
      </c>
      <c r="F164" s="235">
        <v>6366.3</v>
      </c>
      <c r="G164" s="238">
        <f t="shared" si="13"/>
        <v>8.3000000000001819</v>
      </c>
      <c r="H164" s="99">
        <f>G164+'23'!H164</f>
        <v>86.300000000000182</v>
      </c>
      <c r="I164" s="236"/>
      <c r="J164" s="239">
        <f>H164/DAY(B2)</f>
        <v>3.5958333333333408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31804</v>
      </c>
      <c r="F165" s="235">
        <v>31813.15</v>
      </c>
      <c r="G165" s="238">
        <f t="shared" si="13"/>
        <v>9.1500000000014552</v>
      </c>
      <c r="H165" s="99">
        <f>G165+'23'!H165</f>
        <v>179.15000000000146</v>
      </c>
      <c r="I165" s="236"/>
      <c r="J165" s="239">
        <f>H165/DAY(B2)</f>
        <v>7.464583333333394</v>
      </c>
    </row>
    <row r="166" spans="1:10" ht="26.25">
      <c r="A166" s="885"/>
      <c r="B166" s="885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885"/>
      <c r="B167" s="885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885"/>
      <c r="B168" s="885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1.75" customHeight="1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891" t="s">
        <v>209</v>
      </c>
      <c r="B173" s="892"/>
      <c r="C173" s="333"/>
      <c r="D173" s="228" t="s">
        <v>142</v>
      </c>
      <c r="E173" s="95">
        <f>'23'!F173</f>
        <v>8231</v>
      </c>
      <c r="F173" s="155">
        <v>8231</v>
      </c>
      <c r="G173" s="155">
        <f>F173-E173</f>
        <v>0</v>
      </c>
      <c r="H173" s="99">
        <f>G173+'23'!H173</f>
        <v>47</v>
      </c>
      <c r="I173" s="155"/>
      <c r="J173" s="178">
        <f>H173/DAY(B2)</f>
        <v>1.9583333333333333</v>
      </c>
    </row>
    <row r="174" spans="1:10" ht="27" customHeight="1">
      <c r="A174" s="891" t="s">
        <v>75</v>
      </c>
      <c r="B174" s="892"/>
      <c r="C174" s="333"/>
      <c r="D174" s="228" t="s">
        <v>142</v>
      </c>
      <c r="E174" s="95">
        <f>'23'!F174</f>
        <v>41508</v>
      </c>
      <c r="F174" s="157">
        <v>41520</v>
      </c>
      <c r="G174" s="155">
        <f t="shared" ref="G174:G175" si="14">F174-E174</f>
        <v>12</v>
      </c>
      <c r="H174" s="99">
        <f>G174+'23'!H174</f>
        <v>316</v>
      </c>
      <c r="I174" s="155"/>
      <c r="J174" s="178">
        <f>H174/DAY(B2)</f>
        <v>13.166666666666666</v>
      </c>
    </row>
    <row r="175" spans="1:10" ht="27" customHeight="1">
      <c r="A175" s="891" t="s">
        <v>76</v>
      </c>
      <c r="B175" s="931"/>
      <c r="C175" s="892"/>
      <c r="D175" s="228" t="s">
        <v>142</v>
      </c>
      <c r="E175" s="95">
        <f>'23'!F175</f>
        <v>24289</v>
      </c>
      <c r="F175" s="155">
        <v>24299</v>
      </c>
      <c r="G175" s="155">
        <f t="shared" si="14"/>
        <v>10</v>
      </c>
      <c r="H175" s="99">
        <f>G175+'23'!H175</f>
        <v>268</v>
      </c>
      <c r="I175" s="155"/>
      <c r="J175" s="178">
        <f>H175/DAY(B2)</f>
        <v>11.166666666666666</v>
      </c>
    </row>
    <row r="176" spans="1:10" ht="21.75" customHeight="1">
      <c r="A176" s="880" t="s">
        <v>196</v>
      </c>
      <c r="B176" s="881"/>
      <c r="C176" s="401"/>
      <c r="D176" s="228" t="s">
        <v>142</v>
      </c>
      <c r="E176" s="95"/>
      <c r="F176" s="155"/>
      <c r="G176" s="155">
        <f>SUM(G173:G175)</f>
        <v>22</v>
      </c>
      <c r="H176" s="99">
        <f>G176+'23'!H176</f>
        <v>631</v>
      </c>
      <c r="I176" s="155"/>
      <c r="J176" s="178">
        <f>H176/DAY(B2)</f>
        <v>26.291666666666668</v>
      </c>
    </row>
    <row r="177" spans="1:10" ht="21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'23'!F178</f>
        <v>99461</v>
      </c>
      <c r="F178" s="155">
        <v>99536</v>
      </c>
      <c r="G178" s="155">
        <f>F178-E178</f>
        <v>75</v>
      </c>
      <c r="H178" s="99">
        <f>G178+'23'!H178</f>
        <v>1823</v>
      </c>
      <c r="I178" s="155"/>
      <c r="J178" s="178">
        <f>H178/DAY(B2)</f>
        <v>75.958333333333329</v>
      </c>
    </row>
    <row r="179" spans="1:10" ht="24" customHeight="1">
      <c r="A179" s="891" t="s">
        <v>211</v>
      </c>
      <c r="B179" s="892"/>
      <c r="C179" s="333"/>
      <c r="D179" s="228" t="s">
        <v>142</v>
      </c>
      <c r="E179" s="95">
        <v>37212</v>
      </c>
      <c r="F179" s="155">
        <v>37279</v>
      </c>
      <c r="G179" s="155">
        <f t="shared" ref="G179:G180" si="15">F179-E179</f>
        <v>67</v>
      </c>
      <c r="H179" s="99">
        <f>G179+'23'!H179</f>
        <v>67</v>
      </c>
      <c r="I179" s="155"/>
      <c r="J179" s="178">
        <f>H179/DAY(B2)</f>
        <v>2.7916666666666665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v>7183</v>
      </c>
      <c r="F180" s="155">
        <v>7183</v>
      </c>
      <c r="G180" s="155">
        <f t="shared" si="15"/>
        <v>0</v>
      </c>
      <c r="H180" s="99">
        <f>G180+'23'!H180</f>
        <v>194</v>
      </c>
      <c r="I180" s="155"/>
      <c r="J180" s="178">
        <f>H180/DAY(B2)</f>
        <v>8.0833333333333339</v>
      </c>
    </row>
    <row r="181" spans="1:10" ht="25.5">
      <c r="A181" s="893" t="s">
        <v>108</v>
      </c>
      <c r="B181" s="894"/>
      <c r="C181" s="401"/>
      <c r="D181" s="228" t="s">
        <v>142</v>
      </c>
      <c r="E181" s="95"/>
      <c r="F181" s="155"/>
      <c r="G181" s="155">
        <f>SUM(G178:G180)</f>
        <v>142</v>
      </c>
      <c r="H181" s="99">
        <f>G181+'23'!H181</f>
        <v>2084</v>
      </c>
      <c r="I181" s="155"/>
      <c r="J181" s="178">
        <f>H181/DAY(B2)</f>
        <v>86.833333333333329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'23'!F183</f>
        <v>17640</v>
      </c>
      <c r="F183" s="157">
        <v>17644</v>
      </c>
      <c r="G183" s="157">
        <f>F183-E183</f>
        <v>4</v>
      </c>
      <c r="H183" s="99">
        <f>G183+'23'!H183</f>
        <v>171</v>
      </c>
      <c r="I183" s="155"/>
      <c r="J183" s="178">
        <f>H183/DAY(B2)</f>
        <v>7.125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'23'!F184</f>
        <v>12106</v>
      </c>
      <c r="F184" s="157">
        <v>12113</v>
      </c>
      <c r="G184" s="157">
        <f t="shared" ref="G184:G185" si="16">F184-E184</f>
        <v>7</v>
      </c>
      <c r="H184" s="99">
        <f>G184+'23'!H184</f>
        <v>178</v>
      </c>
      <c r="I184" s="155"/>
      <c r="J184" s="178">
        <f>H184/DAY(B2)</f>
        <v>7.416666666666667</v>
      </c>
    </row>
    <row r="185" spans="1:10" ht="26.25" customHeight="1">
      <c r="A185" s="891" t="s">
        <v>216</v>
      </c>
      <c r="B185" s="892"/>
      <c r="C185" s="334"/>
      <c r="D185" s="228" t="s">
        <v>142</v>
      </c>
      <c r="E185" s="95">
        <f>'23'!F185</f>
        <v>12106</v>
      </c>
      <c r="F185" s="157"/>
      <c r="G185" s="157">
        <f t="shared" si="16"/>
        <v>-12106</v>
      </c>
      <c r="H185" s="99">
        <f>G185+'23'!H185</f>
        <v>0</v>
      </c>
      <c r="I185" s="155"/>
      <c r="J185" s="178">
        <f>H185/DAY(B2)</f>
        <v>0</v>
      </c>
    </row>
    <row r="186" spans="1:10" ht="25.5">
      <c r="A186" s="880" t="s">
        <v>196</v>
      </c>
      <c r="B186" s="881"/>
      <c r="C186" s="400"/>
      <c r="D186" s="228" t="s">
        <v>142</v>
      </c>
      <c r="E186" s="95"/>
      <c r="F186" s="157"/>
      <c r="G186" s="157">
        <f>SUM(G183:G185)</f>
        <v>-12095</v>
      </c>
      <c r="H186" s="99">
        <f>G186+'23'!H186</f>
        <v>349</v>
      </c>
      <c r="I186" s="157"/>
      <c r="J186" s="178">
        <f>H186/DAY(B2)</f>
        <v>14.541666666666666</v>
      </c>
    </row>
    <row r="187" spans="1:10" ht="25.5">
      <c r="A187" s="882" t="s">
        <v>217</v>
      </c>
      <c r="B187" s="883"/>
      <c r="C187" s="333"/>
      <c r="D187" s="230" t="s">
        <v>142</v>
      </c>
      <c r="E187" s="95">
        <f>'23'!F187</f>
        <v>0</v>
      </c>
      <c r="F187" s="159"/>
      <c r="G187" s="378">
        <f>G62+G19</f>
        <v>179</v>
      </c>
      <c r="H187" s="99">
        <f>G187+'23'!H187</f>
        <v>3814</v>
      </c>
      <c r="I187" s="158"/>
      <c r="J187" s="179">
        <f>H187/DAY(B2)</f>
        <v>158.91666666666666</v>
      </c>
    </row>
    <row r="188" spans="1:10" ht="25.5">
      <c r="A188" s="882" t="s">
        <v>218</v>
      </c>
      <c r="B188" s="883"/>
      <c r="C188" s="333"/>
      <c r="D188" s="230" t="s">
        <v>142</v>
      </c>
      <c r="E188" s="95">
        <f>'23'!F188</f>
        <v>0</v>
      </c>
      <c r="F188" s="159"/>
      <c r="G188" s="378">
        <f>G65+G66+G67+G69+G70</f>
        <v>149</v>
      </c>
      <c r="H188" s="99">
        <f>G188+'23'!H188</f>
        <v>1534</v>
      </c>
      <c r="I188" s="158"/>
      <c r="J188" s="179">
        <f>H188/DAY(B2)</f>
        <v>63.916666666666664</v>
      </c>
    </row>
    <row r="189" spans="1:10" ht="25.5">
      <c r="A189" s="882" t="s">
        <v>219</v>
      </c>
      <c r="B189" s="883"/>
      <c r="C189" s="333"/>
      <c r="D189" s="230" t="s">
        <v>142</v>
      </c>
      <c r="E189" s="95">
        <f>'23'!F189</f>
        <v>0</v>
      </c>
      <c r="F189" s="157"/>
      <c r="G189" s="377">
        <f>G181</f>
        <v>142</v>
      </c>
      <c r="H189" s="99">
        <f>G189+'23'!H189</f>
        <v>575</v>
      </c>
      <c r="I189" s="158"/>
      <c r="J189" s="179">
        <f>H189/DAY(B2)</f>
        <v>23.958333333333332</v>
      </c>
    </row>
    <row r="190" spans="1:10" ht="25.5">
      <c r="A190" s="889"/>
      <c r="B190" s="89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zoomScale="55" zoomScaleNormal="49" zoomScaleSheetLayoutView="55" workbookViewId="0">
      <selection activeCell="H185" sqref="H185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354</v>
      </c>
      <c r="B2" s="262">
        <v>44798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952289.11</v>
      </c>
      <c r="F7" s="95">
        <v>979138.07</v>
      </c>
      <c r="G7" s="112">
        <f>F7-E7</f>
        <v>26848.959999999963</v>
      </c>
      <c r="H7" s="99">
        <f>G7+'24'!H7</f>
        <v>642679.81999999995</v>
      </c>
      <c r="I7" s="113">
        <f>'1'!I7</f>
        <v>12000</v>
      </c>
      <c r="J7" s="175">
        <f>H7/DAY(B2)</f>
        <v>25707.192799999997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'24'!F8</f>
        <v>110549.02</v>
      </c>
      <c r="F8" s="95">
        <v>137649.76999999999</v>
      </c>
      <c r="G8" s="115">
        <f>F8-E8</f>
        <v>27100.749999999985</v>
      </c>
      <c r="H8" s="99">
        <f>G8+'24'!H8</f>
        <v>649253.47</v>
      </c>
      <c r="I8" s="116"/>
      <c r="J8" s="175">
        <f>H8/DAY(B2)</f>
        <v>25970.138800000001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3435615.1</v>
      </c>
      <c r="F9" s="469">
        <v>3443648.7</v>
      </c>
      <c r="G9" s="112">
        <f>F9-E9</f>
        <v>8033.6000000000931</v>
      </c>
      <c r="H9" s="99">
        <f>G9+'24'!H9</f>
        <v>164582.70000000019</v>
      </c>
      <c r="I9" s="124">
        <f>I7-J7</f>
        <v>-13707.192799999997</v>
      </c>
      <c r="J9" s="175">
        <f>H9/DAY(B2)</f>
        <v>6583.3080000000073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2109223.2999999998</v>
      </c>
      <c r="F10" s="353">
        <v>2127337.1</v>
      </c>
      <c r="G10" s="112">
        <f t="shared" ref="G10:G12" si="0">F10-E10</f>
        <v>18113.800000000279</v>
      </c>
      <c r="H10" s="99">
        <f>G10+'24'!H10</f>
        <v>460179.10000000009</v>
      </c>
      <c r="I10" s="282"/>
      <c r="J10" s="175">
        <f>H10/DAY(B2)</f>
        <v>18407.164000000004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37560</v>
      </c>
      <c r="F11" s="95">
        <v>37560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40380</v>
      </c>
      <c r="F12" s="117">
        <v>40380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26147.400000000373</v>
      </c>
      <c r="H13" s="99">
        <f>G13+'24'!H13</f>
        <v>626096.40000000014</v>
      </c>
      <c r="I13" s="120">
        <f>G7-G13</f>
        <v>701.55999999959022</v>
      </c>
      <c r="J13" s="175">
        <f>H13/DAY(B2)</f>
        <v>25043.856000000007</v>
      </c>
      <c r="K13" s="79"/>
      <c r="L13" s="66"/>
      <c r="N13" s="87"/>
      <c r="O13" s="71"/>
    </row>
    <row r="14" spans="1:15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'24'!F15</f>
        <v>2125236.8199999998</v>
      </c>
      <c r="F15" s="469">
        <v>2126181.2000000002</v>
      </c>
      <c r="G15" s="112">
        <f>(F15-E15)</f>
        <v>944.3800000003539</v>
      </c>
      <c r="H15" s="99">
        <f>G15+'24'!H15</f>
        <v>25313.200000000186</v>
      </c>
      <c r="I15" s="113">
        <f>'1'!I15</f>
        <v>800</v>
      </c>
      <c r="J15" s="175">
        <f>H15/DAY(B2)</f>
        <v>1012.5280000000074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-212.52800000000741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'24'!F18</f>
        <v>25</v>
      </c>
      <c r="F18" s="122">
        <v>8</v>
      </c>
      <c r="G18" s="119">
        <f>F18*10</f>
        <v>80</v>
      </c>
      <c r="H18" s="99">
        <f>G18+'24'!H18</f>
        <v>3910</v>
      </c>
      <c r="I18" s="113">
        <f>'1'!I18</f>
        <v>65</v>
      </c>
      <c r="J18" s="175">
        <f>H18/DAY(B2)</f>
        <v>156.4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'24'!F19</f>
        <v>163541</v>
      </c>
      <c r="F19" s="150">
        <v>163590</v>
      </c>
      <c r="G19" s="112">
        <f t="shared" ref="G19" si="1">F19-E19</f>
        <v>49</v>
      </c>
      <c r="H19" s="99">
        <f>G19+'24'!H19</f>
        <v>1255</v>
      </c>
      <c r="I19" s="335"/>
      <c r="J19" s="175">
        <f>H19/DAY(B2)</f>
        <v>50.2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129</v>
      </c>
      <c r="H20" s="99">
        <f>G20+'24'!H20</f>
        <v>5165</v>
      </c>
      <c r="I20" s="336">
        <f>I18-J20</f>
        <v>-141.6</v>
      </c>
      <c r="J20" s="175">
        <f>H20/DAY(B2)</f>
        <v>206.6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'24'!F23</f>
        <v>1500</v>
      </c>
      <c r="F23" s="122">
        <v>1500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4470</v>
      </c>
      <c r="F24" s="128">
        <v>4470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27100.749999999985</v>
      </c>
      <c r="F27" s="136">
        <v>9</v>
      </c>
      <c r="G27" s="137">
        <f>E27*F27</f>
        <v>243906.74999999988</v>
      </c>
      <c r="H27" s="99">
        <f>G27+'24'!H27</f>
        <v>5843281.2299999995</v>
      </c>
      <c r="I27" s="138"/>
      <c r="J27" s="175">
        <f>H27/DAY(B2)</f>
        <v>233731.24919999999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944.3800000003539</v>
      </c>
      <c r="F28" s="136">
        <v>70</v>
      </c>
      <c r="G28" s="137">
        <f>E28*F28</f>
        <v>66106.600000024773</v>
      </c>
      <c r="H28" s="99">
        <f>G28+'24'!H28</f>
        <v>1771924.000000013</v>
      </c>
      <c r="I28" s="140"/>
      <c r="J28" s="175">
        <f>H28/DAY(B2)</f>
        <v>70876.960000000516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G30+'24'!H30</f>
        <v>189505</v>
      </c>
      <c r="I30" s="140"/>
      <c r="J30" s="175">
        <f>H30/DAY(B2)</f>
        <v>7580.2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G31+'24'!H31</f>
        <v>312800</v>
      </c>
      <c r="I31" s="140"/>
      <c r="J31" s="175">
        <f>H31/DAY(B2)</f>
        <v>12512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323812.35000002466</v>
      </c>
      <c r="H32" s="99">
        <f>G32+'24'!H32</f>
        <v>8117510.2300000126</v>
      </c>
      <c r="I32" s="144"/>
      <c r="J32" s="175">
        <f>H32/DAY(B2)</f>
        <v>324700.40920000052</v>
      </c>
      <c r="K32" s="63"/>
      <c r="L32" s="89"/>
      <c r="N32" s="87"/>
      <c r="O32" s="71"/>
    </row>
    <row r="33" spans="1:15" ht="25.5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238713.05</v>
      </c>
      <c r="F35" s="145">
        <v>238713.05</v>
      </c>
      <c r="G35" s="112">
        <f t="shared" ref="G35:G46" si="3">F35-E35</f>
        <v>0</v>
      </c>
      <c r="H35" s="99">
        <f>G35+'24'!H35</f>
        <v>4.9999999988358468E-2</v>
      </c>
      <c r="I35" s="95"/>
      <c r="J35" s="175">
        <f>H35/DAY(B2)</f>
        <v>1.9999999995343387E-3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235734.39</v>
      </c>
      <c r="F36" s="145">
        <v>236804.79</v>
      </c>
      <c r="G36" s="112">
        <f t="shared" si="3"/>
        <v>1070.3999999999942</v>
      </c>
      <c r="H36" s="99">
        <f>G36+'24'!H36</f>
        <v>21274.790000000008</v>
      </c>
      <c r="I36" s="95"/>
      <c r="J36" s="175">
        <f>H36/DAY(B2)</f>
        <v>850.99160000000029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322998.69</v>
      </c>
      <c r="F37" s="145">
        <v>322998.69</v>
      </c>
      <c r="G37" s="112">
        <f t="shared" si="3"/>
        <v>0</v>
      </c>
      <c r="H37" s="99">
        <f>G37+'24'!H37</f>
        <v>-0.30999999999767169</v>
      </c>
      <c r="I37" s="95"/>
      <c r="J37" s="175">
        <f>H37/DAY(B2)</f>
        <v>-1.2399999999906867E-2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510688.15</v>
      </c>
      <c r="F38" s="108">
        <v>512886.75</v>
      </c>
      <c r="G38" s="112">
        <f t="shared" si="3"/>
        <v>2198.5999999999767</v>
      </c>
      <c r="H38" s="99">
        <f>G38+'24'!H38</f>
        <v>55525.75</v>
      </c>
      <c r="I38" s="95"/>
      <c r="J38" s="175">
        <f>H38/DAY(B2)</f>
        <v>2221.0300000000002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591584.18999999994</v>
      </c>
      <c r="F39" s="145">
        <v>591584.18999999994</v>
      </c>
      <c r="G39" s="112">
        <f t="shared" si="3"/>
        <v>0</v>
      </c>
      <c r="H39" s="99">
        <f>G39+'24'!H39</f>
        <v>0.18999999994412065</v>
      </c>
      <c r="I39" s="95"/>
      <c r="J39" s="175">
        <f>H39/DAY(B2)</f>
        <v>7.5999999977648261E-3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127434.58</v>
      </c>
      <c r="F40" s="145">
        <v>128254.95</v>
      </c>
      <c r="G40" s="112">
        <f t="shared" si="3"/>
        <v>820.36999999999534</v>
      </c>
      <c r="H40" s="99">
        <f>G40+'24'!H40</f>
        <v>21478.949999999997</v>
      </c>
      <c r="I40" s="95"/>
      <c r="J40" s="175">
        <f>H40/DAY(B2)</f>
        <v>859.1579999999999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257421.37</v>
      </c>
      <c r="F41" s="145">
        <v>257421.37</v>
      </c>
      <c r="G41" s="112">
        <f t="shared" si="3"/>
        <v>0</v>
      </c>
      <c r="H41" s="99">
        <f>G41+'24'!H41</f>
        <v>45718.369999999995</v>
      </c>
      <c r="I41" s="95"/>
      <c r="J41" s="175">
        <f>H41/DAY(B2)</f>
        <v>1828.7347999999997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788875.83</v>
      </c>
      <c r="F42" s="145">
        <v>793826.95</v>
      </c>
      <c r="G42" s="112">
        <f t="shared" si="3"/>
        <v>4951.1199999999953</v>
      </c>
      <c r="H42" s="99">
        <f>G42+'24'!H42</f>
        <v>45462.949999999953</v>
      </c>
      <c r="I42" s="95"/>
      <c r="J42" s="175">
        <f>H42/DAY(B2)</f>
        <v>1818.5179999999982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407028.03</v>
      </c>
      <c r="F43" s="145">
        <v>407028.03</v>
      </c>
      <c r="G43" s="112">
        <f t="shared" si="3"/>
        <v>0</v>
      </c>
      <c r="H43" s="99">
        <f>G43+'24'!H43</f>
        <v>3.0000000027939677E-2</v>
      </c>
      <c r="I43" s="95"/>
      <c r="J43" s="175">
        <f>H43/DAY(B2)</f>
        <v>1.200000001117587E-3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9040.4899999999616</v>
      </c>
      <c r="H47" s="99">
        <f>G47+'24'!H47</f>
        <v>189460.76999999993</v>
      </c>
      <c r="I47" s="95"/>
      <c r="J47" s="175">
        <f>H47/DAY(B2)</f>
        <v>7578.4307999999974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579580.31000000006</v>
      </c>
      <c r="F49" s="145">
        <v>583405.59</v>
      </c>
      <c r="G49" s="112">
        <f t="shared" ref="G49:G58" si="4">F49-E49</f>
        <v>3825.2799999999115</v>
      </c>
      <c r="H49" s="99">
        <f>G49+'24'!H49</f>
        <v>98351.589999999967</v>
      </c>
      <c r="I49" s="95"/>
      <c r="J49" s="175">
        <f>H49/DAY(B2)</f>
        <v>3934.0635999999986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312648.53000000003</v>
      </c>
      <c r="F50" s="145">
        <v>314320.96999999997</v>
      </c>
      <c r="G50" s="112">
        <f t="shared" si="4"/>
        <v>1672.4399999999441</v>
      </c>
      <c r="H50" s="99">
        <f>G50+'24'!H50</f>
        <v>238204.39999999997</v>
      </c>
      <c r="I50" s="95"/>
      <c r="J50" s="175">
        <f>H50/DAY(B2)</f>
        <v>9528.1759999999995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33610.83</v>
      </c>
      <c r="F51" s="145">
        <v>34696.22</v>
      </c>
      <c r="G51" s="112">
        <f t="shared" si="4"/>
        <v>1085.3899999999994</v>
      </c>
      <c r="H51" s="99">
        <f>G51+'24'!H51</f>
        <v>26188.22</v>
      </c>
      <c r="I51" s="95"/>
      <c r="J51" s="175">
        <f>H51/DAY(B2)</f>
        <v>1047.5288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10</v>
      </c>
      <c r="F52" s="145">
        <v>10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138128.5</v>
      </c>
      <c r="F53" s="145">
        <v>142310.19</v>
      </c>
      <c r="G53" s="112">
        <f t="shared" si="4"/>
        <v>4181.6900000000023</v>
      </c>
      <c r="H53" s="99">
        <f>G53+'24'!H53</f>
        <v>108449.19</v>
      </c>
      <c r="I53" s="95"/>
      <c r="J53" s="175">
        <f>H53/DAY(B2)</f>
        <v>4337.9675999999999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94427.5</v>
      </c>
      <c r="F54" s="145">
        <v>94613.89</v>
      </c>
      <c r="G54" s="112">
        <f t="shared" si="4"/>
        <v>186.38999999999942</v>
      </c>
      <c r="H54" s="99">
        <f>G54+'24'!H54</f>
        <v>6670.8899999999994</v>
      </c>
      <c r="I54" s="95"/>
      <c r="J54" s="175">
        <f>H54/DAY(B2)</f>
        <v>266.8356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433987.19</v>
      </c>
      <c r="F55" s="145">
        <v>436515.99</v>
      </c>
      <c r="G55" s="112">
        <f t="shared" si="4"/>
        <v>2528.7999999999884</v>
      </c>
      <c r="H55" s="99">
        <f>G55+'24'!H55</f>
        <v>73738.989999999991</v>
      </c>
      <c r="I55" s="95"/>
      <c r="J55" s="175">
        <f>H55/DAY(B2)</f>
        <v>2949.5595999999996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123882.39</v>
      </c>
      <c r="F56" s="145">
        <v>123882.39</v>
      </c>
      <c r="G56" s="112">
        <f t="shared" si="4"/>
        <v>0</v>
      </c>
      <c r="H56" s="99">
        <f>G56+'24'!H56</f>
        <v>0.38999999999941792</v>
      </c>
      <c r="I56" s="95"/>
      <c r="J56" s="175">
        <f>H56/DAY(B2)</f>
        <v>1.5599999999976718E-2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301070.21000000002</v>
      </c>
      <c r="F57" s="145">
        <v>304295.51</v>
      </c>
      <c r="G57" s="112">
        <f t="shared" si="4"/>
        <v>3225.2999999999884</v>
      </c>
      <c r="H57" s="99">
        <f>G57+'24'!H57</f>
        <v>78125.510000000009</v>
      </c>
      <c r="I57" s="95"/>
      <c r="J57" s="175">
        <f>H57/DAY(B2)</f>
        <v>3125.0204000000003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55206.46</v>
      </c>
      <c r="F58" s="145">
        <v>55450.61</v>
      </c>
      <c r="G58" s="112">
        <f t="shared" si="4"/>
        <v>244.15000000000146</v>
      </c>
      <c r="H58" s="99">
        <f>G58+'24'!H58</f>
        <v>6341.6100000000006</v>
      </c>
      <c r="I58" s="95"/>
      <c r="J58" s="175">
        <f>H58/DAY(B2)</f>
        <v>253.66440000000003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16949.439999999835</v>
      </c>
      <c r="H59" s="99">
        <f>G59+'24'!H59</f>
        <v>429437.36000000004</v>
      </c>
      <c r="I59" s="95">
        <f>G7-G60</f>
        <v>859.03000000016618</v>
      </c>
      <c r="J59" s="175">
        <f>H59/DAY(B2)</f>
        <v>17177.494400000003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25989.929999999797</v>
      </c>
      <c r="H60" s="99">
        <f>G60+'24'!H60</f>
        <v>618898.12999999989</v>
      </c>
      <c r="I60" s="95">
        <f>G13-G60</f>
        <v>157.47000000057596</v>
      </c>
      <c r="J60" s="175">
        <f>H60/DAY(B2)</f>
        <v>24755.925199999994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'24'!F62</f>
        <v>298883</v>
      </c>
      <c r="F62" s="122">
        <v>298971</v>
      </c>
      <c r="G62" s="112">
        <f t="shared" ref="G62:G63" si="5">F62-E62</f>
        <v>88</v>
      </c>
      <c r="H62" s="99">
        <f>G62+'24'!H62</f>
        <v>2696</v>
      </c>
      <c r="I62" s="118"/>
      <c r="J62" s="175">
        <f>H62/DAY(B2)</f>
        <v>107.84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'24'!F63</f>
        <v>241860</v>
      </c>
      <c r="F63" s="122">
        <v>241972</v>
      </c>
      <c r="G63" s="112">
        <f t="shared" si="5"/>
        <v>112</v>
      </c>
      <c r="H63" s="99">
        <f>G63+'24'!H63</f>
        <v>2839</v>
      </c>
      <c r="I63" s="118"/>
      <c r="J63" s="175">
        <f>H63/DAY(B2)</f>
        <v>113.56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'24'!F64</f>
        <v>0</v>
      </c>
      <c r="F64" s="122"/>
      <c r="G64" s="112">
        <f>G62+G63</f>
        <v>200</v>
      </c>
      <c r="H64" s="99">
        <f>G64+'24'!H64</f>
        <v>5535</v>
      </c>
      <c r="I64" s="118"/>
      <c r="J64" s="175">
        <f>H64/DAY(B2)</f>
        <v>221.4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'24'!F65</f>
        <v>457152</v>
      </c>
      <c r="F65" s="122">
        <v>457254</v>
      </c>
      <c r="G65" s="112">
        <f t="shared" ref="G65:G70" si="6">F65-E65</f>
        <v>102</v>
      </c>
      <c r="H65" s="99">
        <f>G65+'24'!H65</f>
        <v>2544</v>
      </c>
      <c r="I65" s="118"/>
      <c r="J65" s="175">
        <f>H65/DAY(B2)</f>
        <v>101.76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'24'!F66</f>
        <v>112232</v>
      </c>
      <c r="F66" s="122">
        <v>112239</v>
      </c>
      <c r="G66" s="112">
        <f t="shared" si="6"/>
        <v>7</v>
      </c>
      <c r="H66" s="99">
        <f>G66+'24'!H66</f>
        <v>517</v>
      </c>
      <c r="I66" s="118"/>
      <c r="J66" s="175">
        <f>H66/DAY(B2)</f>
        <v>20.68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'24'!F67</f>
        <v>114077</v>
      </c>
      <c r="F67" s="122">
        <v>114092</v>
      </c>
      <c r="G67" s="112">
        <f t="shared" si="6"/>
        <v>15</v>
      </c>
      <c r="H67" s="99">
        <f>G67+'24'!H67</f>
        <v>412</v>
      </c>
      <c r="I67" s="118"/>
      <c r="J67" s="175">
        <f>H67/DAY(B2)</f>
        <v>16.48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'24'!F68</f>
        <v>165314</v>
      </c>
      <c r="F68" s="122">
        <v>165337</v>
      </c>
      <c r="G68" s="112">
        <f t="shared" si="6"/>
        <v>23</v>
      </c>
      <c r="H68" s="99">
        <f>G68+'24'!H68</f>
        <v>675</v>
      </c>
      <c r="I68" s="118"/>
      <c r="J68" s="175">
        <f>H68/DAY(B2)</f>
        <v>27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'24'!F69</f>
        <v>12408</v>
      </c>
      <c r="F69" s="122">
        <v>12411</v>
      </c>
      <c r="G69" s="112">
        <f t="shared" si="6"/>
        <v>3</v>
      </c>
      <c r="H69" s="99">
        <f>G69+'24'!H69</f>
        <v>136</v>
      </c>
      <c r="I69" s="118"/>
      <c r="J69" s="175">
        <f>H69/DAY(B2)</f>
        <v>5.44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'24'!F70</f>
        <v>10048</v>
      </c>
      <c r="F70" s="122">
        <v>10058</v>
      </c>
      <c r="G70" s="112">
        <f t="shared" si="6"/>
        <v>10</v>
      </c>
      <c r="H70" s="99">
        <f>G70+'24'!H70</f>
        <v>231</v>
      </c>
      <c r="I70" s="118"/>
      <c r="J70" s="175">
        <f>H70/DAY(B2)</f>
        <v>9.24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160</v>
      </c>
      <c r="H71" s="99">
        <f>G71+'24'!H71</f>
        <v>4515</v>
      </c>
      <c r="I71" s="154"/>
      <c r="J71" s="175">
        <f>H71/DAY(B2)</f>
        <v>180.6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'24'!F74</f>
        <v>965155.5</v>
      </c>
      <c r="F74" s="410">
        <v>965468.24</v>
      </c>
      <c r="G74" s="236">
        <f t="shared" ref="G74:G78" si="7">F74-E74</f>
        <v>312.73999999999069</v>
      </c>
      <c r="H74" s="99">
        <f>G74+'24'!H74</f>
        <v>7810.3800000000047</v>
      </c>
      <c r="I74" s="154"/>
      <c r="J74" s="175">
        <f>H74/DAY(B2)</f>
        <v>312.4152000000002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'24'!F75</f>
        <v>73586.8</v>
      </c>
      <c r="F75" s="410">
        <v>73586.8</v>
      </c>
      <c r="G75" s="236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'24'!F76</f>
        <v>192751.11</v>
      </c>
      <c r="F76" s="410">
        <v>192850.55</v>
      </c>
      <c r="G76" s="236">
        <f t="shared" si="7"/>
        <v>99.440000000002328</v>
      </c>
      <c r="H76" s="99">
        <f>G76+'24'!H76</f>
        <v>2678.5499999999884</v>
      </c>
      <c r="I76" s="154"/>
      <c r="J76" s="175">
        <f>H76/DAY(B2)</f>
        <v>107.14199999999954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'24'!F77</f>
        <v>51495.9</v>
      </c>
      <c r="F77" s="410">
        <v>51540</v>
      </c>
      <c r="G77" s="236">
        <f t="shared" si="7"/>
        <v>44.099999999998545</v>
      </c>
      <c r="H77" s="99">
        <f>G77+'24'!H77</f>
        <v>1227</v>
      </c>
      <c r="I77" s="154"/>
      <c r="J77" s="175">
        <f>H77/DAY(B2)</f>
        <v>49.08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'24'!F78</f>
        <v>9563.4</v>
      </c>
      <c r="F78" s="410">
        <v>9563.4</v>
      </c>
      <c r="G78" s="236">
        <f t="shared" si="7"/>
        <v>0</v>
      </c>
      <c r="H78" s="99">
        <f>G78+'24'!H78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'24'!F79</f>
        <v>0</v>
      </c>
      <c r="F79" s="117"/>
      <c r="G79" s="112">
        <f>G15-SUM(G74:G78)</f>
        <v>488.10000000036234</v>
      </c>
      <c r="H79" s="99">
        <f>G79+'24'!H79</f>
        <v>13597.270000000193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944.3800000003539</v>
      </c>
      <c r="H80" s="99"/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406">
        <f>'24'!F84</f>
        <v>42801.36</v>
      </c>
      <c r="F84" s="164">
        <v>42801.36</v>
      </c>
      <c r="G84" s="236">
        <f t="shared" si="8"/>
        <v>0</v>
      </c>
      <c r="H84" s="99">
        <f>G84+'24'!H84</f>
        <v>172.36000000000058</v>
      </c>
      <c r="I84" s="571"/>
      <c r="J84" s="175">
        <f>H84/DAY(B2)</f>
        <v>6.8944000000000232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'24'!F85</f>
        <v>5320.46</v>
      </c>
      <c r="F85" s="164">
        <v>5342.02</v>
      </c>
      <c r="G85" s="112">
        <f t="shared" si="8"/>
        <v>21.5600000000004</v>
      </c>
      <c r="H85" s="99">
        <f>G85+'24'!H85</f>
        <v>201.83000000000084</v>
      </c>
      <c r="I85" s="571"/>
      <c r="J85" s="175">
        <f>H85/DAY(B2)</f>
        <v>8.0732000000000337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'24'!F86</f>
        <v>45858.48</v>
      </c>
      <c r="F86" s="164">
        <v>45875.49</v>
      </c>
      <c r="G86" s="112">
        <f t="shared" si="8"/>
        <v>17.009999999994761</v>
      </c>
      <c r="H86" s="99">
        <f>G86+'24'!H86</f>
        <v>496.48999999999796</v>
      </c>
      <c r="I86" s="571"/>
      <c r="J86" s="175">
        <f>H86/DAY(B2)</f>
        <v>19.859599999999919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'24'!F87</f>
        <v>35457.49</v>
      </c>
      <c r="F87" s="164">
        <v>35457.49</v>
      </c>
      <c r="G87" s="112">
        <f t="shared" si="8"/>
        <v>0</v>
      </c>
      <c r="H87" s="99">
        <f>G87+'24'!H87</f>
        <v>23.569999999999709</v>
      </c>
      <c r="I87" s="571">
        <f>G84+G85+G86+G87</f>
        <v>38.569999999995161</v>
      </c>
      <c r="J87" s="175">
        <f>H87/DAY(B2)</f>
        <v>0.94279999999998831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'24'!F88</f>
        <v>24335.16</v>
      </c>
      <c r="F88" s="164">
        <v>24335.16</v>
      </c>
      <c r="G88" s="112">
        <f t="shared" si="8"/>
        <v>0</v>
      </c>
      <c r="H88" s="99">
        <f>G88+'24'!H88</f>
        <v>31.700000000000728</v>
      </c>
      <c r="I88" s="571"/>
      <c r="J88" s="175">
        <f>H88/DAY(B2)</f>
        <v>1.2680000000000291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'24'!F89</f>
        <v>27745.5</v>
      </c>
      <c r="F89" s="164">
        <v>27753.72</v>
      </c>
      <c r="G89" s="112">
        <f t="shared" si="8"/>
        <v>8.2200000000011642</v>
      </c>
      <c r="H89" s="99">
        <f>G89+'24'!H89</f>
        <v>187.11000000000058</v>
      </c>
      <c r="I89" s="571">
        <f>G88+G89</f>
        <v>8.2200000000011642</v>
      </c>
      <c r="J89" s="175">
        <f>H89/DAY(B2)</f>
        <v>7.484400000000023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'24'!F90</f>
        <v>72863.94</v>
      </c>
      <c r="F90" s="164">
        <v>72874.259999999995</v>
      </c>
      <c r="G90" s="112">
        <f t="shared" si="8"/>
        <v>10.319999999992433</v>
      </c>
      <c r="H90" s="99">
        <f>G90+'24'!H90</f>
        <v>267.70999999999185</v>
      </c>
      <c r="I90" s="571">
        <f>G90</f>
        <v>10.319999999992433</v>
      </c>
      <c r="J90" s="175">
        <f>H90/DAY(B2)</f>
        <v>10.708399999999674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'24'!F91</f>
        <v>4289.54</v>
      </c>
      <c r="F91" s="122">
        <v>4289.54</v>
      </c>
      <c r="G91" s="112">
        <f t="shared" si="8"/>
        <v>0</v>
      </c>
      <c r="H91" s="99">
        <f>G91+'24'!H91</f>
        <v>0</v>
      </c>
      <c r="I91" s="590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'24'!F92</f>
        <v>6983.08</v>
      </c>
      <c r="F92" s="164">
        <v>6993.64</v>
      </c>
      <c r="G92" s="112">
        <f t="shared" si="8"/>
        <v>10.5600000000004</v>
      </c>
      <c r="H92" s="99">
        <f>G92+'24'!H92</f>
        <v>276.3100000000004</v>
      </c>
      <c r="I92" s="596">
        <f>G91+G92</f>
        <v>10.5600000000004</v>
      </c>
      <c r="J92" s="175">
        <f>H92/DAY(B2)</f>
        <v>11.052400000000016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7050.5799999998999</v>
      </c>
      <c r="H94" s="99">
        <f>G94+'24'!H94</f>
        <v>176477.18</v>
      </c>
      <c r="I94" s="118"/>
      <c r="J94" s="175">
        <f>H94/DAY(B2)</f>
        <v>7059.0871999999999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0.26260160542530919</v>
      </c>
      <c r="H95" s="99">
        <f>G95+'24'!H95</f>
        <v>6.879348961712024</v>
      </c>
      <c r="I95" s="167"/>
      <c r="J95" s="175">
        <f>H95/DAY(B2)</f>
        <v>0.27517395846848097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7479.9199999999837</v>
      </c>
      <c r="H96" s="99">
        <f>G96+'24'!H96</f>
        <v>164920.69999999995</v>
      </c>
      <c r="I96" s="118"/>
      <c r="J96" s="175">
        <f>H96/DAY(B2)</f>
        <v>6596.8279999999977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0.27859254138707773</v>
      </c>
      <c r="H97" s="99">
        <f>G97+'24'!H97</f>
        <v>6.3928904275928327</v>
      </c>
      <c r="I97" s="167"/>
      <c r="J97" s="175">
        <f>H97/DAY(B2)</f>
        <v>0.25571561710371332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4181.6900000000023</v>
      </c>
      <c r="H98" s="99">
        <f>G98+'24'!H98</f>
        <v>108449.37999999995</v>
      </c>
      <c r="I98" s="168"/>
      <c r="J98" s="175">
        <f>H98/DAY(B2)</f>
        <v>4337.975199999998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0.15574867704372938</v>
      </c>
      <c r="H99" s="99">
        <f>G99+'24'!H99</f>
        <v>4.2254427146988141</v>
      </c>
      <c r="I99" s="168"/>
      <c r="J99" s="175">
        <f>H99/DAY(B2)</f>
        <v>0.16901770858795256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2198.5999999999767</v>
      </c>
      <c r="H100" s="99">
        <f>G100+'24'!H100</f>
        <v>55525.75</v>
      </c>
      <c r="I100" s="118"/>
      <c r="J100" s="175">
        <f>H100/DAY(B2)</f>
        <v>2221.0300000000002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8.188771557631952E-2</v>
      </c>
      <c r="H101" s="99">
        <f>G101+'24'!H101</f>
        <v>2.1639286386315795</v>
      </c>
      <c r="I101" s="168"/>
      <c r="J101" s="175">
        <f>H101/DAY(B2)</f>
        <v>8.6557145545263184E-2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2742.8399999999383</v>
      </c>
      <c r="H102" s="99">
        <f>G102+'24'!H102</f>
        <v>52845.75999999998</v>
      </c>
      <c r="I102" s="168"/>
      <c r="J102" s="175">
        <f>H102/DAY(B2)</f>
        <v>2113.8303999999994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0.10215814690773654</v>
      </c>
      <c r="H103" s="99">
        <f>G103+'24'!H103</f>
        <v>2.0484013963120971</v>
      </c>
      <c r="I103" s="118"/>
      <c r="J103" s="175">
        <f>H103/DAY(B2)</f>
        <v>8.1936055852483883E-2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1085.3899999999994</v>
      </c>
      <c r="H104" s="99">
        <f>G104+'24'!H104</f>
        <v>26187.910000000003</v>
      </c>
      <c r="I104" s="118"/>
      <c r="J104" s="175">
        <f>H104/DAY(B2)</f>
        <v>1047.5164000000002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4.0425774406159527E-2</v>
      </c>
      <c r="H105" s="99">
        <f>G105+'24'!H105</f>
        <v>1.0202029760312905</v>
      </c>
      <c r="I105" s="187"/>
      <c r="J105" s="188">
        <f>H105/DAY(B2)</f>
        <v>4.0808119041251617E-2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'24'!F112</f>
        <v>8996.76</v>
      </c>
      <c r="F112" s="237">
        <v>9070.39</v>
      </c>
      <c r="G112" s="112">
        <f t="shared" ref="G112:G123" si="9">F112-E112</f>
        <v>73.6299999999992</v>
      </c>
      <c r="H112" s="99">
        <f>G112+'24'!H112</f>
        <v>4268.7199999999993</v>
      </c>
      <c r="I112" s="165"/>
      <c r="J112" s="328">
        <f>H112/DAY(B2)</f>
        <v>170.74879999999996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'24'!F113</f>
        <v>18378.509999999998</v>
      </c>
      <c r="F113" s="237">
        <v>18523.07</v>
      </c>
      <c r="G113" s="112">
        <f t="shared" si="9"/>
        <v>144.56000000000131</v>
      </c>
      <c r="H113" s="99">
        <f>G113+'24'!H113</f>
        <v>3508.0699999999997</v>
      </c>
      <c r="I113" s="165"/>
      <c r="J113" s="328">
        <f>H113/DAY(B2)</f>
        <v>140.3228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'24'!F114</f>
        <v>26549.27</v>
      </c>
      <c r="F114" s="237">
        <v>26773.15</v>
      </c>
      <c r="G114" s="112">
        <f t="shared" si="9"/>
        <v>223.88000000000102</v>
      </c>
      <c r="H114" s="99">
        <f>G114+'24'!H114</f>
        <v>5505.1500000000015</v>
      </c>
      <c r="I114" s="165"/>
      <c r="J114" s="328">
        <f>H114/DAY(B2)</f>
        <v>220.20600000000005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'24'!F115</f>
        <v>16518.91</v>
      </c>
      <c r="F115" s="237">
        <v>16660.2</v>
      </c>
      <c r="G115" s="112">
        <f t="shared" si="9"/>
        <v>141.29000000000087</v>
      </c>
      <c r="H115" s="99">
        <f>G115+'24'!H115</f>
        <v>3084.7200000000012</v>
      </c>
      <c r="I115" s="165"/>
      <c r="J115" s="328">
        <f>H115/DAY(B2)</f>
        <v>123.38880000000005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'24'!F116</f>
        <v>80467.47</v>
      </c>
      <c r="F116" s="237">
        <v>80870.259999999995</v>
      </c>
      <c r="G116" s="112">
        <f t="shared" si="9"/>
        <v>402.7899999999936</v>
      </c>
      <c r="H116" s="99">
        <f>G116+'24'!H116</f>
        <v>10378.259999999995</v>
      </c>
      <c r="I116" s="165"/>
      <c r="J116" s="328">
        <f>H116/DAY(B2)</f>
        <v>415.13039999999978</v>
      </c>
      <c r="Q116" s="898"/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'24'!F117</f>
        <v>46783.33</v>
      </c>
      <c r="F117" s="237">
        <v>47050.51</v>
      </c>
      <c r="G117" s="112">
        <f t="shared" si="9"/>
        <v>267.18000000000029</v>
      </c>
      <c r="H117" s="99">
        <f>G117+'24'!H117</f>
        <v>6128.510000000002</v>
      </c>
      <c r="I117" s="165"/>
      <c r="J117" s="328">
        <f>H117/DAY(B2)</f>
        <v>245.14040000000008</v>
      </c>
      <c r="Q117" s="898"/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'24'!F118</f>
        <v>78956.149999999994</v>
      </c>
      <c r="F118" s="237">
        <v>79613.100000000006</v>
      </c>
      <c r="G118" s="112">
        <f t="shared" si="9"/>
        <v>656.95000000001164</v>
      </c>
      <c r="H118" s="99">
        <f>G118+'24'!H118</f>
        <v>14941.100000000006</v>
      </c>
      <c r="I118" s="165"/>
      <c r="J118" s="328">
        <f>H118/DAY(B2)</f>
        <v>597.64400000000023</v>
      </c>
      <c r="Q118" s="898"/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'24'!F119</f>
        <v>41936.449999999997</v>
      </c>
      <c r="F119" s="237">
        <v>41962.49</v>
      </c>
      <c r="G119" s="112">
        <f t="shared" si="9"/>
        <v>26.040000000000873</v>
      </c>
      <c r="H119" s="99">
        <f>G119+'24'!H119</f>
        <v>4513.489999999998</v>
      </c>
      <c r="I119" s="165"/>
      <c r="J119" s="328">
        <f>H119/DAY(B2)</f>
        <v>180.53959999999992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'24'!F120</f>
        <v>56180.88</v>
      </c>
      <c r="F120" s="237">
        <v>56605.64</v>
      </c>
      <c r="G120" s="112">
        <f t="shared" si="9"/>
        <v>424.76000000000204</v>
      </c>
      <c r="H120" s="99">
        <f>G120+'24'!H120</f>
        <v>10338.64</v>
      </c>
      <c r="I120" s="165"/>
      <c r="J120" s="328">
        <f>H120/DAY(B2)</f>
        <v>413.54559999999998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'24'!F121</f>
        <v>64699.44</v>
      </c>
      <c r="F121" s="237">
        <v>65143.89</v>
      </c>
      <c r="G121" s="112">
        <f t="shared" si="9"/>
        <v>444.44999999999709</v>
      </c>
      <c r="H121" s="99">
        <f>G121+'24'!H121</f>
        <v>11600.89</v>
      </c>
      <c r="I121" s="165"/>
      <c r="J121" s="328">
        <f>H121/DAY(B2)</f>
        <v>464.03559999999999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'24'!F122</f>
        <v>36441.18</v>
      </c>
      <c r="F122" s="237">
        <v>36722.67</v>
      </c>
      <c r="G122" s="112">
        <f t="shared" si="9"/>
        <v>281.48999999999796</v>
      </c>
      <c r="H122" s="99">
        <f>G122+'24'!H122</f>
        <v>8048.6699999999983</v>
      </c>
      <c r="I122" s="165"/>
      <c r="J122" s="328">
        <f>H122/DAY(B2)</f>
        <v>321.94679999999994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'24'!F123</f>
        <v>38021.81</v>
      </c>
      <c r="F123" s="237">
        <v>38356.61</v>
      </c>
      <c r="G123" s="112">
        <f t="shared" si="9"/>
        <v>334.80000000000291</v>
      </c>
      <c r="H123" s="99">
        <f>G123+'24'!H123</f>
        <v>8168.6100000000006</v>
      </c>
      <c r="I123" s="165"/>
      <c r="J123" s="328">
        <f>H123/DAY(B2)</f>
        <v>326.74440000000004</v>
      </c>
    </row>
    <row r="124" spans="1:18" ht="29.25" customHeight="1">
      <c r="A124" s="902"/>
      <c r="B124" s="903"/>
      <c r="C124" s="904"/>
      <c r="D124" s="165"/>
      <c r="E124" s="165"/>
      <c r="F124" s="165"/>
      <c r="G124" s="327"/>
      <c r="H124" s="156"/>
      <c r="I124" s="165"/>
      <c r="J124" s="327"/>
    </row>
    <row r="125" spans="1:18" ht="25.5">
      <c r="A125" s="880" t="s">
        <v>196</v>
      </c>
      <c r="B125" s="881"/>
      <c r="C125" s="245"/>
      <c r="D125" s="307"/>
      <c r="E125" s="308"/>
      <c r="F125" s="308"/>
      <c r="G125" s="309">
        <f>SUM(G112:G124)</f>
        <v>3421.8200000000088</v>
      </c>
      <c r="H125" s="156"/>
      <c r="I125" s="327">
        <f>G125-(G39+G53)</f>
        <v>-759.86999999999352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'24'!F128</f>
        <v>139057.91</v>
      </c>
      <c r="F128" s="155">
        <v>139446.06</v>
      </c>
      <c r="G128" s="112">
        <f t="shared" ref="G128:G134" si="10">F128-E128</f>
        <v>388.14999999999418</v>
      </c>
      <c r="H128" s="99">
        <f>G128+'24'!H128</f>
        <v>11802.059999999998</v>
      </c>
      <c r="I128" s="165"/>
      <c r="J128" s="328">
        <f>H128/DAY(B2)</f>
        <v>472.08239999999989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'24'!F129</f>
        <v>77235.47</v>
      </c>
      <c r="F129" s="155">
        <v>77426.89</v>
      </c>
      <c r="G129" s="112">
        <f t="shared" si="10"/>
        <v>191.41999999999825</v>
      </c>
      <c r="H129" s="99">
        <f>G129+'24'!H129</f>
        <v>4923.8899999999994</v>
      </c>
      <c r="I129" s="165"/>
      <c r="J129" s="328">
        <f>H129/DAY(B2)</f>
        <v>196.95559999999998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'24'!F130</f>
        <v>181097.23</v>
      </c>
      <c r="F130" s="155">
        <v>181773.71</v>
      </c>
      <c r="G130" s="112">
        <f t="shared" si="10"/>
        <v>676.47999999998137</v>
      </c>
      <c r="H130" s="99">
        <f>G130+'24'!H130</f>
        <v>16638.189999999973</v>
      </c>
      <c r="I130" s="165"/>
      <c r="J130" s="328">
        <f>H130/DAY(B2)</f>
        <v>665.52759999999898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'24'!F131</f>
        <v>52896.83</v>
      </c>
      <c r="F131" s="155">
        <v>53088.5</v>
      </c>
      <c r="G131" s="112">
        <f t="shared" si="10"/>
        <v>191.66999999999825</v>
      </c>
      <c r="H131" s="99">
        <f>G131+'24'!H131</f>
        <v>4639.5</v>
      </c>
      <c r="I131" s="165"/>
      <c r="J131" s="328">
        <f>H131/DAY(B2)</f>
        <v>185.58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'24'!F132</f>
        <v>138045.23000000001</v>
      </c>
      <c r="F132" s="155">
        <v>138462.39000000001</v>
      </c>
      <c r="G132" s="112">
        <f t="shared" si="10"/>
        <v>417.16000000000349</v>
      </c>
      <c r="H132" s="99">
        <f>G132+'24'!H132</f>
        <v>10288.390000000014</v>
      </c>
      <c r="I132" s="165"/>
      <c r="J132" s="328">
        <f>H132/DAY(B2)</f>
        <v>411.53560000000056</v>
      </c>
    </row>
    <row r="133" spans="1:15" ht="25.5">
      <c r="A133" s="898" t="s">
        <v>359</v>
      </c>
      <c r="B133" s="899"/>
      <c r="C133" s="900"/>
      <c r="D133" s="151" t="s">
        <v>183</v>
      </c>
      <c r="E133" s="95">
        <f>'24'!F133</f>
        <v>234762.23</v>
      </c>
      <c r="F133" s="155">
        <v>235640.35</v>
      </c>
      <c r="G133" s="112">
        <f t="shared" si="10"/>
        <v>878.11999999999534</v>
      </c>
      <c r="H133" s="99">
        <f>G133+'24'!H133</f>
        <v>13235.779999999999</v>
      </c>
      <c r="I133" s="165"/>
      <c r="J133" s="328">
        <f>H133/DAY(B2)</f>
        <v>529.43119999999999</v>
      </c>
    </row>
    <row r="134" spans="1:15" ht="25.5">
      <c r="A134" s="898" t="s">
        <v>340</v>
      </c>
      <c r="B134" s="899"/>
      <c r="C134" s="900"/>
      <c r="D134" s="151" t="s">
        <v>183</v>
      </c>
      <c r="E134" s="95">
        <f>'24'!F134</f>
        <v>54418.31</v>
      </c>
      <c r="F134" s="157">
        <v>54665.14</v>
      </c>
      <c r="G134" s="112">
        <f t="shared" si="10"/>
        <v>246.83000000000175</v>
      </c>
      <c r="H134" s="99">
        <f>G134+'24'!H134</f>
        <v>5630.1399999999994</v>
      </c>
      <c r="I134" s="165"/>
      <c r="J134" s="328">
        <f>H134/DAY(B2)</f>
        <v>225.20559999999998</v>
      </c>
    </row>
    <row r="135" spans="1:15" ht="25.5">
      <c r="A135" s="880" t="s">
        <v>196</v>
      </c>
      <c r="B135" s="881"/>
      <c r="C135" s="331"/>
      <c r="D135" s="151"/>
      <c r="E135" s="95"/>
      <c r="F135" s="165"/>
      <c r="G135" s="112">
        <f>SUM(G128:G134)</f>
        <v>2989.8299999999726</v>
      </c>
      <c r="H135" s="99">
        <f>G135+'23'!H135</f>
        <v>27664.799999999959</v>
      </c>
      <c r="I135" s="327">
        <f>G135-(G35+G49)</f>
        <v>-835.44999999993888</v>
      </c>
      <c r="J135" s="328"/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'24'!F138</f>
        <v>894382</v>
      </c>
      <c r="F138" s="147">
        <v>894516</v>
      </c>
      <c r="G138" s="112">
        <f t="shared" ref="G138:G152" si="11">F138-E138</f>
        <v>134</v>
      </c>
      <c r="H138" s="99">
        <f>G138+'24'!H138</f>
        <v>3405</v>
      </c>
      <c r="I138" s="118"/>
      <c r="J138" s="328">
        <f>H138/DAY(B2)</f>
        <v>136.19999999999999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'24'!F139</f>
        <v>912536</v>
      </c>
      <c r="F139" s="148">
        <v>912716</v>
      </c>
      <c r="G139" s="112">
        <f t="shared" si="11"/>
        <v>180</v>
      </c>
      <c r="H139" s="99">
        <f>G139+'24'!H139</f>
        <v>3821</v>
      </c>
      <c r="I139" s="118"/>
      <c r="J139" s="328">
        <f>H139/DAY(B2)</f>
        <v>152.84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'24'!F140</f>
        <v>1868.62</v>
      </c>
      <c r="F140" s="149">
        <v>1883.95</v>
      </c>
      <c r="G140" s="112">
        <f t="shared" si="11"/>
        <v>15.330000000000155</v>
      </c>
      <c r="H140" s="99">
        <f>G140+'24'!H140</f>
        <v>370.95000000000005</v>
      </c>
      <c r="I140" s="118"/>
      <c r="J140" s="328">
        <f>H140/DAY(B2)</f>
        <v>14.838000000000001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'24'!F141</f>
        <v>95334.83</v>
      </c>
      <c r="F141" s="149">
        <v>95553.33</v>
      </c>
      <c r="G141" s="112">
        <f t="shared" si="11"/>
        <v>218.5</v>
      </c>
      <c r="H141" s="99">
        <f>G141+'24'!H141</f>
        <v>5101.3300000000017</v>
      </c>
      <c r="I141" s="118"/>
      <c r="J141" s="328">
        <f>H141/DAY(B2)</f>
        <v>204.05320000000006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'24'!F142</f>
        <v>38634.92</v>
      </c>
      <c r="F142" s="148">
        <v>38716.89</v>
      </c>
      <c r="G142" s="112">
        <f t="shared" si="11"/>
        <v>81.970000000001164</v>
      </c>
      <c r="H142" s="99">
        <f>G142+'24'!H142</f>
        <v>2055.8899999999994</v>
      </c>
      <c r="I142" s="140"/>
      <c r="J142" s="328">
        <f>H142/DAY(B2)</f>
        <v>82.235599999999977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'24'!F143</f>
        <v>9683.74</v>
      </c>
      <c r="F143" s="149">
        <v>9712.92</v>
      </c>
      <c r="G143" s="112">
        <f t="shared" si="11"/>
        <v>29.180000000000291</v>
      </c>
      <c r="H143" s="99">
        <f>G143+'24'!H143</f>
        <v>661.92000000000007</v>
      </c>
      <c r="I143" s="140"/>
      <c r="J143" s="328">
        <f>H143/DAY(B2)</f>
        <v>26.476800000000004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'24'!F144</f>
        <v>925125</v>
      </c>
      <c r="F144" s="149">
        <v>925331</v>
      </c>
      <c r="G144" s="112">
        <f t="shared" si="11"/>
        <v>206</v>
      </c>
      <c r="H144" s="99">
        <f>G144+'24'!H144</f>
        <v>5494</v>
      </c>
      <c r="I144" s="140"/>
      <c r="J144" s="328">
        <f>H144/DAY(B2)</f>
        <v>219.76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'24'!F145</f>
        <v>6640</v>
      </c>
      <c r="F145" s="149">
        <v>6700.43</v>
      </c>
      <c r="G145" s="112">
        <f t="shared" si="11"/>
        <v>60.430000000000291</v>
      </c>
      <c r="H145" s="99">
        <f>G145+'24'!H145</f>
        <v>893.43000000000029</v>
      </c>
      <c r="I145" s="140"/>
      <c r="J145" s="328">
        <f>H145/DAY(B2)</f>
        <v>35.737200000000009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'24'!F146</f>
        <v>782454</v>
      </c>
      <c r="F146" s="148">
        <v>782498</v>
      </c>
      <c r="G146" s="112">
        <f t="shared" si="11"/>
        <v>44</v>
      </c>
      <c r="H146" s="99">
        <f>G146+'24'!H146</f>
        <v>1698</v>
      </c>
      <c r="I146" s="140"/>
      <c r="J146" s="328">
        <f>H146/DAY(B2)</f>
        <v>67.92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'24'!F147</f>
        <v>708987.6</v>
      </c>
      <c r="F147" s="148">
        <v>709397.36</v>
      </c>
      <c r="G147" s="112">
        <f t="shared" si="11"/>
        <v>409.76000000000931</v>
      </c>
      <c r="H147" s="99">
        <f>G147+'24'!H147</f>
        <v>9628.359999999986</v>
      </c>
      <c r="I147" s="140"/>
      <c r="J147" s="328">
        <f>H147/DAY(B2)</f>
        <v>385.13439999999946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'24'!F148</f>
        <v>755774.72</v>
      </c>
      <c r="F148" s="164">
        <v>756164.08</v>
      </c>
      <c r="G148" s="112">
        <f t="shared" si="11"/>
        <v>389.35999999998603</v>
      </c>
      <c r="H148" s="99">
        <f>G148+'24'!H148</f>
        <v>7634.0799999999581</v>
      </c>
      <c r="I148" s="124"/>
      <c r="J148" s="328">
        <f>H148/DAY(B2)</f>
        <v>305.3631999999983</v>
      </c>
    </row>
    <row r="149" spans="1:10" ht="25.5">
      <c r="A149" s="877" t="s">
        <v>336</v>
      </c>
      <c r="B149" s="878"/>
      <c r="C149" s="879"/>
      <c r="D149" s="227" t="s">
        <v>130</v>
      </c>
      <c r="E149" s="95">
        <f>'24'!F149</f>
        <v>143550.64000000001</v>
      </c>
      <c r="F149" s="146">
        <v>143962.54999999999</v>
      </c>
      <c r="G149" s="112">
        <f t="shared" si="11"/>
        <v>411.90999999997439</v>
      </c>
      <c r="H149" s="99">
        <f>G149+'24'!H149</f>
        <v>11528.549999999988</v>
      </c>
      <c r="I149" s="119"/>
      <c r="J149" s="328">
        <f>H149/DAY(B2)</f>
        <v>461.14199999999954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'24'!F150</f>
        <v>55929.47</v>
      </c>
      <c r="F150" s="233">
        <v>56146.79</v>
      </c>
      <c r="G150" s="112">
        <f t="shared" si="11"/>
        <v>217.31999999999971</v>
      </c>
      <c r="H150" s="99">
        <f>G150+'24'!H150</f>
        <v>5531.7900000000009</v>
      </c>
      <c r="I150" s="119"/>
      <c r="J150" s="328">
        <f>H150/DAY(B2)</f>
        <v>221.27160000000003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'24'!F151</f>
        <v>141738</v>
      </c>
      <c r="F151" s="233">
        <v>141989</v>
      </c>
      <c r="G151" s="112">
        <f t="shared" si="11"/>
        <v>251</v>
      </c>
      <c r="H151" s="99">
        <f>G151+'24'!H151</f>
        <v>6540</v>
      </c>
      <c r="I151" s="119"/>
      <c r="J151" s="328">
        <f>H151/DAY(B2)</f>
        <v>261.60000000000002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'24'!F152</f>
        <v>26053.99</v>
      </c>
      <c r="F152" s="233">
        <v>26176.78</v>
      </c>
      <c r="G152" s="112">
        <f t="shared" si="11"/>
        <v>122.78999999999724</v>
      </c>
      <c r="H152" s="99">
        <f>G152+'24'!H152</f>
        <v>3022.7799999999988</v>
      </c>
      <c r="I152" s="119"/>
      <c r="J152" s="328">
        <f>H152/DAY(B2)</f>
        <v>120.91119999999995</v>
      </c>
    </row>
    <row r="153" spans="1:10" ht="25.5">
      <c r="A153" s="880" t="s">
        <v>196</v>
      </c>
      <c r="B153" s="881"/>
      <c r="C153" s="365"/>
      <c r="D153" s="358"/>
      <c r="E153" s="360"/>
      <c r="F153" s="361"/>
      <c r="G153" s="362">
        <f>SUM(G138:G152)</f>
        <v>2771.5499999999683</v>
      </c>
      <c r="H153" s="363"/>
      <c r="I153" s="119">
        <f>G153-(G38+G52)</f>
        <v>572.94999999999163</v>
      </c>
      <c r="J153" s="366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95">
        <f>'24'!F155</f>
        <v>163226.71</v>
      </c>
      <c r="F155" s="157">
        <v>163861.46</v>
      </c>
      <c r="G155" s="112">
        <f t="shared" ref="G155:G158" si="12">F155-E155</f>
        <v>634.75</v>
      </c>
      <c r="H155" s="99">
        <f>G155+'24'!H155</f>
        <v>15712.459999999992</v>
      </c>
      <c r="I155" s="364"/>
      <c r="J155" s="328">
        <f>H155/DAY(B2)</f>
        <v>628.49839999999972</v>
      </c>
    </row>
    <row r="156" spans="1:10" ht="25.5">
      <c r="A156" s="876" t="s">
        <v>347</v>
      </c>
      <c r="B156" s="876"/>
      <c r="C156" s="876"/>
      <c r="D156" s="117" t="s">
        <v>130</v>
      </c>
      <c r="E156" s="95">
        <f>'24'!F156</f>
        <v>17104.07</v>
      </c>
      <c r="F156" s="157">
        <v>17204.240000000002</v>
      </c>
      <c r="G156" s="112">
        <f t="shared" si="12"/>
        <v>100.17000000000189</v>
      </c>
      <c r="H156" s="99">
        <f>G156+'24'!H156</f>
        <v>2668.2400000000016</v>
      </c>
      <c r="I156" s="165"/>
      <c r="J156" s="328">
        <f>H156/DAY(B2)</f>
        <v>106.72960000000006</v>
      </c>
    </row>
    <row r="157" spans="1:10" ht="25.5">
      <c r="A157" s="877" t="s">
        <v>360</v>
      </c>
      <c r="B157" s="878"/>
      <c r="C157" s="879"/>
      <c r="D157" s="117" t="s">
        <v>130</v>
      </c>
      <c r="E157" s="95">
        <f>'24'!F157</f>
        <v>30637.45</v>
      </c>
      <c r="F157" s="157">
        <v>30761.8</v>
      </c>
      <c r="G157" s="112">
        <f t="shared" si="12"/>
        <v>124.34999999999854</v>
      </c>
      <c r="H157" s="99">
        <f>G157+'24'!H157</f>
        <v>722.29999999999927</v>
      </c>
      <c r="I157" s="165"/>
      <c r="J157" s="328"/>
    </row>
    <row r="158" spans="1:10" ht="25.5">
      <c r="A158" s="877" t="s">
        <v>361</v>
      </c>
      <c r="B158" s="878"/>
      <c r="C158" s="879"/>
      <c r="D158" s="117" t="s">
        <v>130</v>
      </c>
      <c r="E158" s="95">
        <f>'24'!F158</f>
        <v>275.85000000000002</v>
      </c>
      <c r="F158" s="157">
        <v>287.48</v>
      </c>
      <c r="G158" s="112">
        <f t="shared" si="12"/>
        <v>11.629999999999995</v>
      </c>
      <c r="H158" s="99">
        <f>G158+'24'!H158</f>
        <v>46.090000000000032</v>
      </c>
      <c r="I158" s="165"/>
      <c r="J158" s="328"/>
    </row>
    <row r="159" spans="1:10" ht="25.5">
      <c r="A159" s="962"/>
      <c r="B159" s="963"/>
      <c r="C159" s="964"/>
      <c r="D159" s="117"/>
      <c r="E159" s="95"/>
      <c r="F159" s="158"/>
      <c r="G159" s="112"/>
      <c r="H159" s="99"/>
      <c r="I159" s="165"/>
      <c r="J159" s="328"/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481535.72</v>
      </c>
      <c r="F161" s="235">
        <v>481592.92</v>
      </c>
      <c r="G161" s="238">
        <f t="shared" ref="G161:G165" si="13">F161-E161</f>
        <v>57.200000000011642</v>
      </c>
      <c r="H161" s="99">
        <f>G161+'24'!H161</f>
        <v>545.9199999999837</v>
      </c>
      <c r="I161" s="236"/>
      <c r="J161" s="239">
        <f>H161/DAY(B2)</f>
        <v>21.836799999999347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95886</v>
      </c>
      <c r="F162" s="235">
        <v>95921.8</v>
      </c>
      <c r="G162" s="238">
        <f t="shared" si="13"/>
        <v>35.80000000000291</v>
      </c>
      <c r="H162" s="99">
        <f>G162+'24'!H162</f>
        <v>993.80000000000291</v>
      </c>
      <c r="I162" s="236"/>
      <c r="J162" s="239">
        <f>H162/DAY(B2)</f>
        <v>39.752000000000116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9243.4</v>
      </c>
      <c r="F163" s="235">
        <v>9402.6</v>
      </c>
      <c r="G163" s="238">
        <f t="shared" si="13"/>
        <v>159.20000000000073</v>
      </c>
      <c r="H163" s="99">
        <f>G163+'24'!H163</f>
        <v>2901.6000000000004</v>
      </c>
      <c r="I163" s="236"/>
      <c r="J163" s="239">
        <f>H163/DAY(B2)</f>
        <v>116.06400000000002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6366.3</v>
      </c>
      <c r="F164" s="235">
        <v>6378</v>
      </c>
      <c r="G164" s="238">
        <f t="shared" si="13"/>
        <v>11.699999999999818</v>
      </c>
      <c r="H164" s="99">
        <f>G164+'24'!H164</f>
        <v>98</v>
      </c>
      <c r="I164" s="236"/>
      <c r="J164" s="239">
        <f>H164/DAY(B2)</f>
        <v>3.92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31813.15</v>
      </c>
      <c r="F165" s="235">
        <v>31824.44</v>
      </c>
      <c r="G165" s="238">
        <f t="shared" si="13"/>
        <v>11.289999999997235</v>
      </c>
      <c r="H165" s="99">
        <f>G165+'24'!H165</f>
        <v>190.43999999999869</v>
      </c>
      <c r="I165" s="236"/>
      <c r="J165" s="239">
        <f>H165/DAY(B2)</f>
        <v>7.617599999999948</v>
      </c>
    </row>
    <row r="166" spans="1:10" ht="26.25">
      <c r="A166" s="885"/>
      <c r="B166" s="885"/>
      <c r="C166" s="246"/>
      <c r="D166" s="244" t="s">
        <v>180</v>
      </c>
      <c r="E166" s="95">
        <f>'24'!F166</f>
        <v>0</v>
      </c>
      <c r="F166" s="165" t="s">
        <v>376</v>
      </c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885"/>
      <c r="B167" s="885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885"/>
      <c r="B168" s="885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1.75" customHeight="1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891" t="s">
        <v>209</v>
      </c>
      <c r="B173" s="892"/>
      <c r="C173" s="333"/>
      <c r="D173" s="228" t="s">
        <v>142</v>
      </c>
      <c r="E173" s="95">
        <f>'24'!F173</f>
        <v>8231</v>
      </c>
      <c r="F173" s="155">
        <v>8235</v>
      </c>
      <c r="G173" s="155">
        <f>F173-E173</f>
        <v>4</v>
      </c>
      <c r="H173" s="99">
        <f>G173+'24'!H173</f>
        <v>51</v>
      </c>
      <c r="I173" s="155"/>
      <c r="J173" s="178">
        <f>H173/DAY(B2)</f>
        <v>2.04</v>
      </c>
    </row>
    <row r="174" spans="1:10" ht="27.75" customHeight="1">
      <c r="A174" s="891" t="s">
        <v>75</v>
      </c>
      <c r="B174" s="892"/>
      <c r="C174" s="333"/>
      <c r="D174" s="228" t="s">
        <v>142</v>
      </c>
      <c r="E174" s="95">
        <f>'24'!F174</f>
        <v>41520</v>
      </c>
      <c r="F174" s="157">
        <v>41533</v>
      </c>
      <c r="G174" s="155">
        <f t="shared" ref="G174:G175" si="14">F174-E174</f>
        <v>13</v>
      </c>
      <c r="H174" s="99">
        <f>G174+'24'!H174</f>
        <v>329</v>
      </c>
      <c r="I174" s="155"/>
      <c r="J174" s="178">
        <f>H174/DAY(B2)</f>
        <v>13.16</v>
      </c>
    </row>
    <row r="175" spans="1:10" ht="21.75" customHeight="1">
      <c r="A175" s="891" t="s">
        <v>76</v>
      </c>
      <c r="B175" s="931"/>
      <c r="C175" s="892"/>
      <c r="D175" s="228" t="s">
        <v>142</v>
      </c>
      <c r="E175" s="95">
        <f>'24'!F175</f>
        <v>24299</v>
      </c>
      <c r="F175" s="155">
        <v>24309</v>
      </c>
      <c r="G175" s="155">
        <f t="shared" si="14"/>
        <v>10</v>
      </c>
      <c r="H175" s="99">
        <f>G175+'24'!H175</f>
        <v>278</v>
      </c>
      <c r="I175" s="155"/>
      <c r="J175" s="178">
        <f>H175/DAY(B2)</f>
        <v>11.12</v>
      </c>
    </row>
    <row r="176" spans="1:10" ht="23.25" customHeight="1">
      <c r="A176" s="880" t="s">
        <v>196</v>
      </c>
      <c r="B176" s="881"/>
      <c r="C176" s="401"/>
      <c r="D176" s="228" t="s">
        <v>142</v>
      </c>
      <c r="E176" s="95"/>
      <c r="F176" s="155"/>
      <c r="G176" s="155">
        <f>SUM(G173:G175)</f>
        <v>27</v>
      </c>
      <c r="H176" s="99">
        <f>G176+'24'!H176</f>
        <v>658</v>
      </c>
      <c r="I176" s="155"/>
      <c r="J176" s="178">
        <f>H176/DAY(B2)</f>
        <v>26.32</v>
      </c>
    </row>
    <row r="177" spans="1:10" ht="21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'24'!F178</f>
        <v>99536</v>
      </c>
      <c r="F178" s="155">
        <v>99599</v>
      </c>
      <c r="G178" s="155">
        <f>F178-E178</f>
        <v>63</v>
      </c>
      <c r="H178" s="99">
        <f>G178+'24'!H178</f>
        <v>1886</v>
      </c>
      <c r="I178" s="155"/>
      <c r="J178" s="178">
        <f>H178/DAY(B2)</f>
        <v>75.44</v>
      </c>
    </row>
    <row r="179" spans="1:10" ht="24" customHeight="1">
      <c r="A179" s="891" t="s">
        <v>211</v>
      </c>
      <c r="B179" s="892"/>
      <c r="C179" s="333"/>
      <c r="D179" s="228" t="s">
        <v>142</v>
      </c>
      <c r="E179" s="95">
        <f>'24'!F179</f>
        <v>37279</v>
      </c>
      <c r="F179" s="155">
        <v>37279</v>
      </c>
      <c r="G179" s="155">
        <f t="shared" ref="G179:G180" si="15">F179-E179</f>
        <v>0</v>
      </c>
      <c r="H179" s="99">
        <f>G179+'24'!H179</f>
        <v>67</v>
      </c>
      <c r="I179" s="155"/>
      <c r="J179" s="178">
        <f>H179/DAY(B2)</f>
        <v>2.68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'24'!F180</f>
        <v>7183</v>
      </c>
      <c r="F180" s="155">
        <v>7183</v>
      </c>
      <c r="G180" s="155">
        <f t="shared" si="15"/>
        <v>0</v>
      </c>
      <c r="H180" s="99">
        <f>G180+'24'!H180</f>
        <v>194</v>
      </c>
      <c r="I180" s="155"/>
      <c r="J180" s="178">
        <f>H180/DAY(B2)</f>
        <v>7.76</v>
      </c>
    </row>
    <row r="181" spans="1:10" ht="25.5">
      <c r="A181" s="893" t="s">
        <v>108</v>
      </c>
      <c r="B181" s="894"/>
      <c r="C181" s="401"/>
      <c r="D181" s="228" t="s">
        <v>142</v>
      </c>
      <c r="E181" s="95"/>
      <c r="F181" s="155"/>
      <c r="G181" s="155">
        <f>SUM(G178:G180)</f>
        <v>63</v>
      </c>
      <c r="H181" s="99">
        <f>G181+'24'!H181</f>
        <v>2147</v>
      </c>
      <c r="I181" s="155"/>
      <c r="J181" s="178">
        <f>H181/DAY(B2)</f>
        <v>85.88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'24'!F183</f>
        <v>17644</v>
      </c>
      <c r="F183" s="157">
        <v>17647</v>
      </c>
      <c r="G183" s="157">
        <f>F183-E183</f>
        <v>3</v>
      </c>
      <c r="H183" s="99">
        <f>G183+'24'!H183</f>
        <v>174</v>
      </c>
      <c r="I183" s="155"/>
      <c r="J183" s="178">
        <f>H183/DAY(B2)</f>
        <v>6.96</v>
      </c>
    </row>
    <row r="184" spans="1:10" ht="30.75" customHeight="1">
      <c r="A184" s="891" t="s">
        <v>215</v>
      </c>
      <c r="B184" s="892"/>
      <c r="C184" s="334"/>
      <c r="D184" s="228" t="s">
        <v>142</v>
      </c>
      <c r="E184" s="95">
        <f>'24'!F184</f>
        <v>12113</v>
      </c>
      <c r="F184" s="157">
        <v>12121</v>
      </c>
      <c r="G184" s="157">
        <f t="shared" ref="G184:G185" si="16">F184-E184</f>
        <v>8</v>
      </c>
      <c r="H184" s="99">
        <f>G184+'24'!H184</f>
        <v>186</v>
      </c>
      <c r="I184" s="155"/>
      <c r="J184" s="178">
        <f>H184/DAY(B2)</f>
        <v>7.44</v>
      </c>
    </row>
    <row r="185" spans="1:10" ht="23.25" customHeight="1">
      <c r="A185" s="891" t="s">
        <v>216</v>
      </c>
      <c r="B185" s="892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5.5">
      <c r="A186" s="880" t="s">
        <v>196</v>
      </c>
      <c r="B186" s="881"/>
      <c r="C186" s="400"/>
      <c r="D186" s="228" t="s">
        <v>142</v>
      </c>
      <c r="E186" s="95"/>
      <c r="F186" s="157">
        <v>0</v>
      </c>
      <c r="G186" s="157">
        <f>SUM(G183:G185)</f>
        <v>11</v>
      </c>
      <c r="H186" s="99">
        <f>G186+'24'!H186</f>
        <v>360</v>
      </c>
      <c r="I186" s="157"/>
      <c r="J186" s="178">
        <f>H186/DAY(B2)</f>
        <v>14.4</v>
      </c>
    </row>
    <row r="187" spans="1:10" ht="25.5">
      <c r="A187" s="882" t="s">
        <v>217</v>
      </c>
      <c r="B187" s="883"/>
      <c r="C187" s="333"/>
      <c r="D187" s="228" t="s">
        <v>142</v>
      </c>
      <c r="E187" s="95">
        <f>'24'!F187</f>
        <v>0</v>
      </c>
      <c r="F187" s="159"/>
      <c r="G187" s="378">
        <f>G62+G19</f>
        <v>137</v>
      </c>
      <c r="H187" s="99">
        <f>G187+'24'!H187</f>
        <v>3951</v>
      </c>
      <c r="I187" s="158"/>
      <c r="J187" s="179">
        <f>H187/DAY(B2)</f>
        <v>158.04</v>
      </c>
    </row>
    <row r="188" spans="1:10" ht="25.5">
      <c r="A188" s="882" t="s">
        <v>218</v>
      </c>
      <c r="B188" s="883"/>
      <c r="C188" s="333"/>
      <c r="D188" s="230" t="s">
        <v>142</v>
      </c>
      <c r="E188" s="95">
        <f>'24'!F188</f>
        <v>0</v>
      </c>
      <c r="F188" s="159"/>
      <c r="G188" s="378">
        <f>G65+G66+G67+G69+G70</f>
        <v>137</v>
      </c>
      <c r="H188" s="99">
        <f>G188+'24'!H188</f>
        <v>1671</v>
      </c>
      <c r="I188" s="158"/>
      <c r="J188" s="179">
        <f>H188/DAY(B2)</f>
        <v>66.84</v>
      </c>
    </row>
    <row r="189" spans="1:10" ht="25.5">
      <c r="A189" s="882" t="s">
        <v>219</v>
      </c>
      <c r="B189" s="883"/>
      <c r="C189" s="333"/>
      <c r="D189" s="230" t="s">
        <v>142</v>
      </c>
      <c r="E189" s="95">
        <f>'24'!F189</f>
        <v>0</v>
      </c>
      <c r="F189" s="157"/>
      <c r="G189" s="377">
        <f>G181</f>
        <v>63</v>
      </c>
      <c r="H189" s="99">
        <f>G189+'24'!H189</f>
        <v>638</v>
      </c>
      <c r="I189" s="158"/>
      <c r="J189" s="179">
        <f>H189/DAY(B2)</f>
        <v>25.52</v>
      </c>
    </row>
    <row r="190" spans="1:10" ht="25.5">
      <c r="A190" s="889"/>
      <c r="B190" s="89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2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F161" sqref="F16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51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354</v>
      </c>
      <c r="B2" s="262">
        <v>44799</v>
      </c>
      <c r="C2" s="348" t="s">
        <v>67</v>
      </c>
      <c r="D2" s="218">
        <v>0.54449999999999998</v>
      </c>
      <c r="E2" s="100"/>
      <c r="F2" s="100"/>
      <c r="G2" s="428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46" t="s">
        <v>119</v>
      </c>
      <c r="F3" s="947"/>
      <c r="G3" s="429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29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0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40" t="s">
        <v>128</v>
      </c>
      <c r="B6" s="941"/>
      <c r="C6" s="942"/>
      <c r="D6" s="110"/>
      <c r="E6" s="110"/>
      <c r="F6" s="110"/>
      <c r="G6" s="431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'25'!F7</f>
        <v>979138.07</v>
      </c>
      <c r="F7" s="95">
        <v>1004528.75</v>
      </c>
      <c r="G7" s="432">
        <f>F7-E7</f>
        <v>25390.680000000051</v>
      </c>
      <c r="H7" s="99">
        <f>G7+'25'!H7</f>
        <v>668070.5</v>
      </c>
      <c r="I7" s="113">
        <f>'1'!I7</f>
        <v>12000</v>
      </c>
      <c r="J7" s="175">
        <f>H7/DAY(B2)</f>
        <v>25695.01923076923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'25'!F8</f>
        <v>137649.76999999999</v>
      </c>
      <c r="F8" s="95">
        <v>163230.93</v>
      </c>
      <c r="G8" s="433">
        <f>F8-E8</f>
        <v>25581.160000000003</v>
      </c>
      <c r="H8" s="99">
        <f>G8+'25'!H8</f>
        <v>674834.63</v>
      </c>
      <c r="I8" s="116"/>
      <c r="J8" s="175">
        <f>H8/DAY(B2)</f>
        <v>25955.178076923075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'25'!F9</f>
        <v>3443648.7</v>
      </c>
      <c r="F9" s="469">
        <v>3449677.5</v>
      </c>
      <c r="G9" s="432">
        <f>F9-E9</f>
        <v>6028.7999999998137</v>
      </c>
      <c r="H9" s="99">
        <f>G9+'25'!H9</f>
        <v>170611.5</v>
      </c>
      <c r="I9" s="124">
        <f>I7-J7</f>
        <v>-13695.01923076923</v>
      </c>
      <c r="J9" s="175">
        <f>H9/DAY(B2)</f>
        <v>6561.9807692307695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'25'!F10</f>
        <v>2127337.1</v>
      </c>
      <c r="F10" s="353">
        <v>2146017.2999999998</v>
      </c>
      <c r="G10" s="432">
        <f t="shared" ref="G10:G12" si="0">F10-E10</f>
        <v>18680.199999999721</v>
      </c>
      <c r="H10" s="99">
        <f>G10+'25'!H10</f>
        <v>478859.29999999981</v>
      </c>
      <c r="I10" s="282"/>
      <c r="J10" s="175">
        <f>H10/DAY(B2)</f>
        <v>18417.665384615379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'25'!F11</f>
        <v>37560</v>
      </c>
      <c r="F11" s="95">
        <v>37560</v>
      </c>
      <c r="G11" s="43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'25'!F12</f>
        <v>40380</v>
      </c>
      <c r="F12" s="117">
        <v>40380</v>
      </c>
      <c r="G12" s="43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34">
        <f>G9+G10+G11+G12</f>
        <v>24708.999999999534</v>
      </c>
      <c r="H13" s="99">
        <f>G13+'25'!H13</f>
        <v>650805.39999999967</v>
      </c>
      <c r="I13" s="120">
        <f>G7-G13</f>
        <v>681.68000000051688</v>
      </c>
      <c r="J13" s="175">
        <f>H13/DAY(B2)</f>
        <v>25030.976923076909</v>
      </c>
      <c r="K13" s="79"/>
      <c r="L13" s="66"/>
      <c r="N13" s="87">
        <f>G13-G7</f>
        <v>-681.68000000051688</v>
      </c>
      <c r="O13" s="71">
        <f>G8-G7</f>
        <v>190.47999999995227</v>
      </c>
    </row>
    <row r="14" spans="1:15" ht="26.25">
      <c r="A14" s="943" t="s">
        <v>137</v>
      </c>
      <c r="B14" s="944"/>
      <c r="C14" s="945"/>
      <c r="D14" s="111"/>
      <c r="E14" s="111"/>
      <c r="F14" s="111"/>
      <c r="G14" s="435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'25'!F15</f>
        <v>2126181.2000000002</v>
      </c>
      <c r="F15" s="469">
        <v>2127159.33</v>
      </c>
      <c r="G15" s="432">
        <f>(F15-E15)</f>
        <v>978.12999999988824</v>
      </c>
      <c r="H15" s="99">
        <f>G15+'25'!H15</f>
        <v>26291.330000000075</v>
      </c>
      <c r="I15" s="113">
        <f>'1'!I15</f>
        <v>800</v>
      </c>
      <c r="J15" s="175">
        <f>H15/DAY(B2)</f>
        <v>1011.2050000000029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32"/>
      <c r="H16" s="124"/>
      <c r="I16" s="120">
        <f>I15-J15</f>
        <v>-211.20500000000288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43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'25'!F18</f>
        <v>8</v>
      </c>
      <c r="F18" s="164">
        <v>22</v>
      </c>
      <c r="G18" s="434">
        <f>F18*10</f>
        <v>220</v>
      </c>
      <c r="H18" s="99">
        <f>G18+'25'!H18</f>
        <v>4130</v>
      </c>
      <c r="I18" s="113">
        <f>'1'!I18</f>
        <v>65</v>
      </c>
      <c r="J18" s="175">
        <f>H18/DAY(B2)</f>
        <v>158.84615384615384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'25'!F19</f>
        <v>163590</v>
      </c>
      <c r="F19" s="122">
        <v>163640</v>
      </c>
      <c r="G19" s="432">
        <f t="shared" ref="G19" si="1">F19-E19</f>
        <v>50</v>
      </c>
      <c r="H19" s="99">
        <f>G19+'25'!H19</f>
        <v>1305</v>
      </c>
      <c r="I19" s="335"/>
      <c r="J19" s="175">
        <f>H19/DAY(B2)</f>
        <v>50.192307692307693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36">
        <f>G18+G19</f>
        <v>270</v>
      </c>
      <c r="H20" s="99">
        <f>G20+'25'!H20</f>
        <v>5435</v>
      </c>
      <c r="I20" s="336">
        <f>I18-J20</f>
        <v>-144.03846153846155</v>
      </c>
      <c r="J20" s="175">
        <f>H20/DAY(B2)</f>
        <v>209.03846153846155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435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434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'25'!F23</f>
        <v>1500</v>
      </c>
      <c r="F23" s="122">
        <v>1500</v>
      </c>
      <c r="G23" s="434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'25'!F24</f>
        <v>4470</v>
      </c>
      <c r="F24" s="128">
        <v>4470</v>
      </c>
      <c r="G24" s="434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437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38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25581.160000000003</v>
      </c>
      <c r="F27" s="136">
        <v>9</v>
      </c>
      <c r="G27" s="439">
        <f>E27*F27</f>
        <v>230230.44000000003</v>
      </c>
      <c r="H27" s="99">
        <f>G27+'25'!H27</f>
        <v>6073511.6699999999</v>
      </c>
      <c r="I27" s="138"/>
      <c r="J27" s="175">
        <f>H27/DAY(B2)</f>
        <v>233596.6026923077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978.12999999988824</v>
      </c>
      <c r="F28" s="136">
        <v>70</v>
      </c>
      <c r="G28" s="439">
        <f>E28*F28</f>
        <v>68469.099999992177</v>
      </c>
      <c r="H28" s="99">
        <f>G28+'25'!H28</f>
        <v>1840393.1000000052</v>
      </c>
      <c r="I28" s="140"/>
      <c r="J28" s="175">
        <f>H28/DAY(B2)</f>
        <v>70784.350000000195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9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439">
        <f>E30*F30</f>
        <v>7550</v>
      </c>
      <c r="H30" s="99">
        <f>G30+'25'!H30</f>
        <v>197055</v>
      </c>
      <c r="I30" s="140"/>
      <c r="J30" s="175">
        <f>H30/DAY(B2)</f>
        <v>7579.0384615384619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439">
        <f>E31*F31</f>
        <v>17600</v>
      </c>
      <c r="H31" s="99">
        <f>G31+'25'!H31</f>
        <v>330400</v>
      </c>
      <c r="I31" s="140"/>
      <c r="J31" s="175">
        <f>H31/DAY(B2)</f>
        <v>12707.692307692309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40">
        <f>G27+G28+G29+G30+G31</f>
        <v>323849.53999999224</v>
      </c>
      <c r="H32" s="99">
        <f>G32+'25'!H32</f>
        <v>8441359.7700000051</v>
      </c>
      <c r="I32" s="144"/>
      <c r="J32" s="175">
        <f>H32/DAY(B2)</f>
        <v>324667.68346153863</v>
      </c>
      <c r="K32" s="63"/>
      <c r="L32" s="89"/>
      <c r="N32" s="87"/>
      <c r="O32" s="71"/>
    </row>
    <row r="33" spans="1:15" ht="25.5">
      <c r="A33" s="951" t="s">
        <v>331</v>
      </c>
      <c r="B33" s="952"/>
      <c r="C33" s="952"/>
      <c r="D33" s="337"/>
      <c r="E33" s="337"/>
      <c r="F33" s="337"/>
      <c r="G33" s="441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42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'25'!F35</f>
        <v>238713.05</v>
      </c>
      <c r="F35" s="145">
        <v>238713.05</v>
      </c>
      <c r="G35" s="432">
        <f t="shared" ref="G35:G46" si="3">F35-E35</f>
        <v>0</v>
      </c>
      <c r="H35" s="99">
        <f>G35+'25'!H35</f>
        <v>4.9999999988358468E-2</v>
      </c>
      <c r="I35" s="95"/>
      <c r="J35" s="175">
        <f>H35/DAY(B2)</f>
        <v>1.9230769226291718E-3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'25'!F36</f>
        <v>236804.79</v>
      </c>
      <c r="F36" s="145">
        <v>237850.49</v>
      </c>
      <c r="G36" s="432">
        <f t="shared" si="3"/>
        <v>1045.6999999999825</v>
      </c>
      <c r="H36" s="99">
        <f>G36+'25'!H36</f>
        <v>22320.489999999991</v>
      </c>
      <c r="I36" s="95"/>
      <c r="J36" s="175">
        <f>H36/DAY(B2)</f>
        <v>858.48038461538431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'25'!F37</f>
        <v>322998.69</v>
      </c>
      <c r="F37" s="145">
        <v>322998.69</v>
      </c>
      <c r="G37" s="432">
        <f t="shared" si="3"/>
        <v>0</v>
      </c>
      <c r="H37" s="99">
        <f>G37+'25'!H37</f>
        <v>-0.30999999999767169</v>
      </c>
      <c r="I37" s="95"/>
      <c r="J37" s="175">
        <f>H37/DAY(B2)</f>
        <v>-1.1923076922987373E-2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'25'!F38</f>
        <v>512886.75</v>
      </c>
      <c r="F38" s="108">
        <v>515057.95</v>
      </c>
      <c r="G38" s="432">
        <f t="shared" si="3"/>
        <v>2171.2000000000116</v>
      </c>
      <c r="H38" s="99">
        <f>G38+'25'!H38</f>
        <v>57696.950000000012</v>
      </c>
      <c r="I38" s="95"/>
      <c r="J38" s="175">
        <f>H38/DAY(B2)</f>
        <v>2219.1134615384622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'25'!F39</f>
        <v>591584.18999999994</v>
      </c>
      <c r="F39" s="145">
        <v>591584.18999999994</v>
      </c>
      <c r="G39" s="432">
        <f t="shared" si="3"/>
        <v>0</v>
      </c>
      <c r="H39" s="99">
        <f>G39+'25'!H39</f>
        <v>0.18999999994412065</v>
      </c>
      <c r="I39" s="95"/>
      <c r="J39" s="175">
        <f>H39/DAY(B2)</f>
        <v>7.3076923055431014E-3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'25'!F40</f>
        <v>128254.95</v>
      </c>
      <c r="F40" s="145">
        <v>129066.77</v>
      </c>
      <c r="G40" s="432">
        <f t="shared" si="3"/>
        <v>811.82000000000698</v>
      </c>
      <c r="H40" s="99">
        <f>G40+'25'!H40</f>
        <v>22290.770000000004</v>
      </c>
      <c r="I40" s="95"/>
      <c r="J40" s="175">
        <f>H40/DAY(B2)</f>
        <v>857.33730769230783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'25'!F41</f>
        <v>257421.37</v>
      </c>
      <c r="F41" s="145">
        <v>257421.37</v>
      </c>
      <c r="G41" s="432">
        <f t="shared" si="3"/>
        <v>0</v>
      </c>
      <c r="H41" s="99">
        <f>G41+'25'!H41</f>
        <v>45718.369999999995</v>
      </c>
      <c r="I41" s="95"/>
      <c r="J41" s="175">
        <f>H41/DAY(B2)</f>
        <v>1758.3988461538461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'25'!F42</f>
        <v>793826.95</v>
      </c>
      <c r="F42" s="145">
        <v>796748.63</v>
      </c>
      <c r="G42" s="432">
        <f t="shared" si="3"/>
        <v>2921.6800000000512</v>
      </c>
      <c r="H42" s="99">
        <f>G42+'25'!H42</f>
        <v>48384.630000000005</v>
      </c>
      <c r="I42" s="95"/>
      <c r="J42" s="175">
        <f>H42/DAY(B2)</f>
        <v>1860.947307692308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'25'!F43</f>
        <v>407028.03</v>
      </c>
      <c r="F43" s="145">
        <v>407028.03</v>
      </c>
      <c r="G43" s="432">
        <f t="shared" si="3"/>
        <v>0</v>
      </c>
      <c r="H43" s="99">
        <f>G43+'25'!H43</f>
        <v>3.0000000027939677E-2</v>
      </c>
      <c r="I43" s="95"/>
      <c r="J43" s="175">
        <f>H43/DAY(B2)</f>
        <v>1.1538461549207568E-3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43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43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43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34">
        <f>G35+G36+G37+G38+G39+G40+G41+G42+G43+G44+G45+G46</f>
        <v>6950.4000000000524</v>
      </c>
      <c r="H47" s="99">
        <f>G47+'25'!H47</f>
        <v>196411.16999999998</v>
      </c>
      <c r="I47" s="95"/>
      <c r="J47" s="175">
        <f>H47/DAY(B2)</f>
        <v>7554.2757692307687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42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'25'!F49</f>
        <v>583405.59</v>
      </c>
      <c r="F49" s="145">
        <v>587289.35</v>
      </c>
      <c r="G49" s="432">
        <f t="shared" ref="G49:G58" si="4">F49-E49</f>
        <v>3883.7600000000093</v>
      </c>
      <c r="H49" s="99">
        <f>G49+'25'!H49</f>
        <v>102235.34999999998</v>
      </c>
      <c r="I49" s="95"/>
      <c r="J49" s="175">
        <f>H49/DAY(B2)</f>
        <v>3932.1288461538452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'25'!F50</f>
        <v>314320.96999999997</v>
      </c>
      <c r="F50" s="145">
        <v>315444.45</v>
      </c>
      <c r="G50" s="432">
        <f t="shared" si="4"/>
        <v>1123.4800000000396</v>
      </c>
      <c r="H50" s="99">
        <f>G50+'25'!H50</f>
        <v>239327.88</v>
      </c>
      <c r="I50" s="95"/>
      <c r="J50" s="175">
        <f>H50/DAY(B2)</f>
        <v>9204.918461538462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'25'!F51</f>
        <v>34696.22</v>
      </c>
      <c r="F51" s="145">
        <v>35777.839999999997</v>
      </c>
      <c r="G51" s="432">
        <f t="shared" si="4"/>
        <v>1081.6199999999953</v>
      </c>
      <c r="H51" s="99">
        <f>G51+'25'!H51</f>
        <v>27269.839999999997</v>
      </c>
      <c r="I51" s="95"/>
      <c r="J51" s="175">
        <f>H51/DAY(B2)</f>
        <v>1048.8399999999999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'25'!F52</f>
        <v>10</v>
      </c>
      <c r="F52" s="145">
        <v>10</v>
      </c>
      <c r="G52" s="43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'25'!F53</f>
        <v>142310.19</v>
      </c>
      <c r="F53" s="145">
        <v>146601.53</v>
      </c>
      <c r="G53" s="432">
        <f t="shared" si="4"/>
        <v>4291.3399999999965</v>
      </c>
      <c r="H53" s="99">
        <f>G53+'25'!H53</f>
        <v>112740.53</v>
      </c>
      <c r="I53" s="95"/>
      <c r="J53" s="175">
        <f>H53/DAY(B2)</f>
        <v>4336.1742307692311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'25'!F54</f>
        <v>94613.89</v>
      </c>
      <c r="F54" s="423">
        <v>94796.43</v>
      </c>
      <c r="G54" s="432">
        <f t="shared" si="4"/>
        <v>182.5399999999936</v>
      </c>
      <c r="H54" s="99">
        <f>G54+'25'!H54</f>
        <v>6853.429999999993</v>
      </c>
      <c r="I54" s="95"/>
      <c r="J54" s="175">
        <f>H54/DAY(B2)</f>
        <v>263.59346153846127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'25'!F55</f>
        <v>436515.99</v>
      </c>
      <c r="F55" s="145">
        <v>440049.71</v>
      </c>
      <c r="G55" s="432">
        <f t="shared" si="4"/>
        <v>3533.7200000000303</v>
      </c>
      <c r="H55" s="99">
        <f>G55+'25'!H55</f>
        <v>77272.710000000021</v>
      </c>
      <c r="I55" s="95"/>
      <c r="J55" s="175">
        <f>H55/DAY(B2)</f>
        <v>2972.0273076923086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'25'!F56</f>
        <v>123882.39</v>
      </c>
      <c r="F56" s="145">
        <v>123882.39</v>
      </c>
      <c r="G56" s="432">
        <f t="shared" si="4"/>
        <v>0</v>
      </c>
      <c r="H56" s="99">
        <f>G56+'25'!H56</f>
        <v>0.38999999999941792</v>
      </c>
      <c r="I56" s="95"/>
      <c r="J56" s="175">
        <f>H56/DAY(B2)</f>
        <v>1.4999999999977613E-2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'25'!F57</f>
        <v>304295.51</v>
      </c>
      <c r="F57" s="145">
        <v>307150.33</v>
      </c>
      <c r="G57" s="432">
        <f t="shared" si="4"/>
        <v>2854.820000000007</v>
      </c>
      <c r="H57" s="99">
        <f>G57+'25'!H57</f>
        <v>80980.330000000016</v>
      </c>
      <c r="I57" s="95"/>
      <c r="J57" s="175">
        <f>H57/DAY(B2)</f>
        <v>3114.6280769230775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'25'!F58</f>
        <v>55450.61</v>
      </c>
      <c r="F58" s="145">
        <v>55701.58</v>
      </c>
      <c r="G58" s="432">
        <f t="shared" si="4"/>
        <v>250.97000000000116</v>
      </c>
      <c r="H58" s="99">
        <f>G58+'25'!H58</f>
        <v>6592.5800000000017</v>
      </c>
      <c r="I58" s="95"/>
      <c r="J58" s="175">
        <f>H58/DAY(B2)</f>
        <v>253.5607692307693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34">
        <f>G49+G50+G51+G52+G53+G54+G55+G56+G57+G58</f>
        <v>17202.250000000073</v>
      </c>
      <c r="H59" s="99">
        <f>G59+'25'!H59</f>
        <v>446639.6100000001</v>
      </c>
      <c r="I59" s="95">
        <f>G7-G60</f>
        <v>1238.0299999999261</v>
      </c>
      <c r="J59" s="175">
        <f>H59/DAY(B2)</f>
        <v>17178.446538461543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34">
        <f>G47+G59</f>
        <v>24152.650000000125</v>
      </c>
      <c r="H60" s="99">
        <f>G60+'25'!H60</f>
        <v>643050.78</v>
      </c>
      <c r="I60" s="95">
        <f>G13-G60</f>
        <v>556.34999999940919</v>
      </c>
      <c r="J60" s="175">
        <f>H60/DAY(B2)</f>
        <v>24732.722307692307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443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'25'!F62</f>
        <v>298971</v>
      </c>
      <c r="F62" s="122">
        <v>299076</v>
      </c>
      <c r="G62" s="432">
        <f t="shared" ref="G62:G63" si="5">F62-E62</f>
        <v>105</v>
      </c>
      <c r="H62" s="99">
        <f>G62+'25'!H62</f>
        <v>2801</v>
      </c>
      <c r="I62" s="118"/>
      <c r="J62" s="175">
        <f>H62/DAY(B2)</f>
        <v>107.73076923076923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'25'!F63</f>
        <v>241972</v>
      </c>
      <c r="F63" s="122">
        <v>242087</v>
      </c>
      <c r="G63" s="432">
        <f t="shared" si="5"/>
        <v>115</v>
      </c>
      <c r="H63" s="99">
        <f>G63+'25'!H63</f>
        <v>2954</v>
      </c>
      <c r="I63" s="118"/>
      <c r="J63" s="175">
        <f>H63/DAY(B2)</f>
        <v>113.61538461538461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'25'!F64</f>
        <v>0</v>
      </c>
      <c r="F64" s="122"/>
      <c r="G64" s="432">
        <f>G62+G63</f>
        <v>220</v>
      </c>
      <c r="H64" s="99">
        <f>G64+'25'!H64</f>
        <v>5755</v>
      </c>
      <c r="I64" s="118"/>
      <c r="J64" s="175">
        <f>H64/DAY(B2)</f>
        <v>221.34615384615384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'25'!F65</f>
        <v>457254</v>
      </c>
      <c r="F65" s="122">
        <v>457364</v>
      </c>
      <c r="G65" s="432">
        <f t="shared" ref="G65:G70" si="6">F65-E65</f>
        <v>110</v>
      </c>
      <c r="H65" s="99">
        <f>G65+'25'!H65</f>
        <v>2654</v>
      </c>
      <c r="I65" s="118"/>
      <c r="J65" s="175">
        <f>H65/DAY(B2)</f>
        <v>102.07692307692308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'25'!F66</f>
        <v>112239</v>
      </c>
      <c r="F66" s="122">
        <v>112249</v>
      </c>
      <c r="G66" s="432">
        <f t="shared" si="6"/>
        <v>10</v>
      </c>
      <c r="H66" s="99">
        <f>G66+'25'!H66</f>
        <v>527</v>
      </c>
      <c r="I66" s="118"/>
      <c r="J66" s="175">
        <f>H66/DAY(B2)</f>
        <v>20.26923076923077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'25'!F67</f>
        <v>114092</v>
      </c>
      <c r="F67" s="164">
        <v>114113</v>
      </c>
      <c r="G67" s="432">
        <f t="shared" si="6"/>
        <v>21</v>
      </c>
      <c r="H67" s="99">
        <f>G67+'25'!H67</f>
        <v>433</v>
      </c>
      <c r="I67" s="118"/>
      <c r="J67" s="175">
        <f>H67/DAY(B2)</f>
        <v>16.653846153846153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'25'!F68</f>
        <v>165337</v>
      </c>
      <c r="F68" s="122">
        <v>165369</v>
      </c>
      <c r="G68" s="432">
        <f>F68-E68</f>
        <v>32</v>
      </c>
      <c r="H68" s="99">
        <f>G68+'25'!H68</f>
        <v>707</v>
      </c>
      <c r="I68" s="118"/>
      <c r="J68" s="175">
        <f>H68/DAY(B2)</f>
        <v>27.192307692307693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'25'!F69</f>
        <v>12411</v>
      </c>
      <c r="F69" s="122">
        <v>12417</v>
      </c>
      <c r="G69" s="432">
        <f t="shared" si="6"/>
        <v>6</v>
      </c>
      <c r="H69" s="99">
        <f>G69+'25'!H69</f>
        <v>142</v>
      </c>
      <c r="I69" s="118"/>
      <c r="J69" s="175">
        <f>H69/DAY(B2)</f>
        <v>5.4615384615384617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'25'!F70</f>
        <v>10058</v>
      </c>
      <c r="F70" s="122">
        <v>10065</v>
      </c>
      <c r="G70" s="432">
        <f t="shared" si="6"/>
        <v>7</v>
      </c>
      <c r="H70" s="99">
        <f>G70+'25'!H70</f>
        <v>238</v>
      </c>
      <c r="I70" s="118"/>
      <c r="J70" s="175">
        <f>H70/DAY(B2)</f>
        <v>9.1538461538461533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444">
        <f>SUM(G65:G70)</f>
        <v>186</v>
      </c>
      <c r="H71" s="99">
        <f>G71+'25'!H71</f>
        <v>4701</v>
      </c>
      <c r="I71" s="154"/>
      <c r="J71" s="175">
        <f>H71/DAY(B2)</f>
        <v>180.80769230769232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445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443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'25'!F74</f>
        <v>965468.24</v>
      </c>
      <c r="F74" s="123">
        <v>965752.76</v>
      </c>
      <c r="G74" s="432">
        <f t="shared" ref="G74:G78" si="7">F74-E74</f>
        <v>284.52000000001863</v>
      </c>
      <c r="H74" s="99">
        <f>G74+'25'!H74</f>
        <v>8094.9000000000233</v>
      </c>
      <c r="I74" s="154"/>
      <c r="J74" s="175">
        <f>H74/DAY(B2)</f>
        <v>311.34230769230857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'25'!F75</f>
        <v>73586.8</v>
      </c>
      <c r="F75" s="123">
        <v>73586.8</v>
      </c>
      <c r="G75" s="43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'25'!F76</f>
        <v>192850.55</v>
      </c>
      <c r="F76" s="123">
        <v>192955</v>
      </c>
      <c r="G76" s="432">
        <f t="shared" si="7"/>
        <v>104.45000000001164</v>
      </c>
      <c r="H76" s="99">
        <f>G76+'25'!H76</f>
        <v>2783</v>
      </c>
      <c r="I76" s="154"/>
      <c r="J76" s="175">
        <f>H76/DAY(B2)</f>
        <v>107.03846153846153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'25'!F77</f>
        <v>51540</v>
      </c>
      <c r="F77" s="123">
        <v>51592</v>
      </c>
      <c r="G77" s="432">
        <f t="shared" si="7"/>
        <v>52</v>
      </c>
      <c r="H77" s="99">
        <f>G77+'25'!H77</f>
        <v>1279</v>
      </c>
      <c r="I77" s="154"/>
      <c r="J77" s="175">
        <f>H77/DAY(B2)</f>
        <v>49.192307692307693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'25'!F78</f>
        <v>9563.4</v>
      </c>
      <c r="F78" s="123">
        <v>9563.4</v>
      </c>
      <c r="G78" s="432">
        <f t="shared" si="7"/>
        <v>0</v>
      </c>
      <c r="H78" s="99">
        <f>G78+'25'!H78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'25'!F79</f>
        <v>0</v>
      </c>
      <c r="F79" s="117"/>
      <c r="G79" s="432">
        <f>G15-SUM(G74:G78)</f>
        <v>537.15999999985797</v>
      </c>
      <c r="H79" s="99">
        <f>G79+'25'!H79</f>
        <v>14134.430000000051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432">
        <f>SUM(G74:G79)</f>
        <v>978.12999999988824</v>
      </c>
      <c r="H80" s="99"/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446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432">
        <f t="shared" ref="G82:G92" si="8">F82-E82</f>
        <v>0</v>
      </c>
      <c r="H82" s="99">
        <f>G82+'25'!H82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432">
        <f t="shared" si="8"/>
        <v>0</v>
      </c>
      <c r="H83" s="99">
        <f>G83+'25'!H83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'25'!F84</f>
        <v>42801.36</v>
      </c>
      <c r="F84" s="164">
        <v>42801.36</v>
      </c>
      <c r="G84" s="432">
        <f t="shared" si="8"/>
        <v>0</v>
      </c>
      <c r="H84" s="99">
        <f>G84+'25'!H84</f>
        <v>172.36000000000058</v>
      </c>
      <c r="I84" s="571"/>
      <c r="J84" s="175">
        <f>H84/DAY(B2)</f>
        <v>6.6292307692307917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'25'!F85</f>
        <v>5342.02</v>
      </c>
      <c r="F85" s="164">
        <v>5354.41</v>
      </c>
      <c r="G85" s="432">
        <f t="shared" si="8"/>
        <v>12.389999999999418</v>
      </c>
      <c r="H85" s="99">
        <f>G85+'25'!H85</f>
        <v>214.22000000000025</v>
      </c>
      <c r="I85" s="571"/>
      <c r="J85" s="175">
        <f>H85/DAY(B2)</f>
        <v>8.2392307692307796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'25'!F86</f>
        <v>45875.49</v>
      </c>
      <c r="F86" s="164">
        <v>45899.53</v>
      </c>
      <c r="G86" s="432">
        <f t="shared" si="8"/>
        <v>24.040000000000873</v>
      </c>
      <c r="H86" s="99">
        <f>G86+'25'!H86</f>
        <v>520.52999999999884</v>
      </c>
      <c r="I86" s="571"/>
      <c r="J86" s="175">
        <f>H86/DAY(B2)</f>
        <v>20.020384615384572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'25'!F87</f>
        <v>35457.49</v>
      </c>
      <c r="F87" s="164">
        <v>35457.49</v>
      </c>
      <c r="G87" s="432">
        <f t="shared" si="8"/>
        <v>0</v>
      </c>
      <c r="H87" s="99">
        <f>G87+'25'!H87</f>
        <v>23.569999999999709</v>
      </c>
      <c r="I87" s="571">
        <f>G84+G85+G86+G87</f>
        <v>36.430000000000291</v>
      </c>
      <c r="J87" s="175">
        <f>H87/DAY(B2)</f>
        <v>0.9065384615384503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'25'!F88</f>
        <v>24335.16</v>
      </c>
      <c r="F88" s="164">
        <v>24335.16</v>
      </c>
      <c r="G88" s="432">
        <f t="shared" si="8"/>
        <v>0</v>
      </c>
      <c r="H88" s="99">
        <f>G88+'25'!H88</f>
        <v>31.700000000000728</v>
      </c>
      <c r="I88" s="571"/>
      <c r="J88" s="175">
        <f>H88/DAY(B2)</f>
        <v>1.2192307692307973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'25'!F89</f>
        <v>27753.72</v>
      </c>
      <c r="F89" s="164">
        <v>27762.15</v>
      </c>
      <c r="G89" s="432">
        <f t="shared" si="8"/>
        <v>8.430000000000291</v>
      </c>
      <c r="H89" s="99">
        <f>G89+'25'!H89</f>
        <v>195.54000000000087</v>
      </c>
      <c r="I89" s="571">
        <f>G88+G89</f>
        <v>8.430000000000291</v>
      </c>
      <c r="J89" s="175">
        <f>H89/DAY(B2)</f>
        <v>7.5207692307692646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'25'!F90</f>
        <v>72874.259999999995</v>
      </c>
      <c r="F90" s="164">
        <v>72884.66</v>
      </c>
      <c r="G90" s="432">
        <f t="shared" si="8"/>
        <v>10.400000000008731</v>
      </c>
      <c r="H90" s="99">
        <f>G90+'25'!H90</f>
        <v>278.11000000000058</v>
      </c>
      <c r="I90" s="571">
        <f>G90</f>
        <v>10.400000000008731</v>
      </c>
      <c r="J90" s="175">
        <f>H90/DAY(B2)</f>
        <v>10.696538461538484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'25'!F91</f>
        <v>4289.54</v>
      </c>
      <c r="F91" s="122">
        <v>4293.42</v>
      </c>
      <c r="G91" s="432">
        <f t="shared" si="8"/>
        <v>3.8800000000001091</v>
      </c>
      <c r="H91" s="99">
        <f>G91+'25'!H91</f>
        <v>3.8800000000001091</v>
      </c>
      <c r="I91" s="590"/>
      <c r="J91" s="175">
        <f>H91/DAY(B2)</f>
        <v>0.14923076923077344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'25'!F92</f>
        <v>6993.64</v>
      </c>
      <c r="F92" s="122">
        <v>7000.23</v>
      </c>
      <c r="G92" s="432">
        <f t="shared" si="8"/>
        <v>6.589999999999236</v>
      </c>
      <c r="H92" s="99">
        <f>G92+'25'!H92</f>
        <v>282.89999999999964</v>
      </c>
      <c r="I92" s="596">
        <f>G91+G92</f>
        <v>10.469999999999345</v>
      </c>
      <c r="J92" s="175">
        <f>H92/DAY(B2)</f>
        <v>10.880769230769216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435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447">
        <f>G35+G43+G49+G57</f>
        <v>6738.5800000000163</v>
      </c>
      <c r="H94" s="99">
        <f>G94+'25'!H94</f>
        <v>183215.76</v>
      </c>
      <c r="I94" s="118"/>
      <c r="J94" s="175">
        <f>H94/DAY(B2)</f>
        <v>7046.76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448">
        <f>G94/G7</f>
        <v>0.26539580665031431</v>
      </c>
      <c r="H95" s="99">
        <f>G95+'25'!H95</f>
        <v>7.1447447683623384</v>
      </c>
      <c r="I95" s="167"/>
      <c r="J95" s="175">
        <f>H95/DAY(B2)</f>
        <v>0.27479787570624381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447">
        <f>G41+G42+G55+G56</f>
        <v>6455.4000000000815</v>
      </c>
      <c r="H96" s="99">
        <f>G96+'25'!H96</f>
        <v>171376.10000000003</v>
      </c>
      <c r="I96" s="118"/>
      <c r="J96" s="175">
        <f>H96/DAY(B2)</f>
        <v>6591.3884615384632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448">
        <f>G96/G7</f>
        <v>0.25424289542462308</v>
      </c>
      <c r="H97" s="99">
        <f>G97+'25'!H97</f>
        <v>6.6471333230174556</v>
      </c>
      <c r="I97" s="167"/>
      <c r="J97" s="175">
        <f>H97/DAY(B2)</f>
        <v>0.25565897396220982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447">
        <f>G39+G53</f>
        <v>4291.3399999999965</v>
      </c>
      <c r="H98" s="99">
        <f>G98+'25'!H98</f>
        <v>112740.71999999994</v>
      </c>
      <c r="I98" s="168"/>
      <c r="J98" s="175">
        <f>H98/DAY(B2)</f>
        <v>4336.1815384615365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448">
        <f>G98/G7</f>
        <v>0.1690124092777345</v>
      </c>
      <c r="H99" s="99">
        <f>G99+'25'!H99</f>
        <v>4.3944551239765488</v>
      </c>
      <c r="I99" s="168"/>
      <c r="J99" s="175">
        <f>H99/DAY(B2)</f>
        <v>0.1690175047683288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447">
        <f>G38+G52</f>
        <v>2171.2000000000116</v>
      </c>
      <c r="H100" s="99">
        <f>G100+'25'!H100</f>
        <v>57696.950000000012</v>
      </c>
      <c r="I100" s="118"/>
      <c r="J100" s="175">
        <f>H100/DAY(B2)</f>
        <v>2219.1134615384622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448">
        <f>G100/G7</f>
        <v>8.5511691691597363E-2</v>
      </c>
      <c r="H101" s="99">
        <f>G101+'25'!H101</f>
        <v>2.2494403303231767</v>
      </c>
      <c r="I101" s="168"/>
      <c r="J101" s="175">
        <f>H101/DAY(B2)</f>
        <v>8.6516935781660642E-2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447">
        <f>G36+G50</f>
        <v>2169.1800000000221</v>
      </c>
      <c r="H102" s="99">
        <f>G102+'25'!H102</f>
        <v>55014.94</v>
      </c>
      <c r="I102" s="168"/>
      <c r="J102" s="175">
        <f>H102/DAY(B2)</f>
        <v>2115.959230769231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448">
        <f>G102/G7</f>
        <v>8.5432134940853013E-2</v>
      </c>
      <c r="H103" s="99">
        <f>G103+'25'!H103</f>
        <v>2.1338335312529502</v>
      </c>
      <c r="I103" s="118"/>
      <c r="J103" s="175">
        <f>H103/DAY(B2)</f>
        <v>8.2070520432805771E-2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447">
        <f>G37+G51</f>
        <v>1081.6199999999953</v>
      </c>
      <c r="H104" s="99">
        <f>G104+'25'!H104</f>
        <v>27269.53</v>
      </c>
      <c r="I104" s="118"/>
      <c r="J104" s="175">
        <f>H104/DAY(B2)</f>
        <v>1048.8280769230769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449">
        <f>G104/G7</f>
        <v>4.2599095416113043E-2</v>
      </c>
      <c r="H105" s="99">
        <f>G105+'25'!H105</f>
        <v>1.0628020714474036</v>
      </c>
      <c r="I105" s="187"/>
      <c r="J105" s="188">
        <f>H105/DAY(B2)</f>
        <v>4.0877002747977058E-2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50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452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'25'!F112</f>
        <v>9070.39</v>
      </c>
      <c r="F112" s="237">
        <v>9144.34</v>
      </c>
      <c r="G112" s="432">
        <f t="shared" ref="G112:G123" si="9">F112-E112</f>
        <v>73.950000000000728</v>
      </c>
      <c r="H112" s="99">
        <f>G112+'25'!H112</f>
        <v>4342.67</v>
      </c>
      <c r="I112" s="165"/>
      <c r="J112" s="328">
        <f>H112/DAY(B2)</f>
        <v>167.02576923076924</v>
      </c>
    </row>
    <row r="113" spans="1:18" ht="25.5">
      <c r="A113" s="898" t="s">
        <v>253</v>
      </c>
      <c r="B113" s="899"/>
      <c r="C113" s="900"/>
      <c r="D113" s="146" t="s">
        <v>183</v>
      </c>
      <c r="E113" s="95">
        <f>'25'!F113</f>
        <v>18523.07</v>
      </c>
      <c r="F113" s="237">
        <v>18664.21</v>
      </c>
      <c r="G113" s="432">
        <f t="shared" si="9"/>
        <v>141.13999999999942</v>
      </c>
      <c r="H113" s="99">
        <f>G113+'25'!H113</f>
        <v>3649.2099999999991</v>
      </c>
      <c r="I113" s="165"/>
      <c r="J113" s="328">
        <f>H113/DAY(B2)</f>
        <v>140.35423076923072</v>
      </c>
    </row>
    <row r="114" spans="1:18" ht="25.5">
      <c r="A114" s="898" t="s">
        <v>254</v>
      </c>
      <c r="B114" s="899"/>
      <c r="C114" s="900"/>
      <c r="D114" s="146" t="s">
        <v>183</v>
      </c>
      <c r="E114" s="95">
        <f>'25'!F114</f>
        <v>26773.15</v>
      </c>
      <c r="F114" s="237">
        <v>26994.400000000001</v>
      </c>
      <c r="G114" s="432">
        <f t="shared" si="9"/>
        <v>221.25</v>
      </c>
      <c r="H114" s="99">
        <f>G114+'25'!H114</f>
        <v>5726.4000000000015</v>
      </c>
      <c r="I114" s="165"/>
      <c r="J114" s="328">
        <f>H114/DAY(B2)</f>
        <v>220.2461538461539</v>
      </c>
    </row>
    <row r="115" spans="1:18" ht="25.5">
      <c r="A115" s="898" t="s">
        <v>255</v>
      </c>
      <c r="B115" s="899"/>
      <c r="C115" s="900"/>
      <c r="D115" s="146" t="s">
        <v>183</v>
      </c>
      <c r="E115" s="95">
        <f>'25'!F115</f>
        <v>16660.2</v>
      </c>
      <c r="F115" s="237">
        <v>16820.41</v>
      </c>
      <c r="G115" s="432">
        <f t="shared" si="9"/>
        <v>160.20999999999913</v>
      </c>
      <c r="H115" s="99">
        <f>G115+'25'!H115</f>
        <v>3244.9300000000003</v>
      </c>
      <c r="I115" s="165"/>
      <c r="J115" s="328">
        <f>H115/DAY(B2)</f>
        <v>124.80500000000001</v>
      </c>
    </row>
    <row r="116" spans="1:18" ht="25.5">
      <c r="A116" s="905" t="s">
        <v>96</v>
      </c>
      <c r="B116" s="906"/>
      <c r="C116" s="907"/>
      <c r="D116" s="146" t="s">
        <v>183</v>
      </c>
      <c r="E116" s="95">
        <f>'25'!F116</f>
        <v>80870.259999999995</v>
      </c>
      <c r="F116" s="237">
        <v>81373.279999999999</v>
      </c>
      <c r="G116" s="432">
        <f t="shared" si="9"/>
        <v>503.02000000000407</v>
      </c>
      <c r="H116" s="99">
        <f>G116+'25'!H116</f>
        <v>10881.279999999999</v>
      </c>
      <c r="I116" s="165"/>
      <c r="J116" s="328">
        <f>H116/DAY(B2)</f>
        <v>418.5107692307692</v>
      </c>
      <c r="Q116" s="898" t="s">
        <v>311</v>
      </c>
      <c r="R116" s="900"/>
    </row>
    <row r="117" spans="1:18" ht="25.5">
      <c r="A117" s="905" t="s">
        <v>184</v>
      </c>
      <c r="B117" s="906"/>
      <c r="C117" s="907"/>
      <c r="D117" s="146" t="s">
        <v>183</v>
      </c>
      <c r="E117" s="406">
        <f>'25'!F117</f>
        <v>47050.51</v>
      </c>
      <c r="F117" s="417">
        <v>47326.73</v>
      </c>
      <c r="G117" s="520">
        <f t="shared" si="9"/>
        <v>276.22000000000116</v>
      </c>
      <c r="H117" s="99">
        <f>G117+'25'!H117</f>
        <v>6404.7300000000032</v>
      </c>
      <c r="I117" s="165"/>
      <c r="J117" s="328">
        <f>H117/DAY(B2)</f>
        <v>246.33576923076936</v>
      </c>
      <c r="Q117" s="898" t="s">
        <v>312</v>
      </c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'25'!F118</f>
        <v>79613.100000000006</v>
      </c>
      <c r="F118" s="237">
        <v>80248.95</v>
      </c>
      <c r="G118" s="432">
        <f t="shared" si="9"/>
        <v>635.84999999999127</v>
      </c>
      <c r="H118" s="99">
        <f>G118+'25'!H118</f>
        <v>15576.949999999997</v>
      </c>
      <c r="I118" s="165"/>
      <c r="J118" s="328">
        <f>H118/DAY(B2)</f>
        <v>599.11346153846148</v>
      </c>
      <c r="Q118" s="898" t="s">
        <v>311</v>
      </c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'25'!F119</f>
        <v>41962.49</v>
      </c>
      <c r="F119" s="237">
        <v>41987.29</v>
      </c>
      <c r="G119" s="432">
        <f t="shared" si="9"/>
        <v>24.80000000000291</v>
      </c>
      <c r="H119" s="99">
        <f>G119+'25'!H119</f>
        <v>4538.2900000000009</v>
      </c>
      <c r="I119" s="165"/>
      <c r="J119" s="328">
        <f>H119/DAY(B2)</f>
        <v>174.54961538461541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'25'!F120</f>
        <v>56605.64</v>
      </c>
      <c r="F120" s="237">
        <v>57016.14</v>
      </c>
      <c r="G120" s="432">
        <f t="shared" si="9"/>
        <v>410.5</v>
      </c>
      <c r="H120" s="99">
        <f>G120+'25'!H120</f>
        <v>10749.14</v>
      </c>
      <c r="I120" s="165"/>
      <c r="J120" s="328">
        <f>H120/DAY(B2)</f>
        <v>413.42846153846153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'25'!F121</f>
        <v>65143.89</v>
      </c>
      <c r="F121" s="237">
        <v>65594.84</v>
      </c>
      <c r="G121" s="432">
        <f t="shared" si="9"/>
        <v>450.94999999999709</v>
      </c>
      <c r="H121" s="99">
        <f>G121+'25'!H121</f>
        <v>12051.839999999997</v>
      </c>
      <c r="I121" s="165"/>
      <c r="J121" s="328">
        <f>H121/DAY(B2)</f>
        <v>463.53230769230754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'25'!F122</f>
        <v>36722.67</v>
      </c>
      <c r="F122" s="237">
        <v>37022.15</v>
      </c>
      <c r="G122" s="432">
        <f t="shared" si="9"/>
        <v>299.4800000000032</v>
      </c>
      <c r="H122" s="99">
        <f>G122+'25'!H122</f>
        <v>8348.1500000000015</v>
      </c>
      <c r="I122" s="165"/>
      <c r="J122" s="328">
        <f>H122/DAY(B2)</f>
        <v>321.08269230769235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'25'!F123</f>
        <v>38356.61</v>
      </c>
      <c r="F123" s="237">
        <v>38690.92</v>
      </c>
      <c r="G123" s="432">
        <f t="shared" si="9"/>
        <v>334.30999999999767</v>
      </c>
      <c r="H123" s="99">
        <f>G123+'25'!H123</f>
        <v>8502.9199999999983</v>
      </c>
      <c r="I123" s="165"/>
      <c r="J123" s="328">
        <f>H123/DAY(B2)</f>
        <v>327.03538461538454</v>
      </c>
    </row>
    <row r="124" spans="1:18" ht="25.5">
      <c r="A124" s="902"/>
      <c r="B124" s="903"/>
      <c r="C124" s="904"/>
      <c r="D124" s="165"/>
      <c r="E124" s="95">
        <f>'25'!F124</f>
        <v>0</v>
      </c>
      <c r="F124" s="165"/>
      <c r="G124" s="452"/>
      <c r="H124" s="156"/>
      <c r="I124" s="165"/>
      <c r="J124" s="327"/>
    </row>
    <row r="125" spans="1:18" ht="25.5">
      <c r="A125" s="880" t="s">
        <v>196</v>
      </c>
      <c r="B125" s="881"/>
      <c r="C125" s="245"/>
      <c r="D125" s="307"/>
      <c r="E125" s="308"/>
      <c r="F125" s="308"/>
      <c r="G125" s="453">
        <f>SUM(G112:G124)</f>
        <v>3531.6799999999967</v>
      </c>
      <c r="H125" s="156"/>
      <c r="I125" s="327">
        <f>G125-(G39+G53)</f>
        <v>-759.65999999999985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453"/>
      <c r="H127" s="99">
        <f>G127+'25'!H127</f>
        <v>0</v>
      </c>
      <c r="I127" s="165"/>
      <c r="J127" s="328">
        <f>H127/DAY(B2)</f>
        <v>0</v>
      </c>
    </row>
    <row r="128" spans="1:18" ht="25.5">
      <c r="A128" s="898" t="s">
        <v>318</v>
      </c>
      <c r="B128" s="899"/>
      <c r="C128" s="900"/>
      <c r="D128" s="151" t="s">
        <v>183</v>
      </c>
      <c r="E128" s="95">
        <f>'25'!F128</f>
        <v>139446.06</v>
      </c>
      <c r="F128" s="165">
        <v>139844.71</v>
      </c>
      <c r="G128" s="432">
        <f t="shared" ref="G128:G134" si="10">F128-E128</f>
        <v>398.64999999999418</v>
      </c>
      <c r="H128" s="99">
        <f>G128+'25'!H128</f>
        <v>12200.709999999992</v>
      </c>
      <c r="I128" s="165"/>
      <c r="J128" s="328">
        <f>H128/DAY(B2)</f>
        <v>469.2580769230766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'25'!F129</f>
        <v>77426.89</v>
      </c>
      <c r="F129" s="165">
        <v>77618.86</v>
      </c>
      <c r="G129" s="432">
        <f t="shared" si="10"/>
        <v>191.97000000000116</v>
      </c>
      <c r="H129" s="99">
        <f>G129+'25'!H129</f>
        <v>5115.8600000000006</v>
      </c>
      <c r="I129" s="165"/>
      <c r="J129" s="328">
        <f>H129/DAY(B2)</f>
        <v>196.76384615384617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'25'!F130</f>
        <v>181773.71</v>
      </c>
      <c r="F130" s="165">
        <v>182466.07</v>
      </c>
      <c r="G130" s="432">
        <f t="shared" si="10"/>
        <v>692.36000000001513</v>
      </c>
      <c r="H130" s="99">
        <f>G130+'25'!H130</f>
        <v>17330.549999999988</v>
      </c>
      <c r="I130" s="165"/>
      <c r="J130" s="328">
        <f>H130/DAY(B2)</f>
        <v>666.55961538461497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'25'!F131</f>
        <v>53088.5</v>
      </c>
      <c r="F131" s="165">
        <v>53282.39</v>
      </c>
      <c r="G131" s="432">
        <f t="shared" si="10"/>
        <v>193.88999999999942</v>
      </c>
      <c r="H131" s="99">
        <f>G131+'25'!H131</f>
        <v>4833.3899999999994</v>
      </c>
      <c r="I131" s="165"/>
      <c r="J131" s="328">
        <f>H131/DAY(B2)</f>
        <v>185.89961538461537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'25'!F132</f>
        <v>138462.39000000001</v>
      </c>
      <c r="F132" s="165">
        <v>138876.4</v>
      </c>
      <c r="G132" s="432">
        <f t="shared" si="10"/>
        <v>414.00999999998021</v>
      </c>
      <c r="H132" s="99">
        <f>G132+'25'!H132</f>
        <v>10702.399999999994</v>
      </c>
      <c r="I132" s="165"/>
      <c r="J132" s="328">
        <f>H132/DAY(B2)</f>
        <v>411.63076923076903</v>
      </c>
    </row>
    <row r="133" spans="1:15" ht="25.5">
      <c r="A133" s="898" t="s">
        <v>359</v>
      </c>
      <c r="B133" s="899"/>
      <c r="C133" s="900"/>
      <c r="D133" s="151" t="s">
        <v>183</v>
      </c>
      <c r="E133" s="95">
        <f>'25'!F133</f>
        <v>235640.35</v>
      </c>
      <c r="F133" s="165">
        <v>236533.65</v>
      </c>
      <c r="G133" s="432">
        <f t="shared" si="10"/>
        <v>893.29999999998836</v>
      </c>
      <c r="H133" s="99">
        <f>G133+'25'!H133</f>
        <v>14129.079999999987</v>
      </c>
      <c r="I133" s="165"/>
      <c r="J133" s="328">
        <f>H133/DAY(B2)</f>
        <v>543.4261538461534</v>
      </c>
    </row>
    <row r="134" spans="1:15" ht="25.5">
      <c r="A134" s="898" t="s">
        <v>340</v>
      </c>
      <c r="B134" s="899"/>
      <c r="C134" s="900"/>
      <c r="D134" s="151" t="s">
        <v>183</v>
      </c>
      <c r="E134" s="95">
        <f>'25'!F134</f>
        <v>54665.14</v>
      </c>
      <c r="F134" s="165">
        <v>54909.440000000002</v>
      </c>
      <c r="G134" s="432">
        <f t="shared" si="10"/>
        <v>244.30000000000291</v>
      </c>
      <c r="H134" s="99">
        <f>G134+'25'!H134</f>
        <v>5874.4400000000023</v>
      </c>
      <c r="I134" s="165"/>
      <c r="J134" s="328">
        <f>H134/DAY(B2)</f>
        <v>225.94000000000008</v>
      </c>
    </row>
    <row r="135" spans="1:15" ht="25.5">
      <c r="A135" s="880" t="s">
        <v>196</v>
      </c>
      <c r="B135" s="881"/>
      <c r="C135" s="331"/>
      <c r="D135" s="151"/>
      <c r="E135" s="95"/>
      <c r="F135" s="165"/>
      <c r="G135" s="432">
        <f>SUM(G128:G134)</f>
        <v>3028.4799999999814</v>
      </c>
      <c r="H135" s="99">
        <f>G135+'23'!H135</f>
        <v>27703.449999999968</v>
      </c>
      <c r="I135" s="327">
        <f>G135-(G35+G49)</f>
        <v>-855.28000000002794</v>
      </c>
      <c r="J135" s="328"/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452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'25'!F138</f>
        <v>894516</v>
      </c>
      <c r="F138" s="147">
        <v>894673</v>
      </c>
      <c r="G138" s="432">
        <f t="shared" ref="G138:G152" si="11">F138-E138</f>
        <v>157</v>
      </c>
      <c r="H138" s="99">
        <f>G138+'25'!H138</f>
        <v>3562</v>
      </c>
      <c r="I138" s="118"/>
      <c r="J138" s="328">
        <f>H138/DAY(B2)</f>
        <v>137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'25'!F139</f>
        <v>912716</v>
      </c>
      <c r="F139" s="148">
        <v>912867</v>
      </c>
      <c r="G139" s="432">
        <f t="shared" si="11"/>
        <v>151</v>
      </c>
      <c r="H139" s="99">
        <f>G139+'25'!H139</f>
        <v>3972</v>
      </c>
      <c r="I139" s="118"/>
      <c r="J139" s="328">
        <f>H139/DAY(B2)</f>
        <v>152.76923076923077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'25'!F140</f>
        <v>1883.95</v>
      </c>
      <c r="F140" s="148">
        <v>1900.11</v>
      </c>
      <c r="G140" s="432">
        <f t="shared" si="11"/>
        <v>16.159999999999854</v>
      </c>
      <c r="H140" s="99">
        <f>G140+'25'!H140</f>
        <v>387.1099999999999</v>
      </c>
      <c r="I140" s="118"/>
      <c r="J140" s="328">
        <f>H140/DAY(B2)</f>
        <v>14.888846153846149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'25'!F141</f>
        <v>95553.33</v>
      </c>
      <c r="F141" s="148">
        <v>95761.279999999999</v>
      </c>
      <c r="G141" s="432">
        <f t="shared" si="11"/>
        <v>207.94999999999709</v>
      </c>
      <c r="H141" s="99">
        <f>G141+'25'!H141</f>
        <v>5309.2799999999988</v>
      </c>
      <c r="I141" s="118"/>
      <c r="J141" s="328">
        <f>H141/DAY(B2)</f>
        <v>204.20307692307688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'25'!F142</f>
        <v>38716.89</v>
      </c>
      <c r="F142" s="148">
        <v>38790.910000000003</v>
      </c>
      <c r="G142" s="432">
        <f t="shared" si="11"/>
        <v>74.020000000004075</v>
      </c>
      <c r="H142" s="99">
        <f>G142+'25'!H142</f>
        <v>2129.9100000000035</v>
      </c>
      <c r="I142" s="140"/>
      <c r="J142" s="328">
        <f>H142/DAY(B2)</f>
        <v>81.919615384615525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'25'!F143</f>
        <v>9712.92</v>
      </c>
      <c r="F143" s="148">
        <v>9742.57</v>
      </c>
      <c r="G143" s="432">
        <f t="shared" si="11"/>
        <v>29.649999999999636</v>
      </c>
      <c r="H143" s="99">
        <f>G143+'25'!H143</f>
        <v>691.56999999999971</v>
      </c>
      <c r="I143" s="140"/>
      <c r="J143" s="328">
        <f>H143/DAY(B2)</f>
        <v>26.598846153846143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'25'!F144</f>
        <v>925331</v>
      </c>
      <c r="F144" s="148">
        <v>925541</v>
      </c>
      <c r="G144" s="432">
        <f t="shared" si="11"/>
        <v>210</v>
      </c>
      <c r="H144" s="99">
        <f>G144+'25'!H144</f>
        <v>5704</v>
      </c>
      <c r="I144" s="140"/>
      <c r="J144" s="328">
        <f>H144/DAY(B2)</f>
        <v>219.38461538461539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'25'!F145</f>
        <v>6700.43</v>
      </c>
      <c r="F145" s="148">
        <v>6781.09</v>
      </c>
      <c r="G145" s="432">
        <f t="shared" si="11"/>
        <v>80.659999999999854</v>
      </c>
      <c r="H145" s="99">
        <f>G145+'25'!H145</f>
        <v>974.09000000000015</v>
      </c>
      <c r="I145" s="140"/>
      <c r="J145" s="328">
        <f>H145/DAY(B2)</f>
        <v>37.465000000000003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'25'!F146</f>
        <v>782498</v>
      </c>
      <c r="F146" s="148">
        <v>782551</v>
      </c>
      <c r="G146" s="432">
        <f t="shared" si="11"/>
        <v>53</v>
      </c>
      <c r="H146" s="99">
        <f>G146+'25'!H146</f>
        <v>1751</v>
      </c>
      <c r="I146" s="140"/>
      <c r="J146" s="328">
        <f>H146/DAY(B2)</f>
        <v>67.34615384615384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'25'!F147</f>
        <v>709397.36</v>
      </c>
      <c r="F147" s="148">
        <v>709798.64</v>
      </c>
      <c r="G147" s="432">
        <f t="shared" si="11"/>
        <v>401.28000000002794</v>
      </c>
      <c r="H147" s="99">
        <f>G147+'25'!H147</f>
        <v>10029.640000000014</v>
      </c>
      <c r="I147" s="140"/>
      <c r="J147" s="328">
        <f>H147/DAY(B2)</f>
        <v>385.75538461538514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'25'!F148</f>
        <v>756164.08</v>
      </c>
      <c r="F148" s="164">
        <v>756548.4</v>
      </c>
      <c r="G148" s="432">
        <f t="shared" si="11"/>
        <v>384.32000000006519</v>
      </c>
      <c r="H148" s="99">
        <f>G148+'25'!H148</f>
        <v>8018.4000000000233</v>
      </c>
      <c r="I148" s="124"/>
      <c r="J148" s="328">
        <f>H148/DAY(B2)</f>
        <v>308.40000000000089</v>
      </c>
    </row>
    <row r="149" spans="1:10" ht="25.5">
      <c r="A149" s="877" t="s">
        <v>336</v>
      </c>
      <c r="B149" s="878"/>
      <c r="C149" s="879"/>
      <c r="D149" s="227" t="s">
        <v>130</v>
      </c>
      <c r="E149" s="95">
        <f>'25'!F149</f>
        <v>143962.54999999999</v>
      </c>
      <c r="F149" s="416">
        <v>144363.56</v>
      </c>
      <c r="G149" s="432">
        <f t="shared" si="11"/>
        <v>401.01000000000931</v>
      </c>
      <c r="H149" s="99">
        <f>G149+'25'!H149</f>
        <v>11929.559999999998</v>
      </c>
      <c r="I149" s="119"/>
      <c r="J149" s="328">
        <f>H149/DAY(B2)</f>
        <v>458.82923076923066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'25'!F150</f>
        <v>56146.79</v>
      </c>
      <c r="F150" s="233">
        <v>56364.02</v>
      </c>
      <c r="G150" s="432">
        <f t="shared" si="11"/>
        <v>217.22999999999593</v>
      </c>
      <c r="H150" s="99">
        <f>G150+'25'!H150</f>
        <v>5749.0199999999968</v>
      </c>
      <c r="I150" s="119"/>
      <c r="J150" s="328">
        <f>H150/DAY(B2)</f>
        <v>221.11615384615374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'25'!F151</f>
        <v>141989</v>
      </c>
      <c r="F151" s="233">
        <v>142273</v>
      </c>
      <c r="G151" s="432">
        <f t="shared" si="11"/>
        <v>284</v>
      </c>
      <c r="H151" s="99">
        <f>G151+'25'!H151</f>
        <v>6824</v>
      </c>
      <c r="I151" s="119"/>
      <c r="J151" s="328">
        <f>H151/DAY(B2)</f>
        <v>262.46153846153845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'25'!F152</f>
        <v>26176.78</v>
      </c>
      <c r="F152" s="233">
        <v>26265.86</v>
      </c>
      <c r="G152" s="432">
        <f t="shared" si="11"/>
        <v>89.080000000001746</v>
      </c>
      <c r="H152" s="99">
        <f>G152+'25'!H152</f>
        <v>3111.8600000000006</v>
      </c>
      <c r="I152" s="119"/>
      <c r="J152" s="328">
        <f>H152/DAY(B2)</f>
        <v>119.68692307692309</v>
      </c>
    </row>
    <row r="153" spans="1:10" ht="25.5">
      <c r="A153" s="880" t="s">
        <v>196</v>
      </c>
      <c r="B153" s="881"/>
      <c r="C153" s="365"/>
      <c r="D153" s="358"/>
      <c r="E153" s="360"/>
      <c r="F153" s="361"/>
      <c r="G153" s="454">
        <f>SUM(G138:G152)</f>
        <v>2756.3600000001006</v>
      </c>
      <c r="H153" s="363"/>
      <c r="I153" s="119">
        <f>G153-(G38+G52)</f>
        <v>585.16000000008898</v>
      </c>
      <c r="J153" s="366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95">
        <f>'25'!F155</f>
        <v>163861.46</v>
      </c>
      <c r="F155" s="157">
        <v>164474.9</v>
      </c>
      <c r="G155" s="432">
        <f t="shared" ref="G155:G158" si="12">F155-E155</f>
        <v>613.44000000000233</v>
      </c>
      <c r="H155" s="99">
        <f>G155+'25'!H155</f>
        <v>16325.899999999994</v>
      </c>
      <c r="I155" s="364"/>
      <c r="J155" s="328">
        <f>H155/DAY(B2)</f>
        <v>627.91923076923058</v>
      </c>
    </row>
    <row r="156" spans="1:10" ht="25.5">
      <c r="A156" s="876" t="s">
        <v>347</v>
      </c>
      <c r="B156" s="876"/>
      <c r="C156" s="876"/>
      <c r="D156" s="117" t="s">
        <v>130</v>
      </c>
      <c r="E156" s="95">
        <f>'25'!F156</f>
        <v>17204.240000000002</v>
      </c>
      <c r="F156" s="157">
        <v>17300.22</v>
      </c>
      <c r="G156" s="432">
        <f t="shared" si="12"/>
        <v>95.979999999999563</v>
      </c>
      <c r="H156" s="99">
        <f>G156+'25'!H156</f>
        <v>2764.2200000000012</v>
      </c>
      <c r="I156" s="165"/>
      <c r="J156" s="328">
        <f>H156/DAY(B2)</f>
        <v>106.3161538461539</v>
      </c>
    </row>
    <row r="157" spans="1:10" ht="25.5">
      <c r="A157" s="877" t="s">
        <v>360</v>
      </c>
      <c r="B157" s="878"/>
      <c r="C157" s="879"/>
      <c r="D157" s="117" t="s">
        <v>130</v>
      </c>
      <c r="E157" s="95">
        <f>'25'!F157</f>
        <v>30761.8</v>
      </c>
      <c r="F157" s="155">
        <v>30916.98</v>
      </c>
      <c r="G157" s="432">
        <f t="shared" si="12"/>
        <v>155.18000000000029</v>
      </c>
      <c r="H157" s="99">
        <f>G157+'25'!H157</f>
        <v>877.47999999999956</v>
      </c>
      <c r="I157" s="165"/>
      <c r="J157" s="328">
        <f>H157/DAY(B2)</f>
        <v>33.749230769230749</v>
      </c>
    </row>
    <row r="158" spans="1:10" ht="25.5">
      <c r="A158" s="877" t="s">
        <v>361</v>
      </c>
      <c r="B158" s="878"/>
      <c r="C158" s="879"/>
      <c r="D158" s="117" t="s">
        <v>130</v>
      </c>
      <c r="E158" s="95">
        <f>'25'!F158</f>
        <v>287.48</v>
      </c>
      <c r="F158" s="155">
        <v>288.35000000000002</v>
      </c>
      <c r="G158" s="432">
        <f t="shared" si="12"/>
        <v>0.87000000000000455</v>
      </c>
      <c r="H158" s="99">
        <f>G158+'25'!H158</f>
        <v>46.960000000000036</v>
      </c>
      <c r="I158" s="165"/>
      <c r="J158" s="328">
        <f>H158/DAY(B2)</f>
        <v>1.8061538461538476</v>
      </c>
    </row>
    <row r="159" spans="1:10" ht="25.5">
      <c r="A159" s="962"/>
      <c r="B159" s="963"/>
      <c r="C159" s="964"/>
      <c r="D159" s="117"/>
      <c r="E159" s="95"/>
      <c r="F159" s="165"/>
      <c r="G159" s="432"/>
      <c r="H159" s="99"/>
      <c r="I159" s="165"/>
      <c r="J159" s="328"/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'25'!F161</f>
        <v>481592.92</v>
      </c>
      <c r="F161" s="235">
        <v>481652.28</v>
      </c>
      <c r="G161" s="455">
        <f t="shared" ref="G161:G165" si="13">F161-E161</f>
        <v>59.360000000044238</v>
      </c>
      <c r="H161" s="99">
        <f>G161+'25'!H161</f>
        <v>605.28000000002794</v>
      </c>
      <c r="I161" s="236"/>
      <c r="J161" s="239">
        <f>H161/DAY(B2)</f>
        <v>23.280000000001074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'25'!F162</f>
        <v>95921.8</v>
      </c>
      <c r="F162" s="235">
        <v>95966</v>
      </c>
      <c r="G162" s="455">
        <f t="shared" si="13"/>
        <v>44.19999999999709</v>
      </c>
      <c r="H162" s="99">
        <f>G162+'25'!H162</f>
        <v>1038</v>
      </c>
      <c r="I162" s="236"/>
      <c r="J162" s="239">
        <f>H162/DAY(B2)</f>
        <v>39.92307692307692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'25'!F163</f>
        <v>9402.6</v>
      </c>
      <c r="F163" s="235">
        <v>9548.2999999999993</v>
      </c>
      <c r="G163" s="455">
        <f t="shared" si="13"/>
        <v>145.69999999999891</v>
      </c>
      <c r="H163" s="99">
        <f>G163+'25'!H163</f>
        <v>3047.2999999999993</v>
      </c>
      <c r="I163" s="236"/>
      <c r="J163" s="239">
        <f>H163/DAY(B2)</f>
        <v>117.20384615384613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'25'!F164</f>
        <v>6378</v>
      </c>
      <c r="F164" s="235">
        <v>6388.4</v>
      </c>
      <c r="G164" s="455">
        <f t="shared" si="13"/>
        <v>10.399999999999636</v>
      </c>
      <c r="H164" s="99">
        <f>G164+'25'!H164</f>
        <v>108.39999999999964</v>
      </c>
      <c r="I164" s="236"/>
      <c r="J164" s="239">
        <f>H164/DAY(B2)</f>
        <v>4.1692307692307553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'25'!F165</f>
        <v>31824.44</v>
      </c>
      <c r="F165" s="235">
        <v>31835</v>
      </c>
      <c r="G165" s="455">
        <f t="shared" si="13"/>
        <v>10.56000000000131</v>
      </c>
      <c r="H165" s="99">
        <f>G165+'25'!H165</f>
        <v>201</v>
      </c>
      <c r="I165" s="236"/>
      <c r="J165" s="239">
        <f>H165/DAY(B2)</f>
        <v>7.7307692307692308</v>
      </c>
    </row>
    <row r="166" spans="1:10" ht="26.25">
      <c r="A166" s="885"/>
      <c r="B166" s="885"/>
      <c r="C166" s="246"/>
      <c r="D166" s="244" t="s">
        <v>180</v>
      </c>
      <c r="E166" s="95" t="str">
        <f>'25'!F166</f>
        <v>.</v>
      </c>
      <c r="F166" s="165"/>
      <c r="G166" s="452"/>
      <c r="H166" s="99">
        <f>G166+'25'!H166</f>
        <v>0</v>
      </c>
      <c r="I166" s="165"/>
      <c r="J166" s="239">
        <f>H166/DAY(B2)</f>
        <v>0</v>
      </c>
    </row>
    <row r="167" spans="1:10" ht="26.25">
      <c r="A167" s="885"/>
      <c r="B167" s="885"/>
      <c r="C167" s="246"/>
      <c r="D167" s="244" t="s">
        <v>180</v>
      </c>
      <c r="E167" s="95">
        <f>'25'!F167</f>
        <v>0</v>
      </c>
      <c r="F167" s="165"/>
      <c r="G167" s="452"/>
      <c r="H167" s="99">
        <f>G167+'25'!H167</f>
        <v>0</v>
      </c>
      <c r="I167" s="165"/>
      <c r="J167" s="239">
        <f>H167/DAY(B2)</f>
        <v>0</v>
      </c>
    </row>
    <row r="168" spans="1:10" ht="26.25">
      <c r="A168" s="885"/>
      <c r="B168" s="885"/>
      <c r="C168" s="246"/>
      <c r="D168" s="244" t="s">
        <v>180</v>
      </c>
      <c r="E168" s="95">
        <f>'25'!F168</f>
        <v>0</v>
      </c>
      <c r="F168" s="165"/>
      <c r="G168" s="452"/>
      <c r="H168" s="99">
        <f>G168+'25'!H168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895"/>
      <c r="B172" s="896"/>
      <c r="C172" s="332"/>
      <c r="D172" s="228"/>
      <c r="E172" s="155"/>
      <c r="F172" s="155"/>
      <c r="G172" s="456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'25'!F173</f>
        <v>8235</v>
      </c>
      <c r="F173" s="155">
        <v>8235</v>
      </c>
      <c r="G173" s="456">
        <f>F173-E173</f>
        <v>0</v>
      </c>
      <c r="H173" s="99">
        <f>G173+'25'!H173</f>
        <v>51</v>
      </c>
      <c r="I173" s="155"/>
      <c r="J173" s="178">
        <f>H173/DAY(B2)</f>
        <v>1.9615384615384615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'25'!F174</f>
        <v>41533</v>
      </c>
      <c r="F174" s="157">
        <v>41548</v>
      </c>
      <c r="G174" s="456">
        <f t="shared" ref="G174:G175" si="14">F174-E174</f>
        <v>15</v>
      </c>
      <c r="H174" s="99">
        <f>G174+'25'!H174</f>
        <v>344</v>
      </c>
      <c r="I174" s="155"/>
      <c r="J174" s="178">
        <f>H174/DAY(B2)</f>
        <v>13.23076923076923</v>
      </c>
    </row>
    <row r="175" spans="1:10" ht="25.5">
      <c r="A175" s="891" t="s">
        <v>76</v>
      </c>
      <c r="B175" s="931"/>
      <c r="C175" s="892"/>
      <c r="D175" s="228" t="s">
        <v>142</v>
      </c>
      <c r="E175" s="95">
        <f>'25'!F175</f>
        <v>24309</v>
      </c>
      <c r="F175" s="155">
        <v>24319</v>
      </c>
      <c r="G175" s="456">
        <f t="shared" si="14"/>
        <v>10</v>
      </c>
      <c r="H175" s="99">
        <f>G175+'25'!H175</f>
        <v>288</v>
      </c>
      <c r="I175" s="155"/>
      <c r="J175" s="178">
        <f>H175/DAY(B2)</f>
        <v>11.076923076923077</v>
      </c>
    </row>
    <row r="176" spans="1:10" ht="25.5">
      <c r="A176" s="880" t="s">
        <v>196</v>
      </c>
      <c r="B176" s="881"/>
      <c r="C176" s="401"/>
      <c r="D176" s="228" t="s">
        <v>142</v>
      </c>
      <c r="E176" s="95"/>
      <c r="F176" s="155"/>
      <c r="G176" s="456">
        <f>SUM(G173:G175)</f>
        <v>25</v>
      </c>
      <c r="H176" s="99">
        <f>G176+'25'!H176</f>
        <v>683</v>
      </c>
      <c r="I176" s="155"/>
      <c r="J176" s="178">
        <f>H176/DAY(B2)</f>
        <v>26.26923076923077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456"/>
      <c r="H177" s="99">
        <f>G177+'25'!H177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'25'!F178</f>
        <v>99599</v>
      </c>
      <c r="F178" s="155">
        <v>99731</v>
      </c>
      <c r="G178" s="456">
        <f>F178-E178</f>
        <v>132</v>
      </c>
      <c r="H178" s="99">
        <f>G178+'25'!H178</f>
        <v>2018</v>
      </c>
      <c r="I178" s="155"/>
      <c r="J178" s="178">
        <f>H178/DAY(B2)</f>
        <v>77.615384615384613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'25'!F179</f>
        <v>37279</v>
      </c>
      <c r="F179" s="155">
        <v>37279</v>
      </c>
      <c r="G179" s="456">
        <f t="shared" ref="G179:G180" si="15">F179-E179</f>
        <v>0</v>
      </c>
      <c r="H179" s="99">
        <f>G179+'25'!H179</f>
        <v>67</v>
      </c>
      <c r="I179" s="155"/>
      <c r="J179" s="178">
        <f>H179/DAY(B2)</f>
        <v>2.5769230769230771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'25'!F180</f>
        <v>7183</v>
      </c>
      <c r="F180" s="155">
        <v>7183</v>
      </c>
      <c r="G180" s="456">
        <f t="shared" si="15"/>
        <v>0</v>
      </c>
      <c r="H180" s="99">
        <f>G180+'25'!H180</f>
        <v>194</v>
      </c>
      <c r="I180" s="155"/>
      <c r="J180" s="178">
        <f>H180/DAY(B2)</f>
        <v>7.4615384615384617</v>
      </c>
    </row>
    <row r="181" spans="1:10" ht="25.5">
      <c r="A181" s="893" t="s">
        <v>108</v>
      </c>
      <c r="B181" s="894"/>
      <c r="C181" s="401"/>
      <c r="D181" s="228" t="s">
        <v>142</v>
      </c>
      <c r="E181" s="95"/>
      <c r="F181" s="155"/>
      <c r="G181" s="456">
        <f>SUM(G178:G180)</f>
        <v>132</v>
      </c>
      <c r="H181" s="99">
        <f>G181+'25'!H181</f>
        <v>2279</v>
      </c>
      <c r="I181" s="155"/>
      <c r="J181" s="178">
        <f>H181/DAY(B2)</f>
        <v>87.65384615384616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456"/>
      <c r="H182" s="99">
        <f>G182+'25'!H182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'25'!F183</f>
        <v>17647</v>
      </c>
      <c r="F183" s="157">
        <v>17655</v>
      </c>
      <c r="G183" s="457">
        <f>F183-E183</f>
        <v>8</v>
      </c>
      <c r="H183" s="99">
        <f>G183+'25'!H183</f>
        <v>182</v>
      </c>
      <c r="I183" s="155"/>
      <c r="J183" s="178">
        <f>H183/DAY(B2)</f>
        <v>7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'25'!F184</f>
        <v>12121</v>
      </c>
      <c r="F184" s="157">
        <v>12127</v>
      </c>
      <c r="G184" s="457">
        <f t="shared" ref="G184:G185" si="16">F184-E184</f>
        <v>6</v>
      </c>
      <c r="H184" s="99">
        <f>G184+'25'!H184</f>
        <v>192</v>
      </c>
      <c r="I184" s="155"/>
      <c r="J184" s="178">
        <f>H184/DAY(B2)</f>
        <v>7.384615384615385</v>
      </c>
    </row>
    <row r="185" spans="1:10" ht="25.5">
      <c r="A185" s="891" t="s">
        <v>216</v>
      </c>
      <c r="B185" s="892"/>
      <c r="C185" s="334"/>
      <c r="D185" s="228" t="s">
        <v>142</v>
      </c>
      <c r="E185" s="95">
        <f>'25'!F185</f>
        <v>0</v>
      </c>
      <c r="F185" s="157"/>
      <c r="G185" s="4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5.5">
      <c r="A186" s="880" t="s">
        <v>196</v>
      </c>
      <c r="B186" s="881"/>
      <c r="C186" s="400"/>
      <c r="D186" s="228" t="s">
        <v>142</v>
      </c>
      <c r="E186" s="95"/>
      <c r="F186" s="157"/>
      <c r="G186" s="457">
        <f>SUM(G183:G185)</f>
        <v>14</v>
      </c>
      <c r="H186" s="99">
        <f>G186+'25'!H186</f>
        <v>374</v>
      </c>
      <c r="I186" s="157"/>
      <c r="J186" s="178">
        <f>H186/DAY(B2)</f>
        <v>14.384615384615385</v>
      </c>
    </row>
    <row r="187" spans="1:10" ht="25.5">
      <c r="A187" s="882" t="s">
        <v>217</v>
      </c>
      <c r="B187" s="883"/>
      <c r="C187" s="333"/>
      <c r="D187" s="228" t="s">
        <v>142</v>
      </c>
      <c r="E187" s="95">
        <f>'25'!F187</f>
        <v>0</v>
      </c>
      <c r="F187" s="159"/>
      <c r="G187" s="458">
        <f>G62+G19</f>
        <v>155</v>
      </c>
      <c r="H187" s="99">
        <f>G187+'25'!H187</f>
        <v>4106</v>
      </c>
      <c r="I187" s="158"/>
      <c r="J187" s="179">
        <f>H187/DAY(B2)</f>
        <v>157.92307692307693</v>
      </c>
    </row>
    <row r="188" spans="1:10" ht="25.5">
      <c r="A188" s="882" t="s">
        <v>218</v>
      </c>
      <c r="B188" s="883"/>
      <c r="C188" s="333"/>
      <c r="D188" s="228" t="s">
        <v>142</v>
      </c>
      <c r="E188" s="95">
        <f>'25'!F188</f>
        <v>0</v>
      </c>
      <c r="F188" s="159"/>
      <c r="G188" s="458">
        <f>G65+G66+G67+G69+G70</f>
        <v>154</v>
      </c>
      <c r="H188" s="99">
        <f>G188+'25'!H188</f>
        <v>1825</v>
      </c>
      <c r="I188" s="158"/>
      <c r="J188" s="179">
        <f>H188/DAY(B2)</f>
        <v>70.192307692307693</v>
      </c>
    </row>
    <row r="189" spans="1:10" ht="25.5">
      <c r="A189" s="882" t="s">
        <v>219</v>
      </c>
      <c r="B189" s="883"/>
      <c r="C189" s="333"/>
      <c r="D189" s="228" t="s">
        <v>142</v>
      </c>
      <c r="E189" s="95">
        <f>'25'!F189</f>
        <v>0</v>
      </c>
      <c r="F189" s="157"/>
      <c r="G189" s="458">
        <f>G181</f>
        <v>132</v>
      </c>
      <c r="H189" s="99">
        <f>G189+'25'!H189</f>
        <v>770</v>
      </c>
      <c r="I189" s="158"/>
      <c r="J189" s="179">
        <f>H189/DAY(B2)</f>
        <v>29.615384615384617</v>
      </c>
    </row>
    <row r="190" spans="1:10" ht="25.5">
      <c r="A190" s="889"/>
      <c r="B190" s="890"/>
      <c r="C190" s="399"/>
      <c r="D190" s="396"/>
      <c r="E190" s="396" t="s">
        <v>207</v>
      </c>
      <c r="F190" s="396"/>
      <c r="G190" s="610"/>
      <c r="H190" s="397"/>
      <c r="I190" s="396"/>
      <c r="J190" s="398"/>
    </row>
    <row r="191" spans="1:10" ht="26.25">
      <c r="F191" s="160">
        <f>515993-516223</f>
        <v>-230</v>
      </c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G87" sqref="G8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349</v>
      </c>
      <c r="B2" s="262">
        <v>44800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v>4537</v>
      </c>
      <c r="F7" s="95">
        <v>29064.5</v>
      </c>
      <c r="G7" s="112">
        <f>F7-E7</f>
        <v>24527.5</v>
      </c>
      <c r="H7" s="99">
        <f>G7+'26'!H7</f>
        <v>692598</v>
      </c>
      <c r="I7" s="113">
        <f>'1'!I7</f>
        <v>12000</v>
      </c>
      <c r="J7" s="175">
        <f>H7/DAY(B2)</f>
        <v>25651.777777777777</v>
      </c>
      <c r="K7" s="172">
        <v>1375467</v>
      </c>
      <c r="L7" s="66"/>
      <c r="N7" s="87"/>
      <c r="O7" s="71">
        <f>F7-O12</f>
        <v>4537.429999999993</v>
      </c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163230.93</v>
      </c>
      <c r="F8" s="95">
        <v>187948</v>
      </c>
      <c r="G8" s="115">
        <f>F8-E8</f>
        <v>24717.070000000007</v>
      </c>
      <c r="H8" s="99">
        <f>G8+'26'!H8</f>
        <v>699551.7</v>
      </c>
      <c r="I8" s="116"/>
      <c r="J8" s="175">
        <f>H8/DAY(B2)</f>
        <v>25909.322222222221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3449677.5</v>
      </c>
      <c r="F9" s="469">
        <v>3455610.7</v>
      </c>
      <c r="G9" s="112">
        <f>F9-E9</f>
        <v>5933.2000000001863</v>
      </c>
      <c r="H9" s="99">
        <f>G9+'26'!H9</f>
        <v>176544.70000000019</v>
      </c>
      <c r="I9" s="124">
        <f>I7-J7</f>
        <v>-13651.777777777777</v>
      </c>
      <c r="J9" s="175">
        <f>H9/DAY(B2)</f>
        <v>6538.6925925925998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2146017.2999999998</v>
      </c>
      <c r="F10" s="353">
        <v>2163941.7000000002</v>
      </c>
      <c r="G10" s="112">
        <f t="shared" ref="G10:G12" si="0">F10-E10</f>
        <v>17924.400000000373</v>
      </c>
      <c r="H10" s="99">
        <f>G10+'26'!H10</f>
        <v>496783.70000000019</v>
      </c>
      <c r="I10" s="282"/>
      <c r="J10" s="175">
        <f>H10/DAY(B2)</f>
        <v>18399.396296296301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37560</v>
      </c>
      <c r="F11" s="95">
        <v>37560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40380</v>
      </c>
      <c r="F12" s="117">
        <v>40380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>
        <v>0</v>
      </c>
      <c r="O12" s="71">
        <f>G8-190</f>
        <v>24527.070000000007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23857.600000000559</v>
      </c>
      <c r="H13" s="99">
        <f>G13+'26'!H13</f>
        <v>674663.00000000023</v>
      </c>
      <c r="I13" s="120">
        <f>G7-G13</f>
        <v>669.89999999944121</v>
      </c>
      <c r="J13" s="175">
        <f>H13/DAY(B2)</f>
        <v>24987.518518518526</v>
      </c>
      <c r="K13" s="79"/>
      <c r="L13" s="66"/>
      <c r="N13" s="87"/>
      <c r="O13" s="71"/>
    </row>
    <row r="14" spans="1:15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'26'!F15</f>
        <v>2127159.33</v>
      </c>
      <c r="F15" s="469">
        <v>2128132.1</v>
      </c>
      <c r="G15" s="112">
        <f>(F15-E15)</f>
        <v>972.77000000001863</v>
      </c>
      <c r="H15" s="99">
        <f>G15+'26'!H15</f>
        <v>27264.100000000093</v>
      </c>
      <c r="I15" s="113">
        <f>'1'!I15</f>
        <v>800</v>
      </c>
      <c r="J15" s="175">
        <f>H15/DAY(B2)</f>
        <v>1009.7814814814849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-209.78148148148489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'26'!F18</f>
        <v>22</v>
      </c>
      <c r="F18" s="122">
        <v>22</v>
      </c>
      <c r="G18" s="119">
        <f>F18*10</f>
        <v>220</v>
      </c>
      <c r="H18" s="99">
        <f>G18+'26'!H18</f>
        <v>4350</v>
      </c>
      <c r="I18" s="113">
        <f>'1'!I18</f>
        <v>65</v>
      </c>
      <c r="J18" s="175">
        <f>H18/DAY(B2)</f>
        <v>161.11111111111111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'26'!F19</f>
        <v>163640</v>
      </c>
      <c r="F19" s="122">
        <v>163690</v>
      </c>
      <c r="G19" s="112">
        <f t="shared" ref="G19" si="1">F19-E19</f>
        <v>50</v>
      </c>
      <c r="H19" s="99">
        <f>G19+'26'!H19</f>
        <v>1355</v>
      </c>
      <c r="I19" s="335"/>
      <c r="J19" s="175">
        <f>H19/DAY(B2)</f>
        <v>50.185185185185183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G20+'26'!H20</f>
        <v>5705</v>
      </c>
      <c r="I20" s="336">
        <f>I18-J20</f>
        <v>-146.2962962962963</v>
      </c>
      <c r="J20" s="175">
        <f>H20/DAY(B2)</f>
        <v>211.2962962962963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24717.070000000007</v>
      </c>
      <c r="F27" s="136">
        <v>9</v>
      </c>
      <c r="G27" s="137">
        <f>E27*F27</f>
        <v>222453.63000000006</v>
      </c>
      <c r="H27" s="99">
        <f>G27+'26'!H27</f>
        <v>6295965.2999999998</v>
      </c>
      <c r="I27" s="138"/>
      <c r="J27" s="175">
        <f>H27/DAY(B2)</f>
        <v>233183.9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972.77000000001863</v>
      </c>
      <c r="F28" s="136">
        <v>70</v>
      </c>
      <c r="G28" s="137">
        <f>E28*F28</f>
        <v>68093.900000001304</v>
      </c>
      <c r="H28" s="99">
        <f>G28+'26'!H28</f>
        <v>1908487.0000000065</v>
      </c>
      <c r="I28" s="140"/>
      <c r="J28" s="175">
        <f>H28/DAY(B2)</f>
        <v>70684.703703703941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G30+'26'!H30</f>
        <v>204605</v>
      </c>
      <c r="I30" s="140"/>
      <c r="J30" s="175">
        <f>H30/DAY(B2)</f>
        <v>7577.9629629629626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G31+'26'!H31</f>
        <v>348000</v>
      </c>
      <c r="I31" s="140"/>
      <c r="J31" s="175">
        <f>H31/DAY(B2)</f>
        <v>12888.888888888889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315697.53000000137</v>
      </c>
      <c r="H32" s="99">
        <f>G32+'26'!H32</f>
        <v>8757057.3000000063</v>
      </c>
      <c r="I32" s="144"/>
      <c r="J32" s="175">
        <f>H32/DAY(B2)</f>
        <v>324335.45555555582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238713.05</v>
      </c>
      <c r="F35" s="145">
        <v>238713.05</v>
      </c>
      <c r="G35" s="112">
        <f t="shared" ref="G35:G46" si="3">F35-E35</f>
        <v>0</v>
      </c>
      <c r="H35" s="99">
        <f>G35+'26'!H35</f>
        <v>4.9999999988358468E-2</v>
      </c>
      <c r="I35" s="95"/>
      <c r="J35" s="175">
        <f>H35/DAY(B2)</f>
        <v>1.851851851420684E-3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237850.49</v>
      </c>
      <c r="F36" s="145">
        <v>238810.85</v>
      </c>
      <c r="G36" s="112">
        <f t="shared" si="3"/>
        <v>960.36000000001513</v>
      </c>
      <c r="H36" s="99">
        <f>G36+'26'!H36</f>
        <v>23280.850000000006</v>
      </c>
      <c r="I36" s="95"/>
      <c r="J36" s="175">
        <f>H36/DAY(B2)</f>
        <v>862.25370370370388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322998.69</v>
      </c>
      <c r="F37" s="145">
        <v>322998.69</v>
      </c>
      <c r="G37" s="112">
        <f t="shared" si="3"/>
        <v>0</v>
      </c>
      <c r="H37" s="99">
        <f>G37+'26'!H37</f>
        <v>-0.30999999999767169</v>
      </c>
      <c r="I37" s="95"/>
      <c r="J37" s="175">
        <f>H37/DAY(B2)</f>
        <v>-1.1481481481395248E-2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515057.95</v>
      </c>
      <c r="F38" s="108">
        <v>517133.91</v>
      </c>
      <c r="G38" s="112">
        <f t="shared" si="3"/>
        <v>2075.9599999999627</v>
      </c>
      <c r="H38" s="99">
        <f>G38+'26'!H38</f>
        <v>59772.909999999974</v>
      </c>
      <c r="I38" s="95"/>
      <c r="J38" s="175">
        <f>H38/DAY(B2)</f>
        <v>2213.8114814814803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591584.18999999994</v>
      </c>
      <c r="F39" s="145">
        <v>591584.18999999994</v>
      </c>
      <c r="G39" s="112">
        <f t="shared" si="3"/>
        <v>0</v>
      </c>
      <c r="H39" s="99">
        <f>G39+'26'!H39</f>
        <v>0.18999999994412065</v>
      </c>
      <c r="I39" s="95"/>
      <c r="J39" s="175">
        <f>H39/DAY(B2)</f>
        <v>7.0370370349674312E-3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129066.77</v>
      </c>
      <c r="F40" s="145">
        <v>129881.89</v>
      </c>
      <c r="G40" s="112">
        <f t="shared" si="3"/>
        <v>815.11999999999534</v>
      </c>
      <c r="H40" s="99">
        <f>G40+'26'!H40</f>
        <v>23105.89</v>
      </c>
      <c r="I40" s="95"/>
      <c r="J40" s="175">
        <f>H40/DAY(B2)</f>
        <v>855.77370370370363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257421.37</v>
      </c>
      <c r="F41" s="145">
        <v>260429.87</v>
      </c>
      <c r="G41" s="112">
        <f t="shared" si="3"/>
        <v>3008.5</v>
      </c>
      <c r="H41" s="99">
        <f>G41+'26'!H41</f>
        <v>48726.869999999995</v>
      </c>
      <c r="I41" s="95"/>
      <c r="J41" s="175">
        <f>H41/DAY(B2)</f>
        <v>1804.6988888888886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796748.63</v>
      </c>
      <c r="F42" s="145">
        <v>796748.63</v>
      </c>
      <c r="G42" s="112">
        <f t="shared" si="3"/>
        <v>0</v>
      </c>
      <c r="H42" s="99">
        <f>G42+'26'!H42</f>
        <v>48384.630000000005</v>
      </c>
      <c r="I42" s="95"/>
      <c r="J42" s="175">
        <f>H42/DAY(B2)</f>
        <v>1792.0233333333335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407028.03</v>
      </c>
      <c r="F43" s="145">
        <v>407028.03</v>
      </c>
      <c r="G43" s="112">
        <f t="shared" si="3"/>
        <v>0</v>
      </c>
      <c r="H43" s="99">
        <f>G43+'26'!H43</f>
        <v>3.0000000027939677E-2</v>
      </c>
      <c r="I43" s="95"/>
      <c r="J43" s="175">
        <f>H43/DAY(B2)</f>
        <v>1.111111112145914E-3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6859.9399999999732</v>
      </c>
      <c r="H47" s="99">
        <f>G47+'26'!H47</f>
        <v>203271.10999999996</v>
      </c>
      <c r="I47" s="95"/>
      <c r="J47" s="175">
        <f>H47/DAY(B2)</f>
        <v>7528.559629629628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587289.35</v>
      </c>
      <c r="F49" s="145">
        <v>591243.35</v>
      </c>
      <c r="G49" s="112">
        <f t="shared" ref="G49:G58" si="4">F49-E49</f>
        <v>3954</v>
      </c>
      <c r="H49" s="99">
        <f>G49+'26'!H49</f>
        <v>106189.34999999998</v>
      </c>
      <c r="I49" s="95"/>
      <c r="J49" s="175">
        <f>H49/DAY(B2)</f>
        <v>3932.938888888888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315444.45</v>
      </c>
      <c r="F50" s="145">
        <v>316433.39</v>
      </c>
      <c r="G50" s="112">
        <f t="shared" si="4"/>
        <v>988.94000000000233</v>
      </c>
      <c r="H50" s="99">
        <f>G50+'26'!H50</f>
        <v>240316.82</v>
      </c>
      <c r="I50" s="95"/>
      <c r="J50" s="175">
        <f>H50/DAY(B2)</f>
        <v>8900.6229629629634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35777.839999999997</v>
      </c>
      <c r="F51" s="145">
        <v>36828.339999999997</v>
      </c>
      <c r="G51" s="112">
        <f t="shared" si="4"/>
        <v>1050.5</v>
      </c>
      <c r="H51" s="99">
        <f>G51+'26'!H51</f>
        <v>28320.339999999997</v>
      </c>
      <c r="I51" s="95"/>
      <c r="J51" s="175">
        <f>H51/DAY(B2)</f>
        <v>1048.9014814814814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10</v>
      </c>
      <c r="F52" s="145">
        <v>10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146601.53</v>
      </c>
      <c r="F53" s="145">
        <v>150855.75</v>
      </c>
      <c r="G53" s="112">
        <f t="shared" si="4"/>
        <v>4254.2200000000012</v>
      </c>
      <c r="H53" s="99">
        <f>G53+'26'!H53</f>
        <v>116994.75</v>
      </c>
      <c r="I53" s="95"/>
      <c r="J53" s="175">
        <f>H53/DAY(B2)</f>
        <v>4333.1388888888887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94796.43</v>
      </c>
      <c r="F54" s="145">
        <v>94979.89</v>
      </c>
      <c r="G54" s="112">
        <f t="shared" si="4"/>
        <v>183.4600000000064</v>
      </c>
      <c r="H54" s="99">
        <f>G54+'26'!H54</f>
        <v>7036.8899999999994</v>
      </c>
      <c r="I54" s="95"/>
      <c r="J54" s="175">
        <f>H54/DAY(B2)</f>
        <v>260.62555555555554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440049.71</v>
      </c>
      <c r="F55" s="145">
        <v>443169.75</v>
      </c>
      <c r="G55" s="112">
        <f t="shared" si="4"/>
        <v>3120.039999999979</v>
      </c>
      <c r="H55" s="99">
        <f>G55+'26'!H55</f>
        <v>80392.75</v>
      </c>
      <c r="I55" s="95"/>
      <c r="J55" s="175">
        <f>H55/DAY(B2)</f>
        <v>2977.5092592592591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123882.39</v>
      </c>
      <c r="F56" s="145">
        <v>123882.39</v>
      </c>
      <c r="G56" s="112">
        <f t="shared" si="4"/>
        <v>0</v>
      </c>
      <c r="H56" s="99">
        <f>G56+'26'!H56</f>
        <v>0.38999999999941792</v>
      </c>
      <c r="I56" s="95"/>
      <c r="J56" s="175">
        <f>H56/DAY(B2)</f>
        <v>1.4444444444422886E-2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307150.33</v>
      </c>
      <c r="F57" s="423">
        <v>310007.81</v>
      </c>
      <c r="G57" s="112">
        <f t="shared" si="4"/>
        <v>2857.4799999999814</v>
      </c>
      <c r="H57" s="99">
        <f>G57+'26'!H57</f>
        <v>83837.81</v>
      </c>
      <c r="I57" s="95"/>
      <c r="J57" s="175">
        <f>H57/DAY(B2)</f>
        <v>3105.1040740740741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55701.58</v>
      </c>
      <c r="F58" s="145">
        <v>55926.5</v>
      </c>
      <c r="G58" s="112">
        <f t="shared" si="4"/>
        <v>224.91999999999825</v>
      </c>
      <c r="H58" s="99">
        <f>G58+'26'!H58</f>
        <v>6817.5</v>
      </c>
      <c r="I58" s="95"/>
      <c r="J58" s="175">
        <f>H58/DAY(B2)</f>
        <v>252.5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16633.559999999969</v>
      </c>
      <c r="H59" s="99">
        <f>G59+'26'!H59</f>
        <v>463273.17000000004</v>
      </c>
      <c r="I59" s="95">
        <f>G7-G60</f>
        <v>1034.0000000000582</v>
      </c>
      <c r="J59" s="175">
        <f>H59/DAY(B2)</f>
        <v>17158.265555555558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23493.499999999942</v>
      </c>
      <c r="H60" s="99">
        <f>G60+'26'!H60</f>
        <v>666544.28</v>
      </c>
      <c r="I60" s="95">
        <f>G13-G60</f>
        <v>364.100000000617</v>
      </c>
      <c r="J60" s="175">
        <f>H60/DAY(B2)</f>
        <v>24686.825185185186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'26'!F62</f>
        <v>299076</v>
      </c>
      <c r="F62" s="122">
        <v>299173</v>
      </c>
      <c r="G62" s="112">
        <f t="shared" ref="G62:G63" si="5">F62-E62</f>
        <v>97</v>
      </c>
      <c r="H62" s="99">
        <f>G62+'26'!H62</f>
        <v>2898</v>
      </c>
      <c r="I62" s="118"/>
      <c r="J62" s="175">
        <f>H62/DAY(B2)</f>
        <v>107.33333333333333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'26'!F63</f>
        <v>242087</v>
      </c>
      <c r="F63" s="122">
        <v>242182</v>
      </c>
      <c r="G63" s="112">
        <f t="shared" si="5"/>
        <v>95</v>
      </c>
      <c r="H63" s="99">
        <f>G63+'26'!H63</f>
        <v>3049</v>
      </c>
      <c r="I63" s="118"/>
      <c r="J63" s="175">
        <f>H63/DAY(B2)</f>
        <v>112.92592592592592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'26'!F64</f>
        <v>0</v>
      </c>
      <c r="F64" s="122"/>
      <c r="G64" s="112">
        <f>G62+G63</f>
        <v>192</v>
      </c>
      <c r="H64" s="99">
        <f>G64+'26'!H64</f>
        <v>5947</v>
      </c>
      <c r="I64" s="118"/>
      <c r="J64" s="175">
        <f>H64/DAY(B2)</f>
        <v>220.25925925925927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'26'!F65</f>
        <v>457364</v>
      </c>
      <c r="F65" s="122">
        <v>457469</v>
      </c>
      <c r="G65" s="112">
        <f t="shared" ref="G65:G70" si="6">F65-E65</f>
        <v>105</v>
      </c>
      <c r="H65" s="99">
        <f>G65+'26'!H65</f>
        <v>2759</v>
      </c>
      <c r="I65" s="118"/>
      <c r="J65" s="175">
        <f>H65/DAY(B2)</f>
        <v>102.18518518518519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'26'!F66</f>
        <v>112249</v>
      </c>
      <c r="F66" s="122">
        <v>112264</v>
      </c>
      <c r="G66" s="112">
        <f t="shared" si="6"/>
        <v>15</v>
      </c>
      <c r="H66" s="99">
        <f>G66+'26'!H66</f>
        <v>542</v>
      </c>
      <c r="I66" s="118"/>
      <c r="J66" s="175">
        <f>H66/DAY(B2)</f>
        <v>20.074074074074073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'26'!F67</f>
        <v>114113</v>
      </c>
      <c r="F67" s="122">
        <v>114130</v>
      </c>
      <c r="G67" s="112">
        <f t="shared" si="6"/>
        <v>17</v>
      </c>
      <c r="H67" s="99">
        <f>G67+'26'!H67</f>
        <v>450</v>
      </c>
      <c r="I67" s="118"/>
      <c r="J67" s="175">
        <f>H67/DAY(B2)</f>
        <v>16.666666666666668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'26'!F68</f>
        <v>165369</v>
      </c>
      <c r="F68" s="122">
        <v>165416</v>
      </c>
      <c r="G68" s="112">
        <f t="shared" si="6"/>
        <v>47</v>
      </c>
      <c r="H68" s="99">
        <f>G68+'26'!H68</f>
        <v>754</v>
      </c>
      <c r="I68" s="118"/>
      <c r="J68" s="175">
        <f>H68/DAY(B2)</f>
        <v>27.925925925925927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'26'!F69</f>
        <v>12417</v>
      </c>
      <c r="F69" s="122">
        <v>12424</v>
      </c>
      <c r="G69" s="112">
        <f t="shared" si="6"/>
        <v>7</v>
      </c>
      <c r="H69" s="99">
        <f>G69+'26'!H69</f>
        <v>149</v>
      </c>
      <c r="I69" s="118"/>
      <c r="J69" s="175">
        <f>H69/DAY(B2)</f>
        <v>5.5185185185185182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'26'!F70</f>
        <v>10065</v>
      </c>
      <c r="F70" s="122">
        <v>10073</v>
      </c>
      <c r="G70" s="112">
        <f t="shared" si="6"/>
        <v>8</v>
      </c>
      <c r="H70" s="99">
        <f>G70+'26'!H70</f>
        <v>246</v>
      </c>
      <c r="I70" s="118"/>
      <c r="J70" s="175">
        <f>H70/DAY(B2)</f>
        <v>9.1111111111111107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199</v>
      </c>
      <c r="H71" s="99">
        <f>G71+'26'!H71</f>
        <v>4900</v>
      </c>
      <c r="I71" s="154"/>
      <c r="J71" s="175">
        <f>H71/DAY(B2)</f>
        <v>181.4814814814815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'26'!F74</f>
        <v>965752.76</v>
      </c>
      <c r="F74" s="117">
        <v>966034.24</v>
      </c>
      <c r="G74" s="112">
        <f t="shared" ref="G74:G78" si="7">F74-E74</f>
        <v>281.47999999998137</v>
      </c>
      <c r="H74" s="99">
        <f>G74+'26'!H74</f>
        <v>8376.3800000000047</v>
      </c>
      <c r="I74" s="154"/>
      <c r="J74" s="175">
        <f>H74/DAY(B2)</f>
        <v>310.23629629629647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'26'!F76</f>
        <v>192955</v>
      </c>
      <c r="F76" s="123">
        <v>193048</v>
      </c>
      <c r="G76" s="112">
        <f t="shared" si="7"/>
        <v>93</v>
      </c>
      <c r="H76" s="99">
        <f>G76+'26'!H76</f>
        <v>2876</v>
      </c>
      <c r="I76" s="154"/>
      <c r="J76" s="175">
        <f>H76/DAY(B2)</f>
        <v>106.51851851851852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'26'!F77</f>
        <v>51592</v>
      </c>
      <c r="F77" s="123">
        <v>51645.599999999999</v>
      </c>
      <c r="G77" s="112">
        <f t="shared" si="7"/>
        <v>53.599999999998545</v>
      </c>
      <c r="H77" s="99">
        <f>G77+'26'!H77</f>
        <v>1332.5999999999985</v>
      </c>
      <c r="I77" s="154"/>
      <c r="J77" s="175">
        <f>H77/DAY(B2)</f>
        <v>49.355555555555505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'26'!F78</f>
        <v>9563.4</v>
      </c>
      <c r="F78" s="123">
        <v>9563</v>
      </c>
      <c r="G78" s="112">
        <f t="shared" si="7"/>
        <v>-0.3999999999996362</v>
      </c>
      <c r="H78" s="99">
        <f>G78+'26'!H78</f>
        <v>-0.3999999999996362</v>
      </c>
      <c r="I78" s="118"/>
      <c r="J78" s="175">
        <f>H78/DAY(B2)</f>
        <v>-1.481481481480134E-2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'26'!F79</f>
        <v>0</v>
      </c>
      <c r="F79" s="123"/>
      <c r="G79" s="112">
        <f>G15-SUM(G74:G78)</f>
        <v>545.09000000003834</v>
      </c>
      <c r="H79" s="99">
        <f>G79+'26'!H79</f>
        <v>14679.52000000009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972.77000000001863</v>
      </c>
      <c r="H80" s="99"/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'26'!F84</f>
        <v>42801.36</v>
      </c>
      <c r="F84" s="164">
        <v>42816.44</v>
      </c>
      <c r="G84" s="112">
        <f t="shared" si="8"/>
        <v>15.080000000001746</v>
      </c>
      <c r="H84" s="99">
        <f>G84+'26'!H84</f>
        <v>187.44000000000233</v>
      </c>
      <c r="I84" s="571"/>
      <c r="J84" s="175">
        <f>H84/DAY(B2)</f>
        <v>6.9422222222223082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'26'!F85</f>
        <v>5354.41</v>
      </c>
      <c r="F85" s="164">
        <v>5354.41</v>
      </c>
      <c r="G85" s="112">
        <f t="shared" si="8"/>
        <v>0</v>
      </c>
      <c r="H85" s="99">
        <f>G85+'26'!H85</f>
        <v>214.22000000000025</v>
      </c>
      <c r="I85" s="571"/>
      <c r="J85" s="175">
        <f>H85/DAY(B2)</f>
        <v>7.9340740740740836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'26'!F86</f>
        <v>45899.53</v>
      </c>
      <c r="F86" s="164">
        <v>45921.37</v>
      </c>
      <c r="G86" s="112">
        <f t="shared" si="8"/>
        <v>21.840000000003783</v>
      </c>
      <c r="H86" s="99">
        <f>G86+'26'!H86</f>
        <v>542.37000000000262</v>
      </c>
      <c r="I86" s="571"/>
      <c r="J86" s="175">
        <f>H86/DAY(B2)</f>
        <v>20.087777777777873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'26'!F87</f>
        <v>35457.49</v>
      </c>
      <c r="F87" s="164">
        <v>35457.49</v>
      </c>
      <c r="G87" s="112">
        <f t="shared" si="8"/>
        <v>0</v>
      </c>
      <c r="H87" s="99">
        <f>G87+'26'!H87</f>
        <v>23.569999999999709</v>
      </c>
      <c r="I87" s="571">
        <f>G84+G85+G86+G87</f>
        <v>36.92000000000553</v>
      </c>
      <c r="J87" s="175">
        <f>H87/DAY(B2)</f>
        <v>0.87296296296295217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'26'!F88</f>
        <v>24335.16</v>
      </c>
      <c r="F88" s="164">
        <v>24335.16</v>
      </c>
      <c r="G88" s="112">
        <f t="shared" si="8"/>
        <v>0</v>
      </c>
      <c r="H88" s="99">
        <f>G88+'26'!H88</f>
        <v>31.700000000000728</v>
      </c>
      <c r="I88" s="571"/>
      <c r="J88" s="175">
        <f>H88/DAY(B2)</f>
        <v>1.1740740740741009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'26'!F89</f>
        <v>27762.15</v>
      </c>
      <c r="F89" s="164">
        <v>27770.92</v>
      </c>
      <c r="G89" s="112">
        <f t="shared" si="8"/>
        <v>8.7699999999967986</v>
      </c>
      <c r="H89" s="99">
        <f>G89+'26'!H89</f>
        <v>204.30999999999767</v>
      </c>
      <c r="I89" s="571">
        <f>G88+G89</f>
        <v>8.7699999999967986</v>
      </c>
      <c r="J89" s="175">
        <f>H89/DAY(B2)</f>
        <v>7.5670370370369504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'26'!F90</f>
        <v>72884.66</v>
      </c>
      <c r="F90" s="164">
        <v>72894.66</v>
      </c>
      <c r="G90" s="112">
        <f t="shared" si="8"/>
        <v>10</v>
      </c>
      <c r="H90" s="99">
        <v>23</v>
      </c>
      <c r="I90" s="571">
        <f>G90</f>
        <v>10</v>
      </c>
      <c r="J90" s="175">
        <f>H90/DAY(B2)</f>
        <v>0.85185185185185186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'26'!F91</f>
        <v>4293.42</v>
      </c>
      <c r="F91" s="122">
        <v>4304.2299999999996</v>
      </c>
      <c r="G91" s="112">
        <f t="shared" si="8"/>
        <v>10.809999999999491</v>
      </c>
      <c r="H91" s="99">
        <f>G91+'26'!H91</f>
        <v>14.6899999999996</v>
      </c>
      <c r="I91" s="590"/>
      <c r="J91" s="175">
        <f>H91/DAY(B2)</f>
        <v>0.54407407407405928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'26'!F92</f>
        <v>7000.23</v>
      </c>
      <c r="F92" s="122">
        <v>7000.23</v>
      </c>
      <c r="G92" s="112">
        <f t="shared" si="8"/>
        <v>0</v>
      </c>
      <c r="H92" s="99">
        <f>G92+'26'!H92</f>
        <v>282.89999999999964</v>
      </c>
      <c r="I92" s="596">
        <f>G91+G92</f>
        <v>10.809999999999491</v>
      </c>
      <c r="J92" s="175">
        <f>H92/DAY(B2)</f>
        <v>10.477777777777764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6811.4799999999814</v>
      </c>
      <c r="H94" s="99">
        <f>G94+'26'!H94</f>
        <v>190027.24</v>
      </c>
      <c r="I94" s="118"/>
      <c r="J94" s="175">
        <f>H94/DAY(B2)</f>
        <v>7038.045925925926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0.27770787891142518</v>
      </c>
      <c r="H95" s="99">
        <f>G95+'26'!H95</f>
        <v>7.4224526472737633</v>
      </c>
      <c r="I95" s="167"/>
      <c r="J95" s="175">
        <f>H95/DAY(B2)</f>
        <v>0.27490565360273195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6128.539999999979</v>
      </c>
      <c r="H96" s="99">
        <f>G96+'26'!H96</f>
        <v>177504.64000000001</v>
      </c>
      <c r="I96" s="118"/>
      <c r="J96" s="175">
        <f>H96/DAY(B2)</f>
        <v>6574.2459259259267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0.24986403017021624</v>
      </c>
      <c r="H97" s="99">
        <f>G97+'26'!H97</f>
        <v>6.8969973531876718</v>
      </c>
      <c r="I97" s="167"/>
      <c r="J97" s="175">
        <f>H97/DAY(B2)</f>
        <v>0.2554443464143582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4254.2200000000012</v>
      </c>
      <c r="H98" s="99">
        <f>G98+'26'!H98</f>
        <v>116994.93999999994</v>
      </c>
      <c r="I98" s="168"/>
      <c r="J98" s="175">
        <f>H98/DAY(B2)</f>
        <v>4333.1459259259236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0.17344694730404653</v>
      </c>
      <c r="H99" s="99">
        <f>G99+'26'!H99</f>
        <v>4.5679020712805958</v>
      </c>
      <c r="I99" s="168"/>
      <c r="J99" s="175">
        <f>H99/DAY(B2)</f>
        <v>0.16918155819557762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2075.9599999999627</v>
      </c>
      <c r="H100" s="99">
        <f>G100+'26'!H100</f>
        <v>59772.909999999974</v>
      </c>
      <c r="I100" s="118"/>
      <c r="J100" s="175">
        <f>H100/DAY(B2)</f>
        <v>2213.8114814814803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8.4638059321168593E-2</v>
      </c>
      <c r="H101" s="99">
        <f>G101+'26'!H101</f>
        <v>2.3340783896443451</v>
      </c>
      <c r="I101" s="168"/>
      <c r="J101" s="175">
        <f>H101/DAY(B2)</f>
        <v>8.6447347764605373E-2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1949.3000000000175</v>
      </c>
      <c r="H102" s="99">
        <f>G102+'26'!H102</f>
        <v>56964.24000000002</v>
      </c>
      <c r="I102" s="168"/>
      <c r="J102" s="175">
        <f>H102/DAY(B2)</f>
        <v>2109.7866666666673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7.9474059728876459E-2</v>
      </c>
      <c r="H103" s="99">
        <f>G103+'26'!H103</f>
        <v>2.2133075909818265</v>
      </c>
      <c r="I103" s="118"/>
      <c r="J103" s="175">
        <f>H103/DAY(B2)</f>
        <v>8.1974355221549125E-2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1050.5</v>
      </c>
      <c r="H104" s="99">
        <f>G104+'26'!H104</f>
        <v>28320.03</v>
      </c>
      <c r="I104" s="118"/>
      <c r="J104" s="175">
        <f>H104/DAY(B2)</f>
        <v>1048.8899999999999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4.282947711752115E-2</v>
      </c>
      <c r="H105" s="99">
        <f>G105+'26'!H105</f>
        <v>1.1056315485649246</v>
      </c>
      <c r="I105" s="187"/>
      <c r="J105" s="188">
        <f>H105/DAY(B2)</f>
        <v>4.0949316613515724E-2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'26'!F112</f>
        <v>9144.34</v>
      </c>
      <c r="F112" s="237">
        <v>9216.44</v>
      </c>
      <c r="G112" s="112">
        <f t="shared" ref="G112:G123" si="9">F112-E112</f>
        <v>72.100000000000364</v>
      </c>
      <c r="H112" s="99">
        <f>G112+'26'!H112</f>
        <v>4414.7700000000004</v>
      </c>
      <c r="I112" s="165"/>
      <c r="J112" s="328">
        <f>H112/DAY(B2)</f>
        <v>163.51000000000002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'26'!F113</f>
        <v>18664.21</v>
      </c>
      <c r="F113" s="237">
        <v>18807.3</v>
      </c>
      <c r="G113" s="112">
        <f t="shared" si="9"/>
        <v>143.09000000000015</v>
      </c>
      <c r="H113" s="99">
        <f>G113+'26'!H113</f>
        <v>3792.2999999999993</v>
      </c>
      <c r="I113" s="165"/>
      <c r="J113" s="328">
        <f>H113/DAY(B2)</f>
        <v>140.45555555555552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'26'!F114</f>
        <v>26994.400000000001</v>
      </c>
      <c r="F114" s="237">
        <v>27214.5</v>
      </c>
      <c r="G114" s="112">
        <f t="shared" si="9"/>
        <v>220.09999999999854</v>
      </c>
      <c r="H114" s="99">
        <f>G114+'26'!H114</f>
        <v>5946.5</v>
      </c>
      <c r="I114" s="165"/>
      <c r="J114" s="328">
        <f>H114/DAY(B2)</f>
        <v>220.24074074074073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'26'!F115</f>
        <v>16820.41</v>
      </c>
      <c r="F115" s="237">
        <v>16967.5</v>
      </c>
      <c r="G115" s="112">
        <f t="shared" si="9"/>
        <v>147.09000000000015</v>
      </c>
      <c r="H115" s="99">
        <f>G115+'26'!H115</f>
        <v>3392.0200000000004</v>
      </c>
      <c r="I115" s="165"/>
      <c r="J115" s="328">
        <f>H115/DAY(B2)</f>
        <v>125.63037037037039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'26'!F116</f>
        <v>81373.279999999999</v>
      </c>
      <c r="F116" s="237">
        <v>81894.12</v>
      </c>
      <c r="G116" s="112">
        <f t="shared" si="9"/>
        <v>520.83999999999651</v>
      </c>
      <c r="H116" s="99">
        <f>G116+'26'!H116</f>
        <v>11402.119999999995</v>
      </c>
      <c r="I116" s="165"/>
      <c r="J116" s="328">
        <f>H116/DAY(B2)</f>
        <v>422.30074074074059</v>
      </c>
      <c r="Q116" s="898" t="s">
        <v>311</v>
      </c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'26'!F117</f>
        <v>47326.73</v>
      </c>
      <c r="F117" s="237">
        <v>47618.35</v>
      </c>
      <c r="G117" s="112">
        <f t="shared" si="9"/>
        <v>291.61999999999534</v>
      </c>
      <c r="H117" s="99">
        <f>G117+'26'!H117</f>
        <v>6696.3499999999985</v>
      </c>
      <c r="I117" s="165"/>
      <c r="J117" s="328">
        <f>H117/DAY(B2)</f>
        <v>248.01296296296292</v>
      </c>
      <c r="Q117" s="898" t="s">
        <v>312</v>
      </c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'26'!F118</f>
        <v>80248.95</v>
      </c>
      <c r="F118" s="237">
        <v>80870</v>
      </c>
      <c r="G118" s="112">
        <f t="shared" si="9"/>
        <v>621.05000000000291</v>
      </c>
      <c r="H118" s="99">
        <f>G118+'26'!H118</f>
        <v>16198</v>
      </c>
      <c r="I118" s="165"/>
      <c r="J118" s="328">
        <f>H118/DAY(B2)</f>
        <v>599.92592592592598</v>
      </c>
      <c r="Q118" s="898" t="s">
        <v>311</v>
      </c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'26'!F119</f>
        <v>41987.29</v>
      </c>
      <c r="F119" s="237">
        <v>42008.800000000003</v>
      </c>
      <c r="G119" s="112">
        <f t="shared" si="9"/>
        <v>21.510000000002037</v>
      </c>
      <c r="H119" s="99">
        <f>G119+'26'!H119</f>
        <v>4559.8000000000029</v>
      </c>
      <c r="I119" s="165"/>
      <c r="J119" s="328">
        <f>H119/DAY(B2)</f>
        <v>168.88148148148159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'26'!F120</f>
        <v>57016.14</v>
      </c>
      <c r="F120" s="237">
        <v>57427.7</v>
      </c>
      <c r="G120" s="112">
        <f t="shared" si="9"/>
        <v>411.55999999999767</v>
      </c>
      <c r="H120" s="99">
        <f>G120+'26'!H120</f>
        <v>11160.699999999997</v>
      </c>
      <c r="I120" s="165"/>
      <c r="J120" s="328">
        <f>H120/DAY(B2)</f>
        <v>413.35925925925915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'26'!F121</f>
        <v>65594.84</v>
      </c>
      <c r="F121" s="237">
        <v>66033.070000000007</v>
      </c>
      <c r="G121" s="112">
        <f t="shared" si="9"/>
        <v>438.23000000001048</v>
      </c>
      <c r="H121" s="99">
        <f>G121+'26'!H121</f>
        <v>12490.070000000007</v>
      </c>
      <c r="I121" s="165"/>
      <c r="J121" s="328">
        <f>H121/DAY(B2)</f>
        <v>462.59518518518547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'26'!F122</f>
        <v>37022.15</v>
      </c>
      <c r="F122" s="237">
        <v>37316.129999999997</v>
      </c>
      <c r="G122" s="112">
        <f t="shared" si="9"/>
        <v>293.97999999999593</v>
      </c>
      <c r="H122" s="99">
        <f>G122+'26'!H122</f>
        <v>8642.1299999999974</v>
      </c>
      <c r="I122" s="165"/>
      <c r="J122" s="328">
        <f>H122/DAY(B2)</f>
        <v>320.0788888888888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'26'!F123</f>
        <v>38690.92</v>
      </c>
      <c r="F123" s="237">
        <v>39021.18</v>
      </c>
      <c r="G123" s="112">
        <f t="shared" si="9"/>
        <v>330.26000000000204</v>
      </c>
      <c r="H123" s="99">
        <f>G123+'26'!H123</f>
        <v>8833.18</v>
      </c>
      <c r="I123" s="165"/>
      <c r="J123" s="328">
        <f>H123/DAY(B2)</f>
        <v>327.15481481481481</v>
      </c>
    </row>
    <row r="124" spans="1:18" ht="29.25" customHeight="1">
      <c r="A124" s="902"/>
      <c r="B124" s="903"/>
      <c r="C124" s="904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5.5">
      <c r="A125" s="880" t="s">
        <v>196</v>
      </c>
      <c r="B125" s="881"/>
      <c r="C125" s="245"/>
      <c r="D125" s="307"/>
      <c r="E125" s="308"/>
      <c r="F125" s="308"/>
      <c r="G125" s="309">
        <f>SUM(G112:G124)</f>
        <v>3511.4300000000021</v>
      </c>
      <c r="H125" s="156"/>
      <c r="I125" s="327">
        <f>G125-(G39+G53)</f>
        <v>-742.78999999999905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'26'!F128</f>
        <v>139844.71</v>
      </c>
      <c r="F128" s="155">
        <v>140245.79</v>
      </c>
      <c r="G128" s="112">
        <f t="shared" ref="G128:G134" si="10">F128-E128</f>
        <v>401.0800000000163</v>
      </c>
      <c r="H128" s="99">
        <f>G128+'26'!H128</f>
        <v>12601.790000000008</v>
      </c>
      <c r="I128" s="165"/>
      <c r="J128" s="328">
        <f>H128/DAY(B2)</f>
        <v>466.73296296296326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'26'!F129</f>
        <v>77618.86</v>
      </c>
      <c r="F129" s="155">
        <v>77819.87</v>
      </c>
      <c r="G129" s="112">
        <f t="shared" si="10"/>
        <v>201.00999999999476</v>
      </c>
      <c r="H129" s="99">
        <f>G129+'26'!H129</f>
        <v>5316.8699999999953</v>
      </c>
      <c r="I129" s="165"/>
      <c r="J129" s="328">
        <f>H129/DAY(B2)</f>
        <v>196.92111111111095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'26'!F130</f>
        <v>182466.07</v>
      </c>
      <c r="F130" s="155">
        <v>183252.49</v>
      </c>
      <c r="G130" s="112">
        <f t="shared" si="10"/>
        <v>786.4199999999837</v>
      </c>
      <c r="H130" s="99">
        <f>G130+'26'!H130</f>
        <v>18116.969999999972</v>
      </c>
      <c r="I130" s="165"/>
      <c r="J130" s="328">
        <f>H130/DAY(B2)</f>
        <v>670.9988888888879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'26'!F131</f>
        <v>53282.39</v>
      </c>
      <c r="F131" s="155">
        <v>53443.37</v>
      </c>
      <c r="G131" s="112">
        <f t="shared" si="10"/>
        <v>160.9800000000032</v>
      </c>
      <c r="H131" s="99">
        <f>G131+'26'!H131</f>
        <v>4994.3700000000026</v>
      </c>
      <c r="I131" s="165"/>
      <c r="J131" s="328">
        <f>H131/DAY(B2)</f>
        <v>184.97666666666677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'26'!F132</f>
        <v>138876.4</v>
      </c>
      <c r="F132" s="155">
        <v>139287</v>
      </c>
      <c r="G132" s="112">
        <f t="shared" si="10"/>
        <v>410.60000000000582</v>
      </c>
      <c r="H132" s="99">
        <f>G132+'26'!H132</f>
        <v>11113</v>
      </c>
      <c r="I132" s="165"/>
      <c r="J132" s="328">
        <f>H132/DAY(B2)</f>
        <v>411.59259259259261</v>
      </c>
    </row>
    <row r="133" spans="1:15" ht="25.5">
      <c r="A133" s="898" t="s">
        <v>359</v>
      </c>
      <c r="B133" s="899"/>
      <c r="C133" s="900"/>
      <c r="D133" s="151" t="s">
        <v>183</v>
      </c>
      <c r="E133" s="95">
        <f>'26'!F133</f>
        <v>236533.65</v>
      </c>
      <c r="F133" s="155">
        <v>237404.73</v>
      </c>
      <c r="G133" s="112">
        <f t="shared" si="10"/>
        <v>871.0800000000163</v>
      </c>
      <c r="H133" s="99">
        <f>G133+'26'!H133</f>
        <v>15000.160000000003</v>
      </c>
      <c r="I133" s="165"/>
      <c r="J133" s="328">
        <f>H133/DAY(B2)</f>
        <v>555.56148148148156</v>
      </c>
    </row>
    <row r="134" spans="1:15" ht="25.5">
      <c r="A134" s="898" t="s">
        <v>340</v>
      </c>
      <c r="B134" s="899"/>
      <c r="C134" s="900"/>
      <c r="D134" s="151" t="s">
        <v>183</v>
      </c>
      <c r="E134" s="95">
        <f>'26'!F134</f>
        <v>54909.440000000002</v>
      </c>
      <c r="F134" s="155">
        <v>55151.07</v>
      </c>
      <c r="G134" s="112">
        <f t="shared" si="10"/>
        <v>241.62999999999738</v>
      </c>
      <c r="H134" s="99">
        <f>G134+'26'!H134</f>
        <v>6116.07</v>
      </c>
      <c r="I134" s="165"/>
      <c r="J134" s="328">
        <f>H134/DAY(B2)</f>
        <v>226.52111111111111</v>
      </c>
    </row>
    <row r="135" spans="1:15" ht="25.5">
      <c r="A135" s="880" t="s">
        <v>196</v>
      </c>
      <c r="B135" s="881"/>
      <c r="C135" s="331"/>
      <c r="D135" s="151"/>
      <c r="E135" s="95"/>
      <c r="F135" s="165"/>
      <c r="G135" s="112">
        <f>SUM(G128:G134)</f>
        <v>3072.8000000000175</v>
      </c>
      <c r="H135" s="99">
        <f>G135+'23'!H135</f>
        <v>27747.770000000004</v>
      </c>
      <c r="I135" s="327">
        <f>G135-(G35+G49)</f>
        <v>-881.19999999998254</v>
      </c>
      <c r="J135" s="328"/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'26'!F138</f>
        <v>894673</v>
      </c>
      <c r="F138" s="147">
        <v>894715</v>
      </c>
      <c r="G138" s="112">
        <f t="shared" ref="G138:G152" si="11">F138-E138</f>
        <v>42</v>
      </c>
      <c r="H138" s="99">
        <f>G138+'26'!H138</f>
        <v>3604</v>
      </c>
      <c r="I138" s="118"/>
      <c r="J138" s="328">
        <f>H138/DAY(B2)</f>
        <v>133.4814814814815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'26'!F139</f>
        <v>912867</v>
      </c>
      <c r="F139" s="148">
        <v>913017</v>
      </c>
      <c r="G139" s="112">
        <f t="shared" si="11"/>
        <v>150</v>
      </c>
      <c r="H139" s="99">
        <f>G139+'26'!H139</f>
        <v>4122</v>
      </c>
      <c r="I139" s="118"/>
      <c r="J139" s="328">
        <f>H139/DAY(B2)</f>
        <v>152.66666666666666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'26'!F140</f>
        <v>1900.11</v>
      </c>
      <c r="F140" s="149">
        <v>1909.66</v>
      </c>
      <c r="G140" s="112">
        <f t="shared" si="11"/>
        <v>9.5500000000001819</v>
      </c>
      <c r="H140" s="99">
        <f>G140+'26'!H140</f>
        <v>396.66000000000008</v>
      </c>
      <c r="I140" s="118"/>
      <c r="J140" s="328">
        <f>H140/DAY(B2)</f>
        <v>14.691111111111114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'26'!F141</f>
        <v>95761.279999999999</v>
      </c>
      <c r="F141" s="149">
        <v>95975.9</v>
      </c>
      <c r="G141" s="112">
        <f t="shared" si="11"/>
        <v>214.61999999999534</v>
      </c>
      <c r="H141" s="99">
        <f>G141+'26'!H141</f>
        <v>5523.8999999999942</v>
      </c>
      <c r="I141" s="118"/>
      <c r="J141" s="328">
        <f>H141/DAY(B2)</f>
        <v>204.58888888888868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'26'!F142</f>
        <v>38790.910000000003</v>
      </c>
      <c r="F142" s="148">
        <v>38876.5</v>
      </c>
      <c r="G142" s="112">
        <f t="shared" si="11"/>
        <v>85.589999999996508</v>
      </c>
      <c r="H142" s="99">
        <f>G142+'26'!H142</f>
        <v>2215.5</v>
      </c>
      <c r="I142" s="140"/>
      <c r="J142" s="328">
        <f>H142/DAY(B2)</f>
        <v>82.055555555555557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'26'!F143</f>
        <v>9742.57</v>
      </c>
      <c r="F143" s="149">
        <v>9769.9</v>
      </c>
      <c r="G143" s="112">
        <f t="shared" si="11"/>
        <v>27.329999999999927</v>
      </c>
      <c r="H143" s="99">
        <f>G143+'26'!H143</f>
        <v>718.89999999999964</v>
      </c>
      <c r="I143" s="140"/>
      <c r="J143" s="328">
        <f>H143/DAY(B2)</f>
        <v>26.625925925925912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'26'!F144</f>
        <v>925541</v>
      </c>
      <c r="F144" s="149">
        <v>925754</v>
      </c>
      <c r="G144" s="112">
        <f t="shared" si="11"/>
        <v>213</v>
      </c>
      <c r="H144" s="99">
        <f>G144+'26'!H144</f>
        <v>5917</v>
      </c>
      <c r="I144" s="140"/>
      <c r="J144" s="328">
        <f>H144/DAY(B2)</f>
        <v>219.14814814814815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'26'!F145</f>
        <v>6781.09</v>
      </c>
      <c r="F145" s="148">
        <v>6847.19</v>
      </c>
      <c r="G145" s="112">
        <f t="shared" si="11"/>
        <v>66.099999999999454</v>
      </c>
      <c r="H145" s="99">
        <f>G145+'26'!H145</f>
        <v>1040.1899999999996</v>
      </c>
      <c r="I145" s="140"/>
      <c r="J145" s="328">
        <f>H145/DAY(B2)</f>
        <v>38.525555555555542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'26'!F146</f>
        <v>782551</v>
      </c>
      <c r="F146" s="148">
        <v>782608</v>
      </c>
      <c r="G146" s="112">
        <f t="shared" si="11"/>
        <v>57</v>
      </c>
      <c r="H146" s="99">
        <f>G146+'26'!H146</f>
        <v>1808</v>
      </c>
      <c r="I146" s="140"/>
      <c r="J146" s="328">
        <f>H146/DAY(B2)</f>
        <v>66.962962962962962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'26'!F147</f>
        <v>709798.64</v>
      </c>
      <c r="F147" s="148">
        <v>710180.32</v>
      </c>
      <c r="G147" s="112">
        <f t="shared" si="11"/>
        <v>381.67999999993481</v>
      </c>
      <c r="H147" s="99">
        <f>G147+'26'!H147</f>
        <v>10411.319999999949</v>
      </c>
      <c r="I147" s="140"/>
      <c r="J147" s="328">
        <f>H147/DAY(B2)</f>
        <v>385.60444444444255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'26'!F148</f>
        <v>756548.4</v>
      </c>
      <c r="F148" s="150">
        <v>756856.6</v>
      </c>
      <c r="G148" s="112">
        <f t="shared" si="11"/>
        <v>308.19999999995343</v>
      </c>
      <c r="H148" s="99">
        <f>G148+'26'!H148</f>
        <v>8326.5999999999767</v>
      </c>
      <c r="I148" s="124"/>
      <c r="J148" s="328">
        <f>H148/DAY(B2)</f>
        <v>308.39259259259171</v>
      </c>
    </row>
    <row r="149" spans="1:10" ht="25.5">
      <c r="A149" s="877" t="s">
        <v>336</v>
      </c>
      <c r="B149" s="878"/>
      <c r="C149" s="879"/>
      <c r="D149" s="227" t="s">
        <v>130</v>
      </c>
      <c r="E149" s="95">
        <f>'26'!F149</f>
        <v>144363.56</v>
      </c>
      <c r="F149" s="146">
        <v>144779.15</v>
      </c>
      <c r="G149" s="112">
        <f t="shared" si="11"/>
        <v>415.58999999999651</v>
      </c>
      <c r="H149" s="99">
        <f>G149+'26'!H149</f>
        <v>12345.149999999994</v>
      </c>
      <c r="I149" s="119"/>
      <c r="J149" s="328">
        <f>H149/DAY(B2)</f>
        <v>457.22777777777759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'26'!F150</f>
        <v>56364.02</v>
      </c>
      <c r="F150" s="233">
        <v>56580.6</v>
      </c>
      <c r="G150" s="112">
        <f t="shared" si="11"/>
        <v>216.58000000000175</v>
      </c>
      <c r="H150" s="99">
        <f>G150+'26'!H150</f>
        <v>5965.5999999999985</v>
      </c>
      <c r="I150" s="119"/>
      <c r="J150" s="328">
        <f>H150/DAY(B2)</f>
        <v>220.94814814814811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'26'!F151</f>
        <v>142273</v>
      </c>
      <c r="F151" s="233">
        <v>142528</v>
      </c>
      <c r="G151" s="112">
        <f t="shared" si="11"/>
        <v>255</v>
      </c>
      <c r="H151" s="99">
        <f>G151+'26'!H151</f>
        <v>7079</v>
      </c>
      <c r="I151" s="119"/>
      <c r="J151" s="328">
        <f>H151/DAY(B2)</f>
        <v>262.18518518518516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'26'!F152</f>
        <v>26265.86</v>
      </c>
      <c r="F152" s="233">
        <v>26380.47</v>
      </c>
      <c r="G152" s="112">
        <f t="shared" si="11"/>
        <v>114.61000000000058</v>
      </c>
      <c r="H152" s="99">
        <f>G152+'26'!H152</f>
        <v>3226.4700000000012</v>
      </c>
      <c r="I152" s="119"/>
      <c r="J152" s="328">
        <f>H152/DAY(B2)</f>
        <v>119.49888888888893</v>
      </c>
    </row>
    <row r="153" spans="1:10" ht="25.5">
      <c r="A153" s="880" t="s">
        <v>196</v>
      </c>
      <c r="B153" s="881"/>
      <c r="C153" s="365"/>
      <c r="D153" s="358"/>
      <c r="E153" s="360"/>
      <c r="F153" s="361"/>
      <c r="G153" s="362">
        <f>SUM(G138:G152)</f>
        <v>2556.8499999998785</v>
      </c>
      <c r="H153" s="363"/>
      <c r="I153" s="119">
        <f>G153-(G38+G52)</f>
        <v>480.88999999991574</v>
      </c>
      <c r="J153" s="366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95">
        <f>'26'!F155</f>
        <v>164474.9</v>
      </c>
      <c r="F155" s="389">
        <f>650+164471</f>
        <v>165121</v>
      </c>
      <c r="G155" s="112">
        <f t="shared" ref="G155:G158" si="12">F155-E155</f>
        <v>646.10000000000582</v>
      </c>
      <c r="H155" s="99">
        <f>G155+'26'!H155</f>
        <v>16972</v>
      </c>
      <c r="I155" s="364"/>
      <c r="J155" s="328">
        <f>H155/DAY(B2)</f>
        <v>628.59259259259261</v>
      </c>
    </row>
    <row r="156" spans="1:10" ht="25.5">
      <c r="A156" s="876" t="s">
        <v>347</v>
      </c>
      <c r="B156" s="876"/>
      <c r="C156" s="876"/>
      <c r="D156" s="117" t="s">
        <v>130</v>
      </c>
      <c r="E156" s="95">
        <f>'26'!F156</f>
        <v>17300.22</v>
      </c>
      <c r="F156" s="155">
        <f>80+17300</f>
        <v>17380</v>
      </c>
      <c r="G156" s="112">
        <f t="shared" si="12"/>
        <v>79.779999999998836</v>
      </c>
      <c r="H156" s="99">
        <f>G156+'26'!H156</f>
        <v>2844</v>
      </c>
      <c r="I156" s="165"/>
      <c r="J156" s="328">
        <f>H156/DAY(B2)</f>
        <v>105.33333333333333</v>
      </c>
    </row>
    <row r="157" spans="1:10" ht="25.5">
      <c r="A157" s="877" t="s">
        <v>360</v>
      </c>
      <c r="B157" s="878"/>
      <c r="C157" s="879"/>
      <c r="D157" s="117" t="s">
        <v>130</v>
      </c>
      <c r="E157" s="95">
        <f>'26'!F157</f>
        <v>30916.98</v>
      </c>
      <c r="F157" s="155">
        <v>31058</v>
      </c>
      <c r="G157" s="112">
        <f t="shared" si="12"/>
        <v>141.02000000000044</v>
      </c>
      <c r="H157" s="99">
        <f>G157+'26'!H157</f>
        <v>1018.5</v>
      </c>
      <c r="I157" s="165"/>
      <c r="J157" s="328">
        <f>H157/DAY(B2)</f>
        <v>37.722222222222221</v>
      </c>
    </row>
    <row r="158" spans="1:10" ht="25.5">
      <c r="A158" s="877" t="s">
        <v>361</v>
      </c>
      <c r="B158" s="878"/>
      <c r="C158" s="879"/>
      <c r="D158" s="117" t="s">
        <v>130</v>
      </c>
      <c r="E158" s="95">
        <f>'26'!F158</f>
        <v>288.35000000000002</v>
      </c>
      <c r="F158" s="155">
        <v>306.3</v>
      </c>
      <c r="G158" s="112">
        <f t="shared" si="12"/>
        <v>17.949999999999989</v>
      </c>
      <c r="H158" s="99">
        <f>G158+'26'!H158</f>
        <v>64.910000000000025</v>
      </c>
      <c r="I158" s="165"/>
      <c r="J158" s="328">
        <f>H158/DAY(B2)</f>
        <v>2.4040740740740749</v>
      </c>
    </row>
    <row r="159" spans="1:10" ht="25.5">
      <c r="A159" s="962"/>
      <c r="B159" s="963"/>
      <c r="C159" s="964"/>
      <c r="D159" s="117"/>
      <c r="E159" s="95"/>
      <c r="F159" s="155"/>
      <c r="G159" s="112"/>
      <c r="H159" s="99"/>
      <c r="I159" s="165"/>
      <c r="J159" s="328"/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481652.28</v>
      </c>
      <c r="F161" s="235">
        <v>481684.04</v>
      </c>
      <c r="G161" s="238">
        <f t="shared" ref="G161:G165" si="13">F161-E161</f>
        <v>31.759999999951106</v>
      </c>
      <c r="H161" s="99">
        <f>G161+'26'!H161</f>
        <v>637.03999999997905</v>
      </c>
      <c r="I161" s="236"/>
      <c r="J161" s="239">
        <f>H161/DAY(B2)</f>
        <v>23.594074074073298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95966</v>
      </c>
      <c r="F162" s="235">
        <v>95993.1</v>
      </c>
      <c r="G162" s="238">
        <f>F162-E162</f>
        <v>27.100000000005821</v>
      </c>
      <c r="H162" s="99">
        <f>G162+'26'!H162</f>
        <v>1065.1000000000058</v>
      </c>
      <c r="I162" s="236"/>
      <c r="J162" s="239">
        <f>H162/DAY(B2)</f>
        <v>39.448148148148363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9548.2999999999993</v>
      </c>
      <c r="F163" s="235">
        <v>9685.99</v>
      </c>
      <c r="G163" s="238">
        <f t="shared" si="13"/>
        <v>137.69000000000051</v>
      </c>
      <c r="H163" s="99">
        <f>G163+'26'!H163</f>
        <v>3184.99</v>
      </c>
      <c r="I163" s="236"/>
      <c r="J163" s="239">
        <f>H163/DAY(B2)</f>
        <v>117.96259259259259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6388.4</v>
      </c>
      <c r="F164" s="235">
        <v>6395.3</v>
      </c>
      <c r="G164" s="238">
        <f t="shared" si="13"/>
        <v>6.9000000000005457</v>
      </c>
      <c r="H164" s="99">
        <f>G164+'26'!H164</f>
        <v>115.30000000000018</v>
      </c>
      <c r="I164" s="236"/>
      <c r="J164" s="239">
        <f>H164/DAY(B2)</f>
        <v>4.2703703703703768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31835</v>
      </c>
      <c r="F165" s="235">
        <v>31843.46</v>
      </c>
      <c r="G165" s="238">
        <f t="shared" si="13"/>
        <v>8.4599999999991269</v>
      </c>
      <c r="H165" s="99">
        <f>G165+'26'!H165</f>
        <v>209.45999999999913</v>
      </c>
      <c r="I165" s="236"/>
      <c r="J165" s="239">
        <f>H165/DAY(B2)</f>
        <v>7.7577777777777452</v>
      </c>
    </row>
    <row r="166" spans="1:10" ht="26.25">
      <c r="A166" s="885"/>
      <c r="B166" s="885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885"/>
      <c r="B167" s="885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885"/>
      <c r="B168" s="885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v>8574</v>
      </c>
      <c r="F173" s="155">
        <v>8576</v>
      </c>
      <c r="G173" s="155">
        <f>F173-E173</f>
        <v>2</v>
      </c>
      <c r="H173" s="99">
        <f>G173+'26'!H173</f>
        <v>53</v>
      </c>
      <c r="I173" s="155"/>
      <c r="J173" s="178">
        <f>H173/DAY(B2)</f>
        <v>1.962962962962963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'26'!F174</f>
        <v>41548</v>
      </c>
      <c r="F174" s="157">
        <v>41561</v>
      </c>
      <c r="G174" s="155">
        <f t="shared" ref="G174:G175" si="14">F174-E174</f>
        <v>13</v>
      </c>
      <c r="H174" s="99">
        <f>G174+'26'!H174</f>
        <v>357</v>
      </c>
      <c r="I174" s="155"/>
      <c r="J174" s="178">
        <f>H174/DAY(B2)</f>
        <v>13.222222222222221</v>
      </c>
    </row>
    <row r="175" spans="1:10" ht="25.5">
      <c r="A175" s="891" t="s">
        <v>76</v>
      </c>
      <c r="B175" s="931"/>
      <c r="C175" s="892"/>
      <c r="D175" s="228" t="s">
        <v>142</v>
      </c>
      <c r="E175" s="95">
        <f>'26'!F175</f>
        <v>24319</v>
      </c>
      <c r="F175" s="155">
        <v>24329</v>
      </c>
      <c r="G175" s="155">
        <f t="shared" si="14"/>
        <v>10</v>
      </c>
      <c r="H175" s="99">
        <f>G175+'26'!H175</f>
        <v>298</v>
      </c>
      <c r="I175" s="155"/>
      <c r="J175" s="178">
        <f>H175/DAY(B2)</f>
        <v>11.037037037037036</v>
      </c>
    </row>
    <row r="176" spans="1:10" ht="25.5">
      <c r="A176" s="880" t="s">
        <v>196</v>
      </c>
      <c r="B176" s="881"/>
      <c r="C176" s="401"/>
      <c r="D176" s="228" t="s">
        <v>142</v>
      </c>
      <c r="E176" s="95"/>
      <c r="F176" s="155"/>
      <c r="G176" s="155">
        <f>SUM(G173:G175)</f>
        <v>25</v>
      </c>
      <c r="H176" s="99">
        <f>G176+'26'!H176</f>
        <v>708</v>
      </c>
      <c r="I176" s="155"/>
      <c r="J176" s="178">
        <f>H176/DAY(B2)</f>
        <v>26.222222222222221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'26'!F178</f>
        <v>99731</v>
      </c>
      <c r="F178" s="155">
        <v>99785</v>
      </c>
      <c r="G178" s="155">
        <f>F178-E178</f>
        <v>54</v>
      </c>
      <c r="H178" s="99">
        <f>G178+'26'!H178</f>
        <v>2072</v>
      </c>
      <c r="I178" s="155"/>
      <c r="J178" s="178">
        <f>H178/DAY(B2)</f>
        <v>76.740740740740748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'26'!F179</f>
        <v>37279</v>
      </c>
      <c r="F179" s="155">
        <v>37279</v>
      </c>
      <c r="G179" s="155">
        <f t="shared" ref="G179:G180" si="15">F179-E179</f>
        <v>0</v>
      </c>
      <c r="H179" s="99">
        <f>G179+'26'!H179</f>
        <v>67</v>
      </c>
      <c r="I179" s="155"/>
      <c r="J179" s="178">
        <f>H179/DAY(B2)</f>
        <v>2.4814814814814814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'26'!F180</f>
        <v>7183</v>
      </c>
      <c r="F180" s="155">
        <v>7184</v>
      </c>
      <c r="G180" s="155">
        <f t="shared" si="15"/>
        <v>1</v>
      </c>
      <c r="H180" s="99">
        <f>G180+'26'!H180</f>
        <v>195</v>
      </c>
      <c r="I180" s="155"/>
      <c r="J180" s="178">
        <f>H180/DAY(B2)</f>
        <v>7.2222222222222223</v>
      </c>
    </row>
    <row r="181" spans="1:10" ht="25.5">
      <c r="A181" s="893" t="s">
        <v>108</v>
      </c>
      <c r="B181" s="894"/>
      <c r="C181" s="401"/>
      <c r="D181" s="228" t="s">
        <v>142</v>
      </c>
      <c r="E181" s="95"/>
      <c r="F181" s="155"/>
      <c r="G181" s="155">
        <f>SUM(G178:G180)</f>
        <v>55</v>
      </c>
      <c r="H181" s="99">
        <f>G181+'26'!H181</f>
        <v>2334</v>
      </c>
      <c r="I181" s="155"/>
      <c r="J181" s="178">
        <f>H181/DAY(B2)</f>
        <v>86.444444444444443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'26'!F183</f>
        <v>17655</v>
      </c>
      <c r="F183" s="157">
        <v>17663</v>
      </c>
      <c r="G183" s="157">
        <f>F183-E183</f>
        <v>8</v>
      </c>
      <c r="H183" s="99">
        <f>G183+'26'!H183</f>
        <v>190</v>
      </c>
      <c r="I183" s="155"/>
      <c r="J183" s="178">
        <f>H183/DAY(B2)</f>
        <v>7.0370370370370372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'26'!F184</f>
        <v>12127</v>
      </c>
      <c r="F184" s="157">
        <v>12134</v>
      </c>
      <c r="G184" s="157">
        <f t="shared" ref="G184:G185" si="16">F184-E184</f>
        <v>7</v>
      </c>
      <c r="H184" s="99">
        <f>G184+'26'!H184</f>
        <v>199</v>
      </c>
      <c r="I184" s="155"/>
      <c r="J184" s="178">
        <f>H184/DAY(B2)</f>
        <v>7.3703703703703702</v>
      </c>
    </row>
    <row r="185" spans="1:10" ht="25.5" customHeight="1">
      <c r="A185" s="891" t="s">
        <v>216</v>
      </c>
      <c r="B185" s="892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5.5">
      <c r="A186" s="880" t="s">
        <v>196</v>
      </c>
      <c r="B186" s="881"/>
      <c r="C186" s="400"/>
      <c r="D186" s="228" t="s">
        <v>142</v>
      </c>
      <c r="E186" s="95"/>
      <c r="F186" s="157"/>
      <c r="G186" s="157">
        <f>SUM(G183:G185)</f>
        <v>15</v>
      </c>
      <c r="H186" s="99">
        <f>G186+'26'!H186</f>
        <v>389</v>
      </c>
      <c r="I186" s="157"/>
      <c r="J186" s="178">
        <f>H186/DAY(B2)</f>
        <v>14.407407407407407</v>
      </c>
    </row>
    <row r="187" spans="1:10" ht="25.5">
      <c r="A187" s="882" t="s">
        <v>217</v>
      </c>
      <c r="B187" s="883"/>
      <c r="C187" s="333"/>
      <c r="D187" s="228" t="s">
        <v>142</v>
      </c>
      <c r="E187" s="95">
        <f>'26'!F187</f>
        <v>0</v>
      </c>
      <c r="F187" s="159"/>
      <c r="G187" s="378">
        <f>G62+G19</f>
        <v>147</v>
      </c>
      <c r="H187" s="99">
        <f>G187+'26'!H187</f>
        <v>4253</v>
      </c>
      <c r="I187" s="158"/>
      <c r="J187" s="179">
        <f>H187/DAY(B2)</f>
        <v>157.5185185185185</v>
      </c>
    </row>
    <row r="188" spans="1:10" ht="25.5">
      <c r="A188" s="882" t="s">
        <v>218</v>
      </c>
      <c r="B188" s="883"/>
      <c r="C188" s="333"/>
      <c r="D188" s="228" t="s">
        <v>142</v>
      </c>
      <c r="E188" s="95">
        <f>'26'!F188</f>
        <v>0</v>
      </c>
      <c r="F188" s="159"/>
      <c r="G188" s="378">
        <f>G65+G66+G67+G69+G70</f>
        <v>152</v>
      </c>
      <c r="H188" s="99">
        <f>G188+'26'!H188</f>
        <v>1977</v>
      </c>
      <c r="I188" s="158"/>
      <c r="J188" s="179">
        <f>H188/DAY(B2)</f>
        <v>73.222222222222229</v>
      </c>
    </row>
    <row r="189" spans="1:10" ht="25.5">
      <c r="A189" s="882" t="s">
        <v>219</v>
      </c>
      <c r="B189" s="883"/>
      <c r="C189" s="333"/>
      <c r="D189" s="230" t="s">
        <v>142</v>
      </c>
      <c r="E189" s="95">
        <f>'26'!F189</f>
        <v>0</v>
      </c>
      <c r="F189" s="157"/>
      <c r="G189" s="377">
        <f>G181</f>
        <v>55</v>
      </c>
      <c r="H189" s="99">
        <f>G189+'26'!H189</f>
        <v>825</v>
      </c>
      <c r="I189" s="158"/>
      <c r="J189" s="179">
        <f>H189/DAY(B2)</f>
        <v>30.555555555555557</v>
      </c>
    </row>
    <row r="190" spans="1:10" ht="25.5">
      <c r="A190" s="889"/>
      <c r="B190" s="89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zoomScale="55" zoomScaleNormal="80" zoomScaleSheetLayoutView="55" workbookViewId="0">
      <selection activeCell="A56" sqref="A56:XFD5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349</v>
      </c>
      <c r="B2" s="262">
        <v>44801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'27'!F7</f>
        <v>29064.5</v>
      </c>
      <c r="F7" s="95">
        <v>50961.5</v>
      </c>
      <c r="G7" s="112">
        <f>F7-E7</f>
        <v>21897</v>
      </c>
      <c r="H7" s="99">
        <f>G7+'27'!H7</f>
        <v>714495</v>
      </c>
      <c r="I7" s="113">
        <f>'1'!I7</f>
        <v>12000</v>
      </c>
      <c r="J7" s="175">
        <f>H7/DAY(B2)</f>
        <v>25517.678571428572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'27'!F8</f>
        <v>187948</v>
      </c>
      <c r="F8" s="95">
        <v>209899</v>
      </c>
      <c r="G8" s="115">
        <f>F8-E8</f>
        <v>21951</v>
      </c>
      <c r="H8" s="99">
        <f>G8+'27'!H8</f>
        <v>721502.7</v>
      </c>
      <c r="I8" s="116"/>
      <c r="J8" s="175">
        <f>H8/DAY(B2)</f>
        <v>25767.95357142857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21751</v>
      </c>
    </row>
    <row r="9" spans="1:15" ht="26.25">
      <c r="A9" s="199" t="s">
        <v>132</v>
      </c>
      <c r="B9" s="200"/>
      <c r="C9" s="200"/>
      <c r="D9" s="151" t="s">
        <v>130</v>
      </c>
      <c r="E9" s="95">
        <f>'27'!F9</f>
        <v>3455610.7</v>
      </c>
      <c r="F9" s="469">
        <v>3463939.5</v>
      </c>
      <c r="G9" s="112">
        <f>F9-E9</f>
        <v>8328.7999999998137</v>
      </c>
      <c r="H9" s="99">
        <f>G9+'27'!H9</f>
        <v>184873.5</v>
      </c>
      <c r="I9" s="124">
        <f>I7-J7</f>
        <v>-13517.678571428572</v>
      </c>
      <c r="J9" s="175">
        <f>H9/DAY(B2)</f>
        <v>6602.625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'27'!F10</f>
        <v>2163941.7000000002</v>
      </c>
      <c r="F10" s="353">
        <v>2176934.2999999998</v>
      </c>
      <c r="G10" s="112">
        <f t="shared" ref="G10:G12" si="0">F10-E10</f>
        <v>12992.599999999627</v>
      </c>
      <c r="H10" s="99">
        <f>G10+'27'!H10</f>
        <v>509776.29999999981</v>
      </c>
      <c r="I10" s="282"/>
      <c r="J10" s="175">
        <f>H10/DAY(B2)</f>
        <v>18206.296428571422</v>
      </c>
      <c r="K10" s="79"/>
      <c r="L10" s="66"/>
      <c r="N10" s="87"/>
      <c r="O10" s="71">
        <f>F7-O8</f>
        <v>29210.5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'27'!F12</f>
        <v>40380</v>
      </c>
      <c r="F12" s="117">
        <v>40380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146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21321.399999999441</v>
      </c>
      <c r="H13" s="99">
        <f>G13+'27'!H13</f>
        <v>695984.39999999967</v>
      </c>
      <c r="I13" s="120">
        <f>G7-G13</f>
        <v>575.60000000055879</v>
      </c>
      <c r="J13" s="175">
        <f>H13/DAY(B2)</f>
        <v>24856.585714285702</v>
      </c>
      <c r="K13" s="79"/>
      <c r="L13" s="66"/>
      <c r="N13" s="87">
        <f>G13+639</f>
        <v>21960.399999999441</v>
      </c>
      <c r="O13" s="71"/>
    </row>
    <row r="14" spans="1:15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'27'!F15</f>
        <v>2128132.1</v>
      </c>
      <c r="F15" s="469">
        <v>2129099.5</v>
      </c>
      <c r="G15" s="112">
        <f>(F15-E15)</f>
        <v>967.39999999990687</v>
      </c>
      <c r="H15" s="99">
        <f>G15+'27'!H15</f>
        <v>28231.5</v>
      </c>
      <c r="I15" s="113">
        <f>'1'!I15</f>
        <v>800</v>
      </c>
      <c r="J15" s="175">
        <f>H15/DAY(B2)</f>
        <v>1008.2678571428571</v>
      </c>
      <c r="K15" s="79"/>
      <c r="L15" s="66"/>
      <c r="N15" s="87"/>
      <c r="O15" s="71">
        <f>G8-200</f>
        <v>21751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-208.26785714285711</v>
      </c>
      <c r="J16" s="176"/>
      <c r="K16" s="79"/>
      <c r="L16" s="66"/>
      <c r="N16" s="87"/>
      <c r="O16" s="71"/>
    </row>
    <row r="17" spans="1:16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919" t="s">
        <v>141</v>
      </c>
      <c r="B18" s="920"/>
      <c r="C18" s="921"/>
      <c r="D18" s="151" t="s">
        <v>142</v>
      </c>
      <c r="E18" s="95">
        <f>'27'!F18</f>
        <v>22</v>
      </c>
      <c r="F18" s="122">
        <v>19</v>
      </c>
      <c r="G18" s="119">
        <f>F18*10</f>
        <v>190</v>
      </c>
      <c r="H18" s="99">
        <f>G18+'27'!H18</f>
        <v>4540</v>
      </c>
      <c r="I18" s="113">
        <f>'1'!I18</f>
        <v>65</v>
      </c>
      <c r="J18" s="175">
        <f>H18/DAY(B2)</f>
        <v>162.14285714285714</v>
      </c>
      <c r="K18" s="79"/>
      <c r="L18" s="66"/>
      <c r="N18" s="87"/>
      <c r="O18" s="71"/>
    </row>
    <row r="19" spans="1:16" ht="25.5">
      <c r="A19" s="919" t="s">
        <v>69</v>
      </c>
      <c r="B19" s="920"/>
      <c r="C19" s="921"/>
      <c r="D19" s="151" t="s">
        <v>142</v>
      </c>
      <c r="E19" s="95">
        <f>'27'!F19</f>
        <v>163690</v>
      </c>
      <c r="F19" s="122">
        <v>163740</v>
      </c>
      <c r="G19" s="112">
        <f t="shared" ref="G19" si="1">F19-E19</f>
        <v>50</v>
      </c>
      <c r="H19" s="99">
        <f>G19+'27'!H19</f>
        <v>1405</v>
      </c>
      <c r="I19" s="335"/>
      <c r="J19" s="175">
        <f>H19/DAY(B2)</f>
        <v>50.178571428571431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240</v>
      </c>
      <c r="H20" s="99">
        <f>G20+'27'!H20</f>
        <v>5945</v>
      </c>
      <c r="I20" s="336">
        <f>I18-J20</f>
        <v>-147.32142857142858</v>
      </c>
      <c r="J20" s="175">
        <f>H20/DAY(B2)</f>
        <v>212.32142857142858</v>
      </c>
      <c r="K20" s="79"/>
      <c r="L20" s="66"/>
      <c r="N20" s="87"/>
      <c r="O20" s="71"/>
    </row>
    <row r="21" spans="1:16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21951</v>
      </c>
      <c r="F27" s="136">
        <v>9</v>
      </c>
      <c r="G27" s="137">
        <f>E27*F27</f>
        <v>197559</v>
      </c>
      <c r="H27" s="99">
        <f>G27+'27'!H27</f>
        <v>6493524.2999999998</v>
      </c>
      <c r="I27" s="138"/>
      <c r="J27" s="175">
        <f>H27/DAY(B2)</f>
        <v>231911.58214285714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967.39999999990687</v>
      </c>
      <c r="F28" s="136">
        <v>70</v>
      </c>
      <c r="G28" s="137">
        <f>E28*F28</f>
        <v>67717.999999993481</v>
      </c>
      <c r="H28" s="99">
        <f>G28+'27'!H28</f>
        <v>1976205</v>
      </c>
      <c r="I28" s="140"/>
      <c r="J28" s="175">
        <f>H28/DAY(B2)</f>
        <v>70578.75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G30+'27'!H30</f>
        <v>212155</v>
      </c>
      <c r="I30" s="140"/>
      <c r="J30" s="175">
        <f>H30/DAY(B2)</f>
        <v>7576.9642857142853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G31+'27'!H31</f>
        <v>363200</v>
      </c>
      <c r="I31" s="140"/>
      <c r="J31" s="175">
        <f>H31/DAY(B2)</f>
        <v>12971.428571428571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288026.99999999348</v>
      </c>
      <c r="H32" s="99">
        <f>G32+'27'!H32</f>
        <v>9045084.3000000007</v>
      </c>
      <c r="I32" s="144"/>
      <c r="J32" s="175">
        <f>H32/DAY(B2)</f>
        <v>323038.72500000003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'27'!F35</f>
        <v>238713.05</v>
      </c>
      <c r="F35" s="145">
        <v>238713.05</v>
      </c>
      <c r="G35" s="112">
        <f t="shared" ref="G35:G46" si="3">F35-E35</f>
        <v>0</v>
      </c>
      <c r="H35" s="99">
        <f>G35+'27'!H35</f>
        <v>4.9999999988358468E-2</v>
      </c>
      <c r="I35" s="95"/>
      <c r="J35" s="175">
        <f>H35/DAY(B2)</f>
        <v>1.7857142852985167E-3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'27'!F36</f>
        <v>238810.85</v>
      </c>
      <c r="F36" s="145">
        <v>239597</v>
      </c>
      <c r="G36" s="112">
        <f t="shared" si="3"/>
        <v>786.14999999999418</v>
      </c>
      <c r="H36" s="99">
        <f>G36+'27'!H36</f>
        <v>24067</v>
      </c>
      <c r="I36" s="95"/>
      <c r="J36" s="175">
        <f>H36/DAY(B2)</f>
        <v>859.53571428571433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'27'!F37</f>
        <v>322998.69</v>
      </c>
      <c r="F37" s="145">
        <v>322998.69</v>
      </c>
      <c r="G37" s="112">
        <f t="shared" si="3"/>
        <v>0</v>
      </c>
      <c r="H37" s="99">
        <f>G37+'27'!H37</f>
        <v>-0.30999999999767169</v>
      </c>
      <c r="I37" s="95"/>
      <c r="J37" s="175">
        <f>H37/DAY(B2)</f>
        <v>-1.1071428571345418E-2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'27'!F38</f>
        <v>517133.91</v>
      </c>
      <c r="F38" s="108">
        <v>519193.23</v>
      </c>
      <c r="G38" s="112">
        <f t="shared" si="3"/>
        <v>2059.320000000007</v>
      </c>
      <c r="H38" s="99">
        <f>G38+'27'!H38</f>
        <v>61832.229999999981</v>
      </c>
      <c r="I38" s="95"/>
      <c r="J38" s="175">
        <f>H38/DAY(B2)</f>
        <v>2208.2939285714278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'27'!F39</f>
        <v>591584.18999999994</v>
      </c>
      <c r="F39" s="145">
        <v>591584.18999999994</v>
      </c>
      <c r="G39" s="112">
        <f t="shared" si="3"/>
        <v>0</v>
      </c>
      <c r="H39" s="99">
        <f>G39+'27'!H39</f>
        <v>0.18999999994412065</v>
      </c>
      <c r="I39" s="95"/>
      <c r="J39" s="175">
        <f>H39/DAY(B2)</f>
        <v>6.7857142837185946E-3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'27'!F40</f>
        <v>129881.89</v>
      </c>
      <c r="F40" s="145">
        <v>130715.57</v>
      </c>
      <c r="G40" s="112">
        <f t="shared" si="3"/>
        <v>833.68000000000757</v>
      </c>
      <c r="H40" s="99">
        <f>G40+'27'!H40</f>
        <v>23939.570000000007</v>
      </c>
      <c r="I40" s="95"/>
      <c r="J40" s="175">
        <f>H40/DAY(B2)</f>
        <v>854.98464285714306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'27'!F41</f>
        <v>260429.87</v>
      </c>
      <c r="F41" s="145">
        <v>266131.75</v>
      </c>
      <c r="G41" s="112">
        <f t="shared" si="3"/>
        <v>5701.8800000000047</v>
      </c>
      <c r="H41" s="99">
        <f>G41+'27'!H41</f>
        <v>54428.75</v>
      </c>
      <c r="I41" s="95"/>
      <c r="J41" s="175">
        <f>H41/DAY(B2)</f>
        <v>1943.8839285714287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'27'!F42</f>
        <v>796748.63</v>
      </c>
      <c r="F42" s="145">
        <v>796748.63</v>
      </c>
      <c r="G42" s="112">
        <f t="shared" si="3"/>
        <v>0</v>
      </c>
      <c r="H42" s="99">
        <f>G42+'27'!H42</f>
        <v>48384.630000000005</v>
      </c>
      <c r="I42" s="95"/>
      <c r="J42" s="175">
        <f>H42/DAY(B2)</f>
        <v>1728.0225000000003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'27'!F43</f>
        <v>407028.03</v>
      </c>
      <c r="F43" s="145">
        <v>407028</v>
      </c>
      <c r="G43" s="112">
        <f t="shared" si="3"/>
        <v>-3.0000000027939677E-2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9380.9999999999854</v>
      </c>
      <c r="H47" s="99">
        <f>G47+'27'!H47</f>
        <v>212652.10999999993</v>
      </c>
      <c r="I47" s="95"/>
      <c r="J47" s="175">
        <f>H47/DAY(B2)</f>
        <v>7594.7182142857118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'27'!F49</f>
        <v>591243.35</v>
      </c>
      <c r="F49" s="423">
        <v>595021.39</v>
      </c>
      <c r="G49" s="112">
        <f t="shared" ref="G49:G58" si="4">F49-E49</f>
        <v>3778.0400000000373</v>
      </c>
      <c r="H49" s="99">
        <f>G49+'27'!H49</f>
        <v>109967.39000000001</v>
      </c>
      <c r="I49" s="95"/>
      <c r="J49" s="175">
        <f>H49/DAY(B2)</f>
        <v>3927.4067857142863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'27'!F50</f>
        <v>316433.39</v>
      </c>
      <c r="F50" s="145">
        <v>317403.78999999998</v>
      </c>
      <c r="G50" s="112">
        <f t="shared" si="4"/>
        <v>970.39999999996508</v>
      </c>
      <c r="H50" s="99">
        <f>G50+'27'!H50</f>
        <v>241287.21999999997</v>
      </c>
      <c r="I50" s="95"/>
      <c r="J50" s="175">
        <f>H50/DAY(B2)</f>
        <v>8617.4007142857135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'27'!F51</f>
        <v>36828.339999999997</v>
      </c>
      <c r="F51" s="145">
        <v>37788.620000000003</v>
      </c>
      <c r="G51" s="112">
        <f t="shared" si="4"/>
        <v>960.28000000000611</v>
      </c>
      <c r="H51" s="99">
        <f>G51+'27'!H51</f>
        <v>29280.620000000003</v>
      </c>
      <c r="I51" s="95"/>
      <c r="J51" s="175">
        <f>H51/DAY(B2)</f>
        <v>1045.7364285714286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10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'27'!F53</f>
        <v>150855.75</v>
      </c>
      <c r="F53" s="145">
        <v>154853.79999999999</v>
      </c>
      <c r="G53" s="112">
        <f t="shared" si="4"/>
        <v>3998.0499999999884</v>
      </c>
      <c r="H53" s="99">
        <f>G53+'27'!H53</f>
        <v>120992.79999999999</v>
      </c>
      <c r="I53" s="95"/>
      <c r="J53" s="175">
        <f>H53/DAY(B2)</f>
        <v>4321.1714285714279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'27'!F54</f>
        <v>94979.89</v>
      </c>
      <c r="F54" s="145">
        <v>95171.13</v>
      </c>
      <c r="G54" s="112">
        <f t="shared" si="4"/>
        <v>191.24000000000524</v>
      </c>
      <c r="H54" s="99">
        <f>G54+'27'!H54</f>
        <v>7228.1300000000047</v>
      </c>
      <c r="I54" s="95"/>
      <c r="J54" s="175">
        <f>H54/DAY(B2)</f>
        <v>258.14750000000015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'27'!F55</f>
        <v>443169.75</v>
      </c>
      <c r="F55" s="145">
        <v>443169.75</v>
      </c>
      <c r="G55" s="112">
        <f t="shared" si="4"/>
        <v>0</v>
      </c>
      <c r="H55" s="99">
        <f>G55+'27'!H55</f>
        <v>80392.75</v>
      </c>
      <c r="I55" s="95"/>
      <c r="J55" s="175">
        <f>H55/DAY(B2)</f>
        <v>2871.1696428571427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'27'!F56</f>
        <v>123882.39</v>
      </c>
      <c r="F56" s="145">
        <v>123882.39</v>
      </c>
      <c r="G56" s="112">
        <f t="shared" si="4"/>
        <v>0</v>
      </c>
      <c r="H56" s="99">
        <f>G56+'27'!H56</f>
        <v>0.38999999999941792</v>
      </c>
      <c r="I56" s="95"/>
      <c r="J56" s="175">
        <f>H56/DAY(B2)</f>
        <v>1.392857142855064E-2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'27'!F57</f>
        <v>310007.81</v>
      </c>
      <c r="F57" s="423">
        <v>313068.27</v>
      </c>
      <c r="G57" s="112">
        <f t="shared" si="4"/>
        <v>3060.460000000021</v>
      </c>
      <c r="H57" s="99">
        <f>G57+'27'!H57</f>
        <v>86898.270000000019</v>
      </c>
      <c r="I57" s="95"/>
      <c r="J57" s="175">
        <f>H57/DAY(B2)</f>
        <v>3103.5096428571437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'27'!F58</f>
        <v>55926.5</v>
      </c>
      <c r="F58" s="145">
        <v>56098.76</v>
      </c>
      <c r="G58" s="112">
        <f t="shared" si="4"/>
        <v>172.26000000000204</v>
      </c>
      <c r="H58" s="99">
        <f>G58+'27'!H58</f>
        <v>6989.760000000002</v>
      </c>
      <c r="I58" s="95"/>
      <c r="J58" s="175">
        <f>H58/DAY(B2)</f>
        <v>249.6342857142858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13130.730000000025</v>
      </c>
      <c r="H59" s="99">
        <f>G59+'27'!H59</f>
        <v>476403.90000000008</v>
      </c>
      <c r="I59" s="95">
        <f>G7-G60</f>
        <v>-614.73000000001048</v>
      </c>
      <c r="J59" s="175">
        <f>H59/DAY(B2)</f>
        <v>17014.425000000003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22511.73000000001</v>
      </c>
      <c r="H60" s="99">
        <f>G60+'27'!H60</f>
        <v>689056.01</v>
      </c>
      <c r="I60" s="95">
        <f>G13-G60</f>
        <v>-1190.3300000005693</v>
      </c>
      <c r="J60" s="175">
        <f>H60/DAY(B2)</f>
        <v>24609.143214285716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'27'!F62</f>
        <v>299173</v>
      </c>
      <c r="F62" s="122">
        <v>299262</v>
      </c>
      <c r="G62" s="112">
        <f t="shared" ref="G62:G63" si="5">F62-E62</f>
        <v>89</v>
      </c>
      <c r="H62" s="99">
        <f>G62+'27'!H62</f>
        <v>2987</v>
      </c>
      <c r="I62" s="118"/>
      <c r="J62" s="175">
        <f>H62/DAY(B2)</f>
        <v>106.67857142857143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'27'!F63</f>
        <v>242182</v>
      </c>
      <c r="F63" s="122">
        <v>242287</v>
      </c>
      <c r="G63" s="112">
        <f t="shared" si="5"/>
        <v>105</v>
      </c>
      <c r="H63" s="99">
        <f>G63+'27'!H63</f>
        <v>3154</v>
      </c>
      <c r="I63" s="118"/>
      <c r="J63" s="175">
        <f>H63/DAY(B2)</f>
        <v>112.64285714285714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'27'!F64</f>
        <v>0</v>
      </c>
      <c r="F64" s="122">
        <v>0</v>
      </c>
      <c r="G64" s="112">
        <f>G62+G63</f>
        <v>194</v>
      </c>
      <c r="H64" s="99">
        <f>G64+'27'!H64</f>
        <v>6141</v>
      </c>
      <c r="I64" s="118"/>
      <c r="J64" s="175">
        <f>H64/DAY(B2)</f>
        <v>219.32142857142858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'27'!F65</f>
        <v>457469</v>
      </c>
      <c r="F65" s="122">
        <v>457565</v>
      </c>
      <c r="G65" s="112">
        <f t="shared" ref="G65:G70" si="6">F65-E65</f>
        <v>96</v>
      </c>
      <c r="H65" s="99">
        <f>G65+'27'!H65</f>
        <v>2855</v>
      </c>
      <c r="I65" s="118"/>
      <c r="J65" s="175">
        <f>H65/DAY(B2)</f>
        <v>101.96428571428571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'27'!F66</f>
        <v>112264</v>
      </c>
      <c r="F66" s="122">
        <v>112278</v>
      </c>
      <c r="G66" s="112">
        <f t="shared" si="6"/>
        <v>14</v>
      </c>
      <c r="H66" s="99">
        <f>G66+'27'!H66</f>
        <v>556</v>
      </c>
      <c r="I66" s="118"/>
      <c r="J66" s="175">
        <f>H66/DAY(B2)</f>
        <v>19.857142857142858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'27'!F67</f>
        <v>114130</v>
      </c>
      <c r="F67" s="122">
        <v>114152</v>
      </c>
      <c r="G67" s="112">
        <f t="shared" si="6"/>
        <v>22</v>
      </c>
      <c r="H67" s="99">
        <f>G67+'27'!H67</f>
        <v>472</v>
      </c>
      <c r="I67" s="118"/>
      <c r="J67" s="175">
        <f>H67/DAY(B2)</f>
        <v>16.857142857142858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'27'!F68</f>
        <v>165416</v>
      </c>
      <c r="F68" s="122">
        <v>165446</v>
      </c>
      <c r="G68" s="112">
        <f t="shared" si="6"/>
        <v>30</v>
      </c>
      <c r="H68" s="99">
        <f>G68+'27'!H68</f>
        <v>784</v>
      </c>
      <c r="I68" s="118"/>
      <c r="J68" s="175">
        <f>H68/DAY(B2)</f>
        <v>28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'27'!F69</f>
        <v>12424</v>
      </c>
      <c r="F69" s="122">
        <v>12426</v>
      </c>
      <c r="G69" s="112">
        <f t="shared" si="6"/>
        <v>2</v>
      </c>
      <c r="H69" s="99">
        <f>G69+'27'!H69</f>
        <v>151</v>
      </c>
      <c r="I69" s="118"/>
      <c r="J69" s="175">
        <f>H69/DAY(B2)</f>
        <v>5.3928571428571432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'27'!F70</f>
        <v>10073</v>
      </c>
      <c r="F70" s="122">
        <v>10079</v>
      </c>
      <c r="G70" s="112">
        <f t="shared" si="6"/>
        <v>6</v>
      </c>
      <c r="H70" s="99">
        <f>G70+'27'!H70</f>
        <v>252</v>
      </c>
      <c r="I70" s="118"/>
      <c r="J70" s="175">
        <f>H70/DAY(B2)</f>
        <v>9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170</v>
      </c>
      <c r="H71" s="99">
        <f>G71+'27'!H71</f>
        <v>5070</v>
      </c>
      <c r="I71" s="154"/>
      <c r="J71" s="175">
        <f>H71/DAY(B2)</f>
        <v>181.07142857142858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'27'!F74</f>
        <v>966034.24</v>
      </c>
      <c r="F74" s="117">
        <v>966325.9</v>
      </c>
      <c r="G74" s="112">
        <f t="shared" ref="G74:G78" si="7">F74-E74</f>
        <v>291.6600000000326</v>
      </c>
      <c r="H74" s="99">
        <f>G74+'27'!H74</f>
        <v>8668.0400000000373</v>
      </c>
      <c r="I74" s="154"/>
      <c r="J74" s="175">
        <f>H74/DAY(B2)</f>
        <v>309.57285714285848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'27'!F75</f>
        <v>73586.8</v>
      </c>
      <c r="F75" s="123">
        <v>73586</v>
      </c>
      <c r="G75" s="112">
        <f t="shared" si="7"/>
        <v>-0.80000000000291038</v>
      </c>
      <c r="H75" s="99">
        <f>G75+'27'!H75</f>
        <v>-0.80000000000291038</v>
      </c>
      <c r="I75" s="154"/>
      <c r="J75" s="175">
        <f>H75/DAY(B2)</f>
        <v>-2.8571428571532515E-2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'27'!F76</f>
        <v>193048</v>
      </c>
      <c r="F76" s="123">
        <v>193159</v>
      </c>
      <c r="G76" s="112">
        <f t="shared" si="7"/>
        <v>111</v>
      </c>
      <c r="H76" s="99">
        <f>G76+'27'!H76</f>
        <v>2987</v>
      </c>
      <c r="I76" s="154"/>
      <c r="J76" s="175">
        <f>H76/DAY(B2)</f>
        <v>106.67857142857143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'27'!F77</f>
        <v>51645.599999999999</v>
      </c>
      <c r="F77" s="123">
        <v>51700</v>
      </c>
      <c r="G77" s="112">
        <f t="shared" si="7"/>
        <v>54.400000000001455</v>
      </c>
      <c r="H77" s="99">
        <f>G77+'27'!H77</f>
        <v>1387</v>
      </c>
      <c r="I77" s="154"/>
      <c r="J77" s="175">
        <f>H77/DAY(B2)</f>
        <v>49.535714285714285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'27'!F78</f>
        <v>9563</v>
      </c>
      <c r="F78" s="123">
        <v>9563</v>
      </c>
      <c r="G78" s="112">
        <f t="shared" si="7"/>
        <v>0</v>
      </c>
      <c r="H78" s="99">
        <f>G78+'27'!H78</f>
        <v>-0.3999999999996362</v>
      </c>
      <c r="I78" s="118"/>
      <c r="J78" s="175">
        <f>H78/DAY(B2)</f>
        <v>-1.4285714285701292E-2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'27'!F79</f>
        <v>0</v>
      </c>
      <c r="F79" s="123"/>
      <c r="G79" s="112">
        <f>G15-SUM(G74:G78)</f>
        <v>511.13999999987573</v>
      </c>
      <c r="H79" s="99">
        <f>G79+'27'!H79</f>
        <v>15190.659999999965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967.39999999990687</v>
      </c>
      <c r="H80" s="99"/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'27'!F84</f>
        <v>42816.44</v>
      </c>
      <c r="F84" s="164">
        <v>42840</v>
      </c>
      <c r="G84" s="112">
        <f t="shared" si="8"/>
        <v>23.559999999997672</v>
      </c>
      <c r="H84" s="99">
        <f>G84+'27'!H84</f>
        <v>211</v>
      </c>
      <c r="I84" s="571"/>
      <c r="J84" s="175">
        <f>H84/DAY(B2)</f>
        <v>7.5357142857142856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406">
        <f>'27'!F85</f>
        <v>5354.41</v>
      </c>
      <c r="F85" s="164">
        <v>5354</v>
      </c>
      <c r="G85" s="236">
        <f t="shared" si="8"/>
        <v>-0.40999999999985448</v>
      </c>
      <c r="H85" s="99">
        <f>G85+'27'!H85</f>
        <v>213.8100000000004</v>
      </c>
      <c r="I85" s="571"/>
      <c r="J85" s="175">
        <f>H85/DAY(B2)</f>
        <v>7.6360714285714426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'27'!F86</f>
        <v>45921.37</v>
      </c>
      <c r="F86" s="164">
        <v>45921.37</v>
      </c>
      <c r="G86" s="112">
        <f t="shared" si="8"/>
        <v>0</v>
      </c>
      <c r="H86" s="99">
        <f>G86+'27'!H86</f>
        <v>542.37000000000262</v>
      </c>
      <c r="I86" s="571"/>
      <c r="J86" s="175">
        <f>H86/DAY(B2)</f>
        <v>19.370357142857237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'27'!F87</f>
        <v>35457.49</v>
      </c>
      <c r="F87" s="164">
        <v>35457.49</v>
      </c>
      <c r="G87" s="112">
        <f t="shared" si="8"/>
        <v>0</v>
      </c>
      <c r="H87" s="99">
        <f>G87+'27'!H87</f>
        <v>23.569999999999709</v>
      </c>
      <c r="I87" s="571">
        <f>G84+G85+G86+G87</f>
        <v>23.149999999997817</v>
      </c>
      <c r="J87" s="175">
        <f>H87/DAY(B2)</f>
        <v>0.84178571428570392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'27'!F88</f>
        <v>24335.16</v>
      </c>
      <c r="F88" s="164">
        <v>24335.16</v>
      </c>
      <c r="G88" s="112">
        <f t="shared" si="8"/>
        <v>0</v>
      </c>
      <c r="H88" s="99">
        <f>G88+'27'!H88</f>
        <v>31.700000000000728</v>
      </c>
      <c r="I88" s="571"/>
      <c r="J88" s="175">
        <f>H88/DAY(B2)</f>
        <v>1.1321428571428831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'27'!F89</f>
        <v>27770.92</v>
      </c>
      <c r="F89" s="164">
        <v>27778.67</v>
      </c>
      <c r="G89" s="112">
        <f t="shared" si="8"/>
        <v>7.75</v>
      </c>
      <c r="H89" s="99">
        <f>G89+'27'!H89</f>
        <v>212.05999999999767</v>
      </c>
      <c r="I89" s="571">
        <f>G88+G89</f>
        <v>7.75</v>
      </c>
      <c r="J89" s="175">
        <f>H89/DAY(B2)</f>
        <v>7.5735714285713458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'27'!F90</f>
        <v>72894.66</v>
      </c>
      <c r="F90" s="164">
        <v>72903.72</v>
      </c>
      <c r="G90" s="112">
        <f t="shared" si="8"/>
        <v>9.0599999999976717</v>
      </c>
      <c r="H90" s="99">
        <f>G90+'27'!H90</f>
        <v>32.059999999997672</v>
      </c>
      <c r="I90" s="571">
        <f>G90</f>
        <v>9.0599999999976717</v>
      </c>
      <c r="J90" s="175">
        <f>H90/DAY(B2)</f>
        <v>1.1449999999999168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'27'!F91</f>
        <v>4304.2299999999996</v>
      </c>
      <c r="F91" s="122">
        <v>4315.3999999999996</v>
      </c>
      <c r="G91" s="112">
        <f t="shared" si="8"/>
        <v>11.170000000000073</v>
      </c>
      <c r="H91" s="99">
        <f>G91+'27'!H91</f>
        <v>25.859999999999673</v>
      </c>
      <c r="I91" s="590"/>
      <c r="J91" s="175">
        <f>H91/DAY(B2)</f>
        <v>0.92357142857141683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'27'!F92</f>
        <v>7000.23</v>
      </c>
      <c r="F92" s="122">
        <v>7000.23</v>
      </c>
      <c r="G92" s="112">
        <f t="shared" si="8"/>
        <v>0</v>
      </c>
      <c r="H92" s="99">
        <f>G92+'27'!H92</f>
        <v>282.89999999999964</v>
      </c>
      <c r="I92" s="596">
        <f>G91+G92</f>
        <v>11.170000000000073</v>
      </c>
      <c r="J92" s="175">
        <f>H92/DAY(B2)</f>
        <v>10.103571428571415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6838.4700000000303</v>
      </c>
      <c r="H94" s="99">
        <f>G94+'27'!H94</f>
        <v>196865.71000000002</v>
      </c>
      <c r="I94" s="118"/>
      <c r="J94" s="175">
        <f>H94/DAY(B2)</f>
        <v>7030.9182142857153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0.3123016851623524</v>
      </c>
      <c r="H95" s="99">
        <f>G95+'27'!H95</f>
        <v>7.7347543324361157</v>
      </c>
      <c r="I95" s="167"/>
      <c r="J95" s="175">
        <f>H95/DAY(B2)</f>
        <v>0.27624122615843272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5701.8800000000047</v>
      </c>
      <c r="H96" s="99">
        <f>G96+'27'!H96</f>
        <v>183206.52000000002</v>
      </c>
      <c r="I96" s="118"/>
      <c r="J96" s="175">
        <f>H96/DAY(B2)</f>
        <v>6543.0900000000011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0.26039548796638828</v>
      </c>
      <c r="H97" s="99">
        <f>G97+'27'!H97</f>
        <v>7.1573928411540599</v>
      </c>
      <c r="I97" s="167"/>
      <c r="J97" s="175">
        <f>H97/DAY(B2)</f>
        <v>0.25562117289835928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3998.0499999999884</v>
      </c>
      <c r="H98" s="99">
        <f>G98+'27'!H98</f>
        <v>120992.98999999993</v>
      </c>
      <c r="I98" s="168"/>
      <c r="J98" s="175">
        <f>H98/DAY(B2)</f>
        <v>4321.1782142857119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0.18258437228844079</v>
      </c>
      <c r="H99" s="99">
        <f>G99+'27'!H99</f>
        <v>4.7504864435690362</v>
      </c>
      <c r="I99" s="168"/>
      <c r="J99" s="175">
        <f>H99/DAY(B2)</f>
        <v>0.16966023012746559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2059.320000000007</v>
      </c>
      <c r="H100" s="99">
        <f>G100+'27'!H100</f>
        <v>61832.229999999981</v>
      </c>
      <c r="I100" s="118"/>
      <c r="J100" s="175">
        <f>H100/DAY(B2)</f>
        <v>2208.2939285714278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9.4045759693108966E-2</v>
      </c>
      <c r="H101" s="99">
        <f>G101+'27'!H101</f>
        <v>2.4281241493374539</v>
      </c>
      <c r="I101" s="168"/>
      <c r="J101" s="175">
        <f>H101/DAY(B2)</f>
        <v>8.6718719619194778E-2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1756.5499999999593</v>
      </c>
      <c r="H102" s="99">
        <f>G102+'27'!H102</f>
        <v>58720.789999999979</v>
      </c>
      <c r="I102" s="168"/>
      <c r="J102" s="175">
        <f>H102/DAY(B2)</f>
        <v>2097.1710714285705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8.0218751427134277E-2</v>
      </c>
      <c r="H103" s="99">
        <f>G103+'27'!H103</f>
        <v>2.2935263424089607</v>
      </c>
      <c r="I103" s="118"/>
      <c r="J103" s="175">
        <f>H103/DAY(B2)</f>
        <v>8.1911655086034305E-2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960.28000000000611</v>
      </c>
      <c r="H104" s="99">
        <f>G104+'27'!H104</f>
        <v>29280.310000000005</v>
      </c>
      <c r="I104" s="118"/>
      <c r="J104" s="175">
        <f>H104/DAY(B2)</f>
        <v>1045.7253571428573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4.3854409279810297E-2</v>
      </c>
      <c r="H105" s="99">
        <f>G105+'27'!H105</f>
        <v>1.149485957844735</v>
      </c>
      <c r="I105" s="187"/>
      <c r="J105" s="188">
        <f>H105/DAY(B2)</f>
        <v>4.105306992302625E-2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95">
        <f>'27'!F112</f>
        <v>9216.44</v>
      </c>
      <c r="F112" s="237">
        <v>9288.15</v>
      </c>
      <c r="G112" s="112">
        <f t="shared" ref="G112:G123" si="9">F112-E112</f>
        <v>71.709999999999127</v>
      </c>
      <c r="H112" s="99">
        <f>G112+'27'!H112</f>
        <v>4486.4799999999996</v>
      </c>
      <c r="I112" s="165"/>
      <c r="J112" s="328">
        <f>H112/DAY(B2)</f>
        <v>160.23142857142855</v>
      </c>
    </row>
    <row r="113" spans="1:18" ht="29.25" customHeight="1">
      <c r="A113" s="898" t="s">
        <v>253</v>
      </c>
      <c r="B113" s="899"/>
      <c r="C113" s="900"/>
      <c r="D113" s="146" t="s">
        <v>183</v>
      </c>
      <c r="E113" s="95">
        <f>'27'!F113</f>
        <v>18807.3</v>
      </c>
      <c r="F113" s="237">
        <v>18946.7</v>
      </c>
      <c r="G113" s="112">
        <f t="shared" si="9"/>
        <v>139.40000000000146</v>
      </c>
      <c r="H113" s="99">
        <f>G113+'27'!H113</f>
        <v>3931.7000000000007</v>
      </c>
      <c r="I113" s="165"/>
      <c r="J113" s="328">
        <f>H113/DAY(B2)</f>
        <v>140.41785714285717</v>
      </c>
    </row>
    <row r="114" spans="1:18" ht="29.25" customHeight="1">
      <c r="A114" s="898" t="s">
        <v>254</v>
      </c>
      <c r="B114" s="899"/>
      <c r="C114" s="900"/>
      <c r="D114" s="146" t="s">
        <v>183</v>
      </c>
      <c r="E114" s="95">
        <f>'27'!F114</f>
        <v>27214.5</v>
      </c>
      <c r="F114" s="237">
        <v>27433.9</v>
      </c>
      <c r="G114" s="112">
        <f t="shared" si="9"/>
        <v>219.40000000000146</v>
      </c>
      <c r="H114" s="99">
        <f>G114+'27'!H114</f>
        <v>6165.9000000000015</v>
      </c>
      <c r="I114" s="165"/>
      <c r="J114" s="328">
        <f>H114/DAY(B2)</f>
        <v>220.21071428571435</v>
      </c>
    </row>
    <row r="115" spans="1:18" ht="29.25" customHeight="1">
      <c r="A115" s="898" t="s">
        <v>255</v>
      </c>
      <c r="B115" s="899"/>
      <c r="C115" s="900"/>
      <c r="D115" s="146" t="s">
        <v>183</v>
      </c>
      <c r="E115" s="95">
        <f>'27'!F115</f>
        <v>16967.5</v>
      </c>
      <c r="F115" s="237">
        <v>17106.7</v>
      </c>
      <c r="G115" s="112">
        <f t="shared" si="9"/>
        <v>139.20000000000073</v>
      </c>
      <c r="H115" s="99">
        <f>G115+'27'!H115</f>
        <v>3531.2200000000012</v>
      </c>
      <c r="I115" s="165"/>
      <c r="J115" s="328">
        <f>H115/DAY(B2)</f>
        <v>126.11500000000004</v>
      </c>
    </row>
    <row r="116" spans="1:18" ht="29.25" customHeight="1">
      <c r="A116" s="905" t="s">
        <v>96</v>
      </c>
      <c r="B116" s="906"/>
      <c r="C116" s="907"/>
      <c r="D116" s="146" t="s">
        <v>183</v>
      </c>
      <c r="E116" s="95">
        <f>'27'!F116</f>
        <v>81894.12</v>
      </c>
      <c r="F116" s="237">
        <v>82277.13</v>
      </c>
      <c r="G116" s="112">
        <f t="shared" si="9"/>
        <v>383.01000000000931</v>
      </c>
      <c r="H116" s="99">
        <f>G116+'27'!H116</f>
        <v>11785.130000000005</v>
      </c>
      <c r="I116" s="165"/>
      <c r="J116" s="328">
        <f>H116/DAY(B2)</f>
        <v>420.89750000000015</v>
      </c>
      <c r="Q116" s="898"/>
      <c r="R116" s="900"/>
    </row>
    <row r="117" spans="1:18" ht="29.25" customHeight="1">
      <c r="A117" s="905" t="s">
        <v>184</v>
      </c>
      <c r="B117" s="906"/>
      <c r="C117" s="907"/>
      <c r="D117" s="146" t="s">
        <v>183</v>
      </c>
      <c r="E117" s="95">
        <f>'27'!F117</f>
        <v>47618.35</v>
      </c>
      <c r="F117" s="237">
        <v>47909.72</v>
      </c>
      <c r="G117" s="112">
        <f t="shared" si="9"/>
        <v>291.37000000000262</v>
      </c>
      <c r="H117" s="99">
        <f>G117+'27'!H117</f>
        <v>6987.7200000000012</v>
      </c>
      <c r="I117" s="165"/>
      <c r="J117" s="328">
        <f>H117/DAY(B2)</f>
        <v>249.56142857142862</v>
      </c>
      <c r="Q117" s="898"/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5">
        <f>'27'!F118</f>
        <v>80870</v>
      </c>
      <c r="F118" s="417">
        <v>81378.14</v>
      </c>
      <c r="G118" s="112">
        <f t="shared" si="9"/>
        <v>508.13999999999942</v>
      </c>
      <c r="H118" s="99">
        <f>G118+'27'!H118</f>
        <v>16706.14</v>
      </c>
      <c r="I118" s="165"/>
      <c r="J118" s="328">
        <f>H118/DAY(B2)</f>
        <v>596.64785714285711</v>
      </c>
      <c r="Q118" s="898"/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5">
        <f>'27'!F119</f>
        <v>42008.800000000003</v>
      </c>
      <c r="F119" s="237">
        <v>42029</v>
      </c>
      <c r="G119" s="112">
        <f t="shared" si="9"/>
        <v>20.19999999999709</v>
      </c>
      <c r="H119" s="99">
        <f>G119+'27'!H119</f>
        <v>4580</v>
      </c>
      <c r="I119" s="165"/>
      <c r="J119" s="328">
        <f>H119/DAY(B2)</f>
        <v>163.57142857142858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'27'!F120</f>
        <v>57427.7</v>
      </c>
      <c r="F120" s="237">
        <v>57827.8</v>
      </c>
      <c r="G120" s="112">
        <f t="shared" si="9"/>
        <v>400.10000000000582</v>
      </c>
      <c r="H120" s="99">
        <f>G120+'27'!H120</f>
        <v>11560.800000000003</v>
      </c>
      <c r="I120" s="165"/>
      <c r="J120" s="328">
        <f>H120/DAY(B2)</f>
        <v>412.88571428571441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'27'!F121</f>
        <v>66033.070000000007</v>
      </c>
      <c r="F121" s="237">
        <v>66466.91</v>
      </c>
      <c r="G121" s="112">
        <f t="shared" si="9"/>
        <v>433.83999999999651</v>
      </c>
      <c r="H121" s="99">
        <f>G121+'27'!H121</f>
        <v>12923.910000000003</v>
      </c>
      <c r="I121" s="165"/>
      <c r="J121" s="328">
        <f>H121/DAY(B2)</f>
        <v>461.56821428571442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'27'!F122</f>
        <v>37316.129999999997</v>
      </c>
      <c r="F122" s="237">
        <v>37618.6</v>
      </c>
      <c r="G122" s="112">
        <f t="shared" si="9"/>
        <v>302.47000000000116</v>
      </c>
      <c r="H122" s="99">
        <f>G122+'27'!H122</f>
        <v>8944.5999999999985</v>
      </c>
      <c r="I122" s="165"/>
      <c r="J122" s="328">
        <f>H122/DAY(B2)</f>
        <v>319.44999999999993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'27'!F123</f>
        <v>39021.18</v>
      </c>
      <c r="F123" s="237">
        <v>39361</v>
      </c>
      <c r="G123" s="112">
        <f t="shared" si="9"/>
        <v>339.81999999999971</v>
      </c>
      <c r="H123" s="99">
        <f>G123+'27'!H123</f>
        <v>9173</v>
      </c>
      <c r="I123" s="165"/>
      <c r="J123" s="328">
        <f>H123/DAY(B2)</f>
        <v>327.60714285714283</v>
      </c>
    </row>
    <row r="124" spans="1:18" ht="29.25" customHeight="1">
      <c r="A124" s="902"/>
      <c r="B124" s="903"/>
      <c r="C124" s="904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5.5">
      <c r="A125" s="880" t="s">
        <v>196</v>
      </c>
      <c r="B125" s="881"/>
      <c r="C125" s="245"/>
      <c r="D125" s="307"/>
      <c r="E125" s="308"/>
      <c r="F125" s="308"/>
      <c r="G125" s="309">
        <f>SUM(G112:G124)</f>
        <v>3248.6600000000144</v>
      </c>
      <c r="H125" s="156"/>
      <c r="I125" s="327">
        <f>G125-(G39+G53)</f>
        <v>-749.38999999997395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898" t="s">
        <v>318</v>
      </c>
      <c r="B128" s="899"/>
      <c r="C128" s="900"/>
      <c r="D128" s="151" t="s">
        <v>183</v>
      </c>
      <c r="E128" s="95">
        <f>'27'!F128</f>
        <v>140245.79</v>
      </c>
      <c r="F128" s="165">
        <v>140639.59</v>
      </c>
      <c r="G128" s="112">
        <f t="shared" ref="G128:G134" si="10">F128-E128</f>
        <v>393.79999999998836</v>
      </c>
      <c r="H128" s="99">
        <f>G128+'27'!H128</f>
        <v>12995.589999999997</v>
      </c>
      <c r="I128" s="165"/>
      <c r="J128" s="328">
        <f>H128/DAY(B2)</f>
        <v>464.12821428571414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'27'!F129</f>
        <v>77819.87</v>
      </c>
      <c r="F129" s="165">
        <v>77993</v>
      </c>
      <c r="G129" s="112">
        <f t="shared" si="10"/>
        <v>173.13000000000466</v>
      </c>
      <c r="H129" s="99">
        <f>G129+'27'!H129</f>
        <v>5490</v>
      </c>
      <c r="I129" s="165"/>
      <c r="J129" s="328">
        <f>H129/DAY(B2)</f>
        <v>196.07142857142858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'27'!F130</f>
        <v>183252.49</v>
      </c>
      <c r="F130" s="165">
        <v>183934.49</v>
      </c>
      <c r="G130" s="112">
        <f t="shared" si="10"/>
        <v>682</v>
      </c>
      <c r="H130" s="99">
        <f>G130+'27'!H130</f>
        <v>18798.969999999972</v>
      </c>
      <c r="I130" s="165"/>
      <c r="J130" s="328">
        <f>H130/DAY(B2)</f>
        <v>671.39178571428477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'27'!F131</f>
        <v>53443.37</v>
      </c>
      <c r="F131" s="165">
        <v>53555.03</v>
      </c>
      <c r="G131" s="112">
        <f t="shared" si="10"/>
        <v>111.65999999999622</v>
      </c>
      <c r="H131" s="99">
        <f>G131+'27'!H131</f>
        <v>5106.0299999999988</v>
      </c>
      <c r="I131" s="165"/>
      <c r="J131" s="328">
        <f>H131/DAY(B2)</f>
        <v>182.35821428571424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'27'!F132</f>
        <v>139287</v>
      </c>
      <c r="F132" s="165">
        <v>139703.9</v>
      </c>
      <c r="G132" s="112">
        <f t="shared" si="10"/>
        <v>416.89999999999418</v>
      </c>
      <c r="H132" s="99">
        <f>G132+'27'!H132</f>
        <v>11529.899999999994</v>
      </c>
      <c r="I132" s="165"/>
      <c r="J132" s="328">
        <f>H132/DAY(B2)</f>
        <v>411.78214285714267</v>
      </c>
    </row>
    <row r="133" spans="1:15" ht="25.5">
      <c r="A133" s="898" t="s">
        <v>359</v>
      </c>
      <c r="B133" s="899"/>
      <c r="C133" s="900"/>
      <c r="D133" s="151" t="s">
        <v>183</v>
      </c>
      <c r="E133" s="95">
        <f>'27'!F133</f>
        <v>237404.73</v>
      </c>
      <c r="F133" s="165">
        <v>238293.91</v>
      </c>
      <c r="G133" s="112">
        <f t="shared" si="10"/>
        <v>889.17999999999302</v>
      </c>
      <c r="H133" s="99">
        <f>G133+'27'!H133</f>
        <v>15889.339999999997</v>
      </c>
      <c r="I133" s="165"/>
      <c r="J133" s="328">
        <f>H133/DAY(B2)</f>
        <v>567.47642857142841</v>
      </c>
    </row>
    <row r="134" spans="1:15" ht="25.5">
      <c r="A134" s="898" t="s">
        <v>340</v>
      </c>
      <c r="B134" s="899"/>
      <c r="C134" s="900"/>
      <c r="D134" s="151" t="s">
        <v>183</v>
      </c>
      <c r="E134" s="95">
        <f>'27'!F134</f>
        <v>55151.07</v>
      </c>
      <c r="F134" s="158">
        <v>55401.760000000002</v>
      </c>
      <c r="G134" s="112">
        <f t="shared" si="10"/>
        <v>250.69000000000233</v>
      </c>
      <c r="H134" s="99">
        <f>G134+'27'!H134</f>
        <v>6366.760000000002</v>
      </c>
      <c r="I134" s="165"/>
      <c r="J134" s="328">
        <f>H134/DAY(B2)</f>
        <v>227.3842857142858</v>
      </c>
    </row>
    <row r="135" spans="1:15" ht="25.5">
      <c r="A135" s="880" t="s">
        <v>196</v>
      </c>
      <c r="B135" s="881"/>
      <c r="C135" s="331"/>
      <c r="D135" s="151"/>
      <c r="E135" s="95"/>
      <c r="F135" s="165"/>
      <c r="G135" s="112">
        <f>SUM(G128:G134)</f>
        <v>2917.3599999999788</v>
      </c>
      <c r="H135" s="99">
        <f>G135+'23'!H135</f>
        <v>27592.329999999965</v>
      </c>
      <c r="I135" s="327">
        <f>G135-(G35+G49)</f>
        <v>-860.6800000000585</v>
      </c>
      <c r="J135" s="328">
        <f>H135/DAY(B2)</f>
        <v>985.44035714285587</v>
      </c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'27'!F138</f>
        <v>894715</v>
      </c>
      <c r="F138" s="147">
        <v>894733</v>
      </c>
      <c r="G138" s="112">
        <f t="shared" ref="G138:G152" si="11">F138-E138</f>
        <v>18</v>
      </c>
      <c r="H138" s="99">
        <f>G138+'27'!H138</f>
        <v>3622</v>
      </c>
      <c r="I138" s="118"/>
      <c r="J138" s="328">
        <f>H138/DAY(B2)</f>
        <v>129.35714285714286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'27'!F139</f>
        <v>913017</v>
      </c>
      <c r="F139" s="148">
        <v>913159</v>
      </c>
      <c r="G139" s="112">
        <f t="shared" si="11"/>
        <v>142</v>
      </c>
      <c r="H139" s="99">
        <f>G139+'27'!H139</f>
        <v>4264</v>
      </c>
      <c r="I139" s="118"/>
      <c r="J139" s="328">
        <f>H139/DAY(B2)</f>
        <v>152.28571428571428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'27'!F140</f>
        <v>1909.66</v>
      </c>
      <c r="F140" s="149">
        <v>1923.1</v>
      </c>
      <c r="G140" s="112">
        <f t="shared" si="11"/>
        <v>13.439999999999827</v>
      </c>
      <c r="H140" s="99">
        <f>G140+'27'!H140</f>
        <v>410.09999999999991</v>
      </c>
      <c r="I140" s="118"/>
      <c r="J140" s="328">
        <f>H140/DAY(B2)</f>
        <v>14.646428571428569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'27'!F141</f>
        <v>95975.9</v>
      </c>
      <c r="F141" s="149">
        <v>96172.1</v>
      </c>
      <c r="G141" s="112">
        <f t="shared" si="11"/>
        <v>196.20000000001164</v>
      </c>
      <c r="H141" s="99">
        <f>G141+'27'!H141</f>
        <v>5720.1000000000058</v>
      </c>
      <c r="I141" s="118"/>
      <c r="J141" s="328">
        <f>H141/DAY(B2)</f>
        <v>204.28928571428591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'27'!F142</f>
        <v>38876.5</v>
      </c>
      <c r="F142" s="148">
        <v>38949.9</v>
      </c>
      <c r="G142" s="112">
        <f t="shared" si="11"/>
        <v>73.400000000001455</v>
      </c>
      <c r="H142" s="99">
        <f>G142+'27'!H142</f>
        <v>2288.9000000000015</v>
      </c>
      <c r="I142" s="140"/>
      <c r="J142" s="328">
        <f>H142/DAY(B2)</f>
        <v>81.746428571428623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'27'!F143</f>
        <v>9769.9</v>
      </c>
      <c r="F143" s="149">
        <v>9796.39</v>
      </c>
      <c r="G143" s="112">
        <f t="shared" si="11"/>
        <v>26.489999999999782</v>
      </c>
      <c r="H143" s="99">
        <f>G143+'27'!H143</f>
        <v>745.38999999999942</v>
      </c>
      <c r="I143" s="140"/>
      <c r="J143" s="328">
        <f>H143/DAY(B2)</f>
        <v>26.621071428571408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'27'!F144</f>
        <v>925754</v>
      </c>
      <c r="F144" s="148">
        <v>925977</v>
      </c>
      <c r="G144" s="112">
        <f t="shared" si="11"/>
        <v>223</v>
      </c>
      <c r="H144" s="99">
        <f>G144+'27'!H144</f>
        <v>6140</v>
      </c>
      <c r="I144" s="140"/>
      <c r="J144" s="328">
        <f>H144/DAY(B2)</f>
        <v>219.28571428571428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'27'!F145</f>
        <v>6847.19</v>
      </c>
      <c r="F145" s="149">
        <v>6944.45</v>
      </c>
      <c r="G145" s="112">
        <f t="shared" si="11"/>
        <v>97.260000000000218</v>
      </c>
      <c r="H145" s="99">
        <f>G145+'27'!H145</f>
        <v>1137.4499999999998</v>
      </c>
      <c r="I145" s="140"/>
      <c r="J145" s="328">
        <f>H145/DAY(B2)</f>
        <v>40.623214285714276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'27'!F146</f>
        <v>782608</v>
      </c>
      <c r="F146" s="148">
        <v>782666</v>
      </c>
      <c r="G146" s="112">
        <f t="shared" si="11"/>
        <v>58</v>
      </c>
      <c r="H146" s="99">
        <f>G146+'27'!H146</f>
        <v>1866</v>
      </c>
      <c r="I146" s="140"/>
      <c r="J146" s="328">
        <f>H146/DAY(B2)</f>
        <v>66.642857142857139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'27'!F147</f>
        <v>710180.32</v>
      </c>
      <c r="F147" s="758">
        <v>710553.68</v>
      </c>
      <c r="G147" s="112">
        <f t="shared" si="11"/>
        <v>373.36000000010245</v>
      </c>
      <c r="H147" s="99">
        <f>G147+'27'!H147</f>
        <v>10784.680000000051</v>
      </c>
      <c r="I147" s="140"/>
      <c r="J147" s="328">
        <f>H147/DAY(B2)</f>
        <v>385.16714285714471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'27'!F148</f>
        <v>756856.6</v>
      </c>
      <c r="F148" s="150">
        <v>757152.8</v>
      </c>
      <c r="G148" s="112">
        <f t="shared" si="11"/>
        <v>296.20000000006985</v>
      </c>
      <c r="H148" s="99">
        <f>G148+'27'!H148</f>
        <v>8622.8000000000466</v>
      </c>
      <c r="I148" s="124"/>
      <c r="J148" s="328">
        <f>H148/DAY(B2)</f>
        <v>307.9571428571445</v>
      </c>
    </row>
    <row r="149" spans="1:10" ht="25.5">
      <c r="A149" s="877" t="s">
        <v>336</v>
      </c>
      <c r="B149" s="878"/>
      <c r="C149" s="879"/>
      <c r="D149" s="227" t="s">
        <v>130</v>
      </c>
      <c r="E149" s="95">
        <f>'27'!F149</f>
        <v>144779.15</v>
      </c>
      <c r="F149" s="146">
        <v>145161.99</v>
      </c>
      <c r="G149" s="112">
        <f t="shared" si="11"/>
        <v>382.83999999999651</v>
      </c>
      <c r="H149" s="99">
        <f>G149+'27'!H149</f>
        <v>12727.989999999991</v>
      </c>
      <c r="I149" s="119"/>
      <c r="J149" s="328">
        <f>H149/DAY(B2)</f>
        <v>454.57107142857109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'27'!F150</f>
        <v>56580.6</v>
      </c>
      <c r="F150" s="233">
        <v>56795.55</v>
      </c>
      <c r="G150" s="112">
        <f t="shared" si="11"/>
        <v>214.95000000000437</v>
      </c>
      <c r="H150" s="99">
        <f>G150+'27'!H150</f>
        <v>6180.5500000000029</v>
      </c>
      <c r="I150" s="119"/>
      <c r="J150" s="328">
        <f>H150/DAY(B2)</f>
        <v>220.73392857142866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'27'!F151</f>
        <v>142528</v>
      </c>
      <c r="F151" s="233">
        <v>142771</v>
      </c>
      <c r="G151" s="112">
        <f t="shared" si="11"/>
        <v>243</v>
      </c>
      <c r="H151" s="99">
        <f>G151+'27'!H151</f>
        <v>7322</v>
      </c>
      <c r="I151" s="119"/>
      <c r="J151" s="328">
        <f>H151/DAY(B2)</f>
        <v>261.5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'27'!F152</f>
        <v>26380.47</v>
      </c>
      <c r="F152" s="233">
        <v>26503.855</v>
      </c>
      <c r="G152" s="112">
        <f t="shared" si="11"/>
        <v>123.3849999999984</v>
      </c>
      <c r="H152" s="99">
        <f>G152+'27'!H152</f>
        <v>3349.8549999999996</v>
      </c>
      <c r="I152" s="119"/>
      <c r="J152" s="328">
        <f>H152/DAY(B2)</f>
        <v>119.63767857142855</v>
      </c>
    </row>
    <row r="153" spans="1:10" ht="25.5">
      <c r="A153" s="880" t="s">
        <v>196</v>
      </c>
      <c r="B153" s="881"/>
      <c r="C153" s="365"/>
      <c r="D153" s="358"/>
      <c r="E153" s="360"/>
      <c r="F153" s="361"/>
      <c r="G153" s="362">
        <f>SUM(G138:G152)</f>
        <v>2481.5250000001843</v>
      </c>
      <c r="H153" s="363"/>
      <c r="I153" s="119">
        <f>G153-(G38+G52)</f>
        <v>422.20500000017728</v>
      </c>
      <c r="J153" s="366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525">
        <f>'27'!F155</f>
        <v>165121</v>
      </c>
      <c r="F155" s="759">
        <v>165613.18</v>
      </c>
      <c r="G155" s="112">
        <f t="shared" ref="G155:G158" si="12">F155-E155</f>
        <v>492.17999999999302</v>
      </c>
      <c r="H155" s="99">
        <f>G155+'27'!H155</f>
        <v>17464.179999999993</v>
      </c>
      <c r="I155" s="364"/>
      <c r="J155" s="328">
        <f>H155/DAY(B2)</f>
        <v>623.72071428571405</v>
      </c>
    </row>
    <row r="156" spans="1:10" ht="25.5">
      <c r="A156" s="876" t="s">
        <v>347</v>
      </c>
      <c r="B156" s="876"/>
      <c r="C156" s="876"/>
      <c r="D156" s="117" t="s">
        <v>130</v>
      </c>
      <c r="E156" s="95">
        <f>'27'!F156</f>
        <v>17380</v>
      </c>
      <c r="F156" s="157">
        <v>17564</v>
      </c>
      <c r="G156" s="112">
        <f t="shared" si="12"/>
        <v>184</v>
      </c>
      <c r="H156" s="99">
        <f>G156+'27'!H156</f>
        <v>3028</v>
      </c>
      <c r="I156" s="165"/>
      <c r="J156" s="328">
        <f>H156/DAY(B2)</f>
        <v>108.14285714285714</v>
      </c>
    </row>
    <row r="157" spans="1:10" ht="25.5">
      <c r="A157" s="877" t="s">
        <v>360</v>
      </c>
      <c r="B157" s="878"/>
      <c r="C157" s="879"/>
      <c r="D157" s="117" t="s">
        <v>130</v>
      </c>
      <c r="E157" s="95">
        <f>'27'!F157</f>
        <v>31058</v>
      </c>
      <c r="F157" s="157">
        <v>31174.97</v>
      </c>
      <c r="G157" s="112">
        <f t="shared" si="12"/>
        <v>116.97000000000116</v>
      </c>
      <c r="H157" s="99"/>
      <c r="I157" s="165"/>
      <c r="J157" s="328"/>
    </row>
    <row r="158" spans="1:10" ht="25.5">
      <c r="A158" s="877" t="s">
        <v>361</v>
      </c>
      <c r="B158" s="878"/>
      <c r="C158" s="879"/>
      <c r="D158" s="117" t="s">
        <v>130</v>
      </c>
      <c r="E158" s="95">
        <f>'27'!F158</f>
        <v>306.3</v>
      </c>
      <c r="F158" s="155">
        <v>313.8</v>
      </c>
      <c r="G158" s="112">
        <f t="shared" si="12"/>
        <v>7.5</v>
      </c>
      <c r="H158" s="99"/>
      <c r="I158" s="165"/>
      <c r="J158" s="328"/>
    </row>
    <row r="159" spans="1:10" ht="25.5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'27'!F161</f>
        <v>481684.04</v>
      </c>
      <c r="F161" s="235">
        <v>481722.4</v>
      </c>
      <c r="G161" s="238">
        <f t="shared" ref="G161:G165" si="13">F161-E161</f>
        <v>38.360000000044238</v>
      </c>
      <c r="H161" s="99">
        <f>G161+'27'!H161</f>
        <v>675.40000000002328</v>
      </c>
      <c r="I161" s="236"/>
      <c r="J161" s="239">
        <f>H161/DAY(B2)</f>
        <v>24.121428571429401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'27'!F162</f>
        <v>95993.1</v>
      </c>
      <c r="F162" s="235">
        <v>96010.4</v>
      </c>
      <c r="G162" s="238">
        <f t="shared" si="13"/>
        <v>17.299999999988358</v>
      </c>
      <c r="H162" s="99">
        <f>G162+'27'!H162</f>
        <v>1082.3999999999942</v>
      </c>
      <c r="I162" s="236"/>
      <c r="J162" s="239">
        <f>H162/DAY(B2)</f>
        <v>38.657142857142652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'27'!F163</f>
        <v>9685.99</v>
      </c>
      <c r="F163" s="235">
        <v>9736.9</v>
      </c>
      <c r="G163" s="238">
        <f t="shared" si="13"/>
        <v>50.909999999999854</v>
      </c>
      <c r="H163" s="99">
        <f>G163+'27'!H163</f>
        <v>3235.8999999999996</v>
      </c>
      <c r="I163" s="236"/>
      <c r="J163" s="239">
        <f>H163/DAY(B2)</f>
        <v>115.56785714285714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'27'!F164</f>
        <v>6395.3</v>
      </c>
      <c r="F164" s="235">
        <v>6401.1</v>
      </c>
      <c r="G164" s="238">
        <f t="shared" si="13"/>
        <v>5.8000000000001819</v>
      </c>
      <c r="H164" s="99">
        <f>G164+'27'!H164</f>
        <v>121.10000000000036</v>
      </c>
      <c r="I164" s="236"/>
      <c r="J164" s="239">
        <f>H164/DAY(B2)</f>
        <v>4.3250000000000126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'27'!F165</f>
        <v>31843.46</v>
      </c>
      <c r="F165" s="235">
        <v>31848.9</v>
      </c>
      <c r="G165" s="238">
        <f t="shared" si="13"/>
        <v>5.4400000000023283</v>
      </c>
      <c r="H165" s="99">
        <f>G165+'27'!H165</f>
        <v>214.90000000000146</v>
      </c>
      <c r="I165" s="236"/>
      <c r="J165" s="239">
        <f>H165/DAY(B2)</f>
        <v>7.6750000000000522</v>
      </c>
    </row>
    <row r="166" spans="1:10" ht="26.25">
      <c r="A166" s="885"/>
      <c r="B166" s="885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885"/>
      <c r="B167" s="885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885"/>
      <c r="B168" s="885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'27'!F173</f>
        <v>8576</v>
      </c>
      <c r="F173" s="155">
        <v>8576</v>
      </c>
      <c r="G173" s="155">
        <f>F173-E173</f>
        <v>0</v>
      </c>
      <c r="H173" s="99">
        <f>G173+'27'!H173</f>
        <v>53</v>
      </c>
      <c r="I173" s="155"/>
      <c r="J173" s="178">
        <f>H173/DAY(B2)</f>
        <v>1.8928571428571428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'27'!F174</f>
        <v>41561</v>
      </c>
      <c r="F174" s="157">
        <v>41573</v>
      </c>
      <c r="G174" s="155">
        <f t="shared" ref="G174:G175" si="14">F174-E174</f>
        <v>12</v>
      </c>
      <c r="H174" s="99">
        <f>G174+'27'!H174</f>
        <v>369</v>
      </c>
      <c r="I174" s="155"/>
      <c r="J174" s="178">
        <f>H174/DAY(B2)</f>
        <v>13.178571428571429</v>
      </c>
    </row>
    <row r="175" spans="1:10" ht="25.5">
      <c r="A175" s="891" t="s">
        <v>76</v>
      </c>
      <c r="B175" s="931"/>
      <c r="C175" s="892"/>
      <c r="D175" s="228" t="s">
        <v>142</v>
      </c>
      <c r="E175" s="95">
        <f>'27'!F175</f>
        <v>24329</v>
      </c>
      <c r="F175" s="155">
        <v>24338</v>
      </c>
      <c r="G175" s="155">
        <f t="shared" si="14"/>
        <v>9</v>
      </c>
      <c r="H175" s="99">
        <f>G175+'27'!H175</f>
        <v>307</v>
      </c>
      <c r="I175" s="155"/>
      <c r="J175" s="178">
        <f>H175/DAY(B2)</f>
        <v>10.964285714285714</v>
      </c>
    </row>
    <row r="176" spans="1:10" ht="25.5">
      <c r="A176" s="880" t="s">
        <v>196</v>
      </c>
      <c r="B176" s="881"/>
      <c r="C176" s="401"/>
      <c r="D176" s="228" t="s">
        <v>142</v>
      </c>
      <c r="E176" s="95"/>
      <c r="F176" s="155"/>
      <c r="G176" s="155">
        <f>SUM(G173:G175)</f>
        <v>21</v>
      </c>
      <c r="H176" s="99">
        <f>G176+'27'!H176</f>
        <v>729</v>
      </c>
      <c r="I176" s="155"/>
      <c r="J176" s="178">
        <f>H176/DAY(B2)</f>
        <v>26.035714285714285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'27'!F178</f>
        <v>99785</v>
      </c>
      <c r="F178" s="155">
        <v>99859</v>
      </c>
      <c r="G178" s="155">
        <f>F178-E178</f>
        <v>74</v>
      </c>
      <c r="H178" s="99">
        <f>G178+'27'!H178</f>
        <v>2146</v>
      </c>
      <c r="I178" s="155"/>
      <c r="J178" s="178">
        <f>H178/DAY(B2)</f>
        <v>76.642857142857139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'27'!F179</f>
        <v>37279</v>
      </c>
      <c r="F179" s="155">
        <v>37279</v>
      </c>
      <c r="G179" s="155">
        <f t="shared" ref="G179:G180" si="15">F179-E179</f>
        <v>0</v>
      </c>
      <c r="H179" s="99">
        <f>G179+'27'!H179</f>
        <v>67</v>
      </c>
      <c r="I179" s="155"/>
      <c r="J179" s="178">
        <f>H179/DAY(B2)</f>
        <v>2.3928571428571428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'27'!F180</f>
        <v>7184</v>
      </c>
      <c r="F180" s="155">
        <v>7187</v>
      </c>
      <c r="G180" s="155">
        <f t="shared" si="15"/>
        <v>3</v>
      </c>
      <c r="H180" s="99">
        <f>G180+'27'!H180</f>
        <v>198</v>
      </c>
      <c r="I180" s="155"/>
      <c r="J180" s="178">
        <f>H180/DAY(B2)</f>
        <v>7.0714285714285712</v>
      </c>
    </row>
    <row r="181" spans="1:10" ht="25.5">
      <c r="A181" s="893" t="s">
        <v>108</v>
      </c>
      <c r="B181" s="894"/>
      <c r="C181" s="401"/>
      <c r="D181" s="228" t="s">
        <v>142</v>
      </c>
      <c r="E181" s="95"/>
      <c r="F181" s="155"/>
      <c r="G181" s="155">
        <f>SUM(G178:G180)</f>
        <v>77</v>
      </c>
      <c r="H181" s="99">
        <f>G181+'27'!H181</f>
        <v>2411</v>
      </c>
      <c r="I181" s="155"/>
      <c r="J181" s="178">
        <f>H181/DAY(B2)</f>
        <v>86.107142857142861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'27'!F183</f>
        <v>17663</v>
      </c>
      <c r="F183" s="157">
        <v>17667</v>
      </c>
      <c r="G183" s="157">
        <f>F183-E183</f>
        <v>4</v>
      </c>
      <c r="H183" s="99">
        <f>G183+'27'!H183</f>
        <v>194</v>
      </c>
      <c r="I183" s="155"/>
      <c r="J183" s="178">
        <f>H183/DAY(B2)</f>
        <v>6.9285714285714288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'27'!F184</f>
        <v>12134</v>
      </c>
      <c r="F184" s="157">
        <v>12139</v>
      </c>
      <c r="G184" s="157">
        <f t="shared" ref="G184:G185" si="16">F184-E184</f>
        <v>5</v>
      </c>
      <c r="H184" s="99">
        <f>G184+'27'!H184</f>
        <v>204</v>
      </c>
      <c r="I184" s="155"/>
      <c r="J184" s="178">
        <f>H184/DAY(B2)</f>
        <v>7.2857142857142856</v>
      </c>
    </row>
    <row r="185" spans="1:10" ht="25.5">
      <c r="A185" s="891" t="s">
        <v>216</v>
      </c>
      <c r="B185" s="892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5.5">
      <c r="A186" s="880" t="s">
        <v>196</v>
      </c>
      <c r="B186" s="881"/>
      <c r="C186" s="400"/>
      <c r="D186" s="228" t="s">
        <v>142</v>
      </c>
      <c r="E186" s="95"/>
      <c r="F186" s="157"/>
      <c r="G186" s="157">
        <f>SUM(G183:G185)</f>
        <v>9</v>
      </c>
      <c r="H186" s="99">
        <f>G186+'27'!H186</f>
        <v>398</v>
      </c>
      <c r="I186" s="157"/>
      <c r="J186" s="178">
        <f>H186/DAY(B2)</f>
        <v>14.214285714285714</v>
      </c>
    </row>
    <row r="187" spans="1:10" ht="25.5">
      <c r="A187" s="882" t="s">
        <v>217</v>
      </c>
      <c r="B187" s="883"/>
      <c r="C187" s="333"/>
      <c r="D187" s="230" t="s">
        <v>142</v>
      </c>
      <c r="E187" s="95">
        <f>'27'!F187</f>
        <v>0</v>
      </c>
      <c r="F187" s="159"/>
      <c r="G187" s="378">
        <f>G62+G19</f>
        <v>139</v>
      </c>
      <c r="H187" s="99">
        <f>G187+'27'!H187</f>
        <v>4392</v>
      </c>
      <c r="I187" s="158"/>
      <c r="J187" s="179">
        <f>H187/DAY(B2)</f>
        <v>156.85714285714286</v>
      </c>
    </row>
    <row r="188" spans="1:10" ht="25.5">
      <c r="A188" s="882" t="s">
        <v>218</v>
      </c>
      <c r="B188" s="883"/>
      <c r="C188" s="333"/>
      <c r="D188" s="230" t="s">
        <v>142</v>
      </c>
      <c r="E188" s="95">
        <f>'27'!F188</f>
        <v>0</v>
      </c>
      <c r="F188" s="159"/>
      <c r="G188" s="378">
        <f>G65+G66+G67+G69+G70</f>
        <v>140</v>
      </c>
      <c r="H188" s="99">
        <f>G188+'27'!H188</f>
        <v>2117</v>
      </c>
      <c r="I188" s="158"/>
      <c r="J188" s="179">
        <f>H188/DAY(B2)</f>
        <v>75.607142857142861</v>
      </c>
    </row>
    <row r="189" spans="1:10" ht="25.5">
      <c r="A189" s="882" t="s">
        <v>219</v>
      </c>
      <c r="B189" s="883"/>
      <c r="C189" s="333"/>
      <c r="D189" s="230" t="s">
        <v>142</v>
      </c>
      <c r="E189" s="95">
        <f>'27'!F189</f>
        <v>0</v>
      </c>
      <c r="F189" s="157"/>
      <c r="G189" s="377">
        <f>G181</f>
        <v>77</v>
      </c>
      <c r="H189" s="99">
        <f>G189+'27'!H189</f>
        <v>902</v>
      </c>
      <c r="I189" s="158"/>
      <c r="J189" s="179">
        <f>H189/DAY(B2)</f>
        <v>32.214285714285715</v>
      </c>
    </row>
    <row r="190" spans="1:10" ht="25.5">
      <c r="A190" s="889"/>
      <c r="B190" s="89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zoomScale="55" zoomScaleNormal="78" zoomScaleSheetLayoutView="55" workbookViewId="0">
      <selection activeCell="F87" sqref="F8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377</v>
      </c>
      <c r="B2" s="262">
        <v>44802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50961.5</v>
      </c>
      <c r="F7" s="95">
        <v>74554</v>
      </c>
      <c r="G7" s="112">
        <f>F7-E7</f>
        <v>23592.5</v>
      </c>
      <c r="H7" s="99">
        <f>G7+'28'!H7</f>
        <v>738087.5</v>
      </c>
      <c r="I7" s="113">
        <f>'1'!I7</f>
        <v>12000</v>
      </c>
      <c r="J7" s="175">
        <f>H7/DAY(B2)</f>
        <v>25451.293103448275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209899</v>
      </c>
      <c r="F8" s="95">
        <v>233624</v>
      </c>
      <c r="G8" s="115">
        <f>F8-E8</f>
        <v>23725</v>
      </c>
      <c r="H8" s="99">
        <f>G8+'28'!H8</f>
        <v>745227.7</v>
      </c>
      <c r="I8" s="116"/>
      <c r="J8" s="175">
        <f>H8/DAY(B2)</f>
        <v>25697.506896551724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3463939.5</v>
      </c>
      <c r="F9" s="469">
        <v>3471817</v>
      </c>
      <c r="G9" s="112">
        <f>F9-E9</f>
        <v>7877.5</v>
      </c>
      <c r="H9" s="99">
        <f>G9+'28'!H9</f>
        <v>192751</v>
      </c>
      <c r="I9" s="124">
        <f>I7-J7</f>
        <v>-13451.293103448275</v>
      </c>
      <c r="J9" s="175">
        <f>H9/DAY(B2)</f>
        <v>6646.5862068965516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2176934.2999999998</v>
      </c>
      <c r="F10" s="353">
        <v>2191977</v>
      </c>
      <c r="G10" s="112">
        <f t="shared" ref="G10:G12" si="0">F10-E10</f>
        <v>15042.700000000186</v>
      </c>
      <c r="H10" s="99">
        <f>G10+'28'!H10</f>
        <v>524819</v>
      </c>
      <c r="I10" s="282"/>
      <c r="J10" s="175">
        <f>H10/DAY(B2)</f>
        <v>18097.206896551725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37560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40380</v>
      </c>
      <c r="F12" s="117">
        <v>40380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22920.200000000186</v>
      </c>
      <c r="H13" s="99">
        <f>G13+'28'!H13</f>
        <v>718904.59999999986</v>
      </c>
      <c r="I13" s="120">
        <f>G7-G13</f>
        <v>672.29999999981374</v>
      </c>
      <c r="J13" s="175">
        <f>H13/DAY(B2)</f>
        <v>24789.813793103443</v>
      </c>
      <c r="K13" s="79"/>
      <c r="L13" s="66"/>
      <c r="N13" s="87"/>
      <c r="O13" s="71"/>
    </row>
    <row r="14" spans="1:15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2129099.5</v>
      </c>
      <c r="F15" s="469">
        <v>2130054</v>
      </c>
      <c r="G15" s="112">
        <f>(F15-E15)</f>
        <v>954.5</v>
      </c>
      <c r="H15" s="99">
        <f>G15+'28'!H15</f>
        <v>29186</v>
      </c>
      <c r="I15" s="113">
        <f>'1'!I15</f>
        <v>800</v>
      </c>
      <c r="J15" s="175">
        <f>H15/DAY(B2)</f>
        <v>1006.4137931034483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-206.41379310344826</v>
      </c>
      <c r="J16" s="176"/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'28'!F18</f>
        <v>19</v>
      </c>
      <c r="F18" s="122">
        <v>17</v>
      </c>
      <c r="G18" s="119">
        <f>F18*10</f>
        <v>170</v>
      </c>
      <c r="H18" s="99">
        <f>G18+'28'!H18</f>
        <v>4710</v>
      </c>
      <c r="I18" s="113">
        <f>'1'!I18</f>
        <v>65</v>
      </c>
      <c r="J18" s="175">
        <f>H18/DAY(B2)</f>
        <v>162.41379310344828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'28'!F19</f>
        <v>163740</v>
      </c>
      <c r="F19" s="122">
        <v>163790</v>
      </c>
      <c r="G19" s="112">
        <f t="shared" ref="G19" si="1">F19-E19</f>
        <v>50</v>
      </c>
      <c r="H19" s="99">
        <f>G19+'28'!H19</f>
        <v>1455</v>
      </c>
      <c r="I19" s="335"/>
      <c r="J19" s="175">
        <f>H19/DAY(B2)</f>
        <v>50.172413793103445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220</v>
      </c>
      <c r="H20" s="99">
        <f>G20+'28'!H20</f>
        <v>6165</v>
      </c>
      <c r="I20" s="336">
        <f>I18-J20</f>
        <v>-147.58620689655172</v>
      </c>
      <c r="J20" s="175">
        <f>H20/DAY(B2)</f>
        <v>212.58620689655172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23725</v>
      </c>
      <c r="F27" s="136">
        <v>9</v>
      </c>
      <c r="G27" s="137">
        <f>E27*F27</f>
        <v>213525</v>
      </c>
      <c r="H27" s="99">
        <f>G27+'28'!H27</f>
        <v>6707049.2999999998</v>
      </c>
      <c r="I27" s="138"/>
      <c r="J27" s="175">
        <f>H27/DAY(B2)</f>
        <v>231277.56206896552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954.5</v>
      </c>
      <c r="F28" s="136">
        <v>70</v>
      </c>
      <c r="G28" s="137">
        <f>E28*F28</f>
        <v>66815</v>
      </c>
      <c r="H28" s="99">
        <f>G28+'28'!H28</f>
        <v>2043020</v>
      </c>
      <c r="I28" s="140"/>
      <c r="J28" s="175">
        <f>H28/DAY(B2)</f>
        <v>70448.965517241377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G30+'28'!H30</f>
        <v>219705</v>
      </c>
      <c r="I30" s="140"/>
      <c r="J30" s="175">
        <f>H30/DAY(B2)</f>
        <v>7576.0344827586205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G31+'28'!H31</f>
        <v>376800</v>
      </c>
      <c r="I31" s="140"/>
      <c r="J31" s="175">
        <f>H31/DAY(B2)</f>
        <v>12993.103448275862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301490</v>
      </c>
      <c r="H32" s="99">
        <f>G32+'28'!H32</f>
        <v>9346574.3000000007</v>
      </c>
      <c r="I32" s="144"/>
      <c r="J32" s="175">
        <f>H32/DAY(B2)</f>
        <v>322295.6655172414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238713.05</v>
      </c>
      <c r="F35" s="145">
        <v>238713.05</v>
      </c>
      <c r="G35" s="112">
        <f t="shared" ref="G35:G46" si="3">F35-E35</f>
        <v>0</v>
      </c>
      <c r="H35" s="99">
        <f>G35+'28'!H35</f>
        <v>4.9999999988358468E-2</v>
      </c>
      <c r="I35" s="95"/>
      <c r="J35" s="175">
        <f>H35/DAY(B2)</f>
        <v>1.7241379306330506E-3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239597</v>
      </c>
      <c r="F36" s="145">
        <v>240331</v>
      </c>
      <c r="G36" s="112">
        <f t="shared" si="3"/>
        <v>734</v>
      </c>
      <c r="H36" s="99">
        <f>G36+'28'!H36</f>
        <v>24801</v>
      </c>
      <c r="I36" s="95"/>
      <c r="J36" s="175">
        <f>H36/DAY(B2)</f>
        <v>855.20689655172418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322998.69</v>
      </c>
      <c r="F37" s="145">
        <v>322998.69</v>
      </c>
      <c r="G37" s="112">
        <f t="shared" si="3"/>
        <v>0</v>
      </c>
      <c r="H37" s="99">
        <f>G37+'28'!H37</f>
        <v>-0.30999999999767169</v>
      </c>
      <c r="I37" s="95"/>
      <c r="J37" s="175">
        <f>H37/DAY(B2)</f>
        <v>-1.0689655172333506E-2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519193.23</v>
      </c>
      <c r="F38" s="108">
        <v>521295</v>
      </c>
      <c r="G38" s="112">
        <f t="shared" si="3"/>
        <v>2101.7700000000186</v>
      </c>
      <c r="H38" s="99">
        <f>G38+'28'!H38</f>
        <v>63934</v>
      </c>
      <c r="I38" s="95"/>
      <c r="J38" s="175">
        <f>H38/DAY(B2)</f>
        <v>2204.6206896551726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591584.18999999994</v>
      </c>
      <c r="F39" s="145">
        <v>591584</v>
      </c>
      <c r="G39" s="112">
        <f t="shared" si="3"/>
        <v>-0.18999999994412065</v>
      </c>
      <c r="H39" s="99">
        <f>G39+'28'!H39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130715.57</v>
      </c>
      <c r="F40" s="145">
        <v>131538</v>
      </c>
      <c r="G40" s="112">
        <f t="shared" si="3"/>
        <v>822.42999999999302</v>
      </c>
      <c r="H40" s="99">
        <f>G40+'28'!H40</f>
        <v>24762</v>
      </c>
      <c r="I40" s="95"/>
      <c r="J40" s="175">
        <f>H40/DAY(B2)</f>
        <v>853.86206896551721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266131.75</v>
      </c>
      <c r="F41" s="145">
        <v>271375</v>
      </c>
      <c r="G41" s="112">
        <f t="shared" si="3"/>
        <v>5243.25</v>
      </c>
      <c r="H41" s="99">
        <f>G41+'28'!H41</f>
        <v>59672</v>
      </c>
      <c r="I41" s="95"/>
      <c r="J41" s="175">
        <f>H41/DAY(B2)</f>
        <v>2057.655172413793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796748.63</v>
      </c>
      <c r="F42" s="145">
        <v>796748.63</v>
      </c>
      <c r="G42" s="112">
        <f t="shared" si="3"/>
        <v>0</v>
      </c>
      <c r="H42" s="99">
        <f>G42+'28'!H42</f>
        <v>48384.630000000005</v>
      </c>
      <c r="I42" s="95"/>
      <c r="J42" s="175">
        <f>H42/DAY(B2)</f>
        <v>1668.4355172413796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407028</v>
      </c>
      <c r="F43" s="145">
        <v>407028</v>
      </c>
      <c r="G43" s="112">
        <f t="shared" si="3"/>
        <v>0</v>
      </c>
      <c r="H43" s="99">
        <f>G43+'28'!H43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8901.2600000000675</v>
      </c>
      <c r="H47" s="99">
        <f>G47+'28'!H47</f>
        <v>221553.37</v>
      </c>
      <c r="I47" s="95"/>
      <c r="J47" s="175">
        <f>H47/DAY(B2)</f>
        <v>7639.7713793103449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595021.39</v>
      </c>
      <c r="F49" s="145">
        <v>598870</v>
      </c>
      <c r="G49" s="112">
        <f t="shared" ref="G49:G58" si="4">F49-E49</f>
        <v>3848.609999999986</v>
      </c>
      <c r="H49" s="99">
        <f>G49+'28'!H49</f>
        <v>113816</v>
      </c>
      <c r="I49" s="95"/>
      <c r="J49" s="175">
        <f>H49/DAY(B2)</f>
        <v>3924.6896551724139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317403.78999999998</v>
      </c>
      <c r="F50" s="145">
        <v>318488</v>
      </c>
      <c r="G50" s="112">
        <f t="shared" si="4"/>
        <v>1084.210000000021</v>
      </c>
      <c r="H50" s="99">
        <f>G50+'28'!H50</f>
        <v>242371.43</v>
      </c>
      <c r="I50" s="95"/>
      <c r="J50" s="175">
        <f>H50/DAY(B2)</f>
        <v>8357.6355172413787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37788.620000000003</v>
      </c>
      <c r="F51" s="145">
        <v>38810</v>
      </c>
      <c r="G51" s="112">
        <f t="shared" si="4"/>
        <v>1021.3799999999974</v>
      </c>
      <c r="H51" s="99">
        <f>G51+'28'!H51</f>
        <v>30302</v>
      </c>
      <c r="I51" s="95"/>
      <c r="J51" s="175">
        <f>H51/DAY(B2)</f>
        <v>1044.8965517241379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10</v>
      </c>
      <c r="F52" s="145">
        <v>10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154853.79999999999</v>
      </c>
      <c r="F53" s="145">
        <v>159070</v>
      </c>
      <c r="G53" s="112">
        <f t="shared" si="4"/>
        <v>4216.2000000000116</v>
      </c>
      <c r="H53" s="99">
        <f>G53+'28'!H53</f>
        <v>125209</v>
      </c>
      <c r="I53" s="95"/>
      <c r="J53" s="175">
        <f>H53/DAY(B2)</f>
        <v>4317.5517241379312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95171.13</v>
      </c>
      <c r="F54" s="145">
        <v>95354</v>
      </c>
      <c r="G54" s="112">
        <f t="shared" si="4"/>
        <v>182.86999999999534</v>
      </c>
      <c r="H54" s="99">
        <f>G54+'28'!H54</f>
        <v>7411</v>
      </c>
      <c r="I54" s="95"/>
      <c r="J54" s="175">
        <f>H54/DAY(B2)</f>
        <v>255.55172413793105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443169.75</v>
      </c>
      <c r="F55" s="145">
        <v>443169.75</v>
      </c>
      <c r="G55" s="112">
        <f t="shared" si="4"/>
        <v>0</v>
      </c>
      <c r="H55" s="99">
        <f>G55+'28'!H55</f>
        <v>80392.75</v>
      </c>
      <c r="I55" s="95"/>
      <c r="J55" s="175">
        <f>H55/DAY(B2)</f>
        <v>2772.1637931034484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123882.39</v>
      </c>
      <c r="F56" s="145">
        <v>124727</v>
      </c>
      <c r="G56" s="112">
        <f t="shared" si="4"/>
        <v>844.61000000000058</v>
      </c>
      <c r="H56" s="99">
        <f>G56+'28'!H56</f>
        <v>845</v>
      </c>
      <c r="I56" s="95"/>
      <c r="J56" s="175">
        <f>H56/DAY(B2)</f>
        <v>29.137931034482758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313068.27</v>
      </c>
      <c r="F57" s="145">
        <v>316339</v>
      </c>
      <c r="G57" s="112">
        <f t="shared" si="4"/>
        <v>3270.7299999999814</v>
      </c>
      <c r="H57" s="99">
        <f>G57+'28'!H57</f>
        <v>90169</v>
      </c>
      <c r="I57" s="95"/>
      <c r="J57" s="175">
        <f>H57/DAY(B2)</f>
        <v>3109.2758620689656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56098.76</v>
      </c>
      <c r="F58" s="145">
        <v>56332</v>
      </c>
      <c r="G58" s="112">
        <f t="shared" si="4"/>
        <v>233.23999999999796</v>
      </c>
      <c r="H58" s="99">
        <f>G58+'28'!H58</f>
        <v>7223</v>
      </c>
      <c r="I58" s="95"/>
      <c r="J58" s="175">
        <f>H58/DAY(B2)</f>
        <v>249.06896551724137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14701.849999999991</v>
      </c>
      <c r="H59" s="99">
        <f>G59+'28'!H59</f>
        <v>491105.75000000006</v>
      </c>
      <c r="I59" s="95">
        <f>G7-G60</f>
        <v>-10.61000000005879</v>
      </c>
      <c r="J59" s="175">
        <f>H59/DAY(B2)</f>
        <v>16934.681034482761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23603.110000000059</v>
      </c>
      <c r="H60" s="99">
        <f>G60+'28'!H60</f>
        <v>712659.12000000011</v>
      </c>
      <c r="I60" s="95">
        <f>G13-G60</f>
        <v>-682.90999999987253</v>
      </c>
      <c r="J60" s="175">
        <f>H60/DAY(B2)</f>
        <v>24574.452413793108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'28'!F62</f>
        <v>299262</v>
      </c>
      <c r="F62" s="122">
        <v>299335</v>
      </c>
      <c r="G62" s="112">
        <f t="shared" ref="G62:G63" si="5">F62-E62</f>
        <v>73</v>
      </c>
      <c r="H62" s="99">
        <f>G62+'28'!H62</f>
        <v>3060</v>
      </c>
      <c r="I62" s="118"/>
      <c r="J62" s="175">
        <f>H62/DAY(B2)</f>
        <v>105.51724137931035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'28'!F63</f>
        <v>242287</v>
      </c>
      <c r="F63" s="122">
        <v>242392</v>
      </c>
      <c r="G63" s="112">
        <f t="shared" si="5"/>
        <v>105</v>
      </c>
      <c r="H63" s="99">
        <f>G63+'28'!H63</f>
        <v>3259</v>
      </c>
      <c r="I63" s="118"/>
      <c r="J63" s="175">
        <f>H63/DAY(B2)</f>
        <v>112.37931034482759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'28'!F64</f>
        <v>0</v>
      </c>
      <c r="F64" s="122"/>
      <c r="G64" s="112">
        <f>G62+G63</f>
        <v>178</v>
      </c>
      <c r="H64" s="99">
        <f>G64+'28'!H64</f>
        <v>6319</v>
      </c>
      <c r="I64" s="118"/>
      <c r="J64" s="175">
        <f>H64/DAY(B2)</f>
        <v>217.89655172413794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5">
        <f>'28'!F65</f>
        <v>457565</v>
      </c>
      <c r="F65" s="122">
        <v>457654</v>
      </c>
      <c r="G65" s="112">
        <f t="shared" ref="G65:G70" si="6">F65-E65</f>
        <v>89</v>
      </c>
      <c r="H65" s="99">
        <f>G65+'28'!H65</f>
        <v>2944</v>
      </c>
      <c r="I65" s="118"/>
      <c r="J65" s="175">
        <f>H65/DAY(B2)</f>
        <v>101.51724137931035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'28'!F66</f>
        <v>112278</v>
      </c>
      <c r="F66" s="122">
        <v>112287</v>
      </c>
      <c r="G66" s="112">
        <f t="shared" si="6"/>
        <v>9</v>
      </c>
      <c r="H66" s="99">
        <f>G66+'28'!H66</f>
        <v>565</v>
      </c>
      <c r="I66" s="118"/>
      <c r="J66" s="175">
        <f>H66/DAY(B2)</f>
        <v>19.482758620689655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'28'!F67</f>
        <v>114152</v>
      </c>
      <c r="F67" s="122">
        <v>114166</v>
      </c>
      <c r="G67" s="112">
        <f t="shared" si="6"/>
        <v>14</v>
      </c>
      <c r="H67" s="99">
        <f>G67+'28'!H67</f>
        <v>486</v>
      </c>
      <c r="I67" s="118"/>
      <c r="J67" s="175">
        <f>H67/DAY(B2)</f>
        <v>16.758620689655171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'28'!F68</f>
        <v>165446</v>
      </c>
      <c r="F68" s="122">
        <v>165468</v>
      </c>
      <c r="G68" s="112">
        <f t="shared" si="6"/>
        <v>22</v>
      </c>
      <c r="H68" s="99">
        <f>G68+'28'!H68</f>
        <v>806</v>
      </c>
      <c r="I68" s="118"/>
      <c r="J68" s="175">
        <f>H68/DAY(B2)</f>
        <v>27.793103448275861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'28'!F69</f>
        <v>12426</v>
      </c>
      <c r="F69" s="122">
        <v>12429</v>
      </c>
      <c r="G69" s="112">
        <f t="shared" si="6"/>
        <v>3</v>
      </c>
      <c r="H69" s="99">
        <f>G69+'28'!H69</f>
        <v>154</v>
      </c>
      <c r="I69" s="118"/>
      <c r="J69" s="175">
        <f>H69/DAY(B2)</f>
        <v>5.3103448275862073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'28'!F70</f>
        <v>10079</v>
      </c>
      <c r="F70" s="122">
        <v>10087</v>
      </c>
      <c r="G70" s="112">
        <f t="shared" si="6"/>
        <v>8</v>
      </c>
      <c r="H70" s="99">
        <f>G70+'28'!H70</f>
        <v>260</v>
      </c>
      <c r="I70" s="118"/>
      <c r="J70" s="175">
        <f>H70/DAY(B2)</f>
        <v>8.9655172413793096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95">
        <f>'28'!F71</f>
        <v>0</v>
      </c>
      <c r="F71" s="152"/>
      <c r="G71" s="153">
        <f>SUM(G65:G70)</f>
        <v>145</v>
      </c>
      <c r="H71" s="99">
        <f>G71+'28'!H71</f>
        <v>5215</v>
      </c>
      <c r="I71" s="154"/>
      <c r="J71" s="175">
        <f>H71/DAY(B2)</f>
        <v>179.82758620689654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5">
        <f>'28'!F74</f>
        <v>966325.9</v>
      </c>
      <c r="F74" s="117">
        <v>966616</v>
      </c>
      <c r="G74" s="112">
        <f t="shared" ref="G74:G78" si="7">F74-E74</f>
        <v>290.09999999997672</v>
      </c>
      <c r="H74" s="99">
        <f>G74+'28'!H74</f>
        <v>8958.140000000014</v>
      </c>
      <c r="I74" s="154"/>
      <c r="J74" s="175">
        <f>H74/DAY(B2)</f>
        <v>308.90137931034531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5">
        <f>'28'!F75</f>
        <v>73586</v>
      </c>
      <c r="F75" s="123">
        <v>73586</v>
      </c>
      <c r="G75" s="112">
        <f t="shared" si="7"/>
        <v>0</v>
      </c>
      <c r="H75" s="99">
        <f>G75+'28'!H75</f>
        <v>-0.80000000000291038</v>
      </c>
      <c r="I75" s="154"/>
      <c r="J75" s="175">
        <f>H75/DAY(B2)</f>
        <v>-2.7586206896652081E-2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5">
        <f>'28'!F76</f>
        <v>193159</v>
      </c>
      <c r="F76" s="123">
        <v>193245</v>
      </c>
      <c r="G76" s="112">
        <f t="shared" si="7"/>
        <v>86</v>
      </c>
      <c r="H76" s="99">
        <f>G76+'28'!H76</f>
        <v>3073</v>
      </c>
      <c r="I76" s="154"/>
      <c r="J76" s="175">
        <f>H76/DAY(B2)</f>
        <v>105.96551724137932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5">
        <f>'28'!F77</f>
        <v>51700</v>
      </c>
      <c r="F77" s="123">
        <v>51750</v>
      </c>
      <c r="G77" s="112">
        <f t="shared" si="7"/>
        <v>50</v>
      </c>
      <c r="H77" s="99">
        <f>G77+'28'!H77</f>
        <v>1437</v>
      </c>
      <c r="I77" s="154"/>
      <c r="J77" s="175">
        <f>H77/DAY(B2)</f>
        <v>49.551724137931032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5">
        <f>'28'!F78</f>
        <v>9563</v>
      </c>
      <c r="F78" s="123">
        <v>9563.4</v>
      </c>
      <c r="G78" s="112">
        <f t="shared" si="7"/>
        <v>0.3999999999996362</v>
      </c>
      <c r="H78" s="99">
        <f>G78+'28'!H78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95">
        <f>'28'!F79</f>
        <v>0</v>
      </c>
      <c r="F79" s="117"/>
      <c r="G79" s="112">
        <f>G15-SUM(G74:G78)</f>
        <v>528.00000000002365</v>
      </c>
      <c r="H79" s="99">
        <f>G79+'28'!H79</f>
        <v>15718.659999999989</v>
      </c>
      <c r="I79" s="118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954.5</v>
      </c>
      <c r="H80" s="99"/>
      <c r="I80" s="118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'28'!F84</f>
        <v>42840</v>
      </c>
      <c r="F84" s="164">
        <v>42864</v>
      </c>
      <c r="G84" s="112">
        <f t="shared" si="8"/>
        <v>24</v>
      </c>
      <c r="H84" s="99">
        <f>G84+'28'!H84</f>
        <v>235</v>
      </c>
      <c r="I84" s="571"/>
      <c r="J84" s="175">
        <f>H84/DAY(B2)</f>
        <v>8.1034482758620694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'28'!F85</f>
        <v>5354</v>
      </c>
      <c r="F85" s="164">
        <v>5354</v>
      </c>
      <c r="G85" s="112">
        <f t="shared" si="8"/>
        <v>0</v>
      </c>
      <c r="H85" s="99">
        <f>G85+'28'!H85</f>
        <v>213.8100000000004</v>
      </c>
      <c r="I85" s="571"/>
      <c r="J85" s="175">
        <f>H85/DAY(B2)</f>
        <v>7.3727586206896687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'28'!F86</f>
        <v>45921.37</v>
      </c>
      <c r="F86" s="164">
        <v>45921</v>
      </c>
      <c r="G86" s="112">
        <f t="shared" si="8"/>
        <v>-0.37000000000261934</v>
      </c>
      <c r="H86" s="99">
        <f>G86+'28'!H86</f>
        <v>542</v>
      </c>
      <c r="I86" s="571"/>
      <c r="J86" s="175">
        <f>H86/DAY(B2)</f>
        <v>18.689655172413794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'28'!F87</f>
        <v>35457.49</v>
      </c>
      <c r="F87" s="164">
        <v>35464</v>
      </c>
      <c r="G87" s="112">
        <f t="shared" si="8"/>
        <v>6.5100000000020373</v>
      </c>
      <c r="H87" s="99">
        <f>G87+'28'!H87</f>
        <v>30.080000000001746</v>
      </c>
      <c r="I87" s="571">
        <f>G84+G85+G86+G87</f>
        <v>30.139999999999418</v>
      </c>
      <c r="J87" s="175">
        <f>H87/DAY(B2)</f>
        <v>1.0372413793104049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'28'!F88</f>
        <v>24335.16</v>
      </c>
      <c r="F88" s="164">
        <v>24335</v>
      </c>
      <c r="G88" s="112">
        <f t="shared" si="8"/>
        <v>-0.15999999999985448</v>
      </c>
      <c r="H88" s="99">
        <f>G88+'28'!H88</f>
        <v>31.540000000000873</v>
      </c>
      <c r="I88" s="571"/>
      <c r="J88" s="175">
        <f>H88/DAY(B2)</f>
        <v>1.0875862068965818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'28'!F89</f>
        <v>27778.67</v>
      </c>
      <c r="F89" s="164">
        <v>27787</v>
      </c>
      <c r="G89" s="112">
        <f t="shared" si="8"/>
        <v>8.3300000000017462</v>
      </c>
      <c r="H89" s="99">
        <f>G89+'28'!H89</f>
        <v>220.38999999999942</v>
      </c>
      <c r="I89" s="571">
        <f>G88+G89</f>
        <v>8.1700000000018917</v>
      </c>
      <c r="J89" s="175">
        <f>H89/DAY(B2)</f>
        <v>7.5996551724137733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'28'!F90</f>
        <v>72903.72</v>
      </c>
      <c r="F90" s="164">
        <v>72914</v>
      </c>
      <c r="G90" s="112">
        <f t="shared" si="8"/>
        <v>10.279999999998836</v>
      </c>
      <c r="H90" s="99">
        <f>G90+'28'!H90</f>
        <v>42.339999999996508</v>
      </c>
      <c r="I90" s="571">
        <f>G90</f>
        <v>10.279999999998836</v>
      </c>
      <c r="J90" s="175">
        <f>H90/DAY(B2)</f>
        <v>1.4599999999998796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'28'!F91</f>
        <v>4315.3999999999996</v>
      </c>
      <c r="F91" s="122">
        <v>4326.49</v>
      </c>
      <c r="G91" s="112">
        <f t="shared" si="8"/>
        <v>11.090000000000146</v>
      </c>
      <c r="H91" s="99">
        <f>G91+'28'!H91</f>
        <v>36.949999999999818</v>
      </c>
      <c r="I91" s="590"/>
      <c r="J91" s="175">
        <f>H91/DAY(B2)</f>
        <v>1.2741379310344765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'28'!F92</f>
        <v>7000.23</v>
      </c>
      <c r="F92" s="122">
        <v>7000</v>
      </c>
      <c r="G92" s="112">
        <f t="shared" si="8"/>
        <v>-0.22999999999956344</v>
      </c>
      <c r="H92" s="99">
        <f>G92+'28'!H92</f>
        <v>282.67000000000007</v>
      </c>
      <c r="I92" s="596">
        <f>G91+G92</f>
        <v>10.860000000000582</v>
      </c>
      <c r="J92" s="175">
        <f>H92/DAY(B2)</f>
        <v>9.7472413793103474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7119.3399999999674</v>
      </c>
      <c r="H94" s="99">
        <f>G94+'28'!H94</f>
        <v>203985.05</v>
      </c>
      <c r="I94" s="118"/>
      <c r="J94" s="175">
        <f>H94/DAY(B2)</f>
        <v>7033.9672413793096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0.3017628483628258</v>
      </c>
      <c r="H95" s="99">
        <f>G95+'28'!H95</f>
        <v>8.036517180798942</v>
      </c>
      <c r="I95" s="167"/>
      <c r="J95" s="175">
        <f>H95/DAY(B2)</f>
        <v>0.27712128209651526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6087.8600000000006</v>
      </c>
      <c r="H96" s="99">
        <f>G96+'28'!H96</f>
        <v>189294.38</v>
      </c>
      <c r="I96" s="118"/>
      <c r="J96" s="175">
        <f>H96/DAY(B2)</f>
        <v>6527.3924137931035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0.25804217441983685</v>
      </c>
      <c r="H97" s="99">
        <f>G97+'28'!H97</f>
        <v>7.4154350155738964</v>
      </c>
      <c r="I97" s="167"/>
      <c r="J97" s="175">
        <f>H97/DAY(B2)</f>
        <v>0.25570465570944473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4216.0100000000675</v>
      </c>
      <c r="H98" s="99">
        <f>G98+'28'!H98</f>
        <v>125209</v>
      </c>
      <c r="I98" s="168"/>
      <c r="J98" s="175">
        <f>H98/DAY(B2)</f>
        <v>4317.5517241379312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0.1787012821871386</v>
      </c>
      <c r="H99" s="99">
        <f>G99+'28'!H99</f>
        <v>4.9291877257561749</v>
      </c>
      <c r="I99" s="168"/>
      <c r="J99" s="175">
        <f>H99/DAY(B2)</f>
        <v>0.16997199054331638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2101.7700000000186</v>
      </c>
      <c r="H100" s="99">
        <f>G100+'28'!H100</f>
        <v>63934</v>
      </c>
      <c r="I100" s="118"/>
      <c r="J100" s="175">
        <f>H100/DAY(B2)</f>
        <v>2204.6206896551726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8.9086362191375168E-2</v>
      </c>
      <c r="H101" s="99">
        <f>G101+'28'!H101</f>
        <v>2.517210511528829</v>
      </c>
      <c r="I101" s="168"/>
      <c r="J101" s="175">
        <f>H101/DAY(B2)</f>
        <v>8.6800362466511349E-2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1818.210000000021</v>
      </c>
      <c r="H102" s="99">
        <f>G102+'28'!H102</f>
        <v>60539</v>
      </c>
      <c r="I102" s="168"/>
      <c r="J102" s="175">
        <f>H102/DAY(B2)</f>
        <v>2087.5517241379312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7.706728833315761E-2</v>
      </c>
      <c r="H103" s="99">
        <f>G103+'28'!H103</f>
        <v>2.3705936307421185</v>
      </c>
      <c r="I103" s="118"/>
      <c r="J103" s="175">
        <f>H103/DAY(B2)</f>
        <v>8.1744607956624776E-2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1021.3799999999974</v>
      </c>
      <c r="H104" s="99">
        <f>G104+'28'!H104</f>
        <v>30301.690000000002</v>
      </c>
      <c r="I104" s="118"/>
      <c r="J104" s="175">
        <f>H104/DAY(B2)</f>
        <v>1044.8858620689657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4.3292571791882901E-2</v>
      </c>
      <c r="H105" s="99">
        <f>G105+'28'!H105</f>
        <v>1.1927785296366178</v>
      </c>
      <c r="I105" s="187"/>
      <c r="J105" s="188">
        <f>H105/DAY(B2)</f>
        <v>4.1130294125400611E-2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25.5">
      <c r="A112" s="898" t="s">
        <v>252</v>
      </c>
      <c r="B112" s="899"/>
      <c r="C112" s="900"/>
      <c r="D112" s="146" t="s">
        <v>183</v>
      </c>
      <c r="E112" s="237">
        <f>'28'!F112</f>
        <v>9288.15</v>
      </c>
      <c r="F112" s="237">
        <v>9360</v>
      </c>
      <c r="G112" s="112">
        <f t="shared" ref="G112" si="9">F112-E112</f>
        <v>71.850000000000364</v>
      </c>
      <c r="H112" s="99">
        <f>G112+'28'!H112</f>
        <v>4558.33</v>
      </c>
      <c r="I112" s="165"/>
      <c r="J112" s="328">
        <f>H112/DAY(B2)</f>
        <v>157.18379310344827</v>
      </c>
    </row>
    <row r="113" spans="1:18" ht="25.5">
      <c r="A113" s="898" t="s">
        <v>253</v>
      </c>
      <c r="B113" s="899"/>
      <c r="C113" s="900"/>
      <c r="D113" s="146" t="s">
        <v>183</v>
      </c>
      <c r="E113" s="237">
        <f>'28'!F113</f>
        <v>18946.7</v>
      </c>
      <c r="F113" s="237">
        <v>19090</v>
      </c>
      <c r="G113" s="112">
        <f t="shared" ref="G113:G123" si="10">F113-E113</f>
        <v>143.29999999999927</v>
      </c>
      <c r="H113" s="99">
        <f>G113+'28'!H113</f>
        <v>4075</v>
      </c>
      <c r="I113" s="165"/>
      <c r="J113" s="328">
        <f>H113/DAY(B2)</f>
        <v>140.51724137931035</v>
      </c>
    </row>
    <row r="114" spans="1:18" ht="25.5">
      <c r="A114" s="898" t="s">
        <v>254</v>
      </c>
      <c r="B114" s="899"/>
      <c r="C114" s="900"/>
      <c r="D114" s="146" t="s">
        <v>183</v>
      </c>
      <c r="E114" s="237">
        <f>'28'!F114</f>
        <v>27433.9</v>
      </c>
      <c r="F114" s="237">
        <v>27655</v>
      </c>
      <c r="G114" s="112">
        <f t="shared" si="10"/>
        <v>221.09999999999854</v>
      </c>
      <c r="H114" s="99">
        <f>G114+'28'!H114</f>
        <v>6387</v>
      </c>
      <c r="I114" s="165"/>
      <c r="J114" s="328">
        <f>H114/DAY(B2)</f>
        <v>220.24137931034483</v>
      </c>
    </row>
    <row r="115" spans="1:18" ht="25.5">
      <c r="A115" s="898" t="s">
        <v>255</v>
      </c>
      <c r="B115" s="899"/>
      <c r="C115" s="900"/>
      <c r="D115" s="146" t="s">
        <v>183</v>
      </c>
      <c r="E115" s="237">
        <f>'28'!F115</f>
        <v>17106.7</v>
      </c>
      <c r="F115" s="237">
        <v>17261</v>
      </c>
      <c r="G115" s="112">
        <f t="shared" si="10"/>
        <v>154.29999999999927</v>
      </c>
      <c r="H115" s="99">
        <f>G115+'28'!H115</f>
        <v>3685.5200000000004</v>
      </c>
      <c r="I115" s="165"/>
      <c r="J115" s="328">
        <f>H115/DAY(B2)</f>
        <v>127.08689655172415</v>
      </c>
    </row>
    <row r="116" spans="1:18" ht="25.5">
      <c r="A116" s="905" t="s">
        <v>96</v>
      </c>
      <c r="B116" s="906"/>
      <c r="C116" s="907"/>
      <c r="D116" s="146" t="s">
        <v>183</v>
      </c>
      <c r="E116" s="237">
        <f>'28'!F116</f>
        <v>82277.13</v>
      </c>
      <c r="F116" s="237">
        <v>82701</v>
      </c>
      <c r="G116" s="112">
        <f t="shared" si="10"/>
        <v>423.86999999999534</v>
      </c>
      <c r="H116" s="99">
        <f>G116+'28'!H116</f>
        <v>12209</v>
      </c>
      <c r="I116" s="165"/>
      <c r="J116" s="328">
        <f>H116/DAY(B2)</f>
        <v>421</v>
      </c>
      <c r="Q116" s="898" t="s">
        <v>311</v>
      </c>
      <c r="R116" s="900"/>
    </row>
    <row r="117" spans="1:18" ht="25.5">
      <c r="A117" s="905" t="s">
        <v>184</v>
      </c>
      <c r="B117" s="906"/>
      <c r="C117" s="907"/>
      <c r="D117" s="146" t="s">
        <v>183</v>
      </c>
      <c r="E117" s="237">
        <f>'28'!F117</f>
        <v>47909.72</v>
      </c>
      <c r="F117" s="237">
        <v>48175</v>
      </c>
      <c r="G117" s="112">
        <f t="shared" si="10"/>
        <v>265.27999999999884</v>
      </c>
      <c r="H117" s="99">
        <f>G117+'28'!H117</f>
        <v>7253</v>
      </c>
      <c r="I117" s="165"/>
      <c r="J117" s="328">
        <f>H117/DAY(B2)</f>
        <v>250.10344827586206</v>
      </c>
      <c r="Q117" s="898" t="s">
        <v>312</v>
      </c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237">
        <f>'28'!F118</f>
        <v>81378.14</v>
      </c>
      <c r="F118" s="237">
        <v>81997</v>
      </c>
      <c r="G118" s="112">
        <f t="shared" si="10"/>
        <v>618.86000000000058</v>
      </c>
      <c r="H118" s="99">
        <f>G118+'28'!H118</f>
        <v>17325</v>
      </c>
      <c r="I118" s="165"/>
      <c r="J118" s="328">
        <f>H118/DAY(B2)</f>
        <v>597.41379310344826</v>
      </c>
      <c r="Q118" s="898" t="s">
        <v>311</v>
      </c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237">
        <f>'28'!F119</f>
        <v>42029</v>
      </c>
      <c r="F119" s="237">
        <v>42050</v>
      </c>
      <c r="G119" s="112">
        <f t="shared" si="10"/>
        <v>21</v>
      </c>
      <c r="H119" s="99">
        <f>G119+'28'!H119</f>
        <v>4601</v>
      </c>
      <c r="I119" s="165"/>
      <c r="J119" s="328">
        <f>H119/DAY(B2)</f>
        <v>158.65517241379311</v>
      </c>
    </row>
    <row r="120" spans="1:18" ht="25.5">
      <c r="A120" s="897" t="s">
        <v>99</v>
      </c>
      <c r="B120" s="897"/>
      <c r="C120" s="897"/>
      <c r="D120" s="151" t="s">
        <v>183</v>
      </c>
      <c r="E120" s="237">
        <f>'28'!F120</f>
        <v>57827.8</v>
      </c>
      <c r="F120" s="237">
        <v>58227</v>
      </c>
      <c r="G120" s="112">
        <f t="shared" si="10"/>
        <v>399.19999999999709</v>
      </c>
      <c r="H120" s="99">
        <f>G120+'28'!H120</f>
        <v>11960</v>
      </c>
      <c r="I120" s="165"/>
      <c r="J120" s="328">
        <f>H120/DAY(B2)</f>
        <v>412.41379310344826</v>
      </c>
    </row>
    <row r="121" spans="1:18" ht="25.5">
      <c r="A121" s="897" t="s">
        <v>100</v>
      </c>
      <c r="B121" s="897"/>
      <c r="C121" s="897"/>
      <c r="D121" s="151" t="s">
        <v>183</v>
      </c>
      <c r="E121" s="237">
        <f>'28'!F121</f>
        <v>66466.91</v>
      </c>
      <c r="F121" s="237">
        <v>66902</v>
      </c>
      <c r="G121" s="112">
        <f t="shared" si="10"/>
        <v>435.08999999999651</v>
      </c>
      <c r="H121" s="99">
        <f>G121+'28'!H121</f>
        <v>13359</v>
      </c>
      <c r="I121" s="165"/>
      <c r="J121" s="328">
        <f>H121/DAY(B2)</f>
        <v>460.65517241379308</v>
      </c>
    </row>
    <row r="122" spans="1:18" ht="25.5">
      <c r="A122" s="897" t="s">
        <v>101</v>
      </c>
      <c r="B122" s="897"/>
      <c r="C122" s="897"/>
      <c r="D122" s="151" t="s">
        <v>183</v>
      </c>
      <c r="E122" s="237">
        <f>'28'!F122</f>
        <v>37618.6</v>
      </c>
      <c r="F122" s="237">
        <v>37954</v>
      </c>
      <c r="G122" s="112">
        <f t="shared" si="10"/>
        <v>335.40000000000146</v>
      </c>
      <c r="H122" s="99">
        <f>G122+'28'!H122</f>
        <v>9280</v>
      </c>
      <c r="I122" s="165"/>
      <c r="J122" s="328">
        <f>H122/DAY(B2)</f>
        <v>320</v>
      </c>
    </row>
    <row r="123" spans="1:18" ht="25.5">
      <c r="A123" s="897" t="s">
        <v>102</v>
      </c>
      <c r="B123" s="897"/>
      <c r="C123" s="897"/>
      <c r="D123" s="151" t="s">
        <v>183</v>
      </c>
      <c r="E123" s="237">
        <f>'28'!F123</f>
        <v>39361</v>
      </c>
      <c r="F123" s="237">
        <v>39697</v>
      </c>
      <c r="G123" s="112">
        <f t="shared" si="10"/>
        <v>336</v>
      </c>
      <c r="H123" s="99">
        <f>G123+'28'!H123</f>
        <v>9509</v>
      </c>
      <c r="I123" s="165"/>
      <c r="J123" s="328">
        <f>H123/DAY(B2)</f>
        <v>327.89655172413791</v>
      </c>
    </row>
    <row r="124" spans="1:18" ht="25.5">
      <c r="A124" s="902"/>
      <c r="B124" s="903"/>
      <c r="C124" s="904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5.5">
      <c r="A125" s="880" t="s">
        <v>196</v>
      </c>
      <c r="B125" s="881"/>
      <c r="C125" s="245"/>
      <c r="D125" s="307"/>
      <c r="E125" s="308"/>
      <c r="F125" s="308"/>
      <c r="G125" s="309">
        <f>SUM(G112:G124)</f>
        <v>3425.2499999999873</v>
      </c>
      <c r="H125" s="156"/>
      <c r="I125" s="327">
        <f>G125-(G39+G53)</f>
        <v>-790.76000000008025</v>
      </c>
      <c r="J125" s="327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5.5">
      <c r="A128" s="898" t="s">
        <v>318</v>
      </c>
      <c r="B128" s="899"/>
      <c r="C128" s="900"/>
      <c r="D128" s="151" t="s">
        <v>183</v>
      </c>
      <c r="E128" s="95">
        <f>'28'!F128</f>
        <v>140639.59</v>
      </c>
      <c r="F128" s="165">
        <v>141055</v>
      </c>
      <c r="G128" s="112">
        <f t="shared" ref="G128:G134" si="11">F128-E128</f>
        <v>415.41000000000349</v>
      </c>
      <c r="H128" s="99">
        <f>G128+'28'!H128</f>
        <v>13411</v>
      </c>
      <c r="I128" s="165"/>
      <c r="J128" s="328">
        <f>H128/DAY(B2)</f>
        <v>462.44827586206895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'28'!F129</f>
        <v>77993</v>
      </c>
      <c r="F129" s="165">
        <v>78188</v>
      </c>
      <c r="G129" s="112">
        <f t="shared" si="11"/>
        <v>195</v>
      </c>
      <c r="H129" s="99">
        <f>G129+'28'!H129</f>
        <v>5685</v>
      </c>
      <c r="I129" s="165"/>
      <c r="J129" s="328">
        <f>H129/DAY(B2)</f>
        <v>196.0344827586207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'28'!F130</f>
        <v>183934.49</v>
      </c>
      <c r="F130" s="158">
        <v>184607</v>
      </c>
      <c r="G130" s="112">
        <f t="shared" si="11"/>
        <v>672.51000000000931</v>
      </c>
      <c r="H130" s="99">
        <f>G130+'28'!H130</f>
        <v>19471.479999999981</v>
      </c>
      <c r="I130" s="165"/>
      <c r="J130" s="328">
        <f>H130/DAY(B2)</f>
        <v>671.4303448275856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5">
        <f>'28'!F131</f>
        <v>53555.03</v>
      </c>
      <c r="F131" s="165">
        <v>53712</v>
      </c>
      <c r="G131" s="112">
        <f t="shared" si="11"/>
        <v>156.97000000000116</v>
      </c>
      <c r="H131" s="99">
        <f>G131+'28'!H131</f>
        <v>5263</v>
      </c>
      <c r="I131" s="165"/>
      <c r="J131" s="328">
        <f>H131/DAY(B2)</f>
        <v>181.48275862068965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5">
        <f>'28'!F132</f>
        <v>139703.9</v>
      </c>
      <c r="F132" s="165">
        <v>140115</v>
      </c>
      <c r="G132" s="112">
        <f t="shared" si="11"/>
        <v>411.10000000000582</v>
      </c>
      <c r="H132" s="99">
        <f>G132+'28'!H132</f>
        <v>11941</v>
      </c>
      <c r="I132" s="165"/>
      <c r="J132" s="328">
        <f>H132/DAY(B2)</f>
        <v>411.75862068965517</v>
      </c>
    </row>
    <row r="133" spans="1:15" ht="25.5">
      <c r="A133" s="898" t="s">
        <v>359</v>
      </c>
      <c r="B133" s="899"/>
      <c r="C133" s="900"/>
      <c r="D133" s="151" t="s">
        <v>183</v>
      </c>
      <c r="E133" s="95">
        <f>'28'!F133</f>
        <v>238293.91</v>
      </c>
      <c r="F133" s="165">
        <v>239176</v>
      </c>
      <c r="G133" s="112">
        <f t="shared" si="11"/>
        <v>882.08999999999651</v>
      </c>
      <c r="H133" s="99">
        <f>G133+'28'!H133</f>
        <v>16771.429999999993</v>
      </c>
      <c r="I133" s="165"/>
      <c r="J133" s="328">
        <f>H133/DAY(B2)</f>
        <v>578.32517241379287</v>
      </c>
    </row>
    <row r="134" spans="1:15" ht="25.5">
      <c r="A134" s="898" t="s">
        <v>340</v>
      </c>
      <c r="B134" s="899"/>
      <c r="C134" s="900"/>
      <c r="D134" s="151" t="s">
        <v>183</v>
      </c>
      <c r="E134" s="95">
        <f>'28'!F134</f>
        <v>55401.760000000002</v>
      </c>
      <c r="F134" s="165">
        <v>55643</v>
      </c>
      <c r="G134" s="112">
        <f t="shared" si="11"/>
        <v>241.23999999999796</v>
      </c>
      <c r="H134" s="99">
        <f>G134+'28'!H134</f>
        <v>6608</v>
      </c>
      <c r="I134" s="165"/>
      <c r="J134" s="328">
        <f>H134/DAY(B2)</f>
        <v>227.86206896551724</v>
      </c>
    </row>
    <row r="135" spans="1:15" ht="25.5">
      <c r="A135" s="880" t="s">
        <v>196</v>
      </c>
      <c r="B135" s="881"/>
      <c r="C135" s="331"/>
      <c r="D135" s="151"/>
      <c r="E135" s="95"/>
      <c r="F135" s="165" t="s">
        <v>366</v>
      </c>
      <c r="G135" s="112">
        <f>SUM(G127:G134)</f>
        <v>2974.3200000000143</v>
      </c>
      <c r="H135" s="99">
        <f>G135+'23'!H135</f>
        <v>27649.29</v>
      </c>
      <c r="I135" s="327">
        <f>G135-(G35+G49)</f>
        <v>-874.28999999997177</v>
      </c>
      <c r="J135" s="328"/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'28'!F138</f>
        <v>894733</v>
      </c>
      <c r="F138" s="147">
        <v>894803</v>
      </c>
      <c r="G138" s="112">
        <f t="shared" ref="G138:G151" si="12">F138-E138</f>
        <v>70</v>
      </c>
      <c r="H138" s="99">
        <f>G138+'28'!H138</f>
        <v>3692</v>
      </c>
      <c r="I138" s="118"/>
      <c r="J138" s="328">
        <f>H138/DAY(B2)</f>
        <v>127.31034482758621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'28'!F139</f>
        <v>913159</v>
      </c>
      <c r="F139" s="148">
        <v>913298</v>
      </c>
      <c r="G139" s="112">
        <f t="shared" si="12"/>
        <v>139</v>
      </c>
      <c r="H139" s="99">
        <f>G139+'28'!H139</f>
        <v>4403</v>
      </c>
      <c r="I139" s="118"/>
      <c r="J139" s="328">
        <f>H139/DAY(B2)</f>
        <v>151.82758620689654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'28'!F140</f>
        <v>1923.1</v>
      </c>
      <c r="F140" s="149">
        <v>1938</v>
      </c>
      <c r="G140" s="112">
        <f t="shared" si="12"/>
        <v>14.900000000000091</v>
      </c>
      <c r="H140" s="99">
        <f>G140+'28'!H140</f>
        <v>425</v>
      </c>
      <c r="I140" s="118"/>
      <c r="J140" s="328">
        <f>H140/DAY(B2)</f>
        <v>14.655172413793103</v>
      </c>
    </row>
    <row r="141" spans="1:15" ht="25.5">
      <c r="A141" s="876" t="s">
        <v>188</v>
      </c>
      <c r="B141" s="876"/>
      <c r="C141" s="876"/>
      <c r="D141" s="151" t="s">
        <v>183</v>
      </c>
      <c r="E141" s="95">
        <f>'28'!F141</f>
        <v>96172.1</v>
      </c>
      <c r="F141" s="149">
        <v>96384</v>
      </c>
      <c r="G141" s="112">
        <f t="shared" si="12"/>
        <v>211.89999999999418</v>
      </c>
      <c r="H141" s="99">
        <f>G141+'28'!H141</f>
        <v>5932</v>
      </c>
      <c r="I141" s="118"/>
      <c r="J141" s="328">
        <f>H141/DAY(B2)</f>
        <v>204.55172413793105</v>
      </c>
    </row>
    <row r="142" spans="1:15" ht="25.5">
      <c r="A142" s="876" t="s">
        <v>189</v>
      </c>
      <c r="B142" s="876"/>
      <c r="C142" s="876"/>
      <c r="D142" s="151" t="s">
        <v>183</v>
      </c>
      <c r="E142" s="95">
        <f>'28'!F142</f>
        <v>38949.9</v>
      </c>
      <c r="F142" s="148">
        <v>39024</v>
      </c>
      <c r="G142" s="112">
        <f t="shared" si="12"/>
        <v>74.099999999998545</v>
      </c>
      <c r="H142" s="99">
        <f>G142+'28'!H142</f>
        <v>2363</v>
      </c>
      <c r="I142" s="140"/>
      <c r="J142" s="328">
        <f>H142/DAY(B2)</f>
        <v>81.482758620689651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'28'!F143</f>
        <v>9796.39</v>
      </c>
      <c r="F143" s="149">
        <v>9825</v>
      </c>
      <c r="G143" s="112">
        <f t="shared" si="12"/>
        <v>28.610000000000582</v>
      </c>
      <c r="H143" s="99">
        <f>G143+'28'!H143</f>
        <v>774</v>
      </c>
      <c r="I143" s="140"/>
      <c r="J143" s="328">
        <f>H143/DAY(B2)</f>
        <v>26.689655172413794</v>
      </c>
    </row>
    <row r="144" spans="1:15" ht="25.5">
      <c r="A144" s="876" t="s">
        <v>90</v>
      </c>
      <c r="B144" s="876"/>
      <c r="C144" s="876"/>
      <c r="D144" s="151" t="s">
        <v>183</v>
      </c>
      <c r="E144" s="95">
        <f>'28'!F144</f>
        <v>925977</v>
      </c>
      <c r="F144" s="149">
        <v>926185</v>
      </c>
      <c r="G144" s="112">
        <f t="shared" si="12"/>
        <v>208</v>
      </c>
      <c r="H144" s="99">
        <f>G144+'28'!H144</f>
        <v>6348</v>
      </c>
      <c r="I144" s="140"/>
      <c r="J144" s="328">
        <f>H144/DAY(B2)</f>
        <v>218.89655172413794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'28'!F145</f>
        <v>6944.45</v>
      </c>
      <c r="F145" s="149">
        <v>7078</v>
      </c>
      <c r="G145" s="112">
        <f t="shared" si="12"/>
        <v>133.55000000000018</v>
      </c>
      <c r="H145" s="99">
        <f>G145+'28'!H145</f>
        <v>1271</v>
      </c>
      <c r="I145" s="140"/>
      <c r="J145" s="328">
        <f>H145/DAY(B2)</f>
        <v>43.827586206896555</v>
      </c>
    </row>
    <row r="146" spans="1:10" ht="25.5">
      <c r="A146" s="932" t="s">
        <v>191</v>
      </c>
      <c r="B146" s="917"/>
      <c r="C146" s="918"/>
      <c r="D146" s="152" t="s">
        <v>183</v>
      </c>
      <c r="E146" s="95">
        <f>'28'!F146</f>
        <v>782666</v>
      </c>
      <c r="F146" s="148">
        <v>782720</v>
      </c>
      <c r="G146" s="112">
        <f t="shared" si="12"/>
        <v>54</v>
      </c>
      <c r="H146" s="99">
        <f>G146+'28'!H146</f>
        <v>1920</v>
      </c>
      <c r="I146" s="140"/>
      <c r="J146" s="328">
        <f>H146/DAY(B2)</f>
        <v>66.206896551724142</v>
      </c>
    </row>
    <row r="147" spans="1:10" ht="25.5">
      <c r="A147" s="876" t="s">
        <v>192</v>
      </c>
      <c r="B147" s="876"/>
      <c r="C147" s="876"/>
      <c r="D147" s="152" t="s">
        <v>183</v>
      </c>
      <c r="E147" s="95">
        <f>'28'!F147</f>
        <v>710553.68</v>
      </c>
      <c r="F147" s="148">
        <v>710918</v>
      </c>
      <c r="G147" s="112">
        <f t="shared" si="12"/>
        <v>364.31999999994878</v>
      </c>
      <c r="H147" s="99">
        <f>G147+'28'!H147</f>
        <v>11149</v>
      </c>
      <c r="I147" s="140"/>
      <c r="J147" s="328">
        <f>H147/DAY(B2)</f>
        <v>384.44827586206895</v>
      </c>
    </row>
    <row r="148" spans="1:10" ht="25.5">
      <c r="A148" s="877" t="s">
        <v>193</v>
      </c>
      <c r="B148" s="878"/>
      <c r="C148" s="879"/>
      <c r="D148" s="123" t="s">
        <v>130</v>
      </c>
      <c r="E148" s="95">
        <f>'28'!F148</f>
        <v>757152.8</v>
      </c>
      <c r="F148" s="150">
        <v>757431</v>
      </c>
      <c r="G148" s="112">
        <f t="shared" si="12"/>
        <v>278.19999999995343</v>
      </c>
      <c r="H148" s="99">
        <f>G148+'28'!H148</f>
        <v>8901</v>
      </c>
      <c r="I148" s="124"/>
      <c r="J148" s="328">
        <f>H148/DAY(B2)</f>
        <v>306.93103448275861</v>
      </c>
    </row>
    <row r="149" spans="1:10" ht="25.5">
      <c r="A149" s="877" t="s">
        <v>336</v>
      </c>
      <c r="B149" s="878"/>
      <c r="C149" s="879"/>
      <c r="D149" s="227" t="s">
        <v>130</v>
      </c>
      <c r="E149" s="95">
        <f>'28'!F149</f>
        <v>145161.99</v>
      </c>
      <c r="F149" s="146">
        <v>145505</v>
      </c>
      <c r="G149" s="112">
        <f t="shared" si="12"/>
        <v>343.01000000000931</v>
      </c>
      <c r="H149" s="99">
        <f>G149+'28'!H149</f>
        <v>13071</v>
      </c>
      <c r="I149" s="119"/>
      <c r="J149" s="328">
        <f>H149/DAY(B2)</f>
        <v>450.72413793103448</v>
      </c>
    </row>
    <row r="150" spans="1:10" ht="25.5">
      <c r="A150" s="877" t="s">
        <v>337</v>
      </c>
      <c r="B150" s="878"/>
      <c r="C150" s="879"/>
      <c r="D150" s="117" t="s">
        <v>130</v>
      </c>
      <c r="E150" s="95">
        <f>'28'!F150</f>
        <v>56795.55</v>
      </c>
      <c r="F150" s="233">
        <v>57002</v>
      </c>
      <c r="G150" s="112">
        <f t="shared" si="12"/>
        <v>206.44999999999709</v>
      </c>
      <c r="H150" s="99">
        <f>G150+'28'!H150</f>
        <v>6387</v>
      </c>
      <c r="I150" s="119"/>
      <c r="J150" s="328">
        <f>H150/DAY(B2)</f>
        <v>220.24137931034483</v>
      </c>
    </row>
    <row r="151" spans="1:10" ht="25.5">
      <c r="A151" s="877" t="s">
        <v>338</v>
      </c>
      <c r="B151" s="878"/>
      <c r="C151" s="879"/>
      <c r="D151" s="117" t="s">
        <v>130</v>
      </c>
      <c r="E151" s="95">
        <f>'28'!F151</f>
        <v>142771</v>
      </c>
      <c r="F151" s="233">
        <v>143004</v>
      </c>
      <c r="G151" s="112">
        <f t="shared" si="12"/>
        <v>233</v>
      </c>
      <c r="H151" s="99">
        <f>G151+'28'!H151</f>
        <v>7555</v>
      </c>
      <c r="I151" s="119"/>
      <c r="J151" s="328">
        <f>H151/DAY(B2)</f>
        <v>260.51724137931035</v>
      </c>
    </row>
    <row r="152" spans="1:10" ht="25.5">
      <c r="A152" s="877" t="s">
        <v>339</v>
      </c>
      <c r="B152" s="878"/>
      <c r="C152" s="879"/>
      <c r="D152" s="117" t="s">
        <v>130</v>
      </c>
      <c r="E152" s="95">
        <f>'28'!F152</f>
        <v>26503.855</v>
      </c>
      <c r="F152" s="233">
        <v>26624</v>
      </c>
      <c r="G152" s="112">
        <f>F152-E152</f>
        <v>120.14500000000044</v>
      </c>
      <c r="H152" s="99">
        <f>G152+'28'!H152</f>
        <v>3470</v>
      </c>
      <c r="I152" s="119"/>
      <c r="J152" s="328">
        <f>H152/DAY(B2)</f>
        <v>119.65517241379311</v>
      </c>
    </row>
    <row r="153" spans="1:10" ht="25.5">
      <c r="A153" s="880" t="s">
        <v>196</v>
      </c>
      <c r="B153" s="881"/>
      <c r="C153" s="365"/>
      <c r="D153" s="358"/>
      <c r="E153" s="360"/>
      <c r="F153" s="361"/>
      <c r="G153" s="362">
        <f>SUM(G138:G152)</f>
        <v>2479.1849999999026</v>
      </c>
      <c r="H153" s="363"/>
      <c r="I153" s="119">
        <f>G153-(G38+G52)</f>
        <v>377.414999999884</v>
      </c>
      <c r="J153" s="366"/>
    </row>
    <row r="154" spans="1:10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27.75">
      <c r="A155" s="876" t="s">
        <v>345</v>
      </c>
      <c r="B155" s="876"/>
      <c r="C155" s="876"/>
      <c r="D155" s="117" t="s">
        <v>130</v>
      </c>
      <c r="E155" s="95">
        <f>'28'!F155</f>
        <v>165613.18</v>
      </c>
      <c r="F155" s="389">
        <v>166176</v>
      </c>
      <c r="G155" s="112">
        <f t="shared" ref="G155:G158" si="13">F155-E155</f>
        <v>562.82000000000698</v>
      </c>
      <c r="H155" s="99">
        <f>G155+'28'!H155</f>
        <v>18027</v>
      </c>
      <c r="I155" s="364"/>
      <c r="J155" s="328">
        <f>H155/DAY(B2)</f>
        <v>621.62068965517244</v>
      </c>
    </row>
    <row r="156" spans="1:10" ht="25.5">
      <c r="A156" s="876" t="s">
        <v>347</v>
      </c>
      <c r="B156" s="876"/>
      <c r="C156" s="876"/>
      <c r="D156" s="117" t="s">
        <v>130</v>
      </c>
      <c r="E156" s="95">
        <f>'28'!F156</f>
        <v>17564</v>
      </c>
      <c r="F156" s="754">
        <v>17609</v>
      </c>
      <c r="G156" s="112">
        <f t="shared" si="13"/>
        <v>45</v>
      </c>
      <c r="H156" s="99">
        <f>G156+'28'!H156</f>
        <v>3073</v>
      </c>
      <c r="I156" s="165"/>
      <c r="J156" s="328">
        <f>H156/DAY(B2)</f>
        <v>105.96551724137932</v>
      </c>
    </row>
    <row r="157" spans="1:10" ht="25.5">
      <c r="A157" s="877" t="s">
        <v>360</v>
      </c>
      <c r="B157" s="878"/>
      <c r="C157" s="879"/>
      <c r="D157" s="117" t="s">
        <v>130</v>
      </c>
      <c r="E157" s="95">
        <f>'28'!F157</f>
        <v>31174.97</v>
      </c>
      <c r="F157" s="155">
        <v>31349</v>
      </c>
      <c r="G157" s="112">
        <f t="shared" si="13"/>
        <v>174.02999999999884</v>
      </c>
      <c r="H157" s="99">
        <f>G157+'28'!H157</f>
        <v>174.02999999999884</v>
      </c>
      <c r="I157" s="165"/>
      <c r="J157" s="328">
        <f>H157/DAY(B2)</f>
        <v>6.0010344827585804</v>
      </c>
    </row>
    <row r="158" spans="1:10" ht="25.5">
      <c r="A158" s="877" t="s">
        <v>361</v>
      </c>
      <c r="B158" s="878"/>
      <c r="C158" s="879"/>
      <c r="D158" s="117" t="s">
        <v>130</v>
      </c>
      <c r="E158" s="95">
        <f>'28'!F158</f>
        <v>313.8</v>
      </c>
      <c r="F158" s="155">
        <v>314</v>
      </c>
      <c r="G158" s="112">
        <f t="shared" si="13"/>
        <v>0.19999999999998863</v>
      </c>
      <c r="H158" s="99">
        <f>G158+'28'!H158</f>
        <v>0.19999999999998863</v>
      </c>
      <c r="I158" s="165"/>
      <c r="J158" s="328">
        <f>H158/DAY(B2)</f>
        <v>6.8965517241375389E-3</v>
      </c>
    </row>
    <row r="159" spans="1:10" ht="25.5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481722.4</v>
      </c>
      <c r="F161" s="235">
        <v>481757</v>
      </c>
      <c r="G161" s="238">
        <f t="shared" ref="G161:G165" si="14">F161-E161</f>
        <v>34.599999999976717</v>
      </c>
      <c r="H161" s="99">
        <f>G161+'28'!H161</f>
        <v>710</v>
      </c>
      <c r="I161" s="236"/>
      <c r="J161" s="239">
        <f>H161/DAY(B2)</f>
        <v>24.482758620689655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96010.4</v>
      </c>
      <c r="F162" s="235">
        <v>96052</v>
      </c>
      <c r="G162" s="238">
        <f t="shared" si="14"/>
        <v>41.600000000005821</v>
      </c>
      <c r="H162" s="99">
        <f>G162+'28'!H162</f>
        <v>1124</v>
      </c>
      <c r="I162" s="236"/>
      <c r="J162" s="239">
        <f>H162/DAY(B2)</f>
        <v>38.758620689655174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9736.9</v>
      </c>
      <c r="F163" s="235">
        <v>9857</v>
      </c>
      <c r="G163" s="238">
        <f t="shared" si="14"/>
        <v>120.10000000000036</v>
      </c>
      <c r="H163" s="99">
        <f>G163+'28'!H163</f>
        <v>3356</v>
      </c>
      <c r="I163" s="236"/>
      <c r="J163" s="239">
        <f>H163/DAY(B2)</f>
        <v>115.72413793103448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6401.1</v>
      </c>
      <c r="F164" s="235">
        <v>6408</v>
      </c>
      <c r="G164" s="238">
        <f t="shared" si="14"/>
        <v>6.8999999999996362</v>
      </c>
      <c r="H164" s="99">
        <f>G164+'28'!H164</f>
        <v>128</v>
      </c>
      <c r="I164" s="236"/>
      <c r="J164" s="239">
        <f>H164/DAY(B2)</f>
        <v>4.4137931034482758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31848.9</v>
      </c>
      <c r="F165" s="235">
        <v>31858</v>
      </c>
      <c r="G165" s="238">
        <f t="shared" si="14"/>
        <v>9.0999999999985448</v>
      </c>
      <c r="H165" s="99">
        <f>G165+'28'!H165</f>
        <v>224</v>
      </c>
      <c r="I165" s="236"/>
      <c r="J165" s="239">
        <f>H165/DAY(B2)</f>
        <v>7.7241379310344831</v>
      </c>
    </row>
    <row r="166" spans="1:10" ht="26.25">
      <c r="A166" s="885"/>
      <c r="B166" s="885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885"/>
      <c r="B167" s="885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885"/>
      <c r="B168" s="885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'28'!F173</f>
        <v>8576</v>
      </c>
      <c r="F173" s="155">
        <v>8578</v>
      </c>
      <c r="G173" s="155">
        <f>F173-E173</f>
        <v>2</v>
      </c>
      <c r="H173" s="99">
        <f>G173+'28'!H173</f>
        <v>55</v>
      </c>
      <c r="I173" s="155"/>
      <c r="J173" s="178">
        <f>H173/DAY(B2)</f>
        <v>1.896551724137931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'28'!F174</f>
        <v>41573</v>
      </c>
      <c r="F174" s="157">
        <v>41585</v>
      </c>
      <c r="G174" s="155">
        <f t="shared" ref="G174:G175" si="15">F174-E174</f>
        <v>12</v>
      </c>
      <c r="H174" s="99">
        <f>G174+'28'!H174</f>
        <v>381</v>
      </c>
      <c r="I174" s="155"/>
      <c r="J174" s="178">
        <f>H174/DAY(B2)</f>
        <v>13.137931034482758</v>
      </c>
    </row>
    <row r="175" spans="1:10" ht="25.5">
      <c r="A175" s="891" t="s">
        <v>76</v>
      </c>
      <c r="B175" s="931"/>
      <c r="C175" s="892"/>
      <c r="D175" s="228" t="s">
        <v>142</v>
      </c>
      <c r="E175" s="95">
        <f>'28'!F175</f>
        <v>24338</v>
      </c>
      <c r="F175" s="155">
        <v>24349</v>
      </c>
      <c r="G175" s="155">
        <f t="shared" si="15"/>
        <v>11</v>
      </c>
      <c r="H175" s="99">
        <f>G175+'28'!H175</f>
        <v>318</v>
      </c>
      <c r="I175" s="155"/>
      <c r="J175" s="178">
        <f>H175/DAY(B2)</f>
        <v>10.96551724137931</v>
      </c>
    </row>
    <row r="176" spans="1:10" ht="25.5">
      <c r="A176" s="880" t="s">
        <v>196</v>
      </c>
      <c r="B176" s="881"/>
      <c r="C176" s="401"/>
      <c r="D176" s="228"/>
      <c r="E176" s="95"/>
      <c r="F176" s="155"/>
      <c r="G176" s="155">
        <f>SUM(G173:G175)</f>
        <v>25</v>
      </c>
      <c r="H176" s="99">
        <f>G176+'28'!H176</f>
        <v>754</v>
      </c>
      <c r="I176" s="155"/>
      <c r="J176" s="178">
        <f>H176/DAY(B2)</f>
        <v>26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'28'!F178</f>
        <v>99859</v>
      </c>
      <c r="F178" s="155">
        <v>99899</v>
      </c>
      <c r="G178" s="155">
        <f>F178-E178</f>
        <v>40</v>
      </c>
      <c r="H178" s="99">
        <f>G178+'28'!H178</f>
        <v>2186</v>
      </c>
      <c r="I178" s="155"/>
      <c r="J178" s="178">
        <f>H178/DAY(B2)</f>
        <v>75.379310344827587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'28'!F179</f>
        <v>37279</v>
      </c>
      <c r="F179" s="155">
        <v>37293</v>
      </c>
      <c r="G179" s="155">
        <f t="shared" ref="G179:G180" si="16">F179-E179</f>
        <v>14</v>
      </c>
      <c r="H179" s="99">
        <f>G179+'28'!H179</f>
        <v>81</v>
      </c>
      <c r="I179" s="155"/>
      <c r="J179" s="178">
        <f>H179/DAY(B2)</f>
        <v>2.7931034482758621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'28'!F180</f>
        <v>7187</v>
      </c>
      <c r="F180" s="155">
        <v>7187</v>
      </c>
      <c r="G180" s="155">
        <f t="shared" si="16"/>
        <v>0</v>
      </c>
      <c r="H180" s="99">
        <f>G180+'28'!H180</f>
        <v>198</v>
      </c>
      <c r="I180" s="155"/>
      <c r="J180" s="178">
        <f>H180/DAY(B2)</f>
        <v>6.8275862068965516</v>
      </c>
    </row>
    <row r="181" spans="1:10" ht="25.5">
      <c r="A181" s="893" t="s">
        <v>108</v>
      </c>
      <c r="B181" s="894"/>
      <c r="C181" s="401"/>
      <c r="D181" s="228"/>
      <c r="E181" s="95"/>
      <c r="F181" s="155"/>
      <c r="G181" s="155">
        <f>SUM(G178:G180)</f>
        <v>54</v>
      </c>
      <c r="H181" s="99">
        <f>G181+'28'!H181</f>
        <v>2465</v>
      </c>
      <c r="I181" s="155"/>
      <c r="J181" s="178">
        <f>H181/DAY(B2)</f>
        <v>85</v>
      </c>
    </row>
    <row r="182" spans="1:10" ht="25.5">
      <c r="A182" s="891" t="s">
        <v>213</v>
      </c>
      <c r="B182" s="892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'28'!F183</f>
        <v>17667</v>
      </c>
      <c r="F183" s="157">
        <v>17669</v>
      </c>
      <c r="G183" s="157">
        <f>F183-E183</f>
        <v>2</v>
      </c>
      <c r="H183" s="99">
        <f>G183+'28'!H183</f>
        <v>196</v>
      </c>
      <c r="I183" s="155"/>
      <c r="J183" s="178">
        <f>H183/DAY(B2)</f>
        <v>6.7586206896551726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'28'!F184</f>
        <v>12139</v>
      </c>
      <c r="F184" s="157">
        <v>12146</v>
      </c>
      <c r="G184" s="157">
        <f t="shared" ref="G184:G185" si="17">F184-E184</f>
        <v>7</v>
      </c>
      <c r="H184" s="99">
        <f>G184+'28'!H184</f>
        <v>211</v>
      </c>
      <c r="I184" s="155"/>
      <c r="J184" s="178">
        <f>H184/DAY(B2)</f>
        <v>7.2758620689655169</v>
      </c>
    </row>
    <row r="185" spans="1:10" ht="25.5">
      <c r="A185" s="891" t="s">
        <v>216</v>
      </c>
      <c r="B185" s="892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5.5">
      <c r="A186" s="880" t="s">
        <v>196</v>
      </c>
      <c r="B186" s="881"/>
      <c r="C186" s="400"/>
      <c r="D186" s="229"/>
      <c r="E186" s="95"/>
      <c r="F186" s="157"/>
      <c r="G186" s="157">
        <f>SUM(G183:G185)</f>
        <v>9</v>
      </c>
      <c r="H186" s="99">
        <f>G186+'28'!H186</f>
        <v>407</v>
      </c>
      <c r="I186" s="157"/>
      <c r="J186" s="178">
        <f>H186/DAY(B2)</f>
        <v>14.03448275862069</v>
      </c>
    </row>
    <row r="187" spans="1:10" ht="25.5">
      <c r="A187" s="882" t="s">
        <v>217</v>
      </c>
      <c r="B187" s="883"/>
      <c r="C187" s="333"/>
      <c r="D187" s="230" t="s">
        <v>142</v>
      </c>
      <c r="E187" s="95">
        <f>'28'!F187</f>
        <v>0</v>
      </c>
      <c r="F187" s="159"/>
      <c r="G187" s="466">
        <f>G62+G19</f>
        <v>123</v>
      </c>
      <c r="H187" s="99">
        <f>G187+'28'!H187</f>
        <v>4515</v>
      </c>
      <c r="I187" s="158"/>
      <c r="J187" s="179">
        <f>H187/DAY(B2)</f>
        <v>155.68965517241378</v>
      </c>
    </row>
    <row r="188" spans="1:10" ht="25.5">
      <c r="A188" s="882" t="s">
        <v>218</v>
      </c>
      <c r="B188" s="883"/>
      <c r="C188" s="333"/>
      <c r="D188" s="230" t="s">
        <v>142</v>
      </c>
      <c r="E188" s="95">
        <f>'28'!F188</f>
        <v>0</v>
      </c>
      <c r="F188" s="159"/>
      <c r="G188" s="466">
        <f>G65+G66+G67+G69+G70</f>
        <v>123</v>
      </c>
      <c r="H188" s="99">
        <f>G188+'28'!H188</f>
        <v>2240</v>
      </c>
      <c r="I188" s="158"/>
      <c r="J188" s="179">
        <f>H188/DAY(B2)</f>
        <v>77.241379310344826</v>
      </c>
    </row>
    <row r="189" spans="1:10" ht="25.5">
      <c r="A189" s="882" t="s">
        <v>219</v>
      </c>
      <c r="B189" s="883"/>
      <c r="C189" s="333"/>
      <c r="D189" s="230" t="s">
        <v>142</v>
      </c>
      <c r="E189" s="95">
        <f>'28'!F189</f>
        <v>0</v>
      </c>
      <c r="F189" s="157"/>
      <c r="G189" s="417">
        <f>G181</f>
        <v>54</v>
      </c>
      <c r="H189" s="99">
        <f>G189+'28'!H189</f>
        <v>956</v>
      </c>
      <c r="I189" s="158"/>
      <c r="J189" s="179">
        <f>H189/DAY(B2)</f>
        <v>32.96551724137931</v>
      </c>
    </row>
    <row r="190" spans="1:10" ht="25.5">
      <c r="A190" s="889"/>
      <c r="B190" s="89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topLeftCell="A79" zoomScale="55" zoomScaleNormal="55" zoomScaleSheetLayoutView="55" workbookViewId="0">
      <selection activeCell="F88" sqref="F88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30.75" customHeight="1">
      <c r="A2" s="191" t="s">
        <v>349</v>
      </c>
      <c r="B2" s="262">
        <v>44803</v>
      </c>
      <c r="C2" s="348" t="s">
        <v>67</v>
      </c>
      <c r="D2" s="218">
        <v>0.73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31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74554</v>
      </c>
      <c r="F7" s="95">
        <v>98390</v>
      </c>
      <c r="G7" s="112">
        <f>F7-E7</f>
        <v>23836</v>
      </c>
      <c r="H7" s="99">
        <f>G7+'29'!H7</f>
        <v>761923.5</v>
      </c>
      <c r="I7" s="113">
        <f>'1'!I7</f>
        <v>12000</v>
      </c>
      <c r="J7" s="175">
        <f>H7/DAY(B2)</f>
        <v>25397.45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'29'!F8</f>
        <v>233624</v>
      </c>
      <c r="F8" s="95">
        <v>257631</v>
      </c>
      <c r="G8" s="112">
        <f>F8-E8</f>
        <v>24007</v>
      </c>
      <c r="H8" s="99">
        <f>G8+'29'!H8</f>
        <v>769234.7</v>
      </c>
      <c r="I8" s="116"/>
      <c r="J8" s="175">
        <f>H8/DAY(B2)</f>
        <v>25641.156666666666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3471817</v>
      </c>
      <c r="F9" s="469">
        <v>3479723.9</v>
      </c>
      <c r="G9" s="357">
        <f>F9-E9</f>
        <v>7906.8999999999069</v>
      </c>
      <c r="H9" s="99">
        <f>G9+'29'!H9</f>
        <v>200657.89999999991</v>
      </c>
      <c r="I9" s="124">
        <f>I7-J7</f>
        <v>-13397.45</v>
      </c>
      <c r="J9" s="175">
        <f>H9/DAY(B2)</f>
        <v>6688.5966666666636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2191977</v>
      </c>
      <c r="F10" s="353">
        <v>2207278</v>
      </c>
      <c r="G10" s="112">
        <f t="shared" ref="G10:G12" si="0">F10-E10</f>
        <v>15301</v>
      </c>
      <c r="H10" s="99">
        <f>G10+'29'!H10</f>
        <v>540120</v>
      </c>
      <c r="I10" s="282"/>
      <c r="J10" s="175">
        <f>H10/DAY(B2)</f>
        <v>18004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37560</v>
      </c>
      <c r="F11" s="95">
        <v>37560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40380</v>
      </c>
      <c r="F12" s="117">
        <v>40380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23207.899999999907</v>
      </c>
      <c r="H13" s="99">
        <f>G13+'29'!H13</f>
        <v>742112.49999999977</v>
      </c>
      <c r="I13" s="120">
        <f>G7-G13</f>
        <v>628.10000000009313</v>
      </c>
      <c r="J13" s="175">
        <f>H13/DAY(B2)</f>
        <v>24737.083333333325</v>
      </c>
      <c r="K13" s="79"/>
      <c r="L13" s="66"/>
      <c r="N13" s="87"/>
      <c r="O13" s="71" t="s">
        <v>371</v>
      </c>
    </row>
    <row r="14" spans="1:15" ht="30.75" customHeight="1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'29'!F15</f>
        <v>2130054</v>
      </c>
      <c r="F15" s="469">
        <v>2130959</v>
      </c>
      <c r="G15" s="112">
        <f>(F15-E15)</f>
        <v>905</v>
      </c>
      <c r="H15" s="99">
        <f>G15+'29'!H15</f>
        <v>30091</v>
      </c>
      <c r="I15" s="113">
        <f>'1'!I15</f>
        <v>800</v>
      </c>
      <c r="J15" s="175">
        <f>H15/DAY(B2)</f>
        <v>1003.0333333333333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-203.0333333333333</v>
      </c>
      <c r="J16" s="176"/>
      <c r="K16" s="79"/>
      <c r="L16" s="66"/>
      <c r="N16" s="87"/>
      <c r="O16" s="71"/>
    </row>
    <row r="17" spans="1:15" ht="30.75" customHeight="1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19" t="s">
        <v>141</v>
      </c>
      <c r="B18" s="920"/>
      <c r="C18" s="921"/>
      <c r="D18" s="151" t="s">
        <v>142</v>
      </c>
      <c r="E18" s="95">
        <f>'29'!F18</f>
        <v>17</v>
      </c>
      <c r="F18" s="122">
        <v>15</v>
      </c>
      <c r="G18" s="119">
        <f>F18*10</f>
        <v>150</v>
      </c>
      <c r="H18" s="99">
        <f>G18+'29'!H18</f>
        <v>4860</v>
      </c>
      <c r="I18" s="113">
        <f>'1'!I18</f>
        <v>65</v>
      </c>
      <c r="J18" s="175">
        <f>H18/DAY(B2)</f>
        <v>162</v>
      </c>
      <c r="K18" s="79"/>
      <c r="L18" s="66"/>
      <c r="N18" s="87"/>
      <c r="O18" s="71"/>
    </row>
    <row r="19" spans="1:15" ht="30.75" customHeight="1">
      <c r="A19" s="919" t="s">
        <v>69</v>
      </c>
      <c r="B19" s="920"/>
      <c r="C19" s="921"/>
      <c r="D19" s="151" t="s">
        <v>142</v>
      </c>
      <c r="E19" s="95">
        <f>'29'!F19</f>
        <v>163790</v>
      </c>
      <c r="F19" s="122">
        <v>163840</v>
      </c>
      <c r="G19" s="112">
        <f t="shared" ref="G19" si="1">F19-E19</f>
        <v>50</v>
      </c>
      <c r="H19" s="99">
        <f>G19+'29'!H19</f>
        <v>1505</v>
      </c>
      <c r="I19" s="335"/>
      <c r="J19" s="175">
        <f>H19/DAY(B2)</f>
        <v>50.166666666666664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G20+'29'!H20</f>
        <v>6365</v>
      </c>
      <c r="I20" s="336">
        <f>I18-J20</f>
        <v>-147.16666666666666</v>
      </c>
      <c r="J20" s="175">
        <f>H20/DAY(B2)</f>
        <v>212.16666666666666</v>
      </c>
      <c r="K20" s="79"/>
      <c r="L20" s="66"/>
      <c r="N20" s="87"/>
      <c r="O20" s="71"/>
    </row>
    <row r="21" spans="1:15" ht="30.75" customHeight="1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24007</v>
      </c>
      <c r="F27" s="136">
        <v>9</v>
      </c>
      <c r="G27" s="137">
        <f>E27*F27</f>
        <v>216063</v>
      </c>
      <c r="H27" s="99">
        <f>G27+'29'!H27</f>
        <v>6923112.2999999998</v>
      </c>
      <c r="I27" s="138"/>
      <c r="J27" s="175">
        <f>H27/DAY(B2)</f>
        <v>230770.41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905</v>
      </c>
      <c r="F28" s="136">
        <v>70</v>
      </c>
      <c r="G28" s="137">
        <f>E28*F28</f>
        <v>63350</v>
      </c>
      <c r="H28" s="99">
        <f>G28+'29'!H28</f>
        <v>2106370</v>
      </c>
      <c r="I28" s="140"/>
      <c r="J28" s="175">
        <f>H28/DAY(B2)</f>
        <v>70212.333333333328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G30+'29'!H30</f>
        <v>227255</v>
      </c>
      <c r="I30" s="140"/>
      <c r="J30" s="175">
        <f>H30/DAY(B2)</f>
        <v>7575.166666666667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G31+'29'!H31</f>
        <v>388800</v>
      </c>
      <c r="I31" s="140"/>
      <c r="J31" s="175">
        <f>H31/DAY(B2)</f>
        <v>12960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298963</v>
      </c>
      <c r="H32" s="99">
        <f>G32+'29'!H32</f>
        <v>9645537.3000000007</v>
      </c>
      <c r="I32" s="144"/>
      <c r="J32" s="175">
        <f>H32/DAY(B2)</f>
        <v>321517.91000000003</v>
      </c>
      <c r="K32" s="63"/>
      <c r="L32" s="89"/>
      <c r="N32" s="87"/>
      <c r="O32" s="71"/>
    </row>
    <row r="33" spans="1:15" ht="30.75" customHeight="1">
      <c r="A33" s="951" t="s">
        <v>331</v>
      </c>
      <c r="B33" s="952"/>
      <c r="C33" s="95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238713.05</v>
      </c>
      <c r="F35" s="145">
        <v>238713.05</v>
      </c>
      <c r="G35" s="112">
        <f t="shared" ref="G35:G46" si="3">F35-E35</f>
        <v>0</v>
      </c>
      <c r="H35" s="99">
        <f>G35+'29'!H35</f>
        <v>4.9999999988358468E-2</v>
      </c>
      <c r="I35" s="95"/>
      <c r="J35" s="175">
        <f>H35/DAY(B2)</f>
        <v>1.6666666662786156E-3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240331</v>
      </c>
      <c r="F36" s="145">
        <v>241125.49</v>
      </c>
      <c r="G36" s="112">
        <f t="shared" si="3"/>
        <v>794.48999999999069</v>
      </c>
      <c r="H36" s="99">
        <f>G36+'29'!H36</f>
        <v>25595.489999999991</v>
      </c>
      <c r="I36" s="95"/>
      <c r="J36" s="175">
        <f>H36/DAY(B2)</f>
        <v>853.18299999999965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322998.69</v>
      </c>
      <c r="F37" s="145">
        <v>322998.69</v>
      </c>
      <c r="G37" s="112">
        <f t="shared" si="3"/>
        <v>0</v>
      </c>
      <c r="H37" s="99">
        <f>G37+'29'!H37</f>
        <v>-0.30999999999767169</v>
      </c>
      <c r="I37" s="95"/>
      <c r="J37" s="175">
        <f>H37/DAY(B2)</f>
        <v>-1.0333333333255723E-2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521295</v>
      </c>
      <c r="F38" s="108">
        <v>523496.71</v>
      </c>
      <c r="G38" s="112">
        <f t="shared" si="3"/>
        <v>2201.710000000021</v>
      </c>
      <c r="H38" s="99">
        <f>G38+'29'!H38</f>
        <v>66135.710000000021</v>
      </c>
      <c r="I38" s="95"/>
      <c r="J38" s="175">
        <f>H38/DAY(B2)</f>
        <v>2204.5236666666674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591584</v>
      </c>
      <c r="F39" s="145">
        <v>591584.18999999994</v>
      </c>
      <c r="G39" s="112">
        <f t="shared" si="3"/>
        <v>0.18999999994412065</v>
      </c>
      <c r="H39" s="99">
        <f>G39+'29'!H39</f>
        <v>0.18999999994412065</v>
      </c>
      <c r="I39" s="95"/>
      <c r="J39" s="175">
        <f>H39/DAY(B2)</f>
        <v>6.3333333314706886E-3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131538</v>
      </c>
      <c r="F40" s="145">
        <v>132344.38</v>
      </c>
      <c r="G40" s="112">
        <f t="shared" si="3"/>
        <v>806.38000000000466</v>
      </c>
      <c r="H40" s="99">
        <f>G40+'29'!H40</f>
        <v>25568.380000000005</v>
      </c>
      <c r="I40" s="95"/>
      <c r="J40" s="175">
        <f>H40/DAY(B2)</f>
        <v>852.27933333333351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271375</v>
      </c>
      <c r="F41" s="145">
        <v>276478.15000000002</v>
      </c>
      <c r="G41" s="112">
        <f t="shared" si="3"/>
        <v>5103.1500000000233</v>
      </c>
      <c r="H41" s="99">
        <f>G41+'29'!H41</f>
        <v>64775.150000000023</v>
      </c>
      <c r="I41" s="95"/>
      <c r="J41" s="175">
        <f>H41/DAY(B2)</f>
        <v>2159.1716666666675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796748.63</v>
      </c>
      <c r="F42" s="423">
        <v>796748.63</v>
      </c>
      <c r="G42" s="112">
        <f t="shared" si="3"/>
        <v>0</v>
      </c>
      <c r="H42" s="99">
        <f>G42+'29'!H42</f>
        <v>48384.630000000005</v>
      </c>
      <c r="I42" s="95"/>
      <c r="J42" s="175">
        <f>H42/DAY(B2)</f>
        <v>1612.8210000000001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407028</v>
      </c>
      <c r="F43" s="145">
        <v>407028</v>
      </c>
      <c r="G43" s="112">
        <f t="shared" si="3"/>
        <v>0</v>
      </c>
      <c r="H43" s="99">
        <f>G43+'29'!H43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8905.9199999999837</v>
      </c>
      <c r="H47" s="99">
        <f>G47+'29'!H47</f>
        <v>230459.28999999998</v>
      </c>
      <c r="I47" s="95"/>
      <c r="J47" s="175">
        <f>H47/DAY(B2)</f>
        <v>7681.9763333333331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598870</v>
      </c>
      <c r="F49" s="145">
        <v>602720.43000000005</v>
      </c>
      <c r="G49" s="112">
        <f t="shared" ref="G49:G58" si="4">F49-E49</f>
        <v>3850.4300000000512</v>
      </c>
      <c r="H49" s="99">
        <f>G49+'29'!H49</f>
        <v>117666.43000000005</v>
      </c>
      <c r="I49" s="95"/>
      <c r="J49" s="175">
        <f>H49/DAY(B2)</f>
        <v>3922.2143333333352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318488</v>
      </c>
      <c r="F50" s="145">
        <v>319554.23</v>
      </c>
      <c r="G50" s="112">
        <f t="shared" si="4"/>
        <v>1066.2299999999814</v>
      </c>
      <c r="H50" s="99">
        <f>G50+'29'!H50</f>
        <v>243437.65999999997</v>
      </c>
      <c r="I50" s="95"/>
      <c r="J50" s="175">
        <f>H50/DAY(B2)</f>
        <v>8114.5886666666656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38810</v>
      </c>
      <c r="F51" s="145">
        <v>39647.730000000003</v>
      </c>
      <c r="G51" s="112">
        <f t="shared" si="4"/>
        <v>837.7300000000032</v>
      </c>
      <c r="H51" s="99">
        <f>G51+'29'!H51</f>
        <v>31139.730000000003</v>
      </c>
      <c r="I51" s="95"/>
      <c r="J51" s="175">
        <f>H51/DAY(B2)</f>
        <v>1037.9910000000002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10</v>
      </c>
      <c r="F52" s="145">
        <v>10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159070</v>
      </c>
      <c r="F53" s="418">
        <v>163168.19</v>
      </c>
      <c r="G53" s="112">
        <f t="shared" si="4"/>
        <v>4098.1900000000023</v>
      </c>
      <c r="H53" s="99">
        <f>G53+'29'!H53</f>
        <v>129307.19</v>
      </c>
      <c r="I53" s="95"/>
      <c r="J53" s="175">
        <f>H53/DAY(B2)</f>
        <v>4310.2396666666664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95354</v>
      </c>
      <c r="F54" s="418">
        <v>95536.6</v>
      </c>
      <c r="G54" s="112">
        <f t="shared" si="4"/>
        <v>182.60000000000582</v>
      </c>
      <c r="H54" s="99">
        <f>G54+'29'!H54</f>
        <v>7593.6000000000058</v>
      </c>
      <c r="I54" s="95"/>
      <c r="J54" s="175">
        <f>H54/DAY(B2)</f>
        <v>253.1200000000002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443169.75</v>
      </c>
      <c r="F55" s="418">
        <v>443169.45</v>
      </c>
      <c r="G55" s="112">
        <f t="shared" si="4"/>
        <v>-0.29999999998835847</v>
      </c>
      <c r="H55" s="99">
        <f>G55+'29'!H55</f>
        <v>80392.450000000012</v>
      </c>
      <c r="I55" s="95"/>
      <c r="J55" s="175">
        <f>H55/DAY(B2)</f>
        <v>2679.7483333333339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124727</v>
      </c>
      <c r="F56" s="418">
        <v>126047.69</v>
      </c>
      <c r="G56" s="112">
        <f t="shared" si="4"/>
        <v>1320.6900000000023</v>
      </c>
      <c r="H56" s="99">
        <f>G56+'29'!H56</f>
        <v>2165.6900000000023</v>
      </c>
      <c r="I56" s="95"/>
      <c r="J56" s="175">
        <f>H56/DAY(B2)</f>
        <v>72.189666666666739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316339</v>
      </c>
      <c r="F57" s="418">
        <v>319261.61</v>
      </c>
      <c r="G57" s="112">
        <f t="shared" si="4"/>
        <v>2922.609999999986</v>
      </c>
      <c r="H57" s="99">
        <f>G57+'29'!H57</f>
        <v>93091.609999999986</v>
      </c>
      <c r="I57" s="95"/>
      <c r="J57" s="175">
        <f>H57/DAY(B2)</f>
        <v>3103.0536666666662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56332</v>
      </c>
      <c r="F58" s="418">
        <v>56553.08</v>
      </c>
      <c r="G58" s="112">
        <f t="shared" si="4"/>
        <v>221.08000000000175</v>
      </c>
      <c r="H58" s="99">
        <f>G58+'29'!H58</f>
        <v>7444.0800000000017</v>
      </c>
      <c r="I58" s="95"/>
      <c r="J58" s="175">
        <f>H58/DAY(B2)</f>
        <v>248.13600000000005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14499.260000000046</v>
      </c>
      <c r="H59" s="99">
        <f>G59+'29'!H59</f>
        <v>505605.01000000013</v>
      </c>
      <c r="I59" s="95">
        <f>G7-G60</f>
        <v>430.81999999997061</v>
      </c>
      <c r="J59" s="175">
        <f>H59/DAY(B2)</f>
        <v>16853.500333333337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23405.180000000029</v>
      </c>
      <c r="H60" s="99">
        <f>G60+'29'!H60</f>
        <v>736064.30000000016</v>
      </c>
      <c r="I60" s="95">
        <f>G13-G60</f>
        <v>-197.28000000012253</v>
      </c>
      <c r="J60" s="175">
        <f>H60/DAY(B2)</f>
        <v>24535.476666666673</v>
      </c>
      <c r="K60" s="79"/>
      <c r="L60" s="66"/>
      <c r="N60" s="87"/>
      <c r="O60" s="71"/>
    </row>
    <row r="61" spans="1:15" s="68" customFormat="1" ht="30.75" customHeight="1">
      <c r="A61" s="953" t="s">
        <v>332</v>
      </c>
      <c r="B61" s="954"/>
      <c r="C61" s="955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919" t="s">
        <v>198</v>
      </c>
      <c r="B62" s="920"/>
      <c r="C62" s="921"/>
      <c r="D62" s="151" t="s">
        <v>142</v>
      </c>
      <c r="E62" s="95">
        <f>'29'!F62</f>
        <v>299335</v>
      </c>
      <c r="F62" s="150">
        <v>299409</v>
      </c>
      <c r="G62" s="112">
        <f t="shared" ref="G62:G63" si="5">F62-E62</f>
        <v>74</v>
      </c>
      <c r="H62" s="99">
        <f>G62+'29'!H62</f>
        <v>3134</v>
      </c>
      <c r="I62" s="118"/>
      <c r="J62" s="175">
        <f>H62/DAY(B2)</f>
        <v>104.46666666666667</v>
      </c>
      <c r="K62" s="80"/>
      <c r="L62" s="66"/>
      <c r="N62" s="87"/>
      <c r="O62" s="71"/>
    </row>
    <row r="63" spans="1:15" ht="30.75" customHeight="1">
      <c r="A63" s="919" t="s">
        <v>199</v>
      </c>
      <c r="B63" s="920"/>
      <c r="C63" s="921"/>
      <c r="D63" s="151" t="s">
        <v>142</v>
      </c>
      <c r="E63" s="95">
        <f>'29'!F63</f>
        <v>242392</v>
      </c>
      <c r="F63" s="150">
        <v>242487</v>
      </c>
      <c r="G63" s="112">
        <f t="shared" si="5"/>
        <v>95</v>
      </c>
      <c r="H63" s="99">
        <f>G63+'29'!H63</f>
        <v>3354</v>
      </c>
      <c r="I63" s="118"/>
      <c r="J63" s="175">
        <f>H63/DAY(B2)</f>
        <v>111.8</v>
      </c>
      <c r="K63" s="69"/>
      <c r="L63" s="66"/>
      <c r="N63" s="87"/>
      <c r="O63" s="71"/>
    </row>
    <row r="64" spans="1:15" ht="30.75" customHeight="1">
      <c r="A64" s="928" t="s">
        <v>200</v>
      </c>
      <c r="B64" s="929"/>
      <c r="C64" s="930"/>
      <c r="D64" s="151"/>
      <c r="E64" s="95">
        <f>'29'!F64</f>
        <v>0</v>
      </c>
      <c r="F64" s="150"/>
      <c r="G64" s="112">
        <f>G62+G63</f>
        <v>169</v>
      </c>
      <c r="H64" s="99">
        <f>G64+'29'!H64</f>
        <v>6488</v>
      </c>
      <c r="I64" s="118"/>
      <c r="J64" s="175">
        <f>H64/DAY(B2)</f>
        <v>216.26666666666668</v>
      </c>
      <c r="K64" s="69"/>
      <c r="L64" s="66"/>
      <c r="N64" s="87"/>
      <c r="O64" s="71"/>
    </row>
    <row r="65" spans="1:15" ht="30.75" customHeight="1">
      <c r="A65" s="919" t="s">
        <v>201</v>
      </c>
      <c r="B65" s="920"/>
      <c r="C65" s="921"/>
      <c r="D65" s="151" t="s">
        <v>142</v>
      </c>
      <c r="E65" s="95">
        <f>'29'!F65</f>
        <v>457654</v>
      </c>
      <c r="F65" s="150">
        <v>457743</v>
      </c>
      <c r="G65" s="112">
        <f t="shared" ref="G65:G70" si="6">F65-E65</f>
        <v>89</v>
      </c>
      <c r="H65" s="99">
        <f>G65+'29'!H65</f>
        <v>3033</v>
      </c>
      <c r="I65" s="118"/>
      <c r="J65" s="175">
        <f>H65/DAY(B2)</f>
        <v>101.1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112287</v>
      </c>
      <c r="F66" s="150">
        <v>112291</v>
      </c>
      <c r="G66" s="112">
        <f t="shared" si="6"/>
        <v>4</v>
      </c>
      <c r="H66" s="99">
        <f>G66+'29'!H66</f>
        <v>569</v>
      </c>
      <c r="I66" s="118"/>
      <c r="J66" s="175">
        <f>H66/DAY(B2)</f>
        <v>18.966666666666665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114166</v>
      </c>
      <c r="F67" s="150">
        <v>114183</v>
      </c>
      <c r="G67" s="112">
        <f t="shared" si="6"/>
        <v>17</v>
      </c>
      <c r="H67" s="99">
        <f>G67+'29'!H67</f>
        <v>503</v>
      </c>
      <c r="I67" s="118"/>
      <c r="J67" s="175">
        <f>H67/DAY(B2)</f>
        <v>16.766666666666666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165468</v>
      </c>
      <c r="F68" s="150">
        <v>165510</v>
      </c>
      <c r="G68" s="112">
        <f t="shared" si="6"/>
        <v>42</v>
      </c>
      <c r="H68" s="99">
        <f>G68+'29'!H68</f>
        <v>848</v>
      </c>
      <c r="I68" s="118"/>
      <c r="J68" s="175">
        <f>H68/DAY(B2)</f>
        <v>28.266666666666666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12429</v>
      </c>
      <c r="F69" s="150">
        <v>12429</v>
      </c>
      <c r="G69" s="112">
        <f t="shared" si="6"/>
        <v>0</v>
      </c>
      <c r="H69" s="99">
        <f>G69+'29'!H69</f>
        <v>154</v>
      </c>
      <c r="I69" s="118"/>
      <c r="J69" s="175">
        <f>H69/DAY(B2)</f>
        <v>5.1333333333333337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10087</v>
      </c>
      <c r="F70" s="150">
        <v>10092</v>
      </c>
      <c r="G70" s="236">
        <f t="shared" si="6"/>
        <v>5</v>
      </c>
      <c r="H70" s="99">
        <f>G70+'29'!H70</f>
        <v>265</v>
      </c>
      <c r="I70" s="118"/>
      <c r="J70" s="175">
        <f>H70/DAY(B2)</f>
        <v>8.8333333333333339</v>
      </c>
      <c r="K70" s="69"/>
      <c r="L70" s="66"/>
      <c r="N70" s="87"/>
      <c r="O70" s="71"/>
    </row>
    <row r="71" spans="1:15" ht="30.75" customHeight="1">
      <c r="A71" s="928" t="s">
        <v>208</v>
      </c>
      <c r="B71" s="929"/>
      <c r="C71" s="930"/>
      <c r="D71" s="152"/>
      <c r="E71" s="152"/>
      <c r="F71" s="152"/>
      <c r="G71" s="153">
        <f>SUM(G65:G70)</f>
        <v>157</v>
      </c>
      <c r="H71" s="99">
        <f>G71+'29'!H71</f>
        <v>5372</v>
      </c>
      <c r="I71" s="154"/>
      <c r="J71" s="175">
        <f>H71/DAY(B2)</f>
        <v>179.06666666666666</v>
      </c>
      <c r="K71" s="69"/>
      <c r="L71" s="66"/>
      <c r="N71" s="87"/>
      <c r="O71" s="71"/>
    </row>
    <row r="72" spans="1:15" s="88" customFormat="1" ht="30.75" customHeight="1">
      <c r="A72" s="915"/>
      <c r="B72" s="900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919" t="s">
        <v>220</v>
      </c>
      <c r="B74" s="920"/>
      <c r="C74" s="921"/>
      <c r="D74" s="151" t="s">
        <v>139</v>
      </c>
      <c r="E74" s="95">
        <f>'29'!F74</f>
        <v>966616</v>
      </c>
      <c r="F74" s="123">
        <v>966897.75</v>
      </c>
      <c r="G74" s="112">
        <f t="shared" ref="G74:G78" si="7">F74-E74</f>
        <v>281.75</v>
      </c>
      <c r="H74" s="99">
        <f>G74+'29'!H74</f>
        <v>9239.890000000014</v>
      </c>
      <c r="I74" s="154"/>
      <c r="J74" s="175">
        <f>H74/DAY(B2)</f>
        <v>307.99633333333378</v>
      </c>
      <c r="K74" s="69"/>
      <c r="L74" s="66"/>
      <c r="N74" s="87"/>
      <c r="O74" s="71"/>
    </row>
    <row r="75" spans="1:15" ht="30.75" customHeight="1">
      <c r="A75" s="919" t="s">
        <v>221</v>
      </c>
      <c r="B75" s="920"/>
      <c r="C75" s="921"/>
      <c r="D75" s="151" t="s">
        <v>139</v>
      </c>
      <c r="E75" s="95">
        <f>'29'!F75</f>
        <v>73586</v>
      </c>
      <c r="F75" s="123">
        <v>73586</v>
      </c>
      <c r="G75" s="112">
        <f t="shared" si="7"/>
        <v>0</v>
      </c>
      <c r="H75" s="99">
        <f>G75+'29'!H75</f>
        <v>-0.80000000000291038</v>
      </c>
      <c r="I75" s="154"/>
      <c r="J75" s="175">
        <f>H75/DAY(B2)</f>
        <v>-2.6666666666763681E-2</v>
      </c>
      <c r="K75" s="69"/>
      <c r="L75" s="66"/>
      <c r="N75" s="87"/>
      <c r="O75" s="71"/>
    </row>
    <row r="76" spans="1:15" ht="30.75" customHeight="1">
      <c r="A76" s="916" t="s">
        <v>222</v>
      </c>
      <c r="B76" s="917"/>
      <c r="C76" s="918"/>
      <c r="D76" s="151" t="s">
        <v>139</v>
      </c>
      <c r="E76" s="95">
        <f>'29'!F76</f>
        <v>193245</v>
      </c>
      <c r="F76" s="123">
        <v>193336.7</v>
      </c>
      <c r="G76" s="112">
        <f t="shared" si="7"/>
        <v>91.700000000011642</v>
      </c>
      <c r="H76" s="99">
        <f>G76+'29'!H76</f>
        <v>3164.7000000000116</v>
      </c>
      <c r="I76" s="154"/>
      <c r="J76" s="175">
        <f>H76/DAY(B2)</f>
        <v>105.49000000000039</v>
      </c>
      <c r="K76" s="69"/>
      <c r="L76" s="66"/>
      <c r="N76" s="87"/>
      <c r="O76" s="71"/>
    </row>
    <row r="77" spans="1:15" ht="30.75" customHeight="1">
      <c r="A77" s="916" t="s">
        <v>223</v>
      </c>
      <c r="B77" s="917"/>
      <c r="C77" s="918"/>
      <c r="D77" s="151" t="s">
        <v>139</v>
      </c>
      <c r="E77" s="95">
        <f>'29'!F77</f>
        <v>51750</v>
      </c>
      <c r="F77" s="123">
        <v>51798</v>
      </c>
      <c r="G77" s="112">
        <f t="shared" si="7"/>
        <v>48</v>
      </c>
      <c r="H77" s="99">
        <f>G77+'29'!H77</f>
        <v>1485</v>
      </c>
      <c r="I77" s="154"/>
      <c r="J77" s="175">
        <f>H77/DAY(B2)</f>
        <v>49.5</v>
      </c>
      <c r="K77" s="69"/>
      <c r="L77" s="66"/>
      <c r="N77" s="87"/>
      <c r="O77" s="71"/>
    </row>
    <row r="78" spans="1:15" ht="30.75" customHeight="1">
      <c r="A78" s="916" t="s">
        <v>224</v>
      </c>
      <c r="B78" s="917"/>
      <c r="C78" s="918"/>
      <c r="D78" s="151" t="s">
        <v>139</v>
      </c>
      <c r="E78" s="95">
        <f>'29'!F78</f>
        <v>9563.4</v>
      </c>
      <c r="F78" s="123">
        <v>9563.4</v>
      </c>
      <c r="G78" s="112">
        <f t="shared" si="7"/>
        <v>0</v>
      </c>
      <c r="H78" s="99">
        <f>G78+'29'!H78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16" t="s">
        <v>225</v>
      </c>
      <c r="B79" s="917"/>
      <c r="C79" s="918"/>
      <c r="D79" s="151"/>
      <c r="E79" s="95">
        <f>'29'!F79</f>
        <v>0</v>
      </c>
      <c r="F79" s="117"/>
      <c r="G79" s="112">
        <f>G15-SUM(G74:G78)</f>
        <v>483.54999999998836</v>
      </c>
      <c r="H79" s="99">
        <f>G79+'29'!H79</f>
        <v>16202.209999999977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28" t="s">
        <v>329</v>
      </c>
      <c r="B80" s="929"/>
      <c r="C80" s="930"/>
      <c r="D80" s="151"/>
      <c r="E80" s="117"/>
      <c r="F80" s="117"/>
      <c r="G80" s="112">
        <f>SUM(G74:G79)</f>
        <v>905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71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71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42864</v>
      </c>
      <c r="F84" s="164">
        <v>42888.21</v>
      </c>
      <c r="G84" s="112">
        <f t="shared" si="8"/>
        <v>24.209999999999127</v>
      </c>
      <c r="H84" s="99">
        <f>G84+'29'!H84</f>
        <v>259.20999999999913</v>
      </c>
      <c r="I84" s="571"/>
      <c r="J84" s="175">
        <f>H84/DAY(B2)</f>
        <v>8.6403333333333041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5354</v>
      </c>
      <c r="F85" s="150">
        <v>5354.4</v>
      </c>
      <c r="G85" s="112">
        <f t="shared" si="8"/>
        <v>0.3999999999996362</v>
      </c>
      <c r="H85" s="99">
        <f>G85+'29'!H85</f>
        <v>214.21000000000004</v>
      </c>
      <c r="I85" s="571"/>
      <c r="J85" s="175">
        <f>H85/DAY(B2)</f>
        <v>7.1403333333333343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45921</v>
      </c>
      <c r="F86" s="164">
        <v>45921.37</v>
      </c>
      <c r="G86" s="760">
        <f t="shared" si="8"/>
        <v>0.37000000000261934</v>
      </c>
      <c r="H86" s="99">
        <f>G86+'29'!H86</f>
        <v>542.37000000000262</v>
      </c>
      <c r="I86" s="571"/>
      <c r="J86" s="175">
        <f>H86/DAY(B2)</f>
        <v>18.079000000000086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35464</v>
      </c>
      <c r="F87" s="164">
        <f>35464+11</f>
        <v>35475</v>
      </c>
      <c r="G87" s="112">
        <f t="shared" si="8"/>
        <v>11</v>
      </c>
      <c r="H87" s="99">
        <f>G87+'29'!H87</f>
        <v>41.080000000001746</v>
      </c>
      <c r="I87" s="553">
        <f>G84+G85+G86+G87</f>
        <v>35.980000000001382</v>
      </c>
      <c r="J87" s="175">
        <f>H87/DAY(B2)</f>
        <v>1.3693333333333915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24335</v>
      </c>
      <c r="F88" s="164">
        <v>24335.16</v>
      </c>
      <c r="G88" s="112">
        <f t="shared" si="8"/>
        <v>0.15999999999985448</v>
      </c>
      <c r="H88" s="99">
        <f>G88+'29'!H88</f>
        <v>31.700000000000728</v>
      </c>
      <c r="I88" s="553"/>
      <c r="J88" s="175">
        <f>H88/DAY(B2)</f>
        <v>1.0566666666666908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27787</v>
      </c>
      <c r="F89" s="164">
        <v>27795.46</v>
      </c>
      <c r="G89" s="112">
        <f t="shared" si="8"/>
        <v>8.4599999999991269</v>
      </c>
      <c r="H89" s="99">
        <f>G89+'29'!H89</f>
        <v>228.84999999999854</v>
      </c>
      <c r="I89" s="553">
        <f>G88+G89</f>
        <v>8.6199999999989814</v>
      </c>
      <c r="J89" s="175">
        <f>H89/DAY(B2)</f>
        <v>7.628333333333285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72914</v>
      </c>
      <c r="F90" s="164">
        <v>72921.55</v>
      </c>
      <c r="G90" s="112">
        <f t="shared" si="8"/>
        <v>7.5500000000029104</v>
      </c>
      <c r="H90" s="99">
        <f>G90+'29'!H90</f>
        <v>49.889999999999418</v>
      </c>
      <c r="I90" s="553">
        <f>G90</f>
        <v>7.5500000000029104</v>
      </c>
      <c r="J90" s="175">
        <f>H90/DAY(B2)</f>
        <v>1.6629999999999805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4326.49</v>
      </c>
      <c r="F91" s="122">
        <v>4337.26</v>
      </c>
      <c r="G91" s="112">
        <f t="shared" si="8"/>
        <v>10.770000000000437</v>
      </c>
      <c r="H91" s="99">
        <f>G91+'29'!H91</f>
        <v>47.720000000000255</v>
      </c>
      <c r="I91" s="612"/>
      <c r="J91" s="175">
        <f>H91/DAY(B2)</f>
        <v>1.5906666666666751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7000</v>
      </c>
      <c r="F92" s="122">
        <v>7000</v>
      </c>
      <c r="G92" s="112">
        <f t="shared" si="8"/>
        <v>0</v>
      </c>
      <c r="H92" s="99">
        <f>G92+'29'!H92</f>
        <v>282.67000000000007</v>
      </c>
      <c r="I92" s="613">
        <f>G91+G92</f>
        <v>10.770000000000437</v>
      </c>
      <c r="J92" s="175">
        <f>H92/DAY(B2)</f>
        <v>9.4223333333333361</v>
      </c>
      <c r="O92" s="71"/>
    </row>
    <row r="93" spans="1:15" ht="30.75" customHeight="1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6773.0400000000373</v>
      </c>
      <c r="H94" s="99">
        <f>G94+'29'!H94</f>
        <v>210758.09000000003</v>
      </c>
      <c r="I94" s="118"/>
      <c r="J94" s="175">
        <f>H94/DAY(B2)</f>
        <v>7025.2696666666679</v>
      </c>
      <c r="K94" s="69"/>
      <c r="L94" s="66"/>
      <c r="O94" s="71"/>
    </row>
    <row r="95" spans="1:15" ht="30.75" customHeight="1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0.28415170330592537</v>
      </c>
      <c r="H95" s="99">
        <f>G95+'29'!H95</f>
        <v>8.320668884104867</v>
      </c>
      <c r="I95" s="167"/>
      <c r="J95" s="175">
        <f>H95/DAY(B2)</f>
        <v>0.27735562947016223</v>
      </c>
      <c r="K95" s="69"/>
      <c r="L95" s="66"/>
      <c r="O95" s="71"/>
    </row>
    <row r="96" spans="1:15" ht="30.75" customHeight="1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6423.5400000000373</v>
      </c>
      <c r="H96" s="99">
        <f>G96+'29'!H96</f>
        <v>195717.92000000004</v>
      </c>
      <c r="I96" s="118"/>
      <c r="J96" s="175">
        <f>H96/DAY(B2)</f>
        <v>6523.930666666668</v>
      </c>
      <c r="K96" s="69"/>
      <c r="L96" s="66"/>
      <c r="O96" s="71"/>
    </row>
    <row r="97" spans="1:15" ht="30.75" customHeight="1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0.26948900822285776</v>
      </c>
      <c r="H97" s="99">
        <f>G97+'29'!H97</f>
        <v>7.6849240237967544</v>
      </c>
      <c r="I97" s="167"/>
      <c r="J97" s="175">
        <f>H97/DAY(B2)</f>
        <v>0.25616413412655847</v>
      </c>
      <c r="K97" s="69"/>
      <c r="L97" s="66"/>
      <c r="O97" s="71"/>
    </row>
    <row r="98" spans="1:15" ht="30.75" customHeight="1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4098.3799999999464</v>
      </c>
      <c r="H98" s="99">
        <f>G98+'29'!H98</f>
        <v>129307.37999999995</v>
      </c>
      <c r="I98" s="168"/>
      <c r="J98" s="175">
        <f>H98/DAY(B2)</f>
        <v>4310.2459999999983</v>
      </c>
      <c r="K98" s="69"/>
      <c r="L98" s="66"/>
      <c r="O98" s="71"/>
    </row>
    <row r="99" spans="1:15" ht="30.75" customHeight="1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0.17194076187279519</v>
      </c>
      <c r="H99" s="99">
        <f>G99+'29'!H99</f>
        <v>5.1011284876289702</v>
      </c>
      <c r="I99" s="168"/>
      <c r="J99" s="175">
        <f>H99/DAY(B2)</f>
        <v>0.170037616254299</v>
      </c>
      <c r="O99" s="71"/>
    </row>
    <row r="100" spans="1:15" ht="30.75" customHeight="1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2201.710000000021</v>
      </c>
      <c r="H100" s="99">
        <f>G100+'29'!H100</f>
        <v>66135.710000000021</v>
      </c>
      <c r="I100" s="118"/>
      <c r="J100" s="175">
        <f>H100/DAY(B2)</f>
        <v>2204.5236666666674</v>
      </c>
      <c r="K100" s="70"/>
      <c r="O100" s="71"/>
    </row>
    <row r="101" spans="1:15" ht="30.75" customHeight="1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9.2369105554624131E-2</v>
      </c>
      <c r="H101" s="99">
        <f>G101+'29'!H101</f>
        <v>2.6095796170834533</v>
      </c>
      <c r="I101" s="168"/>
      <c r="J101" s="175">
        <f>H101/DAY(B2)</f>
        <v>8.6985987236115114E-2</v>
      </c>
      <c r="O101" s="71"/>
    </row>
    <row r="102" spans="1:15" ht="30.75" customHeight="1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1860.7199999999721</v>
      </c>
      <c r="H102" s="99">
        <f>G102+'29'!H102</f>
        <v>62399.719999999972</v>
      </c>
      <c r="I102" s="168"/>
      <c r="J102" s="175">
        <f>H102/DAY(B2)</f>
        <v>2079.9906666666657</v>
      </c>
      <c r="O102" s="71"/>
    </row>
    <row r="103" spans="1:15" ht="30.75" customHeight="1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7.8063433461989101E-2</v>
      </c>
      <c r="H103" s="99">
        <f>G103+'29'!H103</f>
        <v>2.4486570642041077</v>
      </c>
      <c r="I103" s="118"/>
      <c r="J103" s="175">
        <f>H103/DAY(B2)</f>
        <v>8.1621902140136926E-2</v>
      </c>
      <c r="O103" s="71"/>
    </row>
    <row r="104" spans="1:15" ht="30.75" customHeight="1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837.7300000000032</v>
      </c>
      <c r="H104" s="99">
        <f>G104+'29'!H104</f>
        <v>31139.420000000006</v>
      </c>
      <c r="I104" s="118"/>
      <c r="J104" s="175">
        <f>H104/DAY(B2)</f>
        <v>1037.9806666666668</v>
      </c>
      <c r="O104" s="71"/>
    </row>
    <row r="105" spans="1:15" ht="30.75" customHeight="1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3.5145578117133883E-2</v>
      </c>
      <c r="H105" s="99">
        <f>G105+'29'!H105</f>
        <v>1.2279241077537517</v>
      </c>
      <c r="I105" s="187"/>
      <c r="J105" s="188">
        <f>H105/DAY(B2)</f>
        <v>4.0930803591791722E-2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30.75" customHeight="1">
      <c r="A109" s="936"/>
      <c r="B109" s="936"/>
    </row>
    <row r="110" spans="1:15" ht="30.75" customHeight="1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30.75" customHeight="1">
      <c r="A111" s="902"/>
      <c r="B111" s="903"/>
      <c r="C111" s="904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98" t="s">
        <v>252</v>
      </c>
      <c r="B112" s="899"/>
      <c r="C112" s="900"/>
      <c r="D112" s="146" t="s">
        <v>183</v>
      </c>
      <c r="E112" s="95">
        <f>'29'!F112</f>
        <v>9360</v>
      </c>
      <c r="F112" s="237">
        <v>9432.5</v>
      </c>
      <c r="G112" s="112">
        <f t="shared" ref="G112:G123" si="9">F112-E112</f>
        <v>72.5</v>
      </c>
      <c r="H112" s="99">
        <f>G112+'29'!H112</f>
        <v>4630.83</v>
      </c>
      <c r="I112" s="165"/>
      <c r="J112" s="328">
        <f>H112/DAY(B2)</f>
        <v>154.36099999999999</v>
      </c>
    </row>
    <row r="113" spans="1:18" ht="30.75" customHeight="1">
      <c r="A113" s="898" t="s">
        <v>253</v>
      </c>
      <c r="B113" s="899"/>
      <c r="C113" s="900"/>
      <c r="D113" s="146" t="s">
        <v>183</v>
      </c>
      <c r="E113" s="95">
        <f>'29'!F113</f>
        <v>19090</v>
      </c>
      <c r="F113" s="237">
        <v>19232.5</v>
      </c>
      <c r="G113" s="112">
        <f t="shared" si="9"/>
        <v>142.5</v>
      </c>
      <c r="H113" s="99">
        <f>G113+'29'!H113</f>
        <v>4217.5</v>
      </c>
      <c r="I113" s="165"/>
      <c r="J113" s="328">
        <f>H113/DAY(B2)</f>
        <v>140.58333333333334</v>
      </c>
    </row>
    <row r="114" spans="1:18" ht="30.75" customHeight="1">
      <c r="A114" s="898" t="s">
        <v>254</v>
      </c>
      <c r="B114" s="899"/>
      <c r="C114" s="900"/>
      <c r="D114" s="146" t="s">
        <v>183</v>
      </c>
      <c r="E114" s="95">
        <f>'29'!F114</f>
        <v>27655</v>
      </c>
      <c r="F114" s="237">
        <v>27878</v>
      </c>
      <c r="G114" s="112">
        <f t="shared" si="9"/>
        <v>223</v>
      </c>
      <c r="H114" s="99">
        <f>G114+'29'!H114</f>
        <v>6610</v>
      </c>
      <c r="I114" s="165"/>
      <c r="J114" s="328">
        <f>H114/DAY(B2)</f>
        <v>220.33333333333334</v>
      </c>
    </row>
    <row r="115" spans="1:18" ht="30.75" customHeight="1">
      <c r="A115" s="898" t="s">
        <v>255</v>
      </c>
      <c r="B115" s="899"/>
      <c r="C115" s="900"/>
      <c r="D115" s="146" t="s">
        <v>183</v>
      </c>
      <c r="E115" s="95">
        <f>'29'!F115</f>
        <v>17261</v>
      </c>
      <c r="F115" s="237">
        <v>17419.599999999999</v>
      </c>
      <c r="G115" s="112">
        <f t="shared" si="9"/>
        <v>158.59999999999854</v>
      </c>
      <c r="H115" s="99">
        <f>G115+'29'!H115</f>
        <v>3844.119999999999</v>
      </c>
      <c r="I115" s="165"/>
      <c r="J115" s="328">
        <f>H115/DAY(B2)</f>
        <v>128.13733333333329</v>
      </c>
    </row>
    <row r="116" spans="1:18" ht="30.75" customHeight="1">
      <c r="A116" s="905" t="s">
        <v>96</v>
      </c>
      <c r="B116" s="906"/>
      <c r="C116" s="907"/>
      <c r="D116" s="146" t="s">
        <v>183</v>
      </c>
      <c r="E116" s="95">
        <f>'29'!F116</f>
        <v>82701</v>
      </c>
      <c r="F116" s="237">
        <v>83085</v>
      </c>
      <c r="G116" s="112">
        <f t="shared" si="9"/>
        <v>384</v>
      </c>
      <c r="H116" s="99">
        <f>G116+'29'!H116</f>
        <v>12593</v>
      </c>
      <c r="I116" s="165"/>
      <c r="J116" s="328">
        <f>H116/DAY(B2)</f>
        <v>419.76666666666665</v>
      </c>
      <c r="Q116" s="898" t="s">
        <v>311</v>
      </c>
      <c r="R116" s="900"/>
    </row>
    <row r="117" spans="1:18" ht="30.75" customHeight="1">
      <c r="A117" s="905" t="s">
        <v>184</v>
      </c>
      <c r="B117" s="906"/>
      <c r="C117" s="907"/>
      <c r="D117" s="146" t="s">
        <v>183</v>
      </c>
      <c r="E117" s="95">
        <f>'29'!F117</f>
        <v>48175</v>
      </c>
      <c r="F117" s="237">
        <v>48420</v>
      </c>
      <c r="G117" s="112">
        <f t="shared" si="9"/>
        <v>245</v>
      </c>
      <c r="H117" s="99">
        <f>G117+'29'!H117</f>
        <v>7498</v>
      </c>
      <c r="I117" s="165"/>
      <c r="J117" s="328">
        <f>H117/DAY(B2)</f>
        <v>249.93333333333334</v>
      </c>
      <c r="Q117" s="898" t="s">
        <v>312</v>
      </c>
      <c r="R117" s="900"/>
    </row>
    <row r="118" spans="1:18" ht="30.75" customHeight="1">
      <c r="A118" s="897" t="s">
        <v>97</v>
      </c>
      <c r="B118" s="897"/>
      <c r="C118" s="897"/>
      <c r="D118" s="151" t="s">
        <v>183</v>
      </c>
      <c r="E118" s="95">
        <f>'29'!F118</f>
        <v>81997</v>
      </c>
      <c r="F118" s="417">
        <v>82624</v>
      </c>
      <c r="G118" s="112">
        <f t="shared" si="9"/>
        <v>627</v>
      </c>
      <c r="H118" s="99">
        <f>G118+'29'!H118</f>
        <v>17952</v>
      </c>
      <c r="I118" s="165"/>
      <c r="J118" s="328">
        <f>H118/DAY(B2)</f>
        <v>598.4</v>
      </c>
      <c r="Q118" s="898" t="s">
        <v>311</v>
      </c>
      <c r="R118" s="900"/>
    </row>
    <row r="119" spans="1:18" ht="30.75" customHeight="1">
      <c r="A119" s="897" t="s">
        <v>98</v>
      </c>
      <c r="B119" s="897"/>
      <c r="C119" s="897"/>
      <c r="D119" s="151" t="s">
        <v>183</v>
      </c>
      <c r="E119" s="95">
        <f>'29'!F119</f>
        <v>42050</v>
      </c>
      <c r="F119" s="237">
        <v>42071.040000000001</v>
      </c>
      <c r="G119" s="112">
        <f t="shared" si="9"/>
        <v>21.040000000000873</v>
      </c>
      <c r="H119" s="99">
        <f>G119+'29'!H119</f>
        <v>4622.0400000000009</v>
      </c>
      <c r="I119" s="165"/>
      <c r="J119" s="328">
        <f>H119/DAY(B2)</f>
        <v>154.06800000000004</v>
      </c>
    </row>
    <row r="120" spans="1:18" ht="30.75" customHeight="1">
      <c r="A120" s="897" t="s">
        <v>99</v>
      </c>
      <c r="B120" s="897"/>
      <c r="C120" s="897"/>
      <c r="D120" s="151" t="s">
        <v>183</v>
      </c>
      <c r="E120" s="95">
        <f>'29'!F120</f>
        <v>58227</v>
      </c>
      <c r="F120" s="237">
        <v>58609</v>
      </c>
      <c r="G120" s="112">
        <f t="shared" si="9"/>
        <v>382</v>
      </c>
      <c r="H120" s="99">
        <f>G120+'29'!H120</f>
        <v>12342</v>
      </c>
      <c r="I120" s="165"/>
      <c r="J120" s="328">
        <f>H120/DAY(B2)</f>
        <v>411.4</v>
      </c>
    </row>
    <row r="121" spans="1:18" ht="30.75" customHeight="1">
      <c r="A121" s="897" t="s">
        <v>100</v>
      </c>
      <c r="B121" s="897"/>
      <c r="C121" s="897"/>
      <c r="D121" s="151" t="s">
        <v>183</v>
      </c>
      <c r="E121" s="95">
        <f>'29'!F121</f>
        <v>66902</v>
      </c>
      <c r="F121" s="237">
        <v>67342.2</v>
      </c>
      <c r="G121" s="112">
        <f t="shared" si="9"/>
        <v>440.19999999999709</v>
      </c>
      <c r="H121" s="99">
        <f>G121+'29'!H121</f>
        <v>13799.199999999997</v>
      </c>
      <c r="I121" s="165"/>
      <c r="J121" s="328">
        <f>H121/DAY(B2)</f>
        <v>459.97333333333324</v>
      </c>
    </row>
    <row r="122" spans="1:18" ht="30.75" customHeight="1">
      <c r="A122" s="897" t="s">
        <v>101</v>
      </c>
      <c r="B122" s="897"/>
      <c r="C122" s="897"/>
      <c r="D122" s="151" t="s">
        <v>183</v>
      </c>
      <c r="E122" s="95">
        <f>'29'!F122</f>
        <v>37954</v>
      </c>
      <c r="F122" s="237">
        <v>38300.800000000003</v>
      </c>
      <c r="G122" s="112">
        <f t="shared" si="9"/>
        <v>346.80000000000291</v>
      </c>
      <c r="H122" s="99">
        <f>G122+'29'!H122</f>
        <v>9626.8000000000029</v>
      </c>
      <c r="I122" s="165"/>
      <c r="J122" s="328">
        <f>H122/DAY(B2)</f>
        <v>320.89333333333343</v>
      </c>
    </row>
    <row r="123" spans="1:18" ht="30.75" customHeight="1">
      <c r="A123" s="897" t="s">
        <v>102</v>
      </c>
      <c r="B123" s="897"/>
      <c r="C123" s="897"/>
      <c r="D123" s="151" t="s">
        <v>183</v>
      </c>
      <c r="E123" s="95">
        <f>'29'!F123</f>
        <v>39697</v>
      </c>
      <c r="F123" s="237">
        <v>40028.11</v>
      </c>
      <c r="G123" s="112">
        <f t="shared" si="9"/>
        <v>331.11000000000058</v>
      </c>
      <c r="H123" s="99">
        <f>G123+'29'!H123</f>
        <v>9840.11</v>
      </c>
      <c r="I123" s="165"/>
      <c r="J123" s="328">
        <f>H123/DAY(B2)</f>
        <v>328.00366666666667</v>
      </c>
    </row>
    <row r="124" spans="1:18" ht="30.75" customHeight="1">
      <c r="A124" s="902"/>
      <c r="B124" s="903"/>
      <c r="C124" s="904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880" t="s">
        <v>196</v>
      </c>
      <c r="B125" s="881"/>
      <c r="C125" s="245"/>
      <c r="D125" s="307"/>
      <c r="E125" s="308"/>
      <c r="F125" s="308"/>
      <c r="G125" s="309">
        <f>SUM(G112:G124)</f>
        <v>3373.75</v>
      </c>
      <c r="H125" s="156"/>
      <c r="I125" s="327">
        <f>G125-(G39+G53)</f>
        <v>-724.62999999994645</v>
      </c>
      <c r="J125" s="327"/>
    </row>
    <row r="126" spans="1:18" ht="30.75" customHeight="1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30.75" customHeight="1">
      <c r="A127" s="885"/>
      <c r="B127" s="885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898" t="s">
        <v>318</v>
      </c>
      <c r="B128" s="899"/>
      <c r="C128" s="900"/>
      <c r="D128" s="151" t="s">
        <v>183</v>
      </c>
      <c r="E128" s="95">
        <f>'29'!F128</f>
        <v>141055</v>
      </c>
      <c r="F128" s="165">
        <v>141458.06</v>
      </c>
      <c r="G128" s="112">
        <f t="shared" ref="G128:G134" si="10">F128-E128</f>
        <v>403.05999999999767</v>
      </c>
      <c r="H128" s="99">
        <f>G128+'29'!H128</f>
        <v>13814.059999999998</v>
      </c>
      <c r="I128" s="165"/>
      <c r="J128" s="328">
        <f>H128/DAY(B2)</f>
        <v>460.46866666666659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78188</v>
      </c>
      <c r="F129" s="165">
        <v>78363.09</v>
      </c>
      <c r="G129" s="112">
        <f t="shared" si="10"/>
        <v>175.08999999999651</v>
      </c>
      <c r="H129" s="99">
        <f>G129+'29'!H129</f>
        <v>5860.0899999999965</v>
      </c>
      <c r="I129" s="165"/>
      <c r="J129" s="328">
        <f>H129/DAY(B2)</f>
        <v>195.33633333333322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184607</v>
      </c>
      <c r="F130" s="165">
        <v>185277.35</v>
      </c>
      <c r="G130" s="112">
        <f t="shared" si="10"/>
        <v>670.35000000000582</v>
      </c>
      <c r="H130" s="99">
        <f>G130+'29'!H130</f>
        <v>20141.829999999987</v>
      </c>
      <c r="I130" s="165"/>
      <c r="J130" s="328">
        <f>H130/DAY(B2)</f>
        <v>671.39433333333295</v>
      </c>
      <c r="N130" s="240"/>
      <c r="O130" s="241"/>
    </row>
    <row r="131" spans="1:15" ht="30.75" customHeight="1">
      <c r="A131" s="898" t="s">
        <v>321</v>
      </c>
      <c r="B131" s="899"/>
      <c r="C131" s="900"/>
      <c r="D131" s="151" t="s">
        <v>183</v>
      </c>
      <c r="E131" s="95">
        <f>'29'!F131</f>
        <v>53712</v>
      </c>
      <c r="F131" s="165">
        <v>53940.3</v>
      </c>
      <c r="G131" s="112">
        <f t="shared" si="10"/>
        <v>228.30000000000291</v>
      </c>
      <c r="H131" s="99">
        <f>G131+'29'!H131</f>
        <v>5491.3000000000029</v>
      </c>
      <c r="I131" s="165"/>
      <c r="J131" s="328">
        <f>H131/DAY(B2)</f>
        <v>183.04333333333344</v>
      </c>
      <c r="N131" s="240"/>
      <c r="O131" s="241"/>
    </row>
    <row r="132" spans="1:15" ht="30.75" customHeight="1">
      <c r="A132" s="898" t="s">
        <v>322</v>
      </c>
      <c r="B132" s="899"/>
      <c r="C132" s="900"/>
      <c r="D132" s="151" t="s">
        <v>183</v>
      </c>
      <c r="E132" s="120">
        <f>'29'!F132</f>
        <v>140115</v>
      </c>
      <c r="F132" s="465">
        <v>140527.39000000001</v>
      </c>
      <c r="G132" s="112">
        <f t="shared" si="10"/>
        <v>412.39000000001397</v>
      </c>
      <c r="H132" s="99">
        <f>G132+'29'!H132</f>
        <v>12353.390000000014</v>
      </c>
      <c r="I132" s="165"/>
      <c r="J132" s="328">
        <f>H132/DAY(B2)</f>
        <v>411.77966666666714</v>
      </c>
    </row>
    <row r="133" spans="1:15" ht="30.75" customHeight="1">
      <c r="A133" s="898" t="s">
        <v>359</v>
      </c>
      <c r="B133" s="899"/>
      <c r="C133" s="900"/>
      <c r="D133" s="151" t="s">
        <v>183</v>
      </c>
      <c r="E133" s="95">
        <f>'29'!F133</f>
        <v>239176</v>
      </c>
      <c r="F133" s="165">
        <v>240042.35</v>
      </c>
      <c r="G133" s="112">
        <f t="shared" si="10"/>
        <v>866.35000000000582</v>
      </c>
      <c r="H133" s="99">
        <f>G133+'29'!H133</f>
        <v>17637.78</v>
      </c>
      <c r="I133" s="165"/>
      <c r="J133" s="328">
        <f>H133/DAY(B2)</f>
        <v>587.92599999999993</v>
      </c>
    </row>
    <row r="134" spans="1:15" ht="30.75" customHeight="1">
      <c r="A134" s="898" t="s">
        <v>340</v>
      </c>
      <c r="B134" s="899"/>
      <c r="C134" s="900"/>
      <c r="D134" s="151" t="s">
        <v>183</v>
      </c>
      <c r="E134" s="95">
        <f>'29'!F134</f>
        <v>55643</v>
      </c>
      <c r="F134" s="467">
        <v>55886.79</v>
      </c>
      <c r="G134" s="112">
        <f t="shared" si="10"/>
        <v>243.79000000000087</v>
      </c>
      <c r="H134" s="99">
        <f>G134+'29'!H134</f>
        <v>6851.7900000000009</v>
      </c>
      <c r="I134" s="165"/>
      <c r="J134" s="328">
        <f>H134/DAY(B2)</f>
        <v>228.39300000000003</v>
      </c>
    </row>
    <row r="135" spans="1:15" ht="30.75" customHeight="1">
      <c r="A135" s="880" t="s">
        <v>196</v>
      </c>
      <c r="B135" s="881"/>
      <c r="C135" s="331"/>
      <c r="D135" s="151"/>
      <c r="E135" s="95"/>
      <c r="F135" s="165"/>
      <c r="G135" s="112">
        <f>SUM(G128:G134)</f>
        <v>2999.3300000000236</v>
      </c>
      <c r="H135" s="99">
        <f>G135+'23'!H135</f>
        <v>27674.30000000001</v>
      </c>
      <c r="I135" s="327">
        <f>G135-(G35+G49)</f>
        <v>-851.10000000002765</v>
      </c>
      <c r="J135" s="328">
        <f>H135/DAY(B2)</f>
        <v>922.47666666666703</v>
      </c>
    </row>
    <row r="136" spans="1:15" ht="30.75" customHeight="1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97" t="s">
        <v>185</v>
      </c>
      <c r="B138" s="897"/>
      <c r="C138" s="897"/>
      <c r="D138" s="151" t="s">
        <v>183</v>
      </c>
      <c r="E138" s="95">
        <f>'29'!F138</f>
        <v>894803</v>
      </c>
      <c r="F138" s="147">
        <v>894873</v>
      </c>
      <c r="G138" s="112">
        <f t="shared" ref="G138:G152" si="11">F138-E138</f>
        <v>70</v>
      </c>
      <c r="H138" s="99">
        <f>G138+'29'!H138</f>
        <v>3762</v>
      </c>
      <c r="I138" s="118"/>
      <c r="J138" s="328">
        <f>H138/DAY(B2)</f>
        <v>125.4</v>
      </c>
    </row>
    <row r="139" spans="1:15" ht="30.75" customHeight="1">
      <c r="A139" s="897" t="s">
        <v>186</v>
      </c>
      <c r="B139" s="897"/>
      <c r="C139" s="897"/>
      <c r="D139" s="151" t="s">
        <v>183</v>
      </c>
      <c r="E139" s="95">
        <f>'29'!F139</f>
        <v>913298</v>
      </c>
      <c r="F139" s="148">
        <v>913438</v>
      </c>
      <c r="G139" s="112">
        <f t="shared" si="11"/>
        <v>140</v>
      </c>
      <c r="H139" s="99">
        <f>G139+'29'!H139</f>
        <v>4543</v>
      </c>
      <c r="I139" s="118"/>
      <c r="J139" s="328">
        <f>H139/DAY(B2)</f>
        <v>151.43333333333334</v>
      </c>
    </row>
    <row r="140" spans="1:15" ht="30.75" customHeight="1">
      <c r="A140" s="897" t="s">
        <v>187</v>
      </c>
      <c r="B140" s="897"/>
      <c r="C140" s="897"/>
      <c r="D140" s="151" t="s">
        <v>183</v>
      </c>
      <c r="E140" s="95">
        <f>'29'!F140</f>
        <v>1938</v>
      </c>
      <c r="F140" s="149">
        <v>1953</v>
      </c>
      <c r="G140" s="112">
        <f t="shared" si="11"/>
        <v>15</v>
      </c>
      <c r="H140" s="99">
        <f>G140+'29'!H140</f>
        <v>440</v>
      </c>
      <c r="I140" s="118"/>
      <c r="J140" s="328">
        <f>H140/DAY(B2)</f>
        <v>14.666666666666666</v>
      </c>
    </row>
    <row r="141" spans="1:15" ht="30.75" customHeight="1">
      <c r="A141" s="876" t="s">
        <v>188</v>
      </c>
      <c r="B141" s="876"/>
      <c r="C141" s="876"/>
      <c r="D141" s="151" t="s">
        <v>183</v>
      </c>
      <c r="E141" s="95">
        <f>'29'!F141</f>
        <v>96384</v>
      </c>
      <c r="F141" s="149">
        <v>96602.3</v>
      </c>
      <c r="G141" s="112">
        <f t="shared" si="11"/>
        <v>218.30000000000291</v>
      </c>
      <c r="H141" s="99">
        <f>G141+'29'!H141</f>
        <v>6150.3000000000029</v>
      </c>
      <c r="I141" s="118"/>
      <c r="J141" s="328">
        <f>H141/DAY(B2)</f>
        <v>205.0100000000001</v>
      </c>
    </row>
    <row r="142" spans="1:15" ht="30.75" customHeight="1">
      <c r="A142" s="876" t="s">
        <v>189</v>
      </c>
      <c r="B142" s="876"/>
      <c r="C142" s="876"/>
      <c r="D142" s="151" t="s">
        <v>183</v>
      </c>
      <c r="E142" s="95">
        <f>'29'!F142</f>
        <v>39024</v>
      </c>
      <c r="F142" s="148">
        <v>39098</v>
      </c>
      <c r="G142" s="112">
        <f t="shared" si="11"/>
        <v>74</v>
      </c>
      <c r="H142" s="99">
        <f>G142+'29'!H142</f>
        <v>2437</v>
      </c>
      <c r="I142" s="140"/>
      <c r="J142" s="328">
        <f>H142/DAY(B2)</f>
        <v>81.233333333333334</v>
      </c>
    </row>
    <row r="143" spans="1:15" ht="30.75" customHeight="1">
      <c r="A143" s="897" t="s">
        <v>91</v>
      </c>
      <c r="B143" s="897"/>
      <c r="C143" s="897"/>
      <c r="D143" s="151" t="s">
        <v>183</v>
      </c>
      <c r="E143" s="95">
        <f>'29'!F143</f>
        <v>9825</v>
      </c>
      <c r="F143" s="149">
        <v>9854.2999999999993</v>
      </c>
      <c r="G143" s="112">
        <f t="shared" si="11"/>
        <v>29.299999999999272</v>
      </c>
      <c r="H143" s="99">
        <f>G143+'29'!H143</f>
        <v>803.29999999999927</v>
      </c>
      <c r="I143" s="140"/>
      <c r="J143" s="328">
        <f>H143/DAY(B2)</f>
        <v>26.776666666666642</v>
      </c>
    </row>
    <row r="144" spans="1:15" ht="30.75" customHeight="1">
      <c r="A144" s="876" t="s">
        <v>90</v>
      </c>
      <c r="B144" s="876"/>
      <c r="C144" s="876"/>
      <c r="D144" s="151" t="s">
        <v>183</v>
      </c>
      <c r="E144" s="95">
        <f>'29'!F144</f>
        <v>926185</v>
      </c>
      <c r="F144" s="149">
        <v>926401</v>
      </c>
      <c r="G144" s="112">
        <f t="shared" si="11"/>
        <v>216</v>
      </c>
      <c r="H144" s="99">
        <f>G144+'29'!H144</f>
        <v>6564</v>
      </c>
      <c r="I144" s="140"/>
      <c r="J144" s="328">
        <f>H144/DAY(B2)</f>
        <v>218.8</v>
      </c>
    </row>
    <row r="145" spans="1:10" ht="30.75" customHeight="1">
      <c r="A145" s="897" t="s">
        <v>190</v>
      </c>
      <c r="B145" s="897"/>
      <c r="C145" s="897"/>
      <c r="D145" s="152" t="s">
        <v>183</v>
      </c>
      <c r="E145" s="95">
        <f>'29'!F145</f>
        <v>7078</v>
      </c>
      <c r="F145" s="149">
        <v>7243.1</v>
      </c>
      <c r="G145" s="112">
        <f t="shared" si="11"/>
        <v>165.10000000000036</v>
      </c>
      <c r="H145" s="99">
        <f>G145+'29'!H145</f>
        <v>1436.1000000000004</v>
      </c>
      <c r="I145" s="140"/>
      <c r="J145" s="328">
        <f>H145/DAY(B2)</f>
        <v>47.870000000000012</v>
      </c>
    </row>
    <row r="146" spans="1:10" ht="30.75" customHeight="1">
      <c r="A146" s="932" t="s">
        <v>191</v>
      </c>
      <c r="B146" s="917"/>
      <c r="C146" s="918"/>
      <c r="D146" s="152" t="s">
        <v>183</v>
      </c>
      <c r="E146" s="95">
        <f>'29'!F146</f>
        <v>782720</v>
      </c>
      <c r="F146" s="148">
        <v>782766</v>
      </c>
      <c r="G146" s="112">
        <f t="shared" si="11"/>
        <v>46</v>
      </c>
      <c r="H146" s="99">
        <f>G146+'29'!H146</f>
        <v>1966</v>
      </c>
      <c r="I146" s="140"/>
      <c r="J146" s="328">
        <f>H146/DAY(B2)</f>
        <v>65.533333333333331</v>
      </c>
    </row>
    <row r="147" spans="1:10" ht="30.75" customHeight="1">
      <c r="A147" s="876" t="s">
        <v>192</v>
      </c>
      <c r="B147" s="876"/>
      <c r="C147" s="876"/>
      <c r="D147" s="152" t="s">
        <v>183</v>
      </c>
      <c r="E147" s="95">
        <f>'29'!F147</f>
        <v>710918</v>
      </c>
      <c r="F147" s="148">
        <v>711278</v>
      </c>
      <c r="G147" s="112">
        <f t="shared" si="11"/>
        <v>360</v>
      </c>
      <c r="H147" s="99">
        <f>G147+'29'!H147</f>
        <v>11509</v>
      </c>
      <c r="I147" s="140"/>
      <c r="J147" s="328">
        <f>H147/DAY(B2)</f>
        <v>383.63333333333333</v>
      </c>
    </row>
    <row r="148" spans="1:10" ht="30.75" customHeight="1">
      <c r="A148" s="877" t="s">
        <v>193</v>
      </c>
      <c r="B148" s="878"/>
      <c r="C148" s="879"/>
      <c r="D148" s="123" t="s">
        <v>130</v>
      </c>
      <c r="E148" s="95">
        <f>'29'!F148</f>
        <v>757431</v>
      </c>
      <c r="F148" s="150">
        <v>757701</v>
      </c>
      <c r="G148" s="112">
        <f t="shared" si="11"/>
        <v>270</v>
      </c>
      <c r="H148" s="99">
        <f>G148+'29'!H148</f>
        <v>9171</v>
      </c>
      <c r="I148" s="124"/>
      <c r="J148" s="328">
        <f>H148/DAY(B2)</f>
        <v>305.7</v>
      </c>
    </row>
    <row r="149" spans="1:10" ht="30.75" customHeight="1">
      <c r="A149" s="877" t="s">
        <v>336</v>
      </c>
      <c r="B149" s="878"/>
      <c r="C149" s="879"/>
      <c r="D149" s="227" t="s">
        <v>130</v>
      </c>
      <c r="E149" s="95">
        <f>'29'!F149</f>
        <v>145505</v>
      </c>
      <c r="F149" s="146">
        <v>145862.5</v>
      </c>
      <c r="G149" s="112">
        <f t="shared" si="11"/>
        <v>357.5</v>
      </c>
      <c r="H149" s="99">
        <f>G149+'29'!H149</f>
        <v>13428.5</v>
      </c>
      <c r="I149" s="119"/>
      <c r="J149" s="328">
        <f>H149/DAY(B2)</f>
        <v>447.61666666666667</v>
      </c>
    </row>
    <row r="150" spans="1:10" ht="30.75" customHeight="1">
      <c r="A150" s="877" t="s">
        <v>337</v>
      </c>
      <c r="B150" s="878"/>
      <c r="C150" s="879"/>
      <c r="D150" s="117" t="s">
        <v>130</v>
      </c>
      <c r="E150" s="95">
        <f>'29'!F150</f>
        <v>57002</v>
      </c>
      <c r="F150" s="233">
        <v>57218.7</v>
      </c>
      <c r="G150" s="112">
        <f t="shared" si="11"/>
        <v>216.69999999999709</v>
      </c>
      <c r="H150" s="99">
        <f>G150+'29'!H150</f>
        <v>6603.6999999999971</v>
      </c>
      <c r="I150" s="119"/>
      <c r="J150" s="328">
        <f>H150/DAY(B2)</f>
        <v>220.12333333333325</v>
      </c>
    </row>
    <row r="151" spans="1:10" ht="30.75" customHeight="1">
      <c r="A151" s="877" t="s">
        <v>338</v>
      </c>
      <c r="B151" s="878"/>
      <c r="C151" s="879"/>
      <c r="D151" s="117" t="s">
        <v>130</v>
      </c>
      <c r="E151" s="95">
        <f>'29'!F151</f>
        <v>143004</v>
      </c>
      <c r="F151" s="233">
        <v>143273</v>
      </c>
      <c r="G151" s="112">
        <f t="shared" si="11"/>
        <v>269</v>
      </c>
      <c r="H151" s="99">
        <f>G151+'29'!H151</f>
        <v>7824</v>
      </c>
      <c r="I151" s="119"/>
      <c r="J151" s="328">
        <f>H151/DAY(B2)</f>
        <v>260.8</v>
      </c>
    </row>
    <row r="152" spans="1:10" ht="30.75" customHeight="1">
      <c r="A152" s="877" t="s">
        <v>339</v>
      </c>
      <c r="B152" s="878"/>
      <c r="C152" s="879"/>
      <c r="D152" s="117" t="s">
        <v>130</v>
      </c>
      <c r="E152" s="95">
        <f>'29'!F152</f>
        <v>26624</v>
      </c>
      <c r="F152" s="233">
        <v>26742</v>
      </c>
      <c r="G152" s="112">
        <f t="shared" si="11"/>
        <v>118</v>
      </c>
      <c r="H152" s="99">
        <f>G152+'29'!H152</f>
        <v>3588</v>
      </c>
      <c r="I152" s="119"/>
      <c r="J152" s="328">
        <f>H152/DAY(B2)</f>
        <v>119.6</v>
      </c>
    </row>
    <row r="153" spans="1:10" ht="30.75" customHeight="1">
      <c r="A153" s="880" t="s">
        <v>196</v>
      </c>
      <c r="B153" s="881"/>
      <c r="C153" s="365"/>
      <c r="D153" s="358"/>
      <c r="E153" s="360"/>
      <c r="F153" s="361"/>
      <c r="G153" s="362">
        <f>SUM(G138:G152)</f>
        <v>2564.8999999999996</v>
      </c>
      <c r="H153" s="363"/>
      <c r="I153" s="119">
        <f>G153-(G38+G52)</f>
        <v>363.18999999997868</v>
      </c>
      <c r="J153" s="366"/>
    </row>
    <row r="154" spans="1:10" ht="30.75" customHeight="1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0" ht="30.75" customHeight="1">
      <c r="A155" s="876" t="s">
        <v>345</v>
      </c>
      <c r="B155" s="876"/>
      <c r="C155" s="876"/>
      <c r="D155" s="117" t="s">
        <v>130</v>
      </c>
      <c r="E155" s="95">
        <f>'29'!F155</f>
        <v>166176</v>
      </c>
      <c r="F155" s="374">
        <v>166736</v>
      </c>
      <c r="G155" s="112">
        <f t="shared" ref="G155:G158" si="12">F155-E155</f>
        <v>560</v>
      </c>
      <c r="H155" s="99">
        <f>G155+'29'!H155</f>
        <v>18587</v>
      </c>
      <c r="I155" s="364"/>
      <c r="J155" s="328">
        <f>H155/DAY(B2)</f>
        <v>619.56666666666672</v>
      </c>
    </row>
    <row r="156" spans="1:10" ht="30.75" customHeight="1">
      <c r="A156" s="876" t="s">
        <v>347</v>
      </c>
      <c r="B156" s="876"/>
      <c r="C156" s="876"/>
      <c r="D156" s="117" t="s">
        <v>130</v>
      </c>
      <c r="E156" s="95">
        <f>'29'!F156</f>
        <v>17609</v>
      </c>
      <c r="F156" s="155">
        <v>17659</v>
      </c>
      <c r="G156" s="112">
        <f t="shared" si="12"/>
        <v>50</v>
      </c>
      <c r="H156" s="99">
        <f>G156+'29'!H156</f>
        <v>3123</v>
      </c>
      <c r="I156" s="165"/>
      <c r="J156" s="328">
        <f>H156/DAY(B2)</f>
        <v>104.1</v>
      </c>
    </row>
    <row r="157" spans="1:10" ht="30.75" customHeight="1">
      <c r="A157" s="877" t="s">
        <v>360</v>
      </c>
      <c r="B157" s="878"/>
      <c r="C157" s="879"/>
      <c r="D157" s="117" t="s">
        <v>130</v>
      </c>
      <c r="E157" s="95">
        <f>'29'!F157</f>
        <v>31349</v>
      </c>
      <c r="F157" s="155">
        <v>31531</v>
      </c>
      <c r="G157" s="112">
        <f t="shared" si="12"/>
        <v>182</v>
      </c>
      <c r="H157" s="99">
        <f>G157+'29'!H157</f>
        <v>356.02999999999884</v>
      </c>
      <c r="I157" s="165"/>
      <c r="J157" s="328">
        <f>H157/DAY(B2)</f>
        <v>11.867666666666628</v>
      </c>
    </row>
    <row r="158" spans="1:10" ht="30.75" customHeight="1">
      <c r="A158" s="877" t="s">
        <v>361</v>
      </c>
      <c r="B158" s="878"/>
      <c r="C158" s="879"/>
      <c r="D158" s="117" t="s">
        <v>130</v>
      </c>
      <c r="E158" s="95">
        <f>'29'!F158</f>
        <v>314</v>
      </c>
      <c r="F158" s="155">
        <v>315</v>
      </c>
      <c r="G158" s="112">
        <f t="shared" si="12"/>
        <v>1</v>
      </c>
      <c r="H158" s="99">
        <f>G158+'29'!H158</f>
        <v>1.1999999999999886</v>
      </c>
      <c r="I158" s="165"/>
      <c r="J158" s="328">
        <f>H158/DAY(B2)</f>
        <v>3.9999999999999619E-2</v>
      </c>
    </row>
    <row r="159" spans="1:10" ht="30.75" customHeight="1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884"/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481757</v>
      </c>
      <c r="F161" s="235">
        <v>481787</v>
      </c>
      <c r="G161" s="238">
        <f t="shared" ref="G161:G165" si="13">F161-E161</f>
        <v>30</v>
      </c>
      <c r="H161" s="99">
        <f>G161+'29'!H161</f>
        <v>740</v>
      </c>
      <c r="I161" s="236"/>
      <c r="J161" s="239">
        <f>H161/DAY(B2)</f>
        <v>24.666666666666668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96052</v>
      </c>
      <c r="F162" s="235">
        <v>96097.8</v>
      </c>
      <c r="G162" s="238">
        <f t="shared" si="13"/>
        <v>45.80000000000291</v>
      </c>
      <c r="H162" s="99">
        <f>G162+'29'!H162</f>
        <v>1169.8000000000029</v>
      </c>
      <c r="I162" s="236"/>
      <c r="J162" s="239">
        <f>H162/DAY(B2)</f>
        <v>38.993333333333432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9857</v>
      </c>
      <c r="F163" s="235">
        <v>9976.7999999999993</v>
      </c>
      <c r="G163" s="238">
        <f t="shared" si="13"/>
        <v>119.79999999999927</v>
      </c>
      <c r="H163" s="99">
        <f>G163+'29'!H163</f>
        <v>3475.7999999999993</v>
      </c>
      <c r="I163" s="236"/>
      <c r="J163" s="239">
        <f>H163/DAY(B2)</f>
        <v>115.85999999999997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6408</v>
      </c>
      <c r="F164" s="235">
        <v>6414.4</v>
      </c>
      <c r="G164" s="238">
        <f t="shared" si="13"/>
        <v>6.3999999999996362</v>
      </c>
      <c r="H164" s="99">
        <f>G164+'29'!H164</f>
        <v>134.39999999999964</v>
      </c>
      <c r="I164" s="236"/>
      <c r="J164" s="239">
        <f>H164/DAY(B2)</f>
        <v>4.479999999999988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31858</v>
      </c>
      <c r="F165" s="235">
        <v>31868.7</v>
      </c>
      <c r="G165" s="238">
        <f t="shared" si="13"/>
        <v>10.700000000000728</v>
      </c>
      <c r="H165" s="99">
        <f>G165+'29'!H165</f>
        <v>234.70000000000073</v>
      </c>
      <c r="I165" s="236"/>
      <c r="J165" s="239">
        <f>H165/DAY(B2)</f>
        <v>7.8233333333333572</v>
      </c>
    </row>
    <row r="166" spans="1:10" ht="30.75" customHeight="1">
      <c r="A166" s="885"/>
      <c r="B166" s="885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885"/>
      <c r="B167" s="885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885"/>
      <c r="B168" s="885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30.75" customHeight="1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1" t="s">
        <v>209</v>
      </c>
      <c r="B173" s="892"/>
      <c r="C173" s="333"/>
      <c r="D173" s="228" t="s">
        <v>142</v>
      </c>
      <c r="E173" s="95">
        <f>'29'!F173</f>
        <v>8578</v>
      </c>
      <c r="F173" s="155">
        <v>8579</v>
      </c>
      <c r="G173" s="155">
        <f>F173-E173</f>
        <v>1</v>
      </c>
      <c r="H173" s="99">
        <f>G173+'29'!H173</f>
        <v>56</v>
      </c>
      <c r="I173" s="155"/>
      <c r="J173" s="178">
        <f>H173/DAY(B2)</f>
        <v>1.8666666666666667</v>
      </c>
    </row>
    <row r="174" spans="1:10" ht="30.75" customHeight="1">
      <c r="A174" s="891" t="s">
        <v>75</v>
      </c>
      <c r="B174" s="892"/>
      <c r="C174" s="333"/>
      <c r="D174" s="228" t="s">
        <v>142</v>
      </c>
      <c r="E174" s="95">
        <f>'29'!F174</f>
        <v>41585</v>
      </c>
      <c r="F174" s="157">
        <v>41596</v>
      </c>
      <c r="G174" s="155">
        <f t="shared" ref="G174:G175" si="14">F174-E174</f>
        <v>11</v>
      </c>
      <c r="H174" s="99">
        <f>G174+'29'!H174</f>
        <v>392</v>
      </c>
      <c r="I174" s="155"/>
      <c r="J174" s="178">
        <f>H174/DAY(B2)</f>
        <v>13.066666666666666</v>
      </c>
    </row>
    <row r="175" spans="1:10" ht="30.75" customHeight="1">
      <c r="A175" s="891" t="s">
        <v>76</v>
      </c>
      <c r="B175" s="931"/>
      <c r="C175" s="892"/>
      <c r="D175" s="228" t="s">
        <v>142</v>
      </c>
      <c r="E175" s="95">
        <f>'29'!F175</f>
        <v>24349</v>
      </c>
      <c r="F175" s="155">
        <v>24357</v>
      </c>
      <c r="G175" s="155">
        <f t="shared" si="14"/>
        <v>8</v>
      </c>
      <c r="H175" s="99">
        <f>G175+'29'!H175</f>
        <v>326</v>
      </c>
      <c r="I175" s="155"/>
      <c r="J175" s="178">
        <f>H175/DAY(B2)</f>
        <v>10.866666666666667</v>
      </c>
    </row>
    <row r="176" spans="1:10" ht="30.75" customHeight="1">
      <c r="A176" s="880" t="s">
        <v>196</v>
      </c>
      <c r="B176" s="881"/>
      <c r="C176" s="401"/>
      <c r="D176" s="228" t="s">
        <v>142</v>
      </c>
      <c r="E176" s="95"/>
      <c r="F176" s="155"/>
      <c r="G176" s="155">
        <f>SUM(G173:G175)</f>
        <v>20</v>
      </c>
      <c r="H176" s="99">
        <f>G176+'29'!H176</f>
        <v>774</v>
      </c>
      <c r="I176" s="155"/>
      <c r="J176" s="178">
        <f>H176/DAY(B2)</f>
        <v>25.8</v>
      </c>
    </row>
    <row r="177" spans="1:10" ht="30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891" t="s">
        <v>210</v>
      </c>
      <c r="B178" s="892"/>
      <c r="C178" s="333"/>
      <c r="D178" s="228" t="s">
        <v>142</v>
      </c>
      <c r="E178" s="95">
        <f>'29'!F178</f>
        <v>99899</v>
      </c>
      <c r="F178" s="155">
        <v>99999</v>
      </c>
      <c r="G178" s="155">
        <f>F178-E178</f>
        <v>100</v>
      </c>
      <c r="H178" s="99">
        <f>G178+'29'!H178</f>
        <v>2286</v>
      </c>
      <c r="I178" s="155"/>
      <c r="J178" s="178">
        <f>H178/DAY(B2)</f>
        <v>76.2</v>
      </c>
    </row>
    <row r="179" spans="1:10" ht="30.75" customHeight="1">
      <c r="A179" s="891" t="s">
        <v>211</v>
      </c>
      <c r="B179" s="892"/>
      <c r="C179" s="333"/>
      <c r="D179" s="228" t="s">
        <v>142</v>
      </c>
      <c r="E179" s="95">
        <f>'29'!F179</f>
        <v>37293</v>
      </c>
      <c r="F179" s="155">
        <v>37295</v>
      </c>
      <c r="G179" s="155">
        <f t="shared" ref="G179:G180" si="15">F179-E179</f>
        <v>2</v>
      </c>
      <c r="H179" s="99">
        <f>G179+'29'!H179</f>
        <v>83</v>
      </c>
      <c r="I179" s="155"/>
      <c r="J179" s="178">
        <f>H179/DAY(B2)</f>
        <v>2.7666666666666666</v>
      </c>
    </row>
    <row r="180" spans="1:10" ht="30.75" customHeight="1">
      <c r="A180" s="891" t="s">
        <v>212</v>
      </c>
      <c r="B180" s="892"/>
      <c r="C180" s="333"/>
      <c r="D180" s="228" t="s">
        <v>142</v>
      </c>
      <c r="E180" s="95">
        <f>'29'!F180</f>
        <v>7187</v>
      </c>
      <c r="F180" s="155">
        <v>7189</v>
      </c>
      <c r="G180" s="155">
        <f t="shared" si="15"/>
        <v>2</v>
      </c>
      <c r="H180" s="99">
        <f>G180+'29'!H180</f>
        <v>200</v>
      </c>
      <c r="I180" s="155"/>
      <c r="J180" s="178">
        <f>H180/DAY(B2)</f>
        <v>6.666666666666667</v>
      </c>
    </row>
    <row r="181" spans="1:10" ht="30.75" customHeight="1">
      <c r="A181" s="893" t="s">
        <v>108</v>
      </c>
      <c r="B181" s="894"/>
      <c r="C181" s="401"/>
      <c r="D181" s="228" t="s">
        <v>142</v>
      </c>
      <c r="E181" s="95"/>
      <c r="F181" s="155"/>
      <c r="G181" s="155">
        <f>SUM(G178:G180)</f>
        <v>104</v>
      </c>
      <c r="H181" s="99">
        <f>G181+'29'!H181</f>
        <v>2569</v>
      </c>
      <c r="I181" s="155"/>
      <c r="J181" s="178">
        <f>H181/DAY(B2)</f>
        <v>85.63333333333334</v>
      </c>
    </row>
    <row r="182" spans="1:10" ht="30.75" customHeight="1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891" t="s">
        <v>214</v>
      </c>
      <c r="B183" s="892"/>
      <c r="C183" s="334"/>
      <c r="D183" s="228" t="s">
        <v>142</v>
      </c>
      <c r="E183" s="157">
        <f>'29'!F183</f>
        <v>17669</v>
      </c>
      <c r="F183" s="157">
        <v>17671</v>
      </c>
      <c r="G183" s="157">
        <f>F183-E183</f>
        <v>2</v>
      </c>
      <c r="H183" s="99">
        <f>G183+'29'!H183</f>
        <v>198</v>
      </c>
      <c r="I183" s="155"/>
      <c r="J183" s="178">
        <f>H183/DAY(B2)</f>
        <v>6.6</v>
      </c>
    </row>
    <row r="184" spans="1:10" ht="30.75" customHeight="1">
      <c r="A184" s="891" t="s">
        <v>215</v>
      </c>
      <c r="B184" s="892"/>
      <c r="C184" s="334"/>
      <c r="D184" s="228" t="s">
        <v>142</v>
      </c>
      <c r="E184" s="157">
        <f>'29'!F184</f>
        <v>12146</v>
      </c>
      <c r="F184" s="157">
        <v>12149</v>
      </c>
      <c r="G184" s="157">
        <f t="shared" ref="G184:G185" si="16">F184-E184</f>
        <v>3</v>
      </c>
      <c r="H184" s="99">
        <f>G184+'29'!H184</f>
        <v>214</v>
      </c>
      <c r="I184" s="155"/>
      <c r="J184" s="178">
        <f>H184/DAY(B2)</f>
        <v>7.1333333333333337</v>
      </c>
    </row>
    <row r="185" spans="1:10" ht="30.75" customHeight="1">
      <c r="A185" s="891" t="s">
        <v>216</v>
      </c>
      <c r="B185" s="892"/>
      <c r="C185" s="334"/>
      <c r="D185" s="228" t="s">
        <v>142</v>
      </c>
      <c r="E185" s="157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880" t="s">
        <v>196</v>
      </c>
      <c r="B186" s="881"/>
      <c r="C186" s="400"/>
      <c r="D186" s="228" t="s">
        <v>142</v>
      </c>
      <c r="E186" s="95"/>
      <c r="F186" s="157"/>
      <c r="G186" s="157">
        <f>SUM(G183:G185)</f>
        <v>5</v>
      </c>
      <c r="H186" s="99">
        <f>G186+'29'!H186</f>
        <v>412</v>
      </c>
      <c r="I186" s="157"/>
      <c r="J186" s="178">
        <f>H186/DAY(B2)</f>
        <v>13.733333333333333</v>
      </c>
    </row>
    <row r="187" spans="1:10" ht="30.75" customHeight="1">
      <c r="A187" s="882" t="s">
        <v>217</v>
      </c>
      <c r="B187" s="883"/>
      <c r="C187" s="333"/>
      <c r="D187" s="228" t="s">
        <v>142</v>
      </c>
      <c r="E187" s="95"/>
      <c r="F187" s="159"/>
      <c r="G187" s="159">
        <f>G62+G19</f>
        <v>124</v>
      </c>
      <c r="H187" s="99">
        <f>G187+'29'!H187</f>
        <v>4639</v>
      </c>
      <c r="I187" s="158"/>
      <c r="J187" s="179">
        <f>H187/DAY(B2)</f>
        <v>154.63333333333333</v>
      </c>
    </row>
    <row r="188" spans="1:10" ht="30.75" customHeight="1">
      <c r="A188" s="882" t="s">
        <v>218</v>
      </c>
      <c r="B188" s="883"/>
      <c r="C188" s="333"/>
      <c r="D188" s="230" t="s">
        <v>142</v>
      </c>
      <c r="E188" s="95"/>
      <c r="F188" s="159"/>
      <c r="G188" s="159">
        <f>G65+G66+G67+G69+G70</f>
        <v>115</v>
      </c>
      <c r="H188" s="99">
        <f>G188+'29'!H188</f>
        <v>2355</v>
      </c>
      <c r="I188" s="158"/>
      <c r="J188" s="179">
        <f>H188/DAY(B2)</f>
        <v>78.5</v>
      </c>
    </row>
    <row r="189" spans="1:10" ht="30.75" customHeight="1">
      <c r="A189" s="882" t="s">
        <v>219</v>
      </c>
      <c r="B189" s="883"/>
      <c r="C189" s="333"/>
      <c r="D189" s="230" t="s">
        <v>142</v>
      </c>
      <c r="E189" s="95"/>
      <c r="F189" s="157"/>
      <c r="G189" s="157">
        <f>G181</f>
        <v>104</v>
      </c>
      <c r="H189" s="99">
        <f>G189+'29'!H189</f>
        <v>1060</v>
      </c>
      <c r="I189" s="158"/>
      <c r="J189" s="179">
        <f>H189/DAY(B2)</f>
        <v>35.333333333333336</v>
      </c>
    </row>
    <row r="190" spans="1:10" ht="30.75" customHeight="1">
      <c r="A190" s="889"/>
      <c r="B190" s="890"/>
      <c r="C190" s="399"/>
      <c r="D190" s="396"/>
      <c r="E190" s="396"/>
      <c r="F190" s="396"/>
      <c r="G190" s="396"/>
      <c r="H190" s="397"/>
      <c r="I190" s="396"/>
      <c r="J190" s="398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5" zoomScaleNormal="75" zoomScaleSheetLayoutView="55" workbookViewId="0">
      <selection activeCell="F9" sqref="F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4" customWidth="1"/>
    <col min="7" max="7" width="28.88671875" style="414" customWidth="1"/>
    <col min="8" max="8" width="29.109375" style="161" customWidth="1"/>
    <col min="9" max="9" width="23.5546875" style="414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5" s="57" customFormat="1" ht="23.25">
      <c r="A2" s="191" t="s">
        <v>349</v>
      </c>
      <c r="B2" s="262">
        <v>44804</v>
      </c>
      <c r="C2" s="348" t="s">
        <v>67</v>
      </c>
      <c r="D2" s="218">
        <v>0.42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1000" t="s">
        <v>129</v>
      </c>
      <c r="B7" s="1001"/>
      <c r="C7" s="1002"/>
      <c r="D7" s="151" t="s">
        <v>130</v>
      </c>
      <c r="E7" s="99">
        <f>'30'!F7</f>
        <v>98390</v>
      </c>
      <c r="F7" s="95">
        <v>123226</v>
      </c>
      <c r="G7" s="112">
        <f>F7-E7</f>
        <v>24836</v>
      </c>
      <c r="H7" s="99">
        <f>G7+'30'!H7</f>
        <v>786759.5</v>
      </c>
      <c r="I7" s="113">
        <f>'1'!I7</f>
        <v>12000</v>
      </c>
      <c r="J7" s="175">
        <f>H7/DAY(B2)</f>
        <v>25379.33870967742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9">
        <f>'30'!F8</f>
        <v>257631</v>
      </c>
      <c r="F8" s="95">
        <v>282546</v>
      </c>
      <c r="G8" s="115">
        <f>F8-E8</f>
        <v>24915</v>
      </c>
      <c r="H8" s="99">
        <f>G8+'30'!H8</f>
        <v>794149.7</v>
      </c>
      <c r="I8" s="116"/>
      <c r="J8" s="175">
        <f>H8/DAY(B2)</f>
        <v>25617.732258064516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5.5">
      <c r="A9" s="1003" t="s">
        <v>132</v>
      </c>
      <c r="B9" s="1004"/>
      <c r="C9" s="1005"/>
      <c r="D9" s="151" t="s">
        <v>130</v>
      </c>
      <c r="E9" s="99">
        <f>'30'!F9</f>
        <v>3479723.9</v>
      </c>
      <c r="F9" s="469">
        <v>3490368.7</v>
      </c>
      <c r="G9" s="112">
        <f>F9-E9</f>
        <v>10644.800000000279</v>
      </c>
      <c r="H9" s="99">
        <f>G9+'30'!H9</f>
        <v>211302.70000000019</v>
      </c>
      <c r="I9" s="124">
        <f>I7-J7</f>
        <v>-13379.33870967742</v>
      </c>
      <c r="J9" s="175">
        <f>H9/DAY(B2)</f>
        <v>6816.2161290322638</v>
      </c>
      <c r="K9" s="79">
        <f>K8-100</f>
        <v>1715817</v>
      </c>
      <c r="L9" s="66"/>
      <c r="N9" s="87"/>
      <c r="O9" s="71"/>
    </row>
    <row r="10" spans="1:15" ht="25.5">
      <c r="A10" s="1000" t="s">
        <v>133</v>
      </c>
      <c r="B10" s="1001"/>
      <c r="C10" s="1002"/>
      <c r="D10" s="151" t="s">
        <v>130</v>
      </c>
      <c r="E10" s="99">
        <f>'30'!F10</f>
        <v>2207278</v>
      </c>
      <c r="F10" s="353">
        <v>2220797.2999999998</v>
      </c>
      <c r="G10" s="112">
        <f t="shared" ref="G10:G12" si="0">F10-E10</f>
        <v>13519.299999999814</v>
      </c>
      <c r="H10" s="99">
        <f>G10+'30'!H10</f>
        <v>553639.29999999981</v>
      </c>
      <c r="I10" s="120"/>
      <c r="J10" s="175">
        <f>H10/DAY(B2)</f>
        <v>17859.332258064511</v>
      </c>
      <c r="K10" s="79"/>
      <c r="L10" s="66"/>
      <c r="N10" s="87"/>
      <c r="O10" s="71"/>
    </row>
    <row r="11" spans="1:15" ht="25.5">
      <c r="A11" s="1000" t="s">
        <v>134</v>
      </c>
      <c r="B11" s="1001"/>
      <c r="C11" s="1002"/>
      <c r="D11" s="151" t="s">
        <v>130</v>
      </c>
      <c r="E11" s="99">
        <f>'30'!F11</f>
        <v>37560</v>
      </c>
      <c r="F11" s="95">
        <v>37560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5.5">
      <c r="A12" s="1000" t="s">
        <v>135</v>
      </c>
      <c r="B12" s="1001"/>
      <c r="C12" s="1002"/>
      <c r="D12" s="151" t="s">
        <v>130</v>
      </c>
      <c r="E12" s="99">
        <f>'30'!F12</f>
        <v>40380</v>
      </c>
      <c r="F12" s="117">
        <v>40380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24164.100000000093</v>
      </c>
      <c r="H13" s="99">
        <f>G13+'30'!H13</f>
        <v>766276.59999999986</v>
      </c>
      <c r="I13" s="120">
        <f>G7-G13</f>
        <v>671.89999999990687</v>
      </c>
      <c r="J13" s="175">
        <f>H13/DAY(B2)</f>
        <v>24718.599999999995</v>
      </c>
      <c r="K13" s="79"/>
      <c r="L13" s="66"/>
      <c r="N13" s="87"/>
      <c r="O13" s="71"/>
    </row>
    <row r="14" spans="1:15" ht="26.25">
      <c r="A14" s="943" t="s">
        <v>137</v>
      </c>
      <c r="B14" s="944"/>
      <c r="C14" s="94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919" t="s">
        <v>138</v>
      </c>
      <c r="B15" s="920"/>
      <c r="C15" s="921"/>
      <c r="D15" s="151" t="s">
        <v>139</v>
      </c>
      <c r="E15" s="95">
        <f>'30'!F15</f>
        <v>2130959</v>
      </c>
      <c r="F15" s="469">
        <v>2131833.6</v>
      </c>
      <c r="G15" s="112">
        <f>(F15-E15)</f>
        <v>874.60000000009313</v>
      </c>
      <c r="H15" s="99">
        <f>G15+'30'!H15</f>
        <v>30965.600000000093</v>
      </c>
      <c r="I15" s="113">
        <f>'1'!I15</f>
        <v>800</v>
      </c>
      <c r="J15" s="175">
        <f>H15/DAY(B2)</f>
        <v>998.89032258064822</v>
      </c>
      <c r="K15" s="79"/>
      <c r="L15" s="66"/>
      <c r="N15" s="87"/>
      <c r="O15" s="71"/>
    </row>
    <row r="16" spans="1:15" ht="21.95" customHeight="1">
      <c r="A16" s="997"/>
      <c r="B16" s="998"/>
      <c r="C16" s="999"/>
      <c r="D16" s="152"/>
      <c r="E16" s="123"/>
      <c r="F16" s="123"/>
      <c r="G16" s="112"/>
      <c r="H16" s="124"/>
      <c r="I16" s="113">
        <f>'1'!I16</f>
        <v>-263.60000000009313</v>
      </c>
      <c r="J16" s="753">
        <f>H16/DAY(B2)</f>
        <v>0</v>
      </c>
      <c r="K16" s="79"/>
      <c r="L16" s="66"/>
      <c r="N16" s="87"/>
      <c r="O16" s="71"/>
    </row>
    <row r="17" spans="1:15" ht="26.25">
      <c r="A17" s="943" t="s">
        <v>140</v>
      </c>
      <c r="B17" s="944"/>
      <c r="C17" s="94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9" t="s">
        <v>141</v>
      </c>
      <c r="B18" s="920"/>
      <c r="C18" s="921"/>
      <c r="D18" s="151" t="s">
        <v>142</v>
      </c>
      <c r="E18" s="95">
        <f>'30'!F18</f>
        <v>15</v>
      </c>
      <c r="F18" s="164">
        <v>13</v>
      </c>
      <c r="G18" s="119">
        <f>F18*10</f>
        <v>130</v>
      </c>
      <c r="H18" s="99">
        <f>G18+'30'!H18</f>
        <v>4990</v>
      </c>
      <c r="I18" s="113">
        <f>'1'!I18</f>
        <v>65</v>
      </c>
      <c r="J18" s="175">
        <f>H18/DAY(B2)</f>
        <v>160.96774193548387</v>
      </c>
      <c r="K18" s="79"/>
      <c r="L18" s="66"/>
      <c r="N18" s="87"/>
      <c r="O18" s="71"/>
    </row>
    <row r="19" spans="1:15" ht="25.5">
      <c r="A19" s="919" t="s">
        <v>69</v>
      </c>
      <c r="B19" s="920"/>
      <c r="C19" s="921"/>
      <c r="D19" s="151" t="s">
        <v>142</v>
      </c>
      <c r="E19" s="95">
        <f>'30'!F19</f>
        <v>163840</v>
      </c>
      <c r="F19" s="122">
        <v>163891</v>
      </c>
      <c r="G19" s="112">
        <f t="shared" ref="G19" si="1">F19-E19</f>
        <v>51</v>
      </c>
      <c r="H19" s="99">
        <f>G19+'30'!H19</f>
        <v>1556</v>
      </c>
      <c r="I19" s="123"/>
      <c r="J19" s="175">
        <f>H19/DAY(B2)</f>
        <v>50.193548387096776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181</v>
      </c>
      <c r="H20" s="99">
        <f>G20+'30'!H20</f>
        <v>6546</v>
      </c>
      <c r="I20" s="336">
        <f>I18-J20</f>
        <v>-146.16129032258064</v>
      </c>
      <c r="J20" s="175">
        <f>H20/DAY(B2)</f>
        <v>211.16129032258064</v>
      </c>
      <c r="K20" s="79"/>
      <c r="L20" s="66"/>
      <c r="N20" s="87"/>
      <c r="O20" s="71"/>
    </row>
    <row r="21" spans="1:15" ht="26.25">
      <c r="A21" s="943" t="s">
        <v>144</v>
      </c>
      <c r="B21" s="944"/>
      <c r="C21" s="94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8" t="s">
        <v>149</v>
      </c>
      <c r="B25" s="949"/>
      <c r="C25" s="95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24915</v>
      </c>
      <c r="F27" s="136">
        <v>9</v>
      </c>
      <c r="G27" s="137">
        <f>E27*F27</f>
        <v>224235</v>
      </c>
      <c r="H27" s="99">
        <f>G27+'30'!H27</f>
        <v>7147347.2999999998</v>
      </c>
      <c r="I27" s="138"/>
      <c r="J27" s="175">
        <f>H27/DAY(B2)</f>
        <v>230559.59032258063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874.60000000009313</v>
      </c>
      <c r="F28" s="136">
        <v>70</v>
      </c>
      <c r="G28" s="137">
        <f>E28*F28</f>
        <v>61222.000000006519</v>
      </c>
      <c r="H28" s="99">
        <f>G28+'30'!H28</f>
        <v>2167592.0000000065</v>
      </c>
      <c r="I28" s="526"/>
      <c r="J28" s="175">
        <f>H28/DAY(B2)</f>
        <v>69922.32258064537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526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G30+'30'!H30</f>
        <v>234956</v>
      </c>
      <c r="I30" s="526"/>
      <c r="J30" s="175">
        <f>H30/DAY(B2)</f>
        <v>7579.2258064516127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80</v>
      </c>
      <c r="G31" s="137">
        <f>E31*F31</f>
        <v>10400</v>
      </c>
      <c r="H31" s="99">
        <f>G31+'30'!H31</f>
        <v>399200</v>
      </c>
      <c r="I31" s="526"/>
      <c r="J31" s="175">
        <f>H31/DAY(B2)</f>
        <v>12877.41935483871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303558.00000000652</v>
      </c>
      <c r="H32" s="99">
        <f>G32+'30'!H32</f>
        <v>9949095.3000000082</v>
      </c>
      <c r="I32" s="144"/>
      <c r="J32" s="175">
        <f>H32/DAY(B2)</f>
        <v>320938.5580645164</v>
      </c>
      <c r="K32" s="63"/>
      <c r="L32" s="89"/>
      <c r="N32" s="87"/>
      <c r="O32" s="71"/>
    </row>
    <row r="33" spans="1:15" ht="25.5" customHeight="1">
      <c r="A33" s="951" t="s">
        <v>331</v>
      </c>
      <c r="B33" s="952"/>
      <c r="C33" s="952"/>
      <c r="D33" s="337"/>
      <c r="E33" s="337"/>
      <c r="F33" s="527"/>
      <c r="G33" s="527"/>
      <c r="H33" s="527"/>
      <c r="I33" s="527"/>
      <c r="J33" s="52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9">
        <f>'30'!F35</f>
        <v>238713.05</v>
      </c>
      <c r="F35" s="145">
        <v>238713.05</v>
      </c>
      <c r="G35" s="112">
        <f t="shared" ref="G35:G46" si="3">F35-E35</f>
        <v>0</v>
      </c>
      <c r="H35" s="99">
        <f>G35+'30'!H35</f>
        <v>4.9999999988358468E-2</v>
      </c>
      <c r="I35" s="95"/>
      <c r="J35" s="175">
        <f>H35/DAY(B2)</f>
        <v>1.6129032254309182E-3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9">
        <f>'30'!F36</f>
        <v>241125.49</v>
      </c>
      <c r="F36" s="145">
        <v>241817.05</v>
      </c>
      <c r="G36" s="112">
        <f t="shared" si="3"/>
        <v>691.55999999999767</v>
      </c>
      <c r="H36" s="99">
        <f>G36+'30'!H36</f>
        <v>26287.049999999988</v>
      </c>
      <c r="I36" s="95"/>
      <c r="J36" s="175">
        <f>H36/DAY(B2)</f>
        <v>847.96935483870925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9">
        <f>'30'!F37</f>
        <v>322998.69</v>
      </c>
      <c r="F37" s="145">
        <v>322998.69</v>
      </c>
      <c r="G37" s="112">
        <f t="shared" si="3"/>
        <v>0</v>
      </c>
      <c r="H37" s="99">
        <f>G37+'30'!H37</f>
        <v>-0.30999999999767169</v>
      </c>
      <c r="I37" s="95"/>
      <c r="J37" s="175">
        <f>H37/DAY(B2)</f>
        <v>-9.9999999999248936E-3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9">
        <f>'30'!F38</f>
        <v>523496.71</v>
      </c>
      <c r="F38" s="108">
        <v>525755.5</v>
      </c>
      <c r="G38" s="112">
        <f t="shared" si="3"/>
        <v>2258.789999999979</v>
      </c>
      <c r="H38" s="99">
        <f>G38+'30'!H38</f>
        <v>68394.5</v>
      </c>
      <c r="I38" s="95"/>
      <c r="J38" s="175">
        <f>H38/DAY(B2)</f>
        <v>2206.2741935483873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9">
        <f>'30'!F39</f>
        <v>591584.18999999994</v>
      </c>
      <c r="F39" s="145">
        <v>591584.18999999994</v>
      </c>
      <c r="G39" s="112">
        <f t="shared" si="3"/>
        <v>0</v>
      </c>
      <c r="H39" s="99">
        <f>G39+'30'!H39</f>
        <v>0.18999999994412065</v>
      </c>
      <c r="I39" s="95"/>
      <c r="J39" s="175">
        <f>H39/DAY(B2)</f>
        <v>6.1290322562619565E-3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9">
        <f>'30'!F40</f>
        <v>132344.38</v>
      </c>
      <c r="F40" s="145">
        <v>133271.23000000001</v>
      </c>
      <c r="G40" s="112">
        <f t="shared" si="3"/>
        <v>926.85000000000582</v>
      </c>
      <c r="H40" s="99">
        <f>G40+'30'!H40</f>
        <v>26495.23000000001</v>
      </c>
      <c r="I40" s="95"/>
      <c r="J40" s="175">
        <f>H40/DAY(B2)</f>
        <v>854.68483870967771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9">
        <f>'30'!F41</f>
        <v>276478.15000000002</v>
      </c>
      <c r="F41" s="145">
        <v>282213.07</v>
      </c>
      <c r="G41" s="112">
        <f t="shared" si="3"/>
        <v>5734.9199999999837</v>
      </c>
      <c r="H41" s="99">
        <f>G41+'30'!H41</f>
        <v>70510.070000000007</v>
      </c>
      <c r="I41" s="95"/>
      <c r="J41" s="175">
        <f>H41/DAY(B2)</f>
        <v>2274.5183870967744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9">
        <f>'30'!F42</f>
        <v>796748.63</v>
      </c>
      <c r="F42" s="145">
        <v>799018.55</v>
      </c>
      <c r="G42" s="112">
        <f t="shared" si="3"/>
        <v>2269.9200000000419</v>
      </c>
      <c r="H42" s="99">
        <f>G42+'30'!H42</f>
        <v>50654.550000000047</v>
      </c>
      <c r="I42" s="95"/>
      <c r="J42" s="175">
        <f>H42/DAY(B2)</f>
        <v>1634.0177419354854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9">
        <f>'30'!F43</f>
        <v>407028</v>
      </c>
      <c r="F43" s="145">
        <v>407028</v>
      </c>
      <c r="G43" s="112">
        <f t="shared" si="3"/>
        <v>0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9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9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9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11882.040000000008</v>
      </c>
      <c r="H47" s="99">
        <f>G47+'30'!H47</f>
        <v>242341.33</v>
      </c>
      <c r="I47" s="95"/>
      <c r="J47" s="175">
        <f>H47/DAY(B2)</f>
        <v>7817.4622580645155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9">
        <f>'30'!F49</f>
        <v>602720.43000000005</v>
      </c>
      <c r="F49" s="145">
        <v>606617.59</v>
      </c>
      <c r="G49" s="112">
        <f t="shared" ref="G49:G58" si="4">F49-E49</f>
        <v>3897.1599999999162</v>
      </c>
      <c r="H49" s="99">
        <f>G49+'30'!H49</f>
        <v>121563.58999999997</v>
      </c>
      <c r="I49" s="95"/>
      <c r="J49" s="175">
        <f>H49/DAY(B2)</f>
        <v>3921.406129032257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9">
        <f>'30'!F50</f>
        <v>319554.23</v>
      </c>
      <c r="F50" s="145">
        <v>320732.89</v>
      </c>
      <c r="G50" s="112">
        <f t="shared" si="4"/>
        <v>1178.6600000000326</v>
      </c>
      <c r="H50" s="99">
        <f>G50+'30'!H50</f>
        <v>244616.32000000001</v>
      </c>
      <c r="I50" s="95"/>
      <c r="J50" s="175">
        <f>H50/DAY(B2)</f>
        <v>7890.8490322580647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9">
        <f>'30'!F51</f>
        <v>39647.730000000003</v>
      </c>
      <c r="F51" s="145">
        <v>40861.26</v>
      </c>
      <c r="G51" s="112">
        <f t="shared" si="4"/>
        <v>1213.5299999999988</v>
      </c>
      <c r="H51" s="99">
        <f>G51+'30'!H51</f>
        <v>32353.260000000002</v>
      </c>
      <c r="I51" s="95"/>
      <c r="J51" s="175">
        <f>H51/DAY(B2)</f>
        <v>1043.6535483870969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9">
        <f>'30'!F52</f>
        <v>10</v>
      </c>
      <c r="F52" s="145">
        <v>10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9">
        <f>'30'!F53</f>
        <v>163168.19</v>
      </c>
      <c r="F53" s="145">
        <v>167274.69</v>
      </c>
      <c r="G53" s="112">
        <f t="shared" si="4"/>
        <v>4106.5</v>
      </c>
      <c r="H53" s="99">
        <f>G53+'30'!H53</f>
        <v>133413.69</v>
      </c>
      <c r="I53" s="95"/>
      <c r="J53" s="175">
        <f>H53/DAY(B2)</f>
        <v>4303.6674193548388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9">
        <f>'30'!F54</f>
        <v>95536.6</v>
      </c>
      <c r="F54" s="145">
        <v>95728.09</v>
      </c>
      <c r="G54" s="112">
        <f t="shared" si="4"/>
        <v>191.48999999999069</v>
      </c>
      <c r="H54" s="99">
        <f>G54+'30'!H54</f>
        <v>7785.0899999999965</v>
      </c>
      <c r="I54" s="95"/>
      <c r="J54" s="175">
        <f>H54/DAY(B2)</f>
        <v>251.13193548387085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9">
        <f>'30'!F55</f>
        <v>443169.45</v>
      </c>
      <c r="F55" s="145">
        <v>443169.75</v>
      </c>
      <c r="G55" s="112">
        <f t="shared" si="4"/>
        <v>0.29999999998835847</v>
      </c>
      <c r="H55" s="99">
        <f>G55+'30'!H55</f>
        <v>80392.75</v>
      </c>
      <c r="I55" s="95"/>
      <c r="J55" s="175">
        <f>H55/DAY(B2)</f>
        <v>2593.3145161290322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9">
        <f>'30'!F56</f>
        <v>126047.69</v>
      </c>
      <c r="F56" s="145">
        <v>126047.69</v>
      </c>
      <c r="G56" s="112">
        <f t="shared" si="4"/>
        <v>0</v>
      </c>
      <c r="H56" s="99">
        <f>G56+'30'!H56</f>
        <v>2165.6900000000023</v>
      </c>
      <c r="I56" s="95"/>
      <c r="J56" s="175">
        <f>H56/DAY(B2)</f>
        <v>69.860967741935553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9">
        <f>'30'!F57</f>
        <v>319261.61</v>
      </c>
      <c r="F57" s="145">
        <v>322250.93</v>
      </c>
      <c r="G57" s="112">
        <f t="shared" si="4"/>
        <v>2989.320000000007</v>
      </c>
      <c r="H57" s="99">
        <f>G57+'30'!H57</f>
        <v>96080.93</v>
      </c>
      <c r="I57" s="95"/>
      <c r="J57" s="175">
        <f>H57/DAY(B2)</f>
        <v>3099.3848387096773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9">
        <f>'30'!F58</f>
        <v>56553.08</v>
      </c>
      <c r="F58" s="145">
        <v>56761</v>
      </c>
      <c r="G58" s="112">
        <f t="shared" si="4"/>
        <v>207.91999999999825</v>
      </c>
      <c r="H58" s="99">
        <f>G58+'30'!H58</f>
        <v>7652</v>
      </c>
      <c r="I58" s="95"/>
      <c r="J58" s="175">
        <f>H58/DAY(B2)</f>
        <v>246.83870967741936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227"/>
      <c r="F59" s="146"/>
      <c r="G59" s="119">
        <f>G49+G50+G51+G52+G53+G54+G55+G56+G57+G58</f>
        <v>13784.879999999932</v>
      </c>
      <c r="H59" s="99">
        <f>G59+'30'!H59</f>
        <v>519389.89000000007</v>
      </c>
      <c r="I59" s="95">
        <f>G7-G60</f>
        <v>-830.91999999994005</v>
      </c>
      <c r="J59" s="175">
        <f>H59/DAY(B2)</f>
        <v>16754.512580645165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227"/>
      <c r="F60" s="146"/>
      <c r="G60" s="119">
        <f>G47+G59</f>
        <v>25666.91999999994</v>
      </c>
      <c r="H60" s="99">
        <f>G60+'30'!H60</f>
        <v>761731.22000000009</v>
      </c>
      <c r="I60" s="95">
        <f>G13-G60</f>
        <v>-1502.8199999998469</v>
      </c>
      <c r="J60" s="175">
        <f>H60/DAY(B2)</f>
        <v>24571.974838709681</v>
      </c>
      <c r="K60" s="79"/>
      <c r="L60" s="66"/>
      <c r="N60" s="87"/>
      <c r="O60" s="71"/>
    </row>
    <row r="61" spans="1:15" s="68" customFormat="1" ht="26.25">
      <c r="A61" s="953" t="s">
        <v>332</v>
      </c>
      <c r="B61" s="954"/>
      <c r="C61" s="955"/>
      <c r="D61" s="339"/>
      <c r="E61" s="340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9" t="s">
        <v>198</v>
      </c>
      <c r="B62" s="920"/>
      <c r="C62" s="921"/>
      <c r="D62" s="151" t="s">
        <v>142</v>
      </c>
      <c r="E62" s="95">
        <f>'30'!F62</f>
        <v>299409</v>
      </c>
      <c r="F62" s="122">
        <v>299473</v>
      </c>
      <c r="G62" s="112">
        <f t="shared" ref="G62:G63" si="5">F62-E62</f>
        <v>64</v>
      </c>
      <c r="H62" s="99">
        <f>G62+'30'!H62</f>
        <v>3198</v>
      </c>
      <c r="I62" s="95"/>
      <c r="J62" s="175">
        <f>H62/DAY(B2)</f>
        <v>103.16129032258064</v>
      </c>
      <c r="K62" s="80"/>
      <c r="L62" s="66"/>
      <c r="N62" s="87"/>
      <c r="O62" s="71"/>
    </row>
    <row r="63" spans="1:15" ht="25.5">
      <c r="A63" s="919" t="s">
        <v>199</v>
      </c>
      <c r="B63" s="920"/>
      <c r="C63" s="921"/>
      <c r="D63" s="151" t="s">
        <v>142</v>
      </c>
      <c r="E63" s="95">
        <f>'30'!F63</f>
        <v>242487</v>
      </c>
      <c r="F63" s="164">
        <v>242592</v>
      </c>
      <c r="G63" s="112">
        <f t="shared" si="5"/>
        <v>105</v>
      </c>
      <c r="H63" s="99">
        <f>G63+'30'!H63</f>
        <v>3459</v>
      </c>
      <c r="I63" s="95"/>
      <c r="J63" s="175">
        <f>H63/DAY(B2)</f>
        <v>111.58064516129032</v>
      </c>
      <c r="K63" s="69"/>
      <c r="L63" s="66"/>
      <c r="N63" s="87"/>
      <c r="O63" s="71"/>
    </row>
    <row r="64" spans="1:15" ht="26.25">
      <c r="A64" s="928" t="s">
        <v>200</v>
      </c>
      <c r="B64" s="929"/>
      <c r="C64" s="930"/>
      <c r="D64" s="151"/>
      <c r="E64" s="95">
        <f>'30'!F64</f>
        <v>0</v>
      </c>
      <c r="F64" s="122"/>
      <c r="G64" s="112">
        <f>G62+G63</f>
        <v>169</v>
      </c>
      <c r="H64" s="99">
        <f>G64+'30'!H64</f>
        <v>6657</v>
      </c>
      <c r="I64" s="95"/>
      <c r="J64" s="175">
        <f>H64/DAY(B2)</f>
        <v>214.74193548387098</v>
      </c>
      <c r="K64" s="69"/>
      <c r="L64" s="66"/>
      <c r="N64" s="87"/>
      <c r="O64" s="71"/>
    </row>
    <row r="65" spans="1:15" ht="25.5">
      <c r="A65" s="919" t="s">
        <v>201</v>
      </c>
      <c r="B65" s="920"/>
      <c r="C65" s="921"/>
      <c r="D65" s="151" t="s">
        <v>142</v>
      </c>
      <c r="E65" s="99">
        <f>'30'!F65</f>
        <v>457743</v>
      </c>
      <c r="F65" s="122">
        <v>457826</v>
      </c>
      <c r="G65" s="112">
        <f t="shared" ref="G65:G70" si="6">F65-E65</f>
        <v>83</v>
      </c>
      <c r="H65" s="99">
        <f>G65+'30'!H65</f>
        <v>3116</v>
      </c>
      <c r="I65" s="95"/>
      <c r="J65" s="175">
        <f>H65/DAY(B2)</f>
        <v>100.51612903225806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9">
        <f>'30'!F66</f>
        <v>112291</v>
      </c>
      <c r="F66" s="122">
        <v>112297</v>
      </c>
      <c r="G66" s="112">
        <f t="shared" si="6"/>
        <v>6</v>
      </c>
      <c r="H66" s="99">
        <f>G66+'30'!H66</f>
        <v>575</v>
      </c>
      <c r="I66" s="95"/>
      <c r="J66" s="175">
        <f>H66/DAY(B2)</f>
        <v>18.548387096774192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9">
        <f>'30'!F67</f>
        <v>114183</v>
      </c>
      <c r="F67" s="122">
        <v>114198</v>
      </c>
      <c r="G67" s="112">
        <f t="shared" si="6"/>
        <v>15</v>
      </c>
      <c r="H67" s="99">
        <f>G67+'30'!H67</f>
        <v>518</v>
      </c>
      <c r="I67" s="95"/>
      <c r="J67" s="175">
        <f>H67/DAY(B2)</f>
        <v>16.70967741935484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9">
        <f>'30'!F68</f>
        <v>165510</v>
      </c>
      <c r="F68" s="122">
        <v>165556</v>
      </c>
      <c r="G68" s="112">
        <f t="shared" si="6"/>
        <v>46</v>
      </c>
      <c r="H68" s="99">
        <f>G68+'30'!H68</f>
        <v>894</v>
      </c>
      <c r="I68" s="95"/>
      <c r="J68" s="175">
        <f>H68/DAY(B2)</f>
        <v>28.838709677419356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9">
        <f>'30'!F69</f>
        <v>12429</v>
      </c>
      <c r="F69" s="122">
        <v>12438</v>
      </c>
      <c r="G69" s="112">
        <f t="shared" si="6"/>
        <v>9</v>
      </c>
      <c r="H69" s="99">
        <f>G69+'30'!H69</f>
        <v>163</v>
      </c>
      <c r="I69" s="95"/>
      <c r="J69" s="175">
        <f>H69/DAY(B2)</f>
        <v>5.258064516129032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9">
        <f>'30'!F70</f>
        <v>10092</v>
      </c>
      <c r="F70" s="122">
        <v>10096</v>
      </c>
      <c r="G70" s="112">
        <f t="shared" si="6"/>
        <v>4</v>
      </c>
      <c r="H70" s="99">
        <f>G70+'30'!H70</f>
        <v>269</v>
      </c>
      <c r="I70" s="95"/>
      <c r="J70" s="175">
        <f>H70/DAY(B2)</f>
        <v>8.67741935483871</v>
      </c>
      <c r="K70" s="69"/>
      <c r="L70" s="66"/>
      <c r="N70" s="87"/>
      <c r="O70" s="71"/>
    </row>
    <row r="71" spans="1:15" ht="26.25">
      <c r="A71" s="928" t="s">
        <v>208</v>
      </c>
      <c r="B71" s="929"/>
      <c r="C71" s="930"/>
      <c r="D71" s="152"/>
      <c r="E71" s="152"/>
      <c r="F71" s="152"/>
      <c r="G71" s="153">
        <f>SUM(G65:G70)</f>
        <v>163</v>
      </c>
      <c r="H71" s="99">
        <f>G71+'30'!H71</f>
        <v>5535</v>
      </c>
      <c r="I71" s="529"/>
      <c r="J71" s="175">
        <f>H71/DAY(B2)</f>
        <v>178.54838709677421</v>
      </c>
      <c r="K71" s="69"/>
      <c r="L71" s="66"/>
      <c r="N71" s="87"/>
      <c r="O71" s="71"/>
    </row>
    <row r="72" spans="1:15" s="88" customFormat="1" ht="25.5">
      <c r="A72" s="915"/>
      <c r="B72" s="900"/>
      <c r="C72" s="347"/>
      <c r="D72" s="180"/>
      <c r="E72" s="180"/>
      <c r="F72" s="412"/>
      <c r="G72" s="412"/>
      <c r="H72" s="181"/>
      <c r="I72" s="412"/>
      <c r="J72" s="530"/>
      <c r="N72" s="87"/>
      <c r="O72" s="71"/>
    </row>
    <row r="73" spans="1:15" ht="26.25">
      <c r="A73" s="925" t="s">
        <v>333</v>
      </c>
      <c r="B73" s="926"/>
      <c r="C73" s="92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9" t="s">
        <v>220</v>
      </c>
      <c r="B74" s="920"/>
      <c r="C74" s="921"/>
      <c r="D74" s="151" t="s">
        <v>139</v>
      </c>
      <c r="E74" s="99">
        <f>'30'!F74</f>
        <v>966897.75</v>
      </c>
      <c r="F74" s="123">
        <v>967182.78</v>
      </c>
      <c r="G74" s="112">
        <f t="shared" ref="G74:G78" si="7">F74-E74</f>
        <v>285.03000000002794</v>
      </c>
      <c r="H74" s="99">
        <f>G74+'30'!H74</f>
        <v>9524.9200000000419</v>
      </c>
      <c r="I74" s="529"/>
      <c r="J74" s="175">
        <f>H74/DAY(B2)</f>
        <v>307.2554838709691</v>
      </c>
      <c r="K74" s="69"/>
      <c r="L74" s="66"/>
      <c r="N74" s="87"/>
      <c r="O74" s="71"/>
    </row>
    <row r="75" spans="1:15" ht="25.5">
      <c r="A75" s="919" t="s">
        <v>221</v>
      </c>
      <c r="B75" s="920"/>
      <c r="C75" s="921"/>
      <c r="D75" s="151" t="s">
        <v>139</v>
      </c>
      <c r="E75" s="99">
        <f>'30'!F75</f>
        <v>73586</v>
      </c>
      <c r="F75" s="123">
        <v>73586.8</v>
      </c>
      <c r="G75" s="112">
        <f t="shared" si="7"/>
        <v>0.80000000000291038</v>
      </c>
      <c r="H75" s="99">
        <f>G75+'30'!H75</f>
        <v>0</v>
      </c>
      <c r="I75" s="529"/>
      <c r="J75" s="175">
        <f>H75/DAY(B2)</f>
        <v>0</v>
      </c>
      <c r="K75" s="69"/>
      <c r="L75" s="66"/>
      <c r="N75" s="87"/>
      <c r="O75" s="71"/>
    </row>
    <row r="76" spans="1:15" ht="25.5">
      <c r="A76" s="916" t="s">
        <v>222</v>
      </c>
      <c r="B76" s="917"/>
      <c r="C76" s="918"/>
      <c r="D76" s="151" t="s">
        <v>139</v>
      </c>
      <c r="E76" s="99">
        <f>'30'!F76</f>
        <v>193336.7</v>
      </c>
      <c r="F76" s="123">
        <v>193421.5</v>
      </c>
      <c r="G76" s="112">
        <f t="shared" si="7"/>
        <v>84.799999999988358</v>
      </c>
      <c r="H76" s="99">
        <f>G76+'30'!H76</f>
        <v>3249.5</v>
      </c>
      <c r="I76" s="529"/>
      <c r="J76" s="175">
        <f>H76/DAY(B2)</f>
        <v>104.8225806451613</v>
      </c>
      <c r="K76" s="69"/>
      <c r="L76" s="66"/>
      <c r="N76" s="87"/>
      <c r="O76" s="71"/>
    </row>
    <row r="77" spans="1:15" ht="25.5">
      <c r="A77" s="916" t="s">
        <v>223</v>
      </c>
      <c r="B77" s="917"/>
      <c r="C77" s="918"/>
      <c r="D77" s="151" t="s">
        <v>139</v>
      </c>
      <c r="E77" s="99">
        <f>'30'!F77</f>
        <v>51798</v>
      </c>
      <c r="F77" s="410">
        <v>51840</v>
      </c>
      <c r="G77" s="112">
        <f t="shared" si="7"/>
        <v>42</v>
      </c>
      <c r="H77" s="99">
        <f>G77+'30'!H77</f>
        <v>1527</v>
      </c>
      <c r="I77" s="529"/>
      <c r="J77" s="175">
        <f>H77/DAY(B2)</f>
        <v>49.258064516129032</v>
      </c>
      <c r="K77" s="69"/>
      <c r="L77" s="66"/>
      <c r="N77" s="87"/>
      <c r="O77" s="71"/>
    </row>
    <row r="78" spans="1:15" ht="25.5">
      <c r="A78" s="916" t="s">
        <v>224</v>
      </c>
      <c r="B78" s="917"/>
      <c r="C78" s="918"/>
      <c r="D78" s="151" t="s">
        <v>139</v>
      </c>
      <c r="E78" s="99">
        <f>'30'!F78</f>
        <v>9563.4</v>
      </c>
      <c r="F78" s="410">
        <v>9563</v>
      </c>
      <c r="G78" s="112">
        <f t="shared" si="7"/>
        <v>-0.3999999999996362</v>
      </c>
      <c r="H78" s="99">
        <f>G78+'30'!H78</f>
        <v>-0.3999999999996362</v>
      </c>
      <c r="I78" s="95"/>
      <c r="J78" s="175">
        <f>H78/DAY(B2)</f>
        <v>-1.2903225806439877E-2</v>
      </c>
      <c r="K78" s="69"/>
      <c r="L78" s="66"/>
      <c r="N78" s="87"/>
      <c r="O78" s="71"/>
    </row>
    <row r="79" spans="1:15" s="57" customFormat="1" ht="25.5">
      <c r="A79" s="916" t="s">
        <v>225</v>
      </c>
      <c r="B79" s="917"/>
      <c r="C79" s="918"/>
      <c r="D79" s="151"/>
      <c r="E79" s="770"/>
      <c r="F79" s="123"/>
      <c r="G79" s="112">
        <f>G15-SUM(G74:G78)</f>
        <v>462.37000000007356</v>
      </c>
      <c r="H79" s="99">
        <f>G79+'30'!H79</f>
        <v>16664.580000000053</v>
      </c>
      <c r="I79" s="95"/>
      <c r="J79" s="175"/>
      <c r="K79" s="59"/>
      <c r="L79" s="58"/>
      <c r="N79" s="87"/>
      <c r="O79" s="71"/>
    </row>
    <row r="80" spans="1:15" s="57" customFormat="1" ht="26.25">
      <c r="A80" s="928" t="s">
        <v>329</v>
      </c>
      <c r="B80" s="929"/>
      <c r="C80" s="930"/>
      <c r="D80" s="151"/>
      <c r="E80" s="117"/>
      <c r="F80" s="117"/>
      <c r="G80" s="112">
        <f>SUM(G74:G79)</f>
        <v>874.60000000009313</v>
      </c>
      <c r="H80" s="99"/>
      <c r="I80" s="95"/>
      <c r="J80" s="175"/>
      <c r="K80" s="59"/>
      <c r="L80" s="58"/>
      <c r="N80" s="87"/>
      <c r="O80" s="71"/>
    </row>
    <row r="81" spans="1:15" ht="25.5">
      <c r="A81" s="933" t="s">
        <v>226</v>
      </c>
      <c r="B81" s="934"/>
      <c r="C81" s="935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9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5491.3000000000029</v>
      </c>
      <c r="I82" s="571"/>
      <c r="J82" s="175">
        <f>H82/DAY(B2)</f>
        <v>177.13870967741946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9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9">
        <f>'30'!F84</f>
        <v>42888.21</v>
      </c>
      <c r="F84" s="164">
        <v>42912.55</v>
      </c>
      <c r="G84" s="112">
        <f t="shared" si="8"/>
        <v>24.340000000003783</v>
      </c>
      <c r="H84" s="99">
        <f>G84+'30'!H84</f>
        <v>283.55000000000291</v>
      </c>
      <c r="I84" s="571"/>
      <c r="J84" s="175">
        <f>H84/DAY(B2)</f>
        <v>9.146774193548481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9">
        <f>'30'!F85</f>
        <v>5354.4</v>
      </c>
      <c r="F85" s="164">
        <v>5364</v>
      </c>
      <c r="G85" s="112">
        <f t="shared" si="8"/>
        <v>9.6000000000003638</v>
      </c>
      <c r="H85" s="99">
        <f>G85+'30'!H85</f>
        <v>223.8100000000004</v>
      </c>
      <c r="I85" s="571"/>
      <c r="J85" s="175">
        <f>H85/DAY(B2)</f>
        <v>7.2196774193548512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9">
        <f>'30'!F86</f>
        <v>45921.37</v>
      </c>
      <c r="F86" s="164">
        <v>45921.37</v>
      </c>
      <c r="G86" s="112">
        <f t="shared" si="8"/>
        <v>0</v>
      </c>
      <c r="H86" s="99">
        <f>G86+'30'!H86</f>
        <v>542.37000000000262</v>
      </c>
      <c r="I86" s="571"/>
      <c r="J86" s="175">
        <f>H86/DAY(B2)</f>
        <v>17.495806451612989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9">
        <f>'30'!F87</f>
        <v>35475</v>
      </c>
      <c r="F87" s="164">
        <v>35474.800000000003</v>
      </c>
      <c r="G87" s="112">
        <f t="shared" si="8"/>
        <v>-0.19999999999708962</v>
      </c>
      <c r="H87" s="99">
        <f>G87+'30'!H87</f>
        <v>40.880000000004657</v>
      </c>
      <c r="I87" s="571">
        <f>G84+G85+G86+G87</f>
        <v>33.740000000007058</v>
      </c>
      <c r="J87" s="175">
        <f>H87/DAY(B2)</f>
        <v>1.3187096774195051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9">
        <f>'30'!F88</f>
        <v>24335.16</v>
      </c>
      <c r="F88" s="164">
        <v>24335.16</v>
      </c>
      <c r="G88" s="112">
        <f t="shared" si="8"/>
        <v>0</v>
      </c>
      <c r="H88" s="99">
        <f>G88+'30'!H88</f>
        <v>31.700000000000728</v>
      </c>
      <c r="I88" s="571"/>
      <c r="J88" s="175">
        <f>H88/DAY(B2)</f>
        <v>1.0225806451613138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9">
        <f>'30'!F89</f>
        <v>27795.46</v>
      </c>
      <c r="F89" s="164">
        <v>27802.02</v>
      </c>
      <c r="G89" s="112">
        <f t="shared" si="8"/>
        <v>6.5600000000013097</v>
      </c>
      <c r="H89" s="99">
        <f>G89+'30'!H89</f>
        <v>235.40999999999985</v>
      </c>
      <c r="I89" s="571">
        <f>G88+G89</f>
        <v>6.5600000000013097</v>
      </c>
      <c r="J89" s="175">
        <f>H89/DAY(B2)</f>
        <v>7.5938709677419309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9">
        <f>'30'!F90</f>
        <v>72921.55</v>
      </c>
      <c r="F90" s="164">
        <v>72930.720000000001</v>
      </c>
      <c r="G90" s="112">
        <f>F90-E90</f>
        <v>9.1699999999982538</v>
      </c>
      <c r="H90" s="99">
        <f>G90+'30'!H90</f>
        <v>59.059999999997672</v>
      </c>
      <c r="I90" s="571">
        <f>G90</f>
        <v>9.1699999999982538</v>
      </c>
      <c r="J90" s="175">
        <f>H90/DAY(B2)</f>
        <v>1.9051612903225055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9">
        <f>'30'!F91</f>
        <v>4337.26</v>
      </c>
      <c r="F91" s="122">
        <v>4348.1499999999996</v>
      </c>
      <c r="G91" s="112">
        <f t="shared" si="8"/>
        <v>10.889999999999418</v>
      </c>
      <c r="H91" s="99">
        <f>G91+'30'!H91</f>
        <v>58.609999999999673</v>
      </c>
      <c r="I91" s="590"/>
      <c r="J91" s="175">
        <f>H91/DAY(B2)</f>
        <v>1.8906451612903121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9">
        <f>'30'!F92</f>
        <v>7000</v>
      </c>
      <c r="F92" s="122">
        <v>7000</v>
      </c>
      <c r="G92" s="112">
        <f t="shared" si="8"/>
        <v>0</v>
      </c>
      <c r="H92" s="99">
        <f>G92+'30'!H92</f>
        <v>282.67000000000007</v>
      </c>
      <c r="I92" s="596">
        <f>G91+G92</f>
        <v>10.889999999999418</v>
      </c>
      <c r="J92" s="175">
        <f>H92/DAY(B2)</f>
        <v>9.118387096774196</v>
      </c>
      <c r="O92" s="71"/>
    </row>
    <row r="93" spans="1:15" ht="26.25">
      <c r="A93" s="922" t="s">
        <v>239</v>
      </c>
      <c r="B93" s="923"/>
      <c r="C93" s="92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9" t="s">
        <v>240</v>
      </c>
      <c r="B94" s="920"/>
      <c r="C94" s="921"/>
      <c r="D94" s="151" t="s">
        <v>130</v>
      </c>
      <c r="E94" s="151"/>
      <c r="F94" s="151"/>
      <c r="G94" s="99">
        <f>G35+G43+G49+G57</f>
        <v>6886.4799999999232</v>
      </c>
      <c r="H94" s="99">
        <f>G94+'30'!H94</f>
        <v>217644.56999999995</v>
      </c>
      <c r="I94" s="95"/>
      <c r="J94" s="175">
        <f>H94/DAY(B2)</f>
        <v>7020.7925806451594</v>
      </c>
      <c r="K94" s="69"/>
      <c r="L94" s="66"/>
      <c r="O94" s="71"/>
    </row>
    <row r="95" spans="1:15" ht="25.5">
      <c r="A95" s="919" t="s">
        <v>241</v>
      </c>
      <c r="B95" s="920"/>
      <c r="C95" s="921"/>
      <c r="D95" s="151" t="s">
        <v>23</v>
      </c>
      <c r="E95" s="146"/>
      <c r="F95" s="146"/>
      <c r="G95" s="166">
        <f>G94/G7</f>
        <v>0.2772781446287616</v>
      </c>
      <c r="H95" s="99">
        <f>G95+'30'!H95</f>
        <v>8.5979470287336284</v>
      </c>
      <c r="I95" s="531"/>
      <c r="J95" s="175">
        <f>H95/DAY(B2)</f>
        <v>0.27735312995914929</v>
      </c>
      <c r="K95" s="69"/>
      <c r="L95" s="66"/>
      <c r="O95" s="71"/>
    </row>
    <row r="96" spans="1:15" ht="25.5">
      <c r="A96" s="919" t="s">
        <v>242</v>
      </c>
      <c r="B96" s="920"/>
      <c r="C96" s="921"/>
      <c r="D96" s="151" t="s">
        <v>130</v>
      </c>
      <c r="E96" s="95"/>
      <c r="F96" s="95"/>
      <c r="G96" s="99">
        <f>G41+G42+G55+G56</f>
        <v>8005.140000000014</v>
      </c>
      <c r="H96" s="99">
        <f>G96+'30'!H96</f>
        <v>203723.06000000006</v>
      </c>
      <c r="I96" s="95"/>
      <c r="J96" s="175">
        <f>H96/DAY(B2)</f>
        <v>6571.7116129032274</v>
      </c>
      <c r="K96" s="69"/>
      <c r="L96" s="66"/>
      <c r="O96" s="71"/>
    </row>
    <row r="97" spans="1:15" ht="25.5">
      <c r="A97" s="919" t="s">
        <v>243</v>
      </c>
      <c r="B97" s="920"/>
      <c r="C97" s="921"/>
      <c r="D97" s="151" t="s">
        <v>23</v>
      </c>
      <c r="E97" s="95"/>
      <c r="F97" s="95"/>
      <c r="G97" s="166">
        <f>G96/G7</f>
        <v>0.32232001932678428</v>
      </c>
      <c r="H97" s="99">
        <f>G97+'30'!H97</f>
        <v>8.0072440431235385</v>
      </c>
      <c r="I97" s="531"/>
      <c r="J97" s="175">
        <f>H97/DAY(B2)</f>
        <v>0.25829819493946898</v>
      </c>
      <c r="K97" s="69"/>
      <c r="L97" s="66"/>
      <c r="O97" s="71"/>
    </row>
    <row r="98" spans="1:15" ht="25.5">
      <c r="A98" s="919" t="s">
        <v>244</v>
      </c>
      <c r="B98" s="920"/>
      <c r="C98" s="921"/>
      <c r="D98" s="151" t="s">
        <v>130</v>
      </c>
      <c r="E98" s="95"/>
      <c r="F98" s="95"/>
      <c r="G98" s="99">
        <f>G39+G53</f>
        <v>4106.5</v>
      </c>
      <c r="H98" s="99">
        <f>G98+'30'!H98</f>
        <v>133413.87999999995</v>
      </c>
      <c r="I98" s="513"/>
      <c r="J98" s="175">
        <f>H98/DAY(B2)</f>
        <v>4303.6735483870953</v>
      </c>
      <c r="K98" s="69"/>
      <c r="L98" s="66"/>
      <c r="O98" s="71"/>
    </row>
    <row r="99" spans="1:15" ht="25.5">
      <c r="A99" s="919" t="s">
        <v>245</v>
      </c>
      <c r="B99" s="920"/>
      <c r="C99" s="921"/>
      <c r="D99" s="151" t="s">
        <v>23</v>
      </c>
      <c r="E99" s="95"/>
      <c r="F99" s="95"/>
      <c r="G99" s="166">
        <f>G98/G7</f>
        <v>0.16534466097600259</v>
      </c>
      <c r="H99" s="99">
        <f>G99+'30'!H99</f>
        <v>5.2664731486049732</v>
      </c>
      <c r="I99" s="513"/>
      <c r="J99" s="175">
        <f>H99/DAY(B2)</f>
        <v>0.16988623060016042</v>
      </c>
      <c r="O99" s="71"/>
    </row>
    <row r="100" spans="1:15" ht="26.25">
      <c r="A100" s="919" t="s">
        <v>246</v>
      </c>
      <c r="B100" s="920"/>
      <c r="C100" s="921"/>
      <c r="D100" s="151" t="s">
        <v>180</v>
      </c>
      <c r="E100" s="95"/>
      <c r="F100" s="95"/>
      <c r="G100" s="99">
        <f>G38+G52</f>
        <v>2258.789999999979</v>
      </c>
      <c r="H100" s="99">
        <f>G100+'30'!H100</f>
        <v>68394.5</v>
      </c>
      <c r="I100" s="95"/>
      <c r="J100" s="175">
        <f>H100/DAY(B2)</f>
        <v>2206.2741935483873</v>
      </c>
      <c r="K100" s="70"/>
      <c r="O100" s="71"/>
    </row>
    <row r="101" spans="1:15" ht="25.5">
      <c r="A101" s="919" t="s">
        <v>247</v>
      </c>
      <c r="B101" s="920"/>
      <c r="C101" s="921"/>
      <c r="D101" s="151" t="s">
        <v>23</v>
      </c>
      <c r="E101" s="95"/>
      <c r="F101" s="95"/>
      <c r="G101" s="166">
        <f>G100/G7</f>
        <v>9.0948220325333354E-2</v>
      </c>
      <c r="H101" s="99">
        <f>G101+'30'!H101</f>
        <v>2.7005278374087869</v>
      </c>
      <c r="I101" s="513"/>
      <c r="J101" s="175">
        <f>H101/DAY(B2)</f>
        <v>8.7113801206735064E-2</v>
      </c>
      <c r="O101" s="71"/>
    </row>
    <row r="102" spans="1:15" ht="25.5">
      <c r="A102" s="919" t="s">
        <v>248</v>
      </c>
      <c r="B102" s="920"/>
      <c r="C102" s="921"/>
      <c r="D102" s="151" t="s">
        <v>180</v>
      </c>
      <c r="E102" s="95"/>
      <c r="F102" s="95"/>
      <c r="G102" s="99">
        <f>G36+G50</f>
        <v>1870.2200000000303</v>
      </c>
      <c r="H102" s="99">
        <f>G102+'30'!H102</f>
        <v>64269.94</v>
      </c>
      <c r="I102" s="513"/>
      <c r="J102" s="175">
        <f>H102/DAY(B2)</f>
        <v>2073.2238709677422</v>
      </c>
      <c r="O102" s="71"/>
    </row>
    <row r="103" spans="1:15" ht="25.5">
      <c r="A103" s="919" t="s">
        <v>249</v>
      </c>
      <c r="B103" s="920"/>
      <c r="C103" s="921"/>
      <c r="D103" s="151" t="s">
        <v>23</v>
      </c>
      <c r="E103" s="95"/>
      <c r="F103" s="95"/>
      <c r="G103" s="166">
        <f>G102/G7</f>
        <v>7.5302786277984785E-2</v>
      </c>
      <c r="H103" s="99">
        <f>G103+'30'!H103</f>
        <v>2.5239598504820924</v>
      </c>
      <c r="I103" s="95"/>
      <c r="J103" s="175">
        <f>H103/DAY(B2)</f>
        <v>8.1418059692970723E-2</v>
      </c>
      <c r="O103" s="71"/>
    </row>
    <row r="104" spans="1:15" ht="25.5">
      <c r="A104" s="919" t="s">
        <v>250</v>
      </c>
      <c r="B104" s="920"/>
      <c r="C104" s="921"/>
      <c r="D104" s="151" t="s">
        <v>180</v>
      </c>
      <c r="E104" s="95"/>
      <c r="F104" s="95"/>
      <c r="G104" s="99">
        <f>G37+G51</f>
        <v>1213.5299999999988</v>
      </c>
      <c r="H104" s="99">
        <f>G104+'30'!H104</f>
        <v>32352.950000000004</v>
      </c>
      <c r="I104" s="95"/>
      <c r="J104" s="175">
        <f>H104/DAY(B2)</f>
        <v>1043.6435483870969</v>
      </c>
      <c r="O104" s="71"/>
    </row>
    <row r="105" spans="1:15" ht="26.25" thickBot="1">
      <c r="A105" s="912" t="s">
        <v>251</v>
      </c>
      <c r="B105" s="913"/>
      <c r="C105" s="914"/>
      <c r="D105" s="231" t="s">
        <v>23</v>
      </c>
      <c r="E105" s="185"/>
      <c r="F105" s="185"/>
      <c r="G105" s="186">
        <f>G104/G7</f>
        <v>4.8861732968271815E-2</v>
      </c>
      <c r="H105" s="99">
        <f>G105+'30'!H105</f>
        <v>1.2767858407220236</v>
      </c>
      <c r="I105" s="185"/>
      <c r="J105" s="188">
        <f>H105/DAY(B2)</f>
        <v>4.1186640023291081E-2</v>
      </c>
      <c r="O105" s="71"/>
    </row>
    <row r="106" spans="1:15" ht="25.5">
      <c r="A106" s="105"/>
      <c r="B106" s="96"/>
      <c r="C106" s="96"/>
      <c r="D106" s="169"/>
      <c r="E106" s="413"/>
      <c r="F106" s="413"/>
      <c r="G106" s="413"/>
      <c r="H106" s="170"/>
      <c r="I106" s="413"/>
      <c r="J106" s="170"/>
      <c r="O106" s="71"/>
    </row>
    <row r="107" spans="1:15" ht="26.25"/>
    <row r="108" spans="1:15" ht="27.75">
      <c r="A108" s="908" t="s">
        <v>324</v>
      </c>
      <c r="B108" s="908"/>
      <c r="C108" s="908"/>
      <c r="D108" s="908"/>
      <c r="E108" s="908"/>
      <c r="F108" s="908"/>
      <c r="G108" s="908"/>
      <c r="H108" s="908"/>
      <c r="I108" s="908"/>
      <c r="J108" s="908"/>
    </row>
    <row r="109" spans="1:15" ht="26.25">
      <c r="A109" s="936"/>
      <c r="B109" s="936"/>
    </row>
    <row r="110" spans="1:15" ht="26.25">
      <c r="A110" s="909" t="s">
        <v>165</v>
      </c>
      <c r="B110" s="910"/>
      <c r="C110" s="910"/>
      <c r="D110" s="910"/>
      <c r="E110" s="910"/>
      <c r="F110" s="910"/>
      <c r="G110" s="910"/>
      <c r="H110" s="910"/>
      <c r="I110" s="910"/>
      <c r="J110" s="911"/>
    </row>
    <row r="111" spans="1:15" ht="25.5">
      <c r="A111" s="902"/>
      <c r="B111" s="903"/>
      <c r="C111" s="904"/>
      <c r="D111" s="165"/>
      <c r="E111" s="155"/>
      <c r="F111" s="155"/>
      <c r="G111" s="155"/>
      <c r="H111" s="156"/>
      <c r="I111" s="155"/>
      <c r="J111" s="156"/>
    </row>
    <row r="112" spans="1:15" ht="25.5">
      <c r="A112" s="898" t="s">
        <v>252</v>
      </c>
      <c r="B112" s="899"/>
      <c r="C112" s="900"/>
      <c r="D112" s="146" t="s">
        <v>183</v>
      </c>
      <c r="E112" s="99">
        <f>'30'!F112</f>
        <v>9432.5</v>
      </c>
      <c r="F112" s="237">
        <v>9505.1</v>
      </c>
      <c r="G112" s="112">
        <f t="shared" ref="G112:G123" si="9">F112-E112</f>
        <v>72.600000000000364</v>
      </c>
      <c r="H112" s="99">
        <f>G112+'30'!H112</f>
        <v>4703.43</v>
      </c>
      <c r="I112" s="155"/>
      <c r="J112" s="328">
        <f>H112/DAY(B2)</f>
        <v>151.72354838709677</v>
      </c>
    </row>
    <row r="113" spans="1:18" ht="25.5">
      <c r="A113" s="898" t="s">
        <v>253</v>
      </c>
      <c r="B113" s="899"/>
      <c r="C113" s="900"/>
      <c r="D113" s="146" t="s">
        <v>183</v>
      </c>
      <c r="E113" s="99">
        <f>'30'!F113</f>
        <v>19232.5</v>
      </c>
      <c r="F113" s="237">
        <v>19367.900000000001</v>
      </c>
      <c r="G113" s="112">
        <f t="shared" si="9"/>
        <v>135.40000000000146</v>
      </c>
      <c r="H113" s="99">
        <f>G113+'30'!H113</f>
        <v>4352.9000000000015</v>
      </c>
      <c r="I113" s="155"/>
      <c r="J113" s="328">
        <f>H113/DAY(B2)</f>
        <v>140.41612903225811</v>
      </c>
    </row>
    <row r="114" spans="1:18" ht="25.5">
      <c r="A114" s="898" t="s">
        <v>254</v>
      </c>
      <c r="B114" s="899"/>
      <c r="C114" s="900"/>
      <c r="D114" s="146" t="s">
        <v>183</v>
      </c>
      <c r="E114" s="99">
        <f>'30'!F114</f>
        <v>27878</v>
      </c>
      <c r="F114" s="237">
        <v>28097.9</v>
      </c>
      <c r="G114" s="112">
        <f t="shared" si="9"/>
        <v>219.90000000000146</v>
      </c>
      <c r="H114" s="99">
        <f>G114+'30'!H114</f>
        <v>6829.9000000000015</v>
      </c>
      <c r="I114" s="155"/>
      <c r="J114" s="328">
        <f>H114/DAY(B2)</f>
        <v>220.31935483870973</v>
      </c>
    </row>
    <row r="115" spans="1:18" ht="25.5">
      <c r="A115" s="898" t="s">
        <v>255</v>
      </c>
      <c r="B115" s="899"/>
      <c r="C115" s="900"/>
      <c r="D115" s="146" t="s">
        <v>183</v>
      </c>
      <c r="E115" s="99">
        <f>'30'!F115</f>
        <v>17419.599999999999</v>
      </c>
      <c r="F115" s="237">
        <v>17575.2</v>
      </c>
      <c r="G115" s="112">
        <f t="shared" si="9"/>
        <v>155.60000000000218</v>
      </c>
      <c r="H115" s="99">
        <f>G115+'30'!H115</f>
        <v>3999.7200000000012</v>
      </c>
      <c r="I115" s="155"/>
      <c r="J115" s="328">
        <f>H115/DAY(B2)</f>
        <v>129.02322580645165</v>
      </c>
    </row>
    <row r="116" spans="1:18" ht="25.5">
      <c r="A116" s="905" t="s">
        <v>96</v>
      </c>
      <c r="B116" s="906"/>
      <c r="C116" s="907"/>
      <c r="D116" s="146" t="s">
        <v>183</v>
      </c>
      <c r="E116" s="99">
        <f>'30'!F116</f>
        <v>83085</v>
      </c>
      <c r="F116" s="237">
        <v>83425.3</v>
      </c>
      <c r="G116" s="112">
        <f t="shared" si="9"/>
        <v>340.30000000000291</v>
      </c>
      <c r="H116" s="99">
        <f>G116+'30'!H116</f>
        <v>12933.300000000003</v>
      </c>
      <c r="I116" s="155"/>
      <c r="J116" s="328">
        <f>H116/DAY(B2)</f>
        <v>417.20322580645171</v>
      </c>
      <c r="Q116" s="898"/>
      <c r="R116" s="900"/>
    </row>
    <row r="117" spans="1:18" ht="25.5">
      <c r="A117" s="905" t="s">
        <v>184</v>
      </c>
      <c r="B117" s="906"/>
      <c r="C117" s="907"/>
      <c r="D117" s="146" t="s">
        <v>183</v>
      </c>
      <c r="E117" s="99">
        <f>'30'!F117</f>
        <v>48420</v>
      </c>
      <c r="F117" s="237">
        <v>48709</v>
      </c>
      <c r="G117" s="112">
        <f t="shared" si="9"/>
        <v>289</v>
      </c>
      <c r="H117" s="99">
        <f>G117+'30'!H117</f>
        <v>7787</v>
      </c>
      <c r="I117" s="155"/>
      <c r="J117" s="328">
        <f>H117/DAY(B2)</f>
        <v>251.19354838709677</v>
      </c>
      <c r="Q117" s="898"/>
      <c r="R117" s="900"/>
    </row>
    <row r="118" spans="1:18" ht="25.5">
      <c r="A118" s="897" t="s">
        <v>97</v>
      </c>
      <c r="B118" s="897"/>
      <c r="C118" s="897"/>
      <c r="D118" s="151" t="s">
        <v>183</v>
      </c>
      <c r="E118" s="99">
        <f>'30'!F118</f>
        <v>82624</v>
      </c>
      <c r="F118" s="237">
        <v>83252.800000000003</v>
      </c>
      <c r="G118" s="112">
        <f t="shared" si="9"/>
        <v>628.80000000000291</v>
      </c>
      <c r="H118" s="99">
        <f>G118+'30'!H118</f>
        <v>18580.800000000003</v>
      </c>
      <c r="I118" s="155"/>
      <c r="J118" s="328">
        <f>H118/DAY(B2)</f>
        <v>599.38064516129043</v>
      </c>
      <c r="Q118" s="898"/>
      <c r="R118" s="900"/>
    </row>
    <row r="119" spans="1:18" ht="25.5">
      <c r="A119" s="897" t="s">
        <v>98</v>
      </c>
      <c r="B119" s="897"/>
      <c r="C119" s="897"/>
      <c r="D119" s="151" t="s">
        <v>183</v>
      </c>
      <c r="E119" s="99">
        <f>'30'!F119</f>
        <v>42071.040000000001</v>
      </c>
      <c r="F119" s="237">
        <v>42091.4</v>
      </c>
      <c r="G119" s="112">
        <f t="shared" si="9"/>
        <v>20.360000000000582</v>
      </c>
      <c r="H119" s="99">
        <f>G119+'30'!H119</f>
        <v>4642.4000000000015</v>
      </c>
      <c r="I119" s="155"/>
      <c r="J119" s="328">
        <f>H119/DAY(B2)</f>
        <v>149.75483870967747</v>
      </c>
    </row>
    <row r="120" spans="1:18" ht="25.5">
      <c r="A120" s="897" t="s">
        <v>99</v>
      </c>
      <c r="B120" s="897"/>
      <c r="C120" s="897"/>
      <c r="D120" s="151" t="s">
        <v>183</v>
      </c>
      <c r="E120" s="99">
        <f>'30'!F120</f>
        <v>58609</v>
      </c>
      <c r="F120" s="237">
        <v>59002.400000000001</v>
      </c>
      <c r="G120" s="112">
        <f t="shared" si="9"/>
        <v>393.40000000000146</v>
      </c>
      <c r="H120" s="99">
        <f>G120+'30'!H120</f>
        <v>12735.400000000001</v>
      </c>
      <c r="I120" s="155"/>
      <c r="J120" s="328">
        <f>H120/DAY(B2)</f>
        <v>410.81935483870973</v>
      </c>
    </row>
    <row r="121" spans="1:18" ht="25.5">
      <c r="A121" s="897" t="s">
        <v>100</v>
      </c>
      <c r="B121" s="897"/>
      <c r="C121" s="897"/>
      <c r="D121" s="151" t="s">
        <v>183</v>
      </c>
      <c r="E121" s="99">
        <f>'30'!F121</f>
        <v>67342.2</v>
      </c>
      <c r="F121" s="237">
        <v>67763</v>
      </c>
      <c r="G121" s="112">
        <f t="shared" si="9"/>
        <v>420.80000000000291</v>
      </c>
      <c r="H121" s="99">
        <f>G121+'30'!H121</f>
        <v>14220</v>
      </c>
      <c r="I121" s="155"/>
      <c r="J121" s="328">
        <f>H121/DAY(B2)</f>
        <v>458.70967741935482</v>
      </c>
    </row>
    <row r="122" spans="1:18" ht="25.5">
      <c r="A122" s="897" t="s">
        <v>101</v>
      </c>
      <c r="B122" s="897"/>
      <c r="C122" s="897"/>
      <c r="D122" s="151" t="s">
        <v>183</v>
      </c>
      <c r="E122" s="99">
        <f>'30'!F122</f>
        <v>38300.800000000003</v>
      </c>
      <c r="F122" s="237">
        <v>38636.9</v>
      </c>
      <c r="G122" s="112">
        <f t="shared" si="9"/>
        <v>336.09999999999854</v>
      </c>
      <c r="H122" s="99">
        <f>G122+'30'!H122</f>
        <v>9962.9000000000015</v>
      </c>
      <c r="I122" s="155"/>
      <c r="J122" s="328">
        <f>H122/DAY(B2)</f>
        <v>321.38387096774198</v>
      </c>
    </row>
    <row r="123" spans="1:18" ht="25.5">
      <c r="A123" s="897" t="s">
        <v>348</v>
      </c>
      <c r="B123" s="897"/>
      <c r="C123" s="897"/>
      <c r="D123" s="151" t="s">
        <v>183</v>
      </c>
      <c r="E123" s="99">
        <f>'30'!F123</f>
        <v>40028.11</v>
      </c>
      <c r="F123" s="237">
        <v>40362.800000000003</v>
      </c>
      <c r="G123" s="112">
        <f t="shared" si="9"/>
        <v>334.69000000000233</v>
      </c>
      <c r="H123" s="99">
        <f>G123+'30'!H123</f>
        <v>10174.800000000003</v>
      </c>
      <c r="I123" s="155"/>
      <c r="J123" s="328">
        <f>H123/DAY(B2)</f>
        <v>328.21935483870976</v>
      </c>
    </row>
    <row r="124" spans="1:18" ht="25.5">
      <c r="A124" s="902"/>
      <c r="B124" s="903"/>
      <c r="C124" s="904"/>
      <c r="D124" s="165"/>
      <c r="E124" s="165"/>
      <c r="F124" s="155"/>
      <c r="G124" s="156"/>
      <c r="H124" s="99">
        <f>G124+'30'!H124</f>
        <v>0</v>
      </c>
      <c r="I124" s="155"/>
      <c r="J124" s="156"/>
    </row>
    <row r="125" spans="1:18" ht="25.5">
      <c r="A125" s="880" t="s">
        <v>196</v>
      </c>
      <c r="B125" s="996"/>
      <c r="C125" s="881"/>
      <c r="D125" s="307"/>
      <c r="E125" s="308"/>
      <c r="F125" s="308"/>
      <c r="G125" s="309">
        <f>SUM(G112:G124)</f>
        <v>3346.9500000000171</v>
      </c>
      <c r="H125" s="156"/>
      <c r="I125" s="156">
        <f>G125-(G39+G53)</f>
        <v>-759.5499999999829</v>
      </c>
      <c r="J125" s="156"/>
    </row>
    <row r="126" spans="1:18" ht="25.5">
      <c r="A126" s="901" t="s">
        <v>317</v>
      </c>
      <c r="B126" s="901"/>
      <c r="C126" s="901"/>
      <c r="D126" s="901"/>
      <c r="E126" s="901"/>
      <c r="F126" s="901"/>
      <c r="G126" s="901"/>
      <c r="H126" s="901"/>
      <c r="I126" s="901"/>
      <c r="J126" s="901"/>
    </row>
    <row r="127" spans="1:18" ht="25.5">
      <c r="A127" s="885"/>
      <c r="B127" s="885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5.5">
      <c r="A128" s="898" t="s">
        <v>318</v>
      </c>
      <c r="B128" s="899"/>
      <c r="C128" s="900"/>
      <c r="D128" s="151" t="s">
        <v>183</v>
      </c>
      <c r="E128" s="99">
        <f>'30'!F128</f>
        <v>141458.06</v>
      </c>
      <c r="F128" s="155">
        <v>141869.1</v>
      </c>
      <c r="G128" s="112">
        <f t="shared" ref="G128:G134" si="10">F128-E128</f>
        <v>411.04000000000815</v>
      </c>
      <c r="H128" s="99">
        <f>G128+'30'!H128</f>
        <v>14225.100000000006</v>
      </c>
      <c r="I128" s="155"/>
      <c r="J128" s="328">
        <f>H128/DAY(B2)</f>
        <v>458.87419354838727</v>
      </c>
    </row>
    <row r="129" spans="1:15" ht="25.5">
      <c r="A129" s="329" t="s">
        <v>319</v>
      </c>
      <c r="B129" s="330"/>
      <c r="C129" s="331"/>
      <c r="D129" s="151" t="s">
        <v>183</v>
      </c>
      <c r="E129" s="99">
        <f>'30'!F129</f>
        <v>78363.09</v>
      </c>
      <c r="F129" s="155">
        <v>78524.399999999994</v>
      </c>
      <c r="G129" s="112">
        <f t="shared" si="10"/>
        <v>161.30999999999767</v>
      </c>
      <c r="H129" s="99">
        <f>G129+'30'!H129</f>
        <v>6021.3999999999942</v>
      </c>
      <c r="I129" s="155"/>
      <c r="J129" s="328">
        <f>H129/DAY(B2)</f>
        <v>194.23870967741917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9">
        <f>'30'!F130</f>
        <v>185277.35</v>
      </c>
      <c r="F130" s="425">
        <v>186023.89</v>
      </c>
      <c r="G130" s="609">
        <f t="shared" si="10"/>
        <v>746.54000000000815</v>
      </c>
      <c r="H130" s="99">
        <f>G130+'30'!H130</f>
        <v>20888.369999999995</v>
      </c>
      <c r="I130" s="155"/>
      <c r="J130" s="328">
        <f>H130/DAY(B2)</f>
        <v>673.81838709677402</v>
      </c>
      <c r="N130" s="240"/>
      <c r="O130" s="241"/>
    </row>
    <row r="131" spans="1:15" ht="25.5">
      <c r="A131" s="898" t="s">
        <v>321</v>
      </c>
      <c r="B131" s="899"/>
      <c r="C131" s="900"/>
      <c r="D131" s="151" t="s">
        <v>183</v>
      </c>
      <c r="E131" s="99">
        <f>'30'!F131</f>
        <v>53940.3</v>
      </c>
      <c r="F131" s="155">
        <v>54154.7</v>
      </c>
      <c r="G131" s="112">
        <f t="shared" si="10"/>
        <v>214.39999999999418</v>
      </c>
      <c r="H131" s="99">
        <f>G131+'30'!H131</f>
        <v>5705.6999999999971</v>
      </c>
      <c r="I131" s="155"/>
      <c r="J131" s="328">
        <f>H131/DAY(B2)</f>
        <v>184.05483870967731</v>
      </c>
      <c r="N131" s="240"/>
      <c r="O131" s="241"/>
    </row>
    <row r="132" spans="1:15" ht="25.5">
      <c r="A132" s="898" t="s">
        <v>322</v>
      </c>
      <c r="B132" s="899"/>
      <c r="C132" s="900"/>
      <c r="D132" s="151" t="s">
        <v>183</v>
      </c>
      <c r="E132" s="99">
        <f>'30'!F132</f>
        <v>140527.39000000001</v>
      </c>
      <c r="F132" s="155">
        <v>140941.20000000001</v>
      </c>
      <c r="G132" s="112">
        <f t="shared" si="10"/>
        <v>413.80999999999767</v>
      </c>
      <c r="H132" s="99">
        <f>G132+'30'!H132</f>
        <v>12767.200000000012</v>
      </c>
      <c r="I132" s="155"/>
      <c r="J132" s="328">
        <f>H132/DAY(B2)</f>
        <v>411.84516129032295</v>
      </c>
    </row>
    <row r="133" spans="1:15" ht="25.5">
      <c r="A133" s="898" t="s">
        <v>359</v>
      </c>
      <c r="B133" s="899"/>
      <c r="C133" s="900"/>
      <c r="D133" s="151" t="s">
        <v>183</v>
      </c>
      <c r="E133" s="99">
        <f>'30'!F133</f>
        <v>240042.35</v>
      </c>
      <c r="F133" s="155">
        <v>240920</v>
      </c>
      <c r="G133" s="112">
        <f t="shared" si="10"/>
        <v>877.64999999999418</v>
      </c>
      <c r="H133" s="99">
        <f>G133+'30'!H133</f>
        <v>18515.429999999993</v>
      </c>
      <c r="I133" s="155"/>
      <c r="J133" s="328">
        <f>H133/DAY(B2)</f>
        <v>597.27193548387072</v>
      </c>
    </row>
    <row r="134" spans="1:15" ht="25.5">
      <c r="A134" s="898" t="s">
        <v>340</v>
      </c>
      <c r="B134" s="899"/>
      <c r="C134" s="900"/>
      <c r="D134" s="151" t="s">
        <v>183</v>
      </c>
      <c r="E134" s="99">
        <f>'30'!F134</f>
        <v>55886.79</v>
      </c>
      <c r="F134" s="155">
        <v>56142.15</v>
      </c>
      <c r="G134" s="112">
        <f t="shared" si="10"/>
        <v>255.36000000000058</v>
      </c>
      <c r="H134" s="99">
        <f>G134+'30'!H134</f>
        <v>7107.1500000000015</v>
      </c>
      <c r="I134" s="155"/>
      <c r="J134" s="328">
        <f>H134/DAY(B2)</f>
        <v>229.2629032258065</v>
      </c>
    </row>
    <row r="135" spans="1:15" ht="25.5">
      <c r="A135" s="880" t="s">
        <v>196</v>
      </c>
      <c r="B135" s="996"/>
      <c r="C135" s="881"/>
      <c r="D135" s="151"/>
      <c r="E135" s="165"/>
      <c r="F135" s="155"/>
      <c r="G135" s="112">
        <f>SUM(G128:G134)</f>
        <v>3080.1100000000006</v>
      </c>
      <c r="H135" s="99">
        <f>G135+'23'!H135</f>
        <v>27755.079999999987</v>
      </c>
      <c r="I135" s="156">
        <f>G135-(G35+G49)</f>
        <v>-817.0499999999156</v>
      </c>
      <c r="J135" s="328"/>
    </row>
    <row r="136" spans="1:15" ht="27.75">
      <c r="A136" s="884" t="s">
        <v>325</v>
      </c>
      <c r="B136" s="884"/>
      <c r="C136" s="884"/>
      <c r="D136" s="884"/>
      <c r="E136" s="884"/>
      <c r="F136" s="884"/>
      <c r="G136" s="884"/>
      <c r="H136" s="884"/>
      <c r="I136" s="884"/>
      <c r="J136" s="884"/>
    </row>
    <row r="137" spans="1:15" ht="26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5.5">
      <c r="A138" s="897" t="s">
        <v>185</v>
      </c>
      <c r="B138" s="897"/>
      <c r="C138" s="897"/>
      <c r="D138" s="151" t="s">
        <v>183</v>
      </c>
      <c r="E138" s="99">
        <f>'30'!F138</f>
        <v>894873</v>
      </c>
      <c r="F138" s="147">
        <v>895041</v>
      </c>
      <c r="G138" s="112">
        <f t="shared" ref="G138:G152" si="11">F138-E138</f>
        <v>168</v>
      </c>
      <c r="H138" s="99">
        <f>G138+'30'!H138</f>
        <v>3930</v>
      </c>
      <c r="I138" s="95"/>
      <c r="J138" s="328">
        <f>H138/DAY(B2)</f>
        <v>126.7741935483871</v>
      </c>
    </row>
    <row r="139" spans="1:15" ht="25.5">
      <c r="A139" s="897" t="s">
        <v>186</v>
      </c>
      <c r="B139" s="897"/>
      <c r="C139" s="897"/>
      <c r="D139" s="151" t="s">
        <v>183</v>
      </c>
      <c r="E139" s="99">
        <f>'30'!F139</f>
        <v>913438</v>
      </c>
      <c r="F139" s="148">
        <v>913599</v>
      </c>
      <c r="G139" s="112">
        <f t="shared" si="11"/>
        <v>161</v>
      </c>
      <c r="H139" s="99">
        <f>G139+'30'!H139</f>
        <v>4704</v>
      </c>
      <c r="I139" s="95"/>
      <c r="J139" s="328">
        <f>H139/DAY(B2)</f>
        <v>151.74193548387098</v>
      </c>
    </row>
    <row r="140" spans="1:15" ht="25.5">
      <c r="A140" s="897" t="s">
        <v>187</v>
      </c>
      <c r="B140" s="897"/>
      <c r="C140" s="897"/>
      <c r="D140" s="151" t="s">
        <v>183</v>
      </c>
      <c r="E140" s="99">
        <f>'30'!F140</f>
        <v>1953</v>
      </c>
      <c r="F140" s="149">
        <v>1967.76</v>
      </c>
      <c r="G140" s="112">
        <f t="shared" si="11"/>
        <v>14.759999999999991</v>
      </c>
      <c r="H140" s="99">
        <f>G140+'30'!H140</f>
        <v>454.76</v>
      </c>
      <c r="I140" s="95"/>
      <c r="J140" s="328">
        <f>H140/DAY(B2)</f>
        <v>14.669677419354839</v>
      </c>
    </row>
    <row r="141" spans="1:15" ht="25.5">
      <c r="A141" s="876" t="s">
        <v>188</v>
      </c>
      <c r="B141" s="876"/>
      <c r="C141" s="876"/>
      <c r="D141" s="151" t="s">
        <v>183</v>
      </c>
      <c r="E141" s="99">
        <f>'30'!F141</f>
        <v>96602.3</v>
      </c>
      <c r="F141" s="149">
        <v>96827</v>
      </c>
      <c r="G141" s="112">
        <f t="shared" si="11"/>
        <v>224.69999999999709</v>
      </c>
      <c r="H141" s="99">
        <f>G141+'30'!H141</f>
        <v>6375</v>
      </c>
      <c r="I141" s="95"/>
      <c r="J141" s="328">
        <f>H141/DAY(B2)</f>
        <v>205.64516129032259</v>
      </c>
    </row>
    <row r="142" spans="1:15" ht="25.5">
      <c r="A142" s="876" t="s">
        <v>189</v>
      </c>
      <c r="B142" s="876"/>
      <c r="C142" s="876"/>
      <c r="D142" s="151" t="s">
        <v>183</v>
      </c>
      <c r="E142" s="99">
        <f>'30'!F142</f>
        <v>39098</v>
      </c>
      <c r="F142" s="148">
        <v>39175</v>
      </c>
      <c r="G142" s="112">
        <f t="shared" si="11"/>
        <v>77</v>
      </c>
      <c r="H142" s="99">
        <f>G142+'30'!H142</f>
        <v>2514</v>
      </c>
      <c r="I142" s="526"/>
      <c r="J142" s="328">
        <f>H142/DAY(B2)</f>
        <v>81.096774193548384</v>
      </c>
    </row>
    <row r="143" spans="1:15" ht="25.5">
      <c r="A143" s="897" t="s">
        <v>91</v>
      </c>
      <c r="B143" s="897"/>
      <c r="C143" s="897"/>
      <c r="D143" s="151" t="s">
        <v>183</v>
      </c>
      <c r="E143" s="99">
        <f>'30'!F143</f>
        <v>9854.2999999999993</v>
      </c>
      <c r="F143" s="149">
        <v>9879</v>
      </c>
      <c r="G143" s="112">
        <f t="shared" si="11"/>
        <v>24.700000000000728</v>
      </c>
      <c r="H143" s="99">
        <f>G143+'30'!H143</f>
        <v>828</v>
      </c>
      <c r="I143" s="526"/>
      <c r="J143" s="328">
        <f>H143/DAY(B2)</f>
        <v>26.70967741935484</v>
      </c>
    </row>
    <row r="144" spans="1:15" ht="25.5">
      <c r="A144" s="876" t="s">
        <v>90</v>
      </c>
      <c r="B144" s="876"/>
      <c r="C144" s="876"/>
      <c r="D144" s="151" t="s">
        <v>183</v>
      </c>
      <c r="E144" s="99">
        <f>'30'!F144</f>
        <v>926401</v>
      </c>
      <c r="F144" s="149">
        <v>926624</v>
      </c>
      <c r="G144" s="112">
        <f t="shared" si="11"/>
        <v>223</v>
      </c>
      <c r="H144" s="99">
        <f>G144+'30'!H144</f>
        <v>6787</v>
      </c>
      <c r="I144" s="526"/>
      <c r="J144" s="328">
        <f>H144/DAY(B2)</f>
        <v>218.93548387096774</v>
      </c>
    </row>
    <row r="145" spans="1:11" ht="25.5">
      <c r="A145" s="897" t="s">
        <v>190</v>
      </c>
      <c r="B145" s="897"/>
      <c r="C145" s="897"/>
      <c r="D145" s="152" t="s">
        <v>183</v>
      </c>
      <c r="E145" s="99">
        <f>'30'!F145</f>
        <v>7243.1</v>
      </c>
      <c r="F145" s="149">
        <v>7405.2</v>
      </c>
      <c r="G145" s="112">
        <f t="shared" si="11"/>
        <v>162.09999999999945</v>
      </c>
      <c r="H145" s="99">
        <f>G145+'30'!H145</f>
        <v>1598.1999999999998</v>
      </c>
      <c r="I145" s="526"/>
      <c r="J145" s="328">
        <f>H145/DAY(B2)</f>
        <v>51.554838709677412</v>
      </c>
    </row>
    <row r="146" spans="1:11" ht="25.5">
      <c r="A146" s="932" t="s">
        <v>191</v>
      </c>
      <c r="B146" s="917"/>
      <c r="C146" s="918"/>
      <c r="D146" s="152" t="s">
        <v>183</v>
      </c>
      <c r="E146" s="99">
        <f>'30'!F146</f>
        <v>782766</v>
      </c>
      <c r="F146" s="148">
        <v>782808</v>
      </c>
      <c r="G146" s="112">
        <f t="shared" si="11"/>
        <v>42</v>
      </c>
      <c r="H146" s="99">
        <f>G146+'30'!H146</f>
        <v>2008</v>
      </c>
      <c r="I146" s="526"/>
      <c r="J146" s="328">
        <f>H146/DAY(B2)</f>
        <v>64.774193548387103</v>
      </c>
    </row>
    <row r="147" spans="1:11" ht="25.5">
      <c r="A147" s="876" t="s">
        <v>192</v>
      </c>
      <c r="B147" s="876"/>
      <c r="C147" s="876"/>
      <c r="D147" s="152" t="s">
        <v>183</v>
      </c>
      <c r="E147" s="99">
        <f>'30'!F147</f>
        <v>711278</v>
      </c>
      <c r="F147" s="148">
        <v>711671.54</v>
      </c>
      <c r="G147" s="112">
        <f t="shared" si="11"/>
        <v>393.54000000003725</v>
      </c>
      <c r="H147" s="99">
        <f>G147+'30'!H147</f>
        <v>11902.540000000037</v>
      </c>
      <c r="I147" s="526"/>
      <c r="J147" s="328">
        <f>H147/DAY(B2)</f>
        <v>383.95290322580763</v>
      </c>
    </row>
    <row r="148" spans="1:11" ht="25.5">
      <c r="A148" s="877" t="s">
        <v>193</v>
      </c>
      <c r="B148" s="878"/>
      <c r="C148" s="879"/>
      <c r="D148" s="123" t="s">
        <v>130</v>
      </c>
      <c r="E148" s="99">
        <f>'30'!F148</f>
        <v>757701</v>
      </c>
      <c r="F148" s="150">
        <v>757950.48</v>
      </c>
      <c r="G148" s="112">
        <f t="shared" si="11"/>
        <v>249.47999999998137</v>
      </c>
      <c r="H148" s="99">
        <f>G148+'30'!H148</f>
        <v>9420.4799999999814</v>
      </c>
      <c r="I148" s="124"/>
      <c r="J148" s="328">
        <f>H148/DAY(B2)</f>
        <v>303.88645161290265</v>
      </c>
    </row>
    <row r="149" spans="1:11" ht="25.5">
      <c r="A149" s="877" t="s">
        <v>336</v>
      </c>
      <c r="B149" s="878"/>
      <c r="C149" s="879"/>
      <c r="D149" s="227" t="s">
        <v>130</v>
      </c>
      <c r="E149" s="99">
        <f>'30'!F149</f>
        <v>145862.5</v>
      </c>
      <c r="F149" s="146">
        <v>146217.68</v>
      </c>
      <c r="G149" s="112">
        <f t="shared" si="11"/>
        <v>355.17999999999302</v>
      </c>
      <c r="H149" s="99">
        <f>G149+'30'!H149</f>
        <v>13783.679999999993</v>
      </c>
      <c r="I149" s="119"/>
      <c r="J149" s="328">
        <f>H149/DAY(B2)</f>
        <v>444.63483870967718</v>
      </c>
    </row>
    <row r="150" spans="1:11" ht="25.5">
      <c r="A150" s="877" t="s">
        <v>337</v>
      </c>
      <c r="B150" s="878"/>
      <c r="C150" s="879"/>
      <c r="D150" s="117" t="s">
        <v>130</v>
      </c>
      <c r="E150" s="99">
        <f>'30'!F150</f>
        <v>57218.7</v>
      </c>
      <c r="F150" s="233">
        <v>57426.1</v>
      </c>
      <c r="G150" s="112">
        <f t="shared" si="11"/>
        <v>207.40000000000146</v>
      </c>
      <c r="H150" s="99">
        <f>G150+'30'!H150</f>
        <v>6811.0999999999985</v>
      </c>
      <c r="I150" s="119"/>
      <c r="J150" s="328">
        <f>H150/DAY(B2)</f>
        <v>219.7129032258064</v>
      </c>
    </row>
    <row r="151" spans="1:11" ht="25.5">
      <c r="A151" s="877" t="s">
        <v>338</v>
      </c>
      <c r="B151" s="878"/>
      <c r="C151" s="879"/>
      <c r="D151" s="117" t="s">
        <v>130</v>
      </c>
      <c r="E151" s="99">
        <f>'30'!F151</f>
        <v>143273</v>
      </c>
      <c r="F151" s="233">
        <v>143538</v>
      </c>
      <c r="G151" s="112">
        <f t="shared" si="11"/>
        <v>265</v>
      </c>
      <c r="H151" s="99">
        <f>G151+'30'!H151</f>
        <v>8089</v>
      </c>
      <c r="I151" s="119"/>
      <c r="J151" s="328">
        <f>H151/DAY(B2)</f>
        <v>260.93548387096774</v>
      </c>
    </row>
    <row r="152" spans="1:11" ht="25.5">
      <c r="A152" s="877" t="s">
        <v>339</v>
      </c>
      <c r="B152" s="878"/>
      <c r="C152" s="879"/>
      <c r="D152" s="117" t="s">
        <v>130</v>
      </c>
      <c r="E152" s="99">
        <f>'30'!F152</f>
        <v>26742</v>
      </c>
      <c r="F152" s="233">
        <v>26865.9</v>
      </c>
      <c r="G152" s="112">
        <f t="shared" si="11"/>
        <v>123.90000000000146</v>
      </c>
      <c r="H152" s="99">
        <f>G152+'30'!H152</f>
        <v>3711.9000000000015</v>
      </c>
      <c r="I152" s="119"/>
      <c r="J152" s="328">
        <f>H152/DAY(B2)</f>
        <v>119.73870967741941</v>
      </c>
    </row>
    <row r="153" spans="1:11" ht="25.5">
      <c r="A153" s="880" t="s">
        <v>196</v>
      </c>
      <c r="B153" s="996"/>
      <c r="C153" s="881"/>
      <c r="D153" s="358"/>
      <c r="E153" s="361"/>
      <c r="F153" s="361"/>
      <c r="G153" s="362">
        <f>SUM(G138:G152)</f>
        <v>2691.760000000012</v>
      </c>
      <c r="H153" s="363"/>
      <c r="I153" s="119">
        <f>G153-(G38+G52)</f>
        <v>432.970000000033</v>
      </c>
      <c r="J153" s="366"/>
    </row>
    <row r="154" spans="1:11" ht="27.75">
      <c r="A154" s="884" t="s">
        <v>344</v>
      </c>
      <c r="B154" s="884"/>
      <c r="C154" s="884"/>
      <c r="D154" s="884"/>
      <c r="E154" s="884"/>
      <c r="F154" s="884"/>
      <c r="G154" s="884"/>
      <c r="H154" s="884"/>
      <c r="I154" s="884"/>
      <c r="J154" s="884"/>
    </row>
    <row r="155" spans="1:11" ht="27.75">
      <c r="A155" s="876" t="s">
        <v>345</v>
      </c>
      <c r="B155" s="876"/>
      <c r="C155" s="876"/>
      <c r="D155" s="117" t="s">
        <v>130</v>
      </c>
      <c r="E155" s="99">
        <f>'30'!F155</f>
        <v>166736</v>
      </c>
      <c r="F155" s="389">
        <v>167284</v>
      </c>
      <c r="G155" s="112">
        <f t="shared" ref="G155:G158" si="12">F155-E155</f>
        <v>548</v>
      </c>
      <c r="H155" s="99">
        <f>G155+'30'!H155</f>
        <v>19135</v>
      </c>
      <c r="I155" s="364"/>
      <c r="J155" s="328">
        <f>H155/DAY(B2)</f>
        <v>617.25806451612902</v>
      </c>
    </row>
    <row r="156" spans="1:11" ht="25.5">
      <c r="A156" s="876" t="s">
        <v>347</v>
      </c>
      <c r="B156" s="876"/>
      <c r="C156" s="876"/>
      <c r="D156" s="117" t="s">
        <v>130</v>
      </c>
      <c r="E156" s="99">
        <f>'30'!F156</f>
        <v>17659</v>
      </c>
      <c r="F156" s="155">
        <v>17707</v>
      </c>
      <c r="G156" s="112">
        <f t="shared" si="12"/>
        <v>48</v>
      </c>
      <c r="H156" s="99">
        <f>G156+'30'!H156</f>
        <v>3171</v>
      </c>
      <c r="I156" s="155"/>
      <c r="J156" s="328">
        <f>H156/DAY(B2)</f>
        <v>102.29032258064517</v>
      </c>
    </row>
    <row r="157" spans="1:11" ht="25.5">
      <c r="A157" s="877" t="s">
        <v>360</v>
      </c>
      <c r="B157" s="878"/>
      <c r="C157" s="879"/>
      <c r="D157" s="117" t="s">
        <v>130</v>
      </c>
      <c r="E157" s="99">
        <f>'30'!F157</f>
        <v>31531</v>
      </c>
      <c r="F157" s="95">
        <v>31730.5</v>
      </c>
      <c r="G157" s="112">
        <f t="shared" si="12"/>
        <v>199.5</v>
      </c>
      <c r="H157" s="99">
        <f>G157+'30'!H157</f>
        <v>555.52999999999884</v>
      </c>
      <c r="I157" s="99"/>
      <c r="J157" s="155"/>
      <c r="K157" s="328"/>
    </row>
    <row r="158" spans="1:11" ht="25.5">
      <c r="A158" s="877" t="s">
        <v>361</v>
      </c>
      <c r="B158" s="878"/>
      <c r="C158" s="879"/>
      <c r="D158" s="117" t="s">
        <v>130</v>
      </c>
      <c r="E158" s="99">
        <f>'30'!F158</f>
        <v>315</v>
      </c>
      <c r="F158" s="155">
        <v>320</v>
      </c>
      <c r="G158" s="112">
        <f t="shared" si="12"/>
        <v>5</v>
      </c>
      <c r="H158" s="99">
        <f>G158+'30'!H158</f>
        <v>6.1999999999999886</v>
      </c>
      <c r="I158" s="155"/>
      <c r="J158" s="328"/>
    </row>
    <row r="159" spans="1:11" ht="25.5">
      <c r="A159" s="962"/>
      <c r="B159" s="963"/>
      <c r="C159" s="964"/>
      <c r="D159" s="117"/>
      <c r="E159" s="327"/>
      <c r="F159" s="155"/>
      <c r="G159" s="112"/>
      <c r="H159" s="99"/>
      <c r="I159" s="155"/>
      <c r="J159" s="328"/>
    </row>
    <row r="160" spans="1:11" ht="27.75">
      <c r="A160" s="884" t="s">
        <v>326</v>
      </c>
      <c r="B160" s="884"/>
      <c r="C160" s="884"/>
      <c r="D160" s="884"/>
      <c r="E160" s="884"/>
      <c r="F160" s="884"/>
      <c r="G160" s="884"/>
      <c r="H160" s="884"/>
      <c r="I160" s="884"/>
      <c r="J160" s="884"/>
    </row>
    <row r="161" spans="1:10" ht="26.25">
      <c r="A161" s="242" t="s">
        <v>92</v>
      </c>
      <c r="B161" s="243"/>
      <c r="C161" s="243"/>
      <c r="D161" s="244" t="s">
        <v>180</v>
      </c>
      <c r="E161" s="99">
        <f>'30'!F161</f>
        <v>481787</v>
      </c>
      <c r="F161" s="235">
        <v>482075.04</v>
      </c>
      <c r="G161" s="238">
        <f t="shared" ref="G161:G165" si="13">F161-E161</f>
        <v>288.03999999997905</v>
      </c>
      <c r="H161" s="99">
        <f>G161+'30'!H161</f>
        <v>1028.039999999979</v>
      </c>
      <c r="I161" s="236"/>
      <c r="J161" s="239">
        <f>H161/DAY(B2)</f>
        <v>33.162580645160617</v>
      </c>
    </row>
    <row r="162" spans="1:10" ht="26.25">
      <c r="A162" s="242" t="s">
        <v>93</v>
      </c>
      <c r="B162" s="243"/>
      <c r="C162" s="243"/>
      <c r="D162" s="244" t="s">
        <v>180</v>
      </c>
      <c r="E162" s="99">
        <f>'30'!F162</f>
        <v>96097.8</v>
      </c>
      <c r="F162" s="235">
        <v>96121</v>
      </c>
      <c r="G162" s="238">
        <f t="shared" si="13"/>
        <v>23.19999999999709</v>
      </c>
      <c r="H162" s="99">
        <f>G162+'30'!H162</f>
        <v>1193</v>
      </c>
      <c r="I162" s="236"/>
      <c r="J162" s="239">
        <f>H162/DAY(B2)</f>
        <v>38.483870967741936</v>
      </c>
    </row>
    <row r="163" spans="1:10" ht="26.25">
      <c r="A163" s="242" t="s">
        <v>197</v>
      </c>
      <c r="B163" s="243"/>
      <c r="C163" s="243"/>
      <c r="D163" s="244" t="s">
        <v>180</v>
      </c>
      <c r="E163" s="99">
        <f>'30'!F163</f>
        <v>9976.7999999999993</v>
      </c>
      <c r="F163" s="235">
        <v>10125.6</v>
      </c>
      <c r="G163" s="238">
        <f t="shared" si="13"/>
        <v>148.80000000000109</v>
      </c>
      <c r="H163" s="99">
        <f>G163+'30'!H163</f>
        <v>3624.6000000000004</v>
      </c>
      <c r="I163" s="236"/>
      <c r="J163" s="239">
        <f>H163/DAY(B2)</f>
        <v>116.9225806451613</v>
      </c>
    </row>
    <row r="164" spans="1:10" ht="26.25">
      <c r="A164" s="242" t="s">
        <v>197</v>
      </c>
      <c r="B164" s="243"/>
      <c r="C164" s="243"/>
      <c r="D164" s="244" t="s">
        <v>180</v>
      </c>
      <c r="E164" s="99">
        <f>'30'!F164</f>
        <v>6414.4</v>
      </c>
      <c r="F164" s="235">
        <v>6420.1</v>
      </c>
      <c r="G164" s="238">
        <f t="shared" si="13"/>
        <v>5.7000000000007276</v>
      </c>
      <c r="H164" s="99">
        <f>G164+'30'!H164</f>
        <v>140.10000000000036</v>
      </c>
      <c r="I164" s="236"/>
      <c r="J164" s="239">
        <f>H164/DAY(B2)</f>
        <v>4.5193548387096891</v>
      </c>
    </row>
    <row r="165" spans="1:10" ht="26.25">
      <c r="A165" s="242" t="s">
        <v>309</v>
      </c>
      <c r="B165" s="243"/>
      <c r="C165" s="243"/>
      <c r="D165" s="244" t="s">
        <v>180</v>
      </c>
      <c r="E165" s="99">
        <f>'30'!F165</f>
        <v>31868.7</v>
      </c>
      <c r="F165" s="235">
        <v>31871.19</v>
      </c>
      <c r="G165" s="238">
        <f t="shared" si="13"/>
        <v>2.4899999999979627</v>
      </c>
      <c r="H165" s="99">
        <f>G165+'30'!H165</f>
        <v>237.18999999999869</v>
      </c>
      <c r="I165" s="236"/>
      <c r="J165" s="239">
        <f>H165/DAY(B2)</f>
        <v>7.6512903225806026</v>
      </c>
    </row>
    <row r="166" spans="1:10" ht="26.25">
      <c r="A166" s="885"/>
      <c r="B166" s="885"/>
      <c r="C166" s="246"/>
      <c r="D166" s="244" t="s">
        <v>180</v>
      </c>
      <c r="E166" s="16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885"/>
      <c r="B167" s="885"/>
      <c r="C167" s="246"/>
      <c r="D167" s="244" t="s">
        <v>180</v>
      </c>
      <c r="E167" s="16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885"/>
      <c r="B168" s="885"/>
      <c r="C168" s="246"/>
      <c r="D168" s="244" t="s">
        <v>180</v>
      </c>
      <c r="E168" s="16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886" t="s">
        <v>330</v>
      </c>
      <c r="B171" s="887"/>
      <c r="C171" s="887"/>
      <c r="D171" s="887"/>
      <c r="E171" s="887"/>
      <c r="F171" s="887"/>
      <c r="G171" s="887"/>
      <c r="H171" s="887"/>
      <c r="I171" s="887"/>
      <c r="J171" s="888"/>
    </row>
    <row r="172" spans="1:10" ht="25.5">
      <c r="A172" s="895"/>
      <c r="B172" s="896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9">
        <f>'30'!F173</f>
        <v>8579</v>
      </c>
      <c r="F173" s="425">
        <f>8579+5</f>
        <v>8584</v>
      </c>
      <c r="G173" s="155">
        <f>F173-E173</f>
        <v>5</v>
      </c>
      <c r="H173" s="99">
        <f>G173+'30'!H173</f>
        <v>61</v>
      </c>
      <c r="I173" s="155"/>
      <c r="J173" s="178">
        <f>H173/DAY(B2)</f>
        <v>1.967741935483871</v>
      </c>
    </row>
    <row r="174" spans="1:10" ht="25.5">
      <c r="A174" s="891" t="s">
        <v>75</v>
      </c>
      <c r="B174" s="892"/>
      <c r="C174" s="333"/>
      <c r="D174" s="228" t="s">
        <v>142</v>
      </c>
      <c r="E174" s="99">
        <f>'30'!F174</f>
        <v>41596</v>
      </c>
      <c r="F174" s="157">
        <v>41606</v>
      </c>
      <c r="G174" s="155">
        <f t="shared" ref="G174:G175" si="14">F174-E174</f>
        <v>10</v>
      </c>
      <c r="H174" s="99">
        <f>G174+'30'!H174</f>
        <v>402</v>
      </c>
      <c r="I174" s="155"/>
      <c r="J174" s="178">
        <f>H174/DAY(B2)</f>
        <v>12.96774193548387</v>
      </c>
    </row>
    <row r="175" spans="1:10" ht="25.5">
      <c r="A175" s="891" t="s">
        <v>76</v>
      </c>
      <c r="B175" s="931"/>
      <c r="C175" s="892"/>
      <c r="D175" s="228" t="s">
        <v>142</v>
      </c>
      <c r="E175" s="99">
        <f>'30'!F175</f>
        <v>24357</v>
      </c>
      <c r="F175" s="155">
        <v>24367</v>
      </c>
      <c r="G175" s="155">
        <f t="shared" si="14"/>
        <v>10</v>
      </c>
      <c r="H175" s="99">
        <f>G175+'30'!H175</f>
        <v>336</v>
      </c>
      <c r="I175" s="155"/>
      <c r="J175" s="178">
        <f>H175/DAY(B2)</f>
        <v>10.838709677419354</v>
      </c>
    </row>
    <row r="176" spans="1:10" ht="25.5">
      <c r="A176" s="880" t="s">
        <v>196</v>
      </c>
      <c r="B176" s="996"/>
      <c r="C176" s="881"/>
      <c r="D176" s="228" t="s">
        <v>142</v>
      </c>
      <c r="E176" s="99">
        <f>'30'!F176</f>
        <v>0</v>
      </c>
      <c r="F176" s="155"/>
      <c r="G176" s="155">
        <f>SUM(G173:G175)</f>
        <v>25</v>
      </c>
      <c r="H176" s="99">
        <f>G176+'30'!H176</f>
        <v>799</v>
      </c>
      <c r="I176" s="155"/>
      <c r="J176" s="178">
        <f>H176/DAY(B2)</f>
        <v>25.774193548387096</v>
      </c>
    </row>
    <row r="177" spans="1:10" ht="25.5">
      <c r="A177" s="891" t="s">
        <v>77</v>
      </c>
      <c r="B177" s="892"/>
      <c r="C177" s="333"/>
      <c r="D177" s="228" t="s">
        <v>142</v>
      </c>
      <c r="E177" s="99">
        <f>'30'!F177</f>
        <v>0</v>
      </c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9">
        <f>'30'!F178</f>
        <v>99999</v>
      </c>
      <c r="F178" s="155">
        <v>100084</v>
      </c>
      <c r="G178" s="155">
        <f>F178-E178</f>
        <v>85</v>
      </c>
      <c r="H178" s="99">
        <f>G178+'30'!H178</f>
        <v>2371</v>
      </c>
      <c r="I178" s="155"/>
      <c r="J178" s="178">
        <f>H178/DAY(B2)</f>
        <v>76.483870967741936</v>
      </c>
    </row>
    <row r="179" spans="1:10" ht="25.5">
      <c r="A179" s="891" t="s">
        <v>211</v>
      </c>
      <c r="B179" s="892"/>
      <c r="C179" s="333"/>
      <c r="D179" s="228" t="s">
        <v>142</v>
      </c>
      <c r="E179" s="99">
        <f>'30'!F179</f>
        <v>37295</v>
      </c>
      <c r="F179" s="157">
        <v>37295</v>
      </c>
      <c r="G179" s="155">
        <f t="shared" ref="G179:G180" si="15">F179-E179</f>
        <v>0</v>
      </c>
      <c r="H179" s="99">
        <f>G179+'30'!H179</f>
        <v>83</v>
      </c>
      <c r="I179" s="155"/>
      <c r="J179" s="178">
        <f>H179/DAY(B2)</f>
        <v>2.6774193548387095</v>
      </c>
    </row>
    <row r="180" spans="1:10" ht="25.5">
      <c r="A180" s="891" t="s">
        <v>212</v>
      </c>
      <c r="B180" s="892"/>
      <c r="C180" s="333"/>
      <c r="D180" s="228" t="s">
        <v>142</v>
      </c>
      <c r="E180" s="99">
        <f>'30'!F180</f>
        <v>7189</v>
      </c>
      <c r="F180" s="157">
        <v>7191</v>
      </c>
      <c r="G180" s="155">
        <f t="shared" si="15"/>
        <v>2</v>
      </c>
      <c r="H180" s="99">
        <f>G180+'30'!H180</f>
        <v>202</v>
      </c>
      <c r="I180" s="155"/>
      <c r="J180" s="178">
        <f>H180/DAY(B2)</f>
        <v>6.5161290322580649</v>
      </c>
    </row>
    <row r="181" spans="1:10" ht="25.5">
      <c r="A181" s="893" t="s">
        <v>108</v>
      </c>
      <c r="B181" s="894"/>
      <c r="C181" s="401"/>
      <c r="D181" s="228" t="s">
        <v>142</v>
      </c>
      <c r="E181" s="99">
        <f>'30'!F181</f>
        <v>0</v>
      </c>
      <c r="F181" s="157"/>
      <c r="G181" s="155">
        <f>SUM(G178:G180)</f>
        <v>87</v>
      </c>
      <c r="H181" s="99">
        <f>G181+'30'!H181</f>
        <v>2656</v>
      </c>
      <c r="I181" s="155"/>
      <c r="J181" s="178">
        <f>H181/DAY(B2)</f>
        <v>85.677419354838705</v>
      </c>
    </row>
    <row r="182" spans="1:10" ht="25.5">
      <c r="A182" s="891" t="s">
        <v>213</v>
      </c>
      <c r="B182" s="892"/>
      <c r="C182" s="333"/>
      <c r="D182" s="228" t="s">
        <v>142</v>
      </c>
      <c r="E182" s="99">
        <f>'30'!F182</f>
        <v>0</v>
      </c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9">
        <f>'30'!F183</f>
        <v>17671</v>
      </c>
      <c r="F183" s="157">
        <v>17682</v>
      </c>
      <c r="G183" s="157">
        <f>F183-E183</f>
        <v>11</v>
      </c>
      <c r="H183" s="99">
        <f>G183+'30'!H183</f>
        <v>209</v>
      </c>
      <c r="I183" s="155"/>
      <c r="J183" s="178">
        <f>H183/DAY(B2)</f>
        <v>6.741935483870968</v>
      </c>
    </row>
    <row r="184" spans="1:10" ht="25.5">
      <c r="A184" s="891" t="s">
        <v>215</v>
      </c>
      <c r="B184" s="892"/>
      <c r="C184" s="334"/>
      <c r="D184" s="228" t="s">
        <v>142</v>
      </c>
      <c r="E184" s="99">
        <f>'30'!F184</f>
        <v>12149</v>
      </c>
      <c r="F184" s="157">
        <v>12154</v>
      </c>
      <c r="G184" s="157">
        <f t="shared" ref="G184:G185" si="16">F184-E184</f>
        <v>5</v>
      </c>
      <c r="H184" s="99">
        <f>G184+'30'!H184</f>
        <v>219</v>
      </c>
      <c r="I184" s="155"/>
      <c r="J184" s="178">
        <f>H184/DAY(B2)</f>
        <v>7.064516129032258</v>
      </c>
    </row>
    <row r="185" spans="1:10" ht="25.5">
      <c r="A185" s="891" t="s">
        <v>216</v>
      </c>
      <c r="B185" s="892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5.5">
      <c r="A186" s="880" t="s">
        <v>196</v>
      </c>
      <c r="B186" s="881"/>
      <c r="C186" s="400"/>
      <c r="D186" s="228" t="s">
        <v>142</v>
      </c>
      <c r="E186" s="157"/>
      <c r="F186" s="157"/>
      <c r="G186" s="157">
        <f>SUM(G183:G185)</f>
        <v>16</v>
      </c>
      <c r="H186" s="99">
        <f>G186+'30'!H186</f>
        <v>428</v>
      </c>
      <c r="I186" s="157"/>
      <c r="J186" s="178">
        <f>H186/DAY(B2)</f>
        <v>13.806451612903226</v>
      </c>
    </row>
    <row r="187" spans="1:10" ht="25.5">
      <c r="A187" s="882" t="s">
        <v>217</v>
      </c>
      <c r="B187" s="883"/>
      <c r="C187" s="333"/>
      <c r="D187" s="230" t="s">
        <v>142</v>
      </c>
      <c r="E187" s="159"/>
      <c r="F187" s="159"/>
      <c r="G187" s="159">
        <f>G62+G19</f>
        <v>115</v>
      </c>
      <c r="H187" s="99">
        <f>G187+'30'!H187</f>
        <v>4754</v>
      </c>
      <c r="I187" s="157"/>
      <c r="J187" s="179">
        <f>H187/DAY(B2)</f>
        <v>153.35483870967741</v>
      </c>
    </row>
    <row r="188" spans="1:10" ht="25.5">
      <c r="A188" s="882" t="s">
        <v>218</v>
      </c>
      <c r="B188" s="883"/>
      <c r="C188" s="333"/>
      <c r="D188" s="230" t="s">
        <v>142</v>
      </c>
      <c r="E188" s="159"/>
      <c r="F188" s="159"/>
      <c r="G188" s="159">
        <f>G65+G66+G67+G69+G70</f>
        <v>117</v>
      </c>
      <c r="H188" s="99">
        <f>G188+'30'!H188</f>
        <v>2472</v>
      </c>
      <c r="I188" s="157"/>
      <c r="J188" s="179">
        <f>H188/DAY(B2)</f>
        <v>79.741935483870961</v>
      </c>
    </row>
    <row r="189" spans="1:10" ht="25.5">
      <c r="A189" s="882" t="s">
        <v>219</v>
      </c>
      <c r="B189" s="883"/>
      <c r="C189" s="333"/>
      <c r="D189" s="230" t="s">
        <v>142</v>
      </c>
      <c r="E189" s="157"/>
      <c r="F189" s="157"/>
      <c r="G189" s="157">
        <f>G181</f>
        <v>87</v>
      </c>
      <c r="H189" s="99">
        <f>G189+'30'!H189</f>
        <v>1147</v>
      </c>
      <c r="I189" s="157"/>
      <c r="J189" s="179">
        <f>H189/DAY(B2)</f>
        <v>37</v>
      </c>
    </row>
    <row r="190" spans="1:10" ht="25.5">
      <c r="A190" s="889"/>
      <c r="B190" s="890"/>
      <c r="C190" s="399"/>
      <c r="D190" s="396"/>
      <c r="E190" s="415"/>
      <c r="F190" s="415"/>
      <c r="G190" s="415"/>
      <c r="H190" s="397"/>
      <c r="I190" s="415"/>
      <c r="J190" s="532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71"/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73" t="s">
        <v>6</v>
      </c>
      <c r="F2" s="773"/>
      <c r="G2" s="773"/>
      <c r="H2" s="779" t="s">
        <v>14</v>
      </c>
      <c r="I2" s="779"/>
      <c r="J2" s="779"/>
      <c r="K2" s="264" t="s">
        <v>15</v>
      </c>
      <c r="L2" s="779" t="s">
        <v>16</v>
      </c>
      <c r="M2" s="779"/>
      <c r="N2" s="779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514370</v>
      </c>
      <c r="E4" s="19">
        <f>'1'!G97</f>
        <v>0.27217439163423141</v>
      </c>
      <c r="F4" s="19">
        <f>'1'!F142</f>
        <v>36724.400000000001</v>
      </c>
      <c r="G4" s="21">
        <f>E4*F4</f>
        <v>9995.4412281321675</v>
      </c>
      <c r="H4" s="19">
        <f>'1'!G68</f>
        <v>18</v>
      </c>
      <c r="I4" s="19">
        <f>'1'!G69</f>
        <v>10</v>
      </c>
      <c r="J4" s="19">
        <f>'1'!G70</f>
        <v>6</v>
      </c>
      <c r="K4" s="23">
        <f>H4+I4</f>
        <v>28</v>
      </c>
      <c r="L4" s="19">
        <f>'1'!G71</f>
        <v>151</v>
      </c>
      <c r="M4" s="19">
        <f>'1'!G72</f>
        <v>0</v>
      </c>
      <c r="N4" s="19">
        <v>0</v>
      </c>
      <c r="O4" s="23">
        <f>L4+M4+N4</f>
        <v>151</v>
      </c>
    </row>
    <row r="5" spans="1:15">
      <c r="A5" s="16">
        <v>2</v>
      </c>
      <c r="B5" s="26">
        <v>2</v>
      </c>
      <c r="C5" s="26"/>
      <c r="D5" s="19">
        <f>'2'!F8</f>
        <v>540215</v>
      </c>
      <c r="E5" s="19">
        <f>'2'!G96</f>
        <v>6103.4199999999837</v>
      </c>
      <c r="F5" s="19">
        <f>'2'!F123</f>
        <v>30823.83</v>
      </c>
      <c r="G5" s="21">
        <f t="shared" ref="G5:G18" si="0">E5*F5</f>
        <v>188130780.4985995</v>
      </c>
      <c r="H5" s="19">
        <f>'2'!G68</f>
        <v>34</v>
      </c>
      <c r="I5" s="19">
        <f>'2'!G69</f>
        <v>3</v>
      </c>
      <c r="J5" s="19">
        <f>'2'!G70</f>
        <v>11</v>
      </c>
      <c r="K5" s="23">
        <f t="shared" ref="K5:K18" si="1">H5+I5</f>
        <v>37</v>
      </c>
      <c r="L5" s="19">
        <f>'2'!G71</f>
        <v>168</v>
      </c>
      <c r="M5" s="19">
        <f>'2'!G72</f>
        <v>0</v>
      </c>
      <c r="N5" s="19">
        <v>0</v>
      </c>
      <c r="O5" s="23">
        <f t="shared" ref="O5:O18" si="2">L5+M5+N5</f>
        <v>168</v>
      </c>
    </row>
    <row r="6" spans="1:15">
      <c r="A6" s="16">
        <v>3</v>
      </c>
      <c r="B6" s="26">
        <v>3</v>
      </c>
      <c r="C6" s="26"/>
      <c r="D6" s="19">
        <f>'4'!F8</f>
        <v>594162</v>
      </c>
      <c r="E6" s="19">
        <f>'3'!G96</f>
        <v>7359.4100000000326</v>
      </c>
      <c r="F6" s="19">
        <f>'3'!F123</f>
        <v>31191</v>
      </c>
      <c r="G6" s="21">
        <f t="shared" si="0"/>
        <v>229547357.31000102</v>
      </c>
      <c r="H6" s="19">
        <f>'4'!G68</f>
        <v>19</v>
      </c>
      <c r="I6" s="19">
        <f>'4'!G69</f>
        <v>2</v>
      </c>
      <c r="J6" s="19">
        <f>'4'!G70</f>
        <v>14</v>
      </c>
      <c r="K6" s="23">
        <f t="shared" si="1"/>
        <v>21</v>
      </c>
      <c r="L6" s="19">
        <f>'4'!G71</f>
        <v>165</v>
      </c>
      <c r="M6" s="19">
        <f>'4'!G72</f>
        <v>0</v>
      </c>
      <c r="N6" s="19">
        <v>0</v>
      </c>
      <c r="O6" s="23">
        <f t="shared" si="2"/>
        <v>165</v>
      </c>
    </row>
    <row r="7" spans="1:15">
      <c r="A7" s="16">
        <v>4</v>
      </c>
      <c r="B7" s="27">
        <v>4</v>
      </c>
      <c r="C7" s="27"/>
      <c r="D7" s="19">
        <f>'3'!F8</f>
        <v>568270</v>
      </c>
      <c r="E7" s="19">
        <f>'4'!G96</f>
        <v>6053.679999999993</v>
      </c>
      <c r="F7" s="19">
        <f>'1'!F142</f>
        <v>36724.400000000001</v>
      </c>
      <c r="G7" s="21">
        <f t="shared" si="0"/>
        <v>222317765.79199976</v>
      </c>
      <c r="H7" s="19">
        <f>'3'!G68</f>
        <v>17</v>
      </c>
      <c r="I7" s="19">
        <f>'3'!G69</f>
        <v>3</v>
      </c>
      <c r="J7" s="19">
        <f>'3'!G70</f>
        <v>6</v>
      </c>
      <c r="K7" s="23">
        <f t="shared" si="1"/>
        <v>20</v>
      </c>
      <c r="L7" s="19">
        <f>'3'!G71</f>
        <v>150</v>
      </c>
      <c r="M7" s="19">
        <f>'3'!G72</f>
        <v>0</v>
      </c>
      <c r="N7" s="19">
        <v>0</v>
      </c>
      <c r="O7" s="23">
        <f t="shared" si="2"/>
        <v>150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36724.400000000001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647436</v>
      </c>
      <c r="E9" s="19">
        <f>'6'!G96</f>
        <v>6391.1700000000419</v>
      </c>
      <c r="F9" s="19">
        <f>'1'!F142</f>
        <v>36724.400000000001</v>
      </c>
      <c r="G9" s="21">
        <f t="shared" si="0"/>
        <v>234711883.54800156</v>
      </c>
      <c r="H9" s="19">
        <f>'6'!G68</f>
        <v>19</v>
      </c>
      <c r="I9" s="19">
        <f>'6'!G69</f>
        <v>6</v>
      </c>
      <c r="J9" s="19">
        <f>'6'!G70</f>
        <v>8</v>
      </c>
      <c r="K9" s="23">
        <f t="shared" si="1"/>
        <v>25</v>
      </c>
      <c r="L9" s="19">
        <f>'6'!G71</f>
        <v>160</v>
      </c>
      <c r="M9" s="19">
        <f>'6'!G72</f>
        <v>0</v>
      </c>
      <c r="N9" s="19">
        <v>0</v>
      </c>
      <c r="O9" s="23">
        <f t="shared" si="2"/>
        <v>160</v>
      </c>
    </row>
    <row r="10" spans="1:15">
      <c r="A10" s="16">
        <v>7</v>
      </c>
      <c r="B10" s="26">
        <v>7</v>
      </c>
      <c r="C10" s="27"/>
      <c r="D10" s="19">
        <f>'7'!F8</f>
        <v>673353</v>
      </c>
      <c r="E10" s="19">
        <f>'7'!G96</f>
        <v>6173</v>
      </c>
      <c r="F10" s="19">
        <f>'1'!F142</f>
        <v>36724.400000000001</v>
      </c>
      <c r="G10" s="21">
        <f t="shared" si="0"/>
        <v>226699721.20000002</v>
      </c>
      <c r="H10" s="19">
        <f>'7'!G68</f>
        <v>35</v>
      </c>
      <c r="I10" s="19">
        <f>'7'!G69</f>
        <v>6</v>
      </c>
      <c r="J10" s="19">
        <f>'7'!G70</f>
        <v>8</v>
      </c>
      <c r="K10" s="23">
        <f t="shared" si="1"/>
        <v>41</v>
      </c>
      <c r="L10" s="19">
        <f>'7'!G71</f>
        <v>181</v>
      </c>
      <c r="M10" s="19">
        <f>'7'!G72</f>
        <v>0</v>
      </c>
      <c r="N10" s="19">
        <v>0</v>
      </c>
      <c r="O10" s="23">
        <f t="shared" si="2"/>
        <v>181</v>
      </c>
    </row>
    <row r="11" spans="1:15">
      <c r="A11" s="16">
        <v>8</v>
      </c>
      <c r="B11" s="26">
        <v>8</v>
      </c>
      <c r="C11" s="18"/>
      <c r="D11" s="19">
        <f>'8'!F8</f>
        <v>700573.03</v>
      </c>
      <c r="E11" s="19">
        <f>'8'!G96</f>
        <v>6736.2799999999843</v>
      </c>
      <c r="F11" s="19">
        <f>'1'!F142</f>
        <v>36724.400000000001</v>
      </c>
      <c r="G11" s="21">
        <f t="shared" si="0"/>
        <v>247385841.23199943</v>
      </c>
      <c r="H11" s="19">
        <f>'8'!G68</f>
        <v>39</v>
      </c>
      <c r="I11" s="19">
        <f>'8'!G69</f>
        <v>8</v>
      </c>
      <c r="J11" s="19">
        <f>'8'!G70</f>
        <v>8</v>
      </c>
      <c r="K11" s="23">
        <f t="shared" si="1"/>
        <v>47</v>
      </c>
      <c r="L11" s="19">
        <f>'8'!G71</f>
        <v>191</v>
      </c>
      <c r="M11" s="19">
        <f>'8'!G72</f>
        <v>0</v>
      </c>
      <c r="N11" s="19">
        <v>0</v>
      </c>
      <c r="O11" s="23">
        <f t="shared" si="2"/>
        <v>191</v>
      </c>
    </row>
    <row r="12" spans="1:15">
      <c r="A12" s="16">
        <v>9</v>
      </c>
      <c r="B12" s="27">
        <v>9</v>
      </c>
      <c r="C12" s="26"/>
      <c r="D12" s="19">
        <f>'9'!F8</f>
        <v>727772.31</v>
      </c>
      <c r="E12" s="19">
        <f>'9'!G96</f>
        <v>6983.9000000000233</v>
      </c>
      <c r="F12" s="19">
        <f>'1'!F142</f>
        <v>36724.400000000001</v>
      </c>
      <c r="G12" s="21">
        <f t="shared" si="0"/>
        <v>256479537.16000086</v>
      </c>
      <c r="H12" s="19">
        <f>'9'!G68</f>
        <v>35</v>
      </c>
      <c r="I12" s="19">
        <f>'9'!G69</f>
        <v>13</v>
      </c>
      <c r="J12" s="19">
        <f>'9'!G70</f>
        <v>11</v>
      </c>
      <c r="K12" s="23">
        <f t="shared" si="1"/>
        <v>48</v>
      </c>
      <c r="L12" s="19">
        <f>'9'!G71</f>
        <v>194</v>
      </c>
      <c r="M12" s="19">
        <f>'9'!G72</f>
        <v>0</v>
      </c>
      <c r="N12" s="19">
        <v>0</v>
      </c>
      <c r="O12" s="23">
        <f t="shared" si="2"/>
        <v>194</v>
      </c>
    </row>
    <row r="13" spans="1:15">
      <c r="A13" s="16">
        <v>10</v>
      </c>
      <c r="B13" s="27">
        <v>10</v>
      </c>
      <c r="C13" s="26"/>
      <c r="D13" s="19">
        <f>'10'!F8</f>
        <v>755289.19</v>
      </c>
      <c r="E13" s="19">
        <f>'10'!G96</f>
        <v>7326.2799999999697</v>
      </c>
      <c r="F13" s="19">
        <f>'1'!F142</f>
        <v>36724.400000000001</v>
      </c>
      <c r="G13" s="21">
        <f t="shared" si="0"/>
        <v>269053237.23199892</v>
      </c>
      <c r="H13" s="19">
        <f>'10'!G68</f>
        <v>32</v>
      </c>
      <c r="I13" s="19">
        <f>'10'!G69</f>
        <v>8</v>
      </c>
      <c r="J13" s="19">
        <f>'10'!G70</f>
        <v>5</v>
      </c>
      <c r="K13" s="23">
        <f t="shared" si="1"/>
        <v>40</v>
      </c>
      <c r="L13" s="19">
        <f>'10'!G71</f>
        <v>176</v>
      </c>
      <c r="M13" s="19">
        <f>'10'!G72</f>
        <v>0</v>
      </c>
      <c r="N13" s="19">
        <v>0</v>
      </c>
      <c r="O13" s="23">
        <f t="shared" si="2"/>
        <v>176</v>
      </c>
    </row>
    <row r="14" spans="1:15">
      <c r="A14" s="16">
        <v>11</v>
      </c>
      <c r="B14" s="17">
        <v>11</v>
      </c>
      <c r="C14" s="27"/>
      <c r="D14" s="19">
        <f>'11'!F8</f>
        <v>781060</v>
      </c>
      <c r="E14" s="19">
        <f>'11'!G96</f>
        <v>6495.5400000000227</v>
      </c>
      <c r="F14" s="19">
        <f>'1'!F142</f>
        <v>36724.400000000001</v>
      </c>
      <c r="G14" s="21">
        <f t="shared" si="0"/>
        <v>238544809.17600083</v>
      </c>
      <c r="H14" s="19">
        <f>'11'!G68</f>
        <v>32</v>
      </c>
      <c r="I14" s="19">
        <f>'11'!G69</f>
        <v>2</v>
      </c>
      <c r="J14" s="19">
        <f>'11'!G70</f>
        <v>6</v>
      </c>
      <c r="K14" s="23">
        <f t="shared" si="1"/>
        <v>34</v>
      </c>
      <c r="L14" s="19">
        <f>'11'!G71</f>
        <v>199</v>
      </c>
      <c r="M14" s="19">
        <f>'11'!G72</f>
        <v>0</v>
      </c>
      <c r="N14" s="19">
        <v>0</v>
      </c>
      <c r="O14" s="23">
        <f t="shared" si="2"/>
        <v>199</v>
      </c>
    </row>
    <row r="15" spans="1:15">
      <c r="A15" s="16">
        <v>12</v>
      </c>
      <c r="B15" s="26">
        <v>12</v>
      </c>
      <c r="C15" s="27"/>
      <c r="D15" s="19">
        <f>'12'!F8</f>
        <v>807560</v>
      </c>
      <c r="E15" s="19">
        <f>'12'!G96</f>
        <v>8888</v>
      </c>
      <c r="F15" s="19">
        <f>'1'!F142</f>
        <v>36724.400000000001</v>
      </c>
      <c r="G15" s="20">
        <f t="shared" si="0"/>
        <v>326406467.19999999</v>
      </c>
      <c r="H15" s="19">
        <f>'12'!G68</f>
        <v>33</v>
      </c>
      <c r="I15" s="19">
        <f>'12'!G69</f>
        <v>5</v>
      </c>
      <c r="J15" s="19">
        <f>'12'!G70</f>
        <v>-311</v>
      </c>
      <c r="K15" s="23">
        <f t="shared" si="1"/>
        <v>38</v>
      </c>
      <c r="L15" s="19">
        <f>'12'!G71</f>
        <v>-192</v>
      </c>
      <c r="M15" s="19">
        <f>'12'!G72</f>
        <v>0</v>
      </c>
      <c r="N15" s="19">
        <v>0</v>
      </c>
      <c r="O15" s="23">
        <f t="shared" si="2"/>
        <v>-192</v>
      </c>
    </row>
    <row r="16" spans="1:15">
      <c r="A16" s="16">
        <v>13</v>
      </c>
      <c r="B16" s="26">
        <v>13</v>
      </c>
      <c r="C16" s="26"/>
      <c r="D16" s="19">
        <f>'13'!F8</f>
        <v>834060</v>
      </c>
      <c r="E16" s="19">
        <f>'13'!G96</f>
        <v>7829.4999999999563</v>
      </c>
      <c r="F16" s="19">
        <f>'1'!F142</f>
        <v>36724.400000000001</v>
      </c>
      <c r="G16" s="20">
        <f t="shared" si="0"/>
        <v>287533689.7999984</v>
      </c>
      <c r="H16" s="19">
        <f>'13'!G68</f>
        <v>29</v>
      </c>
      <c r="I16" s="19">
        <f>'13'!G69</f>
        <v>6</v>
      </c>
      <c r="J16" s="19">
        <f>'13'!G70</f>
        <v>331</v>
      </c>
      <c r="K16" s="23">
        <f t="shared" si="1"/>
        <v>35</v>
      </c>
      <c r="L16" s="19">
        <f>'13'!G71</f>
        <v>684</v>
      </c>
      <c r="M16" s="19">
        <f>'13'!G72</f>
        <v>0</v>
      </c>
      <c r="N16" s="19">
        <v>0</v>
      </c>
      <c r="O16" s="23">
        <f t="shared" si="2"/>
        <v>684</v>
      </c>
    </row>
    <row r="17" spans="1:15">
      <c r="A17" s="16">
        <v>14</v>
      </c>
      <c r="B17" s="17">
        <v>14</v>
      </c>
      <c r="C17" s="27"/>
      <c r="D17" s="19">
        <f>'14'!F8</f>
        <v>860560</v>
      </c>
      <c r="E17" s="19">
        <f>'14'!G96</f>
        <v>7121.3500000000495</v>
      </c>
      <c r="F17" s="19">
        <f>'1'!F142</f>
        <v>36724.400000000001</v>
      </c>
      <c r="G17" s="20">
        <f t="shared" si="0"/>
        <v>261527305.94000182</v>
      </c>
      <c r="H17" s="19">
        <f>'14'!G68</f>
        <v>37</v>
      </c>
      <c r="I17" s="19">
        <f>'14'!G69</f>
        <v>5</v>
      </c>
      <c r="J17" s="19">
        <f>'14'!G71</f>
        <v>171</v>
      </c>
      <c r="K17" s="23">
        <f t="shared" si="1"/>
        <v>42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883426</v>
      </c>
      <c r="E18" s="19">
        <f>'15'!G96</f>
        <v>4094.1499999999942</v>
      </c>
      <c r="F18" s="19">
        <f>'1'!F142</f>
        <v>36724.400000000001</v>
      </c>
      <c r="G18" s="20">
        <f t="shared" si="0"/>
        <v>150355202.25999978</v>
      </c>
      <c r="H18" s="19">
        <f>'15'!G68</f>
        <v>29</v>
      </c>
      <c r="I18" s="19">
        <f>'15'!G69</f>
        <v>6</v>
      </c>
      <c r="J18" s="19">
        <f>'15'!G71</f>
        <v>163</v>
      </c>
      <c r="K18" s="23">
        <f t="shared" si="1"/>
        <v>35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topLeftCell="A91"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937" t="s">
        <v>115</v>
      </c>
      <c r="B1" s="938"/>
      <c r="C1" s="938"/>
      <c r="D1" s="938"/>
      <c r="E1" s="938"/>
      <c r="F1" s="938"/>
      <c r="G1" s="938"/>
      <c r="H1" s="938"/>
      <c r="I1" s="938"/>
      <c r="J1" s="939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946" t="s">
        <v>119</v>
      </c>
      <c r="F3" s="947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940" t="s">
        <v>128</v>
      </c>
      <c r="B6" s="941"/>
      <c r="C6" s="942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761923.5</v>
      </c>
      <c r="I7" s="113">
        <f>'1'!I7</f>
        <v>12000</v>
      </c>
      <c r="J7" s="175">
        <f>H7/DAY(B2)</f>
        <v>24578.177419354837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769234.7</v>
      </c>
      <c r="I8" s="116"/>
      <c r="J8" s="175">
        <f>H8/DAY(B2)</f>
        <v>24814.02258064516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3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200657.89999999991</v>
      </c>
      <c r="I9" s="124"/>
      <c r="J9" s="175">
        <f>H9/DAY(B2)</f>
        <v>6472.8354838709647</v>
      </c>
      <c r="K9" s="79">
        <f>K8-100</f>
        <v>1715817</v>
      </c>
      <c r="L9" s="66"/>
      <c r="N9" s="87"/>
      <c r="O9" s="71"/>
      <c r="Q9" s="524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540120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522"/>
      <c r="C14" s="522"/>
      <c r="D14" s="151"/>
      <c r="E14" s="95"/>
      <c r="F14" s="95"/>
      <c r="G14" s="119">
        <f>G9+G10+G11+G12</f>
        <v>0</v>
      </c>
      <c r="H14" s="99">
        <f>G14+'30'!H13</f>
        <v>742112.49999999977</v>
      </c>
      <c r="I14" s="120">
        <f>G7-G14</f>
        <v>0</v>
      </c>
      <c r="J14" s="175">
        <f>H14/DAY(B2)</f>
        <v>23939.1129032258</v>
      </c>
      <c r="K14" s="79"/>
      <c r="L14" s="66"/>
      <c r="N14" s="87"/>
      <c r="O14" s="71"/>
    </row>
    <row r="15" spans="1:17" ht="33" customHeight="1">
      <c r="A15" s="943" t="s">
        <v>137</v>
      </c>
      <c r="B15" s="944"/>
      <c r="C15" s="945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30840</v>
      </c>
      <c r="I16" s="113">
        <f>'1'!I15</f>
        <v>800</v>
      </c>
      <c r="J16" s="175">
        <f>H16/DAY(B2)</f>
        <v>994.83870967741939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-194.83870967741939</v>
      </c>
      <c r="J17" s="176"/>
      <c r="K17" s="79"/>
      <c r="L17" s="66"/>
      <c r="N17" s="87"/>
      <c r="O17" s="71"/>
    </row>
    <row r="18" spans="1:15" ht="33" customHeight="1">
      <c r="A18" s="943" t="s">
        <v>140</v>
      </c>
      <c r="B18" s="944"/>
      <c r="C18" s="945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919" t="s">
        <v>141</v>
      </c>
      <c r="B19" s="920"/>
      <c r="C19" s="921"/>
      <c r="D19" s="151" t="s">
        <v>142</v>
      </c>
      <c r="E19" s="95">
        <f>'30'!F18</f>
        <v>15</v>
      </c>
      <c r="F19" s="122">
        <v>14</v>
      </c>
      <c r="G19" s="119">
        <f>F19*10</f>
        <v>140</v>
      </c>
      <c r="H19" s="99">
        <f>G19+'30'!H18</f>
        <v>5000</v>
      </c>
      <c r="I19" s="113">
        <f>'1'!I18</f>
        <v>65</v>
      </c>
      <c r="J19" s="175">
        <f>H19/DAY(B2)</f>
        <v>161.29032258064515</v>
      </c>
      <c r="K19" s="79"/>
      <c r="L19" s="66"/>
      <c r="N19" s="87"/>
      <c r="O19" s="71"/>
    </row>
    <row r="20" spans="1:15" ht="33" customHeight="1">
      <c r="A20" s="919" t="s">
        <v>69</v>
      </c>
      <c r="B20" s="920"/>
      <c r="C20" s="921"/>
      <c r="D20" s="151" t="s">
        <v>142</v>
      </c>
      <c r="E20" s="95">
        <f>'30'!F19</f>
        <v>163840</v>
      </c>
      <c r="F20" s="122">
        <v>145338</v>
      </c>
      <c r="G20" s="112">
        <f t="shared" ref="G20" si="0">F20-E20</f>
        <v>-18502</v>
      </c>
      <c r="H20" s="99">
        <f>G20+'30'!H19</f>
        <v>-16997</v>
      </c>
      <c r="I20" s="335"/>
      <c r="J20" s="175">
        <f>H20/DAY(B2)</f>
        <v>-548.29032258064512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-18362</v>
      </c>
      <c r="H21" s="99">
        <f>G21+'30'!H20</f>
        <v>-11997</v>
      </c>
      <c r="I21" s="336">
        <f>I19-J21</f>
        <v>452</v>
      </c>
      <c r="J21" s="175">
        <f>H21/DAY(B2)</f>
        <v>-387</v>
      </c>
      <c r="K21" s="79"/>
      <c r="L21" s="66"/>
      <c r="N21" s="87"/>
      <c r="O21" s="71"/>
    </row>
    <row r="22" spans="1:15" ht="33" customHeight="1">
      <c r="A22" s="943" t="s">
        <v>144</v>
      </c>
      <c r="B22" s="944"/>
      <c r="C22" s="945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948" t="s">
        <v>149</v>
      </c>
      <c r="B26" s="949"/>
      <c r="C26" s="950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6923112.2999999998</v>
      </c>
      <c r="I28" s="138"/>
      <c r="J28" s="175">
        <f>H28/DAY(B2)</f>
        <v>223326.20322580644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2145318</v>
      </c>
      <c r="I29" s="140"/>
      <c r="J29" s="175">
        <f>H29/DAY(B2)</f>
        <v>69203.806451612909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-18502</v>
      </c>
      <c r="F31" s="136">
        <v>146</v>
      </c>
      <c r="G31" s="137">
        <f>E31*F31</f>
        <v>-2701292</v>
      </c>
      <c r="H31" s="99">
        <f>G31+'30'!H30</f>
        <v>-2474037</v>
      </c>
      <c r="I31" s="140"/>
      <c r="J31" s="175">
        <f>H31/DAY(B2)</f>
        <v>-79807.645161290318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400000</v>
      </c>
      <c r="I32" s="140"/>
      <c r="J32" s="175">
        <f>H32/DAY(B2)</f>
        <v>12903.225806451614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-2651144</v>
      </c>
      <c r="H33" s="99">
        <f>G33+'30'!H32</f>
        <v>6994393.3000000007</v>
      </c>
      <c r="I33" s="144"/>
      <c r="J33" s="175">
        <f>H33/DAY(B2)</f>
        <v>225625.59032258068</v>
      </c>
      <c r="K33" s="63"/>
      <c r="L33" s="89"/>
      <c r="N33" s="87"/>
      <c r="O33" s="71"/>
    </row>
    <row r="34" spans="1:15" ht="33" customHeight="1">
      <c r="A34" s="951" t="s">
        <v>331</v>
      </c>
      <c r="B34" s="952"/>
      <c r="C34" s="952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4.9999999988358468E-2</v>
      </c>
      <c r="I36" s="95"/>
      <c r="J36" s="175">
        <f>H36/DAY(B2)</f>
        <v>1.6129032254309182E-3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26263.489999999991</v>
      </c>
      <c r="I37" s="95"/>
      <c r="J37" s="175">
        <f>H37/DAY(B2)</f>
        <v>847.20935483870937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1162.6900000000023</v>
      </c>
      <c r="I38" s="95"/>
      <c r="J38" s="175">
        <f>H38/DAY(B2)</f>
        <v>37.506129032258137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67803.710000000021</v>
      </c>
      <c r="I39" s="95"/>
      <c r="J39" s="175">
        <f>H39/DAY(B2)</f>
        <v>2187.2164516129037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3886.1899999999441</v>
      </c>
      <c r="I40" s="95"/>
      <c r="J40" s="175">
        <f>H40/DAY(B2)</f>
        <v>125.36096774193368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25946.380000000005</v>
      </c>
      <c r="I41" s="95"/>
      <c r="J41" s="175">
        <f>H41/DAY(B2)</f>
        <v>836.98000000000013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64775.150000000023</v>
      </c>
      <c r="I42" s="95"/>
      <c r="J42" s="175">
        <f>H42/DAY(B2)</f>
        <v>2089.5209677419361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52989.630000000005</v>
      </c>
      <c r="I43" s="95"/>
      <c r="J43" s="175">
        <f>H43/DAY(B2)</f>
        <v>1709.3429032258066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2495</v>
      </c>
      <c r="I44" s="95"/>
      <c r="J44" s="175">
        <f>H44/DAY(B2)</f>
        <v>80.483870967741936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245322.28999999998</v>
      </c>
      <c r="I48" s="95"/>
      <c r="J48" s="175">
        <f>H48/DAY(B2)</f>
        <v>7913.6222580645153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602720.43000000005</v>
      </c>
      <c r="F50" s="145">
        <v>419822</v>
      </c>
      <c r="G50" s="112">
        <f t="shared" ref="G50:G59" si="3">F50-E50</f>
        <v>-182898.43000000005</v>
      </c>
      <c r="H50" s="99">
        <f>G50+'30'!H49</f>
        <v>-65232</v>
      </c>
      <c r="I50" s="95"/>
      <c r="J50" s="175">
        <f>H50/DAY(B2)</f>
        <v>-2104.2580645161293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319554.23</v>
      </c>
      <c r="F51" s="145">
        <v>607298</v>
      </c>
      <c r="G51" s="112">
        <f t="shared" si="3"/>
        <v>287743.77</v>
      </c>
      <c r="H51" s="99">
        <f>G51+'30'!H50</f>
        <v>531181.42999999993</v>
      </c>
      <c r="I51" s="95"/>
      <c r="J51" s="175">
        <f>H51/DAY(B2)</f>
        <v>17134.884838709677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39647.730000000003</v>
      </c>
      <c r="F52" s="145">
        <v>144640</v>
      </c>
      <c r="G52" s="112">
        <f t="shared" si="3"/>
        <v>104992.26999999999</v>
      </c>
      <c r="H52" s="99">
        <f>G52+'30'!H51</f>
        <v>136132</v>
      </c>
      <c r="I52" s="95"/>
      <c r="J52" s="175">
        <f>H52/DAY(B2)</f>
        <v>4391.3548387096771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10</v>
      </c>
      <c r="F53" s="145">
        <v>539606</v>
      </c>
      <c r="G53" s="112">
        <f t="shared" si="3"/>
        <v>539596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163168.19</v>
      </c>
      <c r="F54" s="145">
        <v>434232</v>
      </c>
      <c r="G54" s="112">
        <f t="shared" si="3"/>
        <v>271063.81</v>
      </c>
      <c r="H54" s="99">
        <f>G54+'30'!H53</f>
        <v>400371</v>
      </c>
      <c r="I54" s="95"/>
      <c r="J54" s="175">
        <f>H54/DAY(B2)</f>
        <v>12915.193548387097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95536.6</v>
      </c>
      <c r="F55" s="145">
        <v>14967</v>
      </c>
      <c r="G55" s="112">
        <f t="shared" si="3"/>
        <v>-80569.600000000006</v>
      </c>
      <c r="H55" s="99">
        <f>G55+'30'!H54</f>
        <v>-72976</v>
      </c>
      <c r="I55" s="95"/>
      <c r="J55" s="175">
        <f>H55/DAY(B2)</f>
        <v>-2354.0645161290322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443169.45</v>
      </c>
      <c r="F56" s="145">
        <v>306268.99</v>
      </c>
      <c r="G56" s="112">
        <f t="shared" si="3"/>
        <v>-136900.46000000002</v>
      </c>
      <c r="H56" s="99">
        <f>G56+'30'!H55</f>
        <v>-56508.010000000009</v>
      </c>
      <c r="I56" s="95"/>
      <c r="J56" s="175">
        <f>H56/DAY(B2)</f>
        <v>-1822.8390322580649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126047.69</v>
      </c>
      <c r="F57" s="145">
        <v>661019</v>
      </c>
      <c r="G57" s="112">
        <f t="shared" si="3"/>
        <v>534971.31000000006</v>
      </c>
      <c r="H57" s="99">
        <f>G57+'30'!H56</f>
        <v>537137</v>
      </c>
      <c r="I57" s="95"/>
      <c r="J57" s="175">
        <f>H57/DAY(B2)</f>
        <v>17327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319261.61</v>
      </c>
      <c r="F58" s="145">
        <v>7711</v>
      </c>
      <c r="G58" s="112">
        <f t="shared" si="3"/>
        <v>-311550.61</v>
      </c>
      <c r="H58" s="99">
        <f>G58+'30'!H57</f>
        <v>-218459</v>
      </c>
      <c r="I58" s="95"/>
      <c r="J58" s="175">
        <f>H58/DAY(B2)</f>
        <v>-7047.0645161290322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56553.08</v>
      </c>
      <c r="F59" s="145">
        <v>66014</v>
      </c>
      <c r="G59" s="112">
        <f t="shared" si="3"/>
        <v>9460.9199999999983</v>
      </c>
      <c r="H59" s="99">
        <f>G59+'30'!H58</f>
        <v>16905</v>
      </c>
      <c r="I59" s="95"/>
      <c r="J59" s="175">
        <f>H59/DAY(B2)</f>
        <v>545.32258064516134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1035908.98</v>
      </c>
      <c r="H60" s="99">
        <f>G60+'30'!H59</f>
        <v>1541513.9900000002</v>
      </c>
      <c r="I60" s="95">
        <f>G7-G61</f>
        <v>-1050771.98</v>
      </c>
      <c r="J60" s="175">
        <f>H60/DAY(B2)</f>
        <v>49726.257741935493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1050771.98</v>
      </c>
      <c r="H61" s="99">
        <f>G61+'30'!H60</f>
        <v>1786836.2800000003</v>
      </c>
      <c r="I61" s="95">
        <f>G14-G61</f>
        <v>-1050771.98</v>
      </c>
      <c r="J61" s="175">
        <f>H61/DAY(B2)</f>
        <v>57639.880000000012</v>
      </c>
      <c r="K61" s="79"/>
      <c r="L61" s="66"/>
      <c r="N61" s="87"/>
      <c r="O61" s="71"/>
    </row>
    <row r="62" spans="1:15" s="68" customFormat="1" ht="33" customHeight="1">
      <c r="A62" s="953" t="s">
        <v>332</v>
      </c>
      <c r="B62" s="954"/>
      <c r="C62" s="955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919" t="s">
        <v>198</v>
      </c>
      <c r="B63" s="920"/>
      <c r="C63" s="921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919" t="s">
        <v>199</v>
      </c>
      <c r="B64" s="920"/>
      <c r="C64" s="921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408417.09</v>
      </c>
      <c r="I64" s="118"/>
      <c r="J64" s="175">
        <f>H64/DAY(B2)</f>
        <v>13174.744838709677</v>
      </c>
      <c r="K64" s="69"/>
      <c r="L64" s="66"/>
      <c r="N64" s="87"/>
      <c r="O64" s="71"/>
    </row>
    <row r="65" spans="1:15" ht="33" customHeight="1">
      <c r="A65" s="928" t="s">
        <v>200</v>
      </c>
      <c r="B65" s="929"/>
      <c r="C65" s="930"/>
      <c r="D65" s="151"/>
      <c r="E65" s="122"/>
      <c r="F65" s="122"/>
      <c r="G65" s="112">
        <f>G63+G64</f>
        <v>451111</v>
      </c>
      <c r="H65" s="99">
        <f>G65+'30'!H95</f>
        <v>451119.32066888409</v>
      </c>
      <c r="I65" s="118"/>
      <c r="J65" s="175">
        <f>H65/DAY(B2)</f>
        <v>14552.236150609164</v>
      </c>
      <c r="K65" s="69"/>
      <c r="L65" s="66"/>
      <c r="N65" s="87"/>
      <c r="O65" s="71"/>
    </row>
    <row r="66" spans="1:15" ht="33" customHeight="1">
      <c r="A66" s="919" t="s">
        <v>201</v>
      </c>
      <c r="B66" s="920"/>
      <c r="C66" s="921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616736.92000000004</v>
      </c>
      <c r="I66" s="118"/>
      <c r="J66" s="175">
        <f>H66/DAY(B2)</f>
        <v>19894.739354838712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104643.68492402379</v>
      </c>
      <c r="I67" s="118"/>
      <c r="J67" s="175">
        <f>H67/DAY(B2)</f>
        <v>3375.6027394846383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229677.37999999995</v>
      </c>
      <c r="I68" s="118"/>
      <c r="J68" s="175">
        <f>H68/DAY(B2)</f>
        <v>7408.9477419354826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152140.10112848761</v>
      </c>
      <c r="I69" s="118"/>
      <c r="J69" s="175">
        <f>H69/DAY(B2)</f>
        <v>4907.7451976931488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74780.710000000021</v>
      </c>
      <c r="I70" s="118"/>
      <c r="J70" s="175">
        <f>H70/DAY(B2)</f>
        <v>2412.2809677419364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6375.609579617083</v>
      </c>
      <c r="I71" s="118"/>
      <c r="J71" s="175">
        <f>H71/DAY(B2)</f>
        <v>205.66482514893815</v>
      </c>
      <c r="K71" s="69"/>
      <c r="L71" s="66"/>
      <c r="N71" s="87"/>
      <c r="O71" s="71"/>
    </row>
    <row r="72" spans="1:15" ht="33" customHeight="1">
      <c r="A72" s="928" t="s">
        <v>208</v>
      </c>
      <c r="B72" s="929"/>
      <c r="C72" s="930"/>
      <c r="D72" s="152"/>
      <c r="E72" s="152"/>
      <c r="F72" s="152"/>
      <c r="G72" s="153">
        <f>SUM(G66:G71)</f>
        <v>793178</v>
      </c>
      <c r="H72" s="99">
        <f>G72+'30'!H102</f>
        <v>855577.72</v>
      </c>
      <c r="I72" s="154"/>
      <c r="J72" s="175">
        <f>H72/DAY(B2)</f>
        <v>27599.281290322579</v>
      </c>
      <c r="K72" s="69"/>
      <c r="L72" s="66"/>
      <c r="N72" s="87"/>
      <c r="O72" s="71"/>
    </row>
    <row r="73" spans="1:15" s="88" customFormat="1" ht="33" customHeight="1">
      <c r="A73" s="915"/>
      <c r="B73" s="900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925" t="s">
        <v>333</v>
      </c>
      <c r="B74" s="926"/>
      <c r="C74" s="927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919" t="s">
        <v>220</v>
      </c>
      <c r="B75" s="920"/>
      <c r="C75" s="921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919" t="s">
        <v>221</v>
      </c>
      <c r="B76" s="920"/>
      <c r="C76" s="921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916" t="s">
        <v>222</v>
      </c>
      <c r="B77" s="917"/>
      <c r="C77" s="918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916" t="s">
        <v>223</v>
      </c>
      <c r="B78" s="917"/>
      <c r="C78" s="918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916" t="s">
        <v>224</v>
      </c>
      <c r="B79" s="917"/>
      <c r="C79" s="918"/>
      <c r="D79" s="151" t="s">
        <v>139</v>
      </c>
      <c r="E79" s="95">
        <f>'30'!F128</f>
        <v>141458.06</v>
      </c>
      <c r="F79" s="232">
        <v>9180</v>
      </c>
      <c r="G79" s="112">
        <f t="shared" si="6"/>
        <v>-132278.06</v>
      </c>
      <c r="H79" s="99">
        <f>G79+'30'!H128</f>
        <v>-118464</v>
      </c>
      <c r="I79" s="118"/>
      <c r="J79" s="175">
        <f>H79/DAY(B2)</f>
        <v>-3821.4193548387098</v>
      </c>
      <c r="K79" s="69"/>
      <c r="L79" s="66"/>
      <c r="N79" s="87"/>
      <c r="O79" s="71"/>
    </row>
    <row r="80" spans="1:15" s="57" customFormat="1" ht="33" customHeight="1">
      <c r="A80" s="916" t="s">
        <v>225</v>
      </c>
      <c r="B80" s="917"/>
      <c r="C80" s="918"/>
      <c r="D80" s="151"/>
      <c r="E80" s="117"/>
      <c r="F80" s="117"/>
      <c r="G80" s="112">
        <f>G16-SUM(G75:G79)</f>
        <v>-985614.33999999985</v>
      </c>
      <c r="H80" s="99">
        <f>G80+'30'!H129</f>
        <v>-979754.24999999988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928" t="s">
        <v>329</v>
      </c>
      <c r="B81" s="929"/>
      <c r="C81" s="930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933" t="s">
        <v>226</v>
      </c>
      <c r="B82" s="934"/>
      <c r="C82" s="935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53940.3</v>
      </c>
      <c r="F83" s="122"/>
      <c r="G83" s="112">
        <f t="shared" ref="G83:G93" si="7">F83-E83</f>
        <v>-53940.3</v>
      </c>
      <c r="H83" s="99">
        <f>G83+'30'!H131</f>
        <v>-48449</v>
      </c>
      <c r="I83" s="118"/>
      <c r="J83" s="175">
        <f>H83/DAY(B2)</f>
        <v>-1562.8709677419354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140527.39000000001</v>
      </c>
      <c r="F84" s="122"/>
      <c r="G84" s="112">
        <f t="shared" si="7"/>
        <v>-140527.39000000001</v>
      </c>
      <c r="H84" s="99">
        <f>G84+'30'!H132</f>
        <v>-128174</v>
      </c>
      <c r="I84" s="118"/>
      <c r="J84" s="175">
        <f>H84/DAY(B2)</f>
        <v>-4134.6451612903229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240042.35</v>
      </c>
      <c r="F85" s="164">
        <v>40922</v>
      </c>
      <c r="G85" s="112">
        <f t="shared" si="7"/>
        <v>-199120.35</v>
      </c>
      <c r="H85" s="99">
        <f>G85+'30'!H133</f>
        <v>-181482.57</v>
      </c>
      <c r="I85" s="118"/>
      <c r="J85" s="175">
        <f>H85/DAY(B2)</f>
        <v>-5854.2764516129037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55886.79</v>
      </c>
      <c r="F86" s="164">
        <v>856</v>
      </c>
      <c r="G86" s="112">
        <f t="shared" si="7"/>
        <v>-55030.79</v>
      </c>
      <c r="H86" s="99">
        <f>G86+'30'!H134</f>
        <v>-48179</v>
      </c>
      <c r="I86" s="118">
        <f>G83+G84+G85+G86</f>
        <v>-448618.83</v>
      </c>
      <c r="J86" s="175">
        <f>H86/DAY(B2)</f>
        <v>-1554.1612903225807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70496.300000000017</v>
      </c>
      <c r="I87" s="118"/>
      <c r="J87" s="175">
        <f>H87/DAY(B2)</f>
        <v>2274.0741935483875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894873</v>
      </c>
      <c r="F90" s="164">
        <v>25132.959999999999</v>
      </c>
      <c r="G90" s="112">
        <f t="shared" si="7"/>
        <v>-869740.04</v>
      </c>
      <c r="H90" s="99">
        <f>G90+'30'!H138</f>
        <v>-865978.04</v>
      </c>
      <c r="I90" s="118"/>
      <c r="J90" s="175">
        <f>H90/DAY(B2)</f>
        <v>-27934.77548387097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913438</v>
      </c>
      <c r="F91" s="164">
        <v>70524.55</v>
      </c>
      <c r="G91" s="112">
        <f t="shared" si="7"/>
        <v>-842913.45</v>
      </c>
      <c r="H91" s="99">
        <f>G91+'30'!H139</f>
        <v>-838370.45</v>
      </c>
      <c r="I91" s="118">
        <f>G90+G91</f>
        <v>-1712653.49</v>
      </c>
      <c r="J91" s="175">
        <f>H91/DAY(B2)</f>
        <v>-27044.208064516126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1953</v>
      </c>
      <c r="F92" s="122">
        <v>2627.98</v>
      </c>
      <c r="G92" s="112">
        <f t="shared" si="7"/>
        <v>674.98</v>
      </c>
      <c r="H92" s="99">
        <f>G92+'30'!H140</f>
        <v>1114.98</v>
      </c>
      <c r="I92" s="165"/>
      <c r="J92" s="175">
        <f>H92/DAY(B2)</f>
        <v>35.96709677419355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96602.3</v>
      </c>
      <c r="F93" s="122">
        <v>4754</v>
      </c>
      <c r="G93" s="112">
        <f t="shared" si="7"/>
        <v>-91848.3</v>
      </c>
      <c r="H93" s="99">
        <f>G93+'30'!H141</f>
        <v>-85698</v>
      </c>
      <c r="I93" s="165"/>
      <c r="J93" s="175">
        <f>H93/DAY(B2)</f>
        <v>-2764.4516129032259</v>
      </c>
      <c r="O93" s="71"/>
    </row>
    <row r="94" spans="1:15" ht="33" customHeight="1">
      <c r="A94" s="922" t="s">
        <v>239</v>
      </c>
      <c r="B94" s="923"/>
      <c r="C94" s="924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919" t="s">
        <v>240</v>
      </c>
      <c r="B95" s="920"/>
      <c r="C95" s="921"/>
      <c r="D95" s="151" t="s">
        <v>130</v>
      </c>
      <c r="E95" s="151"/>
      <c r="F95" s="151"/>
      <c r="G95" s="99">
        <f>G36+G44+G50+G58</f>
        <v>-491954.04000000004</v>
      </c>
      <c r="H95" s="99">
        <f>G95+'30'!H143</f>
        <v>-491150.74000000005</v>
      </c>
      <c r="I95" s="118"/>
      <c r="J95" s="175">
        <f>H95/DAY(B2)</f>
        <v>-15843.572258064518</v>
      </c>
      <c r="K95" s="69"/>
      <c r="L95" s="66"/>
      <c r="O95" s="71"/>
    </row>
    <row r="96" spans="1:15" ht="33" customHeight="1">
      <c r="A96" s="919" t="s">
        <v>241</v>
      </c>
      <c r="B96" s="920"/>
      <c r="C96" s="921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919" t="s">
        <v>242</v>
      </c>
      <c r="B97" s="920"/>
      <c r="C97" s="921"/>
      <c r="D97" s="151" t="s">
        <v>130</v>
      </c>
      <c r="E97" s="95"/>
      <c r="F97" s="95"/>
      <c r="G97" s="99">
        <f>G42+G43+G56+G57</f>
        <v>402675.85000000003</v>
      </c>
      <c r="H97" s="99">
        <f>G97+'30'!H145</f>
        <v>404111.95</v>
      </c>
      <c r="I97" s="118"/>
      <c r="J97" s="175">
        <f>H97/DAY(B2)</f>
        <v>13035.869354838711</v>
      </c>
      <c r="K97" s="69"/>
      <c r="L97" s="66"/>
      <c r="O97" s="71"/>
    </row>
    <row r="98" spans="1:15" ht="33" customHeight="1">
      <c r="A98" s="919" t="s">
        <v>243</v>
      </c>
      <c r="B98" s="920"/>
      <c r="C98" s="921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919" t="s">
        <v>244</v>
      </c>
      <c r="B99" s="920"/>
      <c r="C99" s="921"/>
      <c r="D99" s="151" t="s">
        <v>130</v>
      </c>
      <c r="E99" s="95"/>
      <c r="F99" s="95"/>
      <c r="G99" s="99">
        <f>G40+G54</f>
        <v>274949.81</v>
      </c>
      <c r="H99" s="99">
        <f>G99+'30'!H147</f>
        <v>286458.81</v>
      </c>
      <c r="I99" s="168"/>
      <c r="J99" s="175">
        <f>H99/DAY(B2)</f>
        <v>9240.6067741935476</v>
      </c>
      <c r="K99" s="69"/>
      <c r="L99" s="66"/>
      <c r="O99" s="71"/>
    </row>
    <row r="100" spans="1:15" ht="33" customHeight="1">
      <c r="A100" s="919" t="s">
        <v>245</v>
      </c>
      <c r="B100" s="920"/>
      <c r="C100" s="921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919" t="s">
        <v>246</v>
      </c>
      <c r="B101" s="920"/>
      <c r="C101" s="921"/>
      <c r="D101" s="151" t="s">
        <v>180</v>
      </c>
      <c r="E101" s="95"/>
      <c r="F101" s="95"/>
      <c r="G101" s="99">
        <f>G39+G53</f>
        <v>541264</v>
      </c>
      <c r="H101" s="99">
        <f>G101+'30'!H149</f>
        <v>554692.5</v>
      </c>
      <c r="I101" s="118"/>
      <c r="J101" s="175">
        <f>H101/DAY(B2)</f>
        <v>17893.306451612902</v>
      </c>
      <c r="K101" s="70"/>
      <c r="O101" s="71"/>
    </row>
    <row r="102" spans="1:15" ht="33" customHeight="1">
      <c r="A102" s="919" t="s">
        <v>247</v>
      </c>
      <c r="B102" s="920"/>
      <c r="C102" s="921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919" t="s">
        <v>248</v>
      </c>
      <c r="B103" s="920"/>
      <c r="C103" s="921"/>
      <c r="D103" s="151" t="s">
        <v>180</v>
      </c>
      <c r="E103" s="95"/>
      <c r="F103" s="95"/>
      <c r="G103" s="99">
        <f>G37+G51</f>
        <v>288411.77</v>
      </c>
      <c r="H103" s="99">
        <f>G103+'30'!H156</f>
        <v>291534.77</v>
      </c>
      <c r="I103" s="168"/>
      <c r="J103" s="175">
        <f>H103/DAY(B2)</f>
        <v>9404.3474193548391</v>
      </c>
      <c r="O103" s="71"/>
    </row>
    <row r="104" spans="1:15" ht="33" customHeight="1">
      <c r="A104" s="919" t="s">
        <v>249</v>
      </c>
      <c r="B104" s="920"/>
      <c r="C104" s="921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919" t="s">
        <v>250</v>
      </c>
      <c r="B105" s="920"/>
      <c r="C105" s="921"/>
      <c r="D105" s="151" t="s">
        <v>180</v>
      </c>
      <c r="E105" s="95"/>
      <c r="F105" s="95"/>
      <c r="G105" s="99">
        <f>G38+G52</f>
        <v>106155.26999999999</v>
      </c>
      <c r="H105" s="99">
        <f>G105+'30'!H161</f>
        <v>106895.26999999999</v>
      </c>
      <c r="I105" s="118"/>
      <c r="J105" s="175">
        <f>H105/DAY(B2)</f>
        <v>3448.2345161290318</v>
      </c>
      <c r="O105" s="71"/>
    </row>
    <row r="106" spans="1:15" ht="33" customHeight="1" thickBot="1">
      <c r="A106" s="912" t="s">
        <v>251</v>
      </c>
      <c r="B106" s="913"/>
      <c r="C106" s="914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908" t="s">
        <v>324</v>
      </c>
      <c r="B109" s="908"/>
      <c r="C109" s="908"/>
      <c r="D109" s="908"/>
      <c r="E109" s="908"/>
      <c r="F109" s="908"/>
      <c r="G109" s="908"/>
      <c r="H109" s="908"/>
      <c r="I109" s="908"/>
      <c r="J109" s="908"/>
    </row>
    <row r="110" spans="1:15" ht="33" customHeight="1">
      <c r="A110" s="936"/>
      <c r="B110" s="936"/>
    </row>
    <row r="111" spans="1:15" ht="33" customHeight="1">
      <c r="A111" s="909" t="s">
        <v>165</v>
      </c>
      <c r="B111" s="910"/>
      <c r="C111" s="910"/>
      <c r="D111" s="910"/>
      <c r="E111" s="910"/>
      <c r="F111" s="910"/>
      <c r="G111" s="910"/>
      <c r="H111" s="910"/>
      <c r="I111" s="910"/>
      <c r="J111" s="911"/>
    </row>
    <row r="112" spans="1:15" ht="33" customHeight="1">
      <c r="A112" s="902"/>
      <c r="B112" s="903"/>
      <c r="C112" s="904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898" t="s">
        <v>252</v>
      </c>
      <c r="B113" s="899"/>
      <c r="C113" s="900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898" t="s">
        <v>253</v>
      </c>
      <c r="B114" s="899"/>
      <c r="C114" s="900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898" t="s">
        <v>254</v>
      </c>
      <c r="B115" s="899"/>
      <c r="C115" s="900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898" t="s">
        <v>255</v>
      </c>
      <c r="B116" s="899"/>
      <c r="C116" s="900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905" t="s">
        <v>96</v>
      </c>
      <c r="B117" s="906"/>
      <c r="C117" s="907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44989</v>
      </c>
      <c r="I117" s="165"/>
      <c r="J117" s="328" t="e">
        <f t="shared" si="9"/>
        <v>#DIV/0!</v>
      </c>
      <c r="Q117" s="898"/>
      <c r="R117" s="900"/>
    </row>
    <row r="118" spans="1:18" ht="33" customHeight="1">
      <c r="A118" s="905" t="s">
        <v>184</v>
      </c>
      <c r="B118" s="906"/>
      <c r="C118" s="907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45325</v>
      </c>
      <c r="I118" s="165"/>
      <c r="J118" s="328" t="e">
        <f t="shared" si="9"/>
        <v>#DIV/0!</v>
      </c>
      <c r="Q118" s="898"/>
      <c r="R118" s="900"/>
    </row>
    <row r="119" spans="1:18" ht="33" customHeight="1">
      <c r="A119" s="897" t="s">
        <v>97</v>
      </c>
      <c r="B119" s="897"/>
      <c r="C119" s="897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45259</v>
      </c>
      <c r="I119" s="165"/>
      <c r="J119" s="328" t="e">
        <f t="shared" si="9"/>
        <v>#DIV/0!</v>
      </c>
      <c r="Q119" s="898"/>
      <c r="R119" s="900"/>
    </row>
    <row r="120" spans="1:18" ht="33" customHeight="1">
      <c r="A120" s="897" t="s">
        <v>98</v>
      </c>
      <c r="B120" s="897"/>
      <c r="C120" s="897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45707</v>
      </c>
      <c r="I120" s="165"/>
      <c r="J120" s="328" t="e">
        <f t="shared" si="9"/>
        <v>#DIV/0!</v>
      </c>
    </row>
    <row r="121" spans="1:18" ht="33" customHeight="1">
      <c r="A121" s="897" t="s">
        <v>99</v>
      </c>
      <c r="B121" s="897"/>
      <c r="C121" s="897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897" t="s">
        <v>100</v>
      </c>
      <c r="B122" s="897"/>
      <c r="C122" s="897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47219</v>
      </c>
      <c r="I122" s="165"/>
      <c r="J122" s="328" t="e">
        <f t="shared" si="9"/>
        <v>#DIV/0!</v>
      </c>
    </row>
    <row r="123" spans="1:18" ht="33" customHeight="1">
      <c r="A123" s="897" t="s">
        <v>101</v>
      </c>
      <c r="B123" s="897"/>
      <c r="C123" s="897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45016</v>
      </c>
      <c r="I123" s="165"/>
      <c r="J123" s="328" t="e">
        <f t="shared" si="9"/>
        <v>#DIV/0!</v>
      </c>
    </row>
    <row r="124" spans="1:18" ht="33" customHeight="1">
      <c r="A124" s="897" t="s">
        <v>102</v>
      </c>
      <c r="B124" s="897"/>
      <c r="C124" s="897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45133</v>
      </c>
      <c r="I124" s="165"/>
      <c r="J124" s="328" t="e">
        <f t="shared" si="9"/>
        <v>#DIV/0!</v>
      </c>
    </row>
    <row r="125" spans="1:18" ht="33" customHeight="1">
      <c r="A125" s="902"/>
      <c r="B125" s="903"/>
      <c r="C125" s="904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885"/>
      <c r="B126" s="885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901" t="s">
        <v>317</v>
      </c>
      <c r="B127" s="901"/>
      <c r="C127" s="901"/>
      <c r="D127" s="901"/>
      <c r="E127" s="901"/>
      <c r="F127" s="901"/>
      <c r="G127" s="901"/>
      <c r="H127" s="901"/>
      <c r="I127" s="901"/>
      <c r="J127" s="901"/>
    </row>
    <row r="128" spans="1:18" ht="33" customHeight="1">
      <c r="A128" s="885"/>
      <c r="B128" s="885"/>
      <c r="C128" s="245"/>
      <c r="D128" s="307"/>
      <c r="E128" s="308"/>
      <c r="F128" s="308"/>
      <c r="G128" s="309"/>
      <c r="H128" s="99">
        <f>G128+'30'!H184</f>
        <v>214</v>
      </c>
      <c r="I128" s="165"/>
      <c r="J128" s="328" t="e">
        <f t="shared" ref="J128:J136" si="10">H128/DAY(B47)</f>
        <v>#DIV/0!</v>
      </c>
    </row>
    <row r="129" spans="1:15" ht="33" customHeight="1">
      <c r="A129" s="898" t="s">
        <v>318</v>
      </c>
      <c r="B129" s="899"/>
      <c r="C129" s="900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412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4639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898" t="s">
        <v>321</v>
      </c>
      <c r="B132" s="899"/>
      <c r="C132" s="900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2355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898" t="s">
        <v>322</v>
      </c>
      <c r="B133" s="899"/>
      <c r="C133" s="900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1060</v>
      </c>
      <c r="I133" s="165"/>
      <c r="J133" s="328" t="e">
        <f t="shared" si="10"/>
        <v>#DIV/0!</v>
      </c>
    </row>
    <row r="134" spans="1:15" ht="33" customHeight="1">
      <c r="A134" s="898" t="s">
        <v>323</v>
      </c>
      <c r="B134" s="899"/>
      <c r="C134" s="900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902"/>
      <c r="B135" s="903"/>
      <c r="C135" s="904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902"/>
      <c r="B136" s="903"/>
      <c r="C136" s="904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884" t="s">
        <v>325</v>
      </c>
      <c r="B137" s="884"/>
      <c r="C137" s="884"/>
      <c r="D137" s="884"/>
      <c r="E137" s="884"/>
      <c r="F137" s="884"/>
      <c r="G137" s="884"/>
      <c r="H137" s="884"/>
      <c r="I137" s="884"/>
      <c r="J137" s="884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897" t="s">
        <v>185</v>
      </c>
      <c r="B139" s="897"/>
      <c r="C139" s="897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897" t="s">
        <v>186</v>
      </c>
      <c r="B140" s="897"/>
      <c r="C140" s="897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897" t="s">
        <v>187</v>
      </c>
      <c r="B141" s="897"/>
      <c r="C141" s="897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876" t="s">
        <v>188</v>
      </c>
      <c r="B142" s="876"/>
      <c r="C142" s="876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876" t="s">
        <v>189</v>
      </c>
      <c r="B143" s="876"/>
      <c r="C143" s="876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897" t="s">
        <v>190</v>
      </c>
      <c r="B144" s="897"/>
      <c r="C144" s="897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932" t="s">
        <v>191</v>
      </c>
      <c r="B145" s="917"/>
      <c r="C145" s="918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876" t="s">
        <v>90</v>
      </c>
      <c r="B146" s="876"/>
      <c r="C146" s="876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876" t="s">
        <v>192</v>
      </c>
      <c r="B147" s="876"/>
      <c r="C147" s="876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876" t="s">
        <v>193</v>
      </c>
      <c r="B148" s="876"/>
      <c r="C148" s="876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876" t="s">
        <v>91</v>
      </c>
      <c r="B149" s="876"/>
      <c r="C149" s="876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876" t="s">
        <v>194</v>
      </c>
      <c r="B150" s="876"/>
      <c r="C150" s="876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884" t="s">
        <v>326</v>
      </c>
      <c r="B153" s="884"/>
      <c r="C153" s="884"/>
      <c r="D153" s="884"/>
      <c r="E153" s="884"/>
      <c r="F153" s="884"/>
      <c r="G153" s="884"/>
      <c r="H153" s="884"/>
      <c r="I153" s="884"/>
      <c r="J153" s="884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885" t="s">
        <v>328</v>
      </c>
      <c r="B159" s="885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885" t="s">
        <v>327</v>
      </c>
      <c r="B160" s="885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885" t="s">
        <v>328</v>
      </c>
      <c r="B161" s="885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886" t="s">
        <v>330</v>
      </c>
      <c r="B164" s="887"/>
      <c r="C164" s="887"/>
      <c r="D164" s="887"/>
      <c r="E164" s="887"/>
      <c r="F164" s="887"/>
      <c r="G164" s="887"/>
      <c r="H164" s="887"/>
      <c r="I164" s="887"/>
      <c r="J164" s="888"/>
    </row>
    <row r="165" spans="1:10" ht="33" customHeight="1">
      <c r="A165" s="895"/>
      <c r="B165" s="896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891" t="s">
        <v>209</v>
      </c>
      <c r="B166" s="892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891" t="s">
        <v>75</v>
      </c>
      <c r="B167" s="892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891" t="s">
        <v>76</v>
      </c>
      <c r="B168" s="931"/>
      <c r="C168" s="892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891" t="s">
        <v>196</v>
      </c>
      <c r="B169" s="892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891" t="s">
        <v>77</v>
      </c>
      <c r="B170" s="892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891" t="s">
        <v>210</v>
      </c>
      <c r="B171" s="892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891" t="s">
        <v>211</v>
      </c>
      <c r="B172" s="892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891" t="s">
        <v>212</v>
      </c>
      <c r="B173" s="892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882" t="s">
        <v>108</v>
      </c>
      <c r="B174" s="883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891" t="s">
        <v>213</v>
      </c>
      <c r="B175" s="892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891" t="s">
        <v>214</v>
      </c>
      <c r="B176" s="892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891" t="s">
        <v>215</v>
      </c>
      <c r="B177" s="892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891" t="s">
        <v>216</v>
      </c>
      <c r="B178" s="892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891" t="s">
        <v>196</v>
      </c>
      <c r="B179" s="892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882" t="s">
        <v>217</v>
      </c>
      <c r="B180" s="883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882" t="s">
        <v>218</v>
      </c>
      <c r="B181" s="883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882" t="s">
        <v>219</v>
      </c>
      <c r="B182" s="883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882"/>
      <c r="B183" s="883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2022-05-15T06:01:40Z</cp:lastPrinted>
  <dcterms:created xsi:type="dcterms:W3CDTF">2013-11-14T06:06:34Z</dcterms:created>
  <dcterms:modified xsi:type="dcterms:W3CDTF">2022-09-03T09:30:38Z</dcterms:modified>
</cp:coreProperties>
</file>