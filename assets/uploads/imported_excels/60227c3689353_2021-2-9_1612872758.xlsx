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2 au 29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01.02 au 29.01'!$A$1:$AE$49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4" i="6" l="1"/>
  <c r="E24" i="6"/>
  <c r="C24" i="6"/>
  <c r="M19" i="4"/>
  <c r="J19" i="4"/>
  <c r="K19" i="4" s="1"/>
  <c r="M18" i="4"/>
  <c r="K18" i="4"/>
  <c r="J18" i="4"/>
  <c r="G23" i="6" l="1"/>
  <c r="E23" i="6"/>
  <c r="C23" i="6"/>
  <c r="G22" i="6"/>
  <c r="E22" i="6"/>
  <c r="C22" i="6"/>
  <c r="G17" i="4"/>
  <c r="E17" i="4"/>
  <c r="C17" i="4"/>
  <c r="G21" i="6" l="1"/>
  <c r="E21" i="6"/>
  <c r="C21" i="6"/>
  <c r="G20" i="6"/>
  <c r="E20" i="6"/>
  <c r="C20" i="6"/>
  <c r="G19" i="6"/>
  <c r="E19" i="6"/>
  <c r="C19" i="6"/>
  <c r="G16" i="4"/>
  <c r="E16" i="4"/>
  <c r="C16" i="4"/>
  <c r="G14" i="4"/>
  <c r="E14" i="4"/>
  <c r="C14" i="4"/>
  <c r="E13" i="4"/>
  <c r="G18" i="6" l="1"/>
  <c r="E18" i="6"/>
  <c r="C18" i="6"/>
  <c r="M13" i="4"/>
  <c r="J13" i="4"/>
  <c r="K13" i="4" s="1"/>
  <c r="M12" i="4"/>
  <c r="J12" i="4"/>
  <c r="K12" i="4" s="1"/>
  <c r="P20" i="4" l="1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Z43" i="4"/>
  <c r="W43" i="4"/>
  <c r="T43" i="4"/>
  <c r="Q43" i="4"/>
  <c r="G17" i="6"/>
  <c r="G48" i="6" s="1"/>
  <c r="E17" i="6"/>
  <c r="E48" i="6" s="1"/>
  <c r="C17" i="6"/>
  <c r="C48" i="6" s="1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E25" i="6"/>
  <c r="G25" i="6"/>
  <c r="E26" i="6"/>
  <c r="G26" i="6"/>
  <c r="E27" i="6"/>
  <c r="G27" i="6"/>
  <c r="E28" i="6"/>
  <c r="G28" i="6"/>
  <c r="E29" i="6"/>
  <c r="G29" i="6"/>
  <c r="E30" i="6"/>
  <c r="G30" i="6"/>
  <c r="E31" i="6"/>
  <c r="G31" i="6"/>
  <c r="E32" i="6"/>
  <c r="G32" i="6"/>
  <c r="E33" i="6"/>
  <c r="G33" i="6"/>
  <c r="E34" i="6"/>
  <c r="G34" i="6"/>
  <c r="E35" i="6"/>
  <c r="G35" i="6"/>
  <c r="E36" i="6"/>
  <c r="G36" i="6"/>
  <c r="E37" i="6"/>
  <c r="G37" i="6"/>
  <c r="E38" i="6"/>
  <c r="G38" i="6"/>
  <c r="E39" i="6"/>
  <c r="G39" i="6"/>
  <c r="E40" i="6"/>
  <c r="G40" i="6"/>
  <c r="E41" i="6"/>
  <c r="G41" i="6"/>
  <c r="E42" i="6"/>
  <c r="G42" i="6"/>
  <c r="E43" i="6"/>
  <c r="G43" i="6"/>
  <c r="E44" i="6"/>
  <c r="G44" i="6"/>
  <c r="E45" i="6"/>
  <c r="G45" i="6"/>
  <c r="E46" i="6"/>
  <c r="G46" i="6"/>
  <c r="E47" i="6"/>
  <c r="G4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2" i="4"/>
  <c r="E32" i="4"/>
  <c r="G32" i="4"/>
  <c r="C33" i="4"/>
  <c r="E33" i="4"/>
  <c r="G33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K4" i="4"/>
  <c r="J4" i="4"/>
  <c r="M37" i="4" l="1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M28" i="4" l="1"/>
  <c r="J28" i="4"/>
  <c r="K28" i="4" s="1"/>
  <c r="M27" i="4"/>
  <c r="J27" i="4"/>
  <c r="K27" i="4" s="1"/>
  <c r="M26" i="4"/>
  <c r="J26" i="4"/>
  <c r="K26" i="4" s="1"/>
  <c r="M17" i="4" l="1"/>
  <c r="J17" i="4"/>
  <c r="K17" i="4" s="1"/>
  <c r="D14" i="10" l="1"/>
  <c r="D13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10" i="10"/>
  <c r="J10" i="10"/>
  <c r="D10" i="10"/>
  <c r="K41" i="10" l="1"/>
  <c r="J11" i="10"/>
  <c r="J41" i="10" s="1"/>
  <c r="D11" i="10"/>
  <c r="D41" i="10" s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I19" i="4" l="1"/>
  <c r="G19" i="4"/>
  <c r="E19" i="4"/>
  <c r="L19" i="4"/>
  <c r="N19" i="4" s="1"/>
  <c r="O19" i="4" s="1"/>
  <c r="P19" i="4" s="1"/>
  <c r="C19" i="4"/>
  <c r="I20" i="6"/>
  <c r="L14" i="10" s="1"/>
  <c r="M14" i="4" l="1"/>
  <c r="J14" i="4"/>
  <c r="K14" i="4" s="1"/>
  <c r="L13" i="4" s="1"/>
  <c r="N13" i="4" s="1"/>
  <c r="O13" i="4" s="1"/>
  <c r="P13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I18" i="4" l="1"/>
  <c r="G18" i="4"/>
  <c r="E18" i="4"/>
  <c r="C18" i="4"/>
  <c r="G12" i="4"/>
  <c r="E12" i="4"/>
  <c r="C12" i="4"/>
  <c r="I12" i="4"/>
  <c r="AC43" i="4"/>
  <c r="G36" i="4"/>
  <c r="C36" i="4"/>
  <c r="E36" i="4"/>
  <c r="C35" i="4"/>
  <c r="E35" i="4"/>
  <c r="G35" i="4"/>
  <c r="G34" i="4"/>
  <c r="C34" i="4"/>
  <c r="E34" i="4"/>
  <c r="C29" i="4"/>
  <c r="E29" i="4"/>
  <c r="G29" i="4"/>
  <c r="C23" i="4"/>
  <c r="E23" i="4"/>
  <c r="G23" i="4"/>
  <c r="G28" i="4"/>
  <c r="C28" i="4"/>
  <c r="E28" i="4"/>
  <c r="G22" i="4"/>
  <c r="C22" i="4"/>
  <c r="E22" i="4"/>
  <c r="C27" i="4"/>
  <c r="E27" i="4"/>
  <c r="G27" i="4"/>
  <c r="C21" i="4"/>
  <c r="E21" i="4"/>
  <c r="G21" i="4"/>
  <c r="G26" i="4"/>
  <c r="C26" i="4"/>
  <c r="E26" i="4"/>
  <c r="G20" i="4"/>
  <c r="C20" i="4"/>
  <c r="E20" i="4"/>
  <c r="C31" i="4"/>
  <c r="E31" i="4"/>
  <c r="G31" i="4"/>
  <c r="C25" i="4"/>
  <c r="E25" i="4"/>
  <c r="G25" i="4"/>
  <c r="G30" i="4"/>
  <c r="C30" i="4"/>
  <c r="E30" i="4"/>
  <c r="G24" i="4"/>
  <c r="C24" i="4"/>
  <c r="E24" i="4"/>
  <c r="E7" i="4"/>
  <c r="L7" i="4"/>
  <c r="N7" i="4" s="1"/>
  <c r="O7" i="4" s="1"/>
  <c r="P7" i="4" s="1"/>
  <c r="C7" i="4"/>
  <c r="I7" i="4"/>
  <c r="G7" i="4"/>
  <c r="I9" i="4"/>
  <c r="G9" i="4"/>
  <c r="E9" i="4"/>
  <c r="L9" i="4"/>
  <c r="N9" i="4" s="1"/>
  <c r="O9" i="4" s="1"/>
  <c r="P9" i="4" s="1"/>
  <c r="C9" i="4"/>
  <c r="L6" i="4"/>
  <c r="N6" i="4" s="1"/>
  <c r="O6" i="4" s="1"/>
  <c r="P6" i="4" s="1"/>
  <c r="C6" i="4"/>
  <c r="I6" i="4"/>
  <c r="G6" i="4"/>
  <c r="E6" i="4"/>
  <c r="I10" i="4"/>
  <c r="G10" i="4"/>
  <c r="E10" i="4"/>
  <c r="L10" i="4"/>
  <c r="N10" i="4" s="1"/>
  <c r="O10" i="4" s="1"/>
  <c r="P10" i="4" s="1"/>
  <c r="C10" i="4"/>
  <c r="G8" i="4"/>
  <c r="E8" i="4"/>
  <c r="L8" i="4"/>
  <c r="N8" i="4" s="1"/>
  <c r="O8" i="4" s="1"/>
  <c r="P8" i="4" s="1"/>
  <c r="C8" i="4"/>
  <c r="I8" i="4"/>
  <c r="I11" i="4"/>
  <c r="G11" i="4"/>
  <c r="G43" i="4" s="1"/>
  <c r="E11" i="4"/>
  <c r="E43" i="4" s="1"/>
  <c r="L11" i="4"/>
  <c r="N11" i="4" s="1"/>
  <c r="C11" i="4"/>
  <c r="I5" i="4"/>
  <c r="G5" i="4"/>
  <c r="E5" i="4"/>
  <c r="L5" i="4"/>
  <c r="N5" i="4" s="1"/>
  <c r="O5" i="4" s="1"/>
  <c r="P5" i="4" s="1"/>
  <c r="C5" i="4"/>
  <c r="L33" i="4"/>
  <c r="N33" i="4" s="1"/>
  <c r="O33" i="4" s="1"/>
  <c r="I33" i="4"/>
  <c r="I30" i="4"/>
  <c r="L34" i="4"/>
  <c r="N34" i="4" s="1"/>
  <c r="O34" i="4" s="1"/>
  <c r="I34" i="4"/>
  <c r="I32" i="4"/>
  <c r="L32" i="4"/>
  <c r="N32" i="4" s="1"/>
  <c r="O32" i="4" s="1"/>
  <c r="I36" i="4"/>
  <c r="L36" i="4"/>
  <c r="N36" i="4" s="1"/>
  <c r="O36" i="4" s="1"/>
  <c r="I35" i="4"/>
  <c r="I37" i="4"/>
  <c r="I31" i="4"/>
  <c r="L31" i="4"/>
  <c r="N31" i="4" s="1"/>
  <c r="O31" i="4" s="1"/>
  <c r="I28" i="4"/>
  <c r="I27" i="4"/>
  <c r="L27" i="4"/>
  <c r="N27" i="4" s="1"/>
  <c r="O27" i="4" s="1"/>
  <c r="I26" i="4"/>
  <c r="I17" i="4"/>
  <c r="L17" i="4"/>
  <c r="N17" i="4" s="1"/>
  <c r="O17" i="4" s="1"/>
  <c r="P17" i="4" s="1"/>
  <c r="I40" i="4"/>
  <c r="I39" i="4"/>
  <c r="L39" i="4"/>
  <c r="N39" i="4" s="1"/>
  <c r="O39" i="4" s="1"/>
  <c r="I41" i="4"/>
  <c r="I14" i="4"/>
  <c r="C43" i="4" l="1"/>
  <c r="O11" i="4"/>
  <c r="P11" i="4" s="1"/>
  <c r="U38" i="10"/>
  <c r="W38" i="10" s="1"/>
  <c r="U33" i="10"/>
  <c r="W33" i="10" s="1"/>
  <c r="U30" i="10"/>
  <c r="W30" i="10" s="1"/>
  <c r="U35" i="10"/>
  <c r="W35" i="10" s="1"/>
  <c r="U31" i="10"/>
  <c r="W31" i="10" s="1"/>
  <c r="U32" i="10"/>
  <c r="W32" i="10" s="1"/>
  <c r="U26" i="10"/>
  <c r="W26" i="10" s="1"/>
  <c r="U16" i="10"/>
  <c r="W16" i="10" s="1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17" i="6"/>
  <c r="I18" i="6"/>
  <c r="L12" i="10" s="1"/>
  <c r="I19" i="6"/>
  <c r="L13" i="10" s="1"/>
  <c r="L11" i="10" l="1"/>
  <c r="L41" i="10" s="1"/>
  <c r="I48" i="6"/>
  <c r="I20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P14" i="4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M29" i="4"/>
  <c r="AD29" i="4"/>
  <c r="AE29" i="4"/>
  <c r="AD30" i="4"/>
  <c r="L30" i="4" s="1"/>
  <c r="N30" i="4" s="1"/>
  <c r="O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AE35" i="4"/>
  <c r="AD36" i="4"/>
  <c r="AE36" i="4"/>
  <c r="AD37" i="4"/>
  <c r="AE37" i="4"/>
  <c r="J38" i="4"/>
  <c r="K38" i="4" s="1"/>
  <c r="L37" i="4" s="1"/>
  <c r="N37" i="4" s="1"/>
  <c r="O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18" i="4" l="1"/>
  <c r="N18" i="4" s="1"/>
  <c r="O18" i="4" s="1"/>
  <c r="P18" i="4" s="1"/>
  <c r="L12" i="4"/>
  <c r="N12" i="4" s="1"/>
  <c r="I3" i="13"/>
  <c r="Y41" i="10"/>
  <c r="L10" i="10"/>
  <c r="U13" i="10"/>
  <c r="W13" i="10" s="1"/>
  <c r="I4" i="4"/>
  <c r="G4" i="4"/>
  <c r="E4" i="4"/>
  <c r="L4" i="4"/>
  <c r="N4" i="4" s="1"/>
  <c r="O4" i="4" s="1"/>
  <c r="P4" i="4" s="1"/>
  <c r="C4" i="4"/>
  <c r="U40" i="10"/>
  <c r="W40" i="10" s="1"/>
  <c r="U36" i="10"/>
  <c r="W36" i="10" s="1"/>
  <c r="U29" i="10"/>
  <c r="W29" i="10" s="1"/>
  <c r="U34" i="10"/>
  <c r="W34" i="10" s="1"/>
  <c r="U27" i="10"/>
  <c r="W27" i="10" s="1"/>
  <c r="L26" i="4"/>
  <c r="N26" i="4" s="1"/>
  <c r="O26" i="4" s="1"/>
  <c r="L40" i="4"/>
  <c r="N40" i="4" s="1"/>
  <c r="O40" i="4" s="1"/>
  <c r="U10" i="10"/>
  <c r="K48" i="4"/>
  <c r="L48" i="4" s="1"/>
  <c r="M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I21" i="4"/>
  <c r="I15" i="4"/>
  <c r="I43" i="4" s="1"/>
  <c r="M40" i="10"/>
  <c r="Z38" i="10"/>
  <c r="L24" i="4"/>
  <c r="N24" i="4" s="1"/>
  <c r="O24" i="4" s="1"/>
  <c r="L21" i="4"/>
  <c r="N21" i="4" s="1"/>
  <c r="O21" i="4" s="1"/>
  <c r="Z34" i="10"/>
  <c r="L23" i="4"/>
  <c r="N23" i="4" s="1"/>
  <c r="O23" i="4" s="1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P15" i="4" s="1"/>
  <c r="Z40" i="10"/>
  <c r="F39" i="10"/>
  <c r="F24" i="10"/>
  <c r="F40" i="10"/>
  <c r="L38" i="4"/>
  <c r="N38" i="4" s="1"/>
  <c r="O38" i="4" s="1"/>
  <c r="L29" i="4"/>
  <c r="N29" i="4" s="1"/>
  <c r="O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I38" i="4"/>
  <c r="I22" i="4"/>
  <c r="L22" i="4"/>
  <c r="N22" i="4" s="1"/>
  <c r="O22" i="4" s="1"/>
  <c r="F34" i="10"/>
  <c r="D5" i="6"/>
  <c r="L20" i="4"/>
  <c r="N20" i="4" s="1"/>
  <c r="O20" i="4" s="1"/>
  <c r="L16" i="4"/>
  <c r="N16" i="4" s="1"/>
  <c r="O16" i="4" s="1"/>
  <c r="P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Z41" i="10" l="1"/>
  <c r="E3" i="13"/>
  <c r="F41" i="10"/>
  <c r="O41" i="10"/>
  <c r="W10" i="10"/>
  <c r="O12" i="4"/>
  <c r="N43" i="4"/>
  <c r="U19" i="10"/>
  <c r="W19" i="10" s="1"/>
  <c r="U22" i="10"/>
  <c r="W22" i="10" s="1"/>
  <c r="AJ22" i="10" s="1"/>
  <c r="AK22" i="10" s="1"/>
  <c r="U12" i="10"/>
  <c r="W12" i="10" s="1"/>
  <c r="U15" i="10"/>
  <c r="W15" i="10" s="1"/>
  <c r="U20" i="10"/>
  <c r="W20" i="10" s="1"/>
  <c r="U24" i="10"/>
  <c r="W24" i="10" s="1"/>
  <c r="AJ24" i="10" s="1"/>
  <c r="AK24" i="10" s="1"/>
  <c r="U21" i="10"/>
  <c r="W21" i="10" s="1"/>
  <c r="U23" i="10"/>
  <c r="W23" i="10" s="1"/>
  <c r="U25" i="10"/>
  <c r="W25" i="10" s="1"/>
  <c r="U37" i="10"/>
  <c r="W37" i="10" s="1"/>
  <c r="U39" i="10"/>
  <c r="W39" i="10" s="1"/>
  <c r="U28" i="10"/>
  <c r="W28" i="10" s="1"/>
  <c r="U18" i="10"/>
  <c r="W18" i="10" s="1"/>
  <c r="U17" i="10"/>
  <c r="W17" i="10" s="1"/>
  <c r="U14" i="10"/>
  <c r="W14" i="10" s="1"/>
  <c r="AJ28" i="10"/>
  <c r="AK28" i="10" s="1"/>
  <c r="AJ38" i="10"/>
  <c r="AK38" i="10" s="1"/>
  <c r="AJ20" i="10"/>
  <c r="AK20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M35" i="10"/>
  <c r="E27" i="13" s="1"/>
  <c r="O16" i="10"/>
  <c r="G45" i="10"/>
  <c r="J45" i="10" s="1"/>
  <c r="M39" i="10"/>
  <c r="O39" i="10"/>
  <c r="M29" i="10"/>
  <c r="E21" i="13" s="1"/>
  <c r="M18" i="10"/>
  <c r="E10" i="13" s="1"/>
  <c r="M12" i="10"/>
  <c r="E4" i="13" s="1"/>
  <c r="F23" i="10"/>
  <c r="K15" i="13"/>
  <c r="B14" i="10"/>
  <c r="G43" i="10"/>
  <c r="J43" i="10" s="1"/>
  <c r="M15" i="10"/>
  <c r="E7" i="13" s="1"/>
  <c r="M41" i="10" l="1"/>
  <c r="P12" i="4"/>
  <c r="U11" i="10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11" i="10" l="1"/>
  <c r="W41" i="10" s="1"/>
  <c r="U41" i="10"/>
  <c r="G2" i="13"/>
  <c r="O2" i="13" s="1"/>
  <c r="AJ14" i="10"/>
  <c r="AK14" i="10" s="1"/>
  <c r="O7" i="13"/>
  <c r="O30" i="13" s="1"/>
  <c r="AJ11" i="10"/>
  <c r="AK11" i="10" s="1"/>
  <c r="G3" i="13"/>
  <c r="O3" i="13" s="1"/>
  <c r="M47" i="4"/>
  <c r="L47" i="4"/>
  <c r="AJ10" i="10"/>
  <c r="B16" i="10"/>
  <c r="G47" i="10"/>
  <c r="J47" i="10" s="1"/>
  <c r="L47" i="10" s="1"/>
  <c r="AK10" i="10" l="1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<sst xmlns="http://schemas.openxmlformats.org/spreadsheetml/2006/main" count="140" uniqueCount="86">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</sst>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4" fillId="20" borderId="23" xfId="0" applyFont="1" applyFill="1" applyBorder="1" applyAlignment="1">
      <alignment horizontal="center" vertical="center"/>
    </xf>
    <xf numFmtId="2" fontId="4" fillId="18" borderId="3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5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175</c:v>
                </c:pt>
                <c:pt idx="1">
                  <c:v>407</c:v>
                </c:pt>
                <c:pt idx="2">
                  <c:v>200</c:v>
                </c:pt>
                <c:pt idx="3">
                  <c:v>188</c:v>
                </c:pt>
                <c:pt idx="4">
                  <c:v>438</c:v>
                </c:pt>
                <c:pt idx="5">
                  <c:v>188</c:v>
                </c:pt>
                <c:pt idx="6">
                  <c:v>184</c:v>
                </c:pt>
                <c:pt idx="7">
                  <c:v>371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270016"/>
        <c:axId val="203271552"/>
      </c:lineChart>
      <c:dateAx>
        <c:axId val="203270016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271552"/>
        <c:crosses val="autoZero"/>
        <c:auto val="1"/>
        <c:lblOffset val="100"/>
        <c:baseTimeUnit val="days"/>
      </c:dateAx>
      <c:valAx>
        <c:axId val="203271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2700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3461</c:v>
                </c:pt>
                <c:pt idx="1">
                  <c:v>2875</c:v>
                </c:pt>
                <c:pt idx="2">
                  <c:v>3354</c:v>
                </c:pt>
                <c:pt idx="3">
                  <c:v>3313</c:v>
                </c:pt>
                <c:pt idx="4">
                  <c:v>3150</c:v>
                </c:pt>
                <c:pt idx="5">
                  <c:v>3145</c:v>
                </c:pt>
                <c:pt idx="6">
                  <c:v>3116</c:v>
                </c:pt>
                <c:pt idx="7">
                  <c:v>3181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4700</c:v>
                </c:pt>
                <c:pt idx="1">
                  <c:v>4572</c:v>
                </c:pt>
                <c:pt idx="2">
                  <c:v>4994</c:v>
                </c:pt>
                <c:pt idx="3">
                  <c:v>5166</c:v>
                </c:pt>
                <c:pt idx="4">
                  <c:v>4709</c:v>
                </c:pt>
                <c:pt idx="5">
                  <c:v>4868</c:v>
                </c:pt>
                <c:pt idx="6">
                  <c:v>5057</c:v>
                </c:pt>
                <c:pt idx="7">
                  <c:v>4491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2184</c:v>
                </c:pt>
                <c:pt idx="1">
                  <c:v>1964</c:v>
                </c:pt>
                <c:pt idx="2">
                  <c:v>2078</c:v>
                </c:pt>
                <c:pt idx="3">
                  <c:v>2046</c:v>
                </c:pt>
                <c:pt idx="4">
                  <c:v>2005</c:v>
                </c:pt>
                <c:pt idx="5">
                  <c:v>2051</c:v>
                </c:pt>
                <c:pt idx="6">
                  <c:v>2018</c:v>
                </c:pt>
                <c:pt idx="7">
                  <c:v>1993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082176"/>
        <c:axId val="202083712"/>
      </c:lineChart>
      <c:dateAx>
        <c:axId val="202082176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083712"/>
        <c:crosses val="autoZero"/>
        <c:auto val="1"/>
        <c:lblOffset val="100"/>
        <c:baseTimeUnit val="days"/>
      </c:dateAx>
      <c:valAx>
        <c:axId val="2020837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08217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44227</c:v>
                </c:pt>
                <c:pt idx="1">
                  <c:v>44228</c:v>
                </c:pt>
                <c:pt idx="2">
                  <c:v>44229</c:v>
                </c:pt>
                <c:pt idx="3">
                  <c:v>44230</c:v>
                </c:pt>
                <c:pt idx="4">
                  <c:v>44231</c:v>
                </c:pt>
                <c:pt idx="5">
                  <c:v>44232</c:v>
                </c:pt>
                <c:pt idx="6">
                  <c:v>44233</c:v>
                </c:pt>
                <c:pt idx="7">
                  <c:v>44234</c:v>
                </c:pt>
                <c:pt idx="8">
                  <c:v>44235</c:v>
                </c:pt>
                <c:pt idx="9">
                  <c:v>44236</c:v>
                </c:pt>
                <c:pt idx="10">
                  <c:v>44237</c:v>
                </c:pt>
                <c:pt idx="11">
                  <c:v>44238</c:v>
                </c:pt>
                <c:pt idx="12">
                  <c:v>44239</c:v>
                </c:pt>
                <c:pt idx="13">
                  <c:v>44240</c:v>
                </c:pt>
                <c:pt idx="14">
                  <c:v>44241</c:v>
                </c:pt>
                <c:pt idx="15">
                  <c:v>44242</c:v>
                </c:pt>
                <c:pt idx="16">
                  <c:v>44243</c:v>
                </c:pt>
                <c:pt idx="17">
                  <c:v>44244</c:v>
                </c:pt>
                <c:pt idx="18">
                  <c:v>44245</c:v>
                </c:pt>
                <c:pt idx="19">
                  <c:v>44246</c:v>
                </c:pt>
                <c:pt idx="20">
                  <c:v>44247</c:v>
                </c:pt>
                <c:pt idx="21">
                  <c:v>44248</c:v>
                </c:pt>
                <c:pt idx="22">
                  <c:v>44249</c:v>
                </c:pt>
                <c:pt idx="23">
                  <c:v>44250</c:v>
                </c:pt>
                <c:pt idx="24">
                  <c:v>44251</c:v>
                </c:pt>
                <c:pt idx="25">
                  <c:v>44252</c:v>
                </c:pt>
                <c:pt idx="26">
                  <c:v>44253</c:v>
                </c:pt>
                <c:pt idx="27">
                  <c:v>44254</c:v>
                </c:pt>
                <c:pt idx="28">
                  <c:v>44255</c:v>
                </c:pt>
                <c:pt idx="29">
                  <c:v>44256</c:v>
                </c:pt>
                <c:pt idx="30">
                  <c:v>44257</c:v>
                </c:pt>
                <c:pt idx="31">
                  <c:v>44258</c:v>
                </c:pt>
                <c:pt idx="32">
                  <c:v>44259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408.1</c:v>
                </c:pt>
                <c:pt idx="2">
                  <c:v>111.30000000000001</c:v>
                </c:pt>
                <c:pt idx="3">
                  <c:v>111.30000000000001</c:v>
                </c:pt>
                <c:pt idx="4">
                  <c:v>333.90000000000003</c:v>
                </c:pt>
                <c:pt idx="5">
                  <c:v>333.90000000000003</c:v>
                </c:pt>
                <c:pt idx="6">
                  <c:v>593.6</c:v>
                </c:pt>
                <c:pt idx="7">
                  <c:v>556.5</c:v>
                </c:pt>
                <c:pt idx="8">
                  <c:v>371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08928"/>
        <c:axId val="202110464"/>
      </c:lineChart>
      <c:dateAx>
        <c:axId val="20210892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110464"/>
        <c:crosses val="autoZero"/>
        <c:auto val="1"/>
        <c:lblOffset val="100"/>
        <c:baseTimeUnit val="days"/>
      </c:dateAx>
      <c:valAx>
        <c:axId val="2021104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10892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H9" sqref="H9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2</v>
      </c>
      <c r="D2" s="159">
        <v>2021</v>
      </c>
      <c r="E2" s="160">
        <f>'Consommation du 01.02 au 29.01'!M10</f>
        <v>10345</v>
      </c>
      <c r="F2" s="160">
        <v>0.99</v>
      </c>
      <c r="G2" s="160">
        <f>'Consommation du 01.02 au 29.01'!U10</f>
        <v>408.1</v>
      </c>
      <c r="H2" s="160">
        <v>9.157</v>
      </c>
      <c r="I2" s="160">
        <f>'Consommation du 01.02 au 29.01'!Y10*1000</f>
        <v>9220.0000000011642</v>
      </c>
      <c r="J2" s="160">
        <v>0.53</v>
      </c>
      <c r="K2" s="160">
        <f>'Consommation du 01.02 au 29.01'!D10</f>
        <v>175</v>
      </c>
      <c r="L2" s="160">
        <v>12.67</v>
      </c>
      <c r="M2" s="159">
        <f>'Consommation du 01.02 au 29.01'!AC10</f>
        <v>27</v>
      </c>
      <c r="N2" s="159">
        <v>27</v>
      </c>
      <c r="O2" s="160">
        <f>E2*F2+G2*H2+I2*J2+K2*L2</f>
        <v>21082.371700000615</v>
      </c>
    </row>
    <row r="3" spans="1:15" x14ac:dyDescent="0.2">
      <c r="A3" s="157" t="s">
        <v>84</v>
      </c>
      <c r="B3" s="158">
        <f>B2+1</f>
        <v>2</v>
      </c>
      <c r="C3" s="158">
        <v>2</v>
      </c>
      <c r="D3" s="159">
        <v>2021</v>
      </c>
      <c r="E3" s="160">
        <f>'Consommation du 01.02 au 29.01'!M11</f>
        <v>9411</v>
      </c>
      <c r="F3" s="160">
        <v>0.99</v>
      </c>
      <c r="G3" s="160">
        <f>'Consommation du 01.02 au 29.01'!U11</f>
        <v>111.30000000000001</v>
      </c>
      <c r="H3" s="160">
        <v>9.157</v>
      </c>
      <c r="I3" s="160">
        <f>'Consommation du 01.02 au 29.01'!Y11*1000</f>
        <v>9189.9999999986903</v>
      </c>
      <c r="J3" s="160">
        <v>0.53</v>
      </c>
      <c r="K3" s="160">
        <f>'Consommation du 01.02 au 29.01'!D11</f>
        <v>407</v>
      </c>
      <c r="L3" s="160">
        <v>12.67</v>
      </c>
      <c r="M3" s="159">
        <f>'Consommation du 01.02 au 29.01'!AC11</f>
        <v>21</v>
      </c>
      <c r="N3" s="159">
        <v>21</v>
      </c>
      <c r="O3" s="160">
        <f t="shared" ref="O3:O29" si="0">E3*F3+G3*H3+I3*J3+K3*L3</f>
        <v>20363.454099999304</v>
      </c>
    </row>
    <row r="4" spans="1:15" x14ac:dyDescent="0.2">
      <c r="A4" s="157" t="s">
        <v>84</v>
      </c>
      <c r="B4" s="158">
        <f t="shared" ref="B4:B29" si="1">B3+1</f>
        <v>3</v>
      </c>
      <c r="C4" s="158">
        <v>2</v>
      </c>
      <c r="D4" s="159">
        <v>2021</v>
      </c>
      <c r="E4" s="160">
        <f>'Consommation du 01.02 au 29.01'!M12</f>
        <v>10426</v>
      </c>
      <c r="F4" s="160">
        <v>0.99</v>
      </c>
      <c r="G4" s="160">
        <f>'Consommation du 01.02 au 29.01'!U12</f>
        <v>111.30000000000001</v>
      </c>
      <c r="H4" s="160">
        <v>9.157</v>
      </c>
      <c r="I4" s="160">
        <f>'Consommation du 01.02 au 29.01'!Y12*1000</f>
        <v>13240.000000001601</v>
      </c>
      <c r="J4" s="160">
        <v>0.53</v>
      </c>
      <c r="K4" s="160">
        <f>'Consommation du 01.02 au 29.01'!D12</f>
        <v>200</v>
      </c>
      <c r="L4" s="160">
        <v>12.67</v>
      </c>
      <c r="M4" s="159">
        <f>'Consommation du 01.02 au 29.01'!AC12</f>
        <v>16</v>
      </c>
      <c r="N4" s="159">
        <v>16</v>
      </c>
      <c r="O4" s="160">
        <f t="shared" si="0"/>
        <v>20892.11410000085</v>
      </c>
    </row>
    <row r="5" spans="1:15" x14ac:dyDescent="0.2">
      <c r="A5" s="157" t="s">
        <v>84</v>
      </c>
      <c r="B5" s="158">
        <f t="shared" si="1"/>
        <v>4</v>
      </c>
      <c r="C5" s="158">
        <v>2</v>
      </c>
      <c r="D5" s="159">
        <v>2021</v>
      </c>
      <c r="E5" s="160">
        <f>'Consommation du 01.02 au 29.01'!M13</f>
        <v>10525</v>
      </c>
      <c r="F5" s="160">
        <v>0.99</v>
      </c>
      <c r="G5" s="160">
        <f>'Consommation du 01.02 au 29.01'!U13</f>
        <v>333.90000000000003</v>
      </c>
      <c r="H5" s="160">
        <v>9.157</v>
      </c>
      <c r="I5" s="160">
        <f>'Consommation du 01.02 au 29.01'!Y13*1000</f>
        <v>13169.999999998254</v>
      </c>
      <c r="J5" s="160">
        <v>0.53</v>
      </c>
      <c r="K5" s="160">
        <f>'Consommation du 01.02 au 29.01'!D13</f>
        <v>188</v>
      </c>
      <c r="L5" s="160">
        <v>12.67</v>
      </c>
      <c r="M5" s="159">
        <f>'Consommation du 01.02 au 29.01'!AC13</f>
        <v>13</v>
      </c>
      <c r="N5" s="159">
        <v>13</v>
      </c>
      <c r="O5" s="160">
        <f t="shared" si="0"/>
        <v>22839.332299999074</v>
      </c>
    </row>
    <row r="6" spans="1:15" x14ac:dyDescent="0.2">
      <c r="A6" s="157" t="s">
        <v>84</v>
      </c>
      <c r="B6" s="158">
        <f t="shared" si="1"/>
        <v>5</v>
      </c>
      <c r="C6" s="158">
        <v>2</v>
      </c>
      <c r="D6" s="159">
        <v>2021</v>
      </c>
      <c r="E6" s="160">
        <f>'Consommation du 01.02 au 29.01'!M14</f>
        <v>9864</v>
      </c>
      <c r="F6" s="160">
        <v>0.99</v>
      </c>
      <c r="G6" s="160">
        <f>'Consommation du 01.02 au 29.01'!U14</f>
        <v>333.90000000000003</v>
      </c>
      <c r="H6" s="160">
        <v>9.157</v>
      </c>
      <c r="I6" s="160">
        <f>'Consommation du 01.02 au 29.01'!Y14*1000</f>
        <v>11000</v>
      </c>
      <c r="J6" s="160">
        <v>0.53</v>
      </c>
      <c r="K6" s="160">
        <f>'Consommation du 01.02 au 29.01'!D14</f>
        <v>438</v>
      </c>
      <c r="L6" s="160">
        <v>12.67</v>
      </c>
      <c r="M6" s="159">
        <f>'Consommation du 01.02 au 29.01'!AC14</f>
        <v>17</v>
      </c>
      <c r="N6" s="159">
        <v>17</v>
      </c>
      <c r="O6" s="160">
        <f t="shared" si="0"/>
        <v>24202.3423</v>
      </c>
    </row>
    <row r="7" spans="1:15" x14ac:dyDescent="0.2">
      <c r="A7" s="157" t="s">
        <v>84</v>
      </c>
      <c r="B7" s="158">
        <f t="shared" si="1"/>
        <v>6</v>
      </c>
      <c r="C7" s="158">
        <v>2</v>
      </c>
      <c r="D7" s="159">
        <v>2021</v>
      </c>
      <c r="E7" s="160">
        <f>'Consommation du 01.02 au 29.01'!M15</f>
        <v>10064</v>
      </c>
      <c r="F7" s="160">
        <v>0.99</v>
      </c>
      <c r="G7" s="160">
        <f>'Consommation du 01.02 au 29.01'!U15</f>
        <v>593.6</v>
      </c>
      <c r="H7" s="160">
        <v>9.157</v>
      </c>
      <c r="I7" s="160">
        <f>'Consommation du 01.02 au 29.01'!Y15*1000</f>
        <v>14150.000000001455</v>
      </c>
      <c r="J7" s="160">
        <v>0.53</v>
      </c>
      <c r="K7" s="160">
        <f>'Consommation du 01.02 au 29.01'!D15</f>
        <v>188</v>
      </c>
      <c r="L7" s="160">
        <v>12.67</v>
      </c>
      <c r="M7" s="159">
        <f>'Consommation du 01.02 au 29.01'!AC15</f>
        <v>16</v>
      </c>
      <c r="N7" s="159">
        <v>16</v>
      </c>
      <c r="O7" s="160">
        <f t="shared" si="0"/>
        <v>25280.415200000771</v>
      </c>
    </row>
    <row r="8" spans="1:15" x14ac:dyDescent="0.2">
      <c r="A8" s="157" t="s">
        <v>84</v>
      </c>
      <c r="B8" s="158">
        <f t="shared" si="1"/>
        <v>7</v>
      </c>
      <c r="C8" s="158">
        <v>2</v>
      </c>
      <c r="D8" s="159">
        <v>2021</v>
      </c>
      <c r="E8" s="160">
        <f>'Consommation du 01.02 au 29.01'!M16</f>
        <v>10191</v>
      </c>
      <c r="F8" s="160">
        <v>0.99</v>
      </c>
      <c r="G8" s="160">
        <f>'Consommation du 01.02 au 29.01'!U16</f>
        <v>556.5</v>
      </c>
      <c r="H8" s="160">
        <v>9.157</v>
      </c>
      <c r="I8" s="160">
        <f>'Consommation du 01.02 au 29.01'!Y16*1000</f>
        <v>13520.000000000437</v>
      </c>
      <c r="J8" s="160">
        <v>0.53</v>
      </c>
      <c r="K8" s="160">
        <f>'Consommation du 01.02 au 29.01'!D16</f>
        <v>184</v>
      </c>
      <c r="L8" s="160">
        <v>12.67</v>
      </c>
      <c r="M8" s="159">
        <f>'Consommation du 01.02 au 29.01'!AC16</f>
        <v>11</v>
      </c>
      <c r="N8" s="159">
        <v>11</v>
      </c>
      <c r="O8" s="160">
        <f t="shared" si="0"/>
        <v>24681.840500000231</v>
      </c>
    </row>
    <row r="9" spans="1:15" x14ac:dyDescent="0.2">
      <c r="A9" s="157" t="s">
        <v>84</v>
      </c>
      <c r="B9" s="158">
        <f t="shared" si="1"/>
        <v>8</v>
      </c>
      <c r="C9" s="158">
        <v>2</v>
      </c>
      <c r="D9" s="159">
        <v>2021</v>
      </c>
      <c r="E9" s="160">
        <f>'Consommation du 01.02 au 29.01'!M17</f>
        <v>9665</v>
      </c>
      <c r="F9" s="160">
        <v>0.99</v>
      </c>
      <c r="G9" s="160">
        <f>'Consommation du 01.02 au 29.01'!U17</f>
        <v>371</v>
      </c>
      <c r="H9" s="160">
        <v>9.157</v>
      </c>
      <c r="I9" s="160">
        <f>'Consommation du 01.02 au 29.01'!Y17*1000</f>
        <v>13020.000000000437</v>
      </c>
      <c r="J9" s="160">
        <v>0.53</v>
      </c>
      <c r="K9" s="160">
        <f>'Consommation du 01.02 au 29.01'!D17</f>
        <v>371</v>
      </c>
      <c r="L9" s="160">
        <v>12.67</v>
      </c>
      <c r="M9" s="159">
        <f>'Consommation du 01.02 au 29.01'!AC17</f>
        <v>9</v>
      </c>
      <c r="N9" s="159">
        <v>9</v>
      </c>
      <c r="O9" s="160">
        <f t="shared" si="0"/>
        <v>24566.767000000233</v>
      </c>
    </row>
    <row r="10" spans="1:15" x14ac:dyDescent="0.2">
      <c r="A10" s="157" t="s">
        <v>84</v>
      </c>
      <c r="B10" s="158">
        <f t="shared" si="1"/>
        <v>9</v>
      </c>
      <c r="C10" s="158">
        <v>2</v>
      </c>
      <c r="D10" s="159">
        <v>2021</v>
      </c>
      <c r="E10" s="160">
        <f>'Consommation du 01.02 au 29.01'!M18</f>
        <v>0</v>
      </c>
      <c r="F10" s="160">
        <v>0.99</v>
      </c>
      <c r="G10" s="160">
        <f>'Consommation du 01.02 au 29.01'!U18</f>
        <v>0</v>
      </c>
      <c r="H10" s="160">
        <v>9.157</v>
      </c>
      <c r="I10" s="160">
        <f>'Consommation du 01.02 au 29.01'!Y18*1000</f>
        <v>0</v>
      </c>
      <c r="J10" s="160">
        <v>0.53</v>
      </c>
      <c r="K10" s="160">
        <f>'Consommation du 01.02 au 29.01'!D18</f>
        <v>0</v>
      </c>
      <c r="L10" s="160">
        <v>12.67</v>
      </c>
      <c r="M10" s="159">
        <f>'Consommation du 01.02 au 29.01'!AC18</f>
        <v>0</v>
      </c>
      <c r="N10" s="159"/>
      <c r="O10" s="160">
        <f t="shared" si="0"/>
        <v>0</v>
      </c>
    </row>
    <row r="11" spans="1:15" x14ac:dyDescent="0.2">
      <c r="A11" s="157" t="s">
        <v>84</v>
      </c>
      <c r="B11" s="158">
        <f t="shared" si="1"/>
        <v>10</v>
      </c>
      <c r="C11" s="158">
        <v>2</v>
      </c>
      <c r="D11" s="159">
        <v>2021</v>
      </c>
      <c r="E11" s="160">
        <f>'Consommation du 01.02 au 29.01'!M19</f>
        <v>0</v>
      </c>
      <c r="F11" s="160">
        <v>0.99</v>
      </c>
      <c r="G11" s="160">
        <f>'Consommation du 01.02 au 29.01'!U19</f>
        <v>0</v>
      </c>
      <c r="H11" s="160">
        <v>9.157</v>
      </c>
      <c r="I11" s="160">
        <f>'Consommation du 01.02 au 29.01'!Y19*1000</f>
        <v>0</v>
      </c>
      <c r="J11" s="160">
        <v>0.53</v>
      </c>
      <c r="K11" s="160">
        <f>'Consommation du 01.02 au 29.01'!D19</f>
        <v>0</v>
      </c>
      <c r="L11" s="160">
        <v>12.67</v>
      </c>
      <c r="M11" s="159">
        <f>'Consommation du 01.02 au 29.01'!AC19</f>
        <v>0</v>
      </c>
      <c r="N11" s="159"/>
      <c r="O11" s="160">
        <f t="shared" si="0"/>
        <v>0</v>
      </c>
    </row>
    <row r="12" spans="1:15" x14ac:dyDescent="0.2">
      <c r="A12" s="157" t="s">
        <v>84</v>
      </c>
      <c r="B12" s="158">
        <f t="shared" si="1"/>
        <v>11</v>
      </c>
      <c r="C12" s="158">
        <v>2</v>
      </c>
      <c r="D12" s="159">
        <v>2021</v>
      </c>
      <c r="E12" s="160">
        <f>'Consommation du 01.02 au 29.01'!M20</f>
        <v>0</v>
      </c>
      <c r="F12" s="160">
        <v>0.99</v>
      </c>
      <c r="G12" s="160">
        <f>'Consommation du 01.02 au 29.01'!U20</f>
        <v>0</v>
      </c>
      <c r="H12" s="160">
        <v>9.157</v>
      </c>
      <c r="I12" s="160">
        <f>'Consommation du 01.02 au 29.01'!Y20*1000</f>
        <v>0</v>
      </c>
      <c r="J12" s="160">
        <v>0.53</v>
      </c>
      <c r="K12" s="160">
        <f>'Consommation du 01.02 au 29.01'!D20</f>
        <v>0</v>
      </c>
      <c r="L12" s="160">
        <v>12.67</v>
      </c>
      <c r="M12" s="159">
        <f>'Consommation du 01.02 au 29.01'!AC20</f>
        <v>0</v>
      </c>
      <c r="N12" s="159"/>
      <c r="O12" s="160">
        <f t="shared" si="0"/>
        <v>0</v>
      </c>
    </row>
    <row r="13" spans="1:15" x14ac:dyDescent="0.2">
      <c r="A13" s="157" t="s">
        <v>84</v>
      </c>
      <c r="B13" s="158">
        <f t="shared" si="1"/>
        <v>12</v>
      </c>
      <c r="C13" s="158">
        <v>2</v>
      </c>
      <c r="D13" s="159">
        <v>2021</v>
      </c>
      <c r="E13" s="160">
        <f>'Consommation du 01.02 au 29.01'!M21</f>
        <v>0</v>
      </c>
      <c r="F13" s="160">
        <v>0.99</v>
      </c>
      <c r="G13" s="160">
        <f>'Consommation du 01.02 au 29.01'!U21</f>
        <v>0</v>
      </c>
      <c r="H13" s="160">
        <v>9.157</v>
      </c>
      <c r="I13" s="160">
        <f>'Consommation du 01.02 au 29.01'!Y21*1000</f>
        <v>0</v>
      </c>
      <c r="J13" s="160">
        <v>0.53</v>
      </c>
      <c r="K13" s="160">
        <f>'Consommation du 01.02 au 29.01'!D21</f>
        <v>0</v>
      </c>
      <c r="L13" s="160">
        <v>12.67</v>
      </c>
      <c r="M13" s="159">
        <f>'Consommation du 01.02 au 29.01'!AC21</f>
        <v>0</v>
      </c>
      <c r="N13" s="159"/>
      <c r="O13" s="160">
        <f t="shared" si="0"/>
        <v>0</v>
      </c>
    </row>
    <row r="14" spans="1:15" x14ac:dyDescent="0.2">
      <c r="A14" s="157" t="s">
        <v>84</v>
      </c>
      <c r="B14" s="158">
        <f t="shared" si="1"/>
        <v>13</v>
      </c>
      <c r="C14" s="158">
        <v>2</v>
      </c>
      <c r="D14" s="159">
        <v>2021</v>
      </c>
      <c r="E14" s="160">
        <f>'Consommation du 01.02 au 29.01'!M22</f>
        <v>0</v>
      </c>
      <c r="F14" s="160">
        <v>0.99</v>
      </c>
      <c r="G14" s="160">
        <f>'Consommation du 01.02 au 29.01'!U22</f>
        <v>0</v>
      </c>
      <c r="H14" s="160">
        <v>9.157</v>
      </c>
      <c r="I14" s="160">
        <f>'Consommation du 01.02 au 29.01'!Y22*1000</f>
        <v>0</v>
      </c>
      <c r="J14" s="160">
        <v>0.53</v>
      </c>
      <c r="K14" s="160">
        <f>'Consommation du 01.02 au 29.01'!D22</f>
        <v>0</v>
      </c>
      <c r="L14" s="160">
        <v>12.67</v>
      </c>
      <c r="M14" s="159">
        <f>'Consommation du 01.02 au 29.01'!AC22</f>
        <v>0</v>
      </c>
      <c r="N14" s="159"/>
      <c r="O14" s="160">
        <f t="shared" si="0"/>
        <v>0</v>
      </c>
    </row>
    <row r="15" spans="1:15" x14ac:dyDescent="0.2">
      <c r="A15" s="157" t="s">
        <v>84</v>
      </c>
      <c r="B15" s="158">
        <f t="shared" si="1"/>
        <v>14</v>
      </c>
      <c r="C15" s="158">
        <v>2</v>
      </c>
      <c r="D15" s="159">
        <v>2021</v>
      </c>
      <c r="E15" s="160">
        <f>'Consommation du 01.02 au 29.01'!M23</f>
        <v>0</v>
      </c>
      <c r="F15" s="160">
        <v>0.99</v>
      </c>
      <c r="G15" s="160">
        <f>'Consommation du 01.02 au 29.01'!U23</f>
        <v>0</v>
      </c>
      <c r="H15" s="160">
        <v>9.157</v>
      </c>
      <c r="I15" s="160">
        <f>'Consommation du 01.02 au 29.01'!Y23*1000</f>
        <v>0</v>
      </c>
      <c r="J15" s="160">
        <v>0.53</v>
      </c>
      <c r="K15" s="160">
        <f>'Consommation du 01.02 au 29.01'!D23</f>
        <v>0</v>
      </c>
      <c r="L15" s="160">
        <v>12.67</v>
      </c>
      <c r="M15" s="159">
        <f>'Consommation du 01.02 au 29.01'!AC23</f>
        <v>0</v>
      </c>
      <c r="N15" s="159"/>
      <c r="O15" s="160">
        <f t="shared" si="0"/>
        <v>0</v>
      </c>
    </row>
    <row r="16" spans="1:15" x14ac:dyDescent="0.2">
      <c r="A16" s="157" t="s">
        <v>84</v>
      </c>
      <c r="B16" s="158">
        <f t="shared" si="1"/>
        <v>15</v>
      </c>
      <c r="C16" s="158">
        <v>2</v>
      </c>
      <c r="D16" s="159">
        <v>2021</v>
      </c>
      <c r="E16" s="160">
        <f>'Consommation du 01.02 au 29.01'!M24</f>
        <v>0</v>
      </c>
      <c r="F16" s="160">
        <v>0.99</v>
      </c>
      <c r="G16" s="160">
        <f>'Consommation du 01.02 au 29.01'!U24</f>
        <v>0</v>
      </c>
      <c r="H16" s="160">
        <v>9.157</v>
      </c>
      <c r="I16" s="160">
        <f>'Consommation du 01.02 au 29.01'!Y24*1000</f>
        <v>0</v>
      </c>
      <c r="J16" s="160">
        <v>0.53</v>
      </c>
      <c r="K16" s="160">
        <f>'Consommation du 01.02 au 29.01'!D24</f>
        <v>0</v>
      </c>
      <c r="L16" s="160">
        <v>12.67</v>
      </c>
      <c r="M16" s="159">
        <f>'Consommation du 01.02 au 29.01'!AC24</f>
        <v>0</v>
      </c>
      <c r="N16" s="159"/>
      <c r="O16" s="160">
        <f t="shared" si="0"/>
        <v>0</v>
      </c>
    </row>
    <row r="17" spans="1:15" x14ac:dyDescent="0.2">
      <c r="A17" s="157" t="s">
        <v>84</v>
      </c>
      <c r="B17" s="158">
        <f t="shared" si="1"/>
        <v>16</v>
      </c>
      <c r="C17" s="158">
        <v>2</v>
      </c>
      <c r="D17" s="159">
        <v>2021</v>
      </c>
      <c r="E17" s="160">
        <f>'Consommation du 01.02 au 29.01'!M25</f>
        <v>0</v>
      </c>
      <c r="F17" s="160">
        <v>0.99</v>
      </c>
      <c r="G17" s="160">
        <f>'Consommation du 01.02 au 29.01'!U25</f>
        <v>0</v>
      </c>
      <c r="H17" s="160">
        <v>9.157</v>
      </c>
      <c r="I17" s="160">
        <f>'Consommation du 01.02 au 29.01'!Y25*1000</f>
        <v>0</v>
      </c>
      <c r="J17" s="160">
        <v>0.53</v>
      </c>
      <c r="K17" s="160">
        <f>'Consommation du 01.02 au 29.01'!D25</f>
        <v>0</v>
      </c>
      <c r="L17" s="160">
        <v>12.67</v>
      </c>
      <c r="M17" s="159">
        <f>'Consommation du 01.02 au 29.01'!AC25</f>
        <v>0</v>
      </c>
      <c r="N17" s="159"/>
      <c r="O17" s="160">
        <f t="shared" si="0"/>
        <v>0</v>
      </c>
    </row>
    <row r="18" spans="1:15" x14ac:dyDescent="0.2">
      <c r="A18" s="157" t="s">
        <v>84</v>
      </c>
      <c r="B18" s="158">
        <f t="shared" si="1"/>
        <v>17</v>
      </c>
      <c r="C18" s="158">
        <v>2</v>
      </c>
      <c r="D18" s="159">
        <v>2021</v>
      </c>
      <c r="E18" s="160">
        <f>'Consommation du 01.02 au 29.01'!M26</f>
        <v>0</v>
      </c>
      <c r="F18" s="160">
        <v>0.99</v>
      </c>
      <c r="G18" s="160">
        <f>'Consommation du 01.02 au 29.01'!U26</f>
        <v>0</v>
      </c>
      <c r="H18" s="160">
        <v>9.157</v>
      </c>
      <c r="I18" s="160">
        <f>'Consommation du 01.02 au 29.01'!Y26*1000</f>
        <v>0</v>
      </c>
      <c r="J18" s="160">
        <v>0.53</v>
      </c>
      <c r="K18" s="160">
        <f>'Consommation du 01.02 au 29.01'!D26</f>
        <v>0</v>
      </c>
      <c r="L18" s="160">
        <v>12.67</v>
      </c>
      <c r="M18" s="159">
        <f>'Consommation du 01.02 au 29.01'!AC26</f>
        <v>0</v>
      </c>
      <c r="N18" s="159"/>
      <c r="O18" s="160">
        <f t="shared" si="0"/>
        <v>0</v>
      </c>
    </row>
    <row r="19" spans="1:15" x14ac:dyDescent="0.2">
      <c r="A19" s="157" t="s">
        <v>84</v>
      </c>
      <c r="B19" s="158">
        <f t="shared" si="1"/>
        <v>18</v>
      </c>
      <c r="C19" s="158">
        <v>2</v>
      </c>
      <c r="D19" s="159">
        <v>2021</v>
      </c>
      <c r="E19" s="160">
        <f>'Consommation du 01.02 au 29.01'!M27</f>
        <v>0</v>
      </c>
      <c r="F19" s="160">
        <v>0.99</v>
      </c>
      <c r="G19" s="160">
        <f>'Consommation du 01.02 au 29.01'!U27</f>
        <v>0</v>
      </c>
      <c r="H19" s="160">
        <v>9.157</v>
      </c>
      <c r="I19" s="160">
        <f>'Consommation du 01.02 au 29.01'!Y27*1000</f>
        <v>0</v>
      </c>
      <c r="J19" s="160">
        <v>0.53</v>
      </c>
      <c r="K19" s="160">
        <f>'Consommation du 01.02 au 29.01'!D27</f>
        <v>0</v>
      </c>
      <c r="L19" s="160">
        <v>12.67</v>
      </c>
      <c r="M19" s="159">
        <f>'Consommation du 01.02 au 29.01'!AC27</f>
        <v>0</v>
      </c>
      <c r="N19" s="159"/>
      <c r="O19" s="160">
        <f t="shared" si="0"/>
        <v>0</v>
      </c>
    </row>
    <row r="20" spans="1:15" x14ac:dyDescent="0.2">
      <c r="A20" s="157" t="s">
        <v>84</v>
      </c>
      <c r="B20" s="158">
        <f t="shared" si="1"/>
        <v>19</v>
      </c>
      <c r="C20" s="158">
        <v>2</v>
      </c>
      <c r="D20" s="159">
        <v>2021</v>
      </c>
      <c r="E20" s="160">
        <f>'Consommation du 01.02 au 29.01'!M28</f>
        <v>0</v>
      </c>
      <c r="F20" s="160">
        <v>0.99</v>
      </c>
      <c r="G20" s="160">
        <f>'Consommation du 01.02 au 29.01'!U28</f>
        <v>0</v>
      </c>
      <c r="H20" s="160">
        <v>9.157</v>
      </c>
      <c r="I20" s="160">
        <f>'Consommation du 01.02 au 29.01'!Y28*1000</f>
        <v>0</v>
      </c>
      <c r="J20" s="160">
        <v>0.53</v>
      </c>
      <c r="K20" s="160">
        <f>'Consommation du 01.02 au 29.01'!D28</f>
        <v>0</v>
      </c>
      <c r="L20" s="160">
        <v>12.67</v>
      </c>
      <c r="M20" s="159">
        <f>'Consommation du 01.02 au 29.01'!AC28</f>
        <v>0</v>
      </c>
      <c r="N20" s="159"/>
      <c r="O20" s="160">
        <f t="shared" si="0"/>
        <v>0</v>
      </c>
    </row>
    <row r="21" spans="1:15" x14ac:dyDescent="0.2">
      <c r="A21" s="157" t="s">
        <v>84</v>
      </c>
      <c r="B21" s="158">
        <f t="shared" si="1"/>
        <v>20</v>
      </c>
      <c r="C21" s="158">
        <v>2</v>
      </c>
      <c r="D21" s="159">
        <v>2021</v>
      </c>
      <c r="E21" s="160">
        <f>'Consommation du 01.02 au 29.01'!M29</f>
        <v>0</v>
      </c>
      <c r="F21" s="160">
        <v>0.99</v>
      </c>
      <c r="G21" s="160">
        <f>'Consommation du 01.02 au 29.01'!U29</f>
        <v>0</v>
      </c>
      <c r="H21" s="160">
        <v>9.157</v>
      </c>
      <c r="I21" s="160">
        <f>'Consommation du 01.02 au 29.01'!Y29*1000</f>
        <v>0</v>
      </c>
      <c r="J21" s="160">
        <v>0.53</v>
      </c>
      <c r="K21" s="160">
        <f>'Consommation du 01.02 au 29.01'!D29</f>
        <v>0</v>
      </c>
      <c r="L21" s="160">
        <v>12.67</v>
      </c>
      <c r="M21" s="159">
        <f>'Consommation du 01.02 au 29.01'!AC29</f>
        <v>0</v>
      </c>
      <c r="N21" s="159"/>
      <c r="O21" s="160">
        <f t="shared" si="0"/>
        <v>0</v>
      </c>
    </row>
    <row r="22" spans="1:15" x14ac:dyDescent="0.2">
      <c r="A22" s="157" t="s">
        <v>84</v>
      </c>
      <c r="B22" s="158">
        <f t="shared" si="1"/>
        <v>21</v>
      </c>
      <c r="C22" s="158">
        <v>2</v>
      </c>
      <c r="D22" s="159">
        <v>2021</v>
      </c>
      <c r="E22" s="160">
        <f>'Consommation du 01.02 au 29.01'!M30</f>
        <v>0</v>
      </c>
      <c r="F22" s="160">
        <v>0.99</v>
      </c>
      <c r="G22" s="160">
        <f>'Consommation du 01.02 au 29.01'!U30</f>
        <v>0</v>
      </c>
      <c r="H22" s="160">
        <v>9.157</v>
      </c>
      <c r="I22" s="160">
        <f>'Consommation du 01.02 au 29.01'!Y30*1000</f>
        <v>0</v>
      </c>
      <c r="J22" s="160">
        <v>0.53</v>
      </c>
      <c r="K22" s="160">
        <f>'Consommation du 01.02 au 29.01'!D30</f>
        <v>0</v>
      </c>
      <c r="L22" s="160">
        <v>12.67</v>
      </c>
      <c r="M22" s="159">
        <f>'Consommation du 01.02 au 29.01'!AC30</f>
        <v>0</v>
      </c>
      <c r="N22" s="159"/>
      <c r="O22" s="160">
        <f t="shared" si="0"/>
        <v>0</v>
      </c>
    </row>
    <row r="23" spans="1:15" x14ac:dyDescent="0.2">
      <c r="A23" s="157" t="s">
        <v>84</v>
      </c>
      <c r="B23" s="158">
        <f t="shared" si="1"/>
        <v>22</v>
      </c>
      <c r="C23" s="158">
        <v>2</v>
      </c>
      <c r="D23" s="159">
        <v>2021</v>
      </c>
      <c r="E23" s="160">
        <f>'Consommation du 01.02 au 29.01'!M31</f>
        <v>0</v>
      </c>
      <c r="F23" s="160">
        <v>0.99</v>
      </c>
      <c r="G23" s="160">
        <f>'Consommation du 01.02 au 29.01'!U31</f>
        <v>0</v>
      </c>
      <c r="H23" s="160">
        <v>9.157</v>
      </c>
      <c r="I23" s="160">
        <f>'Consommation du 01.02 au 29.01'!Y31*1000</f>
        <v>0</v>
      </c>
      <c r="J23" s="160">
        <v>0.53</v>
      </c>
      <c r="K23" s="160">
        <f>'Consommation du 01.02 au 29.01'!D31</f>
        <v>0</v>
      </c>
      <c r="L23" s="160">
        <v>12.67</v>
      </c>
      <c r="M23" s="159">
        <f>'Consommation du 01.02 au 29.01'!AC31</f>
        <v>0</v>
      </c>
      <c r="N23" s="159"/>
      <c r="O23" s="160">
        <f t="shared" si="0"/>
        <v>0</v>
      </c>
    </row>
    <row r="24" spans="1:15" x14ac:dyDescent="0.2">
      <c r="A24" s="157" t="s">
        <v>84</v>
      </c>
      <c r="B24" s="158">
        <f t="shared" si="1"/>
        <v>23</v>
      </c>
      <c r="C24" s="158">
        <v>2</v>
      </c>
      <c r="D24" s="159">
        <v>2021</v>
      </c>
      <c r="E24" s="160">
        <f>'Consommation du 01.02 au 29.01'!M32</f>
        <v>0</v>
      </c>
      <c r="F24" s="160">
        <v>0.99</v>
      </c>
      <c r="G24" s="160">
        <f>'Consommation du 01.02 au 29.01'!U32</f>
        <v>0</v>
      </c>
      <c r="H24" s="160">
        <v>9.157</v>
      </c>
      <c r="I24" s="160">
        <f>'Consommation du 01.02 au 29.01'!Y32*1000</f>
        <v>0</v>
      </c>
      <c r="J24" s="160">
        <v>0.53</v>
      </c>
      <c r="K24" s="160">
        <f>'Consommation du 01.02 au 29.01'!D32</f>
        <v>0</v>
      </c>
      <c r="L24" s="160">
        <v>12.67</v>
      </c>
      <c r="M24" s="159">
        <f>'Consommation du 01.02 au 29.01'!AC32</f>
        <v>0</v>
      </c>
      <c r="N24" s="159"/>
      <c r="O24" s="160">
        <f t="shared" si="0"/>
        <v>0</v>
      </c>
    </row>
    <row r="25" spans="1:15" x14ac:dyDescent="0.2">
      <c r="A25" s="157" t="s">
        <v>84</v>
      </c>
      <c r="B25" s="158">
        <f t="shared" si="1"/>
        <v>24</v>
      </c>
      <c r="C25" s="158">
        <v>2</v>
      </c>
      <c r="D25" s="159">
        <v>2021</v>
      </c>
      <c r="E25" s="160">
        <f>'Consommation du 01.02 au 29.01'!M33</f>
        <v>0</v>
      </c>
      <c r="F25" s="160">
        <v>0.99</v>
      </c>
      <c r="G25" s="160">
        <f>'Consommation du 01.02 au 29.01'!U33</f>
        <v>0</v>
      </c>
      <c r="H25" s="160">
        <v>9.157</v>
      </c>
      <c r="I25" s="160">
        <f>'Consommation du 01.02 au 29.01'!Y33*1000</f>
        <v>0</v>
      </c>
      <c r="J25" s="160">
        <v>0.53</v>
      </c>
      <c r="K25" s="160">
        <f>'Consommation du 01.02 au 29.01'!D33</f>
        <v>0</v>
      </c>
      <c r="L25" s="160">
        <v>12.67</v>
      </c>
      <c r="M25" s="159">
        <f>'Consommation du 01.02 au 29.01'!AC33</f>
        <v>0</v>
      </c>
      <c r="N25" s="159"/>
      <c r="O25" s="160">
        <f t="shared" si="0"/>
        <v>0</v>
      </c>
    </row>
    <row r="26" spans="1:15" x14ac:dyDescent="0.2">
      <c r="A26" s="157" t="s">
        <v>84</v>
      </c>
      <c r="B26" s="158">
        <f>B25+1</f>
        <v>25</v>
      </c>
      <c r="C26" s="158">
        <v>2</v>
      </c>
      <c r="D26" s="159">
        <v>2021</v>
      </c>
      <c r="E26" s="160">
        <f>'Consommation du 01.02 au 29.01'!M34</f>
        <v>0</v>
      </c>
      <c r="F26" s="160">
        <v>0.99</v>
      </c>
      <c r="G26" s="160">
        <f>'Consommation du 01.02 au 29.01'!U34</f>
        <v>0</v>
      </c>
      <c r="H26" s="160">
        <v>9.157</v>
      </c>
      <c r="I26" s="160">
        <f>'Consommation du 01.02 au 29.01'!Y34*1000</f>
        <v>0</v>
      </c>
      <c r="J26" s="160">
        <v>0.53</v>
      </c>
      <c r="K26" s="160">
        <f>'Consommation du 01.02 au 29.01'!D34</f>
        <v>0</v>
      </c>
      <c r="L26" s="160">
        <v>12.67</v>
      </c>
      <c r="M26" s="159">
        <f>'Consommation du 01.02 au 29.01'!AC34</f>
        <v>0</v>
      </c>
      <c r="N26" s="159"/>
      <c r="O26" s="160">
        <f t="shared" si="0"/>
        <v>0</v>
      </c>
    </row>
    <row r="27" spans="1:15" x14ac:dyDescent="0.2">
      <c r="A27" s="157" t="s">
        <v>84</v>
      </c>
      <c r="B27" s="158">
        <f t="shared" si="1"/>
        <v>26</v>
      </c>
      <c r="C27" s="158">
        <v>2</v>
      </c>
      <c r="D27" s="159">
        <v>2021</v>
      </c>
      <c r="E27" s="160">
        <f>'Consommation du 01.02 au 29.01'!M35</f>
        <v>0</v>
      </c>
      <c r="F27" s="160">
        <v>0.99</v>
      </c>
      <c r="G27" s="160">
        <f>'Consommation du 01.02 au 29.01'!U35</f>
        <v>0</v>
      </c>
      <c r="H27" s="160">
        <v>9.157</v>
      </c>
      <c r="I27" s="160">
        <f>'Consommation du 01.02 au 29.01'!Y35*1000</f>
        <v>0</v>
      </c>
      <c r="J27" s="160">
        <v>0.53</v>
      </c>
      <c r="K27" s="160">
        <f>'Consommation du 01.02 au 29.01'!D35</f>
        <v>0</v>
      </c>
      <c r="L27" s="160">
        <v>12.67</v>
      </c>
      <c r="M27" s="159">
        <f>'Consommation du 01.02 au 29.01'!AC35</f>
        <v>0</v>
      </c>
      <c r="N27" s="159"/>
      <c r="O27" s="160">
        <f t="shared" si="0"/>
        <v>0</v>
      </c>
    </row>
    <row r="28" spans="1:15" x14ac:dyDescent="0.2">
      <c r="A28" s="157" t="s">
        <v>84</v>
      </c>
      <c r="B28" s="158">
        <f t="shared" si="1"/>
        <v>27</v>
      </c>
      <c r="C28" s="158">
        <v>2</v>
      </c>
      <c r="D28" s="159">
        <v>2021</v>
      </c>
      <c r="E28" s="160">
        <f>'Consommation du 01.02 au 29.01'!M36</f>
        <v>0</v>
      </c>
      <c r="F28" s="160">
        <v>0.99</v>
      </c>
      <c r="G28" s="160">
        <f>'Consommation du 01.02 au 29.01'!U36</f>
        <v>0</v>
      </c>
      <c r="H28" s="160">
        <v>9.157</v>
      </c>
      <c r="I28" s="160">
        <f>'Consommation du 01.02 au 29.01'!Y36*1000</f>
        <v>0</v>
      </c>
      <c r="J28" s="160">
        <v>0.53</v>
      </c>
      <c r="K28" s="160">
        <f>'Consommation du 01.02 au 29.01'!D36</f>
        <v>0</v>
      </c>
      <c r="L28" s="160">
        <v>12.67</v>
      </c>
      <c r="M28" s="159">
        <f>'Consommation du 01.02 au 29.01'!AC36</f>
        <v>0</v>
      </c>
      <c r="N28" s="159"/>
      <c r="O28" s="160">
        <f t="shared" si="0"/>
        <v>0</v>
      </c>
    </row>
    <row r="29" spans="1:15" x14ac:dyDescent="0.2">
      <c r="A29" s="157" t="s">
        <v>84</v>
      </c>
      <c r="B29" s="158">
        <f t="shared" si="1"/>
        <v>28</v>
      </c>
      <c r="C29" s="158">
        <v>2</v>
      </c>
      <c r="D29" s="159">
        <v>2021</v>
      </c>
      <c r="E29" s="160">
        <f>'Consommation du 01.02 au 29.01'!M37</f>
        <v>0</v>
      </c>
      <c r="F29" s="160">
        <v>0.99</v>
      </c>
      <c r="G29" s="160">
        <f>'Consommation du 01.02 au 29.01'!U37</f>
        <v>0</v>
      </c>
      <c r="H29" s="160">
        <v>9.157</v>
      </c>
      <c r="I29" s="160">
        <f>'Consommation du 01.02 au 29.01'!Y37*1000</f>
        <v>0</v>
      </c>
      <c r="J29" s="160">
        <v>0.53</v>
      </c>
      <c r="K29" s="160">
        <f>'Consommation du 01.02 au 29.01'!D37</f>
        <v>0</v>
      </c>
      <c r="L29" s="160">
        <v>12.67</v>
      </c>
      <c r="M29" s="159">
        <f>'Consommation du 01.02 au 29.01'!AC37</f>
        <v>0</v>
      </c>
      <c r="N29" s="159"/>
      <c r="O29" s="160">
        <f t="shared" si="0"/>
        <v>0</v>
      </c>
    </row>
    <row r="30" spans="1:15" x14ac:dyDescent="0.2">
      <c r="A30" s="157"/>
      <c r="D30" s="159"/>
      <c r="E30" s="160"/>
      <c r="F30" s="160"/>
      <c r="G30" s="160"/>
      <c r="H30" s="160"/>
      <c r="I30" s="160"/>
      <c r="J30" s="160"/>
      <c r="K30" s="160"/>
      <c r="L30" s="160"/>
      <c r="M30" s="159"/>
      <c r="N30" s="159"/>
      <c r="O30" s="160">
        <f>SUM(O2:O29)</f>
        <v>183908.63720000107</v>
      </c>
    </row>
    <row r="31" spans="1:15" x14ac:dyDescent="0.2">
      <c r="A31" s="157"/>
      <c r="D31" s="159"/>
      <c r="E31" s="160"/>
      <c r="F31" s="160"/>
      <c r="G31" s="160"/>
      <c r="H31" s="160"/>
      <c r="I31" s="160"/>
      <c r="J31" s="160"/>
      <c r="K31" s="160"/>
      <c r="L31" s="160"/>
      <c r="M31" s="159"/>
      <c r="N31" s="159"/>
      <c r="O31" s="160"/>
    </row>
    <row r="32" spans="1:15" x14ac:dyDescent="0.2">
      <c r="A32" s="157"/>
      <c r="D32" s="159"/>
      <c r="E32" s="160"/>
      <c r="F32" s="160"/>
      <c r="G32" s="160"/>
      <c r="H32" s="160"/>
      <c r="I32" s="160"/>
      <c r="J32" s="160"/>
      <c r="K32" s="160"/>
      <c r="L32" s="160"/>
      <c r="M32" s="159"/>
      <c r="N32" s="159"/>
      <c r="O32" s="160"/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3" zoomScale="60" zoomScaleNormal="60" workbookViewId="0">
      <selection activeCell="X18" sqref="X18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7"/>
      <c r="B2" s="258"/>
      <c r="C2" s="258"/>
      <c r="D2" s="258"/>
      <c r="E2" s="258"/>
      <c r="F2" s="259"/>
      <c r="G2" s="260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57"/>
      <c r="AE2" s="259"/>
      <c r="AF2" s="71"/>
      <c r="AH2" s="62"/>
      <c r="AJ2" s="70"/>
    </row>
    <row r="3" spans="1:40" ht="1.5" customHeight="1" x14ac:dyDescent="0.2"/>
    <row r="4" spans="1:40" ht="39" hidden="1" customHeight="1" x14ac:dyDescent="0.2">
      <c r="A4" s="262"/>
      <c r="B4" s="262"/>
      <c r="C4" s="262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62"/>
      <c r="B5" s="262"/>
      <c r="C5" s="262"/>
      <c r="D5" s="3"/>
      <c r="E5" s="3"/>
      <c r="F5" s="3"/>
      <c r="G5" s="3"/>
      <c r="H5" s="3"/>
      <c r="I5" s="3"/>
      <c r="J5" s="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4"/>
      <c r="E7" s="264"/>
      <c r="F7" s="264"/>
      <c r="G7" s="264"/>
      <c r="H7" s="264"/>
      <c r="I7" s="264"/>
      <c r="J7" s="264"/>
      <c r="K7" s="264"/>
      <c r="L7" s="264"/>
      <c r="M7" s="265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6"/>
      <c r="B8" s="247" t="s">
        <v>1</v>
      </c>
      <c r="C8" s="77"/>
      <c r="D8" s="248" t="s">
        <v>3</v>
      </c>
      <c r="E8" s="73"/>
      <c r="F8" s="250" t="s">
        <v>11</v>
      </c>
      <c r="G8" s="251"/>
      <c r="H8" s="252"/>
      <c r="I8" s="73"/>
      <c r="J8" s="88"/>
      <c r="K8" s="88"/>
      <c r="L8" s="88"/>
      <c r="M8" s="256" t="s">
        <v>2</v>
      </c>
      <c r="N8" s="73"/>
      <c r="O8" s="231" t="s">
        <v>11</v>
      </c>
      <c r="P8" s="73"/>
      <c r="Q8" s="231" t="s">
        <v>4</v>
      </c>
      <c r="R8" s="73"/>
      <c r="S8" s="231" t="s">
        <v>5</v>
      </c>
      <c r="T8" s="73"/>
      <c r="U8" s="240" t="s">
        <v>38</v>
      </c>
      <c r="V8" s="73"/>
      <c r="W8" s="231" t="s">
        <v>11</v>
      </c>
      <c r="X8" s="242" t="s">
        <v>67</v>
      </c>
      <c r="Y8" s="244" t="s">
        <v>66</v>
      </c>
      <c r="Z8" s="226" t="s">
        <v>65</v>
      </c>
      <c r="AA8" s="228"/>
      <c r="AB8" s="229" t="s">
        <v>68</v>
      </c>
      <c r="AC8" s="231" t="s">
        <v>64</v>
      </c>
      <c r="AD8" s="238" t="s">
        <v>63</v>
      </c>
      <c r="AE8" s="233" t="s">
        <v>53</v>
      </c>
      <c r="AF8" s="233" t="s">
        <v>56</v>
      </c>
      <c r="AG8" s="235" t="s">
        <v>54</v>
      </c>
      <c r="AH8" s="235" t="s">
        <v>55</v>
      </c>
      <c r="AI8" s="62"/>
      <c r="AJ8" s="125"/>
      <c r="AK8" s="125"/>
      <c r="AL8" s="74"/>
    </row>
    <row r="9" spans="1:40" ht="77.25" customHeight="1" thickBot="1" x14ac:dyDescent="0.25">
      <c r="A9" s="246"/>
      <c r="B9" s="247"/>
      <c r="C9" s="77"/>
      <c r="D9" s="249"/>
      <c r="E9" s="73"/>
      <c r="F9" s="253"/>
      <c r="G9" s="254"/>
      <c r="H9" s="255"/>
      <c r="I9" s="152"/>
      <c r="J9" s="90" t="s">
        <v>6</v>
      </c>
      <c r="K9" s="90" t="s">
        <v>7</v>
      </c>
      <c r="L9" s="90" t="s">
        <v>8</v>
      </c>
      <c r="M9" s="256"/>
      <c r="N9" s="73"/>
      <c r="O9" s="237"/>
      <c r="P9" s="73"/>
      <c r="Q9" s="237"/>
      <c r="R9" s="73"/>
      <c r="S9" s="237"/>
      <c r="T9" s="73"/>
      <c r="U9" s="241"/>
      <c r="V9" s="73"/>
      <c r="W9" s="237"/>
      <c r="X9" s="243"/>
      <c r="Y9" s="245"/>
      <c r="Z9" s="227"/>
      <c r="AA9" s="228"/>
      <c r="AB9" s="230"/>
      <c r="AC9" s="232"/>
      <c r="AD9" s="239"/>
      <c r="AE9" s="234"/>
      <c r="AF9" s="234"/>
      <c r="AG9" s="236"/>
      <c r="AH9" s="236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44228</v>
      </c>
      <c r="C10" s="92"/>
      <c r="D10" s="147">
        <f>'Suivi EAU-ELEC'!C16</f>
        <v>175</v>
      </c>
      <c r="E10" s="151"/>
      <c r="F10" s="210">
        <f t="shared" ref="F10:F40" si="0">D10*12.67</f>
        <v>2217.25</v>
      </c>
      <c r="G10" s="211"/>
      <c r="H10" s="212"/>
      <c r="I10" s="142"/>
      <c r="J10" s="93">
        <f>'Suivi EAU-ELEC'!E16</f>
        <v>3461</v>
      </c>
      <c r="K10" s="94">
        <f>'Suivi EAU-ELEC'!G16</f>
        <v>4700</v>
      </c>
      <c r="L10" s="94">
        <f>'Suivi EAU-ELEC'!I16</f>
        <v>2184</v>
      </c>
      <c r="M10" s="82">
        <f>L10+K10+J10</f>
        <v>10345</v>
      </c>
      <c r="N10" s="58"/>
      <c r="O10" s="59">
        <f>J10*0.99+K10*0.99+L10*0.99</f>
        <v>10241.549999999999</v>
      </c>
      <c r="P10" s="57"/>
      <c r="Q10" s="55"/>
      <c r="R10" s="56"/>
      <c r="S10" s="55"/>
      <c r="T10" s="95"/>
      <c r="U10" s="60">
        <f>'Suivi Gaz'!O11</f>
        <v>408.1</v>
      </c>
      <c r="V10" s="58"/>
      <c r="W10" s="59">
        <f>U10*9.157</f>
        <v>3736.9717000000001</v>
      </c>
      <c r="X10" s="65">
        <v>18678.39</v>
      </c>
      <c r="Y10" s="153">
        <f t="shared" ref="Y10:Y40" si="1">IF(X11&lt;X10,0,X11-X10)</f>
        <v>9.2200000000011642</v>
      </c>
      <c r="Z10" s="64">
        <f>Y10*0.53*1000</f>
        <v>4886.600000000617</v>
      </c>
      <c r="AA10" s="58"/>
      <c r="AB10" s="61">
        <v>22</v>
      </c>
      <c r="AC10" s="161">
        <v>27</v>
      </c>
      <c r="AD10" s="79">
        <v>0.2109</v>
      </c>
      <c r="AE10" s="83">
        <v>26.5</v>
      </c>
      <c r="AF10" s="83">
        <v>27.5</v>
      </c>
      <c r="AG10" s="80" t="s">
        <v>85</v>
      </c>
      <c r="AH10" s="81" t="s">
        <v>85</v>
      </c>
      <c r="AI10" s="145"/>
      <c r="AJ10" s="127">
        <f t="shared" ref="AJ10:AJ40" si="2">(F10+O10+W10+Z10)</f>
        <v>21082.371700000615</v>
      </c>
      <c r="AK10" s="128">
        <f t="shared" ref="AK10:AK40" si="3">AJ10/AC10</f>
        <v>780.82858148150422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44229</v>
      </c>
      <c r="C11" s="92"/>
      <c r="D11" s="147">
        <f>'Suivi EAU-ELEC'!C17</f>
        <v>407</v>
      </c>
      <c r="E11" s="95"/>
      <c r="F11" s="210">
        <f t="shared" si="0"/>
        <v>5156.6899999999996</v>
      </c>
      <c r="G11" s="211"/>
      <c r="H11" s="212"/>
      <c r="I11" s="142"/>
      <c r="J11" s="93">
        <f>'Suivi EAU-ELEC'!E17</f>
        <v>2875</v>
      </c>
      <c r="K11" s="94">
        <f>'Suivi EAU-ELEC'!G17</f>
        <v>4572</v>
      </c>
      <c r="L11" s="94">
        <f>'Suivi EAU-ELEC'!I17</f>
        <v>1964</v>
      </c>
      <c r="M11" s="82">
        <f t="shared" ref="M11:M40" si="4">L11+K11+J11</f>
        <v>9411</v>
      </c>
      <c r="N11" s="58"/>
      <c r="O11" s="59">
        <f t="shared" ref="O11:O40" si="5">J11*0.99+K11*0.99+L11*0.99</f>
        <v>9316.89</v>
      </c>
      <c r="P11" s="57"/>
      <c r="Q11" s="55"/>
      <c r="R11" s="56"/>
      <c r="S11" s="55"/>
      <c r="T11" s="95"/>
      <c r="U11" s="60">
        <f>'Suivi Gaz'!O12</f>
        <v>111.30000000000001</v>
      </c>
      <c r="V11" s="58"/>
      <c r="W11" s="59">
        <f>U11*9.157</f>
        <v>1019.1741000000001</v>
      </c>
      <c r="X11" s="165">
        <v>18687.61</v>
      </c>
      <c r="Y11" s="148">
        <f t="shared" si="1"/>
        <v>9.1899999999986903</v>
      </c>
      <c r="Z11" s="64">
        <f t="shared" ref="Z11:Z40" si="6">Y11*0.53*1000</f>
        <v>4870.6999999993059</v>
      </c>
      <c r="AA11" s="58"/>
      <c r="AB11" s="61">
        <v>24</v>
      </c>
      <c r="AC11" s="161">
        <v>21</v>
      </c>
      <c r="AD11" s="79">
        <v>0.1721</v>
      </c>
      <c r="AE11" s="83">
        <v>26.3</v>
      </c>
      <c r="AF11" s="83">
        <v>27</v>
      </c>
      <c r="AG11" s="163" t="s">
        <v>85</v>
      </c>
      <c r="AH11" s="164" t="s">
        <v>85</v>
      </c>
      <c r="AI11" s="145"/>
      <c r="AJ11" s="129">
        <f t="shared" si="2"/>
        <v>20363.454099999304</v>
      </c>
      <c r="AK11" s="128">
        <f t="shared" si="3"/>
        <v>969.68829047615736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7">(B11+1)</f>
        <v>44230</v>
      </c>
      <c r="C12" s="92"/>
      <c r="D12" s="147">
        <f>'Suivi EAU-ELEC'!C18</f>
        <v>200</v>
      </c>
      <c r="E12" s="95"/>
      <c r="F12" s="210">
        <f t="shared" si="0"/>
        <v>2534</v>
      </c>
      <c r="G12" s="211"/>
      <c r="H12" s="212"/>
      <c r="I12" s="142"/>
      <c r="J12" s="93">
        <f>'Suivi EAU-ELEC'!E18</f>
        <v>3354</v>
      </c>
      <c r="K12" s="94">
        <f>'Suivi EAU-ELEC'!G18</f>
        <v>4994</v>
      </c>
      <c r="L12" s="94">
        <f>'Suivi EAU-ELEC'!I18</f>
        <v>2078</v>
      </c>
      <c r="M12" s="82">
        <f t="shared" si="4"/>
        <v>10426</v>
      </c>
      <c r="N12" s="58"/>
      <c r="O12" s="59">
        <f t="shared" si="5"/>
        <v>10321.74</v>
      </c>
      <c r="P12" s="57"/>
      <c r="Q12" s="55"/>
      <c r="R12" s="56"/>
      <c r="S12" s="55"/>
      <c r="T12" s="95"/>
      <c r="U12" s="60">
        <f>'Suivi Gaz'!O13</f>
        <v>111.30000000000001</v>
      </c>
      <c r="V12" s="58"/>
      <c r="W12" s="59">
        <f t="shared" ref="W12:W40" si="8">U12*9.157</f>
        <v>1019.1741000000001</v>
      </c>
      <c r="X12" s="65">
        <v>18696.8</v>
      </c>
      <c r="Y12" s="148">
        <f t="shared" si="1"/>
        <v>13.240000000001601</v>
      </c>
      <c r="Z12" s="64">
        <f t="shared" si="6"/>
        <v>7017.2000000008493</v>
      </c>
      <c r="AA12" s="58"/>
      <c r="AB12" s="61">
        <v>23</v>
      </c>
      <c r="AC12" s="78">
        <v>16</v>
      </c>
      <c r="AD12" s="79">
        <v>0.1212</v>
      </c>
      <c r="AE12" s="83">
        <v>26.5</v>
      </c>
      <c r="AF12" s="83">
        <v>27</v>
      </c>
      <c r="AG12" s="80" t="s">
        <v>85</v>
      </c>
      <c r="AH12" s="81" t="s">
        <v>85</v>
      </c>
      <c r="AI12" s="44"/>
      <c r="AJ12" s="129">
        <f t="shared" si="2"/>
        <v>20892.11410000085</v>
      </c>
      <c r="AK12" s="128">
        <f t="shared" si="3"/>
        <v>1305.7571312500531</v>
      </c>
      <c r="AL12" s="75"/>
    </row>
    <row r="13" spans="1:40" ht="32.25" customHeight="1" thickBot="1" x14ac:dyDescent="0.25">
      <c r="A13" s="73"/>
      <c r="B13" s="91">
        <f t="shared" si="7"/>
        <v>44231</v>
      </c>
      <c r="C13" s="92"/>
      <c r="D13" s="147">
        <f>'Suivi EAU-ELEC'!C19</f>
        <v>188</v>
      </c>
      <c r="E13" s="95"/>
      <c r="F13" s="207">
        <f t="shared" si="0"/>
        <v>2381.96</v>
      </c>
      <c r="G13" s="208"/>
      <c r="H13" s="209"/>
      <c r="I13" s="142"/>
      <c r="J13" s="93">
        <f>'Suivi EAU-ELEC'!E19</f>
        <v>3313</v>
      </c>
      <c r="K13" s="94">
        <f>'Suivi EAU-ELEC'!G19</f>
        <v>5166</v>
      </c>
      <c r="L13" s="94">
        <f>'Suivi EAU-ELEC'!I19</f>
        <v>2046</v>
      </c>
      <c r="M13" s="82">
        <f t="shared" si="4"/>
        <v>10525</v>
      </c>
      <c r="N13" s="58"/>
      <c r="O13" s="59">
        <f t="shared" si="5"/>
        <v>10419.75</v>
      </c>
      <c r="P13" s="57"/>
      <c r="Q13" s="55"/>
      <c r="R13" s="56"/>
      <c r="S13" s="55"/>
      <c r="T13" s="95"/>
      <c r="U13" s="60">
        <f>'Suivi Gaz'!O14</f>
        <v>333.90000000000003</v>
      </c>
      <c r="V13" s="58"/>
      <c r="W13" s="59">
        <f t="shared" si="8"/>
        <v>3057.5223000000005</v>
      </c>
      <c r="X13" s="65">
        <v>18710.04</v>
      </c>
      <c r="Y13" s="148">
        <f t="shared" si="1"/>
        <v>13.169999999998254</v>
      </c>
      <c r="Z13" s="64">
        <f t="shared" si="6"/>
        <v>6980.0999999990745</v>
      </c>
      <c r="AA13" s="58"/>
      <c r="AB13" s="61">
        <v>21</v>
      </c>
      <c r="AC13" s="78">
        <v>13</v>
      </c>
      <c r="AD13" s="79">
        <v>9.5600000000000004E-2</v>
      </c>
      <c r="AE13" s="83">
        <v>26.5</v>
      </c>
      <c r="AF13" s="83">
        <v>26.5</v>
      </c>
      <c r="AG13" s="80" t="s">
        <v>85</v>
      </c>
      <c r="AH13" s="81" t="s">
        <v>85</v>
      </c>
      <c r="AI13" s="44"/>
      <c r="AJ13" s="129">
        <f t="shared" si="2"/>
        <v>22839.332299999074</v>
      </c>
      <c r="AK13" s="128">
        <f t="shared" si="3"/>
        <v>1756.8717153845441</v>
      </c>
      <c r="AL13" s="74"/>
    </row>
    <row r="14" spans="1:40" ht="32.25" customHeight="1" thickBot="1" x14ac:dyDescent="0.25">
      <c r="A14" s="73"/>
      <c r="B14" s="91">
        <f t="shared" si="7"/>
        <v>44232</v>
      </c>
      <c r="C14" s="92"/>
      <c r="D14" s="147">
        <f>'Suivi EAU-ELEC'!C20</f>
        <v>438</v>
      </c>
      <c r="E14" s="95"/>
      <c r="F14" s="210">
        <f t="shared" si="0"/>
        <v>5549.46</v>
      </c>
      <c r="G14" s="211"/>
      <c r="H14" s="212"/>
      <c r="I14" s="142"/>
      <c r="J14" s="93">
        <f>'Suivi EAU-ELEC'!E20</f>
        <v>3150</v>
      </c>
      <c r="K14" s="94">
        <f>'Suivi EAU-ELEC'!G20</f>
        <v>4709</v>
      </c>
      <c r="L14" s="94">
        <f>'Suivi EAU-ELEC'!I20</f>
        <v>2005</v>
      </c>
      <c r="M14" s="82">
        <f t="shared" si="4"/>
        <v>9864</v>
      </c>
      <c r="N14" s="58"/>
      <c r="O14" s="59">
        <f t="shared" si="5"/>
        <v>9765.36</v>
      </c>
      <c r="P14" s="57"/>
      <c r="Q14" s="55"/>
      <c r="R14" s="56"/>
      <c r="S14" s="55"/>
      <c r="T14" s="95"/>
      <c r="U14" s="60">
        <f>'Suivi Gaz'!O15</f>
        <v>333.90000000000003</v>
      </c>
      <c r="V14" s="58"/>
      <c r="W14" s="59">
        <f t="shared" si="8"/>
        <v>3057.5223000000005</v>
      </c>
      <c r="X14" s="65">
        <v>18723.21</v>
      </c>
      <c r="Y14" s="148">
        <f t="shared" si="1"/>
        <v>11</v>
      </c>
      <c r="Z14" s="64">
        <f t="shared" si="6"/>
        <v>5830</v>
      </c>
      <c r="AA14" s="58"/>
      <c r="AB14" s="61">
        <v>18</v>
      </c>
      <c r="AC14" s="78">
        <v>17</v>
      </c>
      <c r="AD14" s="79">
        <v>0.1241</v>
      </c>
      <c r="AE14" s="83">
        <v>26.5</v>
      </c>
      <c r="AF14" s="83">
        <v>26.6</v>
      </c>
      <c r="AG14" s="80" t="s">
        <v>85</v>
      </c>
      <c r="AH14" s="81" t="s">
        <v>85</v>
      </c>
      <c r="AI14" s="44"/>
      <c r="AJ14" s="129">
        <f t="shared" si="2"/>
        <v>24202.3423</v>
      </c>
      <c r="AK14" s="128">
        <f t="shared" si="3"/>
        <v>1423.6671941176471</v>
      </c>
      <c r="AL14" s="74"/>
    </row>
    <row r="15" spans="1:40" ht="32.25" customHeight="1" thickBot="1" x14ac:dyDescent="0.25">
      <c r="A15" s="73"/>
      <c r="B15" s="91">
        <f t="shared" si="7"/>
        <v>44233</v>
      </c>
      <c r="C15" s="92"/>
      <c r="D15" s="147">
        <f>'Suivi EAU-ELEC'!C21</f>
        <v>188</v>
      </c>
      <c r="E15" s="95"/>
      <c r="F15" s="213">
        <f t="shared" si="0"/>
        <v>2381.96</v>
      </c>
      <c r="G15" s="214"/>
      <c r="H15" s="215"/>
      <c r="I15" s="144"/>
      <c r="J15" s="93">
        <f>'Suivi EAU-ELEC'!E21</f>
        <v>3145</v>
      </c>
      <c r="K15" s="94">
        <f>'Suivi EAU-ELEC'!G21</f>
        <v>4868</v>
      </c>
      <c r="L15" s="94">
        <f>'Suivi EAU-ELEC'!I21</f>
        <v>2051</v>
      </c>
      <c r="M15" s="82">
        <f t="shared" si="4"/>
        <v>10064</v>
      </c>
      <c r="N15" s="58"/>
      <c r="O15" s="59">
        <f t="shared" si="5"/>
        <v>9963.36</v>
      </c>
      <c r="P15" s="57"/>
      <c r="Q15" s="55"/>
      <c r="R15" s="56"/>
      <c r="S15" s="55"/>
      <c r="T15" s="95"/>
      <c r="U15" s="60">
        <f>'Suivi Gaz'!O16</f>
        <v>593.6</v>
      </c>
      <c r="V15" s="58"/>
      <c r="W15" s="59">
        <f t="shared" si="8"/>
        <v>5435.5952000000007</v>
      </c>
      <c r="X15" s="65">
        <v>18734.21</v>
      </c>
      <c r="Y15" s="148">
        <f t="shared" si="1"/>
        <v>14.150000000001455</v>
      </c>
      <c r="Z15" s="64">
        <f t="shared" si="6"/>
        <v>7499.5000000007713</v>
      </c>
      <c r="AA15" s="58"/>
      <c r="AB15" s="61">
        <v>14</v>
      </c>
      <c r="AC15" s="78">
        <v>16</v>
      </c>
      <c r="AD15" s="79">
        <v>0.1168</v>
      </c>
      <c r="AE15" s="83">
        <v>26</v>
      </c>
      <c r="AF15" s="83">
        <v>26.5</v>
      </c>
      <c r="AG15" s="80" t="s">
        <v>85</v>
      </c>
      <c r="AH15" s="81" t="s">
        <v>85</v>
      </c>
      <c r="AI15" s="44"/>
      <c r="AJ15" s="129">
        <f t="shared" si="2"/>
        <v>25280.415200000771</v>
      </c>
      <c r="AK15" s="128">
        <f t="shared" si="3"/>
        <v>1580.0259500000482</v>
      </c>
      <c r="AL15" s="74"/>
    </row>
    <row r="16" spans="1:40" ht="32.25" customHeight="1" thickBot="1" x14ac:dyDescent="0.25">
      <c r="A16" s="73"/>
      <c r="B16" s="91">
        <f t="shared" si="7"/>
        <v>44234</v>
      </c>
      <c r="C16" s="92"/>
      <c r="D16" s="147">
        <f>'Suivi EAU-ELEC'!C22</f>
        <v>184</v>
      </c>
      <c r="E16" s="95"/>
      <c r="F16" s="207">
        <f t="shared" si="0"/>
        <v>2331.2800000000002</v>
      </c>
      <c r="G16" s="208"/>
      <c r="H16" s="209"/>
      <c r="I16" s="141"/>
      <c r="J16" s="93">
        <f>'Suivi EAU-ELEC'!E22</f>
        <v>3116</v>
      </c>
      <c r="K16" s="94">
        <f>'Suivi EAU-ELEC'!G22</f>
        <v>5057</v>
      </c>
      <c r="L16" s="94">
        <f>'Suivi EAU-ELEC'!I22</f>
        <v>2018</v>
      </c>
      <c r="M16" s="82">
        <f t="shared" si="4"/>
        <v>10191</v>
      </c>
      <c r="N16" s="58"/>
      <c r="O16" s="59">
        <f t="shared" si="5"/>
        <v>10089.09</v>
      </c>
      <c r="P16" s="57"/>
      <c r="Q16" s="55"/>
      <c r="R16" s="56"/>
      <c r="S16" s="55"/>
      <c r="T16" s="95"/>
      <c r="U16" s="60">
        <f>'Suivi Gaz'!O17</f>
        <v>556.5</v>
      </c>
      <c r="V16" s="58"/>
      <c r="W16" s="59">
        <f t="shared" si="8"/>
        <v>5095.8705</v>
      </c>
      <c r="X16" s="65">
        <v>18748.36</v>
      </c>
      <c r="Y16" s="148">
        <f t="shared" si="1"/>
        <v>13.520000000000437</v>
      </c>
      <c r="Z16" s="64">
        <f t="shared" si="6"/>
        <v>7165.6000000002314</v>
      </c>
      <c r="AA16" s="58"/>
      <c r="AB16" s="61">
        <v>13</v>
      </c>
      <c r="AC16" s="78">
        <v>11</v>
      </c>
      <c r="AD16" s="79">
        <v>8.0299999999999996E-2</v>
      </c>
      <c r="AE16" s="83">
        <v>26</v>
      </c>
      <c r="AF16" s="83">
        <v>27</v>
      </c>
      <c r="AG16" s="80" t="s">
        <v>85</v>
      </c>
      <c r="AH16" s="81" t="s">
        <v>85</v>
      </c>
      <c r="AI16" s="44"/>
      <c r="AJ16" s="129">
        <f t="shared" si="2"/>
        <v>24681.840500000231</v>
      </c>
      <c r="AK16" s="128">
        <f t="shared" si="3"/>
        <v>2243.8036818182027</v>
      </c>
      <c r="AL16" s="74"/>
    </row>
    <row r="17" spans="1:256" ht="32.25" customHeight="1" thickBot="1" x14ac:dyDescent="0.25">
      <c r="A17" s="73"/>
      <c r="B17" s="91">
        <f t="shared" si="7"/>
        <v>44235</v>
      </c>
      <c r="C17" s="92"/>
      <c r="D17" s="147">
        <f>'Suivi EAU-ELEC'!C23</f>
        <v>371</v>
      </c>
      <c r="E17" s="95"/>
      <c r="F17" s="210">
        <f t="shared" si="0"/>
        <v>4700.57</v>
      </c>
      <c r="G17" s="211"/>
      <c r="H17" s="212"/>
      <c r="I17" s="142"/>
      <c r="J17" s="93">
        <f>'Suivi EAU-ELEC'!E23</f>
        <v>3181</v>
      </c>
      <c r="K17" s="94">
        <f>'Suivi EAU-ELEC'!G23</f>
        <v>4491</v>
      </c>
      <c r="L17" s="94">
        <f>'Suivi EAU-ELEC'!I23</f>
        <v>1993</v>
      </c>
      <c r="M17" s="82">
        <f t="shared" si="4"/>
        <v>9665</v>
      </c>
      <c r="N17" s="58"/>
      <c r="O17" s="59">
        <f t="shared" si="5"/>
        <v>9568.35</v>
      </c>
      <c r="P17" s="57"/>
      <c r="Q17" s="55"/>
      <c r="R17" s="56"/>
      <c r="S17" s="55"/>
      <c r="T17" s="95"/>
      <c r="U17" s="60">
        <f>'Suivi Gaz'!O18</f>
        <v>371</v>
      </c>
      <c r="V17" s="58"/>
      <c r="W17" s="59">
        <f t="shared" si="8"/>
        <v>3397.2469999999998</v>
      </c>
      <c r="X17" s="65">
        <v>18761.88</v>
      </c>
      <c r="Y17" s="148">
        <f t="shared" si="1"/>
        <v>13.020000000000437</v>
      </c>
      <c r="Z17" s="64">
        <f t="shared" si="6"/>
        <v>6900.6000000002314</v>
      </c>
      <c r="AA17" s="67"/>
      <c r="AB17" s="61">
        <v>16</v>
      </c>
      <c r="AC17" s="78">
        <v>9</v>
      </c>
      <c r="AD17" s="79">
        <v>6.7199999999999996E-2</v>
      </c>
      <c r="AE17" s="83">
        <v>26</v>
      </c>
      <c r="AF17" s="83">
        <v>27</v>
      </c>
      <c r="AG17" s="80" t="s">
        <v>85</v>
      </c>
      <c r="AH17" s="81" t="s">
        <v>85</v>
      </c>
      <c r="AI17" s="44"/>
      <c r="AJ17" s="129">
        <f t="shared" si="2"/>
        <v>24566.767000000233</v>
      </c>
      <c r="AK17" s="128">
        <f t="shared" si="3"/>
        <v>2729.6407777778036</v>
      </c>
      <c r="AL17" s="74"/>
    </row>
    <row r="18" spans="1:256" ht="32.25" customHeight="1" thickBot="1" x14ac:dyDescent="0.25">
      <c r="A18" s="73"/>
      <c r="B18" s="91">
        <f t="shared" si="7"/>
        <v>44236</v>
      </c>
      <c r="C18" s="92"/>
      <c r="D18" s="147">
        <f>'Suivi EAU-ELEC'!C24</f>
        <v>0</v>
      </c>
      <c r="E18" s="95"/>
      <c r="F18" s="213">
        <f t="shared" si="0"/>
        <v>0</v>
      </c>
      <c r="G18" s="214"/>
      <c r="H18" s="215"/>
      <c r="I18" s="142"/>
      <c r="J18" s="93">
        <f>'Suivi EAU-ELEC'!E24</f>
        <v>0</v>
      </c>
      <c r="K18" s="94">
        <f>'Suivi EAU-ELEC'!G24</f>
        <v>0</v>
      </c>
      <c r="L18" s="94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5"/>
      <c r="U18" s="60">
        <f>'Suivi Gaz'!O19</f>
        <v>0</v>
      </c>
      <c r="V18" s="58"/>
      <c r="W18" s="59">
        <f t="shared" si="8"/>
        <v>0</v>
      </c>
      <c r="X18" s="65">
        <v>18774.900000000001</v>
      </c>
      <c r="Y18" s="148">
        <f t="shared" si="1"/>
        <v>0</v>
      </c>
      <c r="Z18" s="64">
        <f t="shared" si="6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29">
        <f t="shared" si="2"/>
        <v>0</v>
      </c>
      <c r="AK18" s="128" t="e">
        <f t="shared" si="3"/>
        <v>#DIV/0!</v>
      </c>
      <c r="AL18" s="74"/>
    </row>
    <row r="19" spans="1:256" ht="32.25" customHeight="1" thickBot="1" x14ac:dyDescent="0.25">
      <c r="A19" s="73"/>
      <c r="B19" s="91">
        <f t="shared" si="7"/>
        <v>44237</v>
      </c>
      <c r="C19" s="92"/>
      <c r="D19" s="147">
        <f>'Suivi EAU-ELEC'!C25</f>
        <v>0</v>
      </c>
      <c r="E19" s="95"/>
      <c r="F19" s="210">
        <f t="shared" si="0"/>
        <v>0</v>
      </c>
      <c r="G19" s="211"/>
      <c r="H19" s="212"/>
      <c r="I19" s="142"/>
      <c r="J19" s="93">
        <f>'Suivi EAU-ELEC'!E25</f>
        <v>0</v>
      </c>
      <c r="K19" s="94">
        <f>'Suivi EAU-ELEC'!G25</f>
        <v>0</v>
      </c>
      <c r="L19" s="94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5"/>
      <c r="U19" s="60">
        <f>'Suivi Gaz'!O20</f>
        <v>0</v>
      </c>
      <c r="V19" s="58"/>
      <c r="W19" s="59">
        <f t="shared" si="8"/>
        <v>0</v>
      </c>
      <c r="X19" s="65"/>
      <c r="Y19" s="148">
        <f t="shared" si="1"/>
        <v>0</v>
      </c>
      <c r="Z19" s="64">
        <f t="shared" si="6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29">
        <f t="shared" si="2"/>
        <v>0</v>
      </c>
      <c r="AK19" s="128" t="e">
        <f t="shared" si="3"/>
        <v>#DIV/0!</v>
      </c>
      <c r="AL19" s="74"/>
    </row>
    <row r="20" spans="1:256" ht="32.25" customHeight="1" thickBot="1" x14ac:dyDescent="0.25">
      <c r="A20" s="73"/>
      <c r="B20" s="91">
        <f t="shared" si="7"/>
        <v>44238</v>
      </c>
      <c r="C20" s="92"/>
      <c r="D20" s="147">
        <f>'Suivi EAU-ELEC'!C26</f>
        <v>0</v>
      </c>
      <c r="E20" s="95"/>
      <c r="F20" s="207">
        <f t="shared" si="0"/>
        <v>0</v>
      </c>
      <c r="G20" s="208"/>
      <c r="H20" s="209"/>
      <c r="I20" s="142"/>
      <c r="J20" s="93">
        <f>'Suivi EAU-ELEC'!E26</f>
        <v>0</v>
      </c>
      <c r="K20" s="94">
        <f>'Suivi EAU-ELEC'!G26</f>
        <v>0</v>
      </c>
      <c r="L20" s="94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5"/>
      <c r="U20" s="60">
        <f>'Suivi Gaz'!O21</f>
        <v>0</v>
      </c>
      <c r="V20" s="58"/>
      <c r="W20" s="59">
        <f t="shared" si="8"/>
        <v>0</v>
      </c>
      <c r="X20" s="65"/>
      <c r="Y20" s="148">
        <f t="shared" si="1"/>
        <v>0</v>
      </c>
      <c r="Z20" s="64">
        <f t="shared" si="6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29">
        <f t="shared" si="2"/>
        <v>0</v>
      </c>
      <c r="AK20" s="128" t="e">
        <f t="shared" si="3"/>
        <v>#DIV/0!</v>
      </c>
      <c r="AL20" s="74"/>
    </row>
    <row r="21" spans="1:256" ht="32.25" customHeight="1" thickBot="1" x14ac:dyDescent="0.25">
      <c r="A21" s="73"/>
      <c r="B21" s="91">
        <f t="shared" si="7"/>
        <v>44239</v>
      </c>
      <c r="C21" s="92"/>
      <c r="D21" s="147">
        <f>'Suivi EAU-ELEC'!C27</f>
        <v>0</v>
      </c>
      <c r="E21" s="95"/>
      <c r="F21" s="210">
        <f t="shared" si="0"/>
        <v>0</v>
      </c>
      <c r="G21" s="211"/>
      <c r="H21" s="212"/>
      <c r="I21" s="142"/>
      <c r="J21" s="93">
        <f>'Suivi EAU-ELEC'!E27</f>
        <v>0</v>
      </c>
      <c r="K21" s="94">
        <f>'Suivi EAU-ELEC'!G27</f>
        <v>0</v>
      </c>
      <c r="L21" s="94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5"/>
      <c r="U21" s="60">
        <f>'Suivi Gaz'!O22</f>
        <v>0</v>
      </c>
      <c r="V21" s="58"/>
      <c r="W21" s="59">
        <f t="shared" si="8"/>
        <v>0</v>
      </c>
      <c r="X21" s="65"/>
      <c r="Y21" s="148">
        <f t="shared" si="1"/>
        <v>0</v>
      </c>
      <c r="Z21" s="64">
        <f t="shared" si="6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29">
        <f t="shared" si="2"/>
        <v>0</v>
      </c>
      <c r="AK21" s="128" t="e">
        <f>AJ21/AC21</f>
        <v>#DIV/0!</v>
      </c>
      <c r="AL21" s="74"/>
    </row>
    <row r="22" spans="1:256" ht="32.25" customHeight="1" thickBot="1" x14ac:dyDescent="0.25">
      <c r="A22" s="73"/>
      <c r="B22" s="91">
        <f t="shared" si="7"/>
        <v>44240</v>
      </c>
      <c r="C22" s="92"/>
      <c r="D22" s="147">
        <f>'Suivi EAU-ELEC'!C28</f>
        <v>0</v>
      </c>
      <c r="E22" s="95"/>
      <c r="F22" s="213">
        <f t="shared" si="0"/>
        <v>0</v>
      </c>
      <c r="G22" s="214"/>
      <c r="H22" s="215"/>
      <c r="I22" s="142"/>
      <c r="J22" s="93">
        <f>'Suivi EAU-ELEC'!E28</f>
        <v>0</v>
      </c>
      <c r="K22" s="94">
        <f>'Suivi EAU-ELEC'!G28</f>
        <v>0</v>
      </c>
      <c r="L22" s="94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5"/>
      <c r="U22" s="60">
        <f>'Suivi Gaz'!O23</f>
        <v>0</v>
      </c>
      <c r="V22" s="58"/>
      <c r="W22" s="59">
        <f t="shared" si="8"/>
        <v>0</v>
      </c>
      <c r="X22" s="65"/>
      <c r="Y22" s="148">
        <f t="shared" si="1"/>
        <v>0</v>
      </c>
      <c r="Z22" s="64">
        <f t="shared" si="6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29">
        <f t="shared" si="2"/>
        <v>0</v>
      </c>
      <c r="AK22" s="128" t="e">
        <f t="shared" si="3"/>
        <v>#DIV/0!</v>
      </c>
      <c r="AL22" s="74"/>
    </row>
    <row r="23" spans="1:256" ht="32.25" customHeight="1" thickBot="1" x14ac:dyDescent="0.25">
      <c r="A23" s="73"/>
      <c r="B23" s="91">
        <f t="shared" si="7"/>
        <v>44241</v>
      </c>
      <c r="C23" s="92"/>
      <c r="D23" s="147">
        <f>'Suivi EAU-ELEC'!C29</f>
        <v>0</v>
      </c>
      <c r="E23" s="95"/>
      <c r="F23" s="210">
        <f t="shared" si="0"/>
        <v>0</v>
      </c>
      <c r="G23" s="211"/>
      <c r="H23" s="212"/>
      <c r="I23" s="142"/>
      <c r="J23" s="93">
        <f>'Suivi EAU-ELEC'!E29</f>
        <v>0</v>
      </c>
      <c r="K23" s="94">
        <f>'Suivi EAU-ELEC'!G29</f>
        <v>0</v>
      </c>
      <c r="L23" s="94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5"/>
      <c r="U23" s="60">
        <f>'Suivi Gaz'!O24</f>
        <v>0</v>
      </c>
      <c r="V23" s="58"/>
      <c r="W23" s="59">
        <f t="shared" si="8"/>
        <v>0</v>
      </c>
      <c r="X23" s="65"/>
      <c r="Y23" s="148">
        <f t="shared" si="1"/>
        <v>0</v>
      </c>
      <c r="Z23" s="64">
        <f t="shared" si="6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29">
        <f t="shared" si="2"/>
        <v>0</v>
      </c>
      <c r="AK23" s="128" t="e">
        <f t="shared" si="3"/>
        <v>#DIV/0!</v>
      </c>
      <c r="AL23" s="74"/>
    </row>
    <row r="24" spans="1:256" ht="32.25" customHeight="1" thickBot="1" x14ac:dyDescent="0.25">
      <c r="A24" s="73"/>
      <c r="B24" s="91">
        <f t="shared" si="7"/>
        <v>44242</v>
      </c>
      <c r="C24" s="92"/>
      <c r="D24" s="147">
        <f>'Suivi EAU-ELEC'!C30</f>
        <v>0</v>
      </c>
      <c r="E24" s="95"/>
      <c r="F24" s="210">
        <f t="shared" si="0"/>
        <v>0</v>
      </c>
      <c r="G24" s="211"/>
      <c r="H24" s="212"/>
      <c r="I24" s="142"/>
      <c r="J24" s="93">
        <f>'Suivi EAU-ELEC'!E30</f>
        <v>0</v>
      </c>
      <c r="K24" s="94">
        <f>'Suivi EAU-ELEC'!G30</f>
        <v>0</v>
      </c>
      <c r="L24" s="94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5"/>
      <c r="U24" s="60">
        <f>'Suivi Gaz'!O25</f>
        <v>0</v>
      </c>
      <c r="V24" s="58"/>
      <c r="W24" s="59">
        <f t="shared" si="8"/>
        <v>0</v>
      </c>
      <c r="X24" s="65"/>
      <c r="Y24" s="148">
        <f t="shared" si="1"/>
        <v>0</v>
      </c>
      <c r="Z24" s="64">
        <f t="shared" si="6"/>
        <v>0</v>
      </c>
      <c r="AA24" s="58"/>
      <c r="AB24" s="61"/>
      <c r="AC24" s="78"/>
      <c r="AD24" s="79"/>
      <c r="AE24" s="83"/>
      <c r="AF24" s="83"/>
      <c r="AG24" s="80"/>
      <c r="AH24" s="81"/>
      <c r="AJ24" s="129">
        <f>(F24+O24+W24+Z24)</f>
        <v>0</v>
      </c>
      <c r="AK24" s="128" t="e">
        <f t="shared" si="3"/>
        <v>#DIV/0!</v>
      </c>
      <c r="AL24" s="74"/>
    </row>
    <row r="25" spans="1:256" ht="32.25" customHeight="1" thickBot="1" x14ac:dyDescent="0.25">
      <c r="A25" s="73"/>
      <c r="B25" s="91">
        <f t="shared" si="7"/>
        <v>44243</v>
      </c>
      <c r="C25" s="92"/>
      <c r="D25" s="147">
        <f>'Suivi EAU-ELEC'!C31</f>
        <v>0</v>
      </c>
      <c r="E25" s="95"/>
      <c r="F25" s="210">
        <f t="shared" si="0"/>
        <v>0</v>
      </c>
      <c r="G25" s="211"/>
      <c r="H25" s="212"/>
      <c r="I25" s="142"/>
      <c r="J25" s="93">
        <f>'Suivi EAU-ELEC'!E31</f>
        <v>0</v>
      </c>
      <c r="K25" s="94">
        <f>'Suivi EAU-ELEC'!G31</f>
        <v>0</v>
      </c>
      <c r="L25" s="94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5"/>
      <c r="U25" s="60">
        <f>'Suivi Gaz'!O26</f>
        <v>0</v>
      </c>
      <c r="V25" s="58"/>
      <c r="W25" s="59">
        <f t="shared" si="8"/>
        <v>0</v>
      </c>
      <c r="X25" s="65"/>
      <c r="Y25" s="148">
        <f t="shared" si="1"/>
        <v>0</v>
      </c>
      <c r="Z25" s="64">
        <f t="shared" si="6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29">
        <f>(F25+O25+W25+Z25)</f>
        <v>0</v>
      </c>
      <c r="AK25" s="128" t="e">
        <f t="shared" si="3"/>
        <v>#DIV/0!</v>
      </c>
      <c r="AL25" s="74"/>
    </row>
    <row r="26" spans="1:256" ht="32.25" customHeight="1" thickBot="1" x14ac:dyDescent="0.25">
      <c r="A26" s="73"/>
      <c r="B26" s="91">
        <f t="shared" si="7"/>
        <v>44244</v>
      </c>
      <c r="C26" s="92"/>
      <c r="D26" s="147">
        <f>'Suivi EAU-ELEC'!C32</f>
        <v>0</v>
      </c>
      <c r="E26" s="150"/>
      <c r="F26" s="210">
        <f t="shared" si="0"/>
        <v>0</v>
      </c>
      <c r="G26" s="211"/>
      <c r="H26" s="212"/>
      <c r="I26" s="142"/>
      <c r="J26" s="93">
        <f>'Suivi EAU-ELEC'!E32</f>
        <v>0</v>
      </c>
      <c r="K26" s="94">
        <f>'Suivi EAU-ELEC'!G32</f>
        <v>0</v>
      </c>
      <c r="L26" s="94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5"/>
      <c r="U26" s="60">
        <f>'Suivi Gaz'!O27</f>
        <v>0</v>
      </c>
      <c r="V26" s="84"/>
      <c r="W26" s="59">
        <f t="shared" si="8"/>
        <v>0</v>
      </c>
      <c r="X26" s="65"/>
      <c r="Y26" s="148">
        <f t="shared" si="1"/>
        <v>0</v>
      </c>
      <c r="Z26" s="64">
        <f t="shared" si="6"/>
        <v>0</v>
      </c>
      <c r="AA26" s="84"/>
      <c r="AB26" s="61"/>
      <c r="AC26" s="78"/>
      <c r="AD26" s="79"/>
      <c r="AE26" s="83"/>
      <c r="AF26" s="83"/>
      <c r="AG26" s="80"/>
      <c r="AH26" s="81"/>
      <c r="AI26" s="44"/>
      <c r="AJ26" s="129">
        <f>(F26+O26+W26+Z26)</f>
        <v>0</v>
      </c>
      <c r="AK26" s="128" t="e">
        <f t="shared" si="3"/>
        <v>#DIV/0!</v>
      </c>
      <c r="AL26" s="74"/>
    </row>
    <row r="27" spans="1:256" ht="32.25" customHeight="1" thickBot="1" x14ac:dyDescent="0.25">
      <c r="A27" s="73"/>
      <c r="B27" s="91">
        <f t="shared" si="7"/>
        <v>44245</v>
      </c>
      <c r="C27" s="92"/>
      <c r="D27" s="147">
        <f>'Suivi EAU-ELEC'!C33</f>
        <v>0</v>
      </c>
      <c r="E27" s="150"/>
      <c r="F27" s="210">
        <f t="shared" si="0"/>
        <v>0</v>
      </c>
      <c r="G27" s="211"/>
      <c r="H27" s="212"/>
      <c r="I27" s="142"/>
      <c r="J27" s="93">
        <f>'Suivi EAU-ELEC'!E33</f>
        <v>0</v>
      </c>
      <c r="K27" s="94">
        <f>'Suivi EAU-ELEC'!G33</f>
        <v>0</v>
      </c>
      <c r="L27" s="94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5"/>
      <c r="U27" s="60">
        <f>'Suivi Gaz'!O28</f>
        <v>0</v>
      </c>
      <c r="V27" s="84"/>
      <c r="W27" s="59">
        <f t="shared" si="8"/>
        <v>0</v>
      </c>
      <c r="X27" s="65"/>
      <c r="Y27" s="148">
        <f t="shared" si="1"/>
        <v>0</v>
      </c>
      <c r="Z27" s="64">
        <f t="shared" si="6"/>
        <v>0</v>
      </c>
      <c r="AA27" s="84"/>
      <c r="AB27" s="61"/>
      <c r="AC27" s="78"/>
      <c r="AD27" s="79"/>
      <c r="AE27" s="83"/>
      <c r="AF27" s="83"/>
      <c r="AG27" s="80"/>
      <c r="AH27" s="81"/>
      <c r="AI27" s="44"/>
      <c r="AJ27" s="129">
        <f t="shared" si="2"/>
        <v>0</v>
      </c>
      <c r="AK27" s="128" t="e">
        <f t="shared" si="3"/>
        <v>#DIV/0!</v>
      </c>
      <c r="AL27" s="74"/>
    </row>
    <row r="28" spans="1:256" ht="32.25" customHeight="1" thickBot="1" x14ac:dyDescent="0.25">
      <c r="A28" s="73"/>
      <c r="B28" s="91">
        <f t="shared" si="7"/>
        <v>44246</v>
      </c>
      <c r="C28" s="92"/>
      <c r="D28" s="147">
        <f>'Suivi EAU-ELEC'!C34</f>
        <v>0</v>
      </c>
      <c r="E28" s="150"/>
      <c r="F28" s="207">
        <f t="shared" si="0"/>
        <v>0</v>
      </c>
      <c r="G28" s="208"/>
      <c r="H28" s="209"/>
      <c r="I28" s="143"/>
      <c r="J28" s="93">
        <f>'Suivi EAU-ELEC'!E34</f>
        <v>0</v>
      </c>
      <c r="K28" s="94">
        <f>'Suivi EAU-ELEC'!G34</f>
        <v>0</v>
      </c>
      <c r="L28" s="94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5"/>
      <c r="U28" s="60">
        <f>'Suivi Gaz'!O29</f>
        <v>0</v>
      </c>
      <c r="V28" s="84"/>
      <c r="W28" s="59">
        <f t="shared" si="8"/>
        <v>0</v>
      </c>
      <c r="X28" s="65"/>
      <c r="Y28" s="148">
        <f t="shared" si="1"/>
        <v>0</v>
      </c>
      <c r="Z28" s="64">
        <f t="shared" si="6"/>
        <v>0</v>
      </c>
      <c r="AA28" s="84"/>
      <c r="AB28" s="61"/>
      <c r="AC28" s="78"/>
      <c r="AD28" s="79"/>
      <c r="AE28" s="83"/>
      <c r="AF28" s="83"/>
      <c r="AG28" s="80"/>
      <c r="AH28" s="81"/>
      <c r="AI28" s="44"/>
      <c r="AJ28" s="129">
        <f>(F28+O28+W28+Z28)</f>
        <v>0</v>
      </c>
      <c r="AK28" s="128" t="e">
        <f t="shared" si="3"/>
        <v>#DIV/0!</v>
      </c>
      <c r="AL28" s="74"/>
    </row>
    <row r="29" spans="1:256" ht="32.25" customHeight="1" thickBot="1" x14ac:dyDescent="0.25">
      <c r="A29" s="73"/>
      <c r="B29" s="91">
        <f t="shared" si="7"/>
        <v>44247</v>
      </c>
      <c r="C29" s="92"/>
      <c r="D29" s="147">
        <f>'Suivi EAU-ELEC'!C35</f>
        <v>0</v>
      </c>
      <c r="E29" s="150"/>
      <c r="F29" s="210">
        <f t="shared" si="0"/>
        <v>0</v>
      </c>
      <c r="G29" s="211"/>
      <c r="H29" s="212"/>
      <c r="I29" s="143"/>
      <c r="J29" s="93">
        <f>'Suivi EAU-ELEC'!E35</f>
        <v>0</v>
      </c>
      <c r="K29" s="94">
        <f>'Suivi EAU-ELEC'!G35</f>
        <v>0</v>
      </c>
      <c r="L29" s="94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5"/>
      <c r="U29" s="60">
        <f>'Suivi Gaz'!O30</f>
        <v>0</v>
      </c>
      <c r="V29" s="84"/>
      <c r="W29" s="59">
        <f t="shared" si="8"/>
        <v>0</v>
      </c>
      <c r="X29" s="65"/>
      <c r="Y29" s="148">
        <f t="shared" si="1"/>
        <v>0</v>
      </c>
      <c r="Z29" s="64">
        <f t="shared" si="6"/>
        <v>0</v>
      </c>
      <c r="AA29" s="84"/>
      <c r="AB29" s="61"/>
      <c r="AC29" s="78"/>
      <c r="AD29" s="79"/>
      <c r="AE29" s="83"/>
      <c r="AF29" s="83"/>
      <c r="AG29" s="80"/>
      <c r="AH29" s="81"/>
      <c r="AI29" s="44"/>
      <c r="AJ29" s="129">
        <f t="shared" si="2"/>
        <v>0</v>
      </c>
      <c r="AK29" s="128" t="e">
        <f t="shared" si="3"/>
        <v>#DIV/0!</v>
      </c>
      <c r="AL29" s="74"/>
    </row>
    <row r="30" spans="1:256" s="66" customFormat="1" ht="32.25" customHeight="1" thickBot="1" x14ac:dyDescent="0.25">
      <c r="A30" s="96"/>
      <c r="B30" s="91">
        <f t="shared" si="7"/>
        <v>44248</v>
      </c>
      <c r="C30" s="97"/>
      <c r="D30" s="147">
        <f>'Suivi EAU-ELEC'!C36</f>
        <v>0</v>
      </c>
      <c r="E30" s="150"/>
      <c r="F30" s="207">
        <f t="shared" si="0"/>
        <v>0</v>
      </c>
      <c r="G30" s="208"/>
      <c r="H30" s="209"/>
      <c r="I30" s="143"/>
      <c r="J30" s="93">
        <f>'Suivi EAU-ELEC'!E36</f>
        <v>0</v>
      </c>
      <c r="K30" s="94">
        <f>'Suivi EAU-ELEC'!G36</f>
        <v>0</v>
      </c>
      <c r="L30" s="94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5"/>
      <c r="U30" s="60">
        <f>'Suivi Gaz'!O31</f>
        <v>0</v>
      </c>
      <c r="V30" s="84"/>
      <c r="W30" s="59">
        <f t="shared" si="8"/>
        <v>0</v>
      </c>
      <c r="X30" s="65"/>
      <c r="Y30" s="148">
        <f t="shared" si="1"/>
        <v>0</v>
      </c>
      <c r="Z30" s="64">
        <f t="shared" si="6"/>
        <v>0</v>
      </c>
      <c r="AA30" s="84"/>
      <c r="AB30" s="61"/>
      <c r="AC30" s="78"/>
      <c r="AD30" s="79"/>
      <c r="AE30" s="83"/>
      <c r="AF30" s="83"/>
      <c r="AG30" s="80"/>
      <c r="AH30" s="81"/>
      <c r="AI30" s="44"/>
      <c r="AJ30" s="129">
        <f t="shared" si="2"/>
        <v>0</v>
      </c>
      <c r="AK30" s="128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7"/>
        <v>44249</v>
      </c>
      <c r="C31" s="92"/>
      <c r="D31" s="147">
        <f>'Suivi EAU-ELEC'!C37</f>
        <v>0</v>
      </c>
      <c r="E31" s="95"/>
      <c r="F31" s="210">
        <f t="shared" si="0"/>
        <v>0</v>
      </c>
      <c r="G31" s="211"/>
      <c r="H31" s="212"/>
      <c r="I31" s="144"/>
      <c r="J31" s="93">
        <f>'Suivi EAU-ELEC'!E37</f>
        <v>0</v>
      </c>
      <c r="K31" s="94">
        <f>'Suivi EAU-ELEC'!G37</f>
        <v>0</v>
      </c>
      <c r="L31" s="94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5"/>
      <c r="U31" s="60">
        <f>'Suivi Gaz'!O32</f>
        <v>0</v>
      </c>
      <c r="V31" s="58"/>
      <c r="W31" s="59">
        <f t="shared" si="8"/>
        <v>0</v>
      </c>
      <c r="X31" s="65"/>
      <c r="Y31" s="148">
        <f t="shared" si="1"/>
        <v>0</v>
      </c>
      <c r="Z31" s="64">
        <f t="shared" si="6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29">
        <f t="shared" si="2"/>
        <v>0</v>
      </c>
      <c r="AK31" s="128" t="e">
        <f t="shared" si="3"/>
        <v>#DIV/0!</v>
      </c>
      <c r="AL31" s="74"/>
    </row>
    <row r="32" spans="1:256" ht="32.25" customHeight="1" thickBot="1" x14ac:dyDescent="0.25">
      <c r="A32" s="73"/>
      <c r="B32" s="91">
        <f t="shared" si="7"/>
        <v>44250</v>
      </c>
      <c r="C32" s="92"/>
      <c r="D32" s="147">
        <f>'Suivi EAU-ELEC'!C38</f>
        <v>0</v>
      </c>
      <c r="E32" s="95"/>
      <c r="F32" s="210">
        <f t="shared" si="0"/>
        <v>0</v>
      </c>
      <c r="G32" s="211"/>
      <c r="H32" s="212"/>
      <c r="I32" s="141"/>
      <c r="J32" s="93">
        <f>'Suivi EAU-ELEC'!E38</f>
        <v>0</v>
      </c>
      <c r="K32" s="94">
        <f>'Suivi EAU-ELEC'!G38</f>
        <v>0</v>
      </c>
      <c r="L32" s="94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5"/>
      <c r="U32" s="60">
        <f>'Suivi Gaz'!O33</f>
        <v>0</v>
      </c>
      <c r="V32" s="58"/>
      <c r="W32" s="59">
        <f t="shared" si="8"/>
        <v>0</v>
      </c>
      <c r="X32" s="65"/>
      <c r="Y32" s="148">
        <f t="shared" si="1"/>
        <v>0</v>
      </c>
      <c r="Z32" s="64">
        <f t="shared" si="6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29">
        <f t="shared" si="2"/>
        <v>0</v>
      </c>
      <c r="AK32" s="128" t="e">
        <f t="shared" si="3"/>
        <v>#DIV/0!</v>
      </c>
      <c r="AL32" s="74"/>
    </row>
    <row r="33" spans="1:38" ht="32.25" customHeight="1" thickBot="1" x14ac:dyDescent="0.25">
      <c r="A33" s="73"/>
      <c r="B33" s="91">
        <f t="shared" si="7"/>
        <v>44251</v>
      </c>
      <c r="C33" s="92"/>
      <c r="D33" s="147">
        <f>'Suivi EAU-ELEC'!C39</f>
        <v>0</v>
      </c>
      <c r="E33" s="95"/>
      <c r="F33" s="210">
        <f t="shared" si="0"/>
        <v>0</v>
      </c>
      <c r="G33" s="211"/>
      <c r="H33" s="212"/>
      <c r="I33" s="142"/>
      <c r="J33" s="93">
        <f>'Suivi EAU-ELEC'!E39</f>
        <v>0</v>
      </c>
      <c r="K33" s="94">
        <f>'Suivi EAU-ELEC'!G39</f>
        <v>0</v>
      </c>
      <c r="L33" s="94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5"/>
      <c r="U33" s="60">
        <f>'Suivi Gaz'!O34</f>
        <v>0</v>
      </c>
      <c r="V33" s="58"/>
      <c r="W33" s="59">
        <f t="shared" si="8"/>
        <v>0</v>
      </c>
      <c r="X33" s="65"/>
      <c r="Y33" s="148">
        <f t="shared" si="1"/>
        <v>0</v>
      </c>
      <c r="Z33" s="64">
        <f t="shared" si="6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29">
        <f t="shared" si="2"/>
        <v>0</v>
      </c>
      <c r="AK33" s="128" t="e">
        <f t="shared" si="3"/>
        <v>#DIV/0!</v>
      </c>
      <c r="AL33" s="74"/>
    </row>
    <row r="34" spans="1:38" ht="32.25" customHeight="1" thickBot="1" x14ac:dyDescent="0.25">
      <c r="A34" s="98"/>
      <c r="B34" s="91">
        <f t="shared" si="7"/>
        <v>44252</v>
      </c>
      <c r="C34" s="92"/>
      <c r="D34" s="147">
        <f>'Suivi EAU-ELEC'!C40</f>
        <v>0</v>
      </c>
      <c r="E34" s="95"/>
      <c r="F34" s="210">
        <f t="shared" si="0"/>
        <v>0</v>
      </c>
      <c r="G34" s="211"/>
      <c r="H34" s="212"/>
      <c r="I34" s="142"/>
      <c r="J34" s="93">
        <f>'Suivi EAU-ELEC'!E40</f>
        <v>0</v>
      </c>
      <c r="K34" s="94">
        <f>'Suivi EAU-ELEC'!G40</f>
        <v>0</v>
      </c>
      <c r="L34" s="94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5"/>
      <c r="U34" s="60">
        <f>'Suivi Gaz'!O35</f>
        <v>0</v>
      </c>
      <c r="V34" s="58"/>
      <c r="W34" s="59">
        <f t="shared" si="8"/>
        <v>0</v>
      </c>
      <c r="X34" s="65"/>
      <c r="Y34" s="148">
        <f t="shared" si="1"/>
        <v>0</v>
      </c>
      <c r="Z34" s="64">
        <f t="shared" si="6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29">
        <f t="shared" si="2"/>
        <v>0</v>
      </c>
      <c r="AK34" s="128" t="e">
        <f t="shared" si="3"/>
        <v>#DIV/0!</v>
      </c>
      <c r="AL34" s="74"/>
    </row>
    <row r="35" spans="1:38" ht="32.25" customHeight="1" thickBot="1" x14ac:dyDescent="0.25">
      <c r="A35" s="73"/>
      <c r="B35" s="91">
        <f t="shared" si="7"/>
        <v>44253</v>
      </c>
      <c r="C35" s="92"/>
      <c r="D35" s="147">
        <f>'Suivi EAU-ELEC'!C41</f>
        <v>0</v>
      </c>
      <c r="E35" s="95"/>
      <c r="F35" s="213">
        <f t="shared" si="0"/>
        <v>0</v>
      </c>
      <c r="G35" s="214"/>
      <c r="H35" s="215"/>
      <c r="I35" s="142"/>
      <c r="J35" s="93">
        <f>'Suivi EAU-ELEC'!E41</f>
        <v>0</v>
      </c>
      <c r="K35" s="94">
        <f>'Suivi EAU-ELEC'!G41</f>
        <v>0</v>
      </c>
      <c r="L35" s="94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5"/>
      <c r="U35" s="60">
        <f>'Suivi Gaz'!O36</f>
        <v>0</v>
      </c>
      <c r="V35" s="58"/>
      <c r="W35" s="59">
        <f t="shared" si="8"/>
        <v>0</v>
      </c>
      <c r="X35" s="65"/>
      <c r="Y35" s="148">
        <f t="shared" si="1"/>
        <v>0</v>
      </c>
      <c r="Z35" s="64">
        <f t="shared" si="6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29">
        <f t="shared" si="2"/>
        <v>0</v>
      </c>
      <c r="AK35" s="128" t="e">
        <f t="shared" si="3"/>
        <v>#DIV/0!</v>
      </c>
      <c r="AL35" s="74"/>
    </row>
    <row r="36" spans="1:38" ht="32.25" customHeight="1" thickBot="1" x14ac:dyDescent="0.25">
      <c r="A36" s="73"/>
      <c r="B36" s="91">
        <f t="shared" si="7"/>
        <v>44254</v>
      </c>
      <c r="C36" s="92"/>
      <c r="D36" s="147">
        <f>'Suivi EAU-ELEC'!C42</f>
        <v>0</v>
      </c>
      <c r="E36" s="95"/>
      <c r="F36" s="220">
        <f t="shared" si="0"/>
        <v>0</v>
      </c>
      <c r="G36" s="221"/>
      <c r="H36" s="222"/>
      <c r="I36" s="142"/>
      <c r="J36" s="93">
        <f>'Suivi EAU-ELEC'!E42</f>
        <v>0</v>
      </c>
      <c r="K36" s="94">
        <f>'Suivi EAU-ELEC'!G42</f>
        <v>0</v>
      </c>
      <c r="L36" s="94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5"/>
      <c r="U36" s="60">
        <f>'Suivi Gaz'!O37</f>
        <v>0</v>
      </c>
      <c r="V36" s="58"/>
      <c r="W36" s="59">
        <f t="shared" si="8"/>
        <v>0</v>
      </c>
      <c r="X36" s="65"/>
      <c r="Y36" s="148">
        <f t="shared" si="1"/>
        <v>0</v>
      </c>
      <c r="Z36" s="64">
        <f t="shared" si="6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29">
        <f t="shared" si="2"/>
        <v>0</v>
      </c>
      <c r="AK36" s="128" t="e">
        <f t="shared" si="3"/>
        <v>#DIV/0!</v>
      </c>
      <c r="AL36" s="74"/>
    </row>
    <row r="37" spans="1:38" ht="32.25" customHeight="1" thickBot="1" x14ac:dyDescent="0.25">
      <c r="A37" s="73"/>
      <c r="B37" s="91">
        <f t="shared" si="7"/>
        <v>44255</v>
      </c>
      <c r="C37" s="92"/>
      <c r="D37" s="147">
        <f>'Suivi EAU-ELEC'!C43</f>
        <v>0</v>
      </c>
      <c r="E37" s="95"/>
      <c r="F37" s="223">
        <f t="shared" si="0"/>
        <v>0</v>
      </c>
      <c r="G37" s="224"/>
      <c r="H37" s="225"/>
      <c r="I37" s="142"/>
      <c r="J37" s="93">
        <f>'Suivi EAU-ELEC'!E43</f>
        <v>0</v>
      </c>
      <c r="K37" s="94">
        <f>'Suivi EAU-ELEC'!G43</f>
        <v>0</v>
      </c>
      <c r="L37" s="94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5"/>
      <c r="U37" s="60">
        <f>'Suivi Gaz'!O38</f>
        <v>0</v>
      </c>
      <c r="V37" s="58"/>
      <c r="W37" s="59">
        <f t="shared" si="8"/>
        <v>0</v>
      </c>
      <c r="X37" s="65"/>
      <c r="Y37" s="148">
        <f t="shared" si="1"/>
        <v>0</v>
      </c>
      <c r="Z37" s="64">
        <f t="shared" si="6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29">
        <f t="shared" si="2"/>
        <v>0</v>
      </c>
      <c r="AK37" s="128" t="e">
        <f t="shared" si="3"/>
        <v>#DIV/0!</v>
      </c>
      <c r="AL37" s="74"/>
    </row>
    <row r="38" spans="1:38" ht="32.25" customHeight="1" thickBot="1" x14ac:dyDescent="0.25">
      <c r="A38" s="73"/>
      <c r="B38" s="91">
        <f t="shared" si="7"/>
        <v>44256</v>
      </c>
      <c r="C38" s="92"/>
      <c r="D38" s="147">
        <f>'Suivi EAU-ELEC'!C44</f>
        <v>0</v>
      </c>
      <c r="E38" s="95"/>
      <c r="F38" s="207">
        <f t="shared" si="0"/>
        <v>0</v>
      </c>
      <c r="G38" s="208"/>
      <c r="H38" s="209"/>
      <c r="I38" s="142"/>
      <c r="J38" s="93">
        <f>'Suivi EAU-ELEC'!E44</f>
        <v>0</v>
      </c>
      <c r="K38" s="94">
        <f>'Suivi EAU-ELEC'!G44</f>
        <v>0</v>
      </c>
      <c r="L38" s="94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5"/>
      <c r="U38" s="60">
        <f>'Suivi Gaz'!O39</f>
        <v>0</v>
      </c>
      <c r="V38" s="58"/>
      <c r="W38" s="59">
        <f t="shared" si="8"/>
        <v>0</v>
      </c>
      <c r="X38" s="65"/>
      <c r="Y38" s="148">
        <f t="shared" si="1"/>
        <v>0</v>
      </c>
      <c r="Z38" s="64">
        <f t="shared" si="6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29">
        <f t="shared" si="2"/>
        <v>0</v>
      </c>
      <c r="AK38" s="128" t="e">
        <f t="shared" si="3"/>
        <v>#DIV/0!</v>
      </c>
      <c r="AL38" s="74"/>
    </row>
    <row r="39" spans="1:38" ht="32.25" customHeight="1" thickBot="1" x14ac:dyDescent="0.25">
      <c r="A39" s="73"/>
      <c r="B39" s="91">
        <f t="shared" si="7"/>
        <v>44257</v>
      </c>
      <c r="C39" s="92"/>
      <c r="D39" s="147">
        <f>'Suivi EAU-ELEC'!C45</f>
        <v>0</v>
      </c>
      <c r="E39" s="95"/>
      <c r="F39" s="210">
        <f t="shared" si="0"/>
        <v>0</v>
      </c>
      <c r="G39" s="211"/>
      <c r="H39" s="212"/>
      <c r="I39" s="142"/>
      <c r="J39" s="93">
        <f>'Suivi EAU-ELEC'!E45</f>
        <v>0</v>
      </c>
      <c r="K39" s="94">
        <f>'Suivi EAU-ELEC'!G45</f>
        <v>0</v>
      </c>
      <c r="L39" s="94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5"/>
      <c r="U39" s="60">
        <f>'Suivi Gaz'!O40</f>
        <v>0</v>
      </c>
      <c r="V39" s="58"/>
      <c r="W39" s="59">
        <f t="shared" si="8"/>
        <v>0</v>
      </c>
      <c r="X39" s="65"/>
      <c r="Y39" s="148">
        <f t="shared" si="1"/>
        <v>0</v>
      </c>
      <c r="Z39" s="64">
        <f t="shared" si="6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29">
        <f t="shared" si="2"/>
        <v>0</v>
      </c>
      <c r="AK39" s="128" t="e">
        <f t="shared" si="3"/>
        <v>#DIV/0!</v>
      </c>
      <c r="AL39" s="74"/>
    </row>
    <row r="40" spans="1:38" ht="32.25" customHeight="1" thickBot="1" x14ac:dyDescent="0.25">
      <c r="A40" s="73"/>
      <c r="B40" s="91">
        <f t="shared" si="7"/>
        <v>44258</v>
      </c>
      <c r="C40" s="92"/>
      <c r="D40" s="147">
        <f>'Suivi EAU-ELEC'!C46</f>
        <v>0</v>
      </c>
      <c r="E40" s="149"/>
      <c r="F40" s="213">
        <f t="shared" si="0"/>
        <v>0</v>
      </c>
      <c r="G40" s="214"/>
      <c r="H40" s="215"/>
      <c r="I40" s="142"/>
      <c r="J40" s="93">
        <f>'Suivi EAU-ELEC'!E46</f>
        <v>0</v>
      </c>
      <c r="K40" s="94">
        <f>'Suivi EAU-ELEC'!G46</f>
        <v>0</v>
      </c>
      <c r="L40" s="94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5"/>
      <c r="U40" s="60">
        <f>'Suivi Gaz'!O41</f>
        <v>0</v>
      </c>
      <c r="V40" s="58"/>
      <c r="W40" s="59">
        <f t="shared" si="8"/>
        <v>0</v>
      </c>
      <c r="X40" s="65"/>
      <c r="Y40" s="148">
        <f t="shared" si="1"/>
        <v>0</v>
      </c>
      <c r="Z40" s="64">
        <f t="shared" si="6"/>
        <v>0</v>
      </c>
      <c r="AA40" s="58"/>
      <c r="AB40" s="61"/>
      <c r="AC40" s="161"/>
      <c r="AD40" s="79"/>
      <c r="AE40" s="83"/>
      <c r="AF40" s="83"/>
      <c r="AG40" s="80"/>
      <c r="AH40" s="81"/>
      <c r="AI40" s="44"/>
      <c r="AJ40" s="130">
        <f t="shared" si="2"/>
        <v>0</v>
      </c>
      <c r="AK40" s="128" t="e">
        <f t="shared" si="3"/>
        <v>#DIV/0!</v>
      </c>
      <c r="AL40" s="74"/>
    </row>
    <row r="41" spans="1:38" ht="44.25" customHeight="1" thickBot="1" x14ac:dyDescent="0.25">
      <c r="A41" s="73"/>
      <c r="B41" s="99"/>
      <c r="C41" s="100"/>
      <c r="D41" s="162">
        <f>SUM(D10:D37)</f>
        <v>2151</v>
      </c>
      <c r="E41" s="101"/>
      <c r="F41" s="216">
        <f>SUM(F10:H37)</f>
        <v>27253.169999999995</v>
      </c>
      <c r="G41" s="217"/>
      <c r="H41" s="218"/>
      <c r="I41" s="101"/>
      <c r="J41" s="103">
        <f>SUM(J10:J37)</f>
        <v>25595</v>
      </c>
      <c r="K41" s="103">
        <f>SUM(K10:K37)</f>
        <v>38557</v>
      </c>
      <c r="L41" s="103">
        <f>SUM(L10:L37)</f>
        <v>16339</v>
      </c>
      <c r="M41" s="103">
        <f>SUM(M10:M37)</f>
        <v>80491</v>
      </c>
      <c r="N41" s="102"/>
      <c r="O41" s="103">
        <f>SUM(O10:O37)</f>
        <v>79686.090000000011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SUM(U10:U37)</f>
        <v>2819.6000000000004</v>
      </c>
      <c r="V41" s="58"/>
      <c r="W41" s="103">
        <f>SUM(W10:W37)</f>
        <v>25819.077200000003</v>
      </c>
      <c r="X41" s="139"/>
      <c r="Y41" s="103">
        <f>SUM(Y10:Y37)</f>
        <v>96.510000000002037</v>
      </c>
      <c r="Z41" s="103">
        <f>SUM(Z10:Z37)</f>
        <v>51150.30000000108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183908.63720000107</v>
      </c>
      <c r="AK41" s="124" t="e">
        <f>SUM(AK10:AK38)</f>
        <v>#DIV/0!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19"/>
      <c r="G42" s="219"/>
      <c r="H42" s="219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184" t="s">
        <v>9</v>
      </c>
      <c r="B43" s="185"/>
      <c r="C43" s="186"/>
      <c r="D43" s="109" t="s">
        <v>6</v>
      </c>
      <c r="E43" s="110"/>
      <c r="F43" s="111">
        <v>0.64895000000000003</v>
      </c>
      <c r="G43" s="190">
        <f>J41</f>
        <v>25595</v>
      </c>
      <c r="H43" s="191"/>
      <c r="I43" s="192"/>
      <c r="J43" s="193">
        <f>G43*F43</f>
        <v>16609.875250000001</v>
      </c>
      <c r="K43" s="194"/>
      <c r="L43" s="195">
        <f>J43+J44+J45</f>
        <v>71063.728860000003</v>
      </c>
      <c r="M43" s="196"/>
      <c r="N43" s="196"/>
      <c r="O43" s="196"/>
      <c r="P43" s="196"/>
      <c r="Q43" s="196"/>
      <c r="R43" s="196"/>
      <c r="S43" s="196"/>
      <c r="T43" s="196"/>
      <c r="U43" s="197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187"/>
      <c r="B44" s="188"/>
      <c r="C44" s="189"/>
      <c r="D44" s="112" t="s">
        <v>7</v>
      </c>
      <c r="E44" s="110"/>
      <c r="F44" s="116">
        <v>0.88605</v>
      </c>
      <c r="G44" s="190">
        <f>K41</f>
        <v>38557</v>
      </c>
      <c r="H44" s="191"/>
      <c r="I44" s="192"/>
      <c r="J44" s="193">
        <f>G44*F44</f>
        <v>34163.42985</v>
      </c>
      <c r="K44" s="194"/>
      <c r="L44" s="198"/>
      <c r="M44" s="199"/>
      <c r="N44" s="199"/>
      <c r="O44" s="199"/>
      <c r="P44" s="199"/>
      <c r="Q44" s="199"/>
      <c r="R44" s="199"/>
      <c r="S44" s="199"/>
      <c r="T44" s="199"/>
      <c r="U44" s="200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187"/>
      <c r="B45" s="188"/>
      <c r="C45" s="189"/>
      <c r="D45" s="117" t="s">
        <v>8</v>
      </c>
      <c r="E45" s="118"/>
      <c r="F45" s="119">
        <v>1.2418400000000001</v>
      </c>
      <c r="G45" s="204">
        <f>L41</f>
        <v>16339</v>
      </c>
      <c r="H45" s="205"/>
      <c r="I45" s="206"/>
      <c r="J45" s="193">
        <f>G45*F45</f>
        <v>20290.423760000001</v>
      </c>
      <c r="K45" s="194"/>
      <c r="L45" s="201"/>
      <c r="M45" s="202"/>
      <c r="N45" s="202"/>
      <c r="O45" s="202"/>
      <c r="P45" s="202"/>
      <c r="Q45" s="202"/>
      <c r="R45" s="202"/>
      <c r="S45" s="202"/>
      <c r="T45" s="202"/>
      <c r="U45" s="203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167" t="s">
        <v>10</v>
      </c>
      <c r="B46" s="168"/>
      <c r="C46" s="168"/>
      <c r="D46" s="169"/>
      <c r="E46" s="110"/>
      <c r="F46" s="120">
        <v>12.67</v>
      </c>
      <c r="G46" s="167">
        <f>D41</f>
        <v>2151</v>
      </c>
      <c r="H46" s="168"/>
      <c r="I46" s="169"/>
      <c r="J46" s="170">
        <f>G46*F46</f>
        <v>27253.17</v>
      </c>
      <c r="K46" s="171"/>
      <c r="L46" s="172">
        <f>J46</f>
        <v>27253.17</v>
      </c>
      <c r="M46" s="173"/>
      <c r="N46" s="173"/>
      <c r="O46" s="173"/>
      <c r="P46" s="173"/>
      <c r="Q46" s="173"/>
      <c r="R46" s="173"/>
      <c r="S46" s="173"/>
      <c r="T46" s="173"/>
      <c r="U46" s="174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175" t="s">
        <v>12</v>
      </c>
      <c r="B47" s="176"/>
      <c r="C47" s="176"/>
      <c r="D47" s="177"/>
      <c r="E47" s="110"/>
      <c r="F47" s="121">
        <v>9.157</v>
      </c>
      <c r="G47" s="178">
        <f>U41</f>
        <v>2819.6000000000004</v>
      </c>
      <c r="H47" s="179"/>
      <c r="I47" s="180"/>
      <c r="J47" s="178">
        <f>G47*F47</f>
        <v>25819.077200000003</v>
      </c>
      <c r="K47" s="180"/>
      <c r="L47" s="181">
        <f>J47</f>
        <v>25819.077200000003</v>
      </c>
      <c r="M47" s="182"/>
      <c r="N47" s="182"/>
      <c r="O47" s="182"/>
      <c r="P47" s="182"/>
      <c r="Q47" s="182"/>
      <c r="R47" s="182"/>
      <c r="S47" s="182"/>
      <c r="T47" s="182"/>
      <c r="U47" s="183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B20" sqref="B20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81"/>
      <c r="B1" s="281"/>
      <c r="C1" s="282"/>
      <c r="D1" s="283" t="s">
        <v>57</v>
      </c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5"/>
      <c r="AA1" s="286"/>
      <c r="AB1" s="287"/>
      <c r="AC1" s="287"/>
    </row>
    <row r="2" spans="1:31" ht="41.25" customHeight="1" thickBot="1" x14ac:dyDescent="0.4">
      <c r="A2" s="48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1"/>
      <c r="Q2" s="288">
        <v>803</v>
      </c>
      <c r="R2" s="289"/>
      <c r="S2" s="289"/>
      <c r="T2" s="289">
        <v>519</v>
      </c>
      <c r="U2" s="289"/>
      <c r="V2" s="289"/>
      <c r="W2" s="289">
        <v>800</v>
      </c>
      <c r="X2" s="289"/>
      <c r="Y2" s="289"/>
      <c r="Z2" s="289">
        <v>802</v>
      </c>
      <c r="AA2" s="289"/>
      <c r="AB2" s="292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44221</v>
      </c>
      <c r="B4" s="20">
        <v>62</v>
      </c>
      <c r="C4" s="18">
        <f t="shared" ref="C4:C12" si="0">IF(AC4&gt;0,((B4-R4)+(S4-B5)),IF(B5=0, ,(B4-B5)))</f>
        <v>2</v>
      </c>
      <c r="D4" s="20">
        <v>64</v>
      </c>
      <c r="E4" s="18">
        <f t="shared" ref="E4:E19" si="1">IF(AC4&gt;0,((D4-U4)+(V4-D5)),IF(D5=0, ,(D4-D5)))</f>
        <v>1</v>
      </c>
      <c r="F4" s="20">
        <v>60</v>
      </c>
      <c r="G4" s="18">
        <f t="shared" ref="G4:G12" si="2">IF(AC4&gt;0,((F4-X4)+(Y4-F5)),IF(F5=0, ,(F4-F5)))</f>
        <v>1</v>
      </c>
      <c r="H4" s="20">
        <v>63</v>
      </c>
      <c r="I4" s="18">
        <f t="shared" ref="I4:I12" si="3">IF(AC4&gt;0,((H4-AA4)+(AB4-H5)),IF(H5=0, ,(H4-H5)))</f>
        <v>3</v>
      </c>
      <c r="J4" s="18">
        <f t="shared" ref="J4:J13" si="4">B4+D4+F4+H4</f>
        <v>249</v>
      </c>
      <c r="K4" s="18">
        <f t="shared" ref="K4:K13" si="5">J4/4</f>
        <v>62.25</v>
      </c>
      <c r="L4" s="18">
        <f t="shared" ref="L4:L13" si="6">IF(AC4&gt;0,((K4-AD4)+(AE4-K5)),IF(K5=0, ,(K4-K5)))</f>
        <v>1.75</v>
      </c>
      <c r="M4" s="18">
        <f t="shared" ref="M4:M42" si="7">7000*4</f>
        <v>28000</v>
      </c>
      <c r="N4" s="18">
        <f t="shared" ref="N4:N13" si="8">L4*M4/100</f>
        <v>490</v>
      </c>
      <c r="O4" s="18">
        <f t="shared" ref="O4:O13" si="9">N4*0.53</f>
        <v>259.7</v>
      </c>
      <c r="P4" s="21">
        <f t="shared" ref="P4:P42" si="10">O4*9.157</f>
        <v>2378.0729000000001</v>
      </c>
      <c r="Q4" s="18">
        <v>2146</v>
      </c>
      <c r="R4" s="18">
        <v>60</v>
      </c>
      <c r="S4" s="18">
        <v>85</v>
      </c>
      <c r="T4" s="18">
        <v>2013</v>
      </c>
      <c r="U4" s="18">
        <v>64</v>
      </c>
      <c r="V4" s="18">
        <v>86</v>
      </c>
      <c r="W4" s="18">
        <v>2297</v>
      </c>
      <c r="X4" s="18">
        <v>60</v>
      </c>
      <c r="Y4" s="18">
        <v>86</v>
      </c>
      <c r="Z4" s="18">
        <v>2531</v>
      </c>
      <c r="AA4" s="18">
        <v>62</v>
      </c>
      <c r="AB4" s="18">
        <v>87</v>
      </c>
      <c r="AC4" s="18">
        <f>Q4+T4+W4+Z4</f>
        <v>8987</v>
      </c>
      <c r="AD4" s="49">
        <f t="shared" ref="AD4:AD9" si="11">(R4+U4+X4+AA4)/4</f>
        <v>61.5</v>
      </c>
      <c r="AE4" s="49">
        <f t="shared" ref="AE4:AE9" si="12">(S4+V4+Y4+AB4)/4</f>
        <v>86</v>
      </c>
    </row>
    <row r="5" spans="1:31" ht="32.25" customHeight="1" x14ac:dyDescent="0.3">
      <c r="A5" s="19">
        <f>(A4+1)</f>
        <v>44222</v>
      </c>
      <c r="B5" s="20">
        <v>85</v>
      </c>
      <c r="C5" s="18">
        <f t="shared" si="0"/>
        <v>1</v>
      </c>
      <c r="D5" s="20">
        <v>85</v>
      </c>
      <c r="E5" s="18">
        <f t="shared" si="1"/>
        <v>1</v>
      </c>
      <c r="F5" s="20">
        <v>85</v>
      </c>
      <c r="G5" s="18">
        <f t="shared" si="2"/>
        <v>1</v>
      </c>
      <c r="H5" s="20">
        <v>85</v>
      </c>
      <c r="I5" s="18">
        <f t="shared" si="3"/>
        <v>1</v>
      </c>
      <c r="J5" s="18">
        <f t="shared" si="4"/>
        <v>340</v>
      </c>
      <c r="K5" s="18">
        <f t="shared" si="5"/>
        <v>85</v>
      </c>
      <c r="L5" s="18">
        <f t="shared" si="6"/>
        <v>1</v>
      </c>
      <c r="M5" s="18">
        <f t="shared" si="7"/>
        <v>28000</v>
      </c>
      <c r="N5" s="18">
        <f t="shared" si="8"/>
        <v>280</v>
      </c>
      <c r="O5" s="18">
        <f t="shared" si="9"/>
        <v>148.4</v>
      </c>
      <c r="P5" s="21">
        <f t="shared" si="10"/>
        <v>1358.8988000000002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44223</v>
      </c>
      <c r="B6" s="20">
        <v>84</v>
      </c>
      <c r="C6" s="18">
        <f t="shared" si="0"/>
        <v>0</v>
      </c>
      <c r="D6" s="20">
        <v>84</v>
      </c>
      <c r="E6" s="18">
        <f t="shared" si="1"/>
        <v>0</v>
      </c>
      <c r="F6" s="20">
        <v>84</v>
      </c>
      <c r="G6" s="18">
        <f t="shared" si="2"/>
        <v>4</v>
      </c>
      <c r="H6" s="20">
        <v>84</v>
      </c>
      <c r="I6" s="18">
        <f t="shared" si="3"/>
        <v>4</v>
      </c>
      <c r="J6" s="18">
        <f t="shared" si="4"/>
        <v>336</v>
      </c>
      <c r="K6" s="18">
        <f t="shared" si="5"/>
        <v>84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2717.7976000000003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44224</v>
      </c>
      <c r="B7" s="20">
        <v>84</v>
      </c>
      <c r="C7" s="18">
        <f t="shared" si="0"/>
        <v>4</v>
      </c>
      <c r="D7" s="20">
        <v>84</v>
      </c>
      <c r="E7" s="18">
        <f t="shared" si="1"/>
        <v>2</v>
      </c>
      <c r="F7" s="20">
        <v>80</v>
      </c>
      <c r="G7" s="18">
        <f t="shared" si="2"/>
        <v>1</v>
      </c>
      <c r="H7" s="20">
        <v>80</v>
      </c>
      <c r="I7" s="18">
        <f t="shared" si="3"/>
        <v>0</v>
      </c>
      <c r="J7" s="18">
        <f t="shared" si="4"/>
        <v>328</v>
      </c>
      <c r="K7" s="18">
        <f t="shared" si="5"/>
        <v>82</v>
      </c>
      <c r="L7" s="18">
        <f t="shared" si="6"/>
        <v>1.75</v>
      </c>
      <c r="M7" s="18">
        <f t="shared" si="7"/>
        <v>28000</v>
      </c>
      <c r="N7" s="18">
        <f t="shared" si="8"/>
        <v>490</v>
      </c>
      <c r="O7" s="18">
        <f t="shared" si="9"/>
        <v>259.7</v>
      </c>
      <c r="P7" s="21">
        <f t="shared" si="10"/>
        <v>2378.0729000000001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44225</v>
      </c>
      <c r="B8" s="20">
        <v>80</v>
      </c>
      <c r="C8" s="18">
        <f t="shared" si="0"/>
        <v>1</v>
      </c>
      <c r="D8" s="20">
        <v>82</v>
      </c>
      <c r="E8" s="18">
        <f t="shared" si="1"/>
        <v>2</v>
      </c>
      <c r="F8" s="20">
        <v>79</v>
      </c>
      <c r="G8" s="18">
        <f t="shared" si="2"/>
        <v>4</v>
      </c>
      <c r="H8" s="20">
        <v>80</v>
      </c>
      <c r="I8" s="18">
        <f t="shared" si="3"/>
        <v>3</v>
      </c>
      <c r="J8" s="18">
        <f t="shared" si="4"/>
        <v>321</v>
      </c>
      <c r="K8" s="18">
        <f t="shared" si="5"/>
        <v>80.25</v>
      </c>
      <c r="L8" s="18">
        <f t="shared" si="6"/>
        <v>2.5</v>
      </c>
      <c r="M8" s="18">
        <f t="shared" si="7"/>
        <v>28000</v>
      </c>
      <c r="N8" s="18">
        <f t="shared" si="8"/>
        <v>700</v>
      </c>
      <c r="O8" s="18">
        <f t="shared" si="9"/>
        <v>371</v>
      </c>
      <c r="P8" s="21">
        <f t="shared" si="10"/>
        <v>3397.2469999999998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44226</v>
      </c>
      <c r="B9" s="20">
        <v>79</v>
      </c>
      <c r="C9" s="18">
        <f t="shared" si="0"/>
        <v>4</v>
      </c>
      <c r="D9" s="20">
        <v>80</v>
      </c>
      <c r="E9" s="18">
        <f t="shared" si="1"/>
        <v>1</v>
      </c>
      <c r="F9" s="20">
        <v>75</v>
      </c>
      <c r="G9" s="18">
        <f t="shared" si="2"/>
        <v>3</v>
      </c>
      <c r="H9" s="20">
        <v>77</v>
      </c>
      <c r="I9" s="18">
        <f t="shared" si="3"/>
        <v>2</v>
      </c>
      <c r="J9" s="18">
        <f t="shared" si="4"/>
        <v>311</v>
      </c>
      <c r="K9" s="18">
        <f t="shared" si="5"/>
        <v>77.75</v>
      </c>
      <c r="L9" s="18">
        <f t="shared" si="6"/>
        <v>2.5</v>
      </c>
      <c r="M9" s="18">
        <f t="shared" si="7"/>
        <v>28000</v>
      </c>
      <c r="N9" s="18">
        <f t="shared" si="8"/>
        <v>700</v>
      </c>
      <c r="O9" s="18">
        <f t="shared" si="9"/>
        <v>371</v>
      </c>
      <c r="P9" s="21">
        <f t="shared" si="10"/>
        <v>3397.2469999999998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44227</v>
      </c>
      <c r="B10" s="20">
        <v>75</v>
      </c>
      <c r="C10" s="18">
        <f t="shared" si="0"/>
        <v>3</v>
      </c>
      <c r="D10" s="20">
        <v>79</v>
      </c>
      <c r="E10" s="18">
        <f t="shared" si="1"/>
        <v>4</v>
      </c>
      <c r="F10" s="20">
        <v>72</v>
      </c>
      <c r="G10" s="18">
        <f t="shared" si="2"/>
        <v>1</v>
      </c>
      <c r="H10" s="20">
        <v>75</v>
      </c>
      <c r="I10" s="18">
        <f t="shared" si="3"/>
        <v>2</v>
      </c>
      <c r="J10" s="18">
        <f t="shared" si="4"/>
        <v>301</v>
      </c>
      <c r="K10" s="18">
        <f t="shared" si="5"/>
        <v>75.25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 t="shared" si="10"/>
        <v>3397.2469999999998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44228</v>
      </c>
      <c r="B11" s="20">
        <v>72</v>
      </c>
      <c r="C11" s="18">
        <f t="shared" si="0"/>
        <v>2</v>
      </c>
      <c r="D11" s="20">
        <v>75</v>
      </c>
      <c r="E11" s="18">
        <f t="shared" si="1"/>
        <v>3</v>
      </c>
      <c r="F11" s="20">
        <v>71</v>
      </c>
      <c r="G11" s="18">
        <f t="shared" si="2"/>
        <v>3</v>
      </c>
      <c r="H11" s="20">
        <v>73</v>
      </c>
      <c r="I11" s="18">
        <f t="shared" si="3"/>
        <v>3</v>
      </c>
      <c r="J11" s="18">
        <f t="shared" si="4"/>
        <v>291</v>
      </c>
      <c r="K11" s="18">
        <f t="shared" si="5"/>
        <v>72.75</v>
      </c>
      <c r="L11" s="18">
        <f t="shared" si="6"/>
        <v>2.75</v>
      </c>
      <c r="M11" s="18">
        <f t="shared" si="7"/>
        <v>28000</v>
      </c>
      <c r="N11" s="18">
        <f t="shared" si="8"/>
        <v>770</v>
      </c>
      <c r="O11" s="18">
        <f t="shared" si="9"/>
        <v>408.1</v>
      </c>
      <c r="P11" s="21">
        <f t="shared" si="10"/>
        <v>3736.9717000000001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44229</v>
      </c>
      <c r="B12" s="20">
        <v>70</v>
      </c>
      <c r="C12" s="18">
        <f t="shared" si="0"/>
        <v>0</v>
      </c>
      <c r="D12" s="20">
        <v>72</v>
      </c>
      <c r="E12" s="18">
        <f t="shared" si="1"/>
        <v>2</v>
      </c>
      <c r="F12" s="20">
        <v>68</v>
      </c>
      <c r="G12" s="18">
        <f t="shared" si="2"/>
        <v>1</v>
      </c>
      <c r="H12" s="20">
        <v>70</v>
      </c>
      <c r="I12" s="18">
        <f t="shared" si="3"/>
        <v>0</v>
      </c>
      <c r="J12" s="18">
        <f t="shared" si="4"/>
        <v>280</v>
      </c>
      <c r="K12" s="18">
        <f t="shared" si="5"/>
        <v>70</v>
      </c>
      <c r="L12" s="18">
        <f t="shared" si="6"/>
        <v>0.75</v>
      </c>
      <c r="M12" s="18">
        <f t="shared" si="7"/>
        <v>28000</v>
      </c>
      <c r="N12" s="18">
        <f t="shared" si="8"/>
        <v>210</v>
      </c>
      <c r="O12" s="18">
        <f t="shared" si="9"/>
        <v>111.30000000000001</v>
      </c>
      <c r="P12" s="21">
        <f t="shared" si="10"/>
        <v>1019.1741000000001</v>
      </c>
      <c r="Q12" s="18">
        <v>1474</v>
      </c>
      <c r="R12" s="18">
        <v>70</v>
      </c>
      <c r="S12" s="18">
        <v>85</v>
      </c>
      <c r="T12" s="18">
        <v>1377</v>
      </c>
      <c r="U12" s="18">
        <v>70</v>
      </c>
      <c r="V12" s="18">
        <v>85</v>
      </c>
      <c r="W12" s="18">
        <v>1561</v>
      </c>
      <c r="X12" s="18">
        <v>68</v>
      </c>
      <c r="Y12" s="18">
        <v>85</v>
      </c>
      <c r="Z12" s="18">
        <v>1522</v>
      </c>
      <c r="AA12" s="18">
        <v>70</v>
      </c>
      <c r="AB12" s="18">
        <v>85</v>
      </c>
      <c r="AC12" s="18">
        <f t="shared" si="13"/>
        <v>5934</v>
      </c>
      <c r="AD12" s="49">
        <f t="shared" si="15"/>
        <v>69.5</v>
      </c>
      <c r="AE12" s="49">
        <f t="shared" si="15"/>
        <v>85</v>
      </c>
    </row>
    <row r="13" spans="1:31" ht="32.25" customHeight="1" x14ac:dyDescent="0.3">
      <c r="A13" s="19">
        <f t="shared" si="14"/>
        <v>44230</v>
      </c>
      <c r="B13" s="20">
        <v>85</v>
      </c>
      <c r="C13" s="18">
        <v>0</v>
      </c>
      <c r="D13" s="20">
        <v>85</v>
      </c>
      <c r="E13" s="18">
        <f t="shared" si="1"/>
        <v>1</v>
      </c>
      <c r="F13" s="20">
        <v>84</v>
      </c>
      <c r="G13" s="18">
        <v>0</v>
      </c>
      <c r="H13" s="20">
        <v>85</v>
      </c>
      <c r="I13" s="18">
        <v>0</v>
      </c>
      <c r="J13" s="18">
        <f t="shared" si="4"/>
        <v>339</v>
      </c>
      <c r="K13" s="18">
        <f t="shared" si="5"/>
        <v>84.75</v>
      </c>
      <c r="L13" s="18">
        <f t="shared" si="6"/>
        <v>0.75</v>
      </c>
      <c r="M13" s="18">
        <f t="shared" si="7"/>
        <v>28000</v>
      </c>
      <c r="N13" s="18">
        <f t="shared" si="8"/>
        <v>210</v>
      </c>
      <c r="O13" s="18">
        <f t="shared" si="9"/>
        <v>111.30000000000001</v>
      </c>
      <c r="P13" s="21">
        <f t="shared" si="10"/>
        <v>1019.1741000000001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44231</v>
      </c>
      <c r="B14" s="20">
        <v>85</v>
      </c>
      <c r="C14" s="18">
        <f t="shared" ref="C14:C19" si="16">IF(AC14&gt;0,((B14-R14)+(S14-B15)),IF(B15=0, ,(B14-B15)))</f>
        <v>2</v>
      </c>
      <c r="D14" s="20">
        <v>84</v>
      </c>
      <c r="E14" s="18">
        <f t="shared" si="1"/>
        <v>0</v>
      </c>
      <c r="F14" s="20">
        <v>83</v>
      </c>
      <c r="G14" s="18">
        <f t="shared" ref="G14:G19" si="17">IF(AC14&gt;0,((F14-X14)+(Y14-F15)),IF(F15=0, ,(F14-F15)))</f>
        <v>3</v>
      </c>
      <c r="H14" s="20">
        <v>84</v>
      </c>
      <c r="I14" s="18">
        <f t="shared" ref="I14" si="18">IF(AC14&gt;0,((H14-AA14)+(AB14-H15)),IF(H15=0, ,(H14-H15)))</f>
        <v>4</v>
      </c>
      <c r="J14" s="18">
        <f t="shared" ref="J14" si="19">B14+D14+F14+H14</f>
        <v>336</v>
      </c>
      <c r="K14" s="18">
        <f t="shared" ref="K14" si="20">J14/4</f>
        <v>84</v>
      </c>
      <c r="L14" s="18">
        <f t="shared" ref="L14" si="21">IF(AC14&gt;0,((K14-AD14)+(AE14-K15)),IF(K15=0, ,(K14-K15)))</f>
        <v>2.25</v>
      </c>
      <c r="M14" s="18">
        <f t="shared" si="7"/>
        <v>28000</v>
      </c>
      <c r="N14" s="18">
        <f t="shared" ref="N14" si="22">L14*M14/100</f>
        <v>630</v>
      </c>
      <c r="O14" s="18">
        <f t="shared" ref="O14" si="23">N14*0.53</f>
        <v>333.90000000000003</v>
      </c>
      <c r="P14" s="21">
        <f t="shared" si="10"/>
        <v>3057.5223000000005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4">(R14+U14+X14+AA14)/4</f>
        <v>0</v>
      </c>
      <c r="AE14" s="49">
        <f t="shared" ref="AE14:AE42" si="25">(S14+V14+Y14+AB14)/4</f>
        <v>0</v>
      </c>
    </row>
    <row r="15" spans="1:31" ht="32.25" customHeight="1" x14ac:dyDescent="0.3">
      <c r="A15" s="19">
        <f t="shared" si="14"/>
        <v>44232</v>
      </c>
      <c r="B15" s="20">
        <v>83</v>
      </c>
      <c r="C15" s="18">
        <v>0</v>
      </c>
      <c r="D15" s="20">
        <v>84</v>
      </c>
      <c r="E15" s="18">
        <v>0</v>
      </c>
      <c r="F15" s="20">
        <v>80</v>
      </c>
      <c r="G15" s="18">
        <v>0</v>
      </c>
      <c r="H15" s="20">
        <v>80</v>
      </c>
      <c r="I15" s="18">
        <f t="shared" ref="I15:I19" si="26">IF(AC15&gt;0,((H15-AA15)+(AB15-H16)),IF(H16=0, ,(H15-H16)))</f>
        <v>2</v>
      </c>
      <c r="J15" s="18">
        <f t="shared" ref="J15:J42" si="27">B15+D15+F15+H15</f>
        <v>327</v>
      </c>
      <c r="K15" s="18">
        <f t="shared" ref="K15:K42" si="28">J15/4</f>
        <v>81.75</v>
      </c>
      <c r="L15" s="18">
        <f t="shared" ref="L15:L19" si="29">IF(AC15&gt;0,((K15-AD15)+(AE15-K16)),IF(K16=0, ,(K15-K16)))</f>
        <v>2.25</v>
      </c>
      <c r="M15" s="18">
        <f t="shared" si="7"/>
        <v>28000</v>
      </c>
      <c r="N15" s="18">
        <f t="shared" ref="N15" si="30">L15*M15/100</f>
        <v>630</v>
      </c>
      <c r="O15" s="18">
        <f t="shared" ref="O15" si="31">N15*0.53</f>
        <v>333.90000000000003</v>
      </c>
      <c r="P15" s="21">
        <f t="shared" si="10"/>
        <v>3057.5223000000005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4"/>
        <v>0</v>
      </c>
      <c r="AE15" s="49">
        <f t="shared" si="25"/>
        <v>0</v>
      </c>
    </row>
    <row r="16" spans="1:31" ht="32.25" customHeight="1" x14ac:dyDescent="0.3">
      <c r="A16" s="19">
        <f t="shared" si="14"/>
        <v>44233</v>
      </c>
      <c r="B16" s="20">
        <v>80</v>
      </c>
      <c r="C16" s="18">
        <f t="shared" si="16"/>
        <v>3</v>
      </c>
      <c r="D16" s="20">
        <v>82</v>
      </c>
      <c r="E16" s="18">
        <f t="shared" si="1"/>
        <v>3</v>
      </c>
      <c r="F16" s="20">
        <v>78</v>
      </c>
      <c r="G16" s="18">
        <f t="shared" si="17"/>
        <v>5</v>
      </c>
      <c r="H16" s="20">
        <v>78</v>
      </c>
      <c r="I16" s="18">
        <f t="shared" si="26"/>
        <v>5</v>
      </c>
      <c r="J16" s="18">
        <f t="shared" si="27"/>
        <v>318</v>
      </c>
      <c r="K16" s="18">
        <f t="shared" si="28"/>
        <v>79.5</v>
      </c>
      <c r="L16" s="18">
        <f t="shared" si="29"/>
        <v>4</v>
      </c>
      <c r="M16" s="18">
        <f t="shared" si="7"/>
        <v>28000</v>
      </c>
      <c r="N16" s="18">
        <f t="shared" ref="N16:N42" si="32">L16*M16/100</f>
        <v>1120</v>
      </c>
      <c r="O16" s="18">
        <f t="shared" ref="O16:O42" si="33">N16*0.53</f>
        <v>593.6</v>
      </c>
      <c r="P16" s="21">
        <f t="shared" si="10"/>
        <v>5435.5952000000007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4"/>
        <v>0</v>
      </c>
      <c r="AE16" s="49">
        <f t="shared" si="25"/>
        <v>0</v>
      </c>
    </row>
    <row r="17" spans="1:31" ht="32.25" customHeight="1" x14ac:dyDescent="0.3">
      <c r="A17" s="19">
        <f t="shared" si="14"/>
        <v>44234</v>
      </c>
      <c r="B17" s="20">
        <v>77</v>
      </c>
      <c r="C17" s="18">
        <f t="shared" si="16"/>
        <v>5</v>
      </c>
      <c r="D17" s="20">
        <v>79</v>
      </c>
      <c r="E17" s="18">
        <f t="shared" si="1"/>
        <v>5</v>
      </c>
      <c r="F17" s="20">
        <v>73</v>
      </c>
      <c r="G17" s="18">
        <f t="shared" si="17"/>
        <v>3</v>
      </c>
      <c r="H17" s="20">
        <v>73</v>
      </c>
      <c r="I17" s="18">
        <f t="shared" si="26"/>
        <v>2</v>
      </c>
      <c r="J17" s="18">
        <f t="shared" si="27"/>
        <v>302</v>
      </c>
      <c r="K17" s="18">
        <f t="shared" si="28"/>
        <v>75.5</v>
      </c>
      <c r="L17" s="18">
        <f t="shared" si="29"/>
        <v>3.75</v>
      </c>
      <c r="M17" s="18">
        <f t="shared" si="7"/>
        <v>28000</v>
      </c>
      <c r="N17" s="18">
        <f t="shared" si="32"/>
        <v>1050</v>
      </c>
      <c r="O17" s="18">
        <f t="shared" si="33"/>
        <v>556.5</v>
      </c>
      <c r="P17" s="21">
        <f t="shared" si="10"/>
        <v>5095.8705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4"/>
        <v>0</v>
      </c>
      <c r="AE17" s="49">
        <f t="shared" si="25"/>
        <v>0</v>
      </c>
    </row>
    <row r="18" spans="1:31" ht="32.25" customHeight="1" x14ac:dyDescent="0.3">
      <c r="A18" s="19">
        <f t="shared" si="14"/>
        <v>44235</v>
      </c>
      <c r="B18" s="20">
        <v>72</v>
      </c>
      <c r="C18" s="18">
        <f t="shared" si="16"/>
        <v>0</v>
      </c>
      <c r="D18" s="20">
        <v>74</v>
      </c>
      <c r="E18" s="18">
        <f t="shared" si="1"/>
        <v>0</v>
      </c>
      <c r="F18" s="20">
        <v>70</v>
      </c>
      <c r="G18" s="18">
        <f t="shared" si="17"/>
        <v>3</v>
      </c>
      <c r="H18" s="20">
        <v>71</v>
      </c>
      <c r="I18" s="18">
        <f t="shared" si="26"/>
        <v>7</v>
      </c>
      <c r="J18" s="18">
        <f t="shared" si="27"/>
        <v>287</v>
      </c>
      <c r="K18" s="18">
        <f t="shared" si="28"/>
        <v>71.75</v>
      </c>
      <c r="L18" s="18">
        <f t="shared" si="29"/>
        <v>2.5</v>
      </c>
      <c r="M18" s="18">
        <f t="shared" si="7"/>
        <v>28000</v>
      </c>
      <c r="N18" s="18">
        <f t="shared" si="32"/>
        <v>700</v>
      </c>
      <c r="O18" s="18">
        <f t="shared" si="33"/>
        <v>371</v>
      </c>
      <c r="P18" s="21">
        <f t="shared" si="10"/>
        <v>3397.2469999999998</v>
      </c>
      <c r="Q18" s="18">
        <v>1018</v>
      </c>
      <c r="R18" s="18">
        <v>74</v>
      </c>
      <c r="S18" s="18">
        <v>85</v>
      </c>
      <c r="T18" s="18">
        <v>969</v>
      </c>
      <c r="U18" s="18">
        <v>75</v>
      </c>
      <c r="V18" s="18">
        <v>85</v>
      </c>
      <c r="W18" s="18">
        <v>1189</v>
      </c>
      <c r="X18" s="18">
        <v>68</v>
      </c>
      <c r="Y18" s="18">
        <v>85</v>
      </c>
      <c r="Z18" s="18">
        <v>1172</v>
      </c>
      <c r="AA18" s="18">
        <v>67</v>
      </c>
      <c r="AB18" s="18">
        <v>85</v>
      </c>
      <c r="AC18" s="18">
        <f t="shared" si="13"/>
        <v>4348</v>
      </c>
      <c r="AD18" s="49">
        <f t="shared" si="24"/>
        <v>71</v>
      </c>
      <c r="AE18" s="49">
        <f t="shared" si="25"/>
        <v>85</v>
      </c>
    </row>
    <row r="19" spans="1:31" ht="32.25" customHeight="1" x14ac:dyDescent="0.3">
      <c r="A19" s="19">
        <f t="shared" si="14"/>
        <v>44236</v>
      </c>
      <c r="B19" s="20">
        <v>83</v>
      </c>
      <c r="C19" s="18">
        <f t="shared" si="16"/>
        <v>0</v>
      </c>
      <c r="D19" s="20">
        <v>84</v>
      </c>
      <c r="E19" s="18">
        <f t="shared" si="1"/>
        <v>0</v>
      </c>
      <c r="F19" s="20">
        <v>84</v>
      </c>
      <c r="G19" s="18">
        <f t="shared" si="17"/>
        <v>0</v>
      </c>
      <c r="H19" s="20">
        <v>82</v>
      </c>
      <c r="I19" s="18">
        <f t="shared" si="26"/>
        <v>0</v>
      </c>
      <c r="J19" s="18">
        <f t="shared" si="27"/>
        <v>333</v>
      </c>
      <c r="K19" s="18">
        <f t="shared" si="28"/>
        <v>83.25</v>
      </c>
      <c r="L19" s="18">
        <f t="shared" si="29"/>
        <v>0</v>
      </c>
      <c r="M19" s="18">
        <f t="shared" si="7"/>
        <v>28000</v>
      </c>
      <c r="N19" s="18">
        <f t="shared" si="32"/>
        <v>0</v>
      </c>
      <c r="O19" s="18">
        <f t="shared" si="33"/>
        <v>0</v>
      </c>
      <c r="P19" s="21">
        <f t="shared" si="10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4"/>
        <v>0</v>
      </c>
      <c r="AE19" s="49">
        <f t="shared" si="25"/>
        <v>0</v>
      </c>
    </row>
    <row r="20" spans="1:31" ht="32.25" customHeight="1" x14ac:dyDescent="0.3">
      <c r="A20" s="19">
        <f t="shared" si="14"/>
        <v>44237</v>
      </c>
      <c r="B20" s="20"/>
      <c r="C20" s="18">
        <f t="shared" ref="C19:C42" si="34">IF(AC20&gt;0,((B20-R20)+(S20-B21)),IF(B21=0, ,(B20-B21)))</f>
        <v>0</v>
      </c>
      <c r="D20" s="20"/>
      <c r="E20" s="18">
        <f t="shared" ref="E19:E42" si="35">IF(AC20&gt;0,((D20-U20)+(V20-D21)),IF(D21=0, ,(D20-D21)))</f>
        <v>0</v>
      </c>
      <c r="F20" s="20"/>
      <c r="G20" s="18">
        <f t="shared" ref="G19:G42" si="36">IF(AC20&gt;0,((F20-X20)+(Y20-F21)),IF(F21=0, ,(F20-F21)))</f>
        <v>0</v>
      </c>
      <c r="H20" s="20"/>
      <c r="I20" s="18">
        <f t="shared" ref="I20:I42" si="37">IF(AC20&gt;0,((H20-AA20)+(AB20-H21)),IF(H21=0, ,(H20-H21)))</f>
        <v>0</v>
      </c>
      <c r="J20" s="18">
        <f t="shared" si="27"/>
        <v>0</v>
      </c>
      <c r="K20" s="18">
        <f t="shared" si="28"/>
        <v>0</v>
      </c>
      <c r="L20" s="18">
        <f t="shared" ref="L20:L42" si="38">IF(AC20&gt;0,((K20-AD20)+(AE20-K21)),IF(K21=0, ,(K20-K21)))</f>
        <v>0</v>
      </c>
      <c r="M20" s="18">
        <f t="shared" si="7"/>
        <v>28000</v>
      </c>
      <c r="N20" s="18">
        <f t="shared" si="32"/>
        <v>0</v>
      </c>
      <c r="O20" s="18">
        <f t="shared" si="33"/>
        <v>0</v>
      </c>
      <c r="P20" s="21">
        <f t="shared" si="10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4"/>
        <v>0</v>
      </c>
      <c r="AE20" s="49">
        <f t="shared" si="25"/>
        <v>0</v>
      </c>
    </row>
    <row r="21" spans="1:31" ht="32.25" customHeight="1" x14ac:dyDescent="0.3">
      <c r="A21" s="19">
        <f t="shared" si="14"/>
        <v>44238</v>
      </c>
      <c r="B21" s="20"/>
      <c r="C21" s="18">
        <f t="shared" si="34"/>
        <v>0</v>
      </c>
      <c r="D21" s="20"/>
      <c r="E21" s="18">
        <f t="shared" si="35"/>
        <v>0</v>
      </c>
      <c r="F21" s="20"/>
      <c r="G21" s="18">
        <f t="shared" si="36"/>
        <v>0</v>
      </c>
      <c r="H21" s="20"/>
      <c r="I21" s="18">
        <f t="shared" si="37"/>
        <v>0</v>
      </c>
      <c r="J21" s="18">
        <f t="shared" si="27"/>
        <v>0</v>
      </c>
      <c r="K21" s="18">
        <f t="shared" si="28"/>
        <v>0</v>
      </c>
      <c r="L21" s="18">
        <f t="shared" si="38"/>
        <v>0</v>
      </c>
      <c r="M21" s="18">
        <f t="shared" si="7"/>
        <v>28000</v>
      </c>
      <c r="N21" s="18">
        <f t="shared" si="32"/>
        <v>0</v>
      </c>
      <c r="O21" s="18">
        <f t="shared" si="33"/>
        <v>0</v>
      </c>
      <c r="P21" s="21">
        <f t="shared" si="10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4"/>
        <v>0</v>
      </c>
      <c r="AE21" s="49">
        <f t="shared" si="25"/>
        <v>0</v>
      </c>
    </row>
    <row r="22" spans="1:31" ht="32.25" customHeight="1" x14ac:dyDescent="0.3">
      <c r="A22" s="19">
        <f t="shared" si="14"/>
        <v>44239</v>
      </c>
      <c r="B22" s="20"/>
      <c r="C22" s="18">
        <f t="shared" si="34"/>
        <v>0</v>
      </c>
      <c r="D22" s="20"/>
      <c r="E22" s="18">
        <f t="shared" si="35"/>
        <v>0</v>
      </c>
      <c r="F22" s="20"/>
      <c r="G22" s="18">
        <f t="shared" si="36"/>
        <v>0</v>
      </c>
      <c r="H22" s="20"/>
      <c r="I22" s="18">
        <f t="shared" si="37"/>
        <v>0</v>
      </c>
      <c r="J22" s="18">
        <f t="shared" si="27"/>
        <v>0</v>
      </c>
      <c r="K22" s="18">
        <f t="shared" si="28"/>
        <v>0</v>
      </c>
      <c r="L22" s="18">
        <f t="shared" si="38"/>
        <v>0</v>
      </c>
      <c r="M22" s="18">
        <f t="shared" si="7"/>
        <v>28000</v>
      </c>
      <c r="N22" s="18">
        <f t="shared" si="32"/>
        <v>0</v>
      </c>
      <c r="O22" s="18">
        <f t="shared" si="33"/>
        <v>0</v>
      </c>
      <c r="P22" s="21">
        <f t="shared" si="10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4"/>
        <v>0</v>
      </c>
      <c r="AE22" s="49">
        <f t="shared" si="25"/>
        <v>0</v>
      </c>
    </row>
    <row r="23" spans="1:31" ht="32.25" customHeight="1" x14ac:dyDescent="0.3">
      <c r="A23" s="19">
        <f t="shared" si="14"/>
        <v>44240</v>
      </c>
      <c r="B23" s="20"/>
      <c r="C23" s="18">
        <f t="shared" si="34"/>
        <v>0</v>
      </c>
      <c r="D23" s="20"/>
      <c r="E23" s="18">
        <f t="shared" si="35"/>
        <v>0</v>
      </c>
      <c r="F23" s="20"/>
      <c r="G23" s="18">
        <f t="shared" si="36"/>
        <v>0</v>
      </c>
      <c r="H23" s="20"/>
      <c r="I23" s="18">
        <f t="shared" si="37"/>
        <v>0</v>
      </c>
      <c r="J23" s="18">
        <f t="shared" si="27"/>
        <v>0</v>
      </c>
      <c r="K23" s="18">
        <f t="shared" si="28"/>
        <v>0</v>
      </c>
      <c r="L23" s="18">
        <f t="shared" si="38"/>
        <v>0</v>
      </c>
      <c r="M23" s="18">
        <f t="shared" si="7"/>
        <v>28000</v>
      </c>
      <c r="N23" s="18">
        <f t="shared" si="32"/>
        <v>0</v>
      </c>
      <c r="O23" s="18">
        <f t="shared" si="33"/>
        <v>0</v>
      </c>
      <c r="P23" s="21">
        <f t="shared" si="10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4"/>
        <v>0</v>
      </c>
      <c r="AE23" s="49">
        <f t="shared" si="25"/>
        <v>0</v>
      </c>
    </row>
    <row r="24" spans="1:31" ht="32.25" customHeight="1" x14ac:dyDescent="0.3">
      <c r="A24" s="19">
        <f t="shared" si="14"/>
        <v>44241</v>
      </c>
      <c r="B24" s="20"/>
      <c r="C24" s="18">
        <f t="shared" si="34"/>
        <v>0</v>
      </c>
      <c r="D24" s="20"/>
      <c r="E24" s="18">
        <f t="shared" si="35"/>
        <v>0</v>
      </c>
      <c r="F24" s="20"/>
      <c r="G24" s="18">
        <f t="shared" si="36"/>
        <v>0</v>
      </c>
      <c r="H24" s="20"/>
      <c r="I24" s="18">
        <f t="shared" si="37"/>
        <v>0</v>
      </c>
      <c r="J24" s="18">
        <f t="shared" si="27"/>
        <v>0</v>
      </c>
      <c r="K24" s="18">
        <f t="shared" si="28"/>
        <v>0</v>
      </c>
      <c r="L24" s="18">
        <f t="shared" si="38"/>
        <v>0</v>
      </c>
      <c r="M24" s="18">
        <f t="shared" si="7"/>
        <v>28000</v>
      </c>
      <c r="N24" s="18">
        <f t="shared" si="32"/>
        <v>0</v>
      </c>
      <c r="O24" s="18">
        <f t="shared" si="33"/>
        <v>0</v>
      </c>
      <c r="P24" s="21">
        <f t="shared" si="10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4"/>
        <v>0</v>
      </c>
      <c r="AE24" s="49">
        <f t="shared" si="25"/>
        <v>0</v>
      </c>
    </row>
    <row r="25" spans="1:31" ht="32.25" customHeight="1" x14ac:dyDescent="0.3">
      <c r="A25" s="19">
        <f t="shared" si="14"/>
        <v>44242</v>
      </c>
      <c r="B25" s="20"/>
      <c r="C25" s="18">
        <f t="shared" si="34"/>
        <v>0</v>
      </c>
      <c r="D25" s="20"/>
      <c r="E25" s="18">
        <f t="shared" si="35"/>
        <v>0</v>
      </c>
      <c r="F25" s="20"/>
      <c r="G25" s="18">
        <f t="shared" si="36"/>
        <v>0</v>
      </c>
      <c r="H25" s="20"/>
      <c r="I25" s="18">
        <f t="shared" si="37"/>
        <v>0</v>
      </c>
      <c r="J25" s="18">
        <f t="shared" si="27"/>
        <v>0</v>
      </c>
      <c r="K25" s="18">
        <f t="shared" si="28"/>
        <v>0</v>
      </c>
      <c r="L25" s="18">
        <f t="shared" si="38"/>
        <v>0</v>
      </c>
      <c r="M25" s="18">
        <f t="shared" si="7"/>
        <v>28000</v>
      </c>
      <c r="N25" s="18">
        <f t="shared" si="32"/>
        <v>0</v>
      </c>
      <c r="O25" s="18">
        <f t="shared" si="33"/>
        <v>0</v>
      </c>
      <c r="P25" s="21">
        <f t="shared" si="10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4"/>
        <v>0</v>
      </c>
      <c r="AE25" s="49">
        <f t="shared" si="25"/>
        <v>0</v>
      </c>
    </row>
    <row r="26" spans="1:31" ht="32.25" customHeight="1" x14ac:dyDescent="0.3">
      <c r="A26" s="19">
        <f t="shared" si="14"/>
        <v>44243</v>
      </c>
      <c r="B26" s="20"/>
      <c r="C26" s="18">
        <f t="shared" si="34"/>
        <v>0</v>
      </c>
      <c r="D26" s="20"/>
      <c r="E26" s="18">
        <f t="shared" si="35"/>
        <v>0</v>
      </c>
      <c r="F26" s="20"/>
      <c r="G26" s="18">
        <f t="shared" si="36"/>
        <v>0</v>
      </c>
      <c r="H26" s="20"/>
      <c r="I26" s="18">
        <f t="shared" si="37"/>
        <v>0</v>
      </c>
      <c r="J26" s="18">
        <f t="shared" si="27"/>
        <v>0</v>
      </c>
      <c r="K26" s="18">
        <f t="shared" si="28"/>
        <v>0</v>
      </c>
      <c r="L26" s="18">
        <f t="shared" si="38"/>
        <v>0</v>
      </c>
      <c r="M26" s="18">
        <f t="shared" si="7"/>
        <v>28000</v>
      </c>
      <c r="N26" s="18">
        <f t="shared" si="32"/>
        <v>0</v>
      </c>
      <c r="O26" s="18">
        <f t="shared" si="33"/>
        <v>0</v>
      </c>
      <c r="P26" s="21">
        <f t="shared" si="10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4"/>
        <v>0</v>
      </c>
      <c r="AE26" s="49">
        <f t="shared" si="25"/>
        <v>0</v>
      </c>
    </row>
    <row r="27" spans="1:31" ht="32.25" customHeight="1" x14ac:dyDescent="0.3">
      <c r="A27" s="19">
        <f t="shared" si="14"/>
        <v>44244</v>
      </c>
      <c r="B27" s="20"/>
      <c r="C27" s="18">
        <f t="shared" si="34"/>
        <v>0</v>
      </c>
      <c r="D27" s="20"/>
      <c r="E27" s="18">
        <f t="shared" si="35"/>
        <v>0</v>
      </c>
      <c r="F27" s="20"/>
      <c r="G27" s="18">
        <f t="shared" si="36"/>
        <v>0</v>
      </c>
      <c r="H27" s="20"/>
      <c r="I27" s="18">
        <f t="shared" si="37"/>
        <v>0</v>
      </c>
      <c r="J27" s="18">
        <f t="shared" si="27"/>
        <v>0</v>
      </c>
      <c r="K27" s="18">
        <f t="shared" si="28"/>
        <v>0</v>
      </c>
      <c r="L27" s="18">
        <f t="shared" si="38"/>
        <v>0</v>
      </c>
      <c r="M27" s="18">
        <f t="shared" si="7"/>
        <v>28000</v>
      </c>
      <c r="N27" s="18">
        <f t="shared" si="32"/>
        <v>0</v>
      </c>
      <c r="O27" s="18">
        <f t="shared" si="33"/>
        <v>0</v>
      </c>
      <c r="P27" s="21">
        <f t="shared" si="10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4"/>
        <v>0</v>
      </c>
      <c r="AE27" s="49">
        <f t="shared" si="25"/>
        <v>0</v>
      </c>
    </row>
    <row r="28" spans="1:31" ht="32.25" customHeight="1" x14ac:dyDescent="0.3">
      <c r="A28" s="19">
        <f t="shared" si="14"/>
        <v>44245</v>
      </c>
      <c r="B28" s="20"/>
      <c r="C28" s="18">
        <f t="shared" si="34"/>
        <v>0</v>
      </c>
      <c r="D28" s="20"/>
      <c r="E28" s="18">
        <f t="shared" si="35"/>
        <v>0</v>
      </c>
      <c r="F28" s="20"/>
      <c r="G28" s="18">
        <f t="shared" si="36"/>
        <v>0</v>
      </c>
      <c r="H28" s="20"/>
      <c r="I28" s="18">
        <f t="shared" si="37"/>
        <v>0</v>
      </c>
      <c r="J28" s="18">
        <f t="shared" si="27"/>
        <v>0</v>
      </c>
      <c r="K28" s="18">
        <f t="shared" si="28"/>
        <v>0</v>
      </c>
      <c r="L28" s="18">
        <f t="shared" si="38"/>
        <v>0</v>
      </c>
      <c r="M28" s="18">
        <f t="shared" si="7"/>
        <v>28000</v>
      </c>
      <c r="N28" s="18">
        <f t="shared" si="32"/>
        <v>0</v>
      </c>
      <c r="O28" s="18">
        <f t="shared" si="33"/>
        <v>0</v>
      </c>
      <c r="P28" s="21">
        <f t="shared" si="10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4"/>
        <v>0</v>
      </c>
      <c r="AE28" s="49">
        <f t="shared" si="25"/>
        <v>0</v>
      </c>
    </row>
    <row r="29" spans="1:31" ht="32.25" customHeight="1" x14ac:dyDescent="0.3">
      <c r="A29" s="19">
        <f t="shared" si="14"/>
        <v>44246</v>
      </c>
      <c r="B29" s="20"/>
      <c r="C29" s="18">
        <f t="shared" si="34"/>
        <v>0</v>
      </c>
      <c r="D29" s="20"/>
      <c r="E29" s="18">
        <f t="shared" si="35"/>
        <v>0</v>
      </c>
      <c r="F29" s="20"/>
      <c r="G29" s="18">
        <f t="shared" si="36"/>
        <v>0</v>
      </c>
      <c r="H29" s="20"/>
      <c r="I29" s="18">
        <f t="shared" si="37"/>
        <v>0</v>
      </c>
      <c r="J29" s="18">
        <f t="shared" si="27"/>
        <v>0</v>
      </c>
      <c r="K29" s="18">
        <f t="shared" si="28"/>
        <v>0</v>
      </c>
      <c r="L29" s="18">
        <f t="shared" si="38"/>
        <v>0</v>
      </c>
      <c r="M29" s="18">
        <f t="shared" si="7"/>
        <v>28000</v>
      </c>
      <c r="N29" s="18">
        <f t="shared" si="32"/>
        <v>0</v>
      </c>
      <c r="O29" s="18">
        <f t="shared" si="33"/>
        <v>0</v>
      </c>
      <c r="P29" s="21">
        <f t="shared" si="10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4"/>
        <v>0</v>
      </c>
      <c r="AE29" s="49">
        <f t="shared" si="25"/>
        <v>0</v>
      </c>
    </row>
    <row r="30" spans="1:31" ht="32.25" customHeight="1" x14ac:dyDescent="0.3">
      <c r="A30" s="19">
        <f t="shared" si="14"/>
        <v>44247</v>
      </c>
      <c r="B30" s="20"/>
      <c r="C30" s="18">
        <f t="shared" si="34"/>
        <v>0</v>
      </c>
      <c r="D30" s="20"/>
      <c r="E30" s="18">
        <f t="shared" si="35"/>
        <v>0</v>
      </c>
      <c r="F30" s="20"/>
      <c r="G30" s="18">
        <f t="shared" si="36"/>
        <v>0</v>
      </c>
      <c r="H30" s="20"/>
      <c r="I30" s="18">
        <f t="shared" si="37"/>
        <v>0</v>
      </c>
      <c r="J30" s="18">
        <f t="shared" si="27"/>
        <v>0</v>
      </c>
      <c r="K30" s="18">
        <f t="shared" si="28"/>
        <v>0</v>
      </c>
      <c r="L30" s="18">
        <f t="shared" si="38"/>
        <v>0</v>
      </c>
      <c r="M30" s="18">
        <f t="shared" si="7"/>
        <v>28000</v>
      </c>
      <c r="N30" s="18">
        <f t="shared" si="32"/>
        <v>0</v>
      </c>
      <c r="O30" s="18">
        <f t="shared" si="33"/>
        <v>0</v>
      </c>
      <c r="P30" s="21">
        <f t="shared" si="10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4"/>
        <v>0</v>
      </c>
      <c r="AE30" s="49">
        <f t="shared" si="25"/>
        <v>0</v>
      </c>
    </row>
    <row r="31" spans="1:31" ht="32.25" customHeight="1" x14ac:dyDescent="0.3">
      <c r="A31" s="19">
        <f t="shared" si="14"/>
        <v>44248</v>
      </c>
      <c r="B31" s="20"/>
      <c r="C31" s="18">
        <f t="shared" si="34"/>
        <v>0</v>
      </c>
      <c r="D31" s="20"/>
      <c r="E31" s="18">
        <f t="shared" si="35"/>
        <v>0</v>
      </c>
      <c r="F31" s="20"/>
      <c r="G31" s="18">
        <f t="shared" si="36"/>
        <v>0</v>
      </c>
      <c r="H31" s="20"/>
      <c r="I31" s="18">
        <f t="shared" si="37"/>
        <v>0</v>
      </c>
      <c r="J31" s="18">
        <f t="shared" si="27"/>
        <v>0</v>
      </c>
      <c r="K31" s="18">
        <f t="shared" si="28"/>
        <v>0</v>
      </c>
      <c r="L31" s="18">
        <f t="shared" si="38"/>
        <v>0</v>
      </c>
      <c r="M31" s="18">
        <f t="shared" si="7"/>
        <v>28000</v>
      </c>
      <c r="N31" s="18">
        <f t="shared" si="32"/>
        <v>0</v>
      </c>
      <c r="O31" s="18">
        <f t="shared" si="33"/>
        <v>0</v>
      </c>
      <c r="P31" s="21">
        <f t="shared" si="10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4"/>
        <v>0</v>
      </c>
      <c r="AE31" s="49">
        <f t="shared" si="25"/>
        <v>0</v>
      </c>
    </row>
    <row r="32" spans="1:31" ht="32.25" customHeight="1" x14ac:dyDescent="0.3">
      <c r="A32" s="19">
        <f t="shared" si="14"/>
        <v>44249</v>
      </c>
      <c r="B32" s="20"/>
      <c r="C32" s="18">
        <f t="shared" si="34"/>
        <v>0</v>
      </c>
      <c r="D32" s="20"/>
      <c r="E32" s="18">
        <f t="shared" si="35"/>
        <v>0</v>
      </c>
      <c r="F32" s="20"/>
      <c r="G32" s="18">
        <f t="shared" si="36"/>
        <v>0</v>
      </c>
      <c r="H32" s="20"/>
      <c r="I32" s="18">
        <f t="shared" si="37"/>
        <v>0</v>
      </c>
      <c r="J32" s="18">
        <f t="shared" si="27"/>
        <v>0</v>
      </c>
      <c r="K32" s="18">
        <f t="shared" si="28"/>
        <v>0</v>
      </c>
      <c r="L32" s="18">
        <f t="shared" si="38"/>
        <v>0</v>
      </c>
      <c r="M32" s="18">
        <f t="shared" si="7"/>
        <v>28000</v>
      </c>
      <c r="N32" s="18">
        <f t="shared" si="32"/>
        <v>0</v>
      </c>
      <c r="O32" s="18">
        <f t="shared" si="33"/>
        <v>0</v>
      </c>
      <c r="P32" s="21">
        <f t="shared" si="10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4"/>
        <v>0</v>
      </c>
      <c r="AE32" s="49">
        <f t="shared" si="25"/>
        <v>0</v>
      </c>
    </row>
    <row r="33" spans="1:31" ht="32.25" customHeight="1" x14ac:dyDescent="0.3">
      <c r="A33" s="19">
        <f t="shared" si="14"/>
        <v>44250</v>
      </c>
      <c r="B33" s="20"/>
      <c r="C33" s="18">
        <f t="shared" si="34"/>
        <v>0</v>
      </c>
      <c r="D33" s="20"/>
      <c r="E33" s="18">
        <f t="shared" si="35"/>
        <v>0</v>
      </c>
      <c r="F33" s="20"/>
      <c r="G33" s="18">
        <f t="shared" si="36"/>
        <v>0</v>
      </c>
      <c r="H33" s="20"/>
      <c r="I33" s="18">
        <f t="shared" si="37"/>
        <v>0</v>
      </c>
      <c r="J33" s="18">
        <f t="shared" si="27"/>
        <v>0</v>
      </c>
      <c r="K33" s="18">
        <f t="shared" si="28"/>
        <v>0</v>
      </c>
      <c r="L33" s="18">
        <f t="shared" si="38"/>
        <v>0</v>
      </c>
      <c r="M33" s="18">
        <f t="shared" si="7"/>
        <v>28000</v>
      </c>
      <c r="N33" s="18">
        <f t="shared" si="32"/>
        <v>0</v>
      </c>
      <c r="O33" s="18">
        <f t="shared" si="33"/>
        <v>0</v>
      </c>
      <c r="P33" s="21">
        <f t="shared" si="10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4"/>
        <v>0</v>
      </c>
      <c r="AE33" s="49">
        <f t="shared" si="25"/>
        <v>0</v>
      </c>
    </row>
    <row r="34" spans="1:31" ht="32.25" customHeight="1" x14ac:dyDescent="0.3">
      <c r="A34" s="19">
        <f t="shared" si="14"/>
        <v>44251</v>
      </c>
      <c r="B34" s="20"/>
      <c r="C34" s="18">
        <f t="shared" si="34"/>
        <v>0</v>
      </c>
      <c r="D34" s="20"/>
      <c r="E34" s="18">
        <f t="shared" si="35"/>
        <v>0</v>
      </c>
      <c r="F34" s="20"/>
      <c r="G34" s="18">
        <f t="shared" si="36"/>
        <v>0</v>
      </c>
      <c r="H34" s="20"/>
      <c r="I34" s="18">
        <f t="shared" si="37"/>
        <v>0</v>
      </c>
      <c r="J34" s="18">
        <f t="shared" si="27"/>
        <v>0</v>
      </c>
      <c r="K34" s="18">
        <f t="shared" si="28"/>
        <v>0</v>
      </c>
      <c r="L34" s="18">
        <f t="shared" si="38"/>
        <v>0</v>
      </c>
      <c r="M34" s="18">
        <f t="shared" si="7"/>
        <v>28000</v>
      </c>
      <c r="N34" s="18">
        <f t="shared" si="32"/>
        <v>0</v>
      </c>
      <c r="O34" s="18">
        <f t="shared" si="33"/>
        <v>0</v>
      </c>
      <c r="P34" s="21">
        <f t="shared" si="10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4"/>
        <v>0</v>
      </c>
      <c r="AE34" s="49">
        <f t="shared" si="25"/>
        <v>0</v>
      </c>
    </row>
    <row r="35" spans="1:31" ht="32.25" customHeight="1" x14ac:dyDescent="0.3">
      <c r="A35" s="19">
        <f t="shared" si="14"/>
        <v>44252</v>
      </c>
      <c r="B35" s="20"/>
      <c r="C35" s="18">
        <f t="shared" si="34"/>
        <v>0</v>
      </c>
      <c r="D35" s="20"/>
      <c r="E35" s="18">
        <f t="shared" si="35"/>
        <v>0</v>
      </c>
      <c r="F35" s="20"/>
      <c r="G35" s="18">
        <f t="shared" si="36"/>
        <v>0</v>
      </c>
      <c r="H35" s="20"/>
      <c r="I35" s="18">
        <f t="shared" si="37"/>
        <v>0</v>
      </c>
      <c r="J35" s="18">
        <f t="shared" si="27"/>
        <v>0</v>
      </c>
      <c r="K35" s="18">
        <f t="shared" si="28"/>
        <v>0</v>
      </c>
      <c r="L35" s="18">
        <f t="shared" si="38"/>
        <v>0</v>
      </c>
      <c r="M35" s="18">
        <f t="shared" si="7"/>
        <v>28000</v>
      </c>
      <c r="N35" s="18">
        <f t="shared" si="32"/>
        <v>0</v>
      </c>
      <c r="O35" s="18">
        <f t="shared" si="33"/>
        <v>0</v>
      </c>
      <c r="P35" s="21">
        <f t="shared" si="10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4"/>
        <v>0</v>
      </c>
      <c r="AE35" s="49">
        <f t="shared" si="25"/>
        <v>0</v>
      </c>
    </row>
    <row r="36" spans="1:31" ht="32.25" customHeight="1" x14ac:dyDescent="0.3">
      <c r="A36" s="19">
        <f t="shared" si="14"/>
        <v>44253</v>
      </c>
      <c r="B36" s="20"/>
      <c r="C36" s="18">
        <f t="shared" si="34"/>
        <v>0</v>
      </c>
      <c r="D36" s="20"/>
      <c r="E36" s="18">
        <f t="shared" si="35"/>
        <v>0</v>
      </c>
      <c r="F36" s="20"/>
      <c r="G36" s="18">
        <f t="shared" si="36"/>
        <v>0</v>
      </c>
      <c r="H36" s="20"/>
      <c r="I36" s="18">
        <f t="shared" si="37"/>
        <v>0</v>
      </c>
      <c r="J36" s="18">
        <f t="shared" si="27"/>
        <v>0</v>
      </c>
      <c r="K36" s="18">
        <f t="shared" si="28"/>
        <v>0</v>
      </c>
      <c r="L36" s="18">
        <f t="shared" si="38"/>
        <v>0</v>
      </c>
      <c r="M36" s="18">
        <f t="shared" si="7"/>
        <v>28000</v>
      </c>
      <c r="N36" s="18">
        <f t="shared" si="32"/>
        <v>0</v>
      </c>
      <c r="O36" s="18">
        <f t="shared" si="33"/>
        <v>0</v>
      </c>
      <c r="P36" s="21">
        <f t="shared" si="10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4"/>
        <v>0</v>
      </c>
      <c r="AE36" s="49">
        <f t="shared" si="25"/>
        <v>0</v>
      </c>
    </row>
    <row r="37" spans="1:31" ht="32.25" customHeight="1" x14ac:dyDescent="0.3">
      <c r="A37" s="19">
        <f t="shared" si="14"/>
        <v>44254</v>
      </c>
      <c r="B37" s="20"/>
      <c r="C37" s="18">
        <f t="shared" si="34"/>
        <v>0</v>
      </c>
      <c r="D37" s="20"/>
      <c r="E37" s="18">
        <f t="shared" si="35"/>
        <v>0</v>
      </c>
      <c r="F37" s="20"/>
      <c r="G37" s="18">
        <f t="shared" si="36"/>
        <v>0</v>
      </c>
      <c r="H37" s="20"/>
      <c r="I37" s="18">
        <f t="shared" si="37"/>
        <v>0</v>
      </c>
      <c r="J37" s="18">
        <f t="shared" si="27"/>
        <v>0</v>
      </c>
      <c r="K37" s="18">
        <f t="shared" si="28"/>
        <v>0</v>
      </c>
      <c r="L37" s="18">
        <f t="shared" si="38"/>
        <v>0</v>
      </c>
      <c r="M37" s="18">
        <f t="shared" si="7"/>
        <v>28000</v>
      </c>
      <c r="N37" s="18">
        <f t="shared" si="32"/>
        <v>0</v>
      </c>
      <c r="O37" s="18">
        <f t="shared" si="33"/>
        <v>0</v>
      </c>
      <c r="P37" s="21">
        <f t="shared" si="10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4"/>
        <v>0</v>
      </c>
      <c r="AE37" s="49">
        <f t="shared" si="25"/>
        <v>0</v>
      </c>
    </row>
    <row r="38" spans="1:31" ht="32.25" customHeight="1" x14ac:dyDescent="0.3">
      <c r="A38" s="19">
        <f t="shared" si="14"/>
        <v>44255</v>
      </c>
      <c r="B38" s="20"/>
      <c r="C38" s="18">
        <f t="shared" si="34"/>
        <v>0</v>
      </c>
      <c r="D38" s="20"/>
      <c r="E38" s="18">
        <f t="shared" si="35"/>
        <v>0</v>
      </c>
      <c r="F38" s="20"/>
      <c r="G38" s="18">
        <f t="shared" si="36"/>
        <v>0</v>
      </c>
      <c r="H38" s="20"/>
      <c r="I38" s="18">
        <f t="shared" si="37"/>
        <v>0</v>
      </c>
      <c r="J38" s="18">
        <f t="shared" si="27"/>
        <v>0</v>
      </c>
      <c r="K38" s="18">
        <f t="shared" si="28"/>
        <v>0</v>
      </c>
      <c r="L38" s="18">
        <f t="shared" si="38"/>
        <v>0</v>
      </c>
      <c r="M38" s="18">
        <f t="shared" si="7"/>
        <v>28000</v>
      </c>
      <c r="N38" s="18">
        <f t="shared" si="32"/>
        <v>0</v>
      </c>
      <c r="O38" s="18">
        <f t="shared" si="33"/>
        <v>0</v>
      </c>
      <c r="P38" s="21">
        <f t="shared" si="10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4"/>
        <v>0</v>
      </c>
      <c r="AE38" s="49">
        <f t="shared" si="25"/>
        <v>0</v>
      </c>
    </row>
    <row r="39" spans="1:31" ht="32.25" customHeight="1" x14ac:dyDescent="0.3">
      <c r="A39" s="19">
        <f t="shared" si="14"/>
        <v>44256</v>
      </c>
      <c r="B39" s="20"/>
      <c r="C39" s="18">
        <f t="shared" si="34"/>
        <v>0</v>
      </c>
      <c r="D39" s="20"/>
      <c r="E39" s="18">
        <f t="shared" si="35"/>
        <v>0</v>
      </c>
      <c r="F39" s="20"/>
      <c r="G39" s="18">
        <f t="shared" si="36"/>
        <v>0</v>
      </c>
      <c r="H39" s="20"/>
      <c r="I39" s="18">
        <f t="shared" si="37"/>
        <v>0</v>
      </c>
      <c r="J39" s="18">
        <f t="shared" si="27"/>
        <v>0</v>
      </c>
      <c r="K39" s="18">
        <f t="shared" si="28"/>
        <v>0</v>
      </c>
      <c r="L39" s="18">
        <f t="shared" si="38"/>
        <v>0</v>
      </c>
      <c r="M39" s="18">
        <f t="shared" si="7"/>
        <v>28000</v>
      </c>
      <c r="N39" s="18">
        <f t="shared" si="32"/>
        <v>0</v>
      </c>
      <c r="O39" s="18">
        <f t="shared" si="33"/>
        <v>0</v>
      </c>
      <c r="P39" s="21">
        <f t="shared" si="10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4"/>
        <v>0</v>
      </c>
      <c r="AE39" s="49">
        <f t="shared" si="25"/>
        <v>0</v>
      </c>
    </row>
    <row r="40" spans="1:31" ht="32.25" customHeight="1" x14ac:dyDescent="0.3">
      <c r="A40" s="19">
        <f t="shared" si="14"/>
        <v>44257</v>
      </c>
      <c r="B40" s="20"/>
      <c r="C40" s="18">
        <f t="shared" si="34"/>
        <v>0</v>
      </c>
      <c r="D40" s="20"/>
      <c r="E40" s="18">
        <f t="shared" si="35"/>
        <v>0</v>
      </c>
      <c r="F40" s="20"/>
      <c r="G40" s="18">
        <f t="shared" si="36"/>
        <v>0</v>
      </c>
      <c r="H40" s="20"/>
      <c r="I40" s="18">
        <f t="shared" si="37"/>
        <v>0</v>
      </c>
      <c r="J40" s="18">
        <f t="shared" si="27"/>
        <v>0</v>
      </c>
      <c r="K40" s="18">
        <f t="shared" si="28"/>
        <v>0</v>
      </c>
      <c r="L40" s="18">
        <f t="shared" si="38"/>
        <v>0</v>
      </c>
      <c r="M40" s="18">
        <f t="shared" si="7"/>
        <v>28000</v>
      </c>
      <c r="N40" s="18">
        <f t="shared" si="32"/>
        <v>0</v>
      </c>
      <c r="O40" s="18">
        <f t="shared" si="33"/>
        <v>0</v>
      </c>
      <c r="P40" s="21">
        <f t="shared" si="10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4"/>
        <v>0</v>
      </c>
      <c r="AE40" s="49">
        <f t="shared" si="25"/>
        <v>0</v>
      </c>
    </row>
    <row r="41" spans="1:31" ht="32.25" customHeight="1" x14ac:dyDescent="0.3">
      <c r="A41" s="19">
        <f t="shared" si="14"/>
        <v>44258</v>
      </c>
      <c r="B41" s="20"/>
      <c r="C41" s="18">
        <f t="shared" si="34"/>
        <v>0</v>
      </c>
      <c r="D41" s="20"/>
      <c r="E41" s="18">
        <f t="shared" si="35"/>
        <v>0</v>
      </c>
      <c r="F41" s="20"/>
      <c r="G41" s="18">
        <f t="shared" si="36"/>
        <v>0</v>
      </c>
      <c r="H41" s="20"/>
      <c r="I41" s="18">
        <f t="shared" si="37"/>
        <v>0</v>
      </c>
      <c r="J41" s="18">
        <f t="shared" si="27"/>
        <v>0</v>
      </c>
      <c r="K41" s="18">
        <f t="shared" si="28"/>
        <v>0</v>
      </c>
      <c r="L41" s="18">
        <f t="shared" si="38"/>
        <v>0</v>
      </c>
      <c r="M41" s="18">
        <f t="shared" si="7"/>
        <v>28000</v>
      </c>
      <c r="N41" s="18">
        <f t="shared" si="32"/>
        <v>0</v>
      </c>
      <c r="O41" s="18">
        <f t="shared" si="33"/>
        <v>0</v>
      </c>
      <c r="P41" s="21">
        <f t="shared" si="10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4"/>
        <v>0</v>
      </c>
      <c r="AE41" s="49">
        <f t="shared" si="25"/>
        <v>0</v>
      </c>
    </row>
    <row r="42" spans="1:31" ht="32.25" customHeight="1" x14ac:dyDescent="0.3">
      <c r="A42" s="19">
        <f t="shared" si="14"/>
        <v>44259</v>
      </c>
      <c r="B42" s="20"/>
      <c r="C42" s="18">
        <f t="shared" si="34"/>
        <v>0</v>
      </c>
      <c r="D42" s="20"/>
      <c r="E42" s="18">
        <f t="shared" si="35"/>
        <v>0</v>
      </c>
      <c r="F42" s="20"/>
      <c r="G42" s="18">
        <f t="shared" si="36"/>
        <v>0</v>
      </c>
      <c r="H42" s="20"/>
      <c r="I42" s="18">
        <f t="shared" si="37"/>
        <v>0</v>
      </c>
      <c r="J42" s="18">
        <f t="shared" si="27"/>
        <v>0</v>
      </c>
      <c r="K42" s="18">
        <f t="shared" si="28"/>
        <v>0</v>
      </c>
      <c r="L42" s="18">
        <f t="shared" si="38"/>
        <v>0</v>
      </c>
      <c r="M42" s="18">
        <f t="shared" si="7"/>
        <v>28000</v>
      </c>
      <c r="N42" s="18">
        <f t="shared" si="32"/>
        <v>0</v>
      </c>
      <c r="O42" s="18">
        <f t="shared" si="33"/>
        <v>0</v>
      </c>
      <c r="P42" s="21">
        <f t="shared" si="10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4"/>
        <v>0</v>
      </c>
      <c r="AE42" s="49">
        <f t="shared" si="25"/>
        <v>0</v>
      </c>
    </row>
    <row r="43" spans="1:31" ht="32.25" customHeight="1" thickBot="1" x14ac:dyDescent="0.35">
      <c r="B43" s="20"/>
      <c r="C43" s="18">
        <f>SUM(C11:C38)</f>
        <v>12</v>
      </c>
      <c r="D43" s="20"/>
      <c r="E43" s="18">
        <f>SUM(E11:E38)</f>
        <v>14</v>
      </c>
      <c r="F43" s="20"/>
      <c r="G43" s="18">
        <f>SUM(G11:G38)</f>
        <v>18</v>
      </c>
      <c r="H43" s="20"/>
      <c r="I43" s="18">
        <f>SUM(I11:I38)</f>
        <v>23</v>
      </c>
      <c r="J43" s="16"/>
      <c r="K43" s="16"/>
      <c r="L43" s="16"/>
      <c r="M43" s="16"/>
      <c r="N43" s="18">
        <f>SUM(N11:N38)</f>
        <v>5320</v>
      </c>
      <c r="O43" s="18">
        <f>N43*0.53</f>
        <v>2819.6000000000004</v>
      </c>
      <c r="P43" s="21">
        <f t="shared" ref="P43" si="39">O43*8.2658</f>
        <v>23306.249680000004</v>
      </c>
      <c r="Q43" s="269">
        <f>SUM(Q11:Q38)</f>
        <v>2492</v>
      </c>
      <c r="R43" s="270"/>
      <c r="S43" s="271"/>
      <c r="T43" s="269">
        <f>SUM(T11:T38)</f>
        <v>2346</v>
      </c>
      <c r="U43" s="270"/>
      <c r="V43" s="271"/>
      <c r="W43" s="269">
        <f>SUM(W11:W38)</f>
        <v>2750</v>
      </c>
      <c r="X43" s="270"/>
      <c r="Y43" s="271"/>
      <c r="Z43" s="269">
        <f>SUM(Z11:Z38)</f>
        <v>2694</v>
      </c>
      <c r="AA43" s="270"/>
      <c r="AB43" s="271"/>
      <c r="AC43" s="137">
        <f>SUM(AC11:AC38)</f>
        <v>10282</v>
      </c>
      <c r="AD43" s="138"/>
      <c r="AE43" s="135"/>
    </row>
    <row r="44" spans="1:31" ht="35.25" customHeight="1" thickBot="1" x14ac:dyDescent="0.35">
      <c r="B44" s="272"/>
      <c r="C44" s="273"/>
      <c r="D44" s="273"/>
      <c r="E44" s="273"/>
      <c r="F44" s="273"/>
      <c r="G44" s="273"/>
      <c r="H44" s="273"/>
      <c r="I44" s="274"/>
      <c r="J44" s="16"/>
      <c r="K44" s="16"/>
      <c r="L44" s="16"/>
      <c r="M44" s="16"/>
      <c r="N44" s="16"/>
      <c r="O44" s="16"/>
      <c r="P44" s="16"/>
      <c r="Q44" s="275">
        <f>Q43+T43+W43+Z43</f>
        <v>10282</v>
      </c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7"/>
      <c r="AC44" s="136">
        <f>Q43+T43+W43+Z43</f>
        <v>10282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8" t="s">
        <v>36</v>
      </c>
      <c r="I47" s="279"/>
      <c r="J47" s="280"/>
      <c r="K47" s="28">
        <f>N43</f>
        <v>5320</v>
      </c>
      <c r="L47" s="29">
        <f>O43</f>
        <v>2819.6000000000004</v>
      </c>
      <c r="M47" s="29">
        <f>P43</f>
        <v>23306.249680000004</v>
      </c>
    </row>
    <row r="48" spans="1:31" ht="54.75" customHeight="1" thickBot="1" x14ac:dyDescent="0.35">
      <c r="H48" s="266" t="s">
        <v>37</v>
      </c>
      <c r="I48" s="267"/>
      <c r="J48" s="268"/>
      <c r="K48" s="26">
        <f>AC43</f>
        <v>10282</v>
      </c>
      <c r="L48" s="27">
        <f>K48*0.53</f>
        <v>5449.46</v>
      </c>
      <c r="M48" s="27">
        <f>L48*8.2658</f>
        <v>45044.146468000006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B24" sqref="B24:H24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1"/>
      <c r="B1" s="312"/>
      <c r="C1" s="294" t="s">
        <v>58</v>
      </c>
      <c r="D1" s="295"/>
      <c r="E1" s="295"/>
      <c r="F1" s="295"/>
      <c r="G1" s="296"/>
      <c r="H1" s="303"/>
      <c r="I1" s="304"/>
      <c r="J1" s="33"/>
      <c r="K1" s="31"/>
      <c r="L1" s="31"/>
    </row>
    <row r="2" spans="1:20" ht="16.5" customHeight="1" x14ac:dyDescent="0.2">
      <c r="A2" s="313"/>
      <c r="B2" s="314"/>
      <c r="C2" s="297"/>
      <c r="D2" s="298"/>
      <c r="E2" s="298"/>
      <c r="F2" s="298"/>
      <c r="G2" s="299"/>
      <c r="H2" s="305"/>
      <c r="I2" s="306"/>
      <c r="J2" s="33"/>
      <c r="K2" s="31"/>
      <c r="L2" s="31"/>
    </row>
    <row r="3" spans="1:20" ht="48" customHeight="1" thickBot="1" x14ac:dyDescent="0.25">
      <c r="A3" s="315"/>
      <c r="B3" s="316"/>
      <c r="C3" s="300"/>
      <c r="D3" s="301"/>
      <c r="E3" s="301"/>
      <c r="F3" s="301"/>
      <c r="G3" s="302"/>
      <c r="H3" s="307"/>
      <c r="I3" s="308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2151</v>
      </c>
    </row>
    <row r="6" spans="1:20" ht="10.5" customHeight="1" thickBot="1" x14ac:dyDescent="0.25"/>
    <row r="7" spans="1:20" ht="16.5" customHeight="1" thickTop="1" thickBot="1" x14ac:dyDescent="0.25">
      <c r="A7" s="293" t="s">
        <v>1</v>
      </c>
      <c r="B7" s="309" t="s">
        <v>41</v>
      </c>
      <c r="C7" s="309"/>
      <c r="D7" s="310" t="s">
        <v>42</v>
      </c>
      <c r="E7" s="310"/>
      <c r="F7" s="310"/>
      <c r="G7" s="310"/>
      <c r="H7" s="310"/>
      <c r="I7" s="310"/>
    </row>
    <row r="8" spans="1:20" s="12" customFormat="1" ht="28.5" customHeight="1" thickTop="1" thickBot="1" x14ac:dyDescent="0.25">
      <c r="A8" s="293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44221</v>
      </c>
      <c r="B9" s="40">
        <v>1893</v>
      </c>
      <c r="C9" s="41">
        <f t="shared" ref="C9:C47" si="0">IF(B10&lt;B9,0,B10-B9)</f>
        <v>406</v>
      </c>
      <c r="D9" s="42">
        <v>19006470</v>
      </c>
      <c r="E9" s="41">
        <f t="shared" ref="E9:E24" si="1">IF(D10&lt;D9,0,D10-D9)</f>
        <v>3048</v>
      </c>
      <c r="F9" s="42">
        <v>34032290</v>
      </c>
      <c r="G9" s="41">
        <f t="shared" ref="G9:G24" si="2">IF(F10&lt;F9,0,F10-F9)</f>
        <v>4845</v>
      </c>
      <c r="H9" s="42">
        <v>15074377</v>
      </c>
      <c r="I9" s="41">
        <f t="shared" ref="I9:I47" si="3">IF(H10&lt;H9,0,H10-H9)</f>
        <v>2102</v>
      </c>
    </row>
    <row r="10" spans="1:20" ht="21" thickTop="1" thickBot="1" x14ac:dyDescent="0.35">
      <c r="A10" s="39">
        <f>(A9+1)</f>
        <v>44222</v>
      </c>
      <c r="B10" s="40">
        <v>2299</v>
      </c>
      <c r="C10" s="41">
        <f t="shared" si="0"/>
        <v>295</v>
      </c>
      <c r="D10" s="42">
        <v>19009518</v>
      </c>
      <c r="E10" s="41">
        <f t="shared" si="1"/>
        <v>3534</v>
      </c>
      <c r="F10" s="42">
        <v>34037135</v>
      </c>
      <c r="G10" s="41">
        <f t="shared" si="2"/>
        <v>4778</v>
      </c>
      <c r="H10" s="42">
        <v>15076479</v>
      </c>
      <c r="I10" s="41">
        <f t="shared" si="3"/>
        <v>2076</v>
      </c>
    </row>
    <row r="11" spans="1:20" ht="21" thickTop="1" thickBot="1" x14ac:dyDescent="0.35">
      <c r="A11" s="39">
        <f t="shared" ref="A11:A47" si="4">(A10+1)</f>
        <v>44223</v>
      </c>
      <c r="B11" s="40">
        <v>2594</v>
      </c>
      <c r="C11" s="41">
        <f t="shared" si="0"/>
        <v>284</v>
      </c>
      <c r="D11" s="42">
        <v>19013052</v>
      </c>
      <c r="E11" s="41">
        <f t="shared" si="1"/>
        <v>3274</v>
      </c>
      <c r="F11" s="42">
        <v>34041913</v>
      </c>
      <c r="G11" s="41">
        <f t="shared" si="2"/>
        <v>5706</v>
      </c>
      <c r="H11" s="42">
        <v>15078555</v>
      </c>
      <c r="I11" s="41">
        <f t="shared" si="3"/>
        <v>2466</v>
      </c>
    </row>
    <row r="12" spans="1:20" ht="21" thickTop="1" thickBot="1" x14ac:dyDescent="0.35">
      <c r="A12" s="39">
        <f t="shared" si="4"/>
        <v>44224</v>
      </c>
      <c r="B12" s="40">
        <v>2878</v>
      </c>
      <c r="C12" s="41">
        <f t="shared" si="0"/>
        <v>233</v>
      </c>
      <c r="D12" s="42">
        <v>19016326</v>
      </c>
      <c r="E12" s="41">
        <f t="shared" si="1"/>
        <v>3755</v>
      </c>
      <c r="F12" s="42">
        <v>34047619</v>
      </c>
      <c r="G12" s="41">
        <f t="shared" si="2"/>
        <v>5364</v>
      </c>
      <c r="H12" s="42">
        <v>15081021</v>
      </c>
      <c r="I12" s="41">
        <f t="shared" si="3"/>
        <v>2415</v>
      </c>
    </row>
    <row r="13" spans="1:20" ht="21" thickTop="1" thickBot="1" x14ac:dyDescent="0.35">
      <c r="A13" s="39">
        <f t="shared" si="4"/>
        <v>44225</v>
      </c>
      <c r="B13" s="40">
        <v>3111</v>
      </c>
      <c r="C13" s="41">
        <f t="shared" si="0"/>
        <v>455</v>
      </c>
      <c r="D13" s="42">
        <v>19020081</v>
      </c>
      <c r="E13" s="41">
        <f t="shared" si="1"/>
        <v>3801</v>
      </c>
      <c r="F13" s="42">
        <v>34052983</v>
      </c>
      <c r="G13" s="41">
        <f t="shared" si="2"/>
        <v>5658</v>
      </c>
      <c r="H13" s="42">
        <v>15083436</v>
      </c>
      <c r="I13" s="41">
        <f t="shared" si="3"/>
        <v>2670</v>
      </c>
    </row>
    <row r="14" spans="1:20" ht="21" thickTop="1" thickBot="1" x14ac:dyDescent="0.35">
      <c r="A14" s="39">
        <f t="shared" si="4"/>
        <v>44226</v>
      </c>
      <c r="B14" s="40">
        <v>3566</v>
      </c>
      <c r="C14" s="41">
        <f t="shared" si="0"/>
        <v>250</v>
      </c>
      <c r="D14" s="42">
        <v>19023882</v>
      </c>
      <c r="E14" s="41">
        <f t="shared" si="1"/>
        <v>3232</v>
      </c>
      <c r="F14" s="42">
        <v>34058641</v>
      </c>
      <c r="G14" s="41">
        <f t="shared" si="2"/>
        <v>5083</v>
      </c>
      <c r="H14" s="42">
        <v>15086106</v>
      </c>
      <c r="I14" s="41">
        <f t="shared" si="3"/>
        <v>2216</v>
      </c>
    </row>
    <row r="15" spans="1:20" ht="21" thickTop="1" thickBot="1" x14ac:dyDescent="0.35">
      <c r="A15" s="39">
        <f t="shared" si="4"/>
        <v>44227</v>
      </c>
      <c r="B15" s="40">
        <v>3816</v>
      </c>
      <c r="C15" s="41">
        <f t="shared" si="0"/>
        <v>212</v>
      </c>
      <c r="D15" s="42">
        <v>19027114</v>
      </c>
      <c r="E15" s="41">
        <f t="shared" si="1"/>
        <v>3162</v>
      </c>
      <c r="F15" s="42">
        <v>34063724</v>
      </c>
      <c r="G15" s="41">
        <f t="shared" si="2"/>
        <v>4664</v>
      </c>
      <c r="H15" s="42">
        <v>15088322</v>
      </c>
      <c r="I15" s="41">
        <f t="shared" si="3"/>
        <v>2222</v>
      </c>
    </row>
    <row r="16" spans="1:20" ht="21" thickTop="1" thickBot="1" x14ac:dyDescent="0.35">
      <c r="A16" s="39">
        <f t="shared" si="4"/>
        <v>44228</v>
      </c>
      <c r="B16" s="40">
        <v>4028</v>
      </c>
      <c r="C16" s="41">
        <f t="shared" si="0"/>
        <v>175</v>
      </c>
      <c r="D16" s="42">
        <v>19030276</v>
      </c>
      <c r="E16" s="41">
        <f t="shared" si="1"/>
        <v>3461</v>
      </c>
      <c r="F16" s="42">
        <v>34068388</v>
      </c>
      <c r="G16" s="41">
        <f t="shared" si="2"/>
        <v>4700</v>
      </c>
      <c r="H16" s="42">
        <v>15090544</v>
      </c>
      <c r="I16" s="41">
        <f t="shared" si="3"/>
        <v>2184</v>
      </c>
    </row>
    <row r="17" spans="1:9" ht="21" thickTop="1" thickBot="1" x14ac:dyDescent="0.35">
      <c r="A17" s="39">
        <f t="shared" si="4"/>
        <v>44229</v>
      </c>
      <c r="B17" s="40">
        <v>4203</v>
      </c>
      <c r="C17" s="41">
        <f t="shared" si="0"/>
        <v>407</v>
      </c>
      <c r="D17" s="42">
        <v>19033737</v>
      </c>
      <c r="E17" s="41">
        <f t="shared" si="1"/>
        <v>2875</v>
      </c>
      <c r="F17" s="42">
        <v>34073088</v>
      </c>
      <c r="G17" s="41">
        <f t="shared" si="2"/>
        <v>4572</v>
      </c>
      <c r="H17" s="42">
        <v>15092728</v>
      </c>
      <c r="I17" s="41">
        <f t="shared" si="3"/>
        <v>1964</v>
      </c>
    </row>
    <row r="18" spans="1:9" ht="21" thickTop="1" thickBot="1" x14ac:dyDescent="0.35">
      <c r="A18" s="39">
        <f t="shared" si="4"/>
        <v>44230</v>
      </c>
      <c r="B18" s="40">
        <v>4610</v>
      </c>
      <c r="C18" s="41">
        <f t="shared" si="0"/>
        <v>200</v>
      </c>
      <c r="D18" s="42">
        <v>19036612</v>
      </c>
      <c r="E18" s="41">
        <f t="shared" si="1"/>
        <v>3354</v>
      </c>
      <c r="F18" s="42">
        <v>34077660</v>
      </c>
      <c r="G18" s="41">
        <f t="shared" si="2"/>
        <v>4994</v>
      </c>
      <c r="H18" s="42">
        <v>15094692</v>
      </c>
      <c r="I18" s="41">
        <f t="shared" si="3"/>
        <v>2078</v>
      </c>
    </row>
    <row r="19" spans="1:9" ht="21" thickTop="1" thickBot="1" x14ac:dyDescent="0.35">
      <c r="A19" s="39">
        <f t="shared" si="4"/>
        <v>44231</v>
      </c>
      <c r="B19" s="40">
        <v>4810</v>
      </c>
      <c r="C19" s="41">
        <f t="shared" si="0"/>
        <v>188</v>
      </c>
      <c r="D19" s="42">
        <v>19039966</v>
      </c>
      <c r="E19" s="41">
        <f t="shared" si="1"/>
        <v>3313</v>
      </c>
      <c r="F19" s="42">
        <v>34082654</v>
      </c>
      <c r="G19" s="41">
        <f t="shared" si="2"/>
        <v>5166</v>
      </c>
      <c r="H19" s="42">
        <v>15096770</v>
      </c>
      <c r="I19" s="41">
        <f t="shared" si="3"/>
        <v>2046</v>
      </c>
    </row>
    <row r="20" spans="1:9" ht="21" thickTop="1" thickBot="1" x14ac:dyDescent="0.35">
      <c r="A20" s="39">
        <f t="shared" si="4"/>
        <v>44232</v>
      </c>
      <c r="B20" s="40">
        <v>4998</v>
      </c>
      <c r="C20" s="41">
        <f t="shared" si="0"/>
        <v>438</v>
      </c>
      <c r="D20" s="42">
        <v>19043279</v>
      </c>
      <c r="E20" s="41">
        <f t="shared" si="1"/>
        <v>3150</v>
      </c>
      <c r="F20" s="42">
        <v>34087820</v>
      </c>
      <c r="G20" s="41">
        <f t="shared" si="2"/>
        <v>4709</v>
      </c>
      <c r="H20" s="42">
        <v>15098816</v>
      </c>
      <c r="I20" s="41">
        <f t="shared" si="3"/>
        <v>2005</v>
      </c>
    </row>
    <row r="21" spans="1:9" ht="21" thickTop="1" thickBot="1" x14ac:dyDescent="0.35">
      <c r="A21" s="39">
        <f t="shared" si="4"/>
        <v>44233</v>
      </c>
      <c r="B21" s="40">
        <v>5436</v>
      </c>
      <c r="C21" s="41">
        <f t="shared" si="0"/>
        <v>188</v>
      </c>
      <c r="D21" s="42">
        <v>19046429</v>
      </c>
      <c r="E21" s="41">
        <f t="shared" si="1"/>
        <v>3145</v>
      </c>
      <c r="F21" s="42">
        <v>34092529</v>
      </c>
      <c r="G21" s="41">
        <f t="shared" si="2"/>
        <v>4868</v>
      </c>
      <c r="H21" s="42">
        <v>15100821</v>
      </c>
      <c r="I21" s="41">
        <f t="shared" si="3"/>
        <v>2051</v>
      </c>
    </row>
    <row r="22" spans="1:9" ht="21" thickTop="1" thickBot="1" x14ac:dyDescent="0.35">
      <c r="A22" s="39">
        <f t="shared" si="4"/>
        <v>44234</v>
      </c>
      <c r="B22" s="40">
        <v>5624</v>
      </c>
      <c r="C22" s="41">
        <f t="shared" si="0"/>
        <v>184</v>
      </c>
      <c r="D22" s="42">
        <v>19049574</v>
      </c>
      <c r="E22" s="41">
        <f t="shared" si="1"/>
        <v>3116</v>
      </c>
      <c r="F22" s="42">
        <v>34097397</v>
      </c>
      <c r="G22" s="41">
        <f t="shared" si="2"/>
        <v>5057</v>
      </c>
      <c r="H22" s="42">
        <v>15102872</v>
      </c>
      <c r="I22" s="41">
        <f t="shared" si="3"/>
        <v>2018</v>
      </c>
    </row>
    <row r="23" spans="1:9" ht="21" thickTop="1" thickBot="1" x14ac:dyDescent="0.35">
      <c r="A23" s="39">
        <f t="shared" si="4"/>
        <v>44235</v>
      </c>
      <c r="B23" s="40">
        <v>5808</v>
      </c>
      <c r="C23" s="41">
        <f t="shared" si="0"/>
        <v>371</v>
      </c>
      <c r="D23" s="42">
        <v>19052690</v>
      </c>
      <c r="E23" s="41">
        <f t="shared" si="1"/>
        <v>3181</v>
      </c>
      <c r="F23" s="42">
        <v>34102454</v>
      </c>
      <c r="G23" s="41">
        <f t="shared" si="2"/>
        <v>4491</v>
      </c>
      <c r="H23" s="42">
        <v>15104890</v>
      </c>
      <c r="I23" s="41">
        <f t="shared" si="3"/>
        <v>1993</v>
      </c>
    </row>
    <row r="24" spans="1:9" ht="21" thickTop="1" thickBot="1" x14ac:dyDescent="0.35">
      <c r="A24" s="39">
        <f t="shared" si="4"/>
        <v>44236</v>
      </c>
      <c r="B24" s="40">
        <v>6179</v>
      </c>
      <c r="C24" s="41">
        <f t="shared" si="0"/>
        <v>0</v>
      </c>
      <c r="D24" s="42">
        <v>19055871</v>
      </c>
      <c r="E24" s="41">
        <f t="shared" si="1"/>
        <v>0</v>
      </c>
      <c r="F24" s="42">
        <v>34106945</v>
      </c>
      <c r="G24" s="41">
        <f t="shared" si="2"/>
        <v>0</v>
      </c>
      <c r="H24" s="42">
        <v>15106883</v>
      </c>
      <c r="I24" s="41">
        <f t="shared" si="3"/>
        <v>0</v>
      </c>
    </row>
    <row r="25" spans="1:9" ht="21" thickTop="1" thickBot="1" x14ac:dyDescent="0.35">
      <c r="A25" s="39">
        <f t="shared" si="4"/>
        <v>44237</v>
      </c>
      <c r="B25" s="40"/>
      <c r="C25" s="41">
        <f t="shared" si="0"/>
        <v>0</v>
      </c>
      <c r="D25" s="42"/>
      <c r="E25" s="41">
        <f t="shared" ref="E24:E47" si="5">IF(D26&lt;D25,0,D26-D25)</f>
        <v>0</v>
      </c>
      <c r="F25" s="42"/>
      <c r="G25" s="41">
        <f t="shared" ref="G24:G47" si="6">IF(F26&lt;F25,0,F26-F25)</f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44238</v>
      </c>
      <c r="B26" s="40"/>
      <c r="C26" s="41">
        <f t="shared" si="0"/>
        <v>0</v>
      </c>
      <c r="D26" s="42"/>
      <c r="E26" s="41">
        <f t="shared" si="5"/>
        <v>0</v>
      </c>
      <c r="F26" s="42"/>
      <c r="G26" s="41">
        <f t="shared" si="6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44239</v>
      </c>
      <c r="B27" s="40"/>
      <c r="C27" s="41">
        <f t="shared" si="0"/>
        <v>0</v>
      </c>
      <c r="D27" s="42"/>
      <c r="E27" s="41">
        <f t="shared" si="5"/>
        <v>0</v>
      </c>
      <c r="F27" s="42"/>
      <c r="G27" s="41">
        <f t="shared" si="6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44240</v>
      </c>
      <c r="B28" s="40"/>
      <c r="C28" s="41">
        <f t="shared" si="0"/>
        <v>0</v>
      </c>
      <c r="D28" s="42"/>
      <c r="E28" s="41">
        <f t="shared" si="5"/>
        <v>0</v>
      </c>
      <c r="F28" s="42"/>
      <c r="G28" s="41">
        <f t="shared" si="6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44241</v>
      </c>
      <c r="B29" s="40"/>
      <c r="C29" s="41">
        <f t="shared" si="0"/>
        <v>0</v>
      </c>
      <c r="D29" s="42"/>
      <c r="E29" s="41">
        <f t="shared" si="5"/>
        <v>0</v>
      </c>
      <c r="F29" s="42"/>
      <c r="G29" s="41">
        <f t="shared" si="6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44242</v>
      </c>
      <c r="B30" s="40"/>
      <c r="C30" s="41">
        <f t="shared" si="0"/>
        <v>0</v>
      </c>
      <c r="D30" s="42"/>
      <c r="E30" s="41">
        <f t="shared" si="5"/>
        <v>0</v>
      </c>
      <c r="F30" s="42"/>
      <c r="G30" s="41">
        <f t="shared" si="6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44243</v>
      </c>
      <c r="B31" s="40"/>
      <c r="C31" s="41">
        <f t="shared" si="0"/>
        <v>0</v>
      </c>
      <c r="D31" s="42"/>
      <c r="E31" s="41">
        <f t="shared" si="5"/>
        <v>0</v>
      </c>
      <c r="F31" s="42"/>
      <c r="G31" s="41">
        <f t="shared" si="6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44244</v>
      </c>
      <c r="B32" s="40"/>
      <c r="C32" s="41">
        <f t="shared" si="0"/>
        <v>0</v>
      </c>
      <c r="D32" s="42"/>
      <c r="E32" s="41">
        <f t="shared" si="5"/>
        <v>0</v>
      </c>
      <c r="F32" s="42"/>
      <c r="G32" s="41">
        <f t="shared" si="6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44245</v>
      </c>
      <c r="B33" s="40"/>
      <c r="C33" s="41">
        <f t="shared" si="0"/>
        <v>0</v>
      </c>
      <c r="D33" s="42"/>
      <c r="E33" s="41">
        <f t="shared" si="5"/>
        <v>0</v>
      </c>
      <c r="F33" s="42"/>
      <c r="G33" s="41">
        <f t="shared" si="6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44246</v>
      </c>
      <c r="B34" s="40"/>
      <c r="C34" s="41">
        <f t="shared" si="0"/>
        <v>0</v>
      </c>
      <c r="D34" s="42"/>
      <c r="E34" s="41">
        <f t="shared" si="5"/>
        <v>0</v>
      </c>
      <c r="F34" s="42"/>
      <c r="G34" s="41">
        <f t="shared" si="6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44247</v>
      </c>
      <c r="B35" s="40"/>
      <c r="C35" s="41">
        <f t="shared" si="0"/>
        <v>0</v>
      </c>
      <c r="D35" s="42"/>
      <c r="E35" s="41">
        <f t="shared" si="5"/>
        <v>0</v>
      </c>
      <c r="F35" s="42"/>
      <c r="G35" s="41">
        <f t="shared" si="6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44248</v>
      </c>
      <c r="B36" s="40"/>
      <c r="C36" s="41">
        <f t="shared" si="0"/>
        <v>0</v>
      </c>
      <c r="D36" s="42"/>
      <c r="E36" s="41">
        <f t="shared" si="5"/>
        <v>0</v>
      </c>
      <c r="F36" s="42"/>
      <c r="G36" s="41">
        <f t="shared" si="6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44249</v>
      </c>
      <c r="B37" s="40"/>
      <c r="C37" s="41">
        <f t="shared" si="0"/>
        <v>0</v>
      </c>
      <c r="D37" s="42"/>
      <c r="E37" s="41">
        <f t="shared" si="5"/>
        <v>0</v>
      </c>
      <c r="F37" s="42"/>
      <c r="G37" s="41">
        <f t="shared" si="6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44250</v>
      </c>
      <c r="B38" s="40"/>
      <c r="C38" s="41">
        <f t="shared" si="0"/>
        <v>0</v>
      </c>
      <c r="D38" s="42"/>
      <c r="E38" s="41">
        <f t="shared" si="5"/>
        <v>0</v>
      </c>
      <c r="F38" s="42"/>
      <c r="G38" s="41">
        <f t="shared" si="6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44251</v>
      </c>
      <c r="B39" s="40"/>
      <c r="C39" s="41">
        <f t="shared" si="0"/>
        <v>0</v>
      </c>
      <c r="D39" s="42"/>
      <c r="E39" s="41">
        <f t="shared" si="5"/>
        <v>0</v>
      </c>
      <c r="F39" s="42"/>
      <c r="G39" s="41">
        <f t="shared" si="6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44252</v>
      </c>
      <c r="B40" s="40"/>
      <c r="C40" s="41">
        <f t="shared" si="0"/>
        <v>0</v>
      </c>
      <c r="D40" s="42"/>
      <c r="E40" s="41">
        <f t="shared" si="5"/>
        <v>0</v>
      </c>
      <c r="F40" s="42"/>
      <c r="G40" s="41">
        <f t="shared" si="6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44253</v>
      </c>
      <c r="B41" s="40"/>
      <c r="C41" s="41">
        <f t="shared" si="0"/>
        <v>0</v>
      </c>
      <c r="D41" s="42"/>
      <c r="E41" s="41">
        <f t="shared" si="5"/>
        <v>0</v>
      </c>
      <c r="F41" s="42"/>
      <c r="G41" s="41">
        <f t="shared" si="6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44254</v>
      </c>
      <c r="B42" s="40"/>
      <c r="C42" s="41">
        <f t="shared" si="0"/>
        <v>0</v>
      </c>
      <c r="D42" s="42"/>
      <c r="E42" s="41">
        <f t="shared" si="5"/>
        <v>0</v>
      </c>
      <c r="F42" s="42"/>
      <c r="G42" s="41">
        <f t="shared" si="6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44255</v>
      </c>
      <c r="B43" s="40"/>
      <c r="C43" s="41">
        <f t="shared" si="0"/>
        <v>0</v>
      </c>
      <c r="D43" s="42"/>
      <c r="E43" s="41">
        <f t="shared" si="5"/>
        <v>0</v>
      </c>
      <c r="F43" s="42"/>
      <c r="G43" s="41">
        <f t="shared" si="6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44256</v>
      </c>
      <c r="B44" s="40"/>
      <c r="C44" s="41">
        <f t="shared" si="0"/>
        <v>0</v>
      </c>
      <c r="D44" s="42"/>
      <c r="E44" s="41">
        <f t="shared" si="5"/>
        <v>0</v>
      </c>
      <c r="F44" s="42"/>
      <c r="G44" s="41">
        <f t="shared" si="6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44257</v>
      </c>
      <c r="B45" s="40"/>
      <c r="C45" s="41">
        <f t="shared" si="0"/>
        <v>0</v>
      </c>
      <c r="D45" s="42"/>
      <c r="E45" s="41">
        <f t="shared" si="5"/>
        <v>0</v>
      </c>
      <c r="F45" s="42"/>
      <c r="G45" s="41">
        <f t="shared" si="6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44258</v>
      </c>
      <c r="B46" s="40"/>
      <c r="C46" s="41">
        <f t="shared" si="0"/>
        <v>0</v>
      </c>
      <c r="D46" s="42"/>
      <c r="E46" s="41">
        <f t="shared" si="5"/>
        <v>0</v>
      </c>
      <c r="F46" s="42"/>
      <c r="G46" s="41">
        <f t="shared" si="6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44259</v>
      </c>
      <c r="B47" s="40"/>
      <c r="C47" s="41">
        <f t="shared" si="0"/>
        <v>0</v>
      </c>
      <c r="D47" s="42"/>
      <c r="E47" s="41">
        <f t="shared" si="5"/>
        <v>0</v>
      </c>
      <c r="F47" s="42"/>
      <c r="G47" s="41">
        <f t="shared" si="6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SUM(C16:C43)</f>
        <v>2151</v>
      </c>
      <c r="E48" s="41">
        <f>SUM(E16:E43)</f>
        <v>25595</v>
      </c>
      <c r="F48" s="53"/>
      <c r="G48" s="41">
        <f>SUM(G16:G43)</f>
        <v>38557</v>
      </c>
      <c r="H48" s="53"/>
      <c r="I48" s="41">
        <f>SUM(I16:I43)</f>
        <v>16339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56" priority="1210" stopIfTrue="1" operator="lessThanOrEqual">
      <formula>0</formula>
    </cfRule>
  </conditionalFormatting>
  <conditionalFormatting sqref="C48">
    <cfRule type="cellIs" dxfId="55" priority="872" stopIfTrue="1" operator="lessThanOrEqual">
      <formula>0</formula>
    </cfRule>
  </conditionalFormatting>
  <conditionalFormatting sqref="C48">
    <cfRule type="cellIs" dxfId="54" priority="871" stopIfTrue="1" operator="lessThanOrEqual">
      <formula>0</formula>
    </cfRule>
  </conditionalFormatting>
  <conditionalFormatting sqref="C48">
    <cfRule type="cellIs" dxfId="53" priority="870" stopIfTrue="1" operator="lessThanOrEqual">
      <formula>0</formula>
    </cfRule>
  </conditionalFormatting>
  <conditionalFormatting sqref="C48">
    <cfRule type="cellIs" dxfId="52" priority="869" stopIfTrue="1" operator="lessThanOrEqual">
      <formula>0</formula>
    </cfRule>
  </conditionalFormatting>
  <conditionalFormatting sqref="C9:C10">
    <cfRule type="cellIs" dxfId="51" priority="60" stopIfTrue="1" operator="lessThanOrEqual">
      <formula>0</formula>
    </cfRule>
  </conditionalFormatting>
  <conditionalFormatting sqref="C9:C10">
    <cfRule type="cellIs" dxfId="50" priority="59" stopIfTrue="1" operator="lessThanOrEqual">
      <formula>0</formula>
    </cfRule>
  </conditionalFormatting>
  <conditionalFormatting sqref="C9:C10">
    <cfRule type="cellIs" dxfId="49" priority="58" stopIfTrue="1" operator="lessThanOrEqual">
      <formula>0</formula>
    </cfRule>
  </conditionalFormatting>
  <conditionalFormatting sqref="C9:C10">
    <cfRule type="cellIs" dxfId="48" priority="57" stopIfTrue="1" operator="lessThanOrEqual">
      <formula>0</formula>
    </cfRule>
  </conditionalFormatting>
  <conditionalFormatting sqref="C11:C14">
    <cfRule type="cellIs" dxfId="47" priority="56" stopIfTrue="1" operator="lessThanOrEqual">
      <formula>0</formula>
    </cfRule>
  </conditionalFormatting>
  <conditionalFormatting sqref="C11:C14">
    <cfRule type="cellIs" dxfId="46" priority="55" stopIfTrue="1" operator="lessThanOrEqual">
      <formula>0</formula>
    </cfRule>
  </conditionalFormatting>
  <conditionalFormatting sqref="C11:C14">
    <cfRule type="cellIs" dxfId="45" priority="54" stopIfTrue="1" operator="lessThanOrEqual">
      <formula>0</formula>
    </cfRule>
  </conditionalFormatting>
  <conditionalFormatting sqref="C11:C14">
    <cfRule type="cellIs" dxfId="44" priority="53" stopIfTrue="1" operator="lessThanOrEqual">
      <formula>0</formula>
    </cfRule>
  </conditionalFormatting>
  <conditionalFormatting sqref="C15">
    <cfRule type="cellIs" dxfId="43" priority="52" stopIfTrue="1" operator="lessThanOrEqual">
      <formula>0</formula>
    </cfRule>
  </conditionalFormatting>
  <conditionalFormatting sqref="C15">
    <cfRule type="cellIs" dxfId="42" priority="51" stopIfTrue="1" operator="lessThanOrEqual">
      <formula>0</formula>
    </cfRule>
  </conditionalFormatting>
  <conditionalFormatting sqref="C15">
    <cfRule type="cellIs" dxfId="41" priority="50" stopIfTrue="1" operator="lessThanOrEqual">
      <formula>0</formula>
    </cfRule>
  </conditionalFormatting>
  <conditionalFormatting sqref="C15">
    <cfRule type="cellIs" dxfId="40" priority="49" stopIfTrue="1" operator="lessThanOrEqual">
      <formula>0</formula>
    </cfRule>
  </conditionalFormatting>
  <conditionalFormatting sqref="C16 C25:C47">
    <cfRule type="cellIs" dxfId="39" priority="48" stopIfTrue="1" operator="lessThanOrEqual">
      <formula>0</formula>
    </cfRule>
  </conditionalFormatting>
  <conditionalFormatting sqref="C16 C25:C47">
    <cfRule type="cellIs" dxfId="38" priority="47" stopIfTrue="1" operator="lessThanOrEqual">
      <formula>0</formula>
    </cfRule>
  </conditionalFormatting>
  <conditionalFormatting sqref="C16 C25:C47">
    <cfRule type="cellIs" dxfId="37" priority="46" stopIfTrue="1" operator="lessThanOrEqual">
      <formula>0</formula>
    </cfRule>
  </conditionalFormatting>
  <conditionalFormatting sqref="C16 C25:C47">
    <cfRule type="cellIs" dxfId="36" priority="45" stopIfTrue="1" operator="lessThanOrEqual">
      <formula>0</formula>
    </cfRule>
  </conditionalFormatting>
  <conditionalFormatting sqref="C17">
    <cfRule type="cellIs" dxfId="35" priority="32" stopIfTrue="1" operator="lessThanOrEqual">
      <formula>0</formula>
    </cfRule>
  </conditionalFormatting>
  <conditionalFormatting sqref="C17">
    <cfRule type="cellIs" dxfId="34" priority="31" stopIfTrue="1" operator="lessThanOrEqual">
      <formula>0</formula>
    </cfRule>
  </conditionalFormatting>
  <conditionalFormatting sqref="C17">
    <cfRule type="cellIs" dxfId="33" priority="30" stopIfTrue="1" operator="lessThanOrEqual">
      <formula>0</formula>
    </cfRule>
  </conditionalFormatting>
  <conditionalFormatting sqref="C17">
    <cfRule type="cellIs" dxfId="32" priority="29" stopIfTrue="1" operator="lessThanOrEqual">
      <formula>0</formula>
    </cfRule>
  </conditionalFormatting>
  <conditionalFormatting sqref="E48">
    <cfRule type="cellIs" dxfId="31" priority="28" stopIfTrue="1" operator="lessThanOrEqual">
      <formula>0</formula>
    </cfRule>
  </conditionalFormatting>
  <conditionalFormatting sqref="E48">
    <cfRule type="cellIs" dxfId="30" priority="27" stopIfTrue="1" operator="lessThanOrEqual">
      <formula>0</formula>
    </cfRule>
  </conditionalFormatting>
  <conditionalFormatting sqref="E48">
    <cfRule type="cellIs" dxfId="29" priority="26" stopIfTrue="1" operator="lessThanOrEqual">
      <formula>0</formula>
    </cfRule>
  </conditionalFormatting>
  <conditionalFormatting sqref="E48">
    <cfRule type="cellIs" dxfId="28" priority="25" stopIfTrue="1" operator="lessThanOrEqual">
      <formula>0</formula>
    </cfRule>
  </conditionalFormatting>
  <conditionalFormatting sqref="G48">
    <cfRule type="cellIs" dxfId="27" priority="24" stopIfTrue="1" operator="lessThanOrEqual">
      <formula>0</formula>
    </cfRule>
  </conditionalFormatting>
  <conditionalFormatting sqref="G48">
    <cfRule type="cellIs" dxfId="26" priority="23" stopIfTrue="1" operator="lessThanOrEqual">
      <formula>0</formula>
    </cfRule>
  </conditionalFormatting>
  <conditionalFormatting sqref="G48">
    <cfRule type="cellIs" dxfId="25" priority="22" stopIfTrue="1" operator="lessThanOrEqual">
      <formula>0</formula>
    </cfRule>
  </conditionalFormatting>
  <conditionalFormatting sqref="G48">
    <cfRule type="cellIs" dxfId="24" priority="21" stopIfTrue="1" operator="lessThanOrEqual">
      <formula>0</formula>
    </cfRule>
  </conditionalFormatting>
  <conditionalFormatting sqref="I48">
    <cfRule type="cellIs" dxfId="23" priority="20" stopIfTrue="1" operator="lessThanOrEqual">
      <formula>0</formula>
    </cfRule>
  </conditionalFormatting>
  <conditionalFormatting sqref="I48">
    <cfRule type="cellIs" dxfId="22" priority="19" stopIfTrue="1" operator="lessThanOrEqual">
      <formula>0</formula>
    </cfRule>
  </conditionalFormatting>
  <conditionalFormatting sqref="I48">
    <cfRule type="cellIs" dxfId="21" priority="18" stopIfTrue="1" operator="lessThanOrEqual">
      <formula>0</formula>
    </cfRule>
  </conditionalFormatting>
  <conditionalFormatting sqref="I48">
    <cfRule type="cellIs" dxfId="20" priority="17" stopIfTrue="1" operator="lessThanOrEqual">
      <formula>0</formula>
    </cfRule>
  </conditionalFormatting>
  <conditionalFormatting sqref="C18">
    <cfRule type="cellIs" dxfId="19" priority="16" stopIfTrue="1" operator="lessThanOrEqual">
      <formula>0</formula>
    </cfRule>
  </conditionalFormatting>
  <conditionalFormatting sqref="C18">
    <cfRule type="cellIs" dxfId="18" priority="15" stopIfTrue="1" operator="lessThanOrEqual">
      <formula>0</formula>
    </cfRule>
  </conditionalFormatting>
  <conditionalFormatting sqref="C18">
    <cfRule type="cellIs" dxfId="17" priority="14" stopIfTrue="1" operator="lessThanOrEqual">
      <formula>0</formula>
    </cfRule>
  </conditionalFormatting>
  <conditionalFormatting sqref="C18">
    <cfRule type="cellIs" dxfId="16" priority="13" stopIfTrue="1" operator="lessThanOrEqual">
      <formula>0</formula>
    </cfRule>
  </conditionalFormatting>
  <conditionalFormatting sqref="C19:C21">
    <cfRule type="cellIs" dxfId="15" priority="12" stopIfTrue="1" operator="lessThanOrEqual">
      <formula>0</formula>
    </cfRule>
  </conditionalFormatting>
  <conditionalFormatting sqref="C19:C21">
    <cfRule type="cellIs" dxfId="14" priority="11" stopIfTrue="1" operator="lessThanOrEqual">
      <formula>0</formula>
    </cfRule>
  </conditionalFormatting>
  <conditionalFormatting sqref="C19:C21">
    <cfRule type="cellIs" dxfId="13" priority="10" stopIfTrue="1" operator="lessThanOrEqual">
      <formula>0</formula>
    </cfRule>
  </conditionalFormatting>
  <conditionalFormatting sqref="C19:C21">
    <cfRule type="cellIs" dxfId="12" priority="9" stopIfTrue="1" operator="lessThanOrEqual">
      <formula>0</formula>
    </cfRule>
  </conditionalFormatting>
  <conditionalFormatting sqref="C22:C23">
    <cfRule type="cellIs" dxfId="11" priority="8" stopIfTrue="1" operator="lessThanOrEqual">
      <formula>0</formula>
    </cfRule>
  </conditionalFormatting>
  <conditionalFormatting sqref="C22:C23">
    <cfRule type="cellIs" dxfId="10" priority="7" stopIfTrue="1" operator="lessThanOrEqual">
      <formula>0</formula>
    </cfRule>
  </conditionalFormatting>
  <conditionalFormatting sqref="C22:C23">
    <cfRule type="cellIs" dxfId="9" priority="6" stopIfTrue="1" operator="lessThanOrEqual">
      <formula>0</formula>
    </cfRule>
  </conditionalFormatting>
  <conditionalFormatting sqref="C22:C23">
    <cfRule type="cellIs" dxfId="8" priority="5" stopIfTrue="1" operator="lessThanOrEqual">
      <formula>0</formula>
    </cfRule>
  </conditionalFormatting>
  <conditionalFormatting sqref="C24">
    <cfRule type="cellIs" dxfId="7" priority="4" stopIfTrue="1" operator="lessThanOrEqual">
      <formula>0</formula>
    </cfRule>
  </conditionalFormatting>
  <conditionalFormatting sqref="C24">
    <cfRule type="cellIs" dxfId="5" priority="3" stopIfTrue="1" operator="lessThanOrEqual">
      <formula>0</formula>
    </cfRule>
  </conditionalFormatting>
  <conditionalFormatting sqref="C24">
    <cfRule type="cellIs" dxfId="3" priority="2" stopIfTrue="1" operator="lessThanOrEqual">
      <formula>0</formula>
    </cfRule>
  </conditionalFormatting>
  <conditionalFormatting sqref="C2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29.01</vt:lpstr>
      <vt:lpstr>Suivi Gaz</vt:lpstr>
      <vt:lpstr>Suivi EAU-ELEC</vt:lpstr>
      <vt:lpstr>Feuil1</vt:lpstr>
      <vt:lpstr>'Consommation du 01.02 au 29.01'!Print_Area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2021-02-09T12:09:34Z</dcterms:modified>
</cp:coreProperties>
</file>