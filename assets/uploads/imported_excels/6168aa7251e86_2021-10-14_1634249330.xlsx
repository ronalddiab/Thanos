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0\"/>
    </mc:Choice>
  </mc:AlternateContent>
  <xr:revisionPtr revIDLastSave="0" documentId="13_ncr:1_{B32AC7B9-EAF4-434D-A173-C0AE6010FACE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November" sheetId="2" r:id="rId2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E30" i="1" l="1"/>
  <c r="Q38" i="2"/>
  <c r="O38" i="2"/>
  <c r="M38" i="2"/>
  <c r="K38" i="2"/>
  <c r="I38" i="2"/>
  <c r="G38" i="2"/>
  <c r="E38" i="2"/>
  <c r="G31" i="1" s="1"/>
  <c r="C38" i="2"/>
  <c r="E31" i="1" s="1"/>
  <c r="Q37" i="2"/>
  <c r="O37" i="2"/>
  <c r="M37" i="2"/>
  <c r="K37" i="2"/>
  <c r="I37" i="2"/>
  <c r="G37" i="2"/>
  <c r="E37" i="2"/>
  <c r="G30" i="1" s="1"/>
  <c r="C37" i="2"/>
  <c r="Q36" i="2"/>
  <c r="O36" i="2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G35" i="2"/>
  <c r="E35" i="2"/>
  <c r="G28" i="1" s="1"/>
  <c r="C35" i="2"/>
  <c r="E28" i="1" s="1"/>
  <c r="Q34" i="2"/>
  <c r="O34" i="2"/>
  <c r="M34" i="2"/>
  <c r="K34" i="2"/>
  <c r="I34" i="2"/>
  <c r="G34" i="2"/>
  <c r="E34" i="2"/>
  <c r="G27" i="1" s="1"/>
  <c r="C34" i="2"/>
  <c r="E27" i="1" s="1"/>
  <c r="Q33" i="2"/>
  <c r="O33" i="2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E24" i="1" s="1"/>
  <c r="Q30" i="2"/>
  <c r="O30" i="2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G29" i="2"/>
  <c r="E29" i="2"/>
  <c r="G22" i="1" s="1"/>
  <c r="C29" i="2"/>
  <c r="E22" i="1" s="1"/>
  <c r="Q28" i="2"/>
  <c r="O28" i="2"/>
  <c r="M28" i="2"/>
  <c r="K28" i="2"/>
  <c r="I28" i="2"/>
  <c r="G28" i="2"/>
  <c r="E28" i="2"/>
  <c r="G21" i="1" s="1"/>
  <c r="C28" i="2"/>
  <c r="E21" i="1" s="1"/>
  <c r="Q27" i="2"/>
  <c r="O27" i="2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G23" i="2"/>
  <c r="E23" i="2"/>
  <c r="G16" i="1" s="1"/>
  <c r="C23" i="2"/>
  <c r="E16" i="1" s="1"/>
  <c r="Q22" i="2"/>
  <c r="O22" i="2"/>
  <c r="M22" i="2"/>
  <c r="K22" i="2"/>
  <c r="I22" i="2"/>
  <c r="G22" i="2"/>
  <c r="E22" i="2"/>
  <c r="G15" i="1" s="1"/>
  <c r="C22" i="2"/>
  <c r="E15" i="1" s="1"/>
  <c r="Q21" i="2"/>
  <c r="O21" i="2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G20" i="2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E12" i="1" s="1"/>
  <c r="Q18" i="2"/>
  <c r="O18" i="2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G17" i="2"/>
  <c r="E17" i="2"/>
  <c r="G10" i="1" s="1"/>
  <c r="C17" i="2"/>
  <c r="E10" i="1" s="1"/>
  <c r="Q16" i="2"/>
  <c r="O16" i="2"/>
  <c r="M16" i="2"/>
  <c r="K16" i="2"/>
  <c r="I16" i="2"/>
  <c r="G16" i="2"/>
  <c r="E16" i="2"/>
  <c r="G9" i="1" s="1"/>
  <c r="C16" i="2"/>
  <c r="E9" i="1" s="1"/>
  <c r="Q15" i="2"/>
  <c r="O15" i="2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G11" i="2"/>
  <c r="E11" i="2"/>
  <c r="G4" i="1" s="1"/>
  <c r="C11" i="2"/>
  <c r="E4" i="1" s="1"/>
  <c r="Q10" i="2"/>
  <c r="O10" i="2"/>
  <c r="M10" i="2"/>
  <c r="K10" i="2"/>
  <c r="I10" i="2"/>
  <c r="G10" i="2"/>
  <c r="E10" i="2"/>
  <c r="G3" i="1" s="1"/>
  <c r="C10" i="2"/>
  <c r="E3" i="1" s="1"/>
  <c r="Q9" i="2"/>
  <c r="O9" i="2"/>
  <c r="M9" i="2"/>
  <c r="K9" i="2"/>
  <c r="I9" i="2"/>
  <c r="G9" i="2"/>
  <c r="E9" i="2"/>
  <c r="C9" i="2"/>
  <c r="I5" i="1" l="1"/>
  <c r="I8" i="1"/>
  <c r="I11" i="1"/>
  <c r="I14" i="1"/>
  <c r="I17" i="1"/>
  <c r="I20" i="1"/>
  <c r="I23" i="1"/>
  <c r="I26" i="1"/>
  <c r="I29" i="1"/>
  <c r="O40" i="2"/>
  <c r="I4" i="1"/>
  <c r="I10" i="1"/>
  <c r="I13" i="1"/>
  <c r="I16" i="1"/>
  <c r="I19" i="1"/>
  <c r="I22" i="1"/>
  <c r="I28" i="1"/>
  <c r="I31" i="1"/>
  <c r="M40" i="2"/>
  <c r="K4" i="1"/>
  <c r="K10" i="1"/>
  <c r="K13" i="1"/>
  <c r="K16" i="1"/>
  <c r="K22" i="1"/>
  <c r="K25" i="1"/>
  <c r="K28" i="1"/>
  <c r="K3" i="1"/>
  <c r="K9" i="1"/>
  <c r="K15" i="1"/>
  <c r="K21" i="1"/>
  <c r="K27" i="1"/>
  <c r="G40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0" i="2"/>
  <c r="I6" i="1"/>
  <c r="I12" i="1"/>
  <c r="I18" i="1"/>
  <c r="I24" i="1"/>
  <c r="I30" i="1"/>
  <c r="I2" i="1"/>
  <c r="K8" i="1"/>
  <c r="K40" i="2"/>
  <c r="I40" i="2"/>
  <c r="E40" i="2"/>
  <c r="G2" i="1"/>
  <c r="C40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<sst xmlns="http://schemas.openxmlformats.org/spreadsheetml/2006/main" count="72" uniqueCount="35">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</sst>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abSelected="1" topLeftCell="F1" workbookViewId="0">
      <selection activeCell="M2" sqref="M2:M31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10</v>
      </c>
      <c r="D2" s="2">
        <v>2021</v>
      </c>
      <c r="E2" s="4">
        <f>IF(November!C9&gt;0,November!C9,0)</f>
        <v>11100</v>
      </c>
      <c r="F2" s="9">
        <v>0.1108</v>
      </c>
      <c r="G2" s="4">
        <f>IF(November!E9&gt;0,November!E9,0)</f>
        <v>16.751999999999999</v>
      </c>
      <c r="H2" s="10">
        <v>1.73</v>
      </c>
      <c r="I2" s="4">
        <f>IF((November!I9+November!O9)&gt;0,(November!I9+November!O9),0)</f>
        <v>11302</v>
      </c>
      <c r="J2" s="10">
        <v>0.04</v>
      </c>
      <c r="K2" s="4">
        <f>IF((November!G9+November!M9)&gt;0,(November!G9+November!M9),0)</f>
        <v>6.2000000000000011</v>
      </c>
      <c r="L2" s="10">
        <v>34.369999999999997</v>
      </c>
      <c r="M2" s="4">
        <f>November!R9</f>
        <v>13</v>
      </c>
    </row>
    <row r="3" spans="1:25" x14ac:dyDescent="0.25">
      <c r="A3" s="3" t="s">
        <v>7</v>
      </c>
      <c r="B3" s="2">
        <f>B2+1</f>
        <v>2</v>
      </c>
      <c r="C3" s="14">
        <v>10</v>
      </c>
      <c r="D3" s="14">
        <v>2021</v>
      </c>
      <c r="E3" s="4">
        <f>IF(November!C10&gt;0,November!C10,0)</f>
        <v>6300</v>
      </c>
      <c r="F3" s="9">
        <v>0.1108</v>
      </c>
      <c r="G3" s="4">
        <f>IF(November!E10&gt;0,November!E10,0)</f>
        <v>5.2349999999999994</v>
      </c>
      <c r="H3" s="10">
        <v>1.73</v>
      </c>
      <c r="I3" s="4">
        <f>IF((November!I10+November!O10)&gt;0,(November!I10+November!O10),0)</f>
        <v>6235</v>
      </c>
      <c r="J3" s="10">
        <v>0.04</v>
      </c>
      <c r="K3" s="4">
        <f>IF((November!G10+November!M10)&gt;0,(November!G10+November!M10),0)</f>
        <v>2.9000000000000004</v>
      </c>
      <c r="L3" s="10">
        <v>34.369999999999997</v>
      </c>
      <c r="M3" s="4">
        <f>November!R10</f>
        <v>10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10</v>
      </c>
      <c r="D4" s="14">
        <v>2021</v>
      </c>
      <c r="E4" s="4">
        <f>IF(November!C11&gt;0,November!C11,0)</f>
        <v>6600</v>
      </c>
      <c r="F4" s="9">
        <v>0.1108</v>
      </c>
      <c r="G4" s="4">
        <f>IF(November!E11&gt;0,November!E11,0)</f>
        <v>6.282</v>
      </c>
      <c r="H4" s="10">
        <v>1.73</v>
      </c>
      <c r="I4" s="4">
        <f>IF((November!I11+November!O11)&gt;0,(November!I11+November!O11),0)</f>
        <v>5894</v>
      </c>
      <c r="J4" s="10">
        <v>0.04</v>
      </c>
      <c r="K4" s="4">
        <f>IF((November!G11+November!M11)&gt;0,(November!G11+November!M11),0)</f>
        <v>3</v>
      </c>
      <c r="L4" s="10">
        <v>34.369999999999997</v>
      </c>
      <c r="M4" s="4">
        <f>November!R11</f>
        <v>12</v>
      </c>
    </row>
    <row r="5" spans="1:25" x14ac:dyDescent="0.25">
      <c r="A5" s="3" t="s">
        <v>7</v>
      </c>
      <c r="B5" s="2">
        <f t="shared" si="0"/>
        <v>4</v>
      </c>
      <c r="C5" s="14">
        <v>10</v>
      </c>
      <c r="D5" s="14">
        <v>2021</v>
      </c>
      <c r="E5" s="4">
        <f>IF(November!C12&gt;0,November!C12,0)</f>
        <v>5700</v>
      </c>
      <c r="F5" s="9">
        <v>0.1108</v>
      </c>
      <c r="G5" s="4">
        <f>IF(November!E12&gt;0,November!E12,0)</f>
        <v>5.2349999999999994</v>
      </c>
      <c r="H5" s="10">
        <v>1.73</v>
      </c>
      <c r="I5" s="4">
        <f>IF((November!I12+November!O12)&gt;0,(November!I12+November!O12),0)</f>
        <v>9717</v>
      </c>
      <c r="J5" s="10">
        <v>0.04</v>
      </c>
      <c r="K5" s="4">
        <f>IF((November!G12+November!M12)&gt;0,(November!G12+November!M12),0)</f>
        <v>4</v>
      </c>
      <c r="L5" s="10">
        <v>34.369999999999997</v>
      </c>
      <c r="M5" s="4">
        <f>November!R12</f>
        <v>8</v>
      </c>
    </row>
    <row r="6" spans="1:25" x14ac:dyDescent="0.25">
      <c r="A6" s="3" t="s">
        <v>7</v>
      </c>
      <c r="B6" s="2">
        <f t="shared" si="0"/>
        <v>5</v>
      </c>
      <c r="C6" s="14">
        <v>10</v>
      </c>
      <c r="D6" s="14">
        <v>2021</v>
      </c>
      <c r="E6" s="4">
        <f>IF(November!C13&gt;0,November!C13,0)</f>
        <v>6300</v>
      </c>
      <c r="F6" s="9">
        <v>0.1108</v>
      </c>
      <c r="G6" s="4">
        <f>IF(November!E13&gt;0,November!E13,0)</f>
        <v>5.2349999999999994</v>
      </c>
      <c r="H6" s="10">
        <v>1.73</v>
      </c>
      <c r="I6" s="4">
        <f>IF((November!I13+November!O13)&gt;0,(November!I13+November!O13),0)</f>
        <v>10487</v>
      </c>
      <c r="J6" s="10">
        <v>0.04</v>
      </c>
      <c r="K6" s="4">
        <f>IF((November!G13+November!M13)&gt;0,(November!G13+November!M13),0)</f>
        <v>3</v>
      </c>
      <c r="L6" s="10">
        <v>34.369999999999997</v>
      </c>
      <c r="M6" s="4">
        <f>November!R13</f>
        <v>14</v>
      </c>
    </row>
    <row r="7" spans="1:25" x14ac:dyDescent="0.25">
      <c r="A7" s="3" t="s">
        <v>7</v>
      </c>
      <c r="B7" s="2">
        <f t="shared" si="0"/>
        <v>6</v>
      </c>
      <c r="C7" s="14">
        <v>10</v>
      </c>
      <c r="D7" s="14">
        <v>2021</v>
      </c>
      <c r="E7" s="4">
        <f>IF(November!C14&gt;0,November!C14,0)</f>
        <v>6000</v>
      </c>
      <c r="F7" s="9">
        <v>0.1108</v>
      </c>
      <c r="G7" s="4">
        <f>IF(November!E14&gt;0,November!E14,0)</f>
        <v>5.2349999999999994</v>
      </c>
      <c r="H7" s="10">
        <v>1.73</v>
      </c>
      <c r="I7" s="4">
        <f>IF((November!I14+November!O14)&gt;0,(November!I14+November!O14),0)</f>
        <v>10324</v>
      </c>
      <c r="J7" s="10">
        <v>0.04</v>
      </c>
      <c r="K7" s="4">
        <f>IF((November!G14+November!M14)&gt;0,(November!G14+November!M14),0)</f>
        <v>2.8</v>
      </c>
      <c r="L7" s="10">
        <v>34.369999999999997</v>
      </c>
      <c r="M7" s="4">
        <f>November!R14</f>
        <v>23</v>
      </c>
    </row>
    <row r="8" spans="1:25" x14ac:dyDescent="0.25">
      <c r="A8" s="3" t="s">
        <v>7</v>
      </c>
      <c r="B8" s="2">
        <f t="shared" si="0"/>
        <v>7</v>
      </c>
      <c r="C8" s="14">
        <v>10</v>
      </c>
      <c r="D8" s="14">
        <v>2021</v>
      </c>
      <c r="E8" s="4">
        <f>IF(November!C15&gt;0,November!C15,0)</f>
        <v>6300</v>
      </c>
      <c r="F8" s="9">
        <v>0.1108</v>
      </c>
      <c r="G8" s="4">
        <f>IF(November!E15&gt;0,November!E15,0)</f>
        <v>6.282</v>
      </c>
      <c r="H8" s="10">
        <v>1.73</v>
      </c>
      <c r="I8" s="4">
        <f>IF((November!I15+November!O15)&gt;0,(November!I15+November!O15),0)</f>
        <v>12218</v>
      </c>
      <c r="J8" s="10">
        <v>0.04</v>
      </c>
      <c r="K8" s="4">
        <f>IF((November!G15+November!M15)&gt;0,(November!G15+November!M15),0)</f>
        <v>4.9000000000000004</v>
      </c>
      <c r="L8" s="10">
        <v>34.369999999999997</v>
      </c>
      <c r="M8" s="4">
        <f>November!R15</f>
        <v>28</v>
      </c>
    </row>
    <row r="9" spans="1:25" x14ac:dyDescent="0.25">
      <c r="A9" s="3" t="s">
        <v>7</v>
      </c>
      <c r="B9" s="2">
        <f t="shared" si="0"/>
        <v>8</v>
      </c>
      <c r="C9" s="14">
        <v>10</v>
      </c>
      <c r="D9" s="14">
        <v>2021</v>
      </c>
      <c r="E9" s="4">
        <f>IF(November!C16&gt;0,November!C16,0)</f>
        <v>4200</v>
      </c>
      <c r="F9" s="9">
        <v>0.1108</v>
      </c>
      <c r="G9" s="4">
        <f>IF(November!E16&gt;0,November!E16,0)</f>
        <v>4.1879999999999997</v>
      </c>
      <c r="H9" s="10">
        <v>1.73</v>
      </c>
      <c r="I9" s="4">
        <f>IF((November!I16+November!O16)&gt;0,(November!I16+November!O16),0)</f>
        <v>8640</v>
      </c>
      <c r="J9" s="10">
        <v>0.04</v>
      </c>
      <c r="K9" s="4">
        <f>IF((November!G16+November!M16)&gt;0,(November!G16+November!M16),0)</f>
        <v>1.7000000000000002</v>
      </c>
      <c r="L9" s="10">
        <v>34.369999999999997</v>
      </c>
      <c r="M9" s="4">
        <f>November!R16</f>
        <v>14</v>
      </c>
    </row>
    <row r="10" spans="1:25" x14ac:dyDescent="0.25">
      <c r="A10" s="3" t="s">
        <v>7</v>
      </c>
      <c r="B10" s="2">
        <f t="shared" si="0"/>
        <v>9</v>
      </c>
      <c r="C10" s="14">
        <v>10</v>
      </c>
      <c r="D10" s="14">
        <v>2021</v>
      </c>
      <c r="E10" s="4">
        <f>IF(November!C17&gt;0,November!C17,0)</f>
        <v>5100</v>
      </c>
      <c r="F10" s="9">
        <v>0.1108</v>
      </c>
      <c r="G10" s="4">
        <f>IF(November!E17&gt;0,November!E17,0)</f>
        <v>5.2349999999999994</v>
      </c>
      <c r="H10" s="10">
        <v>1.73</v>
      </c>
      <c r="I10" s="4">
        <f>IF((November!I17+November!O17)&gt;0,(November!I17+November!O17),0)</f>
        <v>10695</v>
      </c>
      <c r="J10" s="10">
        <v>0.04</v>
      </c>
      <c r="K10" s="4">
        <f>IF((November!G17+November!M17)&gt;0,(November!G17+November!M17),0)</f>
        <v>3.8000000000000003</v>
      </c>
      <c r="L10" s="10">
        <v>34.369999999999997</v>
      </c>
      <c r="M10" s="4">
        <f>November!R17</f>
        <v>19</v>
      </c>
    </row>
    <row r="11" spans="1:25" x14ac:dyDescent="0.25">
      <c r="A11" s="3" t="s">
        <v>7</v>
      </c>
      <c r="B11" s="2">
        <f t="shared" si="0"/>
        <v>10</v>
      </c>
      <c r="C11" s="14">
        <v>10</v>
      </c>
      <c r="D11" s="14">
        <v>2021</v>
      </c>
      <c r="E11" s="4">
        <f>IF(November!C18&gt;0,November!C18,0)</f>
        <v>5400</v>
      </c>
      <c r="F11" s="9">
        <v>0.1108</v>
      </c>
      <c r="G11" s="4">
        <f>IF(November!E18&gt;0,November!E18,0)</f>
        <v>6.282</v>
      </c>
      <c r="H11" s="10">
        <v>1.73</v>
      </c>
      <c r="I11" s="4">
        <f>IF((November!I18+November!O18)&gt;0,(November!I18+November!O18),0)</f>
        <v>11015</v>
      </c>
      <c r="J11" s="10">
        <v>0.04</v>
      </c>
      <c r="K11" s="4">
        <f>IF((November!G18+November!M18)&gt;0,(November!G18+November!M18),0)</f>
        <v>4.6000000000000005</v>
      </c>
      <c r="L11" s="10">
        <v>34.369999999999997</v>
      </c>
      <c r="M11" s="4">
        <f>November!R18</f>
        <v>26</v>
      </c>
    </row>
    <row r="12" spans="1:25" x14ac:dyDescent="0.25">
      <c r="A12" s="3" t="s">
        <v>7</v>
      </c>
      <c r="B12" s="2">
        <f t="shared" si="0"/>
        <v>11</v>
      </c>
      <c r="C12" s="14">
        <v>10</v>
      </c>
      <c r="D12" s="14">
        <v>2021</v>
      </c>
      <c r="E12" s="4">
        <f>IF(November!C19&gt;0,November!C19,0)</f>
        <v>6000</v>
      </c>
      <c r="F12" s="9">
        <v>0.1108</v>
      </c>
      <c r="G12" s="4">
        <f>IF(November!E19&gt;0,November!E19,0)</f>
        <v>7.3289999999999997</v>
      </c>
      <c r="H12" s="10">
        <v>1.73</v>
      </c>
      <c r="I12" s="4">
        <f>IF((November!I19+November!O19)&gt;0,(November!I19+November!O19),0)</f>
        <v>12232</v>
      </c>
      <c r="J12" s="10">
        <v>0.04</v>
      </c>
      <c r="K12" s="4">
        <f>IF((November!G19+November!M19)&gt;0,(November!G19+November!M19),0)</f>
        <v>5.5</v>
      </c>
      <c r="L12" s="10">
        <v>34.369999999999997</v>
      </c>
      <c r="M12" s="4">
        <f>November!R19</f>
        <v>18</v>
      </c>
    </row>
    <row r="13" spans="1:25" x14ac:dyDescent="0.25">
      <c r="A13" s="3" t="s">
        <v>7</v>
      </c>
      <c r="B13" s="2">
        <f t="shared" si="0"/>
        <v>12</v>
      </c>
      <c r="C13" s="14">
        <v>10</v>
      </c>
      <c r="D13" s="14">
        <v>2021</v>
      </c>
      <c r="E13" s="4">
        <f>IF(November!C20&gt;0,November!C20,0)</f>
        <v>5700</v>
      </c>
      <c r="F13" s="9">
        <v>0.1108</v>
      </c>
      <c r="G13" s="4">
        <f>IF(November!E20&gt;0,November!E20,0)</f>
        <v>5.2349999999999994</v>
      </c>
      <c r="H13" s="10">
        <v>1.73</v>
      </c>
      <c r="I13" s="4">
        <f>IF((November!I20+November!O20)&gt;0,(November!I20+November!O20),0)</f>
        <v>10423</v>
      </c>
      <c r="J13" s="10">
        <v>0.04</v>
      </c>
      <c r="K13" s="4">
        <f>IF((November!G20+November!M20)&gt;0,(November!G20+November!M20),0)</f>
        <v>3.7</v>
      </c>
      <c r="L13" s="10">
        <v>34.369999999999997</v>
      </c>
      <c r="M13" s="4">
        <f>November!R20</f>
        <v>22</v>
      </c>
    </row>
    <row r="14" spans="1:25" x14ac:dyDescent="0.25">
      <c r="A14" s="3" t="s">
        <v>7</v>
      </c>
      <c r="B14" s="2">
        <f t="shared" si="0"/>
        <v>13</v>
      </c>
      <c r="C14" s="14">
        <v>10</v>
      </c>
      <c r="D14" s="14">
        <v>2021</v>
      </c>
      <c r="E14" s="4">
        <f>IF(November!C21&gt;0,November!C21,0)</f>
        <v>5400</v>
      </c>
      <c r="F14" s="9">
        <v>0.1108</v>
      </c>
      <c r="G14" s="4">
        <f>IF(November!E21&gt;0,November!E21,0)</f>
        <v>5.2349999999999994</v>
      </c>
      <c r="H14" s="10">
        <v>1.73</v>
      </c>
      <c r="I14" s="4">
        <f>IF((November!I21+November!O21)&gt;0,(November!I21+November!O21),0)</f>
        <v>4653</v>
      </c>
      <c r="J14" s="10">
        <v>0.04</v>
      </c>
      <c r="K14" s="4">
        <f>IF((November!G21+November!M21)&gt;0,(November!G21+November!M21),0)</f>
        <v>4.4000000000000004</v>
      </c>
      <c r="L14" s="10">
        <v>34.369999999999997</v>
      </c>
      <c r="M14" s="4">
        <f>November!R21</f>
        <v>24</v>
      </c>
    </row>
    <row r="15" spans="1:25" x14ac:dyDescent="0.25">
      <c r="A15" s="3" t="s">
        <v>7</v>
      </c>
      <c r="B15" s="2">
        <f t="shared" si="0"/>
        <v>14</v>
      </c>
      <c r="C15" s="14">
        <v>10</v>
      </c>
      <c r="D15" s="14">
        <v>2021</v>
      </c>
      <c r="E15" s="4">
        <f>IF(November!C22&gt;0,November!C22,0)</f>
        <v>7500</v>
      </c>
      <c r="F15" s="9">
        <v>0.1108</v>
      </c>
      <c r="G15" s="4">
        <f>IF(November!E22&gt;0,November!E22,0)</f>
        <v>7.3289999999999997</v>
      </c>
      <c r="H15" s="10">
        <v>1.73</v>
      </c>
      <c r="I15" s="4">
        <f>IF((November!I22+November!O22)&gt;0,(November!I22+November!O22),0)</f>
        <v>5342</v>
      </c>
      <c r="J15" s="10">
        <v>0.04</v>
      </c>
      <c r="K15" s="4">
        <f>IF((November!G22+November!M22)&gt;0,(November!G22+November!M22),0)</f>
        <v>6.7</v>
      </c>
      <c r="L15" s="10">
        <v>34.369999999999997</v>
      </c>
      <c r="M15" s="4">
        <f>November!R22</f>
        <v>42</v>
      </c>
    </row>
    <row r="16" spans="1:25" x14ac:dyDescent="0.25">
      <c r="A16" s="3" t="s">
        <v>7</v>
      </c>
      <c r="B16" s="2">
        <f t="shared" si="0"/>
        <v>15</v>
      </c>
      <c r="C16" s="14">
        <v>10</v>
      </c>
      <c r="D16" s="14">
        <v>2021</v>
      </c>
      <c r="E16" s="4">
        <f>IF(November!C23&gt;0,November!C23,0)</f>
        <v>2700</v>
      </c>
      <c r="F16" s="9">
        <v>0.1108</v>
      </c>
      <c r="G16" s="4">
        <f>IF(November!E23&gt;0,November!E23,0)</f>
        <v>2.0939999999999999</v>
      </c>
      <c r="H16" s="10">
        <v>1.73</v>
      </c>
      <c r="I16" s="4">
        <f>IF((November!I23+November!O23)&gt;0,(November!I23+November!O23),0)</f>
        <v>3140</v>
      </c>
      <c r="J16" s="10">
        <v>0.04</v>
      </c>
      <c r="K16" s="4">
        <f>IF((November!G23+November!M23)&gt;0,(November!G23+November!M23),0)</f>
        <v>2.8000000000000003</v>
      </c>
      <c r="L16" s="10">
        <v>34.369999999999997</v>
      </c>
      <c r="M16" s="4">
        <f>November!R23</f>
        <v>18</v>
      </c>
    </row>
    <row r="17" spans="1:13" x14ac:dyDescent="0.25">
      <c r="A17" s="3" t="s">
        <v>7</v>
      </c>
      <c r="B17" s="2">
        <f t="shared" si="0"/>
        <v>16</v>
      </c>
      <c r="C17" s="14">
        <v>10</v>
      </c>
      <c r="D17" s="14">
        <v>2021</v>
      </c>
      <c r="E17" s="4">
        <f>IF(November!C24&gt;0,November!C24,0)</f>
        <v>5400</v>
      </c>
      <c r="F17" s="9">
        <v>0.1108</v>
      </c>
      <c r="G17" s="4">
        <f>IF(November!E24&gt;0,November!E24,0)</f>
        <v>6.282</v>
      </c>
      <c r="H17" s="10">
        <v>1.73</v>
      </c>
      <c r="I17" s="4">
        <f>IF((November!I24+November!O24)&gt;0,(November!I24+November!O24),0)</f>
        <v>4500</v>
      </c>
      <c r="J17" s="10">
        <v>0.04</v>
      </c>
      <c r="K17" s="4">
        <f>IF((November!G24+November!M24)&gt;0,(November!G24+November!M24),0)</f>
        <v>3.5</v>
      </c>
      <c r="L17" s="10">
        <v>34.369999999999997</v>
      </c>
      <c r="M17" s="4">
        <f>November!R24</f>
        <v>12</v>
      </c>
    </row>
    <row r="18" spans="1:13" x14ac:dyDescent="0.25">
      <c r="A18" s="3" t="s">
        <v>7</v>
      </c>
      <c r="B18" s="2">
        <f t="shared" si="0"/>
        <v>17</v>
      </c>
      <c r="C18" s="14">
        <v>10</v>
      </c>
      <c r="D18" s="14">
        <v>2021</v>
      </c>
      <c r="E18" s="4">
        <f>IF(November!C25&gt;0,November!C25,0)</f>
        <v>6600</v>
      </c>
      <c r="F18" s="9">
        <v>0.1108</v>
      </c>
      <c r="G18" s="4">
        <f>IF(November!E25&gt;0,November!E25,0)</f>
        <v>6.282</v>
      </c>
      <c r="H18" s="10">
        <v>1.73</v>
      </c>
      <c r="I18" s="4">
        <f>IF((November!I25+November!O25)&gt;0,(November!I25+November!O25),0)</f>
        <v>4749</v>
      </c>
      <c r="J18" s="10">
        <v>0.04</v>
      </c>
      <c r="K18" s="4">
        <f>IF((November!G25+November!M25)&gt;0,(November!G25+November!M25),0)</f>
        <v>4</v>
      </c>
      <c r="L18" s="10">
        <v>34.369999999999997</v>
      </c>
      <c r="M18" s="4">
        <f>November!R25</f>
        <v>17</v>
      </c>
    </row>
    <row r="19" spans="1:13" x14ac:dyDescent="0.25">
      <c r="A19" s="3" t="s">
        <v>7</v>
      </c>
      <c r="B19" s="2">
        <f t="shared" si="0"/>
        <v>18</v>
      </c>
      <c r="C19" s="14">
        <v>10</v>
      </c>
      <c r="D19" s="14">
        <v>2021</v>
      </c>
      <c r="E19" s="4">
        <f>IF(November!C26&gt;0,November!C26,0)</f>
        <v>5400</v>
      </c>
      <c r="F19" s="9">
        <v>0.1108</v>
      </c>
      <c r="G19" s="4">
        <f>IF(November!E26&gt;0,November!E26,0)</f>
        <v>5.2349999999999994</v>
      </c>
      <c r="H19" s="10">
        <v>1.73</v>
      </c>
      <c r="I19" s="4">
        <f>IF((November!I26+November!O26)&gt;0,(November!I26+November!O26),0)</f>
        <v>3217</v>
      </c>
      <c r="J19" s="10">
        <v>0.04</v>
      </c>
      <c r="K19" s="4">
        <f>IF((November!G26+November!M26)&gt;0,(November!G26+November!M26),0)</f>
        <v>4.2</v>
      </c>
      <c r="L19" s="10">
        <v>34.369999999999997</v>
      </c>
      <c r="M19" s="4">
        <f>November!R26</f>
        <v>16</v>
      </c>
    </row>
    <row r="20" spans="1:13" x14ac:dyDescent="0.25">
      <c r="A20" s="3" t="s">
        <v>7</v>
      </c>
      <c r="B20" s="2">
        <f t="shared" si="0"/>
        <v>19</v>
      </c>
      <c r="C20" s="14">
        <v>10</v>
      </c>
      <c r="D20" s="14">
        <v>2021</v>
      </c>
      <c r="E20" s="4">
        <f>IF(November!C27&gt;0,November!C27,0)</f>
        <v>5400</v>
      </c>
      <c r="F20" s="9">
        <v>0.1108</v>
      </c>
      <c r="G20" s="4">
        <f>IF(November!E27&gt;0,November!E27,0)</f>
        <v>5.2349999999999994</v>
      </c>
      <c r="H20" s="10">
        <v>1.73</v>
      </c>
      <c r="I20" s="4">
        <f>IF((November!I27+November!O27)&gt;0,(November!I27+November!O27),0)</f>
        <v>4036</v>
      </c>
      <c r="J20" s="10">
        <v>0.04</v>
      </c>
      <c r="K20" s="4">
        <f>IF((November!G27+November!M27)&gt;0,(November!G27+November!M27),0)</f>
        <v>3.9</v>
      </c>
      <c r="L20" s="10">
        <v>34.369999999999997</v>
      </c>
      <c r="M20" s="4">
        <f>November!R27</f>
        <v>16</v>
      </c>
    </row>
    <row r="21" spans="1:13" x14ac:dyDescent="0.25">
      <c r="A21" s="3" t="s">
        <v>7</v>
      </c>
      <c r="B21" s="2">
        <f t="shared" si="0"/>
        <v>20</v>
      </c>
      <c r="C21" s="14">
        <v>10</v>
      </c>
      <c r="D21" s="14">
        <v>2021</v>
      </c>
      <c r="E21" s="4">
        <f>IF(November!C28&gt;0,November!C28,0)</f>
        <v>5100</v>
      </c>
      <c r="F21" s="9">
        <v>0.1108</v>
      </c>
      <c r="G21" s="4">
        <f>IF(November!E28&gt;0,November!E28,0)</f>
        <v>6.282</v>
      </c>
      <c r="H21" s="10">
        <v>1.73</v>
      </c>
      <c r="I21" s="4">
        <f>IF((November!I28+November!O28)&gt;0,(November!I28+November!O28),0)</f>
        <v>3473</v>
      </c>
      <c r="J21" s="10">
        <v>0.04</v>
      </c>
      <c r="K21" s="4">
        <f>IF((November!G28+November!M28)&gt;0,(November!G28+November!M28),0)</f>
        <v>5.2</v>
      </c>
      <c r="L21" s="10">
        <v>34.369999999999997</v>
      </c>
      <c r="M21" s="4">
        <f>November!R28</f>
        <v>23</v>
      </c>
    </row>
    <row r="22" spans="1:13" x14ac:dyDescent="0.25">
      <c r="A22" s="3" t="s">
        <v>7</v>
      </c>
      <c r="B22" s="2">
        <f t="shared" si="0"/>
        <v>21</v>
      </c>
      <c r="C22" s="14">
        <v>10</v>
      </c>
      <c r="D22" s="14">
        <v>2021</v>
      </c>
      <c r="E22" s="4">
        <f>IF(November!C29&gt;0,November!C29,0)</f>
        <v>0</v>
      </c>
      <c r="F22" s="9">
        <v>0.1108</v>
      </c>
      <c r="G22" s="4">
        <f>IF(November!E29&gt;0,November!E29,0)</f>
        <v>0</v>
      </c>
      <c r="H22" s="10">
        <v>1.73</v>
      </c>
      <c r="I22" s="4">
        <f>IF((November!I29+November!O29)&gt;0,(November!I29+November!O29),0)</f>
        <v>0</v>
      </c>
      <c r="J22" s="10">
        <v>0.04</v>
      </c>
      <c r="K22" s="4">
        <f>IF((November!G29+November!M29)&gt;0,(November!G29+November!M29),0)</f>
        <v>0</v>
      </c>
      <c r="L22" s="10">
        <v>34.369999999999997</v>
      </c>
      <c r="M22" s="4">
        <f>November!R29</f>
        <v>32</v>
      </c>
    </row>
    <row r="23" spans="1:13" x14ac:dyDescent="0.25">
      <c r="A23" s="3" t="s">
        <v>7</v>
      </c>
      <c r="B23" s="2">
        <f t="shared" si="0"/>
        <v>22</v>
      </c>
      <c r="C23" s="14">
        <v>10</v>
      </c>
      <c r="D23" s="14">
        <v>2021</v>
      </c>
      <c r="E23" s="4">
        <f>IF(November!C30&gt;0,November!C30,0)</f>
        <v>10200</v>
      </c>
      <c r="F23" s="9">
        <v>0.1108</v>
      </c>
      <c r="G23" s="4">
        <f>IF(November!E30&gt;0,November!E30,0)</f>
        <v>9.423</v>
      </c>
      <c r="H23" s="10">
        <v>1.73</v>
      </c>
      <c r="I23" s="4">
        <f>IF((November!I30+November!O30)&gt;0,(November!I30+November!O30),0)</f>
        <v>9530</v>
      </c>
      <c r="J23" s="10">
        <v>0.04</v>
      </c>
      <c r="K23" s="4">
        <f>IF((November!G30+November!M30)&gt;0,(November!G30+November!M30),0)</f>
        <v>8.4</v>
      </c>
      <c r="L23" s="10">
        <v>34.369999999999997</v>
      </c>
      <c r="M23" s="4">
        <f>November!R30</f>
        <v>17</v>
      </c>
    </row>
    <row r="24" spans="1:13" x14ac:dyDescent="0.25">
      <c r="A24" s="3" t="s">
        <v>7</v>
      </c>
      <c r="B24" s="2">
        <f t="shared" si="0"/>
        <v>23</v>
      </c>
      <c r="C24" s="14">
        <v>10</v>
      </c>
      <c r="D24" s="14">
        <v>2021</v>
      </c>
      <c r="E24" s="4">
        <f>IF(November!C31&gt;0,November!C31,0)</f>
        <v>5400</v>
      </c>
      <c r="F24" s="9">
        <v>0.1108</v>
      </c>
      <c r="G24" s="4">
        <f>IF(November!E31&gt;0,November!E31,0)</f>
        <v>13.610999999999999</v>
      </c>
      <c r="H24" s="10">
        <v>1.73</v>
      </c>
      <c r="I24" s="4">
        <f>IF((November!I31+November!O31)&gt;0,(November!I31+November!O31),0)</f>
        <v>3750</v>
      </c>
      <c r="J24" s="10">
        <v>0.04</v>
      </c>
      <c r="K24" s="4">
        <f>IF((November!G31+November!M31)&gt;0,(November!G31+November!M31),0)</f>
        <v>3.6</v>
      </c>
      <c r="L24" s="10">
        <v>34.369999999999997</v>
      </c>
      <c r="M24" s="4">
        <f>November!R31</f>
        <v>21</v>
      </c>
    </row>
    <row r="25" spans="1:13" x14ac:dyDescent="0.25">
      <c r="A25" s="3" t="s">
        <v>7</v>
      </c>
      <c r="B25" s="2">
        <f t="shared" si="0"/>
        <v>24</v>
      </c>
      <c r="C25" s="14">
        <v>10</v>
      </c>
      <c r="D25" s="14">
        <v>2021</v>
      </c>
      <c r="E25" s="4">
        <f>IF(November!C32&gt;0,November!C32,0)</f>
        <v>6300</v>
      </c>
      <c r="F25" s="9">
        <v>0.1108</v>
      </c>
      <c r="G25" s="4">
        <f>IF(November!E32&gt;0,November!E32,0)</f>
        <v>18.846</v>
      </c>
      <c r="H25" s="10">
        <v>1.73</v>
      </c>
      <c r="I25" s="4">
        <f>IF((November!I32+November!O32)&gt;0,(November!I32+November!O32),0)</f>
        <v>4745</v>
      </c>
      <c r="J25" s="10">
        <v>0.04</v>
      </c>
      <c r="K25" s="4">
        <f>IF((November!G32+November!M32)&gt;0,(November!G32+November!M32),0)</f>
        <v>4.9000000000000004</v>
      </c>
      <c r="L25" s="10">
        <v>34.369999999999997</v>
      </c>
      <c r="M25" s="4">
        <f>November!R32</f>
        <v>21</v>
      </c>
    </row>
    <row r="26" spans="1:13" x14ac:dyDescent="0.25">
      <c r="A26" s="3" t="s">
        <v>7</v>
      </c>
      <c r="B26" s="2">
        <f>B25+1</f>
        <v>25</v>
      </c>
      <c r="C26" s="14">
        <v>10</v>
      </c>
      <c r="D26" s="14">
        <v>2021</v>
      </c>
      <c r="E26" s="4">
        <f>IF(November!C33&gt;0,November!C33,0)</f>
        <v>5700</v>
      </c>
      <c r="F26" s="9">
        <v>0.1108</v>
      </c>
      <c r="G26" s="4">
        <f>IF(November!E33&gt;0,November!E33,0)</f>
        <v>9.423</v>
      </c>
      <c r="H26" s="10">
        <v>1.73</v>
      </c>
      <c r="I26" s="4">
        <f>IF((November!I33+November!O33)&gt;0,(November!I33+November!O33),0)</f>
        <v>4439</v>
      </c>
      <c r="J26" s="10">
        <v>0.04</v>
      </c>
      <c r="K26" s="4">
        <f>IF((November!G33+November!M33)&gt;0,(November!G33+November!M33),0)</f>
        <v>3.8000000000000003</v>
      </c>
      <c r="L26" s="10">
        <v>34.369999999999997</v>
      </c>
      <c r="M26" s="4">
        <f>November!R33</f>
        <v>15</v>
      </c>
    </row>
    <row r="27" spans="1:13" x14ac:dyDescent="0.25">
      <c r="A27" s="3" t="s">
        <v>7</v>
      </c>
      <c r="B27" s="2">
        <f t="shared" si="0"/>
        <v>26</v>
      </c>
      <c r="C27" s="14">
        <v>10</v>
      </c>
      <c r="D27" s="14">
        <v>2021</v>
      </c>
      <c r="E27" s="4">
        <f>IF(November!C34&gt;0,November!C34,0)</f>
        <v>5400</v>
      </c>
      <c r="F27" s="9">
        <v>0.1108</v>
      </c>
      <c r="G27" s="4">
        <f>IF(November!E34&gt;0,November!E34,0)</f>
        <v>11.516999999999999</v>
      </c>
      <c r="H27" s="10">
        <v>1.73</v>
      </c>
      <c r="I27" s="4">
        <f>IF((November!I34+November!O34)&gt;0,(November!I34+November!O34),0)</f>
        <v>4121</v>
      </c>
      <c r="J27" s="10">
        <v>0.04</v>
      </c>
      <c r="K27" s="4">
        <f>IF((November!G34+November!M34)&gt;0,(November!G34+November!M34),0)</f>
        <v>5.4</v>
      </c>
      <c r="L27" s="10">
        <v>34.369999999999997</v>
      </c>
      <c r="M27" s="4">
        <f>November!R34</f>
        <v>22</v>
      </c>
    </row>
    <row r="28" spans="1:13" x14ac:dyDescent="0.25">
      <c r="A28" s="3" t="s">
        <v>7</v>
      </c>
      <c r="B28" s="2">
        <f t="shared" si="0"/>
        <v>27</v>
      </c>
      <c r="C28" s="14">
        <v>10</v>
      </c>
      <c r="D28" s="14">
        <v>2021</v>
      </c>
      <c r="E28" s="4">
        <f>IF(November!C35&gt;0,November!C35,0)</f>
        <v>5400</v>
      </c>
      <c r="F28" s="9">
        <v>0.1108</v>
      </c>
      <c r="G28" s="4">
        <f>IF(November!E35&gt;0,November!E35,0)</f>
        <v>9.423</v>
      </c>
      <c r="H28" s="10">
        <v>1.73</v>
      </c>
      <c r="I28" s="4">
        <f>IF((November!I35+November!O35)&gt;0,(November!I35+November!O35),0)</f>
        <v>4536</v>
      </c>
      <c r="J28" s="10">
        <v>0.04</v>
      </c>
      <c r="K28" s="4">
        <f>IF((November!G35+November!M35)&gt;0,(November!G35+November!M35),0)</f>
        <v>2.9</v>
      </c>
      <c r="L28" s="10">
        <v>34.369999999999997</v>
      </c>
      <c r="M28" s="4">
        <f>November!R35</f>
        <v>26</v>
      </c>
    </row>
    <row r="29" spans="1:13" x14ac:dyDescent="0.25">
      <c r="A29" s="3" t="s">
        <v>7</v>
      </c>
      <c r="B29" s="2">
        <f t="shared" si="0"/>
        <v>28</v>
      </c>
      <c r="C29" s="14">
        <v>10</v>
      </c>
      <c r="D29" s="14">
        <v>2021</v>
      </c>
      <c r="E29" s="4">
        <f>IF(November!C36&gt;0,November!C36,0)</f>
        <v>6000</v>
      </c>
      <c r="F29" s="9">
        <v>0.1108</v>
      </c>
      <c r="G29" s="4">
        <f>IF(November!E36&gt;0,November!E36,0)</f>
        <v>10.469999999999999</v>
      </c>
      <c r="H29" s="10">
        <v>1.73</v>
      </c>
      <c r="I29" s="4">
        <f>IF((November!I36+November!O36)&gt;0,(November!I36+November!O36),0)</f>
        <v>4974</v>
      </c>
      <c r="J29" s="10">
        <v>0.04</v>
      </c>
      <c r="K29" s="4">
        <f>IF((November!G36+November!M36)&gt;0,(November!G36+November!M36),0)</f>
        <v>4.5</v>
      </c>
      <c r="L29" s="10">
        <v>34.369999999999997</v>
      </c>
      <c r="M29" s="4">
        <f>November!R36</f>
        <v>34</v>
      </c>
    </row>
    <row r="30" spans="1:13" x14ac:dyDescent="0.25">
      <c r="A30" s="3" t="s">
        <v>7</v>
      </c>
      <c r="B30" s="2">
        <f t="shared" si="0"/>
        <v>29</v>
      </c>
      <c r="C30" s="14">
        <v>10</v>
      </c>
      <c r="D30" s="14">
        <v>2021</v>
      </c>
      <c r="E30" s="4">
        <f>IF(November!C37&gt;0,November!C37,0)</f>
        <v>4500</v>
      </c>
      <c r="F30" s="9">
        <v>0.1108</v>
      </c>
      <c r="G30" s="4">
        <f>IF(November!E37&gt;0,November!E37,0)</f>
        <v>6.282</v>
      </c>
      <c r="H30" s="10">
        <v>1.73</v>
      </c>
      <c r="I30" s="4">
        <f>IF((November!I37+November!O37)&gt;0,(November!I37+November!O37),0)</f>
        <v>4340</v>
      </c>
      <c r="J30" s="10">
        <v>0.04</v>
      </c>
      <c r="K30" s="4">
        <f>IF((November!G37+November!M37)&gt;0,(November!G37+November!M37),0)</f>
        <v>3.5000000000000004</v>
      </c>
      <c r="L30" s="10">
        <v>34.369999999999997</v>
      </c>
      <c r="M30" s="4">
        <f>November!R37</f>
        <v>11</v>
      </c>
    </row>
    <row r="31" spans="1:13" x14ac:dyDescent="0.25">
      <c r="A31" s="3" t="s">
        <v>7</v>
      </c>
      <c r="B31" s="2">
        <f t="shared" si="0"/>
        <v>30</v>
      </c>
      <c r="C31" s="14">
        <v>10</v>
      </c>
      <c r="D31" s="14">
        <v>2021</v>
      </c>
      <c r="E31" s="4">
        <f>IF(November!C38&gt;0,November!C38,0)</f>
        <v>5100</v>
      </c>
      <c r="F31" s="9">
        <v>0.1108</v>
      </c>
      <c r="G31" s="4">
        <f>IF(November!E38&gt;0,November!E38,0)</f>
        <v>9.423</v>
      </c>
      <c r="H31" s="10">
        <v>1.73</v>
      </c>
      <c r="I31" s="4">
        <f>IF((November!I38+November!O38)&gt;0,(November!I38+November!O38),0)</f>
        <v>3875</v>
      </c>
      <c r="J31" s="10">
        <v>0.04</v>
      </c>
      <c r="K31" s="4">
        <f>IF((November!G38+November!M38)&gt;0,(November!G38+November!M38),0)</f>
        <v>3.9000000000000004</v>
      </c>
      <c r="L31" s="10">
        <v>34.369999999999997</v>
      </c>
      <c r="M31" s="4">
        <f>November!R38</f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0"/>
  <sheetViews>
    <sheetView showWhiteSpace="0" topLeftCell="I1" zoomScaleNormal="100" workbookViewId="0">
      <selection activeCell="R9" sqref="R9:R38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2"/>
      <c r="B1" s="32"/>
      <c r="C1" s="15"/>
    </row>
    <row r="2" spans="1:18" ht="21" x14ac:dyDescent="0.35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  <c r="K2" s="17"/>
    </row>
    <row r="3" spans="1:18" ht="16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17"/>
    </row>
    <row r="4" spans="1:18" s="19" customFormat="1" ht="24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11530</v>
      </c>
      <c r="C6" s="21"/>
      <c r="D6" s="21">
        <v>46197</v>
      </c>
      <c r="E6" s="21"/>
      <c r="F6" s="21">
        <v>26055</v>
      </c>
      <c r="G6" s="21"/>
      <c r="H6" s="21">
        <v>10638412</v>
      </c>
      <c r="I6" s="21"/>
      <c r="J6" s="21">
        <v>327616</v>
      </c>
      <c r="K6" s="21"/>
      <c r="L6" s="21">
        <v>1234</v>
      </c>
      <c r="M6" s="21"/>
      <c r="N6" s="22">
        <v>27186711</v>
      </c>
      <c r="O6" s="22"/>
      <c r="P6" s="22">
        <v>6200406</v>
      </c>
      <c r="Q6" s="22"/>
    </row>
    <row r="7" spans="1:18" s="25" customFormat="1" ht="10.5" customHeight="1" x14ac:dyDescent="0.25">
      <c r="A7" s="35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6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11567</v>
      </c>
      <c r="C9" s="29">
        <f>+(B9-B6)*300</f>
        <v>11100</v>
      </c>
      <c r="D9" s="29">
        <v>46213</v>
      </c>
      <c r="E9" s="29">
        <f>+(D9-D6)*1.047</f>
        <v>16.751999999999999</v>
      </c>
      <c r="F9" s="29">
        <v>26076</v>
      </c>
      <c r="G9" s="29">
        <f>+(F9-F6)*0.1</f>
        <v>2.1</v>
      </c>
      <c r="H9" s="29">
        <v>10639700</v>
      </c>
      <c r="I9" s="29">
        <f>+H9-H6</f>
        <v>1288</v>
      </c>
      <c r="J9" s="29">
        <v>328763</v>
      </c>
      <c r="K9" s="29">
        <f>+J9-J6</f>
        <v>1147</v>
      </c>
      <c r="L9" s="29">
        <v>1275</v>
      </c>
      <c r="M9" s="29">
        <f>+(L9-L6)*0.1</f>
        <v>4.1000000000000005</v>
      </c>
      <c r="N9" s="29">
        <v>27196725</v>
      </c>
      <c r="O9" s="29">
        <f>+N9-N6</f>
        <v>10014</v>
      </c>
      <c r="P9" s="29">
        <v>6201947</v>
      </c>
      <c r="Q9" s="29">
        <f>+P9-P6</f>
        <v>1541</v>
      </c>
      <c r="R9" s="29">
        <v>13</v>
      </c>
    </row>
    <row r="10" spans="1:18" ht="20.25" customHeight="1" x14ac:dyDescent="0.25">
      <c r="A10" s="29">
        <v>2</v>
      </c>
      <c r="B10" s="29">
        <v>11588</v>
      </c>
      <c r="C10" s="29">
        <f>+(B10-B9)*300</f>
        <v>6300</v>
      </c>
      <c r="D10" s="29">
        <v>46218</v>
      </c>
      <c r="E10" s="29">
        <f>+(D10-D9)*1.047</f>
        <v>5.2349999999999994</v>
      </c>
      <c r="F10" s="29">
        <v>26088</v>
      </c>
      <c r="G10" s="29">
        <f>+(F10-F9)*0.1</f>
        <v>1.2000000000000002</v>
      </c>
      <c r="H10" s="29">
        <v>10640560</v>
      </c>
      <c r="I10" s="29">
        <f>+H10-H9</f>
        <v>860</v>
      </c>
      <c r="J10" s="29">
        <v>329952</v>
      </c>
      <c r="K10" s="29">
        <f>+J10-J9</f>
        <v>1189</v>
      </c>
      <c r="L10" s="29">
        <v>1292</v>
      </c>
      <c r="M10" s="29">
        <f>+(L10-L9)*0.1</f>
        <v>1.7000000000000002</v>
      </c>
      <c r="N10" s="29">
        <v>27202100</v>
      </c>
      <c r="O10" s="29">
        <f>+N10-N9</f>
        <v>5375</v>
      </c>
      <c r="P10" s="29">
        <v>6203159</v>
      </c>
      <c r="Q10" s="29">
        <f>+P10-P9</f>
        <v>1212</v>
      </c>
      <c r="R10" s="29">
        <v>10</v>
      </c>
    </row>
    <row r="11" spans="1:18" ht="20.25" customHeight="1" x14ac:dyDescent="0.25">
      <c r="A11" s="29">
        <v>3</v>
      </c>
      <c r="B11" s="29">
        <v>11610</v>
      </c>
      <c r="C11" s="29">
        <f t="shared" ref="C11:C38" si="0">+(B11-B10)*300</f>
        <v>6600</v>
      </c>
      <c r="D11" s="29">
        <v>46224</v>
      </c>
      <c r="E11" s="29">
        <f t="shared" ref="E11:E38" si="1">+(D11-D10)*1.047</f>
        <v>6.282</v>
      </c>
      <c r="F11" s="29">
        <v>26100</v>
      </c>
      <c r="G11" s="29">
        <f t="shared" ref="G11:G38" si="2">+(F11-F10)*0.1</f>
        <v>1.2000000000000002</v>
      </c>
      <c r="H11" s="29">
        <v>10641527</v>
      </c>
      <c r="I11" s="29">
        <f>+H11-H10</f>
        <v>967</v>
      </c>
      <c r="J11" s="29">
        <v>330912</v>
      </c>
      <c r="K11" s="29">
        <f>+J11-J10</f>
        <v>960</v>
      </c>
      <c r="L11" s="29">
        <v>1310</v>
      </c>
      <c r="M11" s="29">
        <f t="shared" ref="M11:M38" si="3">+(L11-L10)*0.1</f>
        <v>1.8</v>
      </c>
      <c r="N11" s="29">
        <v>27207027</v>
      </c>
      <c r="O11" s="29">
        <f>+N11-N10</f>
        <v>4927</v>
      </c>
      <c r="P11" s="29">
        <v>6203803</v>
      </c>
      <c r="Q11" s="29">
        <f>+P11-P10</f>
        <v>644</v>
      </c>
      <c r="R11" s="29">
        <v>12</v>
      </c>
    </row>
    <row r="12" spans="1:18" ht="20.25" customHeight="1" x14ac:dyDescent="0.25">
      <c r="A12" s="29">
        <v>4</v>
      </c>
      <c r="B12" s="29">
        <v>11629</v>
      </c>
      <c r="C12" s="29">
        <f t="shared" si="0"/>
        <v>5700</v>
      </c>
      <c r="D12" s="29">
        <v>46229</v>
      </c>
      <c r="E12" s="29">
        <f t="shared" si="1"/>
        <v>5.2349999999999994</v>
      </c>
      <c r="F12" s="29">
        <v>26118</v>
      </c>
      <c r="G12" s="29">
        <f t="shared" si="2"/>
        <v>1.8</v>
      </c>
      <c r="H12" s="29">
        <v>10642204</v>
      </c>
      <c r="I12" s="29">
        <f t="shared" ref="I12:K38" si="4">+H12-H11</f>
        <v>677</v>
      </c>
      <c r="J12" s="29">
        <v>331577</v>
      </c>
      <c r="K12" s="29">
        <f t="shared" si="4"/>
        <v>665</v>
      </c>
      <c r="L12" s="29">
        <v>1332</v>
      </c>
      <c r="M12" s="29">
        <f t="shared" si="3"/>
        <v>2.2000000000000002</v>
      </c>
      <c r="N12" s="29">
        <v>27216067</v>
      </c>
      <c r="O12" s="29">
        <f t="shared" ref="O12:Q27" si="5">+N12-N11</f>
        <v>9040</v>
      </c>
      <c r="P12" s="29">
        <v>6203907</v>
      </c>
      <c r="Q12" s="29">
        <f t="shared" si="5"/>
        <v>104</v>
      </c>
      <c r="R12" s="29">
        <v>8</v>
      </c>
    </row>
    <row r="13" spans="1:18" ht="20.25" customHeight="1" x14ac:dyDescent="0.25">
      <c r="A13" s="29">
        <v>5</v>
      </c>
      <c r="B13" s="29">
        <v>11650</v>
      </c>
      <c r="C13" s="29">
        <f t="shared" si="0"/>
        <v>6300</v>
      </c>
      <c r="D13" s="29">
        <v>46234</v>
      </c>
      <c r="E13" s="29">
        <f t="shared" si="1"/>
        <v>5.2349999999999994</v>
      </c>
      <c r="F13" s="29">
        <v>26128</v>
      </c>
      <c r="G13" s="29">
        <f t="shared" si="2"/>
        <v>1</v>
      </c>
      <c r="H13" s="29">
        <v>10642870</v>
      </c>
      <c r="I13" s="29">
        <f t="shared" si="4"/>
        <v>666</v>
      </c>
      <c r="J13" s="29">
        <v>332038</v>
      </c>
      <c r="K13" s="29">
        <f t="shared" si="4"/>
        <v>461</v>
      </c>
      <c r="L13" s="29">
        <v>1352</v>
      </c>
      <c r="M13" s="29">
        <f t="shared" si="3"/>
        <v>2</v>
      </c>
      <c r="N13" s="29">
        <v>27225888</v>
      </c>
      <c r="O13" s="29">
        <f t="shared" si="5"/>
        <v>9821</v>
      </c>
      <c r="P13" s="29">
        <v>6204269</v>
      </c>
      <c r="Q13" s="29">
        <f t="shared" si="5"/>
        <v>362</v>
      </c>
      <c r="R13" s="29">
        <v>14</v>
      </c>
    </row>
    <row r="14" spans="1:18" ht="20.25" customHeight="1" x14ac:dyDescent="0.25">
      <c r="A14" s="29">
        <v>6</v>
      </c>
      <c r="B14" s="29">
        <v>11670</v>
      </c>
      <c r="C14" s="29">
        <f t="shared" si="0"/>
        <v>6000</v>
      </c>
      <c r="D14" s="29">
        <v>46239</v>
      </c>
      <c r="E14" s="29">
        <f t="shared" si="1"/>
        <v>5.2349999999999994</v>
      </c>
      <c r="F14" s="29">
        <v>26138</v>
      </c>
      <c r="G14" s="29">
        <f t="shared" si="2"/>
        <v>1</v>
      </c>
      <c r="H14" s="29">
        <v>10643658</v>
      </c>
      <c r="I14" s="29">
        <f t="shared" si="4"/>
        <v>788</v>
      </c>
      <c r="J14" s="29">
        <v>332976</v>
      </c>
      <c r="K14" s="29">
        <f t="shared" si="4"/>
        <v>938</v>
      </c>
      <c r="L14" s="29">
        <v>1370</v>
      </c>
      <c r="M14" s="29">
        <f t="shared" si="3"/>
        <v>1.8</v>
      </c>
      <c r="N14" s="29">
        <v>27235424</v>
      </c>
      <c r="O14" s="29">
        <f t="shared" si="5"/>
        <v>9536</v>
      </c>
      <c r="P14" s="29">
        <v>6204756</v>
      </c>
      <c r="Q14" s="29">
        <f t="shared" si="5"/>
        <v>487</v>
      </c>
      <c r="R14" s="29">
        <v>23</v>
      </c>
    </row>
    <row r="15" spans="1:18" ht="20.25" customHeight="1" x14ac:dyDescent="0.25">
      <c r="A15" s="29">
        <v>7</v>
      </c>
      <c r="B15" s="29">
        <v>11691</v>
      </c>
      <c r="C15" s="29">
        <f t="shared" si="0"/>
        <v>6300</v>
      </c>
      <c r="D15" s="29">
        <v>46245</v>
      </c>
      <c r="E15" s="29">
        <f t="shared" si="1"/>
        <v>6.282</v>
      </c>
      <c r="F15" s="29">
        <v>26149</v>
      </c>
      <c r="G15" s="29">
        <f t="shared" si="2"/>
        <v>1.1000000000000001</v>
      </c>
      <c r="H15" s="29">
        <v>10644300</v>
      </c>
      <c r="I15" s="29">
        <f t="shared" si="4"/>
        <v>642</v>
      </c>
      <c r="J15" s="29">
        <v>333502</v>
      </c>
      <c r="K15" s="29">
        <f t="shared" si="4"/>
        <v>526</v>
      </c>
      <c r="L15" s="29">
        <v>1408</v>
      </c>
      <c r="M15" s="29">
        <f t="shared" si="3"/>
        <v>3.8000000000000003</v>
      </c>
      <c r="N15" s="29">
        <v>27247000</v>
      </c>
      <c r="O15" s="29">
        <f t="shared" si="5"/>
        <v>11576</v>
      </c>
      <c r="P15" s="29">
        <v>6204887</v>
      </c>
      <c r="Q15" s="29">
        <f t="shared" si="5"/>
        <v>131</v>
      </c>
      <c r="R15" s="29">
        <v>28</v>
      </c>
    </row>
    <row r="16" spans="1:18" ht="20.25" customHeight="1" x14ac:dyDescent="0.25">
      <c r="A16" s="29">
        <v>8</v>
      </c>
      <c r="B16" s="29">
        <v>11705</v>
      </c>
      <c r="C16" s="29">
        <f t="shared" si="0"/>
        <v>4200</v>
      </c>
      <c r="D16" s="29">
        <v>46249</v>
      </c>
      <c r="E16" s="29">
        <f t="shared" si="1"/>
        <v>4.1879999999999997</v>
      </c>
      <c r="F16" s="29">
        <v>26150</v>
      </c>
      <c r="G16" s="29">
        <f t="shared" si="2"/>
        <v>0.1</v>
      </c>
      <c r="H16" s="29">
        <v>10644665</v>
      </c>
      <c r="I16" s="29">
        <f t="shared" si="4"/>
        <v>365</v>
      </c>
      <c r="J16" s="29">
        <v>333873</v>
      </c>
      <c r="K16" s="29">
        <f t="shared" si="4"/>
        <v>371</v>
      </c>
      <c r="L16" s="29">
        <v>1424</v>
      </c>
      <c r="M16" s="29">
        <f t="shared" si="3"/>
        <v>1.6</v>
      </c>
      <c r="N16" s="29">
        <v>27255275</v>
      </c>
      <c r="O16" s="29">
        <f t="shared" si="5"/>
        <v>8275</v>
      </c>
      <c r="P16" s="29">
        <v>6204895</v>
      </c>
      <c r="Q16" s="29">
        <f t="shared" si="5"/>
        <v>8</v>
      </c>
      <c r="R16" s="29">
        <v>14</v>
      </c>
    </row>
    <row r="17" spans="1:18" ht="20.25" customHeight="1" x14ac:dyDescent="0.25">
      <c r="A17" s="29">
        <v>9</v>
      </c>
      <c r="B17" s="29">
        <v>11722</v>
      </c>
      <c r="C17" s="29">
        <f>+(B17-B16)*300</f>
        <v>5100</v>
      </c>
      <c r="D17" s="29">
        <v>46254</v>
      </c>
      <c r="E17" s="29">
        <f t="shared" si="1"/>
        <v>5.2349999999999994</v>
      </c>
      <c r="F17" s="29">
        <v>26155</v>
      </c>
      <c r="G17" s="29">
        <f t="shared" si="2"/>
        <v>0.5</v>
      </c>
      <c r="H17" s="29">
        <v>10645100</v>
      </c>
      <c r="I17" s="29">
        <f t="shared" si="4"/>
        <v>435</v>
      </c>
      <c r="J17" s="29">
        <v>334333</v>
      </c>
      <c r="K17" s="29">
        <f t="shared" si="4"/>
        <v>460</v>
      </c>
      <c r="L17" s="29">
        <v>1457</v>
      </c>
      <c r="M17" s="29">
        <f t="shared" si="3"/>
        <v>3.3000000000000003</v>
      </c>
      <c r="N17" s="29">
        <v>27265535</v>
      </c>
      <c r="O17" s="29">
        <f t="shared" si="5"/>
        <v>10260</v>
      </c>
      <c r="P17" s="29">
        <v>6204896</v>
      </c>
      <c r="Q17" s="29">
        <f t="shared" si="5"/>
        <v>1</v>
      </c>
      <c r="R17" s="29">
        <v>19</v>
      </c>
    </row>
    <row r="18" spans="1:18" ht="20.25" customHeight="1" x14ac:dyDescent="0.25">
      <c r="A18" s="29">
        <v>10</v>
      </c>
      <c r="B18" s="29">
        <v>11740</v>
      </c>
      <c r="C18" s="29">
        <f t="shared" si="0"/>
        <v>5400</v>
      </c>
      <c r="D18" s="29">
        <v>46260</v>
      </c>
      <c r="E18" s="29">
        <f t="shared" si="1"/>
        <v>6.282</v>
      </c>
      <c r="F18" s="29">
        <v>26164</v>
      </c>
      <c r="G18" s="29">
        <f t="shared" si="2"/>
        <v>0.9</v>
      </c>
      <c r="H18" s="29">
        <v>10645750</v>
      </c>
      <c r="I18" s="29">
        <f t="shared" si="4"/>
        <v>650</v>
      </c>
      <c r="J18" s="29">
        <v>334606</v>
      </c>
      <c r="K18" s="29">
        <f t="shared" si="4"/>
        <v>273</v>
      </c>
      <c r="L18" s="29">
        <v>1494</v>
      </c>
      <c r="M18" s="29">
        <f t="shared" si="3"/>
        <v>3.7</v>
      </c>
      <c r="N18" s="29">
        <v>27275900</v>
      </c>
      <c r="O18" s="29">
        <f t="shared" si="5"/>
        <v>10365</v>
      </c>
      <c r="P18" s="29">
        <v>6204898</v>
      </c>
      <c r="Q18" s="29">
        <f t="shared" si="5"/>
        <v>2</v>
      </c>
      <c r="R18" s="29">
        <v>26</v>
      </c>
    </row>
    <row r="19" spans="1:18" ht="20.25" customHeight="1" x14ac:dyDescent="0.25">
      <c r="A19" s="29">
        <v>11</v>
      </c>
      <c r="B19" s="29">
        <v>11760</v>
      </c>
      <c r="C19" s="29">
        <f t="shared" si="0"/>
        <v>6000</v>
      </c>
      <c r="D19" s="29">
        <v>46267</v>
      </c>
      <c r="E19" s="29">
        <f t="shared" si="1"/>
        <v>7.3289999999999997</v>
      </c>
      <c r="F19" s="29">
        <v>26174</v>
      </c>
      <c r="G19" s="29">
        <f t="shared" si="2"/>
        <v>1</v>
      </c>
      <c r="H19" s="29">
        <v>10646654</v>
      </c>
      <c r="I19" s="29">
        <f t="shared" si="4"/>
        <v>904</v>
      </c>
      <c r="J19" s="29">
        <v>334913</v>
      </c>
      <c r="K19" s="29">
        <f t="shared" si="4"/>
        <v>307</v>
      </c>
      <c r="L19" s="29">
        <v>1539</v>
      </c>
      <c r="M19" s="29">
        <f t="shared" si="3"/>
        <v>4.5</v>
      </c>
      <c r="N19" s="29">
        <v>27287228</v>
      </c>
      <c r="O19" s="29">
        <f t="shared" si="5"/>
        <v>11328</v>
      </c>
      <c r="P19" s="29">
        <v>6204899</v>
      </c>
      <c r="Q19" s="29">
        <f t="shared" si="5"/>
        <v>1</v>
      </c>
      <c r="R19" s="29">
        <v>18</v>
      </c>
    </row>
    <row r="20" spans="1:18" ht="20.25" customHeight="1" x14ac:dyDescent="0.25">
      <c r="A20" s="29">
        <v>12</v>
      </c>
      <c r="B20" s="29">
        <v>11779</v>
      </c>
      <c r="C20" s="29">
        <f t="shared" si="0"/>
        <v>5700</v>
      </c>
      <c r="D20" s="29">
        <v>46272</v>
      </c>
      <c r="E20" s="29">
        <f t="shared" si="1"/>
        <v>5.2349999999999994</v>
      </c>
      <c r="F20" s="29">
        <v>26184</v>
      </c>
      <c r="G20" s="29">
        <f t="shared" si="2"/>
        <v>1</v>
      </c>
      <c r="H20" s="29">
        <v>10647300</v>
      </c>
      <c r="I20" s="29">
        <f t="shared" si="4"/>
        <v>646</v>
      </c>
      <c r="J20" s="29">
        <v>335171</v>
      </c>
      <c r="K20" s="29">
        <f t="shared" si="4"/>
        <v>258</v>
      </c>
      <c r="L20" s="29">
        <v>1566</v>
      </c>
      <c r="M20" s="29">
        <f t="shared" si="3"/>
        <v>2.7</v>
      </c>
      <c r="N20" s="29">
        <v>27297005</v>
      </c>
      <c r="O20" s="29">
        <f t="shared" si="5"/>
        <v>9777</v>
      </c>
      <c r="P20" s="29">
        <v>6204899</v>
      </c>
      <c r="Q20" s="29">
        <f t="shared" si="5"/>
        <v>0</v>
      </c>
      <c r="R20" s="29">
        <v>22</v>
      </c>
    </row>
    <row r="21" spans="1:18" ht="20.25" customHeight="1" x14ac:dyDescent="0.25">
      <c r="A21" s="29">
        <v>13</v>
      </c>
      <c r="B21" s="29">
        <v>11797</v>
      </c>
      <c r="C21" s="29">
        <f t="shared" si="0"/>
        <v>5400</v>
      </c>
      <c r="D21" s="29">
        <v>46277</v>
      </c>
      <c r="E21" s="29">
        <f t="shared" si="1"/>
        <v>5.2349999999999994</v>
      </c>
      <c r="F21" s="29">
        <v>26193</v>
      </c>
      <c r="G21" s="29">
        <f t="shared" si="2"/>
        <v>0.9</v>
      </c>
      <c r="H21" s="29">
        <v>10647816</v>
      </c>
      <c r="I21" s="29">
        <f t="shared" si="4"/>
        <v>516</v>
      </c>
      <c r="J21" s="29">
        <v>335594</v>
      </c>
      <c r="K21" s="29">
        <f t="shared" si="4"/>
        <v>423</v>
      </c>
      <c r="L21" s="29">
        <v>1601</v>
      </c>
      <c r="M21" s="29">
        <f t="shared" si="3"/>
        <v>3.5</v>
      </c>
      <c r="N21" s="29">
        <v>27301142</v>
      </c>
      <c r="O21" s="29">
        <f t="shared" si="5"/>
        <v>4137</v>
      </c>
      <c r="P21" s="29">
        <v>6204899</v>
      </c>
      <c r="Q21" s="29">
        <f t="shared" si="5"/>
        <v>0</v>
      </c>
      <c r="R21" s="29">
        <v>24</v>
      </c>
    </row>
    <row r="22" spans="1:18" ht="20.25" customHeight="1" x14ac:dyDescent="0.25">
      <c r="A22" s="29">
        <v>14</v>
      </c>
      <c r="B22" s="29">
        <v>11822</v>
      </c>
      <c r="C22" s="29">
        <f t="shared" si="0"/>
        <v>7500</v>
      </c>
      <c r="D22" s="29">
        <v>46284</v>
      </c>
      <c r="E22" s="29">
        <f t="shared" si="1"/>
        <v>7.3289999999999997</v>
      </c>
      <c r="F22" s="29">
        <v>26211</v>
      </c>
      <c r="G22" s="29">
        <f t="shared" si="2"/>
        <v>1.8</v>
      </c>
      <c r="H22" s="29">
        <v>10648500</v>
      </c>
      <c r="I22" s="29">
        <f t="shared" si="4"/>
        <v>684</v>
      </c>
      <c r="J22" s="29">
        <v>335767</v>
      </c>
      <c r="K22" s="29">
        <f t="shared" si="4"/>
        <v>173</v>
      </c>
      <c r="L22" s="29">
        <v>1650</v>
      </c>
      <c r="M22" s="29">
        <f t="shared" si="3"/>
        <v>4.9000000000000004</v>
      </c>
      <c r="N22" s="29">
        <v>27305800</v>
      </c>
      <c r="O22" s="29">
        <f t="shared" si="5"/>
        <v>4658</v>
      </c>
      <c r="P22" s="29">
        <v>6204910</v>
      </c>
      <c r="Q22" s="29">
        <f t="shared" si="5"/>
        <v>11</v>
      </c>
      <c r="R22" s="29">
        <v>42</v>
      </c>
    </row>
    <row r="23" spans="1:18" ht="20.25" customHeight="1" x14ac:dyDescent="0.25">
      <c r="A23" s="29">
        <v>15</v>
      </c>
      <c r="B23" s="29">
        <v>11831</v>
      </c>
      <c r="C23" s="29">
        <f t="shared" si="0"/>
        <v>2700</v>
      </c>
      <c r="D23" s="29">
        <v>46286</v>
      </c>
      <c r="E23" s="29">
        <f t="shared" si="1"/>
        <v>2.0939999999999999</v>
      </c>
      <c r="F23" s="29">
        <v>26213</v>
      </c>
      <c r="G23" s="29">
        <f t="shared" si="2"/>
        <v>0.2</v>
      </c>
      <c r="H23" s="29">
        <v>10648705</v>
      </c>
      <c r="I23" s="29">
        <f t="shared" si="4"/>
        <v>205</v>
      </c>
      <c r="J23" s="29">
        <v>335773</v>
      </c>
      <c r="K23" s="29">
        <f t="shared" si="4"/>
        <v>6</v>
      </c>
      <c r="L23" s="29">
        <v>1676</v>
      </c>
      <c r="M23" s="29">
        <f t="shared" si="3"/>
        <v>2.6</v>
      </c>
      <c r="N23" s="29">
        <v>27308735</v>
      </c>
      <c r="O23" s="29">
        <f t="shared" si="5"/>
        <v>2935</v>
      </c>
      <c r="P23" s="29">
        <v>6204914</v>
      </c>
      <c r="Q23" s="29">
        <f t="shared" si="5"/>
        <v>4</v>
      </c>
      <c r="R23" s="29">
        <v>18</v>
      </c>
    </row>
    <row r="24" spans="1:18" ht="20.25" customHeight="1" x14ac:dyDescent="0.25">
      <c r="A24" s="29">
        <v>16</v>
      </c>
      <c r="B24" s="29">
        <v>11849</v>
      </c>
      <c r="C24" s="29">
        <f t="shared" si="0"/>
        <v>5400</v>
      </c>
      <c r="D24" s="29">
        <v>46292</v>
      </c>
      <c r="E24" s="29">
        <f t="shared" si="1"/>
        <v>6.282</v>
      </c>
      <c r="F24" s="29">
        <v>26223</v>
      </c>
      <c r="G24" s="29">
        <f t="shared" si="2"/>
        <v>1</v>
      </c>
      <c r="H24" s="29">
        <v>10649320</v>
      </c>
      <c r="I24" s="29">
        <f t="shared" si="4"/>
        <v>615</v>
      </c>
      <c r="J24" s="29">
        <v>335953</v>
      </c>
      <c r="K24" s="29">
        <f t="shared" si="4"/>
        <v>180</v>
      </c>
      <c r="L24" s="29">
        <v>1701</v>
      </c>
      <c r="M24" s="29">
        <f t="shared" si="3"/>
        <v>2.5</v>
      </c>
      <c r="N24" s="29">
        <v>27312620</v>
      </c>
      <c r="O24" s="29">
        <f t="shared" si="5"/>
        <v>3885</v>
      </c>
      <c r="P24" s="29">
        <v>6204928</v>
      </c>
      <c r="Q24" s="29">
        <f t="shared" si="5"/>
        <v>14</v>
      </c>
      <c r="R24" s="29">
        <v>12</v>
      </c>
    </row>
    <row r="25" spans="1:18" ht="20.25" customHeight="1" x14ac:dyDescent="0.25">
      <c r="A25" s="29">
        <v>17</v>
      </c>
      <c r="B25" s="29">
        <v>11871</v>
      </c>
      <c r="C25" s="29">
        <f t="shared" si="0"/>
        <v>6600</v>
      </c>
      <c r="D25" s="29">
        <v>46298</v>
      </c>
      <c r="E25" s="29">
        <f t="shared" si="1"/>
        <v>6.282</v>
      </c>
      <c r="F25" s="29">
        <v>26234</v>
      </c>
      <c r="G25" s="29">
        <f t="shared" si="2"/>
        <v>1.1000000000000001</v>
      </c>
      <c r="H25" s="29">
        <v>10650077</v>
      </c>
      <c r="I25" s="29">
        <f t="shared" si="4"/>
        <v>757</v>
      </c>
      <c r="J25" s="29">
        <v>336686</v>
      </c>
      <c r="K25" s="29">
        <f t="shared" si="4"/>
        <v>733</v>
      </c>
      <c r="L25" s="29">
        <v>1730</v>
      </c>
      <c r="M25" s="29">
        <f t="shared" si="3"/>
        <v>2.9000000000000004</v>
      </c>
      <c r="N25" s="29">
        <v>27316612</v>
      </c>
      <c r="O25" s="29">
        <f t="shared" si="5"/>
        <v>3992</v>
      </c>
      <c r="P25" s="29">
        <v>6204936</v>
      </c>
      <c r="Q25" s="29">
        <f t="shared" si="5"/>
        <v>8</v>
      </c>
      <c r="R25" s="29">
        <v>17</v>
      </c>
    </row>
    <row r="26" spans="1:18" ht="20.25" customHeight="1" x14ac:dyDescent="0.25">
      <c r="A26" s="29">
        <v>18</v>
      </c>
      <c r="B26" s="29">
        <v>11889</v>
      </c>
      <c r="C26" s="29">
        <f t="shared" si="0"/>
        <v>5400</v>
      </c>
      <c r="D26" s="29">
        <v>46303</v>
      </c>
      <c r="E26" s="29">
        <f t="shared" si="1"/>
        <v>5.2349999999999994</v>
      </c>
      <c r="F26" s="29">
        <v>26244</v>
      </c>
      <c r="G26" s="29">
        <f t="shared" si="2"/>
        <v>1</v>
      </c>
      <c r="H26" s="29">
        <v>10650711</v>
      </c>
      <c r="I26" s="29">
        <f t="shared" si="4"/>
        <v>634</v>
      </c>
      <c r="J26" s="29">
        <v>336906</v>
      </c>
      <c r="K26" s="29">
        <f t="shared" si="4"/>
        <v>220</v>
      </c>
      <c r="L26" s="29">
        <v>1762</v>
      </c>
      <c r="M26" s="29">
        <f t="shared" si="3"/>
        <v>3.2</v>
      </c>
      <c r="N26" s="29">
        <v>27319195</v>
      </c>
      <c r="O26" s="29">
        <f t="shared" si="5"/>
        <v>2583</v>
      </c>
      <c r="P26" s="29">
        <v>6204936</v>
      </c>
      <c r="Q26" s="29">
        <f t="shared" si="5"/>
        <v>0</v>
      </c>
      <c r="R26" s="29">
        <v>16</v>
      </c>
    </row>
    <row r="27" spans="1:18" ht="20.25" customHeight="1" x14ac:dyDescent="0.25">
      <c r="A27" s="29">
        <v>19</v>
      </c>
      <c r="B27" s="29">
        <v>11907</v>
      </c>
      <c r="C27" s="29">
        <f t="shared" si="0"/>
        <v>5400</v>
      </c>
      <c r="D27" s="29">
        <v>46308</v>
      </c>
      <c r="E27" s="29">
        <f t="shared" si="1"/>
        <v>5.2349999999999994</v>
      </c>
      <c r="F27" s="29">
        <v>26253</v>
      </c>
      <c r="G27" s="29">
        <f t="shared" si="2"/>
        <v>0.9</v>
      </c>
      <c r="H27" s="29">
        <v>10651556</v>
      </c>
      <c r="I27" s="29">
        <f t="shared" si="4"/>
        <v>845</v>
      </c>
      <c r="J27" s="29">
        <v>337201</v>
      </c>
      <c r="K27" s="29">
        <f t="shared" si="4"/>
        <v>295</v>
      </c>
      <c r="L27" s="29">
        <v>1792</v>
      </c>
      <c r="M27" s="29">
        <f t="shared" si="3"/>
        <v>3</v>
      </c>
      <c r="N27" s="29">
        <v>27322386</v>
      </c>
      <c r="O27" s="29">
        <f t="shared" si="5"/>
        <v>3191</v>
      </c>
      <c r="P27" s="29">
        <v>6204936</v>
      </c>
      <c r="Q27" s="29">
        <f t="shared" si="5"/>
        <v>0</v>
      </c>
      <c r="R27" s="29">
        <v>16</v>
      </c>
    </row>
    <row r="28" spans="1:18" ht="20.25" customHeight="1" x14ac:dyDescent="0.25">
      <c r="A28" s="29">
        <v>20</v>
      </c>
      <c r="B28" s="29">
        <v>11924</v>
      </c>
      <c r="C28" s="29">
        <f t="shared" si="0"/>
        <v>5100</v>
      </c>
      <c r="D28" s="29">
        <v>46314</v>
      </c>
      <c r="E28" s="29">
        <f t="shared" si="1"/>
        <v>6.282</v>
      </c>
      <c r="F28" s="29">
        <v>26273</v>
      </c>
      <c r="G28" s="29">
        <f t="shared" si="2"/>
        <v>2</v>
      </c>
      <c r="H28" s="29">
        <v>10652246</v>
      </c>
      <c r="I28" s="29">
        <f t="shared" si="4"/>
        <v>690</v>
      </c>
      <c r="J28" s="29">
        <v>337350</v>
      </c>
      <c r="K28" s="29">
        <f t="shared" si="4"/>
        <v>149</v>
      </c>
      <c r="L28" s="29">
        <v>1824</v>
      </c>
      <c r="M28" s="29">
        <f t="shared" si="3"/>
        <v>3.2</v>
      </c>
      <c r="N28" s="29">
        <v>27325169</v>
      </c>
      <c r="O28" s="29">
        <f t="shared" ref="O28:Q38" si="6">+N28-N27</f>
        <v>2783</v>
      </c>
      <c r="P28" s="29">
        <v>6204936</v>
      </c>
      <c r="Q28" s="29">
        <f t="shared" si="6"/>
        <v>0</v>
      </c>
      <c r="R28" s="29">
        <v>23</v>
      </c>
    </row>
    <row r="29" spans="1:18" ht="20.25" customHeight="1" x14ac:dyDescent="0.25">
      <c r="A29" s="29">
        <v>21</v>
      </c>
      <c r="B29" s="29">
        <v>11924</v>
      </c>
      <c r="C29" s="29">
        <f t="shared" si="0"/>
        <v>0</v>
      </c>
      <c r="D29" s="29">
        <v>46314</v>
      </c>
      <c r="E29" s="29">
        <f t="shared" si="1"/>
        <v>0</v>
      </c>
      <c r="F29" s="29">
        <v>26273</v>
      </c>
      <c r="G29" s="29">
        <f t="shared" si="2"/>
        <v>0</v>
      </c>
      <c r="H29" s="29">
        <v>10652246</v>
      </c>
      <c r="I29" s="29">
        <f t="shared" si="4"/>
        <v>0</v>
      </c>
      <c r="J29" s="29">
        <v>337350</v>
      </c>
      <c r="K29" s="29">
        <f t="shared" si="4"/>
        <v>0</v>
      </c>
      <c r="L29" s="29">
        <v>1824</v>
      </c>
      <c r="M29" s="29">
        <f t="shared" si="3"/>
        <v>0</v>
      </c>
      <c r="N29" s="29">
        <v>27325169</v>
      </c>
      <c r="O29" s="29">
        <f t="shared" si="6"/>
        <v>0</v>
      </c>
      <c r="P29" s="29">
        <v>6204936</v>
      </c>
      <c r="Q29" s="29">
        <f t="shared" si="6"/>
        <v>0</v>
      </c>
      <c r="R29" s="29">
        <v>32</v>
      </c>
    </row>
    <row r="30" spans="1:18" ht="20.25" customHeight="1" x14ac:dyDescent="0.25">
      <c r="A30" s="29">
        <v>22</v>
      </c>
      <c r="B30" s="29">
        <v>11958</v>
      </c>
      <c r="C30" s="29">
        <f t="shared" si="0"/>
        <v>10200</v>
      </c>
      <c r="D30" s="29">
        <v>46323</v>
      </c>
      <c r="E30" s="29">
        <f t="shared" si="1"/>
        <v>9.423</v>
      </c>
      <c r="F30" s="29">
        <v>26280</v>
      </c>
      <c r="G30" s="29">
        <f t="shared" si="2"/>
        <v>0.70000000000000007</v>
      </c>
      <c r="H30" s="29">
        <v>10653445</v>
      </c>
      <c r="I30" s="29">
        <f t="shared" si="4"/>
        <v>1199</v>
      </c>
      <c r="J30" s="29">
        <v>337917</v>
      </c>
      <c r="K30" s="29">
        <f t="shared" si="4"/>
        <v>567</v>
      </c>
      <c r="L30" s="29">
        <v>1901</v>
      </c>
      <c r="M30" s="29">
        <f t="shared" si="3"/>
        <v>7.7</v>
      </c>
      <c r="N30" s="29">
        <v>27333500</v>
      </c>
      <c r="O30" s="29">
        <f t="shared" si="6"/>
        <v>8331</v>
      </c>
      <c r="P30" s="29">
        <v>6204965</v>
      </c>
      <c r="Q30" s="29">
        <f t="shared" si="6"/>
        <v>29</v>
      </c>
      <c r="R30" s="29">
        <v>17</v>
      </c>
    </row>
    <row r="31" spans="1:18" ht="20.25" customHeight="1" x14ac:dyDescent="0.25">
      <c r="A31" s="29">
        <v>23</v>
      </c>
      <c r="B31" s="29">
        <v>11976</v>
      </c>
      <c r="C31" s="29">
        <f t="shared" si="0"/>
        <v>5400</v>
      </c>
      <c r="D31" s="29">
        <v>46336</v>
      </c>
      <c r="E31" s="29">
        <f t="shared" si="1"/>
        <v>13.610999999999999</v>
      </c>
      <c r="F31" s="29">
        <v>26289</v>
      </c>
      <c r="G31" s="29">
        <f t="shared" si="2"/>
        <v>0.9</v>
      </c>
      <c r="H31" s="29">
        <v>10653830</v>
      </c>
      <c r="I31" s="29">
        <f t="shared" si="4"/>
        <v>385</v>
      </c>
      <c r="J31" s="29">
        <v>337991</v>
      </c>
      <c r="K31" s="29">
        <f t="shared" si="4"/>
        <v>74</v>
      </c>
      <c r="L31" s="29">
        <v>1928</v>
      </c>
      <c r="M31" s="29">
        <f t="shared" si="3"/>
        <v>2.7</v>
      </c>
      <c r="N31" s="29">
        <v>27336865</v>
      </c>
      <c r="O31" s="29">
        <f t="shared" si="6"/>
        <v>3365</v>
      </c>
      <c r="P31" s="29">
        <v>6204965</v>
      </c>
      <c r="Q31" s="29">
        <f t="shared" si="6"/>
        <v>0</v>
      </c>
      <c r="R31" s="29">
        <v>21</v>
      </c>
    </row>
    <row r="32" spans="1:18" ht="20.25" customHeight="1" x14ac:dyDescent="0.25">
      <c r="A32" s="29">
        <v>24</v>
      </c>
      <c r="B32" s="29">
        <v>11997</v>
      </c>
      <c r="C32" s="29">
        <f t="shared" si="0"/>
        <v>6300</v>
      </c>
      <c r="D32" s="29">
        <v>46354</v>
      </c>
      <c r="E32" s="29">
        <f t="shared" si="1"/>
        <v>18.846</v>
      </c>
      <c r="F32" s="29">
        <v>26301</v>
      </c>
      <c r="G32" s="29">
        <f t="shared" si="2"/>
        <v>1.2000000000000002</v>
      </c>
      <c r="H32" s="29">
        <v>10654481</v>
      </c>
      <c r="I32" s="29">
        <f t="shared" si="4"/>
        <v>651</v>
      </c>
      <c r="J32" s="29">
        <v>338398</v>
      </c>
      <c r="K32" s="29">
        <f t="shared" si="4"/>
        <v>407</v>
      </c>
      <c r="L32" s="29">
        <v>1965</v>
      </c>
      <c r="M32" s="29">
        <f t="shared" si="3"/>
        <v>3.7</v>
      </c>
      <c r="N32" s="29">
        <v>27340959</v>
      </c>
      <c r="O32" s="29">
        <f t="shared" si="6"/>
        <v>4094</v>
      </c>
      <c r="P32" s="29">
        <v>6205080</v>
      </c>
      <c r="Q32" s="29">
        <f t="shared" si="6"/>
        <v>115</v>
      </c>
      <c r="R32" s="29">
        <v>21</v>
      </c>
    </row>
    <row r="33" spans="1:18" ht="20.25" customHeight="1" x14ac:dyDescent="0.25">
      <c r="A33" s="29">
        <v>25</v>
      </c>
      <c r="B33" s="29">
        <v>12016</v>
      </c>
      <c r="C33" s="29">
        <f t="shared" si="0"/>
        <v>5700</v>
      </c>
      <c r="D33" s="29">
        <v>46363</v>
      </c>
      <c r="E33" s="29">
        <f t="shared" si="1"/>
        <v>9.423</v>
      </c>
      <c r="F33" s="29">
        <v>26310</v>
      </c>
      <c r="G33" s="29">
        <f t="shared" si="2"/>
        <v>0.9</v>
      </c>
      <c r="H33" s="29">
        <v>10655608</v>
      </c>
      <c r="I33" s="29">
        <f t="shared" si="4"/>
        <v>1127</v>
      </c>
      <c r="J33" s="29">
        <v>339126</v>
      </c>
      <c r="K33" s="29">
        <f t="shared" si="4"/>
        <v>728</v>
      </c>
      <c r="L33" s="29">
        <v>1994</v>
      </c>
      <c r="M33" s="29">
        <f t="shared" si="3"/>
        <v>2.9000000000000004</v>
      </c>
      <c r="N33" s="29">
        <v>27344271</v>
      </c>
      <c r="O33" s="29">
        <f t="shared" si="6"/>
        <v>3312</v>
      </c>
      <c r="P33" s="29">
        <v>6205086</v>
      </c>
      <c r="Q33" s="29">
        <f t="shared" si="6"/>
        <v>6</v>
      </c>
      <c r="R33" s="29">
        <v>15</v>
      </c>
    </row>
    <row r="34" spans="1:18" ht="20.25" customHeight="1" x14ac:dyDescent="0.25">
      <c r="A34" s="29">
        <v>26</v>
      </c>
      <c r="B34" s="29">
        <v>12034</v>
      </c>
      <c r="C34" s="29">
        <f t="shared" si="0"/>
        <v>5400</v>
      </c>
      <c r="D34" s="29">
        <v>46374</v>
      </c>
      <c r="E34" s="29">
        <f t="shared" si="1"/>
        <v>11.516999999999999</v>
      </c>
      <c r="F34" s="29">
        <v>26321</v>
      </c>
      <c r="G34" s="29">
        <f t="shared" si="2"/>
        <v>1.1000000000000001</v>
      </c>
      <c r="H34" s="29">
        <v>10656100</v>
      </c>
      <c r="I34" s="29">
        <f t="shared" si="4"/>
        <v>492</v>
      </c>
      <c r="J34" s="29">
        <v>339320</v>
      </c>
      <c r="K34" s="29">
        <f t="shared" si="4"/>
        <v>194</v>
      </c>
      <c r="L34" s="29">
        <v>2037</v>
      </c>
      <c r="M34" s="29">
        <f t="shared" si="3"/>
        <v>4.3</v>
      </c>
      <c r="N34" s="29">
        <v>27347900</v>
      </c>
      <c r="O34" s="29">
        <f t="shared" si="6"/>
        <v>3629</v>
      </c>
      <c r="P34" s="29">
        <v>6205088</v>
      </c>
      <c r="Q34" s="29">
        <f t="shared" si="6"/>
        <v>2</v>
      </c>
      <c r="R34" s="29">
        <v>22</v>
      </c>
    </row>
    <row r="35" spans="1:18" ht="20.25" customHeight="1" x14ac:dyDescent="0.25">
      <c r="A35" s="29">
        <v>27</v>
      </c>
      <c r="B35" s="29">
        <v>12052</v>
      </c>
      <c r="C35" s="29">
        <f t="shared" si="0"/>
        <v>5400</v>
      </c>
      <c r="D35" s="29">
        <v>46383</v>
      </c>
      <c r="E35" s="29">
        <f t="shared" si="1"/>
        <v>9.423</v>
      </c>
      <c r="F35" s="29">
        <v>26330</v>
      </c>
      <c r="G35" s="29">
        <f t="shared" si="2"/>
        <v>0.9</v>
      </c>
      <c r="H35" s="29">
        <v>10656674</v>
      </c>
      <c r="I35" s="29">
        <f t="shared" si="4"/>
        <v>574</v>
      </c>
      <c r="J35" s="29">
        <v>339790</v>
      </c>
      <c r="K35" s="29">
        <f t="shared" si="4"/>
        <v>470</v>
      </c>
      <c r="L35" s="29">
        <v>2057</v>
      </c>
      <c r="M35" s="29">
        <f t="shared" si="3"/>
        <v>2</v>
      </c>
      <c r="N35" s="29">
        <v>27351862</v>
      </c>
      <c r="O35" s="29">
        <f t="shared" si="6"/>
        <v>3962</v>
      </c>
      <c r="P35" s="29">
        <v>6205092</v>
      </c>
      <c r="Q35" s="29">
        <f t="shared" si="6"/>
        <v>4</v>
      </c>
      <c r="R35" s="29">
        <v>26</v>
      </c>
    </row>
    <row r="36" spans="1:18" ht="20.25" customHeight="1" x14ac:dyDescent="0.25">
      <c r="A36" s="29">
        <v>28</v>
      </c>
      <c r="B36" s="29">
        <v>12072</v>
      </c>
      <c r="C36" s="29">
        <f t="shared" si="0"/>
        <v>6000</v>
      </c>
      <c r="D36" s="29">
        <v>46393</v>
      </c>
      <c r="E36" s="29">
        <f t="shared" si="1"/>
        <v>10.469999999999999</v>
      </c>
      <c r="F36" s="29">
        <v>26340</v>
      </c>
      <c r="G36" s="29">
        <f t="shared" si="2"/>
        <v>1</v>
      </c>
      <c r="H36" s="29">
        <v>10656710</v>
      </c>
      <c r="I36" s="29">
        <f t="shared" si="4"/>
        <v>36</v>
      </c>
      <c r="J36" s="29">
        <v>340003</v>
      </c>
      <c r="K36" s="29">
        <f t="shared" si="4"/>
        <v>213</v>
      </c>
      <c r="L36" s="29">
        <v>2092</v>
      </c>
      <c r="M36" s="29">
        <f t="shared" si="3"/>
        <v>3.5</v>
      </c>
      <c r="N36" s="29">
        <v>27356800</v>
      </c>
      <c r="O36" s="29">
        <f t="shared" si="6"/>
        <v>4938</v>
      </c>
      <c r="P36" s="29">
        <v>6205100</v>
      </c>
      <c r="Q36" s="29">
        <f t="shared" si="6"/>
        <v>8</v>
      </c>
      <c r="R36" s="29">
        <v>34</v>
      </c>
    </row>
    <row r="37" spans="1:18" ht="20.25" customHeight="1" x14ac:dyDescent="0.25">
      <c r="A37" s="29">
        <v>29</v>
      </c>
      <c r="B37" s="29">
        <v>12087</v>
      </c>
      <c r="C37" s="29">
        <f t="shared" si="0"/>
        <v>4500</v>
      </c>
      <c r="D37" s="29">
        <v>46399</v>
      </c>
      <c r="E37" s="29">
        <f t="shared" si="1"/>
        <v>6.282</v>
      </c>
      <c r="F37" s="29">
        <v>26347</v>
      </c>
      <c r="G37" s="29">
        <f t="shared" si="2"/>
        <v>0.70000000000000007</v>
      </c>
      <c r="H37" s="29">
        <v>10657500</v>
      </c>
      <c r="I37" s="29">
        <f t="shared" si="4"/>
        <v>790</v>
      </c>
      <c r="J37" s="29">
        <v>340013</v>
      </c>
      <c r="K37" s="29">
        <f t="shared" si="4"/>
        <v>10</v>
      </c>
      <c r="L37" s="29">
        <v>2120</v>
      </c>
      <c r="M37" s="29">
        <f t="shared" si="3"/>
        <v>2.8000000000000003</v>
      </c>
      <c r="N37" s="29">
        <v>27360350</v>
      </c>
      <c r="O37" s="29">
        <f t="shared" si="6"/>
        <v>3550</v>
      </c>
      <c r="P37" s="29">
        <v>6205103</v>
      </c>
      <c r="Q37" s="29">
        <f t="shared" si="6"/>
        <v>3</v>
      </c>
      <c r="R37" s="29">
        <v>11</v>
      </c>
    </row>
    <row r="38" spans="1:18" ht="20.25" customHeight="1" x14ac:dyDescent="0.25">
      <c r="A38" s="29">
        <v>30</v>
      </c>
      <c r="B38" s="29">
        <v>12104</v>
      </c>
      <c r="C38" s="29">
        <f t="shared" si="0"/>
        <v>5100</v>
      </c>
      <c r="D38" s="29">
        <v>46408</v>
      </c>
      <c r="E38" s="29">
        <f t="shared" si="1"/>
        <v>9.423</v>
      </c>
      <c r="F38" s="29">
        <v>26357</v>
      </c>
      <c r="G38" s="29">
        <f t="shared" si="2"/>
        <v>1</v>
      </c>
      <c r="H38" s="29">
        <v>10658035</v>
      </c>
      <c r="I38" s="29">
        <f t="shared" si="4"/>
        <v>535</v>
      </c>
      <c r="J38" s="29">
        <v>340023</v>
      </c>
      <c r="K38" s="29">
        <f t="shared" si="4"/>
        <v>10</v>
      </c>
      <c r="L38" s="29">
        <v>2149</v>
      </c>
      <c r="M38" s="29">
        <f t="shared" si="3"/>
        <v>2.9000000000000004</v>
      </c>
      <c r="N38" s="29">
        <v>27363690</v>
      </c>
      <c r="O38" s="29">
        <f t="shared" si="6"/>
        <v>3340</v>
      </c>
      <c r="P38" s="29">
        <v>6205130</v>
      </c>
      <c r="Q38" s="29">
        <f t="shared" si="6"/>
        <v>27</v>
      </c>
      <c r="R38" s="29">
        <v>9</v>
      </c>
    </row>
    <row r="40" spans="1:18" x14ac:dyDescent="0.25">
      <c r="A40" s="30" t="s">
        <v>26</v>
      </c>
      <c r="C40" s="31">
        <f>SUM(C9:C39)</f>
        <v>172200</v>
      </c>
      <c r="E40" s="31">
        <f>SUM(E9:E39)</f>
        <v>220.91699999999997</v>
      </c>
      <c r="G40" s="31">
        <f>SUM(G9:G39)</f>
        <v>30.199999999999996</v>
      </c>
      <c r="I40" s="31">
        <f>SUM(I9:I39)</f>
        <v>19623</v>
      </c>
      <c r="K40" s="31">
        <f>SUM(K9:K39)</f>
        <v>12407</v>
      </c>
      <c r="M40" s="31">
        <f>SUM(M9:M39)</f>
        <v>91.500000000000014</v>
      </c>
      <c r="O40" s="31">
        <f>SUM(O9:O39)</f>
        <v>176979</v>
      </c>
      <c r="Q40" s="31">
        <f>SUM(Q9:Q39)</f>
        <v>4724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2021-10-14T21:50:09Z</dcterms:modified>
  <cp:category/>
  <cp:contentStatus/>
</cp:coreProperties>
</file>