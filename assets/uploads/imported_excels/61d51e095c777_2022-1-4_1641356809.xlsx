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2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7" i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7" i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7" i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G2" i="1"/>
  <c r="AE2" i="1"/>
  <c r="AA2" i="1"/>
  <c r="Y2" i="1"/>
  <c r="R2" i="1"/>
  <c r="S2" i="1" s="1"/>
  <c r="O2" i="1"/>
  <c r="P2" i="1" s="1"/>
  <c r="L2" i="1"/>
  <c r="M2" i="1" s="1"/>
  <c r="I2" i="1"/>
  <c r="J2" i="1" s="1"/>
  <c r="F2" i="1"/>
  <c r="G2" i="1" s="1"/>
  <c r="C2" i="1"/>
  <c r="D2" i="1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2" i="5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I2" i="3"/>
  <c r="G2" i="3"/>
  <c r="J2" i="3" s="1"/>
  <c r="K2" i="3" s="1"/>
  <c r="E2" i="3"/>
  <c r="C2" i="3"/>
  <c r="T7" i="2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2" i="2"/>
  <c r="P2" i="2"/>
  <c r="Q2" i="2" s="1"/>
  <c r="O2" i="2"/>
  <c r="M2" i="2"/>
  <c r="I2" i="2"/>
  <c r="G2" i="2"/>
  <c r="E2" i="2"/>
  <c r="V7" i="4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4" i="4"/>
  <c r="R5" i="4"/>
  <c r="R7" i="4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" i="4"/>
  <c r="P7" i="4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7" i="4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7" i="4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7" i="4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AA2" i="4"/>
  <c r="W2" i="4"/>
  <c r="Z2" i="4" s="1"/>
  <c r="S2" i="4"/>
  <c r="Q2" i="4"/>
  <c r="O2" i="4"/>
  <c r="M2" i="4"/>
  <c r="K2" i="4"/>
  <c r="X2" i="4" s="1"/>
  <c r="H2" i="4"/>
  <c r="I2" i="4" s="1"/>
  <c r="Y2" i="4" s="1"/>
  <c r="F2" i="4"/>
  <c r="D2" i="4"/>
  <c r="T2" i="1" l="1"/>
  <c r="U2" i="1" s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C33" i="3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<sst xmlns="http://schemas.openxmlformats.org/spreadsheetml/2006/main" count="443" uniqueCount="149">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</sst>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31" sqref="E31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46943.947359999998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36439.494623999999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58508.858655999997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331830.60839199997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4">
        <v>1.27</v>
      </c>
      <c r="G6" s="41">
        <f>Gas!C7*0.9147</f>
        <v>0</v>
      </c>
      <c r="H6" s="145">
        <v>3.65</v>
      </c>
      <c r="I6" s="147">
        <f>Submetering!H6+Submetering!AD6+Submetering!AE6</f>
        <v>-194</v>
      </c>
      <c r="J6" s="147">
        <v>10.029999999999999</v>
      </c>
      <c r="K6" s="41">
        <f>ELECT.!B7</f>
        <v>181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4">
        <v>1.27</v>
      </c>
      <c r="G7" s="41">
        <f>Gas!C8*0.9147</f>
        <v>0</v>
      </c>
      <c r="H7" s="145">
        <v>3.65</v>
      </c>
      <c r="I7" s="147">
        <f>Submetering!H7+Submetering!AD7+Submetering!AE7</f>
        <v>-194</v>
      </c>
      <c r="J7" s="147">
        <v>10.029999999999999</v>
      </c>
      <c r="K7" s="41">
        <f>ELECT.!B8</f>
        <v>181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4">
        <v>1.27</v>
      </c>
      <c r="G8" s="41">
        <f>Gas!C9*0.9147</f>
        <v>0</v>
      </c>
      <c r="H8" s="145">
        <v>3.65</v>
      </c>
      <c r="I8" s="147">
        <f>Submetering!H8+Submetering!AD8+Submetering!AE8</f>
        <v>-194</v>
      </c>
      <c r="J8" s="147">
        <v>10.029999999999999</v>
      </c>
      <c r="K8" s="41">
        <f>ELECT.!B9</f>
        <v>181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4">
        <v>1.27</v>
      </c>
      <c r="G9" s="41">
        <f>Gas!C10*0.9147</f>
        <v>0</v>
      </c>
      <c r="H9" s="145">
        <v>3.65</v>
      </c>
      <c r="I9" s="147">
        <f>Submetering!H9+Submetering!AD9+Submetering!AE9</f>
        <v>-194</v>
      </c>
      <c r="J9" s="147">
        <v>10.029999999999999</v>
      </c>
      <c r="K9" s="41">
        <f>ELECT.!B10</f>
        <v>181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4">
        <v>1.27</v>
      </c>
      <c r="G10" s="41">
        <f>Gas!C11*0.9147</f>
        <v>0</v>
      </c>
      <c r="H10" s="145">
        <v>3.65</v>
      </c>
      <c r="I10" s="147">
        <f>Submetering!H10+Submetering!AD10+Submetering!AE10</f>
        <v>-194</v>
      </c>
      <c r="J10" s="147">
        <v>10.029999999999999</v>
      </c>
      <c r="K10" s="41">
        <f>ELECT.!B11</f>
        <v>181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4">
        <v>1.27</v>
      </c>
      <c r="G11" s="41">
        <f>Gas!C12*0.9147</f>
        <v>0</v>
      </c>
      <c r="H11" s="145">
        <v>3.65</v>
      </c>
      <c r="I11" s="147">
        <f>Submetering!H11+Submetering!AD11+Submetering!AE11</f>
        <v>-194</v>
      </c>
      <c r="J11" s="147">
        <v>10.029999999999999</v>
      </c>
      <c r="K11" s="41">
        <f>ELECT.!B12</f>
        <v>181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4">
        <v>1.27</v>
      </c>
      <c r="G12" s="41">
        <f>Gas!C13*0.9147</f>
        <v>0</v>
      </c>
      <c r="H12" s="145">
        <v>3.65</v>
      </c>
      <c r="I12" s="147">
        <f>Submetering!H12+Submetering!AD12+Submetering!AE12</f>
        <v>-194</v>
      </c>
      <c r="J12" s="147">
        <v>10.029999999999999</v>
      </c>
      <c r="K12" s="41">
        <f>ELECT.!B13</f>
        <v>181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181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181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181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181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181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181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181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181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181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181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181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181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181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181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181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181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181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181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181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0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6558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0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5176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0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7527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310902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36866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268554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0</v>
      </c>
      <c r="F6" s="41">
        <f>Water!E7</f>
        <v>0</v>
      </c>
      <c r="G6" s="41">
        <f>Water!G7</f>
        <v>0</v>
      </c>
      <c r="H6" s="41">
        <f>Water!I7</f>
        <v>0</v>
      </c>
      <c r="I6" s="41">
        <f>ELECT.!F7</f>
        <v>0</v>
      </c>
      <c r="J6" s="41">
        <f>ELECT.!H7</f>
        <v>0</v>
      </c>
      <c r="K6" s="41">
        <f>ELECT.!K7</f>
        <v>0</v>
      </c>
      <c r="L6" s="41">
        <f>ELECT.!M7</f>
        <v>0</v>
      </c>
      <c r="M6" s="41">
        <f>ELECT.!O7</f>
        <v>0</v>
      </c>
      <c r="N6" s="41">
        <f>ELECT.!Q7</f>
        <v>0</v>
      </c>
      <c r="O6" s="41">
        <f>ELECT.!S7</f>
        <v>0</v>
      </c>
      <c r="P6" s="41">
        <f>ELECT.!W7*2</f>
        <v>0</v>
      </c>
      <c r="Q6" s="41">
        <f>ELECT.!D7</f>
        <v>0</v>
      </c>
      <c r="R6" s="42">
        <f>BTU!C7</f>
        <v>0</v>
      </c>
      <c r="S6" s="42">
        <f>BTU!F7</f>
        <v>0</v>
      </c>
      <c r="T6" s="42">
        <f>BTU!I7</f>
        <v>0</v>
      </c>
      <c r="U6" s="42">
        <f>BTU!O7</f>
        <v>0</v>
      </c>
      <c r="V6" s="42">
        <f>BTU!L7</f>
        <v>0</v>
      </c>
      <c r="W6" s="42">
        <f>BTU!R7</f>
        <v>0</v>
      </c>
      <c r="X6" s="39">
        <f>ELECT.!B7</f>
        <v>181</v>
      </c>
      <c r="Y6" s="39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9">
        <f t="shared" si="1"/>
        <v>-25.569199999999999</v>
      </c>
      <c r="AE6" s="39">
        <f t="shared" si="2"/>
        <v>-168.4308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0</v>
      </c>
      <c r="F7" s="41">
        <f>Water!E8</f>
        <v>0</v>
      </c>
      <c r="G7" s="41">
        <f>Water!G8</f>
        <v>0</v>
      </c>
      <c r="H7" s="41">
        <f>Water!I8</f>
        <v>0</v>
      </c>
      <c r="I7" s="41">
        <f>ELECT.!F8</f>
        <v>0</v>
      </c>
      <c r="J7" s="41">
        <f>ELECT.!H8</f>
        <v>0</v>
      </c>
      <c r="K7" s="41">
        <f>ELECT.!K8</f>
        <v>0</v>
      </c>
      <c r="L7" s="41">
        <f>ELECT.!M8</f>
        <v>0</v>
      </c>
      <c r="M7" s="41">
        <f>ELECT.!O8</f>
        <v>0</v>
      </c>
      <c r="N7" s="41">
        <f>ELECT.!Q8</f>
        <v>0</v>
      </c>
      <c r="O7" s="41">
        <f>ELECT.!S8</f>
        <v>0</v>
      </c>
      <c r="P7" s="41">
        <f>ELECT.!W8*2</f>
        <v>0</v>
      </c>
      <c r="Q7" s="41">
        <f>ELECT.!D8</f>
        <v>0</v>
      </c>
      <c r="R7" s="42">
        <f>BTU!C8</f>
        <v>0</v>
      </c>
      <c r="S7" s="42">
        <f>BTU!F8</f>
        <v>0</v>
      </c>
      <c r="T7" s="42">
        <f>BTU!I8</f>
        <v>0</v>
      </c>
      <c r="U7" s="42">
        <f>BTU!O8</f>
        <v>0</v>
      </c>
      <c r="V7" s="42">
        <f>BTU!L8</f>
        <v>0</v>
      </c>
      <c r="W7" s="42">
        <f>BTU!R8</f>
        <v>0</v>
      </c>
      <c r="X7" s="39">
        <f>ELECT.!B8</f>
        <v>181</v>
      </c>
      <c r="Y7" s="39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9">
        <f t="shared" si="1"/>
        <v>-25.569199999999999</v>
      </c>
      <c r="AE7" s="39">
        <f t="shared" si="2"/>
        <v>-168.4308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0</v>
      </c>
      <c r="F8" s="41">
        <f>Water!E9</f>
        <v>0</v>
      </c>
      <c r="G8" s="41">
        <f>Water!G9</f>
        <v>0</v>
      </c>
      <c r="H8" s="41">
        <f>Water!I9</f>
        <v>0</v>
      </c>
      <c r="I8" s="41">
        <f>ELECT.!F9</f>
        <v>0</v>
      </c>
      <c r="J8" s="41">
        <f>ELECT.!H9</f>
        <v>0</v>
      </c>
      <c r="K8" s="41">
        <f>ELECT.!K9</f>
        <v>0</v>
      </c>
      <c r="L8" s="41">
        <f>ELECT.!M9</f>
        <v>0</v>
      </c>
      <c r="M8" s="41">
        <f>ELECT.!O9</f>
        <v>0</v>
      </c>
      <c r="N8" s="41">
        <f>ELECT.!Q9</f>
        <v>0</v>
      </c>
      <c r="O8" s="41">
        <f>ELECT.!S9</f>
        <v>0</v>
      </c>
      <c r="P8" s="41">
        <f>ELECT.!W9*2</f>
        <v>0</v>
      </c>
      <c r="Q8" s="41">
        <f>ELECT.!D9</f>
        <v>0</v>
      </c>
      <c r="R8" s="42">
        <f>BTU!C9</f>
        <v>0</v>
      </c>
      <c r="S8" s="42">
        <f>BTU!F9</f>
        <v>0</v>
      </c>
      <c r="T8" s="42">
        <f>BTU!I9</f>
        <v>0</v>
      </c>
      <c r="U8" s="42">
        <f>BTU!O9</f>
        <v>0</v>
      </c>
      <c r="V8" s="42">
        <f>BTU!L9</f>
        <v>0</v>
      </c>
      <c r="W8" s="42">
        <f>BTU!R9</f>
        <v>0</v>
      </c>
      <c r="X8" s="39">
        <f>ELECT.!B9</f>
        <v>181</v>
      </c>
      <c r="Y8" s="39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9">
        <f t="shared" si="1"/>
        <v>-25.569199999999999</v>
      </c>
      <c r="AE8" s="39">
        <f t="shared" si="2"/>
        <v>-168.4308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0</v>
      </c>
      <c r="F9" s="41">
        <f>Water!E10</f>
        <v>0</v>
      </c>
      <c r="G9" s="41">
        <f>Water!G10</f>
        <v>0</v>
      </c>
      <c r="H9" s="41">
        <f>Water!I10</f>
        <v>0</v>
      </c>
      <c r="I9" s="41">
        <f>ELECT.!F10</f>
        <v>0</v>
      </c>
      <c r="J9" s="41">
        <f>ELECT.!H10</f>
        <v>0</v>
      </c>
      <c r="K9" s="41">
        <f>ELECT.!K10</f>
        <v>0</v>
      </c>
      <c r="L9" s="41">
        <f>ELECT.!M10</f>
        <v>0</v>
      </c>
      <c r="M9" s="41">
        <f>ELECT.!O10</f>
        <v>0</v>
      </c>
      <c r="N9" s="41">
        <f>ELECT.!Q10</f>
        <v>0</v>
      </c>
      <c r="O9" s="41">
        <f>ELECT.!S10</f>
        <v>0</v>
      </c>
      <c r="P9" s="41">
        <f>ELECT.!W10*2</f>
        <v>0</v>
      </c>
      <c r="Q9" s="41">
        <f>ELECT.!D10</f>
        <v>0</v>
      </c>
      <c r="R9" s="42">
        <f>BTU!C10</f>
        <v>0</v>
      </c>
      <c r="S9" s="42">
        <f>BTU!F10</f>
        <v>0</v>
      </c>
      <c r="T9" s="42">
        <f>BTU!I10</f>
        <v>0</v>
      </c>
      <c r="U9" s="42">
        <f>BTU!O10</f>
        <v>0</v>
      </c>
      <c r="V9" s="42">
        <f>BTU!L10</f>
        <v>0</v>
      </c>
      <c r="W9" s="42">
        <f>BTU!R10</f>
        <v>0</v>
      </c>
      <c r="X9" s="39">
        <f>ELECT.!B10</f>
        <v>181</v>
      </c>
      <c r="Y9" s="39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9">
        <f t="shared" si="1"/>
        <v>-25.569199999999999</v>
      </c>
      <c r="AE9" s="39">
        <f t="shared" si="2"/>
        <v>-168.4308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0</v>
      </c>
      <c r="F10" s="41">
        <f>Water!E11</f>
        <v>0</v>
      </c>
      <c r="G10" s="41">
        <f>Water!G11</f>
        <v>0</v>
      </c>
      <c r="H10" s="41">
        <f>Water!I11</f>
        <v>0</v>
      </c>
      <c r="I10" s="41">
        <f>ELECT.!F11</f>
        <v>0</v>
      </c>
      <c r="J10" s="41">
        <f>ELECT.!H11</f>
        <v>0</v>
      </c>
      <c r="K10" s="41">
        <f>ELECT.!K11</f>
        <v>0</v>
      </c>
      <c r="L10" s="41">
        <f>ELECT.!M11</f>
        <v>0</v>
      </c>
      <c r="M10" s="41">
        <f>ELECT.!O11</f>
        <v>0</v>
      </c>
      <c r="N10" s="41">
        <f>ELECT.!Q11</f>
        <v>0</v>
      </c>
      <c r="O10" s="41">
        <f>ELECT.!S11</f>
        <v>0</v>
      </c>
      <c r="P10" s="41">
        <f>ELECT.!W11*2</f>
        <v>0</v>
      </c>
      <c r="Q10" s="41">
        <f>ELECT.!D11</f>
        <v>0</v>
      </c>
      <c r="R10" s="42">
        <f>BTU!C11</f>
        <v>0</v>
      </c>
      <c r="S10" s="42">
        <f>BTU!F11</f>
        <v>0</v>
      </c>
      <c r="T10" s="42">
        <f>BTU!I11</f>
        <v>0</v>
      </c>
      <c r="U10" s="42">
        <f>BTU!O11</f>
        <v>0</v>
      </c>
      <c r="V10" s="42">
        <f>BTU!L11</f>
        <v>0</v>
      </c>
      <c r="W10" s="42">
        <f>BTU!R11</f>
        <v>0</v>
      </c>
      <c r="X10" s="39">
        <f>ELECT.!B11</f>
        <v>181</v>
      </c>
      <c r="Y10" s="39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9">
        <f t="shared" si="1"/>
        <v>-25.569199999999999</v>
      </c>
      <c r="AE10" s="39">
        <f t="shared" si="2"/>
        <v>-168.4308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0</v>
      </c>
      <c r="F11" s="41">
        <f>Water!E12</f>
        <v>0</v>
      </c>
      <c r="G11" s="41">
        <f>Water!G12</f>
        <v>0</v>
      </c>
      <c r="H11" s="41">
        <f>Water!I12</f>
        <v>0</v>
      </c>
      <c r="I11" s="41">
        <f>ELECT.!F12</f>
        <v>0</v>
      </c>
      <c r="J11" s="41">
        <f>ELECT.!H12</f>
        <v>0</v>
      </c>
      <c r="K11" s="41">
        <f>ELECT.!K12</f>
        <v>0</v>
      </c>
      <c r="L11" s="41">
        <f>ELECT.!M12</f>
        <v>0</v>
      </c>
      <c r="M11" s="41">
        <f>ELECT.!O12</f>
        <v>0</v>
      </c>
      <c r="N11" s="41">
        <f>ELECT.!Q12</f>
        <v>0</v>
      </c>
      <c r="O11" s="41">
        <f>ELECT.!S12</f>
        <v>0</v>
      </c>
      <c r="P11" s="41">
        <f>ELECT.!W12*2</f>
        <v>0</v>
      </c>
      <c r="Q11" s="41">
        <f>ELECT.!D12</f>
        <v>0</v>
      </c>
      <c r="R11" s="42">
        <f>BTU!C12</f>
        <v>0</v>
      </c>
      <c r="S11" s="42">
        <f>BTU!F12</f>
        <v>0</v>
      </c>
      <c r="T11" s="42">
        <f>BTU!I12</f>
        <v>0</v>
      </c>
      <c r="U11" s="42">
        <f>BTU!O12</f>
        <v>0</v>
      </c>
      <c r="V11" s="42">
        <f>BTU!L12</f>
        <v>0</v>
      </c>
      <c r="W11" s="42">
        <f>BTU!R12</f>
        <v>0</v>
      </c>
      <c r="X11" s="39">
        <f>ELECT.!B12</f>
        <v>181</v>
      </c>
      <c r="Y11" s="39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9">
        <f t="shared" si="1"/>
        <v>-25.569199999999999</v>
      </c>
      <c r="AE11" s="39">
        <f t="shared" si="2"/>
        <v>-168.4308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0</v>
      </c>
      <c r="F12" s="41">
        <f>Water!E13</f>
        <v>0</v>
      </c>
      <c r="G12" s="41">
        <f>Water!G13</f>
        <v>0</v>
      </c>
      <c r="H12" s="41">
        <f>Water!I13</f>
        <v>0</v>
      </c>
      <c r="I12" s="41">
        <f>ELECT.!F13</f>
        <v>0</v>
      </c>
      <c r="J12" s="41">
        <f>ELECT.!H13</f>
        <v>0</v>
      </c>
      <c r="K12" s="41">
        <f>ELECT.!K13</f>
        <v>0</v>
      </c>
      <c r="L12" s="41">
        <f>ELECT.!M13</f>
        <v>0</v>
      </c>
      <c r="M12" s="41">
        <f>ELECT.!O13</f>
        <v>0</v>
      </c>
      <c r="N12" s="41">
        <f>ELECT.!Q13</f>
        <v>0</v>
      </c>
      <c r="O12" s="41">
        <f>ELECT.!S13</f>
        <v>0</v>
      </c>
      <c r="P12" s="41">
        <f>ELECT.!W13*2</f>
        <v>0</v>
      </c>
      <c r="Q12" s="41">
        <f>ELECT.!D13</f>
        <v>0</v>
      </c>
      <c r="R12" s="42">
        <f>BTU!C13</f>
        <v>0</v>
      </c>
      <c r="S12" s="42">
        <f>BTU!F13</f>
        <v>0</v>
      </c>
      <c r="T12" s="42">
        <f>BTU!I13</f>
        <v>0</v>
      </c>
      <c r="U12" s="42">
        <f>BTU!O13</f>
        <v>0</v>
      </c>
      <c r="V12" s="42">
        <f>BTU!L13</f>
        <v>0</v>
      </c>
      <c r="W12" s="42">
        <f>BTU!R13</f>
        <v>0</v>
      </c>
      <c r="X12" s="39">
        <f>ELECT.!B13</f>
        <v>181</v>
      </c>
      <c r="Y12" s="39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9">
        <f t="shared" si="1"/>
        <v>-25.569199999999999</v>
      </c>
      <c r="AE12" s="39">
        <f t="shared" si="2"/>
        <v>-168.4308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181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181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181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181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181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181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181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181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181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181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181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181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181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181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181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181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181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181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181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181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topLeftCell="B1" zoomScale="110" zoomScaleNormal="110" workbookViewId="0">
      <pane ySplit="1" topLeftCell="A2" activePane="bottomLeft" state="frozen"/>
      <selection pane="bottomLeft" activeCell="X6" sqref="X6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 t="e">
        <f t="shared" ref="E2" si="0">(D2-D1)*800/5</f>
        <v>#VALUE!</v>
      </c>
      <c r="F2" s="36">
        <v>21164</v>
      </c>
      <c r="G2" s="16" t="e">
        <f t="shared" ref="G2" si="1">(F2-F1)*100/5</f>
        <v>#VALUE!</v>
      </c>
      <c r="H2" s="36">
        <v>253097</v>
      </c>
      <c r="I2" s="16" t="e">
        <f t="shared" ref="I2" si="2">(H2-H1)</f>
        <v>#VALUE!</v>
      </c>
      <c r="J2" s="36">
        <v>303517</v>
      </c>
      <c r="K2" s="16">
        <v>0</v>
      </c>
      <c r="L2" s="36">
        <v>25728</v>
      </c>
      <c r="M2" s="16" t="e">
        <f t="shared" ref="M2" si="3">(L2-L1)*800/5</f>
        <v>#VALUE!</v>
      </c>
      <c r="N2" s="36">
        <v>218807</v>
      </c>
      <c r="O2" s="16" t="e">
        <f t="shared" ref="O2" si="4">N2-N1</f>
        <v>#VALUE!</v>
      </c>
      <c r="P2" s="36" t="str">
        <f t="shared" ref="P2" si="5">P1</f>
        <v>CIB. 1</v>
      </c>
      <c r="Q2" s="16" t="e">
        <f t="shared" ref="Q2" si="6">P2-P1</f>
        <v>#VALUE!</v>
      </c>
      <c r="R2" s="1">
        <v>55047</v>
      </c>
      <c r="S2" s="16">
        <v>0</v>
      </c>
      <c r="T2" s="36">
        <v>3889</v>
      </c>
      <c r="U2" s="16" t="e">
        <f t="shared" ref="U2" si="7">(T2-T1)*800/5</f>
        <v>#VALUE!</v>
      </c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8">(B4-B3)*800/5</f>
        <v>800</v>
      </c>
      <c r="D4" s="36">
        <v>40175</v>
      </c>
      <c r="E4" s="16">
        <f t="shared" ref="E4:E33" si="9">(D4-D3)*800/5</f>
        <v>640</v>
      </c>
      <c r="F4" s="36">
        <v>21173</v>
      </c>
      <c r="G4" s="16">
        <f t="shared" ref="G4:G33" si="10">(F4-F3)*100/5</f>
        <v>100</v>
      </c>
      <c r="H4" s="36">
        <v>253133</v>
      </c>
      <c r="I4" s="16">
        <f t="shared" ref="I4:I33" si="11">(H4-H3)</f>
        <v>17</v>
      </c>
      <c r="J4" s="36">
        <v>303517</v>
      </c>
      <c r="K4" s="16">
        <v>0</v>
      </c>
      <c r="L4" s="36">
        <v>25735</v>
      </c>
      <c r="M4" s="16">
        <f t="shared" ref="M4:M33" si="12">(L4-L3)*800/5</f>
        <v>800</v>
      </c>
      <c r="N4" s="36">
        <v>219009</v>
      </c>
      <c r="O4" s="16">
        <f t="shared" ref="O4:O33" si="13">N4-N3</f>
        <v>119</v>
      </c>
      <c r="P4" s="36">
        <v>136499</v>
      </c>
      <c r="Q4" s="16">
        <f t="shared" ref="Q4:Q33" si="14">P4-P3</f>
        <v>117</v>
      </c>
      <c r="R4" s="1">
        <f t="shared" ref="R4:R33" si="15">R3</f>
        <v>55047</v>
      </c>
      <c r="S4" s="16">
        <f t="shared" ref="S4:S31" si="16">R4-R3</f>
        <v>0</v>
      </c>
      <c r="T4" s="36">
        <v>3891</v>
      </c>
      <c r="U4" s="16">
        <f t="shared" ref="U4:U33" si="17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8"/>
        <v>800</v>
      </c>
      <c r="D5" s="36">
        <v>40178</v>
      </c>
      <c r="E5" s="16">
        <f t="shared" si="9"/>
        <v>480</v>
      </c>
      <c r="F5" s="36">
        <v>21176</v>
      </c>
      <c r="G5" s="16">
        <f t="shared" si="10"/>
        <v>60</v>
      </c>
      <c r="H5" s="36">
        <v>253152</v>
      </c>
      <c r="I5" s="16">
        <f t="shared" si="11"/>
        <v>19</v>
      </c>
      <c r="J5" s="36">
        <f>J4</f>
        <v>303517</v>
      </c>
      <c r="K5" s="16">
        <v>0</v>
      </c>
      <c r="L5" s="36">
        <v>25737</v>
      </c>
      <c r="M5" s="16">
        <f t="shared" si="12"/>
        <v>320</v>
      </c>
      <c r="N5" s="36">
        <v>219131</v>
      </c>
      <c r="O5" s="16">
        <f t="shared" si="13"/>
        <v>122</v>
      </c>
      <c r="P5" s="36">
        <v>136667</v>
      </c>
      <c r="Q5" s="16">
        <f t="shared" si="14"/>
        <v>168</v>
      </c>
      <c r="R5" s="1">
        <f t="shared" si="15"/>
        <v>55047</v>
      </c>
      <c r="S5" s="16">
        <f t="shared" si="16"/>
        <v>0</v>
      </c>
      <c r="T5" s="36">
        <v>3893</v>
      </c>
      <c r="U5" s="16">
        <f t="shared" si="17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8"/>
        <v>640</v>
      </c>
      <c r="D6" s="36">
        <v>40181</v>
      </c>
      <c r="E6" s="16">
        <f t="shared" si="9"/>
        <v>480</v>
      </c>
      <c r="F6" s="36">
        <v>21179</v>
      </c>
      <c r="G6" s="16">
        <f t="shared" si="10"/>
        <v>60</v>
      </c>
      <c r="H6" s="36">
        <v>253168</v>
      </c>
      <c r="I6" s="16">
        <f t="shared" si="11"/>
        <v>16</v>
      </c>
      <c r="J6" s="36">
        <v>303517</v>
      </c>
      <c r="K6" s="16">
        <v>0</v>
      </c>
      <c r="L6" s="36">
        <v>25740</v>
      </c>
      <c r="M6" s="16">
        <f t="shared" si="12"/>
        <v>480</v>
      </c>
      <c r="N6" s="36">
        <v>219261</v>
      </c>
      <c r="O6" s="16">
        <f t="shared" si="13"/>
        <v>130</v>
      </c>
      <c r="P6" s="36">
        <f t="shared" ref="P4:P33" si="18">P5</f>
        <v>136667</v>
      </c>
      <c r="Q6" s="16">
        <f t="shared" si="14"/>
        <v>0</v>
      </c>
      <c r="R6" s="1">
        <f t="shared" si="15"/>
        <v>55047</v>
      </c>
      <c r="S6" s="16">
        <v>0</v>
      </c>
      <c r="T6" s="36">
        <v>3894</v>
      </c>
      <c r="U6" s="16">
        <f t="shared" si="17"/>
        <v>160</v>
      </c>
    </row>
    <row r="7" spans="1:24" ht="13.5" thickBot="1" x14ac:dyDescent="0.25">
      <c r="A7" s="10">
        <v>44566</v>
      </c>
      <c r="B7" s="36">
        <f t="shared" ref="B4:B33" si="19">B6</f>
        <v>46438</v>
      </c>
      <c r="C7" s="16">
        <f t="shared" si="8"/>
        <v>0</v>
      </c>
      <c r="D7" s="36">
        <f t="shared" ref="D4:D33" si="20">D6</f>
        <v>40181</v>
      </c>
      <c r="E7" s="16">
        <f t="shared" si="9"/>
        <v>0</v>
      </c>
      <c r="F7" s="36">
        <f t="shared" ref="F4:F33" si="21">F6</f>
        <v>21179</v>
      </c>
      <c r="G7" s="16">
        <f t="shared" si="10"/>
        <v>0</v>
      </c>
      <c r="H7" s="36">
        <f t="shared" ref="H4:H33" si="22">H6</f>
        <v>253168</v>
      </c>
      <c r="I7" s="16">
        <f t="shared" si="11"/>
        <v>0</v>
      </c>
      <c r="J7" s="36">
        <f t="shared" ref="J4:J32" si="23">J6</f>
        <v>303517</v>
      </c>
      <c r="K7" s="16">
        <v>0</v>
      </c>
      <c r="L7" s="36">
        <f t="shared" ref="L4:L33" si="24">L6</f>
        <v>25740</v>
      </c>
      <c r="M7" s="16">
        <f t="shared" si="12"/>
        <v>0</v>
      </c>
      <c r="N7" s="36">
        <f t="shared" ref="N4:N33" si="25">N6</f>
        <v>219261</v>
      </c>
      <c r="O7" s="16">
        <f t="shared" si="13"/>
        <v>0</v>
      </c>
      <c r="P7" s="36">
        <f t="shared" si="18"/>
        <v>136667</v>
      </c>
      <c r="Q7" s="16">
        <v>0</v>
      </c>
      <c r="R7" s="1">
        <f t="shared" si="15"/>
        <v>55047</v>
      </c>
      <c r="S7" s="16">
        <v>0</v>
      </c>
      <c r="T7" s="36">
        <f t="shared" ref="T4:T33" si="26">T6</f>
        <v>3894</v>
      </c>
      <c r="U7" s="16">
        <f t="shared" si="17"/>
        <v>0</v>
      </c>
    </row>
    <row r="8" spans="1:24" ht="13.5" thickBot="1" x14ac:dyDescent="0.25">
      <c r="A8" s="10">
        <v>44567</v>
      </c>
      <c r="B8" s="36">
        <f t="shared" si="19"/>
        <v>46438</v>
      </c>
      <c r="C8" s="16">
        <f t="shared" si="8"/>
        <v>0</v>
      </c>
      <c r="D8" s="36">
        <f t="shared" si="20"/>
        <v>40181</v>
      </c>
      <c r="E8" s="16">
        <f t="shared" si="9"/>
        <v>0</v>
      </c>
      <c r="F8" s="36">
        <f t="shared" si="21"/>
        <v>21179</v>
      </c>
      <c r="G8" s="16">
        <f t="shared" si="10"/>
        <v>0</v>
      </c>
      <c r="H8" s="36">
        <f t="shared" si="22"/>
        <v>253168</v>
      </c>
      <c r="I8" s="16">
        <f t="shared" si="11"/>
        <v>0</v>
      </c>
      <c r="J8" s="36">
        <f t="shared" si="23"/>
        <v>303517</v>
      </c>
      <c r="K8" s="16">
        <v>0</v>
      </c>
      <c r="L8" s="36">
        <f t="shared" si="24"/>
        <v>25740</v>
      </c>
      <c r="M8" s="16">
        <f t="shared" si="12"/>
        <v>0</v>
      </c>
      <c r="N8" s="36">
        <f t="shared" si="25"/>
        <v>219261</v>
      </c>
      <c r="O8" s="16">
        <f t="shared" si="13"/>
        <v>0</v>
      </c>
      <c r="P8" s="36">
        <f t="shared" si="18"/>
        <v>136667</v>
      </c>
      <c r="Q8" s="16">
        <f t="shared" si="14"/>
        <v>0</v>
      </c>
      <c r="R8" s="1">
        <f t="shared" si="15"/>
        <v>55047</v>
      </c>
      <c r="S8" s="16">
        <f>R8-R7</f>
        <v>0</v>
      </c>
      <c r="T8" s="36">
        <f t="shared" si="26"/>
        <v>3894</v>
      </c>
      <c r="U8" s="16">
        <f t="shared" si="17"/>
        <v>0</v>
      </c>
    </row>
    <row r="9" spans="1:24" ht="13.5" thickBot="1" x14ac:dyDescent="0.25">
      <c r="A9" s="10">
        <v>44568</v>
      </c>
      <c r="B9" s="36">
        <f t="shared" si="19"/>
        <v>46438</v>
      </c>
      <c r="C9" s="16">
        <f t="shared" si="8"/>
        <v>0</v>
      </c>
      <c r="D9" s="36">
        <f t="shared" si="20"/>
        <v>40181</v>
      </c>
      <c r="E9" s="16">
        <f t="shared" si="9"/>
        <v>0</v>
      </c>
      <c r="F9" s="36">
        <f t="shared" si="21"/>
        <v>21179</v>
      </c>
      <c r="G9" s="16">
        <f t="shared" si="10"/>
        <v>0</v>
      </c>
      <c r="H9" s="36">
        <f t="shared" si="22"/>
        <v>253168</v>
      </c>
      <c r="I9" s="16">
        <f t="shared" si="11"/>
        <v>0</v>
      </c>
      <c r="J9" s="36">
        <f t="shared" si="23"/>
        <v>303517</v>
      </c>
      <c r="K9" s="16">
        <v>0</v>
      </c>
      <c r="L9" s="36">
        <f t="shared" si="24"/>
        <v>25740</v>
      </c>
      <c r="M9" s="16">
        <f t="shared" si="12"/>
        <v>0</v>
      </c>
      <c r="N9" s="36">
        <f t="shared" si="25"/>
        <v>219261</v>
      </c>
      <c r="O9" s="16">
        <f t="shared" si="13"/>
        <v>0</v>
      </c>
      <c r="P9" s="36">
        <f t="shared" si="18"/>
        <v>136667</v>
      </c>
      <c r="Q9" s="16">
        <f>P9-P8</f>
        <v>0</v>
      </c>
      <c r="R9" s="1">
        <f t="shared" si="15"/>
        <v>55047</v>
      </c>
      <c r="S9" s="16">
        <f>R9-R8</f>
        <v>0</v>
      </c>
      <c r="T9" s="36">
        <f t="shared" si="26"/>
        <v>3894</v>
      </c>
      <c r="U9" s="16">
        <f t="shared" si="17"/>
        <v>0</v>
      </c>
    </row>
    <row r="10" spans="1:24" ht="13.5" thickBot="1" x14ac:dyDescent="0.25">
      <c r="A10" s="10">
        <v>44569</v>
      </c>
      <c r="B10" s="36">
        <f t="shared" si="19"/>
        <v>46438</v>
      </c>
      <c r="C10" s="16">
        <f t="shared" si="8"/>
        <v>0</v>
      </c>
      <c r="D10" s="36">
        <f t="shared" si="20"/>
        <v>40181</v>
      </c>
      <c r="E10" s="16">
        <f t="shared" si="9"/>
        <v>0</v>
      </c>
      <c r="F10" s="36">
        <f t="shared" si="21"/>
        <v>21179</v>
      </c>
      <c r="G10" s="16">
        <f t="shared" si="10"/>
        <v>0</v>
      </c>
      <c r="H10" s="36">
        <f t="shared" si="22"/>
        <v>253168</v>
      </c>
      <c r="I10" s="16">
        <f t="shared" si="11"/>
        <v>0</v>
      </c>
      <c r="J10" s="36">
        <f t="shared" si="23"/>
        <v>303517</v>
      </c>
      <c r="K10" s="16">
        <v>0</v>
      </c>
      <c r="L10" s="36">
        <f t="shared" si="24"/>
        <v>25740</v>
      </c>
      <c r="M10" s="16">
        <f t="shared" si="12"/>
        <v>0</v>
      </c>
      <c r="N10" s="36">
        <f t="shared" si="25"/>
        <v>219261</v>
      </c>
      <c r="O10" s="16">
        <f t="shared" si="13"/>
        <v>0</v>
      </c>
      <c r="P10" s="36">
        <f t="shared" si="18"/>
        <v>136667</v>
      </c>
      <c r="Q10" s="16">
        <f>P10-P9</f>
        <v>0</v>
      </c>
      <c r="R10" s="1">
        <f t="shared" si="15"/>
        <v>55047</v>
      </c>
      <c r="S10" s="16">
        <f>R10-R9</f>
        <v>0</v>
      </c>
      <c r="T10" s="36">
        <f t="shared" si="26"/>
        <v>3894</v>
      </c>
      <c r="U10" s="16">
        <f t="shared" si="17"/>
        <v>0</v>
      </c>
    </row>
    <row r="11" spans="1:24" ht="13.5" thickBot="1" x14ac:dyDescent="0.25">
      <c r="A11" s="10">
        <v>44570</v>
      </c>
      <c r="B11" s="36">
        <f t="shared" si="19"/>
        <v>46438</v>
      </c>
      <c r="C11" s="16">
        <f t="shared" si="8"/>
        <v>0</v>
      </c>
      <c r="D11" s="36">
        <f t="shared" si="20"/>
        <v>40181</v>
      </c>
      <c r="E11" s="16">
        <f t="shared" si="9"/>
        <v>0</v>
      </c>
      <c r="F11" s="36">
        <f t="shared" si="21"/>
        <v>21179</v>
      </c>
      <c r="G11" s="16">
        <f t="shared" si="10"/>
        <v>0</v>
      </c>
      <c r="H11" s="36">
        <f t="shared" si="22"/>
        <v>253168</v>
      </c>
      <c r="I11" s="16">
        <f t="shared" si="11"/>
        <v>0</v>
      </c>
      <c r="J11" s="36">
        <f t="shared" si="23"/>
        <v>303517</v>
      </c>
      <c r="K11" s="16">
        <v>0</v>
      </c>
      <c r="L11" s="36">
        <f t="shared" si="24"/>
        <v>25740</v>
      </c>
      <c r="M11" s="16">
        <f t="shared" si="12"/>
        <v>0</v>
      </c>
      <c r="N11" s="36">
        <f t="shared" si="25"/>
        <v>219261</v>
      </c>
      <c r="O11" s="16">
        <f t="shared" si="13"/>
        <v>0</v>
      </c>
      <c r="P11" s="36">
        <f t="shared" si="18"/>
        <v>136667</v>
      </c>
      <c r="Q11" s="16">
        <f t="shared" si="14"/>
        <v>0</v>
      </c>
      <c r="R11" s="1">
        <f t="shared" si="15"/>
        <v>55047</v>
      </c>
      <c r="S11" s="16">
        <f t="shared" si="16"/>
        <v>0</v>
      </c>
      <c r="T11" s="36">
        <f t="shared" si="26"/>
        <v>3894</v>
      </c>
      <c r="U11" s="16">
        <f t="shared" si="17"/>
        <v>0</v>
      </c>
    </row>
    <row r="12" spans="1:24" ht="13.5" thickBot="1" x14ac:dyDescent="0.25">
      <c r="A12" s="10">
        <v>44571</v>
      </c>
      <c r="B12" s="36">
        <f t="shared" si="19"/>
        <v>46438</v>
      </c>
      <c r="C12" s="16">
        <f t="shared" si="8"/>
        <v>0</v>
      </c>
      <c r="D12" s="36">
        <f t="shared" si="20"/>
        <v>40181</v>
      </c>
      <c r="E12" s="16">
        <f t="shared" si="9"/>
        <v>0</v>
      </c>
      <c r="F12" s="36">
        <f t="shared" si="21"/>
        <v>21179</v>
      </c>
      <c r="G12" s="16">
        <f t="shared" si="10"/>
        <v>0</v>
      </c>
      <c r="H12" s="36">
        <f t="shared" si="22"/>
        <v>253168</v>
      </c>
      <c r="I12" s="16">
        <f t="shared" si="11"/>
        <v>0</v>
      </c>
      <c r="J12" s="36">
        <f t="shared" si="23"/>
        <v>303517</v>
      </c>
      <c r="K12" s="16">
        <v>0</v>
      </c>
      <c r="L12" s="36">
        <f t="shared" si="24"/>
        <v>25740</v>
      </c>
      <c r="M12" s="16">
        <f t="shared" si="12"/>
        <v>0</v>
      </c>
      <c r="N12" s="36">
        <f t="shared" si="25"/>
        <v>219261</v>
      </c>
      <c r="O12" s="16">
        <f t="shared" si="13"/>
        <v>0</v>
      </c>
      <c r="P12" s="36">
        <f t="shared" si="18"/>
        <v>136667</v>
      </c>
      <c r="Q12" s="16">
        <f t="shared" si="14"/>
        <v>0</v>
      </c>
      <c r="R12" s="1">
        <f t="shared" si="15"/>
        <v>55047</v>
      </c>
      <c r="S12" s="16">
        <f t="shared" si="16"/>
        <v>0</v>
      </c>
      <c r="T12" s="36">
        <f t="shared" si="26"/>
        <v>3894</v>
      </c>
      <c r="U12" s="16">
        <f t="shared" si="17"/>
        <v>0</v>
      </c>
    </row>
    <row r="13" spans="1:24" ht="13.5" thickBot="1" x14ac:dyDescent="0.25">
      <c r="A13" s="10">
        <v>44572</v>
      </c>
      <c r="B13" s="36">
        <f t="shared" si="19"/>
        <v>46438</v>
      </c>
      <c r="C13" s="16">
        <f t="shared" si="8"/>
        <v>0</v>
      </c>
      <c r="D13" s="36">
        <f t="shared" si="20"/>
        <v>40181</v>
      </c>
      <c r="E13" s="16">
        <f t="shared" si="9"/>
        <v>0</v>
      </c>
      <c r="F13" s="36">
        <f t="shared" si="21"/>
        <v>21179</v>
      </c>
      <c r="G13" s="16">
        <f t="shared" si="10"/>
        <v>0</v>
      </c>
      <c r="H13" s="36">
        <f t="shared" si="22"/>
        <v>253168</v>
      </c>
      <c r="I13" s="16">
        <f t="shared" si="11"/>
        <v>0</v>
      </c>
      <c r="J13" s="36">
        <f t="shared" si="23"/>
        <v>303517</v>
      </c>
      <c r="K13" s="16">
        <v>0</v>
      </c>
      <c r="L13" s="36">
        <f t="shared" si="24"/>
        <v>25740</v>
      </c>
      <c r="M13" s="16">
        <f t="shared" si="12"/>
        <v>0</v>
      </c>
      <c r="N13" s="36">
        <f t="shared" si="25"/>
        <v>219261</v>
      </c>
      <c r="O13" s="16">
        <f t="shared" si="13"/>
        <v>0</v>
      </c>
      <c r="P13" s="36">
        <f t="shared" si="18"/>
        <v>136667</v>
      </c>
      <c r="Q13" s="16">
        <f t="shared" si="14"/>
        <v>0</v>
      </c>
      <c r="R13" s="1">
        <f t="shared" si="15"/>
        <v>55047</v>
      </c>
      <c r="S13" s="16">
        <f t="shared" si="16"/>
        <v>0</v>
      </c>
      <c r="T13" s="36">
        <f t="shared" si="26"/>
        <v>3894</v>
      </c>
      <c r="U13" s="16">
        <f t="shared" si="17"/>
        <v>0</v>
      </c>
    </row>
    <row r="14" spans="1:24" ht="13.5" thickBot="1" x14ac:dyDescent="0.25">
      <c r="A14" s="10">
        <v>44573</v>
      </c>
      <c r="B14" s="36">
        <f t="shared" si="19"/>
        <v>46438</v>
      </c>
      <c r="C14" s="16">
        <f t="shared" si="8"/>
        <v>0</v>
      </c>
      <c r="D14" s="36">
        <f t="shared" si="20"/>
        <v>40181</v>
      </c>
      <c r="E14" s="16">
        <f t="shared" si="9"/>
        <v>0</v>
      </c>
      <c r="F14" s="36">
        <f t="shared" si="21"/>
        <v>21179</v>
      </c>
      <c r="G14" s="16">
        <f t="shared" si="10"/>
        <v>0</v>
      </c>
      <c r="H14" s="36">
        <f t="shared" si="22"/>
        <v>253168</v>
      </c>
      <c r="I14" s="16">
        <f t="shared" si="11"/>
        <v>0</v>
      </c>
      <c r="J14" s="36">
        <f t="shared" si="23"/>
        <v>303517</v>
      </c>
      <c r="K14" s="16">
        <v>0</v>
      </c>
      <c r="L14" s="36">
        <f t="shared" si="24"/>
        <v>25740</v>
      </c>
      <c r="M14" s="16">
        <f t="shared" si="12"/>
        <v>0</v>
      </c>
      <c r="N14" s="36">
        <f t="shared" si="25"/>
        <v>219261</v>
      </c>
      <c r="O14" s="16">
        <f t="shared" si="13"/>
        <v>0</v>
      </c>
      <c r="P14" s="36">
        <f t="shared" si="18"/>
        <v>136667</v>
      </c>
      <c r="Q14" s="16">
        <f t="shared" si="14"/>
        <v>0</v>
      </c>
      <c r="R14" s="1">
        <f t="shared" si="15"/>
        <v>55047</v>
      </c>
      <c r="S14" s="16">
        <v>0</v>
      </c>
      <c r="T14" s="36">
        <f t="shared" si="26"/>
        <v>3894</v>
      </c>
      <c r="U14" s="16">
        <f t="shared" si="17"/>
        <v>0</v>
      </c>
    </row>
    <row r="15" spans="1:24" ht="13.5" thickBot="1" x14ac:dyDescent="0.25">
      <c r="A15" s="10">
        <v>44574</v>
      </c>
      <c r="B15" s="36">
        <f t="shared" si="19"/>
        <v>46438</v>
      </c>
      <c r="C15" s="16">
        <f t="shared" si="8"/>
        <v>0</v>
      </c>
      <c r="D15" s="36">
        <f t="shared" si="20"/>
        <v>40181</v>
      </c>
      <c r="E15" s="16">
        <f t="shared" si="9"/>
        <v>0</v>
      </c>
      <c r="F15" s="36">
        <f t="shared" si="21"/>
        <v>21179</v>
      </c>
      <c r="G15" s="16">
        <f t="shared" ref="G15" si="27">(F15-F14)*100/5</f>
        <v>0</v>
      </c>
      <c r="H15" s="36">
        <f t="shared" si="22"/>
        <v>253168</v>
      </c>
      <c r="I15" s="16">
        <f t="shared" ref="I15" si="28">(H15-H14)</f>
        <v>0</v>
      </c>
      <c r="J15" s="36">
        <f t="shared" si="23"/>
        <v>303517</v>
      </c>
      <c r="K15" s="16">
        <v>0</v>
      </c>
      <c r="L15" s="36">
        <f t="shared" si="24"/>
        <v>25740</v>
      </c>
      <c r="M15" s="16">
        <f t="shared" ref="M15" si="29">(L15-L14)*800/5</f>
        <v>0</v>
      </c>
      <c r="N15" s="36">
        <f t="shared" si="25"/>
        <v>219261</v>
      </c>
      <c r="O15" s="16">
        <f t="shared" ref="O15" si="30">N15-N14</f>
        <v>0</v>
      </c>
      <c r="P15" s="36">
        <f t="shared" si="18"/>
        <v>136667</v>
      </c>
      <c r="Q15" s="16">
        <f t="shared" ref="Q15" si="31">P15-P14</f>
        <v>0</v>
      </c>
      <c r="R15" s="1">
        <f t="shared" si="15"/>
        <v>55047</v>
      </c>
      <c r="S15" s="16">
        <v>0</v>
      </c>
      <c r="T15" s="36">
        <f t="shared" si="26"/>
        <v>3894</v>
      </c>
      <c r="U15" s="16">
        <f t="shared" ref="U15" si="32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si="19"/>
        <v>46438</v>
      </c>
      <c r="C16" s="16">
        <f t="shared" si="8"/>
        <v>0</v>
      </c>
      <c r="D16" s="36">
        <f t="shared" si="20"/>
        <v>40181</v>
      </c>
      <c r="E16" s="16">
        <f t="shared" si="9"/>
        <v>0</v>
      </c>
      <c r="F16" s="36">
        <f t="shared" si="21"/>
        <v>21179</v>
      </c>
      <c r="G16" s="16">
        <f t="shared" si="10"/>
        <v>0</v>
      </c>
      <c r="H16" s="36">
        <f t="shared" si="22"/>
        <v>253168</v>
      </c>
      <c r="I16" s="16">
        <f t="shared" si="11"/>
        <v>0</v>
      </c>
      <c r="J16" s="36">
        <f t="shared" si="23"/>
        <v>303517</v>
      </c>
      <c r="K16" s="16">
        <v>0</v>
      </c>
      <c r="L16" s="36">
        <f t="shared" si="24"/>
        <v>25740</v>
      </c>
      <c r="M16" s="16">
        <f t="shared" si="12"/>
        <v>0</v>
      </c>
      <c r="N16" s="36">
        <f t="shared" si="25"/>
        <v>219261</v>
      </c>
      <c r="O16" s="16">
        <f t="shared" si="13"/>
        <v>0</v>
      </c>
      <c r="P16" s="36">
        <f t="shared" si="18"/>
        <v>136667</v>
      </c>
      <c r="Q16" s="16">
        <f t="shared" si="14"/>
        <v>0</v>
      </c>
      <c r="R16" s="1">
        <f t="shared" si="15"/>
        <v>55047</v>
      </c>
      <c r="S16" s="16">
        <f t="shared" si="16"/>
        <v>0</v>
      </c>
      <c r="T16" s="36">
        <f t="shared" si="26"/>
        <v>3894</v>
      </c>
      <c r="U16" s="16">
        <f t="shared" si="17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9"/>
        <v>46438</v>
      </c>
      <c r="C17" s="16">
        <f t="shared" si="8"/>
        <v>0</v>
      </c>
      <c r="D17" s="36">
        <f t="shared" si="20"/>
        <v>40181</v>
      </c>
      <c r="E17" s="16">
        <f t="shared" si="9"/>
        <v>0</v>
      </c>
      <c r="F17" s="36">
        <f t="shared" si="21"/>
        <v>21179</v>
      </c>
      <c r="G17" s="16">
        <f t="shared" si="10"/>
        <v>0</v>
      </c>
      <c r="H17" s="36">
        <f t="shared" si="22"/>
        <v>253168</v>
      </c>
      <c r="I17" s="16">
        <f t="shared" si="11"/>
        <v>0</v>
      </c>
      <c r="J17" s="36">
        <f t="shared" si="23"/>
        <v>303517</v>
      </c>
      <c r="K17" s="16">
        <v>0</v>
      </c>
      <c r="L17" s="36">
        <f t="shared" si="24"/>
        <v>25740</v>
      </c>
      <c r="M17" s="16">
        <f t="shared" si="12"/>
        <v>0</v>
      </c>
      <c r="N17" s="36">
        <f t="shared" si="25"/>
        <v>219261</v>
      </c>
      <c r="O17" s="16">
        <f t="shared" si="13"/>
        <v>0</v>
      </c>
      <c r="P17" s="36">
        <f t="shared" si="18"/>
        <v>136667</v>
      </c>
      <c r="Q17" s="16">
        <f t="shared" si="14"/>
        <v>0</v>
      </c>
      <c r="R17" s="1">
        <f t="shared" si="15"/>
        <v>55047</v>
      </c>
      <c r="S17" s="16">
        <f>S16</f>
        <v>0</v>
      </c>
      <c r="T17" s="36">
        <f t="shared" si="26"/>
        <v>3894</v>
      </c>
      <c r="U17" s="16">
        <f t="shared" si="17"/>
        <v>0</v>
      </c>
    </row>
    <row r="18" spans="1:23" ht="13.5" thickBot="1" x14ac:dyDescent="0.25">
      <c r="A18" s="10">
        <v>44577</v>
      </c>
      <c r="B18" s="36">
        <f t="shared" si="19"/>
        <v>46438</v>
      </c>
      <c r="C18" s="16">
        <f t="shared" si="8"/>
        <v>0</v>
      </c>
      <c r="D18" s="36">
        <f t="shared" si="20"/>
        <v>40181</v>
      </c>
      <c r="E18" s="16">
        <f t="shared" si="9"/>
        <v>0</v>
      </c>
      <c r="F18" s="36">
        <f t="shared" si="21"/>
        <v>21179</v>
      </c>
      <c r="G18" s="16">
        <f t="shared" si="10"/>
        <v>0</v>
      </c>
      <c r="H18" s="36">
        <f t="shared" si="22"/>
        <v>253168</v>
      </c>
      <c r="I18" s="16">
        <f t="shared" si="11"/>
        <v>0</v>
      </c>
      <c r="J18" s="36">
        <f t="shared" si="23"/>
        <v>303517</v>
      </c>
      <c r="K18" s="16">
        <v>0</v>
      </c>
      <c r="L18" s="36">
        <f t="shared" si="24"/>
        <v>25740</v>
      </c>
      <c r="M18" s="16">
        <f t="shared" si="12"/>
        <v>0</v>
      </c>
      <c r="N18" s="36">
        <f t="shared" si="25"/>
        <v>219261</v>
      </c>
      <c r="O18" s="16">
        <f t="shared" si="13"/>
        <v>0</v>
      </c>
      <c r="P18" s="36">
        <f t="shared" si="18"/>
        <v>136667</v>
      </c>
      <c r="Q18" s="16">
        <f t="shared" si="14"/>
        <v>0</v>
      </c>
      <c r="R18" s="1">
        <f t="shared" si="15"/>
        <v>55047</v>
      </c>
      <c r="S18" s="16">
        <f t="shared" si="16"/>
        <v>0</v>
      </c>
      <c r="T18" s="36">
        <f t="shared" si="26"/>
        <v>3894</v>
      </c>
      <c r="U18" s="16">
        <f t="shared" si="17"/>
        <v>0</v>
      </c>
    </row>
    <row r="19" spans="1:23" ht="13.5" thickBot="1" x14ac:dyDescent="0.25">
      <c r="A19" s="10">
        <v>44578</v>
      </c>
      <c r="B19" s="36">
        <f t="shared" si="19"/>
        <v>46438</v>
      </c>
      <c r="C19" s="16">
        <f t="shared" si="8"/>
        <v>0</v>
      </c>
      <c r="D19" s="36">
        <f t="shared" si="20"/>
        <v>40181</v>
      </c>
      <c r="E19" s="16">
        <f t="shared" si="9"/>
        <v>0</v>
      </c>
      <c r="F19" s="36">
        <f t="shared" si="21"/>
        <v>21179</v>
      </c>
      <c r="G19" s="16">
        <f t="shared" si="10"/>
        <v>0</v>
      </c>
      <c r="H19" s="36">
        <f t="shared" si="22"/>
        <v>253168</v>
      </c>
      <c r="I19" s="16">
        <f t="shared" si="11"/>
        <v>0</v>
      </c>
      <c r="J19" s="36">
        <f t="shared" si="23"/>
        <v>303517</v>
      </c>
      <c r="K19" s="16">
        <v>0</v>
      </c>
      <c r="L19" s="36">
        <f t="shared" si="24"/>
        <v>25740</v>
      </c>
      <c r="M19" s="16">
        <f t="shared" si="12"/>
        <v>0</v>
      </c>
      <c r="N19" s="36">
        <f t="shared" si="25"/>
        <v>219261</v>
      </c>
      <c r="O19" s="16">
        <f t="shared" si="13"/>
        <v>0</v>
      </c>
      <c r="P19" s="36">
        <f t="shared" si="18"/>
        <v>136667</v>
      </c>
      <c r="Q19" s="16">
        <f t="shared" si="14"/>
        <v>0</v>
      </c>
      <c r="R19" s="1">
        <f t="shared" si="15"/>
        <v>55047</v>
      </c>
      <c r="S19" s="16">
        <f t="shared" si="16"/>
        <v>0</v>
      </c>
      <c r="T19" s="36">
        <f t="shared" si="26"/>
        <v>3894</v>
      </c>
      <c r="U19" s="16">
        <f t="shared" si="17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9"/>
        <v>46438</v>
      </c>
      <c r="C20" s="16">
        <f t="shared" si="8"/>
        <v>0</v>
      </c>
      <c r="D20" s="36">
        <f t="shared" si="20"/>
        <v>40181</v>
      </c>
      <c r="E20" s="16">
        <f t="shared" si="9"/>
        <v>0</v>
      </c>
      <c r="F20" s="36">
        <f t="shared" si="21"/>
        <v>21179</v>
      </c>
      <c r="G20" s="16">
        <f t="shared" si="10"/>
        <v>0</v>
      </c>
      <c r="H20" s="36">
        <f t="shared" si="22"/>
        <v>253168</v>
      </c>
      <c r="I20" s="16">
        <f t="shared" si="11"/>
        <v>0</v>
      </c>
      <c r="J20" s="36">
        <f t="shared" si="23"/>
        <v>303517</v>
      </c>
      <c r="K20" s="16">
        <v>0</v>
      </c>
      <c r="L20" s="36">
        <f t="shared" si="24"/>
        <v>25740</v>
      </c>
      <c r="M20" s="16">
        <f t="shared" si="12"/>
        <v>0</v>
      </c>
      <c r="N20" s="36">
        <f t="shared" si="25"/>
        <v>219261</v>
      </c>
      <c r="O20" s="16">
        <f t="shared" si="13"/>
        <v>0</v>
      </c>
      <c r="P20" s="36">
        <f t="shared" si="18"/>
        <v>136667</v>
      </c>
      <c r="Q20" s="16">
        <f>P20-P19</f>
        <v>0</v>
      </c>
      <c r="R20" s="1">
        <f t="shared" si="15"/>
        <v>55047</v>
      </c>
      <c r="S20" s="16">
        <f t="shared" si="16"/>
        <v>0</v>
      </c>
      <c r="T20" s="36">
        <f t="shared" si="26"/>
        <v>3894</v>
      </c>
      <c r="U20" s="16">
        <f t="shared" si="17"/>
        <v>0</v>
      </c>
    </row>
    <row r="21" spans="1:23" ht="13.5" thickBot="1" x14ac:dyDescent="0.25">
      <c r="A21" s="10">
        <v>44580</v>
      </c>
      <c r="B21" s="36">
        <f t="shared" si="19"/>
        <v>46438</v>
      </c>
      <c r="C21" s="16">
        <f t="shared" si="8"/>
        <v>0</v>
      </c>
      <c r="D21" s="36">
        <f t="shared" si="20"/>
        <v>40181</v>
      </c>
      <c r="E21" s="16">
        <f t="shared" si="9"/>
        <v>0</v>
      </c>
      <c r="F21" s="36">
        <f t="shared" si="21"/>
        <v>21179</v>
      </c>
      <c r="G21" s="16">
        <f t="shared" si="10"/>
        <v>0</v>
      </c>
      <c r="H21" s="36">
        <f t="shared" si="22"/>
        <v>253168</v>
      </c>
      <c r="I21" s="16">
        <f t="shared" si="11"/>
        <v>0</v>
      </c>
      <c r="J21" s="36">
        <f t="shared" si="23"/>
        <v>303517</v>
      </c>
      <c r="K21" s="16">
        <v>0</v>
      </c>
      <c r="L21" s="36">
        <f t="shared" si="24"/>
        <v>25740</v>
      </c>
      <c r="M21" s="16">
        <f t="shared" si="12"/>
        <v>0</v>
      </c>
      <c r="N21" s="36">
        <f t="shared" si="25"/>
        <v>219261</v>
      </c>
      <c r="O21" s="16">
        <f t="shared" si="13"/>
        <v>0</v>
      </c>
      <c r="P21" s="36">
        <f t="shared" si="18"/>
        <v>136667</v>
      </c>
      <c r="Q21" s="16">
        <f t="shared" si="14"/>
        <v>0</v>
      </c>
      <c r="R21" s="1">
        <f t="shared" si="15"/>
        <v>55047</v>
      </c>
      <c r="S21" s="16">
        <f t="shared" si="16"/>
        <v>0</v>
      </c>
      <c r="T21" s="36">
        <f t="shared" si="26"/>
        <v>3894</v>
      </c>
      <c r="U21" s="16">
        <f t="shared" si="17"/>
        <v>0</v>
      </c>
    </row>
    <row r="22" spans="1:23" ht="13.5" thickBot="1" x14ac:dyDescent="0.25">
      <c r="A22" s="10">
        <v>44581</v>
      </c>
      <c r="B22" s="36">
        <f t="shared" si="19"/>
        <v>46438</v>
      </c>
      <c r="C22" s="16">
        <f t="shared" si="8"/>
        <v>0</v>
      </c>
      <c r="D22" s="36">
        <f t="shared" si="20"/>
        <v>40181</v>
      </c>
      <c r="E22" s="16">
        <f t="shared" si="9"/>
        <v>0</v>
      </c>
      <c r="F22" s="36">
        <f t="shared" si="21"/>
        <v>21179</v>
      </c>
      <c r="G22" s="16">
        <f t="shared" si="10"/>
        <v>0</v>
      </c>
      <c r="H22" s="36">
        <f t="shared" si="22"/>
        <v>253168</v>
      </c>
      <c r="I22" s="16">
        <f t="shared" si="11"/>
        <v>0</v>
      </c>
      <c r="J22" s="36">
        <f t="shared" si="23"/>
        <v>303517</v>
      </c>
      <c r="K22" s="16">
        <v>0</v>
      </c>
      <c r="L22" s="36">
        <f t="shared" si="24"/>
        <v>25740</v>
      </c>
      <c r="M22" s="16">
        <f t="shared" si="12"/>
        <v>0</v>
      </c>
      <c r="N22" s="36">
        <f t="shared" si="25"/>
        <v>219261</v>
      </c>
      <c r="O22" s="16">
        <f t="shared" si="13"/>
        <v>0</v>
      </c>
      <c r="P22" s="36">
        <f t="shared" si="18"/>
        <v>136667</v>
      </c>
      <c r="Q22" s="16">
        <f>P22-P21</f>
        <v>0</v>
      </c>
      <c r="R22" s="1">
        <f t="shared" si="15"/>
        <v>55047</v>
      </c>
      <c r="S22" s="16">
        <f t="shared" si="16"/>
        <v>0</v>
      </c>
      <c r="T22" s="36">
        <f t="shared" si="26"/>
        <v>3894</v>
      </c>
      <c r="U22" s="16">
        <f t="shared" si="17"/>
        <v>0</v>
      </c>
    </row>
    <row r="23" spans="1:23" ht="13.5" thickBot="1" x14ac:dyDescent="0.25">
      <c r="A23" s="10">
        <v>44582</v>
      </c>
      <c r="B23" s="36">
        <f t="shared" si="19"/>
        <v>46438</v>
      </c>
      <c r="C23" s="16">
        <f t="shared" si="8"/>
        <v>0</v>
      </c>
      <c r="D23" s="36">
        <f t="shared" si="20"/>
        <v>40181</v>
      </c>
      <c r="E23" s="16">
        <f t="shared" si="9"/>
        <v>0</v>
      </c>
      <c r="F23" s="36">
        <f t="shared" si="21"/>
        <v>21179</v>
      </c>
      <c r="G23" s="16">
        <f t="shared" si="10"/>
        <v>0</v>
      </c>
      <c r="H23" s="36">
        <f t="shared" si="22"/>
        <v>253168</v>
      </c>
      <c r="I23" s="16">
        <f t="shared" si="11"/>
        <v>0</v>
      </c>
      <c r="J23" s="36">
        <f t="shared" si="23"/>
        <v>303517</v>
      </c>
      <c r="K23" s="16">
        <v>0</v>
      </c>
      <c r="L23" s="36">
        <f t="shared" si="24"/>
        <v>25740</v>
      </c>
      <c r="M23" s="16">
        <f t="shared" si="12"/>
        <v>0</v>
      </c>
      <c r="N23" s="36">
        <f t="shared" si="25"/>
        <v>219261</v>
      </c>
      <c r="O23" s="16">
        <f t="shared" si="13"/>
        <v>0</v>
      </c>
      <c r="P23" s="36">
        <f t="shared" si="18"/>
        <v>136667</v>
      </c>
      <c r="Q23" s="16">
        <f t="shared" si="14"/>
        <v>0</v>
      </c>
      <c r="R23" s="1">
        <f t="shared" si="15"/>
        <v>55047</v>
      </c>
      <c r="S23" s="16">
        <f t="shared" si="16"/>
        <v>0</v>
      </c>
      <c r="T23" s="36">
        <f t="shared" si="26"/>
        <v>3894</v>
      </c>
      <c r="U23" s="16">
        <f t="shared" si="17"/>
        <v>0</v>
      </c>
    </row>
    <row r="24" spans="1:23" s="136" customFormat="1" ht="13.5" thickBot="1" x14ac:dyDescent="0.25">
      <c r="A24" s="10">
        <v>44583</v>
      </c>
      <c r="B24" s="36">
        <f t="shared" si="19"/>
        <v>46438</v>
      </c>
      <c r="C24" s="16">
        <f t="shared" si="8"/>
        <v>0</v>
      </c>
      <c r="D24" s="36">
        <f t="shared" si="20"/>
        <v>40181</v>
      </c>
      <c r="E24" s="16">
        <f t="shared" si="9"/>
        <v>0</v>
      </c>
      <c r="F24" s="36">
        <f t="shared" si="21"/>
        <v>21179</v>
      </c>
      <c r="G24" s="16">
        <f t="shared" si="10"/>
        <v>0</v>
      </c>
      <c r="H24" s="36">
        <f t="shared" si="22"/>
        <v>253168</v>
      </c>
      <c r="I24" s="16">
        <f t="shared" si="11"/>
        <v>0</v>
      </c>
      <c r="J24" s="36">
        <f t="shared" si="23"/>
        <v>303517</v>
      </c>
      <c r="K24" s="16">
        <v>0</v>
      </c>
      <c r="L24" s="36">
        <f t="shared" si="24"/>
        <v>25740</v>
      </c>
      <c r="M24" s="16">
        <f t="shared" si="12"/>
        <v>0</v>
      </c>
      <c r="N24" s="36">
        <f t="shared" si="25"/>
        <v>219261</v>
      </c>
      <c r="O24" s="16">
        <f t="shared" si="13"/>
        <v>0</v>
      </c>
      <c r="P24" s="36">
        <f t="shared" si="18"/>
        <v>136667</v>
      </c>
      <c r="Q24" s="16">
        <f t="shared" si="14"/>
        <v>0</v>
      </c>
      <c r="R24" s="1">
        <f t="shared" si="15"/>
        <v>55047</v>
      </c>
      <c r="S24" s="16">
        <f t="shared" si="16"/>
        <v>0</v>
      </c>
      <c r="T24" s="36">
        <f t="shared" si="26"/>
        <v>3894</v>
      </c>
      <c r="U24" s="16">
        <f t="shared" si="17"/>
        <v>0</v>
      </c>
    </row>
    <row r="25" spans="1:23" ht="13.5" thickBot="1" x14ac:dyDescent="0.25">
      <c r="A25" s="10">
        <v>44584</v>
      </c>
      <c r="B25" s="36">
        <f t="shared" si="19"/>
        <v>46438</v>
      </c>
      <c r="C25" s="16">
        <f t="shared" si="8"/>
        <v>0</v>
      </c>
      <c r="D25" s="36">
        <f t="shared" si="20"/>
        <v>40181</v>
      </c>
      <c r="E25" s="16">
        <f t="shared" si="9"/>
        <v>0</v>
      </c>
      <c r="F25" s="36">
        <f t="shared" si="21"/>
        <v>21179</v>
      </c>
      <c r="G25" s="16">
        <f t="shared" si="10"/>
        <v>0</v>
      </c>
      <c r="H25" s="36">
        <f t="shared" si="22"/>
        <v>253168</v>
      </c>
      <c r="I25" s="16">
        <f t="shared" si="11"/>
        <v>0</v>
      </c>
      <c r="J25" s="36">
        <f t="shared" si="23"/>
        <v>303517</v>
      </c>
      <c r="K25" s="16">
        <v>0</v>
      </c>
      <c r="L25" s="36">
        <f t="shared" si="24"/>
        <v>25740</v>
      </c>
      <c r="M25" s="16">
        <f t="shared" si="12"/>
        <v>0</v>
      </c>
      <c r="N25" s="36">
        <f t="shared" si="25"/>
        <v>219261</v>
      </c>
      <c r="O25" s="16">
        <f t="shared" si="13"/>
        <v>0</v>
      </c>
      <c r="P25" s="36">
        <f t="shared" si="18"/>
        <v>136667</v>
      </c>
      <c r="Q25" s="16">
        <f t="shared" si="14"/>
        <v>0</v>
      </c>
      <c r="R25" s="1">
        <f t="shared" si="15"/>
        <v>55047</v>
      </c>
      <c r="S25" s="16">
        <f t="shared" si="16"/>
        <v>0</v>
      </c>
      <c r="T25" s="36">
        <f t="shared" si="26"/>
        <v>3894</v>
      </c>
      <c r="U25" s="16">
        <f t="shared" si="17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46438</v>
      </c>
      <c r="C26" s="16">
        <f t="shared" si="8"/>
        <v>0</v>
      </c>
      <c r="D26" s="36">
        <f t="shared" si="20"/>
        <v>40181</v>
      </c>
      <c r="E26" s="16">
        <f t="shared" si="9"/>
        <v>0</v>
      </c>
      <c r="F26" s="36">
        <f t="shared" si="21"/>
        <v>21179</v>
      </c>
      <c r="G26" s="16">
        <f t="shared" si="10"/>
        <v>0</v>
      </c>
      <c r="H26" s="36">
        <f t="shared" si="22"/>
        <v>253168</v>
      </c>
      <c r="I26" s="16">
        <f t="shared" si="11"/>
        <v>0</v>
      </c>
      <c r="J26" s="36">
        <f t="shared" si="23"/>
        <v>303517</v>
      </c>
      <c r="K26" s="16">
        <v>0</v>
      </c>
      <c r="L26" s="36">
        <f t="shared" si="24"/>
        <v>25740</v>
      </c>
      <c r="M26" s="16">
        <f t="shared" si="12"/>
        <v>0</v>
      </c>
      <c r="N26" s="36">
        <f t="shared" si="25"/>
        <v>219261</v>
      </c>
      <c r="O26" s="16">
        <f t="shared" si="13"/>
        <v>0</v>
      </c>
      <c r="P26" s="36">
        <f t="shared" si="18"/>
        <v>136667</v>
      </c>
      <c r="Q26" s="16">
        <f t="shared" si="14"/>
        <v>0</v>
      </c>
      <c r="R26" s="1">
        <f t="shared" si="15"/>
        <v>55047</v>
      </c>
      <c r="S26" s="16">
        <f t="shared" si="16"/>
        <v>0</v>
      </c>
      <c r="T26" s="36">
        <f t="shared" si="26"/>
        <v>3894</v>
      </c>
      <c r="U26" s="16">
        <f t="shared" si="17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46438</v>
      </c>
      <c r="C27" s="16">
        <f t="shared" si="8"/>
        <v>0</v>
      </c>
      <c r="D27" s="36">
        <f t="shared" si="20"/>
        <v>40181</v>
      </c>
      <c r="E27" s="16">
        <f t="shared" si="9"/>
        <v>0</v>
      </c>
      <c r="F27" s="36">
        <f t="shared" si="21"/>
        <v>21179</v>
      </c>
      <c r="G27" s="16">
        <f t="shared" si="10"/>
        <v>0</v>
      </c>
      <c r="H27" s="36">
        <f t="shared" si="22"/>
        <v>253168</v>
      </c>
      <c r="I27" s="16">
        <f t="shared" si="11"/>
        <v>0</v>
      </c>
      <c r="J27" s="36">
        <f t="shared" si="23"/>
        <v>303517</v>
      </c>
      <c r="K27" s="16">
        <v>0</v>
      </c>
      <c r="L27" s="36">
        <f t="shared" si="24"/>
        <v>25740</v>
      </c>
      <c r="M27" s="16">
        <f t="shared" si="12"/>
        <v>0</v>
      </c>
      <c r="N27" s="36">
        <f t="shared" si="25"/>
        <v>219261</v>
      </c>
      <c r="O27" s="16">
        <f t="shared" si="13"/>
        <v>0</v>
      </c>
      <c r="P27" s="36">
        <f t="shared" si="18"/>
        <v>136667</v>
      </c>
      <c r="Q27" s="16">
        <f t="shared" si="14"/>
        <v>0</v>
      </c>
      <c r="R27" s="1">
        <f t="shared" si="15"/>
        <v>55047</v>
      </c>
      <c r="S27" s="16">
        <f t="shared" si="16"/>
        <v>0</v>
      </c>
      <c r="T27" s="36">
        <f t="shared" si="26"/>
        <v>3894</v>
      </c>
      <c r="U27" s="16">
        <f t="shared" si="17"/>
        <v>0</v>
      </c>
    </row>
    <row r="28" spans="1:23" ht="13.5" thickBot="1" x14ac:dyDescent="0.25">
      <c r="A28" s="10">
        <v>44587</v>
      </c>
      <c r="B28" s="36">
        <f t="shared" si="19"/>
        <v>46438</v>
      </c>
      <c r="C28" s="16">
        <f t="shared" si="8"/>
        <v>0</v>
      </c>
      <c r="D28" s="36">
        <f t="shared" si="20"/>
        <v>40181</v>
      </c>
      <c r="E28" s="16">
        <f t="shared" si="9"/>
        <v>0</v>
      </c>
      <c r="F28" s="36">
        <f t="shared" si="21"/>
        <v>21179</v>
      </c>
      <c r="G28" s="16">
        <f t="shared" si="10"/>
        <v>0</v>
      </c>
      <c r="H28" s="36">
        <f t="shared" si="22"/>
        <v>253168</v>
      </c>
      <c r="I28" s="16">
        <f t="shared" si="11"/>
        <v>0</v>
      </c>
      <c r="J28" s="36">
        <f t="shared" si="23"/>
        <v>303517</v>
      </c>
      <c r="K28" s="16">
        <v>0</v>
      </c>
      <c r="L28" s="36">
        <f t="shared" si="24"/>
        <v>25740</v>
      </c>
      <c r="M28" s="16">
        <f t="shared" si="12"/>
        <v>0</v>
      </c>
      <c r="N28" s="36">
        <f t="shared" si="25"/>
        <v>219261</v>
      </c>
      <c r="O28" s="16">
        <f t="shared" si="13"/>
        <v>0</v>
      </c>
      <c r="P28" s="36">
        <f t="shared" si="18"/>
        <v>136667</v>
      </c>
      <c r="Q28" s="17">
        <f t="shared" si="14"/>
        <v>0</v>
      </c>
      <c r="R28" s="1">
        <f t="shared" si="15"/>
        <v>55047</v>
      </c>
      <c r="S28" s="17">
        <f t="shared" si="16"/>
        <v>0</v>
      </c>
      <c r="T28" s="36">
        <f t="shared" si="26"/>
        <v>3894</v>
      </c>
      <c r="U28" s="16">
        <f t="shared" si="17"/>
        <v>0</v>
      </c>
    </row>
    <row r="29" spans="1:23" ht="13.5" thickBot="1" x14ac:dyDescent="0.25">
      <c r="A29" s="10">
        <v>44588</v>
      </c>
      <c r="B29" s="36">
        <f t="shared" si="19"/>
        <v>46438</v>
      </c>
      <c r="C29" s="16">
        <f t="shared" si="8"/>
        <v>0</v>
      </c>
      <c r="D29" s="36">
        <f t="shared" si="20"/>
        <v>40181</v>
      </c>
      <c r="E29" s="16">
        <f t="shared" si="9"/>
        <v>0</v>
      </c>
      <c r="F29" s="36">
        <f t="shared" si="21"/>
        <v>21179</v>
      </c>
      <c r="G29" s="16">
        <f t="shared" si="10"/>
        <v>0</v>
      </c>
      <c r="H29" s="36">
        <f t="shared" si="22"/>
        <v>253168</v>
      </c>
      <c r="I29" s="16">
        <f t="shared" si="11"/>
        <v>0</v>
      </c>
      <c r="J29" s="36">
        <f t="shared" si="23"/>
        <v>303517</v>
      </c>
      <c r="K29" s="16">
        <v>0</v>
      </c>
      <c r="L29" s="36">
        <f t="shared" si="24"/>
        <v>25740</v>
      </c>
      <c r="M29" s="16">
        <f t="shared" si="12"/>
        <v>0</v>
      </c>
      <c r="N29" s="36">
        <f t="shared" si="25"/>
        <v>219261</v>
      </c>
      <c r="O29" s="16">
        <f t="shared" si="13"/>
        <v>0</v>
      </c>
      <c r="P29" s="36">
        <f t="shared" si="18"/>
        <v>136667</v>
      </c>
      <c r="Q29" s="16">
        <f t="shared" si="14"/>
        <v>0</v>
      </c>
      <c r="R29" s="1">
        <f t="shared" si="15"/>
        <v>55047</v>
      </c>
      <c r="S29" s="16">
        <f t="shared" si="16"/>
        <v>0</v>
      </c>
      <c r="T29" s="36">
        <f t="shared" si="26"/>
        <v>3894</v>
      </c>
      <c r="U29" s="16">
        <f t="shared" si="17"/>
        <v>0</v>
      </c>
    </row>
    <row r="30" spans="1:23" ht="13.5" thickBot="1" x14ac:dyDescent="0.25">
      <c r="A30" s="10">
        <v>44589</v>
      </c>
      <c r="B30" s="36">
        <f t="shared" si="19"/>
        <v>46438</v>
      </c>
      <c r="C30" s="16">
        <f t="shared" si="8"/>
        <v>0</v>
      </c>
      <c r="D30" s="36">
        <f t="shared" si="20"/>
        <v>40181</v>
      </c>
      <c r="E30" s="16">
        <f t="shared" si="9"/>
        <v>0</v>
      </c>
      <c r="F30" s="36">
        <f t="shared" si="21"/>
        <v>21179</v>
      </c>
      <c r="G30" s="16">
        <f t="shared" si="10"/>
        <v>0</v>
      </c>
      <c r="H30" s="36">
        <f t="shared" si="22"/>
        <v>253168</v>
      </c>
      <c r="I30" s="16">
        <f t="shared" si="11"/>
        <v>0</v>
      </c>
      <c r="J30" s="36">
        <f t="shared" si="23"/>
        <v>303517</v>
      </c>
      <c r="K30" s="16">
        <v>0</v>
      </c>
      <c r="L30" s="36">
        <f t="shared" si="24"/>
        <v>25740</v>
      </c>
      <c r="M30" s="16">
        <f t="shared" si="12"/>
        <v>0</v>
      </c>
      <c r="N30" s="36">
        <f t="shared" si="25"/>
        <v>219261</v>
      </c>
      <c r="O30" s="16">
        <f t="shared" si="13"/>
        <v>0</v>
      </c>
      <c r="P30" s="36">
        <f t="shared" si="18"/>
        <v>136667</v>
      </c>
      <c r="Q30" s="16">
        <f t="shared" si="14"/>
        <v>0</v>
      </c>
      <c r="R30" s="1">
        <f t="shared" si="15"/>
        <v>55047</v>
      </c>
      <c r="S30" s="16">
        <f t="shared" si="16"/>
        <v>0</v>
      </c>
      <c r="T30" s="36">
        <f t="shared" si="26"/>
        <v>3894</v>
      </c>
      <c r="U30" s="16">
        <f t="shared" si="17"/>
        <v>0</v>
      </c>
    </row>
    <row r="31" spans="1:23" ht="13.5" thickBot="1" x14ac:dyDescent="0.25">
      <c r="A31" s="10">
        <v>44590</v>
      </c>
      <c r="B31" s="36">
        <f t="shared" si="19"/>
        <v>46438</v>
      </c>
      <c r="C31" s="16">
        <f t="shared" si="8"/>
        <v>0</v>
      </c>
      <c r="D31" s="36">
        <f t="shared" si="20"/>
        <v>40181</v>
      </c>
      <c r="E31" s="16">
        <f t="shared" si="9"/>
        <v>0</v>
      </c>
      <c r="F31" s="36">
        <f t="shared" si="21"/>
        <v>21179</v>
      </c>
      <c r="G31" s="16">
        <f t="shared" si="10"/>
        <v>0</v>
      </c>
      <c r="H31" s="36">
        <f t="shared" si="22"/>
        <v>253168</v>
      </c>
      <c r="I31" s="16">
        <f t="shared" si="11"/>
        <v>0</v>
      </c>
      <c r="J31" s="36">
        <f t="shared" si="23"/>
        <v>303517</v>
      </c>
      <c r="K31" s="16">
        <v>0</v>
      </c>
      <c r="L31" s="36">
        <f t="shared" si="24"/>
        <v>25740</v>
      </c>
      <c r="M31" s="16">
        <f t="shared" si="12"/>
        <v>0</v>
      </c>
      <c r="N31" s="36">
        <f t="shared" si="25"/>
        <v>219261</v>
      </c>
      <c r="O31" s="16">
        <f t="shared" si="13"/>
        <v>0</v>
      </c>
      <c r="P31" s="36">
        <f t="shared" si="18"/>
        <v>136667</v>
      </c>
      <c r="Q31" s="16">
        <f t="shared" si="14"/>
        <v>0</v>
      </c>
      <c r="R31" s="1">
        <f t="shared" si="15"/>
        <v>55047</v>
      </c>
      <c r="S31" s="16">
        <f t="shared" si="16"/>
        <v>0</v>
      </c>
      <c r="T31" s="36">
        <f t="shared" si="26"/>
        <v>3894</v>
      </c>
      <c r="U31" s="16">
        <f t="shared" si="17"/>
        <v>0</v>
      </c>
    </row>
    <row r="32" spans="1:23" ht="15" customHeight="1" thickBot="1" x14ac:dyDescent="0.25">
      <c r="A32" s="10">
        <v>44591</v>
      </c>
      <c r="B32" s="36">
        <f t="shared" si="19"/>
        <v>46438</v>
      </c>
      <c r="C32" s="16">
        <f t="shared" si="8"/>
        <v>0</v>
      </c>
      <c r="D32" s="36">
        <f t="shared" si="20"/>
        <v>40181</v>
      </c>
      <c r="E32" s="16">
        <f t="shared" si="9"/>
        <v>0</v>
      </c>
      <c r="F32" s="36">
        <f t="shared" si="21"/>
        <v>21179</v>
      </c>
      <c r="G32" s="16">
        <f t="shared" si="10"/>
        <v>0</v>
      </c>
      <c r="H32" s="36">
        <f t="shared" si="22"/>
        <v>253168</v>
      </c>
      <c r="I32" s="16">
        <f t="shared" si="11"/>
        <v>0</v>
      </c>
      <c r="J32" s="36">
        <f t="shared" si="23"/>
        <v>303517</v>
      </c>
      <c r="K32" s="16">
        <v>0</v>
      </c>
      <c r="L32" s="36">
        <f t="shared" si="24"/>
        <v>25740</v>
      </c>
      <c r="M32" s="16">
        <f t="shared" si="12"/>
        <v>0</v>
      </c>
      <c r="N32" s="36">
        <f t="shared" si="25"/>
        <v>219261</v>
      </c>
      <c r="O32" s="16">
        <f t="shared" si="13"/>
        <v>0</v>
      </c>
      <c r="P32" s="36">
        <f t="shared" si="18"/>
        <v>136667</v>
      </c>
      <c r="Q32" s="16">
        <f t="shared" si="14"/>
        <v>0</v>
      </c>
      <c r="R32" s="1">
        <f t="shared" si="15"/>
        <v>55047</v>
      </c>
      <c r="S32" s="16">
        <v>0</v>
      </c>
      <c r="T32" s="36">
        <f t="shared" si="26"/>
        <v>3894</v>
      </c>
      <c r="U32" s="16">
        <f t="shared" si="17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46438</v>
      </c>
      <c r="C33" s="16">
        <f t="shared" si="8"/>
        <v>0</v>
      </c>
      <c r="D33" s="36">
        <f t="shared" si="20"/>
        <v>40181</v>
      </c>
      <c r="E33" s="16">
        <f t="shared" si="9"/>
        <v>0</v>
      </c>
      <c r="F33" s="36">
        <f t="shared" si="21"/>
        <v>21179</v>
      </c>
      <c r="G33" s="16">
        <f t="shared" si="10"/>
        <v>0</v>
      </c>
      <c r="H33" s="36">
        <f t="shared" si="22"/>
        <v>253168</v>
      </c>
      <c r="I33" s="16">
        <f t="shared" si="11"/>
        <v>0</v>
      </c>
      <c r="J33" s="36">
        <v>303517</v>
      </c>
      <c r="K33" s="16">
        <v>0</v>
      </c>
      <c r="L33" s="36">
        <f t="shared" si="24"/>
        <v>25740</v>
      </c>
      <c r="M33" s="16">
        <f t="shared" si="12"/>
        <v>0</v>
      </c>
      <c r="N33" s="36">
        <f t="shared" si="25"/>
        <v>219261</v>
      </c>
      <c r="O33" s="16">
        <f t="shared" si="13"/>
        <v>0</v>
      </c>
      <c r="P33" s="36">
        <f t="shared" si="18"/>
        <v>136667</v>
      </c>
      <c r="Q33" s="16">
        <f t="shared" si="14"/>
        <v>0</v>
      </c>
      <c r="R33" s="1">
        <f t="shared" si="15"/>
        <v>55047</v>
      </c>
      <c r="S33" s="16">
        <v>0</v>
      </c>
      <c r="T33" s="36">
        <f t="shared" si="26"/>
        <v>3894</v>
      </c>
      <c r="U33" s="16">
        <f t="shared" si="17"/>
        <v>0</v>
      </c>
    </row>
    <row r="34" spans="1:21" ht="16.5" thickBot="1" x14ac:dyDescent="0.3">
      <c r="A34" s="10" t="s">
        <v>23</v>
      </c>
      <c r="B34" s="1"/>
      <c r="C34" s="11">
        <f>SUM(C4:C33)</f>
        <v>2240</v>
      </c>
      <c r="D34" s="13"/>
      <c r="E34" s="11">
        <f>SUM(E4:E33)</f>
        <v>1600</v>
      </c>
      <c r="F34" s="13"/>
      <c r="G34" s="11">
        <f>SUM(G4:G33)</f>
        <v>220</v>
      </c>
      <c r="H34" s="13"/>
      <c r="I34" s="11">
        <f>SUM(I4:I33)</f>
        <v>52</v>
      </c>
      <c r="J34" s="13"/>
      <c r="K34" s="11">
        <f>SUM(K4:K33)</f>
        <v>0</v>
      </c>
      <c r="L34" s="13"/>
      <c r="M34" s="11">
        <f>SUM(M4:M33)</f>
        <v>1600</v>
      </c>
      <c r="N34" s="37"/>
      <c r="O34" s="11">
        <f>SUM(O4:O33)</f>
        <v>371</v>
      </c>
      <c r="P34" s="13"/>
      <c r="Q34" s="11">
        <f>SUM(Q4:Q33)</f>
        <v>285</v>
      </c>
      <c r="R34" s="1"/>
      <c r="S34" s="11">
        <f>SUM(S4:S33)</f>
        <v>0</v>
      </c>
      <c r="T34" s="1"/>
      <c r="U34" s="11">
        <f>SUM(U4:U33)</f>
        <v>640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opLeftCell="M1" zoomScaleNormal="100" zoomScaleSheetLayoutView="110" workbookViewId="0">
      <pane ySplit="1" topLeftCell="A2" activePane="bottomLeft" state="frozen"/>
      <selection pane="bottomLeft" activeCell="AD6" sqref="AD6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 t="e">
        <f t="shared" ref="D2" si="0">IF((C2-C1)&lt;0,"0",(C2-C1))*160</f>
        <v>#VALUE!</v>
      </c>
      <c r="E2" s="151">
        <v>29394326</v>
      </c>
      <c r="F2" s="43" t="e">
        <f t="shared" ref="F2" si="1">IF((E2-E1)&lt;0,"0",(E2-E1))</f>
        <v>#VALUE!</v>
      </c>
      <c r="G2" s="152">
        <v>93376522</v>
      </c>
      <c r="H2" s="43" t="e">
        <f t="shared" ref="H2" si="2">IF((G2-G1)&lt;0,"0",(G2-G1))</f>
        <v>#VALUE!</v>
      </c>
      <c r="I2" s="21" t="e">
        <f>F2+H2</f>
        <v>#VALUE!</v>
      </c>
      <c r="J2" s="151">
        <v>9244110</v>
      </c>
      <c r="K2" s="43" t="e">
        <f t="shared" ref="K2" si="3">(IF((J2-J1)&lt;0,"0",(J2-J1)))*2</f>
        <v>#VALUE!</v>
      </c>
      <c r="L2" s="154">
        <v>9241929</v>
      </c>
      <c r="M2" s="43" t="e">
        <f t="shared" ref="M2" si="4">IF((L2-L1)&lt;0,"0",(L2-L1))</f>
        <v>#VALUE!</v>
      </c>
      <c r="N2" s="151">
        <v>6233074</v>
      </c>
      <c r="O2" s="43" t="e">
        <f t="shared" ref="O2" si="5">(IF((N2-N1)&lt;0,"0",(N2-N1)))*2</f>
        <v>#VALUE!</v>
      </c>
      <c r="P2" s="154">
        <v>5733151</v>
      </c>
      <c r="Q2" s="43" t="e">
        <f t="shared" ref="Q2" si="6">IF((P2-P1)&lt;0,"0",(P2-P1))</f>
        <v>#VALUE!</v>
      </c>
      <c r="R2" s="151">
        <v>19746392</v>
      </c>
      <c r="S2" s="43" t="e">
        <f t="shared" ref="S2" si="7">IF((R2-R1)&lt;0,"0",(R2-R1))</f>
        <v>#VALUE!</v>
      </c>
      <c r="T2" s="151">
        <v>0</v>
      </c>
      <c r="U2" s="11"/>
      <c r="V2" s="151">
        <v>7634077</v>
      </c>
      <c r="W2" s="43" t="e">
        <f t="shared" ref="W2" si="8">IF((V2-V1)&lt;0,"0",(V2-V1))</f>
        <v>#VALUE!</v>
      </c>
      <c r="X2" s="21" t="e">
        <f t="shared" ref="X2" si="9">K2+M2+O2+Q2+S2+U2+W2</f>
        <v>#VALUE!</v>
      </c>
      <c r="Y2" s="156" t="e">
        <f t="shared" ref="Y2" si="10">I2-X2</f>
        <v>#VALUE!</v>
      </c>
      <c r="Z2" s="3" t="e">
        <f t="shared" ref="Z2" si="11">(0.93352*(W2+S2)+0.5568*(Q2+O2))*0.26</f>
        <v>#VALUE!</v>
      </c>
      <c r="AA2" s="3" t="e">
        <f t="shared" ref="AA2" si="12">SUM(#REF!)</f>
        <v>#REF!</v>
      </c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f>R2</f>
        <v>19746392</v>
      </c>
      <c r="S3" s="43">
        <f>IF((R3-R2)&lt;0,"0",(R3-R2))</f>
        <v>0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32759</v>
      </c>
      <c r="Y3" s="156">
        <f>I3-X3</f>
        <v>16578</v>
      </c>
      <c r="Z3" s="3">
        <f>(0.93352*(W3+S3)+0.5568*(Q3+O3))*0.26</f>
        <v>3662.82384</v>
      </c>
      <c r="AA3" s="3" t="e">
        <f>SUM(Z1:Z3)</f>
        <v>#VALUE!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13">IF((C4-C3)&lt;0,"0",(C4-C3))*160</f>
        <v>320</v>
      </c>
      <c r="E4" s="151">
        <v>29415767</v>
      </c>
      <c r="F4" s="43">
        <f t="shared" ref="F4:F33" si="14">IF((E4-E3)&lt;0,"0",(E4-E3))</f>
        <v>8910</v>
      </c>
      <c r="G4" s="152">
        <v>93443932</v>
      </c>
      <c r="H4" s="43">
        <f t="shared" ref="H4:H33" si="15">IF((G4-G3)&lt;0,"0",(G4-G3))</f>
        <v>30604</v>
      </c>
      <c r="I4" s="153">
        <f t="shared" ref="I4:I31" si="16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17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18">IF((P4-P3)&lt;0,"0",(P4-P3))</f>
        <v>1972</v>
      </c>
      <c r="R4" s="151">
        <f t="shared" ref="R4:R33" si="19">R3</f>
        <v>19746392</v>
      </c>
      <c r="S4" s="43">
        <f t="shared" ref="S4:S33" si="20">IF((R4-R3)&lt;0,"0",(R4-R3))</f>
        <v>0</v>
      </c>
      <c r="T4" s="151">
        <v>0</v>
      </c>
      <c r="U4" s="155"/>
      <c r="V4" s="151">
        <v>7652165</v>
      </c>
      <c r="W4" s="43">
        <f t="shared" ref="W4:W33" si="21">IF((V4-V3)&lt;0,"0",(V4-V3))</f>
        <v>8068</v>
      </c>
      <c r="X4" s="21">
        <f t="shared" ref="X4:X33" si="22">K4+M4+O4+Q4+S4+U4+W4</f>
        <v>26270</v>
      </c>
      <c r="Y4" s="156">
        <f t="shared" ref="Y4:Y33" si="23">I4-X4</f>
        <v>13244</v>
      </c>
      <c r="Z4" s="3">
        <f t="shared" ref="Z4:Z33" si="24">(0.93352*(W4+S4)+0.5568*(Q4+O4))*0.26</f>
        <v>2888.7949375999997</v>
      </c>
      <c r="AA4" s="3" t="e">
        <f>SUM(Z2:Z4)</f>
        <v>#VALUE!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13"/>
        <v>320</v>
      </c>
      <c r="E5" s="151">
        <v>29430716</v>
      </c>
      <c r="F5" s="43">
        <f t="shared" si="14"/>
        <v>14949</v>
      </c>
      <c r="G5" s="152">
        <v>93490236</v>
      </c>
      <c r="H5" s="43">
        <f t="shared" si="15"/>
        <v>46304</v>
      </c>
      <c r="I5" s="153">
        <f t="shared" si="16"/>
        <v>61253</v>
      </c>
      <c r="J5" s="151">
        <v>9257414</v>
      </c>
      <c r="K5" s="43">
        <f t="shared" ref="K5:K33" si="25">(IF((J5-J4)&lt;0,"0",(J5-J4)))*2</f>
        <v>11184</v>
      </c>
      <c r="L5" s="154">
        <v>9259675</v>
      </c>
      <c r="M5" s="43">
        <f t="shared" si="17"/>
        <v>7159</v>
      </c>
      <c r="N5" s="151">
        <v>6242177</v>
      </c>
      <c r="O5" s="43">
        <f t="shared" ref="O5:O33" si="26">(IF((N5-N4)&lt;0,"0",(N5-N4)))*2</f>
        <v>7618</v>
      </c>
      <c r="P5" s="154">
        <v>5740474</v>
      </c>
      <c r="Q5" s="43">
        <f t="shared" si="18"/>
        <v>2981</v>
      </c>
      <c r="R5" s="151">
        <f t="shared" si="19"/>
        <v>19746392</v>
      </c>
      <c r="S5" s="43">
        <f t="shared" si="20"/>
        <v>0</v>
      </c>
      <c r="T5" s="151">
        <v>0</v>
      </c>
      <c r="U5" s="155"/>
      <c r="V5" s="151">
        <v>7664557</v>
      </c>
      <c r="W5" s="43">
        <f t="shared" si="21"/>
        <v>12392</v>
      </c>
      <c r="X5" s="21">
        <f t="shared" si="22"/>
        <v>41334</v>
      </c>
      <c r="Y5" s="156">
        <f t="shared" si="23"/>
        <v>19919</v>
      </c>
      <c r="Z5" s="3">
        <f t="shared" si="24"/>
        <v>4542.1227904000007</v>
      </c>
      <c r="AA5" s="3">
        <f>SUM(Z3:Z5)</f>
        <v>11093.741568000001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13"/>
        <v>320</v>
      </c>
      <c r="E6" s="151">
        <v>29741618</v>
      </c>
      <c r="F6" s="43">
        <f t="shared" si="14"/>
        <v>310902</v>
      </c>
      <c r="G6" s="152">
        <v>93522568</v>
      </c>
      <c r="H6" s="43">
        <f t="shared" si="15"/>
        <v>32332</v>
      </c>
      <c r="I6" s="153">
        <f t="shared" si="16"/>
        <v>343234</v>
      </c>
      <c r="J6" s="151">
        <v>9261326</v>
      </c>
      <c r="K6" s="43">
        <f t="shared" si="25"/>
        <v>7824</v>
      </c>
      <c r="L6" s="154">
        <v>9265120</v>
      </c>
      <c r="M6" s="43">
        <f t="shared" si="17"/>
        <v>5445</v>
      </c>
      <c r="N6" s="151">
        <v>6244827</v>
      </c>
      <c r="O6" s="43">
        <f t="shared" si="26"/>
        <v>5300</v>
      </c>
      <c r="P6" s="154">
        <v>5742647</v>
      </c>
      <c r="Q6" s="43">
        <f t="shared" si="18"/>
        <v>2173</v>
      </c>
      <c r="R6" s="151">
        <v>19783258</v>
      </c>
      <c r="S6" s="43">
        <f t="shared" si="20"/>
        <v>36866</v>
      </c>
      <c r="T6" s="151">
        <v>0</v>
      </c>
      <c r="U6" s="155"/>
      <c r="V6" s="151">
        <v>7673093</v>
      </c>
      <c r="W6" s="43">
        <f t="shared" si="21"/>
        <v>8536</v>
      </c>
      <c r="X6" s="21">
        <f t="shared" si="22"/>
        <v>66144</v>
      </c>
      <c r="Y6" s="156">
        <f t="shared" si="23"/>
        <v>277090</v>
      </c>
      <c r="Z6" s="3">
        <f t="shared" si="24"/>
        <v>12101.606774400001</v>
      </c>
      <c r="AA6" s="3">
        <f>SUM(Z4:Z6)</f>
        <v>19532.524502400003</v>
      </c>
    </row>
    <row r="7" spans="1:27" ht="16.5" thickBot="1" x14ac:dyDescent="0.3">
      <c r="A7" s="10">
        <v>44566</v>
      </c>
      <c r="B7" s="43">
        <f t="shared" ref="B4:B33" si="27">B6</f>
        <v>181</v>
      </c>
      <c r="C7" s="150">
        <f t="shared" ref="C4:C32" si="28">C6</f>
        <v>19271</v>
      </c>
      <c r="D7" s="43">
        <f t="shared" si="13"/>
        <v>0</v>
      </c>
      <c r="E7" s="151">
        <f t="shared" ref="E4:E33" si="29">E6</f>
        <v>29741618</v>
      </c>
      <c r="F7" s="43">
        <f t="shared" si="14"/>
        <v>0</v>
      </c>
      <c r="G7" s="152">
        <f t="shared" ref="G4:G33" si="30">G6</f>
        <v>93522568</v>
      </c>
      <c r="H7" s="43">
        <f t="shared" si="15"/>
        <v>0</v>
      </c>
      <c r="I7" s="153">
        <f t="shared" si="16"/>
        <v>0</v>
      </c>
      <c r="J7" s="151">
        <f t="shared" ref="J4:J33" si="31">J6</f>
        <v>9261326</v>
      </c>
      <c r="K7" s="43">
        <f t="shared" si="25"/>
        <v>0</v>
      </c>
      <c r="L7" s="154">
        <f t="shared" ref="L4:L33" si="32">L6</f>
        <v>9265120</v>
      </c>
      <c r="M7" s="43">
        <f t="shared" si="17"/>
        <v>0</v>
      </c>
      <c r="N7" s="151">
        <f t="shared" ref="N4:N33" si="33">N6</f>
        <v>6244827</v>
      </c>
      <c r="O7" s="43">
        <f t="shared" si="26"/>
        <v>0</v>
      </c>
      <c r="P7" s="154">
        <f t="shared" ref="P4:P33" si="34">P6</f>
        <v>5742647</v>
      </c>
      <c r="Q7" s="43">
        <f t="shared" si="18"/>
        <v>0</v>
      </c>
      <c r="R7" s="151">
        <f t="shared" si="19"/>
        <v>19783258</v>
      </c>
      <c r="S7" s="43">
        <f t="shared" si="20"/>
        <v>0</v>
      </c>
      <c r="T7" s="151">
        <v>0</v>
      </c>
      <c r="U7" s="155"/>
      <c r="V7" s="151">
        <f t="shared" ref="V4:V33" si="35">V6</f>
        <v>7673093</v>
      </c>
      <c r="W7" s="43">
        <f t="shared" si="21"/>
        <v>0</v>
      </c>
      <c r="X7" s="21">
        <f t="shared" si="22"/>
        <v>0</v>
      </c>
      <c r="Y7" s="156">
        <f t="shared" si="23"/>
        <v>0</v>
      </c>
      <c r="Z7" s="3">
        <f t="shared" si="24"/>
        <v>0</v>
      </c>
      <c r="AA7" s="3">
        <f t="shared" ref="AA7:AA33" si="36">SUM(Z4:Z7)</f>
        <v>19532.524502400003</v>
      </c>
    </row>
    <row r="8" spans="1:27" ht="16.5" thickBot="1" x14ac:dyDescent="0.3">
      <c r="A8" s="10">
        <v>44567</v>
      </c>
      <c r="B8" s="43">
        <f t="shared" si="27"/>
        <v>181</v>
      </c>
      <c r="C8" s="150">
        <f t="shared" si="28"/>
        <v>19271</v>
      </c>
      <c r="D8" s="43">
        <f t="shared" si="13"/>
        <v>0</v>
      </c>
      <c r="E8" s="151">
        <f t="shared" si="29"/>
        <v>29741618</v>
      </c>
      <c r="F8" s="43">
        <f t="shared" si="14"/>
        <v>0</v>
      </c>
      <c r="G8" s="152">
        <f t="shared" si="30"/>
        <v>93522568</v>
      </c>
      <c r="H8" s="43">
        <f t="shared" si="15"/>
        <v>0</v>
      </c>
      <c r="I8" s="153">
        <f t="shared" si="16"/>
        <v>0</v>
      </c>
      <c r="J8" s="151">
        <f t="shared" si="31"/>
        <v>9261326</v>
      </c>
      <c r="K8" s="43">
        <f t="shared" si="25"/>
        <v>0</v>
      </c>
      <c r="L8" s="154">
        <f t="shared" si="32"/>
        <v>9265120</v>
      </c>
      <c r="M8" s="43">
        <f t="shared" si="17"/>
        <v>0</v>
      </c>
      <c r="N8" s="151">
        <f t="shared" si="33"/>
        <v>6244827</v>
      </c>
      <c r="O8" s="43">
        <f t="shared" si="26"/>
        <v>0</v>
      </c>
      <c r="P8" s="154">
        <f t="shared" si="34"/>
        <v>5742647</v>
      </c>
      <c r="Q8" s="43">
        <f t="shared" si="18"/>
        <v>0</v>
      </c>
      <c r="R8" s="151">
        <f t="shared" si="19"/>
        <v>19783258</v>
      </c>
      <c r="S8" s="43">
        <f t="shared" si="20"/>
        <v>0</v>
      </c>
      <c r="T8" s="151">
        <v>0</v>
      </c>
      <c r="U8" s="155"/>
      <c r="V8" s="151">
        <f t="shared" si="35"/>
        <v>7673093</v>
      </c>
      <c r="W8" s="43">
        <f t="shared" si="21"/>
        <v>0</v>
      </c>
      <c r="X8" s="21">
        <f t="shared" si="22"/>
        <v>0</v>
      </c>
      <c r="Y8" s="156">
        <f t="shared" si="23"/>
        <v>0</v>
      </c>
      <c r="Z8" s="3">
        <f t="shared" si="24"/>
        <v>0</v>
      </c>
      <c r="AA8" s="3">
        <f t="shared" si="36"/>
        <v>16643.7295648</v>
      </c>
    </row>
    <row r="9" spans="1:27" ht="16.5" thickBot="1" x14ac:dyDescent="0.3">
      <c r="A9" s="10">
        <v>44568</v>
      </c>
      <c r="B9" s="43">
        <f t="shared" si="27"/>
        <v>181</v>
      </c>
      <c r="C9" s="150">
        <f t="shared" si="28"/>
        <v>19271</v>
      </c>
      <c r="D9" s="43">
        <f t="shared" si="13"/>
        <v>0</v>
      </c>
      <c r="E9" s="151">
        <f t="shared" si="29"/>
        <v>29741618</v>
      </c>
      <c r="F9" s="43">
        <f t="shared" si="14"/>
        <v>0</v>
      </c>
      <c r="G9" s="152">
        <f t="shared" si="30"/>
        <v>93522568</v>
      </c>
      <c r="H9" s="43">
        <f t="shared" si="15"/>
        <v>0</v>
      </c>
      <c r="I9" s="153">
        <f t="shared" si="16"/>
        <v>0</v>
      </c>
      <c r="J9" s="151">
        <f t="shared" si="31"/>
        <v>9261326</v>
      </c>
      <c r="K9" s="43">
        <f t="shared" si="25"/>
        <v>0</v>
      </c>
      <c r="L9" s="154">
        <f t="shared" si="32"/>
        <v>9265120</v>
      </c>
      <c r="M9" s="43">
        <f t="shared" si="17"/>
        <v>0</v>
      </c>
      <c r="N9" s="151">
        <f t="shared" si="33"/>
        <v>6244827</v>
      </c>
      <c r="O9" s="43">
        <f t="shared" si="26"/>
        <v>0</v>
      </c>
      <c r="P9" s="154">
        <f t="shared" si="34"/>
        <v>5742647</v>
      </c>
      <c r="Q9" s="43">
        <f t="shared" si="18"/>
        <v>0</v>
      </c>
      <c r="R9" s="151">
        <f t="shared" si="19"/>
        <v>19783258</v>
      </c>
      <c r="S9" s="43">
        <f t="shared" si="20"/>
        <v>0</v>
      </c>
      <c r="T9" s="151">
        <v>0</v>
      </c>
      <c r="U9" s="155"/>
      <c r="V9" s="151">
        <f t="shared" si="35"/>
        <v>7673093</v>
      </c>
      <c r="W9" s="43">
        <f t="shared" si="21"/>
        <v>0</v>
      </c>
      <c r="X9" s="21">
        <f t="shared" si="22"/>
        <v>0</v>
      </c>
      <c r="Y9" s="156">
        <f t="shared" si="23"/>
        <v>0</v>
      </c>
      <c r="Z9" s="3">
        <f t="shared" si="24"/>
        <v>0</v>
      </c>
      <c r="AA9" s="3">
        <f t="shared" si="36"/>
        <v>12101.606774400001</v>
      </c>
    </row>
    <row r="10" spans="1:27" ht="16.5" thickBot="1" x14ac:dyDescent="0.3">
      <c r="A10" s="10">
        <v>44569</v>
      </c>
      <c r="B10" s="43">
        <f t="shared" si="27"/>
        <v>181</v>
      </c>
      <c r="C10" s="150">
        <f t="shared" si="28"/>
        <v>19271</v>
      </c>
      <c r="D10" s="43">
        <f t="shared" si="13"/>
        <v>0</v>
      </c>
      <c r="E10" s="151">
        <f t="shared" si="29"/>
        <v>29741618</v>
      </c>
      <c r="F10" s="43">
        <f t="shared" si="14"/>
        <v>0</v>
      </c>
      <c r="G10" s="152">
        <f t="shared" si="30"/>
        <v>93522568</v>
      </c>
      <c r="H10" s="43">
        <f t="shared" si="15"/>
        <v>0</v>
      </c>
      <c r="I10" s="153">
        <f t="shared" si="16"/>
        <v>0</v>
      </c>
      <c r="J10" s="151">
        <f t="shared" si="31"/>
        <v>9261326</v>
      </c>
      <c r="K10" s="43">
        <f t="shared" si="25"/>
        <v>0</v>
      </c>
      <c r="L10" s="154">
        <f t="shared" si="32"/>
        <v>9265120</v>
      </c>
      <c r="M10" s="43">
        <f t="shared" si="17"/>
        <v>0</v>
      </c>
      <c r="N10" s="151">
        <f t="shared" si="33"/>
        <v>6244827</v>
      </c>
      <c r="O10" s="43">
        <f t="shared" si="26"/>
        <v>0</v>
      </c>
      <c r="P10" s="154">
        <f t="shared" si="34"/>
        <v>5742647</v>
      </c>
      <c r="Q10" s="43">
        <f t="shared" si="18"/>
        <v>0</v>
      </c>
      <c r="R10" s="151">
        <f t="shared" si="19"/>
        <v>19783258</v>
      </c>
      <c r="S10" s="43">
        <f t="shared" si="20"/>
        <v>0</v>
      </c>
      <c r="T10" s="151">
        <v>0</v>
      </c>
      <c r="U10" s="155"/>
      <c r="V10" s="151">
        <f t="shared" si="35"/>
        <v>7673093</v>
      </c>
      <c r="W10" s="43">
        <f t="shared" si="21"/>
        <v>0</v>
      </c>
      <c r="X10" s="21">
        <f t="shared" si="22"/>
        <v>0</v>
      </c>
      <c r="Y10" s="156">
        <f t="shared" si="23"/>
        <v>0</v>
      </c>
      <c r="Z10" s="3">
        <f t="shared" si="24"/>
        <v>0</v>
      </c>
      <c r="AA10" s="3">
        <f t="shared" si="36"/>
        <v>0</v>
      </c>
    </row>
    <row r="11" spans="1:27" ht="15.75" customHeight="1" thickBot="1" x14ac:dyDescent="0.3">
      <c r="A11" s="10">
        <v>44570</v>
      </c>
      <c r="B11" s="43">
        <f t="shared" si="27"/>
        <v>181</v>
      </c>
      <c r="C11" s="150">
        <f t="shared" si="28"/>
        <v>19271</v>
      </c>
      <c r="D11" s="43">
        <f t="shared" si="13"/>
        <v>0</v>
      </c>
      <c r="E11" s="151">
        <f t="shared" si="29"/>
        <v>29741618</v>
      </c>
      <c r="F11" s="43">
        <f t="shared" si="14"/>
        <v>0</v>
      </c>
      <c r="G11" s="152">
        <f t="shared" si="30"/>
        <v>93522568</v>
      </c>
      <c r="H11" s="43">
        <f t="shared" si="15"/>
        <v>0</v>
      </c>
      <c r="I11" s="153">
        <f t="shared" si="16"/>
        <v>0</v>
      </c>
      <c r="J11" s="151">
        <f t="shared" si="31"/>
        <v>9261326</v>
      </c>
      <c r="K11" s="43">
        <f t="shared" si="25"/>
        <v>0</v>
      </c>
      <c r="L11" s="154">
        <f t="shared" si="32"/>
        <v>9265120</v>
      </c>
      <c r="M11" s="43">
        <f t="shared" si="17"/>
        <v>0</v>
      </c>
      <c r="N11" s="151">
        <f t="shared" si="33"/>
        <v>6244827</v>
      </c>
      <c r="O11" s="43">
        <f t="shared" si="26"/>
        <v>0</v>
      </c>
      <c r="P11" s="154">
        <f t="shared" si="34"/>
        <v>5742647</v>
      </c>
      <c r="Q11" s="43">
        <f t="shared" si="18"/>
        <v>0</v>
      </c>
      <c r="R11" s="151">
        <f t="shared" si="19"/>
        <v>19783258</v>
      </c>
      <c r="S11" s="43">
        <f t="shared" si="20"/>
        <v>0</v>
      </c>
      <c r="T11" s="151">
        <v>0</v>
      </c>
      <c r="U11" s="155"/>
      <c r="V11" s="151">
        <f t="shared" si="35"/>
        <v>7673093</v>
      </c>
      <c r="W11" s="43">
        <f t="shared" si="21"/>
        <v>0</v>
      </c>
      <c r="X11" s="21">
        <f t="shared" si="22"/>
        <v>0</v>
      </c>
      <c r="Y11" s="156">
        <f t="shared" si="23"/>
        <v>0</v>
      </c>
      <c r="Z11" s="3">
        <f t="shared" si="24"/>
        <v>0</v>
      </c>
      <c r="AA11" s="3">
        <f t="shared" si="36"/>
        <v>0</v>
      </c>
    </row>
    <row r="12" spans="1:27" ht="16.5" thickBot="1" x14ac:dyDescent="0.3">
      <c r="A12" s="10">
        <v>44571</v>
      </c>
      <c r="B12" s="43">
        <f t="shared" si="27"/>
        <v>181</v>
      </c>
      <c r="C12" s="150">
        <f t="shared" si="28"/>
        <v>19271</v>
      </c>
      <c r="D12" s="43">
        <f t="shared" si="13"/>
        <v>0</v>
      </c>
      <c r="E12" s="151">
        <f t="shared" si="29"/>
        <v>29741618</v>
      </c>
      <c r="F12" s="43">
        <f t="shared" si="14"/>
        <v>0</v>
      </c>
      <c r="G12" s="152">
        <f t="shared" si="30"/>
        <v>93522568</v>
      </c>
      <c r="H12" s="43">
        <f t="shared" si="15"/>
        <v>0</v>
      </c>
      <c r="I12" s="153">
        <f t="shared" si="16"/>
        <v>0</v>
      </c>
      <c r="J12" s="151">
        <f t="shared" si="31"/>
        <v>9261326</v>
      </c>
      <c r="K12" s="43">
        <f t="shared" si="25"/>
        <v>0</v>
      </c>
      <c r="L12" s="154">
        <f t="shared" si="32"/>
        <v>9265120</v>
      </c>
      <c r="M12" s="43">
        <f t="shared" si="17"/>
        <v>0</v>
      </c>
      <c r="N12" s="151">
        <f t="shared" si="33"/>
        <v>6244827</v>
      </c>
      <c r="O12" s="43">
        <f t="shared" si="26"/>
        <v>0</v>
      </c>
      <c r="P12" s="154">
        <f t="shared" si="34"/>
        <v>5742647</v>
      </c>
      <c r="Q12" s="43">
        <f t="shared" si="18"/>
        <v>0</v>
      </c>
      <c r="R12" s="151">
        <f t="shared" si="19"/>
        <v>19783258</v>
      </c>
      <c r="S12" s="43">
        <f t="shared" si="20"/>
        <v>0</v>
      </c>
      <c r="T12" s="151">
        <v>0</v>
      </c>
      <c r="U12" s="155"/>
      <c r="V12" s="151">
        <f t="shared" si="35"/>
        <v>7673093</v>
      </c>
      <c r="W12" s="43">
        <f t="shared" si="21"/>
        <v>0</v>
      </c>
      <c r="X12" s="21">
        <f t="shared" si="22"/>
        <v>0</v>
      </c>
      <c r="Y12" s="156">
        <f t="shared" si="23"/>
        <v>0</v>
      </c>
      <c r="Z12" s="3">
        <f t="shared" si="24"/>
        <v>0</v>
      </c>
      <c r="AA12" s="3">
        <f t="shared" si="36"/>
        <v>0</v>
      </c>
    </row>
    <row r="13" spans="1:27" ht="16.5" thickBot="1" x14ac:dyDescent="0.3">
      <c r="A13" s="10">
        <v>44572</v>
      </c>
      <c r="B13" s="43">
        <f t="shared" si="27"/>
        <v>181</v>
      </c>
      <c r="C13" s="150">
        <f t="shared" si="28"/>
        <v>19271</v>
      </c>
      <c r="D13" s="43">
        <f t="shared" si="13"/>
        <v>0</v>
      </c>
      <c r="E13" s="151">
        <f t="shared" si="29"/>
        <v>29741618</v>
      </c>
      <c r="F13" s="43">
        <f t="shared" ref="F13" si="37">IF((E13-E12)&lt;0,"0",(E13-E12))</f>
        <v>0</v>
      </c>
      <c r="G13" s="152">
        <f t="shared" si="30"/>
        <v>93522568</v>
      </c>
      <c r="H13" s="43">
        <f t="shared" ref="H13" si="38">IF((G13-G12)&lt;0,"0",(G13-G12))</f>
        <v>0</v>
      </c>
      <c r="I13" s="153">
        <f t="shared" ref="I13" si="39">F13+H13</f>
        <v>0</v>
      </c>
      <c r="J13" s="151">
        <f t="shared" si="31"/>
        <v>9261326</v>
      </c>
      <c r="K13" s="43">
        <f t="shared" si="25"/>
        <v>0</v>
      </c>
      <c r="L13" s="154">
        <f t="shared" si="32"/>
        <v>9265120</v>
      </c>
      <c r="M13" s="43">
        <f t="shared" ref="M13" si="40">IF((L13-L12)&lt;0,"0",(L13-L12))</f>
        <v>0</v>
      </c>
      <c r="N13" s="151">
        <f t="shared" si="33"/>
        <v>6244827</v>
      </c>
      <c r="O13" s="43">
        <f t="shared" ref="O13" si="41">(IF((N13-N12)&lt;0,"0",(N13-N12)))*2</f>
        <v>0</v>
      </c>
      <c r="P13" s="154">
        <f t="shared" si="34"/>
        <v>5742647</v>
      </c>
      <c r="Q13" s="43">
        <f t="shared" ref="Q13" si="42">IF((P13-P12)&lt;0,"0",(P13-P12))</f>
        <v>0</v>
      </c>
      <c r="R13" s="151">
        <f t="shared" si="19"/>
        <v>19783258</v>
      </c>
      <c r="S13" s="43">
        <f t="shared" ref="S13" si="43">IF((R13-R12)&lt;0,"0",(R13-R12))</f>
        <v>0</v>
      </c>
      <c r="T13" s="151">
        <v>0</v>
      </c>
      <c r="U13" s="155"/>
      <c r="V13" s="151">
        <f t="shared" si="35"/>
        <v>7673093</v>
      </c>
      <c r="W13" s="43">
        <f t="shared" ref="W13" si="44">IF((V13-V12)&lt;0,"0",(V13-V12))</f>
        <v>0</v>
      </c>
      <c r="X13" s="21">
        <f t="shared" ref="X13" si="45">K13+M13+O13+Q13+S13+U13+W13</f>
        <v>0</v>
      </c>
      <c r="Y13" s="156">
        <f t="shared" ref="Y13" si="46">I13-X13</f>
        <v>0</v>
      </c>
      <c r="Z13" s="3">
        <f t="shared" ref="Z13" si="47">(0.93352*(W13+S13)+0.5568*(Q13+O13))*0.26</f>
        <v>0</v>
      </c>
      <c r="AA13" s="3">
        <f t="shared" ref="AA13" si="48">SUM(Z10:Z13)</f>
        <v>0</v>
      </c>
    </row>
    <row r="14" spans="1:27" ht="16.5" thickBot="1" x14ac:dyDescent="0.3">
      <c r="A14" s="10">
        <v>44573</v>
      </c>
      <c r="B14" s="43">
        <f t="shared" si="27"/>
        <v>181</v>
      </c>
      <c r="C14" s="150">
        <f t="shared" si="28"/>
        <v>19271</v>
      </c>
      <c r="D14" s="43">
        <f t="shared" si="13"/>
        <v>0</v>
      </c>
      <c r="E14" s="151">
        <f t="shared" si="29"/>
        <v>29741618</v>
      </c>
      <c r="F14" s="43">
        <f t="shared" si="14"/>
        <v>0</v>
      </c>
      <c r="G14" s="152">
        <f t="shared" si="30"/>
        <v>93522568</v>
      </c>
      <c r="H14" s="43">
        <f t="shared" si="15"/>
        <v>0</v>
      </c>
      <c r="I14" s="153">
        <f t="shared" si="16"/>
        <v>0</v>
      </c>
      <c r="J14" s="151">
        <f t="shared" si="31"/>
        <v>9261326</v>
      </c>
      <c r="K14" s="43">
        <f t="shared" si="25"/>
        <v>0</v>
      </c>
      <c r="L14" s="154">
        <f t="shared" si="32"/>
        <v>9265120</v>
      </c>
      <c r="M14" s="43">
        <f t="shared" si="17"/>
        <v>0</v>
      </c>
      <c r="N14" s="151">
        <f t="shared" si="33"/>
        <v>6244827</v>
      </c>
      <c r="O14" s="43">
        <f t="shared" si="26"/>
        <v>0</v>
      </c>
      <c r="P14" s="154">
        <f t="shared" si="34"/>
        <v>5742647</v>
      </c>
      <c r="Q14" s="43">
        <f t="shared" si="18"/>
        <v>0</v>
      </c>
      <c r="R14" s="151">
        <f t="shared" si="19"/>
        <v>19783258</v>
      </c>
      <c r="S14" s="43">
        <f>IF((R14-R13)&lt;0,"0",(R14-R13))</f>
        <v>0</v>
      </c>
      <c r="T14" s="151">
        <v>0</v>
      </c>
      <c r="U14" s="155"/>
      <c r="V14" s="151">
        <f t="shared" si="35"/>
        <v>7673093</v>
      </c>
      <c r="W14" s="43">
        <f t="shared" si="21"/>
        <v>0</v>
      </c>
      <c r="X14" s="21">
        <f t="shared" si="22"/>
        <v>0</v>
      </c>
      <c r="Y14" s="156">
        <f t="shared" si="23"/>
        <v>0</v>
      </c>
      <c r="Z14" s="3">
        <f t="shared" si="24"/>
        <v>0</v>
      </c>
      <c r="AA14" s="3">
        <f t="shared" si="36"/>
        <v>0</v>
      </c>
    </row>
    <row r="15" spans="1:27" ht="16.5" thickBot="1" x14ac:dyDescent="0.3">
      <c r="A15" s="10">
        <v>44574</v>
      </c>
      <c r="B15" s="43">
        <f t="shared" si="27"/>
        <v>181</v>
      </c>
      <c r="C15" s="150">
        <f t="shared" si="28"/>
        <v>19271</v>
      </c>
      <c r="D15" s="43">
        <f t="shared" si="13"/>
        <v>0</v>
      </c>
      <c r="E15" s="151">
        <f t="shared" si="29"/>
        <v>29741618</v>
      </c>
      <c r="F15" s="43">
        <f t="shared" si="14"/>
        <v>0</v>
      </c>
      <c r="G15" s="152">
        <f t="shared" si="30"/>
        <v>93522568</v>
      </c>
      <c r="H15" s="43">
        <f t="shared" si="15"/>
        <v>0</v>
      </c>
      <c r="I15" s="153">
        <f t="shared" si="16"/>
        <v>0</v>
      </c>
      <c r="J15" s="151">
        <f t="shared" si="31"/>
        <v>9261326</v>
      </c>
      <c r="K15" s="43">
        <f t="shared" si="25"/>
        <v>0</v>
      </c>
      <c r="L15" s="154">
        <f t="shared" si="32"/>
        <v>9265120</v>
      </c>
      <c r="M15" s="43">
        <f t="shared" si="17"/>
        <v>0</v>
      </c>
      <c r="N15" s="151">
        <f t="shared" si="33"/>
        <v>6244827</v>
      </c>
      <c r="O15" s="43">
        <f t="shared" si="26"/>
        <v>0</v>
      </c>
      <c r="P15" s="154">
        <f t="shared" si="34"/>
        <v>5742647</v>
      </c>
      <c r="Q15" s="43">
        <f t="shared" si="18"/>
        <v>0</v>
      </c>
      <c r="R15" s="151">
        <f t="shared" si="19"/>
        <v>19783258</v>
      </c>
      <c r="S15" s="43">
        <f>IF((R15-R14)&lt;0,"0",(R15-R14))</f>
        <v>0</v>
      </c>
      <c r="T15" s="151">
        <v>0</v>
      </c>
      <c r="U15" s="155"/>
      <c r="V15" s="151">
        <f t="shared" si="35"/>
        <v>7673093</v>
      </c>
      <c r="W15" s="43">
        <f t="shared" si="21"/>
        <v>0</v>
      </c>
      <c r="X15" s="21">
        <f t="shared" si="22"/>
        <v>0</v>
      </c>
      <c r="Y15" s="156">
        <f t="shared" si="23"/>
        <v>0</v>
      </c>
      <c r="Z15" s="3">
        <f t="shared" si="24"/>
        <v>0</v>
      </c>
      <c r="AA15" s="3">
        <f t="shared" si="36"/>
        <v>0</v>
      </c>
    </row>
    <row r="16" spans="1:27" ht="16.5" thickBot="1" x14ac:dyDescent="0.3">
      <c r="A16" s="10">
        <v>44575</v>
      </c>
      <c r="B16" s="43">
        <f t="shared" si="27"/>
        <v>181</v>
      </c>
      <c r="C16" s="150">
        <f t="shared" si="28"/>
        <v>19271</v>
      </c>
      <c r="D16" s="43">
        <f t="shared" si="13"/>
        <v>0</v>
      </c>
      <c r="E16" s="151">
        <f t="shared" si="29"/>
        <v>29741618</v>
      </c>
      <c r="F16" s="43">
        <f t="shared" si="14"/>
        <v>0</v>
      </c>
      <c r="G16" s="152">
        <f t="shared" si="30"/>
        <v>93522568</v>
      </c>
      <c r="H16" s="43">
        <f t="shared" si="15"/>
        <v>0</v>
      </c>
      <c r="I16" s="153">
        <f t="shared" si="16"/>
        <v>0</v>
      </c>
      <c r="J16" s="151">
        <f t="shared" si="31"/>
        <v>9261326</v>
      </c>
      <c r="K16" s="43">
        <f t="shared" si="25"/>
        <v>0</v>
      </c>
      <c r="L16" s="154">
        <f t="shared" si="32"/>
        <v>9265120</v>
      </c>
      <c r="M16" s="43">
        <f t="shared" si="17"/>
        <v>0</v>
      </c>
      <c r="N16" s="151">
        <f t="shared" si="33"/>
        <v>6244827</v>
      </c>
      <c r="O16" s="43">
        <f t="shared" si="26"/>
        <v>0</v>
      </c>
      <c r="P16" s="154">
        <f t="shared" si="34"/>
        <v>5742647</v>
      </c>
      <c r="Q16" s="43">
        <f t="shared" si="18"/>
        <v>0</v>
      </c>
      <c r="R16" s="151">
        <f t="shared" si="19"/>
        <v>19783258</v>
      </c>
      <c r="S16" s="43">
        <f t="shared" si="20"/>
        <v>0</v>
      </c>
      <c r="T16" s="151">
        <v>0</v>
      </c>
      <c r="U16" s="155"/>
      <c r="V16" s="151">
        <f t="shared" si="35"/>
        <v>7673093</v>
      </c>
      <c r="W16" s="43">
        <f t="shared" si="21"/>
        <v>0</v>
      </c>
      <c r="X16" s="21">
        <f t="shared" si="22"/>
        <v>0</v>
      </c>
      <c r="Y16" s="156">
        <f t="shared" si="23"/>
        <v>0</v>
      </c>
      <c r="Z16" s="3">
        <f t="shared" si="24"/>
        <v>0</v>
      </c>
      <c r="AA16" s="3">
        <f t="shared" si="36"/>
        <v>0</v>
      </c>
    </row>
    <row r="17" spans="1:27" s="135" customFormat="1" ht="16.5" thickBot="1" x14ac:dyDescent="0.3">
      <c r="A17" s="10">
        <v>44576</v>
      </c>
      <c r="B17" s="43">
        <f t="shared" si="27"/>
        <v>181</v>
      </c>
      <c r="C17" s="150">
        <f t="shared" si="28"/>
        <v>19271</v>
      </c>
      <c r="D17" s="43">
        <f t="shared" si="13"/>
        <v>0</v>
      </c>
      <c r="E17" s="151">
        <f t="shared" si="29"/>
        <v>29741618</v>
      </c>
      <c r="F17" s="43">
        <f t="shared" si="14"/>
        <v>0</v>
      </c>
      <c r="G17" s="152">
        <f t="shared" si="30"/>
        <v>93522568</v>
      </c>
      <c r="H17" s="43">
        <f t="shared" si="15"/>
        <v>0</v>
      </c>
      <c r="I17" s="157">
        <f t="shared" si="16"/>
        <v>0</v>
      </c>
      <c r="J17" s="151">
        <f t="shared" si="31"/>
        <v>9261326</v>
      </c>
      <c r="K17" s="134">
        <f t="shared" si="25"/>
        <v>0</v>
      </c>
      <c r="L17" s="154">
        <f t="shared" si="32"/>
        <v>9265120</v>
      </c>
      <c r="M17" s="134">
        <f t="shared" si="17"/>
        <v>0</v>
      </c>
      <c r="N17" s="151">
        <f t="shared" si="33"/>
        <v>6244827</v>
      </c>
      <c r="O17" s="134">
        <f t="shared" si="26"/>
        <v>0</v>
      </c>
      <c r="P17" s="154">
        <f t="shared" si="34"/>
        <v>5742647</v>
      </c>
      <c r="Q17" s="134">
        <f t="shared" si="18"/>
        <v>0</v>
      </c>
      <c r="R17" s="151">
        <f t="shared" si="19"/>
        <v>19783258</v>
      </c>
      <c r="S17" s="134">
        <f t="shared" si="20"/>
        <v>0</v>
      </c>
      <c r="T17" s="158">
        <v>0</v>
      </c>
      <c r="U17" s="155"/>
      <c r="V17" s="151">
        <f t="shared" si="35"/>
        <v>7673093</v>
      </c>
      <c r="W17" s="134">
        <f t="shared" si="21"/>
        <v>0</v>
      </c>
      <c r="X17" s="21">
        <f t="shared" si="22"/>
        <v>0</v>
      </c>
      <c r="Y17" s="159">
        <f t="shared" si="23"/>
        <v>0</v>
      </c>
      <c r="Z17" s="160">
        <f t="shared" si="24"/>
        <v>0</v>
      </c>
      <c r="AA17" s="160">
        <f t="shared" si="36"/>
        <v>0</v>
      </c>
    </row>
    <row r="18" spans="1:27" s="135" customFormat="1" ht="16.5" thickBot="1" x14ac:dyDescent="0.3">
      <c r="A18" s="10">
        <v>44577</v>
      </c>
      <c r="B18" s="43">
        <f t="shared" si="27"/>
        <v>181</v>
      </c>
      <c r="C18" s="150">
        <f t="shared" si="28"/>
        <v>19271</v>
      </c>
      <c r="D18" s="43">
        <f t="shared" si="13"/>
        <v>0</v>
      </c>
      <c r="E18" s="151">
        <f t="shared" si="29"/>
        <v>29741618</v>
      </c>
      <c r="F18" s="43">
        <f t="shared" si="14"/>
        <v>0</v>
      </c>
      <c r="G18" s="152">
        <f t="shared" si="30"/>
        <v>93522568</v>
      </c>
      <c r="H18" s="43">
        <f t="shared" si="15"/>
        <v>0</v>
      </c>
      <c r="I18" s="157">
        <f t="shared" si="16"/>
        <v>0</v>
      </c>
      <c r="J18" s="151">
        <f t="shared" si="31"/>
        <v>9261326</v>
      </c>
      <c r="K18" s="134">
        <f t="shared" si="25"/>
        <v>0</v>
      </c>
      <c r="L18" s="154">
        <f t="shared" si="32"/>
        <v>9265120</v>
      </c>
      <c r="M18" s="134">
        <f t="shared" si="17"/>
        <v>0</v>
      </c>
      <c r="N18" s="151">
        <f t="shared" si="33"/>
        <v>6244827</v>
      </c>
      <c r="O18" s="134">
        <f t="shared" si="26"/>
        <v>0</v>
      </c>
      <c r="P18" s="154">
        <f t="shared" si="34"/>
        <v>5742647</v>
      </c>
      <c r="Q18" s="134">
        <f t="shared" si="18"/>
        <v>0</v>
      </c>
      <c r="R18" s="151">
        <f t="shared" si="19"/>
        <v>19783258</v>
      </c>
      <c r="S18" s="134">
        <f t="shared" si="20"/>
        <v>0</v>
      </c>
      <c r="T18" s="158">
        <v>0</v>
      </c>
      <c r="U18" s="155"/>
      <c r="V18" s="151">
        <f t="shared" si="35"/>
        <v>7673093</v>
      </c>
      <c r="W18" s="134">
        <f t="shared" si="21"/>
        <v>0</v>
      </c>
      <c r="X18" s="21">
        <f t="shared" si="22"/>
        <v>0</v>
      </c>
      <c r="Y18" s="159">
        <f t="shared" si="23"/>
        <v>0</v>
      </c>
      <c r="Z18" s="160">
        <f t="shared" si="24"/>
        <v>0</v>
      </c>
      <c r="AA18" s="160">
        <f t="shared" si="36"/>
        <v>0</v>
      </c>
    </row>
    <row r="19" spans="1:27" s="135" customFormat="1" ht="16.5" thickBot="1" x14ac:dyDescent="0.3">
      <c r="A19" s="10">
        <v>44578</v>
      </c>
      <c r="B19" s="43">
        <f t="shared" si="27"/>
        <v>181</v>
      </c>
      <c r="C19" s="150">
        <f t="shared" si="28"/>
        <v>19271</v>
      </c>
      <c r="D19" s="43">
        <f t="shared" si="13"/>
        <v>0</v>
      </c>
      <c r="E19" s="151">
        <f t="shared" si="29"/>
        <v>29741618</v>
      </c>
      <c r="F19" s="43">
        <f t="shared" si="14"/>
        <v>0</v>
      </c>
      <c r="G19" s="152">
        <f t="shared" si="30"/>
        <v>93522568</v>
      </c>
      <c r="H19" s="43">
        <f t="shared" si="15"/>
        <v>0</v>
      </c>
      <c r="I19" s="157">
        <f t="shared" si="16"/>
        <v>0</v>
      </c>
      <c r="J19" s="151">
        <f t="shared" si="31"/>
        <v>9261326</v>
      </c>
      <c r="K19" s="134">
        <f t="shared" si="25"/>
        <v>0</v>
      </c>
      <c r="L19" s="154">
        <f t="shared" si="32"/>
        <v>9265120</v>
      </c>
      <c r="M19" s="134">
        <f t="shared" si="17"/>
        <v>0</v>
      </c>
      <c r="N19" s="151">
        <f t="shared" si="33"/>
        <v>6244827</v>
      </c>
      <c r="O19" s="134">
        <f t="shared" si="26"/>
        <v>0</v>
      </c>
      <c r="P19" s="154">
        <f t="shared" si="34"/>
        <v>5742647</v>
      </c>
      <c r="Q19" s="134">
        <f t="shared" si="18"/>
        <v>0</v>
      </c>
      <c r="R19" s="151">
        <f t="shared" si="19"/>
        <v>19783258</v>
      </c>
      <c r="S19" s="134">
        <f t="shared" si="20"/>
        <v>0</v>
      </c>
      <c r="T19" s="158">
        <v>0</v>
      </c>
      <c r="U19" s="155"/>
      <c r="V19" s="151">
        <f t="shared" si="35"/>
        <v>7673093</v>
      </c>
      <c r="W19" s="134">
        <f t="shared" si="21"/>
        <v>0</v>
      </c>
      <c r="X19" s="21">
        <f t="shared" si="22"/>
        <v>0</v>
      </c>
      <c r="Y19" s="159">
        <f t="shared" si="23"/>
        <v>0</v>
      </c>
      <c r="Z19" s="160">
        <f t="shared" si="24"/>
        <v>0</v>
      </c>
      <c r="AA19" s="160">
        <f t="shared" si="36"/>
        <v>0</v>
      </c>
    </row>
    <row r="20" spans="1:27" s="135" customFormat="1" ht="16.5" thickBot="1" x14ac:dyDescent="0.3">
      <c r="A20" s="10">
        <v>44579</v>
      </c>
      <c r="B20" s="43">
        <f t="shared" si="27"/>
        <v>181</v>
      </c>
      <c r="C20" s="150">
        <f t="shared" si="28"/>
        <v>19271</v>
      </c>
      <c r="D20" s="43">
        <f t="shared" si="13"/>
        <v>0</v>
      </c>
      <c r="E20" s="151">
        <f t="shared" si="29"/>
        <v>29741618</v>
      </c>
      <c r="F20" s="43">
        <f t="shared" si="14"/>
        <v>0</v>
      </c>
      <c r="G20" s="152">
        <f t="shared" si="30"/>
        <v>93522568</v>
      </c>
      <c r="H20" s="43">
        <f t="shared" si="15"/>
        <v>0</v>
      </c>
      <c r="I20" s="157">
        <f t="shared" si="16"/>
        <v>0</v>
      </c>
      <c r="J20" s="151">
        <f t="shared" si="31"/>
        <v>9261326</v>
      </c>
      <c r="K20" s="134">
        <f t="shared" si="25"/>
        <v>0</v>
      </c>
      <c r="L20" s="154">
        <f t="shared" si="32"/>
        <v>9265120</v>
      </c>
      <c r="M20" s="134">
        <f t="shared" si="17"/>
        <v>0</v>
      </c>
      <c r="N20" s="151">
        <f t="shared" si="33"/>
        <v>6244827</v>
      </c>
      <c r="O20" s="134">
        <f t="shared" si="26"/>
        <v>0</v>
      </c>
      <c r="P20" s="154">
        <f t="shared" si="34"/>
        <v>5742647</v>
      </c>
      <c r="Q20" s="134">
        <f t="shared" si="18"/>
        <v>0</v>
      </c>
      <c r="R20" s="151">
        <f t="shared" si="19"/>
        <v>19783258</v>
      </c>
      <c r="S20" s="134">
        <f t="shared" si="20"/>
        <v>0</v>
      </c>
      <c r="T20" s="158">
        <v>0</v>
      </c>
      <c r="U20" s="155"/>
      <c r="V20" s="151">
        <f t="shared" si="35"/>
        <v>7673093</v>
      </c>
      <c r="W20" s="134">
        <f t="shared" si="21"/>
        <v>0</v>
      </c>
      <c r="X20" s="21">
        <f t="shared" si="22"/>
        <v>0</v>
      </c>
      <c r="Y20" s="159">
        <f t="shared" si="23"/>
        <v>0</v>
      </c>
      <c r="Z20" s="160">
        <f t="shared" si="24"/>
        <v>0</v>
      </c>
      <c r="AA20" s="160">
        <f t="shared" si="36"/>
        <v>0</v>
      </c>
    </row>
    <row r="21" spans="1:27" s="135" customFormat="1" ht="16.5" thickBot="1" x14ac:dyDescent="0.3">
      <c r="A21" s="10">
        <v>44580</v>
      </c>
      <c r="B21" s="43">
        <f t="shared" si="27"/>
        <v>181</v>
      </c>
      <c r="C21" s="150">
        <f t="shared" si="28"/>
        <v>19271</v>
      </c>
      <c r="D21" s="43">
        <f t="shared" si="13"/>
        <v>0</v>
      </c>
      <c r="E21" s="151">
        <f t="shared" si="29"/>
        <v>29741618</v>
      </c>
      <c r="F21" s="43">
        <f t="shared" si="14"/>
        <v>0</v>
      </c>
      <c r="G21" s="152">
        <f t="shared" si="30"/>
        <v>93522568</v>
      </c>
      <c r="H21" s="43">
        <f t="shared" si="15"/>
        <v>0</v>
      </c>
      <c r="I21" s="157">
        <f t="shared" si="16"/>
        <v>0</v>
      </c>
      <c r="J21" s="151">
        <f t="shared" si="31"/>
        <v>9261326</v>
      </c>
      <c r="K21" s="134">
        <f t="shared" si="25"/>
        <v>0</v>
      </c>
      <c r="L21" s="154">
        <f t="shared" si="32"/>
        <v>9265120</v>
      </c>
      <c r="M21" s="134">
        <f t="shared" si="17"/>
        <v>0</v>
      </c>
      <c r="N21" s="151">
        <f t="shared" si="33"/>
        <v>6244827</v>
      </c>
      <c r="O21" s="134">
        <f t="shared" si="26"/>
        <v>0</v>
      </c>
      <c r="P21" s="154">
        <f t="shared" si="34"/>
        <v>5742647</v>
      </c>
      <c r="Q21" s="134">
        <f t="shared" si="18"/>
        <v>0</v>
      </c>
      <c r="R21" s="151">
        <f t="shared" si="19"/>
        <v>19783258</v>
      </c>
      <c r="S21" s="134">
        <f t="shared" si="20"/>
        <v>0</v>
      </c>
      <c r="T21" s="158">
        <v>0</v>
      </c>
      <c r="U21" s="155"/>
      <c r="V21" s="151">
        <f t="shared" si="35"/>
        <v>7673093</v>
      </c>
      <c r="W21" s="134">
        <f t="shared" si="21"/>
        <v>0</v>
      </c>
      <c r="X21" s="21">
        <f t="shared" si="22"/>
        <v>0</v>
      </c>
      <c r="Y21" s="159">
        <f t="shared" si="23"/>
        <v>0</v>
      </c>
      <c r="Z21" s="160">
        <f t="shared" si="24"/>
        <v>0</v>
      </c>
      <c r="AA21" s="160">
        <f t="shared" si="36"/>
        <v>0</v>
      </c>
    </row>
    <row r="22" spans="1:27" ht="16.5" thickBot="1" x14ac:dyDescent="0.3">
      <c r="A22" s="10">
        <v>44581</v>
      </c>
      <c r="B22" s="43">
        <f t="shared" si="27"/>
        <v>181</v>
      </c>
      <c r="C22" s="150">
        <f t="shared" si="28"/>
        <v>19271</v>
      </c>
      <c r="D22" s="43">
        <f t="shared" si="13"/>
        <v>0</v>
      </c>
      <c r="E22" s="151">
        <f t="shared" si="29"/>
        <v>29741618</v>
      </c>
      <c r="F22" s="43">
        <f t="shared" si="14"/>
        <v>0</v>
      </c>
      <c r="G22" s="152">
        <f t="shared" si="30"/>
        <v>93522568</v>
      </c>
      <c r="H22" s="43">
        <f t="shared" si="15"/>
        <v>0</v>
      </c>
      <c r="I22" s="153">
        <f t="shared" si="16"/>
        <v>0</v>
      </c>
      <c r="J22" s="151">
        <f t="shared" si="31"/>
        <v>9261326</v>
      </c>
      <c r="K22" s="43">
        <f t="shared" si="25"/>
        <v>0</v>
      </c>
      <c r="L22" s="154">
        <f t="shared" si="32"/>
        <v>9265120</v>
      </c>
      <c r="M22" s="43">
        <f t="shared" si="17"/>
        <v>0</v>
      </c>
      <c r="N22" s="151">
        <f t="shared" si="33"/>
        <v>6244827</v>
      </c>
      <c r="O22" s="43">
        <f t="shared" si="26"/>
        <v>0</v>
      </c>
      <c r="P22" s="154">
        <f t="shared" si="34"/>
        <v>5742647</v>
      </c>
      <c r="Q22" s="43">
        <f t="shared" si="18"/>
        <v>0</v>
      </c>
      <c r="R22" s="151">
        <f t="shared" si="19"/>
        <v>19783258</v>
      </c>
      <c r="S22" s="43">
        <f t="shared" si="20"/>
        <v>0</v>
      </c>
      <c r="T22" s="151">
        <v>0</v>
      </c>
      <c r="U22" s="155"/>
      <c r="V22" s="151">
        <f t="shared" si="35"/>
        <v>7673093</v>
      </c>
      <c r="W22" s="43">
        <f t="shared" si="21"/>
        <v>0</v>
      </c>
      <c r="X22" s="21">
        <f t="shared" si="22"/>
        <v>0</v>
      </c>
      <c r="Y22" s="156">
        <f t="shared" si="23"/>
        <v>0</v>
      </c>
      <c r="Z22" s="3">
        <f t="shared" si="24"/>
        <v>0</v>
      </c>
      <c r="AA22" s="3">
        <f t="shared" si="36"/>
        <v>0</v>
      </c>
    </row>
    <row r="23" spans="1:27" ht="16.5" thickBot="1" x14ac:dyDescent="0.3">
      <c r="A23" s="10">
        <v>44582</v>
      </c>
      <c r="B23" s="43">
        <f t="shared" si="27"/>
        <v>181</v>
      </c>
      <c r="C23" s="150">
        <f t="shared" si="28"/>
        <v>19271</v>
      </c>
      <c r="D23" s="43">
        <f t="shared" si="13"/>
        <v>0</v>
      </c>
      <c r="E23" s="151">
        <f t="shared" si="29"/>
        <v>29741618</v>
      </c>
      <c r="F23" s="43">
        <f t="shared" si="14"/>
        <v>0</v>
      </c>
      <c r="G23" s="152">
        <f t="shared" si="30"/>
        <v>93522568</v>
      </c>
      <c r="H23" s="43">
        <f t="shared" si="15"/>
        <v>0</v>
      </c>
      <c r="I23" s="153">
        <f t="shared" si="16"/>
        <v>0</v>
      </c>
      <c r="J23" s="151">
        <f t="shared" si="31"/>
        <v>9261326</v>
      </c>
      <c r="K23" s="43">
        <f t="shared" si="25"/>
        <v>0</v>
      </c>
      <c r="L23" s="154">
        <f t="shared" si="32"/>
        <v>9265120</v>
      </c>
      <c r="M23" s="43">
        <f t="shared" si="17"/>
        <v>0</v>
      </c>
      <c r="N23" s="151">
        <f t="shared" si="33"/>
        <v>6244827</v>
      </c>
      <c r="O23" s="43">
        <f t="shared" si="26"/>
        <v>0</v>
      </c>
      <c r="P23" s="154">
        <f t="shared" si="34"/>
        <v>5742647</v>
      </c>
      <c r="Q23" s="43">
        <f t="shared" si="18"/>
        <v>0</v>
      </c>
      <c r="R23" s="151">
        <f t="shared" si="19"/>
        <v>19783258</v>
      </c>
      <c r="S23" s="43">
        <f t="shared" si="20"/>
        <v>0</v>
      </c>
      <c r="T23" s="151">
        <v>0</v>
      </c>
      <c r="U23" s="155"/>
      <c r="V23" s="151">
        <f t="shared" si="35"/>
        <v>7673093</v>
      </c>
      <c r="W23" s="43">
        <f t="shared" si="21"/>
        <v>0</v>
      </c>
      <c r="X23" s="21">
        <f t="shared" si="22"/>
        <v>0</v>
      </c>
      <c r="Y23" s="156">
        <f t="shared" si="23"/>
        <v>0</v>
      </c>
      <c r="Z23" s="3">
        <f t="shared" si="24"/>
        <v>0</v>
      </c>
      <c r="AA23" s="3">
        <f t="shared" si="36"/>
        <v>0</v>
      </c>
    </row>
    <row r="24" spans="1:27" ht="16.5" thickBot="1" x14ac:dyDescent="0.3">
      <c r="A24" s="10">
        <v>44583</v>
      </c>
      <c r="B24" s="43">
        <f t="shared" si="27"/>
        <v>181</v>
      </c>
      <c r="C24" s="150">
        <f t="shared" si="28"/>
        <v>19271</v>
      </c>
      <c r="D24" s="43">
        <f t="shared" si="13"/>
        <v>0</v>
      </c>
      <c r="E24" s="151">
        <f t="shared" si="29"/>
        <v>29741618</v>
      </c>
      <c r="F24" s="43">
        <f t="shared" si="14"/>
        <v>0</v>
      </c>
      <c r="G24" s="152">
        <f t="shared" si="30"/>
        <v>93522568</v>
      </c>
      <c r="H24" s="43">
        <f t="shared" si="15"/>
        <v>0</v>
      </c>
      <c r="I24" s="153">
        <f t="shared" si="16"/>
        <v>0</v>
      </c>
      <c r="J24" s="151">
        <f t="shared" si="31"/>
        <v>9261326</v>
      </c>
      <c r="K24" s="43">
        <f t="shared" si="25"/>
        <v>0</v>
      </c>
      <c r="L24" s="154">
        <f t="shared" si="32"/>
        <v>9265120</v>
      </c>
      <c r="M24" s="43">
        <f t="shared" si="17"/>
        <v>0</v>
      </c>
      <c r="N24" s="151">
        <f t="shared" si="33"/>
        <v>6244827</v>
      </c>
      <c r="O24" s="43">
        <f t="shared" si="26"/>
        <v>0</v>
      </c>
      <c r="P24" s="154">
        <f t="shared" si="34"/>
        <v>5742647</v>
      </c>
      <c r="Q24" s="43">
        <f t="shared" si="18"/>
        <v>0</v>
      </c>
      <c r="R24" s="151">
        <f t="shared" si="19"/>
        <v>19783258</v>
      </c>
      <c r="S24" s="43">
        <f t="shared" si="20"/>
        <v>0</v>
      </c>
      <c r="T24" s="151">
        <v>0</v>
      </c>
      <c r="U24" s="155"/>
      <c r="V24" s="151">
        <f t="shared" si="35"/>
        <v>7673093</v>
      </c>
      <c r="W24" s="43">
        <f t="shared" si="21"/>
        <v>0</v>
      </c>
      <c r="X24" s="21">
        <f t="shared" si="22"/>
        <v>0</v>
      </c>
      <c r="Y24" s="156">
        <f t="shared" si="23"/>
        <v>0</v>
      </c>
      <c r="Z24" s="3">
        <f t="shared" si="24"/>
        <v>0</v>
      </c>
      <c r="AA24" s="3">
        <f t="shared" si="36"/>
        <v>0</v>
      </c>
    </row>
    <row r="25" spans="1:27" ht="16.5" thickBot="1" x14ac:dyDescent="0.3">
      <c r="A25" s="10">
        <v>44584</v>
      </c>
      <c r="B25" s="43">
        <f t="shared" si="27"/>
        <v>181</v>
      </c>
      <c r="C25" s="150">
        <f t="shared" si="28"/>
        <v>19271</v>
      </c>
      <c r="D25" s="43">
        <f t="shared" si="13"/>
        <v>0</v>
      </c>
      <c r="E25" s="151">
        <f t="shared" si="29"/>
        <v>29741618</v>
      </c>
      <c r="F25" s="43">
        <f t="shared" si="14"/>
        <v>0</v>
      </c>
      <c r="G25" s="152">
        <f t="shared" si="30"/>
        <v>93522568</v>
      </c>
      <c r="H25" s="43">
        <f t="shared" si="15"/>
        <v>0</v>
      </c>
      <c r="I25" s="153">
        <f t="shared" si="16"/>
        <v>0</v>
      </c>
      <c r="J25" s="151">
        <f t="shared" si="31"/>
        <v>9261326</v>
      </c>
      <c r="K25" s="43">
        <f t="shared" si="25"/>
        <v>0</v>
      </c>
      <c r="L25" s="154">
        <f t="shared" si="32"/>
        <v>9265120</v>
      </c>
      <c r="M25" s="43">
        <f t="shared" si="17"/>
        <v>0</v>
      </c>
      <c r="N25" s="151">
        <f t="shared" si="33"/>
        <v>6244827</v>
      </c>
      <c r="O25" s="43">
        <f t="shared" si="26"/>
        <v>0</v>
      </c>
      <c r="P25" s="154">
        <f t="shared" si="34"/>
        <v>5742647</v>
      </c>
      <c r="Q25" s="43">
        <f t="shared" si="18"/>
        <v>0</v>
      </c>
      <c r="R25" s="151">
        <f t="shared" si="19"/>
        <v>19783258</v>
      </c>
      <c r="S25" s="43">
        <f t="shared" si="20"/>
        <v>0</v>
      </c>
      <c r="T25" s="151">
        <v>0</v>
      </c>
      <c r="U25" s="155"/>
      <c r="V25" s="151">
        <f t="shared" si="35"/>
        <v>7673093</v>
      </c>
      <c r="W25" s="43">
        <f t="shared" si="21"/>
        <v>0</v>
      </c>
      <c r="X25" s="21">
        <f t="shared" si="22"/>
        <v>0</v>
      </c>
      <c r="Y25" s="156">
        <f t="shared" si="23"/>
        <v>0</v>
      </c>
      <c r="Z25" s="3">
        <f t="shared" si="24"/>
        <v>0</v>
      </c>
      <c r="AA25" s="3">
        <f t="shared" si="36"/>
        <v>0</v>
      </c>
    </row>
    <row r="26" spans="1:27" ht="16.5" thickBot="1" x14ac:dyDescent="0.3">
      <c r="A26" s="10">
        <v>44585</v>
      </c>
      <c r="B26" s="43">
        <f t="shared" si="27"/>
        <v>181</v>
      </c>
      <c r="C26" s="150">
        <f t="shared" si="28"/>
        <v>19271</v>
      </c>
      <c r="D26" s="43">
        <f t="shared" si="13"/>
        <v>0</v>
      </c>
      <c r="E26" s="151">
        <f t="shared" si="29"/>
        <v>29741618</v>
      </c>
      <c r="F26" s="43">
        <f t="shared" si="14"/>
        <v>0</v>
      </c>
      <c r="G26" s="152">
        <f t="shared" si="30"/>
        <v>93522568</v>
      </c>
      <c r="H26" s="43">
        <f t="shared" si="15"/>
        <v>0</v>
      </c>
      <c r="I26" s="153">
        <f t="shared" si="16"/>
        <v>0</v>
      </c>
      <c r="J26" s="151">
        <f t="shared" si="31"/>
        <v>9261326</v>
      </c>
      <c r="K26" s="43">
        <f t="shared" si="25"/>
        <v>0</v>
      </c>
      <c r="L26" s="154">
        <f t="shared" si="32"/>
        <v>9265120</v>
      </c>
      <c r="M26" s="43">
        <f t="shared" si="17"/>
        <v>0</v>
      </c>
      <c r="N26" s="151">
        <f t="shared" si="33"/>
        <v>6244827</v>
      </c>
      <c r="O26" s="43">
        <f t="shared" si="26"/>
        <v>0</v>
      </c>
      <c r="P26" s="154">
        <f t="shared" si="34"/>
        <v>5742647</v>
      </c>
      <c r="Q26" s="43">
        <f t="shared" si="18"/>
        <v>0</v>
      </c>
      <c r="R26" s="151">
        <f t="shared" si="19"/>
        <v>19783258</v>
      </c>
      <c r="S26" s="43">
        <f t="shared" si="20"/>
        <v>0</v>
      </c>
      <c r="T26" s="151">
        <v>0</v>
      </c>
      <c r="U26" s="155"/>
      <c r="V26" s="151">
        <f t="shared" si="35"/>
        <v>7673093</v>
      </c>
      <c r="W26" s="43">
        <f t="shared" si="21"/>
        <v>0</v>
      </c>
      <c r="X26" s="21">
        <f t="shared" si="22"/>
        <v>0</v>
      </c>
      <c r="Y26" s="156">
        <f t="shared" si="23"/>
        <v>0</v>
      </c>
      <c r="Z26" s="3">
        <f t="shared" si="24"/>
        <v>0</v>
      </c>
      <c r="AA26" s="3">
        <f t="shared" si="36"/>
        <v>0</v>
      </c>
    </row>
    <row r="27" spans="1:27" ht="16.5" thickBot="1" x14ac:dyDescent="0.3">
      <c r="A27" s="10">
        <v>44586</v>
      </c>
      <c r="B27" s="43">
        <f t="shared" si="27"/>
        <v>181</v>
      </c>
      <c r="C27" s="150">
        <f t="shared" si="28"/>
        <v>19271</v>
      </c>
      <c r="D27" s="43">
        <f t="shared" si="13"/>
        <v>0</v>
      </c>
      <c r="E27" s="151">
        <f t="shared" si="29"/>
        <v>29741618</v>
      </c>
      <c r="F27" s="43">
        <f t="shared" si="14"/>
        <v>0</v>
      </c>
      <c r="G27" s="152">
        <f t="shared" si="30"/>
        <v>93522568</v>
      </c>
      <c r="H27" s="43">
        <f t="shared" si="15"/>
        <v>0</v>
      </c>
      <c r="I27" s="153">
        <f t="shared" si="16"/>
        <v>0</v>
      </c>
      <c r="J27" s="151">
        <f t="shared" si="31"/>
        <v>9261326</v>
      </c>
      <c r="K27" s="43">
        <f t="shared" si="25"/>
        <v>0</v>
      </c>
      <c r="L27" s="154">
        <f t="shared" si="32"/>
        <v>9265120</v>
      </c>
      <c r="M27" s="43">
        <f t="shared" si="17"/>
        <v>0</v>
      </c>
      <c r="N27" s="151">
        <f t="shared" si="33"/>
        <v>6244827</v>
      </c>
      <c r="O27" s="43">
        <f t="shared" si="26"/>
        <v>0</v>
      </c>
      <c r="P27" s="154">
        <f t="shared" si="34"/>
        <v>5742647</v>
      </c>
      <c r="Q27" s="43">
        <f t="shared" si="18"/>
        <v>0</v>
      </c>
      <c r="R27" s="151">
        <f t="shared" si="19"/>
        <v>19783258</v>
      </c>
      <c r="S27" s="43">
        <f t="shared" si="20"/>
        <v>0</v>
      </c>
      <c r="T27" s="151">
        <v>0</v>
      </c>
      <c r="U27" s="155"/>
      <c r="V27" s="151">
        <f t="shared" si="35"/>
        <v>7673093</v>
      </c>
      <c r="W27" s="43">
        <f t="shared" si="21"/>
        <v>0</v>
      </c>
      <c r="X27" s="21">
        <f t="shared" si="22"/>
        <v>0</v>
      </c>
      <c r="Y27" s="156">
        <f t="shared" si="23"/>
        <v>0</v>
      </c>
      <c r="Z27" s="3">
        <f t="shared" si="24"/>
        <v>0</v>
      </c>
      <c r="AA27" s="3">
        <f t="shared" si="36"/>
        <v>0</v>
      </c>
    </row>
    <row r="28" spans="1:27" ht="16.5" thickBot="1" x14ac:dyDescent="0.3">
      <c r="A28" s="10">
        <v>44587</v>
      </c>
      <c r="B28" s="43">
        <f t="shared" si="27"/>
        <v>181</v>
      </c>
      <c r="C28" s="150">
        <f t="shared" si="28"/>
        <v>19271</v>
      </c>
      <c r="D28" s="43">
        <f t="shared" si="13"/>
        <v>0</v>
      </c>
      <c r="E28" s="151">
        <f t="shared" si="29"/>
        <v>29741618</v>
      </c>
      <c r="F28" s="43">
        <f t="shared" si="14"/>
        <v>0</v>
      </c>
      <c r="G28" s="152">
        <f t="shared" si="30"/>
        <v>93522568</v>
      </c>
      <c r="H28" s="43">
        <f t="shared" si="15"/>
        <v>0</v>
      </c>
      <c r="I28" s="153">
        <f t="shared" si="16"/>
        <v>0</v>
      </c>
      <c r="J28" s="151">
        <f t="shared" si="31"/>
        <v>9261326</v>
      </c>
      <c r="K28" s="43">
        <f t="shared" si="25"/>
        <v>0</v>
      </c>
      <c r="L28" s="154">
        <f t="shared" si="32"/>
        <v>9265120</v>
      </c>
      <c r="M28" s="43">
        <f t="shared" si="17"/>
        <v>0</v>
      </c>
      <c r="N28" s="151">
        <f t="shared" si="33"/>
        <v>6244827</v>
      </c>
      <c r="O28" s="43">
        <f t="shared" si="26"/>
        <v>0</v>
      </c>
      <c r="P28" s="154">
        <f t="shared" si="34"/>
        <v>5742647</v>
      </c>
      <c r="Q28" s="43">
        <f t="shared" si="18"/>
        <v>0</v>
      </c>
      <c r="R28" s="151">
        <f t="shared" si="19"/>
        <v>19783258</v>
      </c>
      <c r="S28" s="43">
        <f t="shared" si="20"/>
        <v>0</v>
      </c>
      <c r="T28" s="151">
        <v>0</v>
      </c>
      <c r="U28" s="155"/>
      <c r="V28" s="151">
        <f t="shared" si="35"/>
        <v>7673093</v>
      </c>
      <c r="W28" s="43">
        <f t="shared" si="21"/>
        <v>0</v>
      </c>
      <c r="X28" s="21">
        <f t="shared" si="22"/>
        <v>0</v>
      </c>
      <c r="Y28" s="156">
        <f t="shared" si="23"/>
        <v>0</v>
      </c>
      <c r="Z28" s="3">
        <f t="shared" si="24"/>
        <v>0</v>
      </c>
      <c r="AA28" s="3">
        <f t="shared" si="36"/>
        <v>0</v>
      </c>
    </row>
    <row r="29" spans="1:27" ht="16.5" thickBot="1" x14ac:dyDescent="0.3">
      <c r="A29" s="10">
        <v>44588</v>
      </c>
      <c r="B29" s="43">
        <f t="shared" si="27"/>
        <v>181</v>
      </c>
      <c r="C29" s="150">
        <f t="shared" si="28"/>
        <v>19271</v>
      </c>
      <c r="D29" s="43">
        <f t="shared" si="13"/>
        <v>0</v>
      </c>
      <c r="E29" s="151">
        <f t="shared" si="29"/>
        <v>29741618</v>
      </c>
      <c r="F29" s="43">
        <f t="shared" si="14"/>
        <v>0</v>
      </c>
      <c r="G29" s="152">
        <f t="shared" si="30"/>
        <v>93522568</v>
      </c>
      <c r="H29" s="43">
        <f t="shared" si="15"/>
        <v>0</v>
      </c>
      <c r="I29" s="153">
        <f t="shared" si="16"/>
        <v>0</v>
      </c>
      <c r="J29" s="151">
        <f t="shared" si="31"/>
        <v>9261326</v>
      </c>
      <c r="K29" s="43">
        <f t="shared" si="25"/>
        <v>0</v>
      </c>
      <c r="L29" s="154">
        <f t="shared" si="32"/>
        <v>9265120</v>
      </c>
      <c r="M29" s="43">
        <f t="shared" si="17"/>
        <v>0</v>
      </c>
      <c r="N29" s="151">
        <f t="shared" si="33"/>
        <v>6244827</v>
      </c>
      <c r="O29" s="43">
        <f t="shared" si="26"/>
        <v>0</v>
      </c>
      <c r="P29" s="154">
        <f t="shared" si="34"/>
        <v>5742647</v>
      </c>
      <c r="Q29" s="43">
        <f t="shared" si="18"/>
        <v>0</v>
      </c>
      <c r="R29" s="151">
        <f t="shared" si="19"/>
        <v>19783258</v>
      </c>
      <c r="S29" s="43">
        <f t="shared" si="20"/>
        <v>0</v>
      </c>
      <c r="T29" s="151">
        <v>0</v>
      </c>
      <c r="U29" s="155"/>
      <c r="V29" s="151">
        <f t="shared" si="35"/>
        <v>7673093</v>
      </c>
      <c r="W29" s="43">
        <f t="shared" si="21"/>
        <v>0</v>
      </c>
      <c r="X29" s="21">
        <f t="shared" si="22"/>
        <v>0</v>
      </c>
      <c r="Y29" s="156">
        <f t="shared" si="23"/>
        <v>0</v>
      </c>
      <c r="Z29" s="3">
        <f t="shared" si="24"/>
        <v>0</v>
      </c>
      <c r="AA29" s="3">
        <f t="shared" si="36"/>
        <v>0</v>
      </c>
    </row>
    <row r="30" spans="1:27" ht="16.5" thickBot="1" x14ac:dyDescent="0.3">
      <c r="A30" s="10">
        <v>44589</v>
      </c>
      <c r="B30" s="43">
        <f t="shared" si="27"/>
        <v>181</v>
      </c>
      <c r="C30" s="150">
        <f t="shared" si="28"/>
        <v>19271</v>
      </c>
      <c r="D30" s="43">
        <f t="shared" si="13"/>
        <v>0</v>
      </c>
      <c r="E30" s="151">
        <f t="shared" si="29"/>
        <v>29741618</v>
      </c>
      <c r="F30" s="43">
        <f t="shared" si="14"/>
        <v>0</v>
      </c>
      <c r="G30" s="152">
        <f t="shared" si="30"/>
        <v>93522568</v>
      </c>
      <c r="H30" s="43">
        <f t="shared" si="15"/>
        <v>0</v>
      </c>
      <c r="I30" s="153">
        <f t="shared" si="16"/>
        <v>0</v>
      </c>
      <c r="J30" s="151">
        <f t="shared" si="31"/>
        <v>9261326</v>
      </c>
      <c r="K30" s="43">
        <f t="shared" si="25"/>
        <v>0</v>
      </c>
      <c r="L30" s="154">
        <f t="shared" si="32"/>
        <v>9265120</v>
      </c>
      <c r="M30" s="43">
        <f t="shared" si="17"/>
        <v>0</v>
      </c>
      <c r="N30" s="151">
        <f t="shared" si="33"/>
        <v>6244827</v>
      </c>
      <c r="O30" s="43">
        <f t="shared" si="26"/>
        <v>0</v>
      </c>
      <c r="P30" s="154">
        <f t="shared" si="34"/>
        <v>5742647</v>
      </c>
      <c r="Q30" s="43">
        <f t="shared" si="18"/>
        <v>0</v>
      </c>
      <c r="R30" s="151">
        <f t="shared" si="19"/>
        <v>19783258</v>
      </c>
      <c r="S30" s="43">
        <f t="shared" si="20"/>
        <v>0</v>
      </c>
      <c r="T30" s="151">
        <v>0</v>
      </c>
      <c r="U30" s="155"/>
      <c r="V30" s="151">
        <f t="shared" si="35"/>
        <v>7673093</v>
      </c>
      <c r="W30" s="43">
        <f t="shared" si="21"/>
        <v>0</v>
      </c>
      <c r="X30" s="21">
        <f t="shared" si="22"/>
        <v>0</v>
      </c>
      <c r="Y30" s="156">
        <f t="shared" si="23"/>
        <v>0</v>
      </c>
      <c r="Z30" s="3">
        <f t="shared" si="24"/>
        <v>0</v>
      </c>
      <c r="AA30" s="3">
        <f t="shared" si="36"/>
        <v>0</v>
      </c>
    </row>
    <row r="31" spans="1:27" ht="16.5" thickBot="1" x14ac:dyDescent="0.3">
      <c r="A31" s="10">
        <v>44590</v>
      </c>
      <c r="B31" s="43">
        <f t="shared" si="27"/>
        <v>181</v>
      </c>
      <c r="C31" s="150">
        <f t="shared" si="28"/>
        <v>19271</v>
      </c>
      <c r="D31" s="43">
        <f t="shared" si="13"/>
        <v>0</v>
      </c>
      <c r="E31" s="151">
        <f t="shared" si="29"/>
        <v>29741618</v>
      </c>
      <c r="F31" s="43">
        <f t="shared" si="14"/>
        <v>0</v>
      </c>
      <c r="G31" s="152">
        <f t="shared" si="30"/>
        <v>93522568</v>
      </c>
      <c r="H31" s="43">
        <f t="shared" si="15"/>
        <v>0</v>
      </c>
      <c r="I31" s="153">
        <f t="shared" si="16"/>
        <v>0</v>
      </c>
      <c r="J31" s="151">
        <f t="shared" si="31"/>
        <v>9261326</v>
      </c>
      <c r="K31" s="43">
        <f t="shared" si="25"/>
        <v>0</v>
      </c>
      <c r="L31" s="154">
        <f t="shared" si="32"/>
        <v>9265120</v>
      </c>
      <c r="M31" s="43">
        <f t="shared" si="17"/>
        <v>0</v>
      </c>
      <c r="N31" s="151">
        <f t="shared" si="33"/>
        <v>6244827</v>
      </c>
      <c r="O31" s="43">
        <f t="shared" si="26"/>
        <v>0</v>
      </c>
      <c r="P31" s="154">
        <f t="shared" si="34"/>
        <v>5742647</v>
      </c>
      <c r="Q31" s="43">
        <f t="shared" si="18"/>
        <v>0</v>
      </c>
      <c r="R31" s="151">
        <f t="shared" si="19"/>
        <v>19783258</v>
      </c>
      <c r="S31" s="43">
        <f t="shared" si="20"/>
        <v>0</v>
      </c>
      <c r="T31" s="151">
        <v>0</v>
      </c>
      <c r="U31" s="11"/>
      <c r="V31" s="151">
        <f t="shared" si="35"/>
        <v>7673093</v>
      </c>
      <c r="W31" s="43">
        <f t="shared" si="21"/>
        <v>0</v>
      </c>
      <c r="X31" s="21">
        <f t="shared" si="22"/>
        <v>0</v>
      </c>
      <c r="Y31" s="156">
        <f t="shared" si="23"/>
        <v>0</v>
      </c>
      <c r="Z31" s="3">
        <f t="shared" si="24"/>
        <v>0</v>
      </c>
      <c r="AA31" s="3">
        <f t="shared" si="36"/>
        <v>0</v>
      </c>
    </row>
    <row r="32" spans="1:27" ht="16.5" thickBot="1" x14ac:dyDescent="0.3">
      <c r="A32" s="10">
        <v>44591</v>
      </c>
      <c r="B32" s="43">
        <f t="shared" si="27"/>
        <v>181</v>
      </c>
      <c r="C32" s="150">
        <f t="shared" si="28"/>
        <v>19271</v>
      </c>
      <c r="D32" s="43">
        <f t="shared" si="13"/>
        <v>0</v>
      </c>
      <c r="E32" s="151">
        <f t="shared" si="29"/>
        <v>29741618</v>
      </c>
      <c r="F32" s="43">
        <f t="shared" si="14"/>
        <v>0</v>
      </c>
      <c r="G32" s="152">
        <f t="shared" si="30"/>
        <v>93522568</v>
      </c>
      <c r="H32" s="43">
        <f t="shared" si="15"/>
        <v>0</v>
      </c>
      <c r="I32" s="21">
        <f>F32+H32</f>
        <v>0</v>
      </c>
      <c r="J32" s="151">
        <f t="shared" si="31"/>
        <v>9261326</v>
      </c>
      <c r="K32" s="43">
        <f t="shared" si="25"/>
        <v>0</v>
      </c>
      <c r="L32" s="154">
        <f t="shared" si="32"/>
        <v>9265120</v>
      </c>
      <c r="M32" s="43">
        <f t="shared" si="17"/>
        <v>0</v>
      </c>
      <c r="N32" s="151">
        <f t="shared" si="33"/>
        <v>6244827</v>
      </c>
      <c r="O32" s="43">
        <f t="shared" si="26"/>
        <v>0</v>
      </c>
      <c r="P32" s="154">
        <f t="shared" si="34"/>
        <v>5742647</v>
      </c>
      <c r="Q32" s="43">
        <f t="shared" si="18"/>
        <v>0</v>
      </c>
      <c r="R32" s="151">
        <f t="shared" si="19"/>
        <v>19783258</v>
      </c>
      <c r="S32" s="43">
        <f t="shared" si="20"/>
        <v>0</v>
      </c>
      <c r="T32" s="151">
        <v>0</v>
      </c>
      <c r="U32" s="11"/>
      <c r="V32" s="151">
        <f t="shared" si="35"/>
        <v>7673093</v>
      </c>
      <c r="W32" s="43">
        <f t="shared" si="21"/>
        <v>0</v>
      </c>
      <c r="X32" s="21">
        <f t="shared" si="22"/>
        <v>0</v>
      </c>
      <c r="Y32" s="156">
        <f t="shared" si="23"/>
        <v>0</v>
      </c>
      <c r="Z32" s="3">
        <f t="shared" si="24"/>
        <v>0</v>
      </c>
      <c r="AA32" s="3">
        <f t="shared" si="36"/>
        <v>0</v>
      </c>
    </row>
    <row r="33" spans="1:27" ht="16.5" thickBot="1" x14ac:dyDescent="0.3">
      <c r="A33" s="10">
        <v>44592</v>
      </c>
      <c r="B33" s="43">
        <f t="shared" si="27"/>
        <v>181</v>
      </c>
      <c r="C33" s="150">
        <f t="shared" ref="C4:C33" si="49">C32</f>
        <v>19271</v>
      </c>
      <c r="D33" s="43">
        <f t="shared" si="13"/>
        <v>0</v>
      </c>
      <c r="E33" s="151">
        <f t="shared" si="29"/>
        <v>29741618</v>
      </c>
      <c r="F33" s="43">
        <f t="shared" si="14"/>
        <v>0</v>
      </c>
      <c r="G33" s="152">
        <f t="shared" si="30"/>
        <v>93522568</v>
      </c>
      <c r="H33" s="43">
        <f t="shared" si="15"/>
        <v>0</v>
      </c>
      <c r="I33" s="21">
        <f>F33+H33</f>
        <v>0</v>
      </c>
      <c r="J33" s="151">
        <f t="shared" si="31"/>
        <v>9261326</v>
      </c>
      <c r="K33" s="43">
        <f t="shared" si="25"/>
        <v>0</v>
      </c>
      <c r="L33" s="154">
        <f t="shared" si="32"/>
        <v>9265120</v>
      </c>
      <c r="M33" s="43">
        <f t="shared" si="17"/>
        <v>0</v>
      </c>
      <c r="N33" s="151">
        <f t="shared" si="33"/>
        <v>6244827</v>
      </c>
      <c r="O33" s="43">
        <f t="shared" si="26"/>
        <v>0</v>
      </c>
      <c r="P33" s="154">
        <f t="shared" si="34"/>
        <v>5742647</v>
      </c>
      <c r="Q33" s="43">
        <f t="shared" si="18"/>
        <v>0</v>
      </c>
      <c r="R33" s="151">
        <f t="shared" si="19"/>
        <v>19783258</v>
      </c>
      <c r="S33" s="43">
        <f t="shared" si="20"/>
        <v>0</v>
      </c>
      <c r="T33" s="151">
        <v>0</v>
      </c>
      <c r="U33" s="11"/>
      <c r="V33" s="151">
        <f t="shared" si="35"/>
        <v>7673093</v>
      </c>
      <c r="W33" s="43">
        <f t="shared" si="21"/>
        <v>0</v>
      </c>
      <c r="X33" s="21">
        <f t="shared" si="22"/>
        <v>0</v>
      </c>
      <c r="Y33" s="156">
        <f t="shared" si="23"/>
        <v>0</v>
      </c>
      <c r="Z33" s="3">
        <f t="shared" si="24"/>
        <v>0</v>
      </c>
      <c r="AA33" s="3">
        <f t="shared" si="36"/>
        <v>0</v>
      </c>
    </row>
    <row r="34" spans="1:27" ht="16.5" thickBot="1" x14ac:dyDescent="0.3">
      <c r="A34" s="6" t="s">
        <v>23</v>
      </c>
      <c r="B34" s="142">
        <f>SUM(B3:B33)</f>
        <v>5695</v>
      </c>
      <c r="C34" s="142"/>
      <c r="D34" s="142">
        <f>SUM(D3:D33)</f>
        <v>1280</v>
      </c>
      <c r="E34" s="60">
        <v>0</v>
      </c>
      <c r="F34" s="60">
        <f>SUM(F3:F33)</f>
        <v>347292</v>
      </c>
      <c r="G34" s="60">
        <v>0</v>
      </c>
      <c r="H34" s="60">
        <f>SUM(H3:H33)</f>
        <v>146046</v>
      </c>
      <c r="I34" s="60">
        <f>SUM(I6:I33)</f>
        <v>343234</v>
      </c>
      <c r="J34" s="60">
        <v>0</v>
      </c>
      <c r="K34" s="60">
        <f>SUM(K3:K33)</f>
        <v>34432</v>
      </c>
      <c r="L34" s="60">
        <v>0</v>
      </c>
      <c r="M34" s="60">
        <f>SUM(M3:M33)</f>
        <v>23191</v>
      </c>
      <c r="N34" s="60">
        <v>0</v>
      </c>
      <c r="O34" s="60">
        <f>SUM(O3:O33)</f>
        <v>23506</v>
      </c>
      <c r="P34" s="60">
        <v>0</v>
      </c>
      <c r="Q34" s="60">
        <f>SUM(Q3:Q33)</f>
        <v>9496</v>
      </c>
      <c r="R34" s="60">
        <v>0</v>
      </c>
      <c r="S34" s="60">
        <f>SUM(S3:S33)</f>
        <v>36866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39016</v>
      </c>
      <c r="X34" s="60">
        <f>SUM(X6:X33)</f>
        <v>66144</v>
      </c>
      <c r="Y34" s="60">
        <f>SUM(Y3:Y33)</f>
        <v>326831</v>
      </c>
      <c r="Z34" s="60">
        <f>SUM(Z3:Z33)</f>
        <v>23195.348342400001</v>
      </c>
      <c r="AA34" s="60" t="e">
        <f>SUM(AA3:AA33)</f>
        <v>#VALUE!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D7" sqref="D7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 t="e">
        <f t="shared" ref="C2" si="0">(IF((B2-B1)&lt;0,"0",(B2-B1)))*10</f>
        <v>#VALUE!</v>
      </c>
      <c r="D2" s="3">
        <v>1292</v>
      </c>
      <c r="E2" s="43" t="e">
        <f t="shared" ref="E2" si="1">(D2-D1)*10</f>
        <v>#VALUE!</v>
      </c>
      <c r="F2" s="3">
        <v>7381100</v>
      </c>
      <c r="G2" s="43" t="e">
        <f t="shared" ref="G2" si="2">(IF((F2-F1)&lt;0,"0",(F2-F1)))*0.027</f>
        <v>#VALUE!</v>
      </c>
      <c r="H2" s="3">
        <v>766162</v>
      </c>
      <c r="I2" s="48" t="e">
        <f t="shared" ref="I2" si="3">(IF((H2-H1)&lt;0,"0",(H2-H1)))*0.027</f>
        <v>#VALUE!</v>
      </c>
      <c r="J2" s="21" t="e">
        <f t="shared" ref="J2" si="4">C2+E2+G2+I2</f>
        <v>#VALUE!</v>
      </c>
      <c r="K2" s="22" t="e">
        <f t="shared" ref="K2" si="5">J2*5.86</f>
        <v>#VALUE!</v>
      </c>
    </row>
    <row r="3" spans="1:14" ht="16.5" thickBot="1" x14ac:dyDescent="0.3">
      <c r="A3" s="10">
        <v>44562</v>
      </c>
      <c r="B3" s="3">
        <v>435872</v>
      </c>
      <c r="C3" s="43">
        <f t="shared" ref="C3:C8" si="6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6"/>
        <v>780</v>
      </c>
      <c r="D4" s="3">
        <v>1389</v>
      </c>
      <c r="E4" s="43">
        <f t="shared" ref="E4:E33" si="7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8">C4+E4+G4+I4</f>
        <v>1510.2330000000002</v>
      </c>
      <c r="K4" s="22">
        <f t="shared" ref="K4:K33" si="9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6"/>
        <v>720</v>
      </c>
      <c r="D5" s="3">
        <v>1426</v>
      </c>
      <c r="E5" s="43">
        <f t="shared" si="7"/>
        <v>370</v>
      </c>
      <c r="F5" s="3">
        <v>7412500</v>
      </c>
      <c r="G5" s="43">
        <f t="shared" ref="G5:G33" si="10">(IF((F5-F4)&lt;0,"0",(F5-F4)))*0.027</f>
        <v>261.89999999999998</v>
      </c>
      <c r="H5" s="3">
        <v>766672</v>
      </c>
      <c r="I5" s="48">
        <f t="shared" ref="I5:I33" si="11">(IF((H5-H4)&lt;0,"0",(H5-H4)))*0.027</f>
        <v>4.59</v>
      </c>
      <c r="J5" s="21">
        <f t="shared" si="8"/>
        <v>1356.49</v>
      </c>
      <c r="K5" s="22">
        <f t="shared" si="9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6"/>
        <v>780</v>
      </c>
      <c r="D6" s="3">
        <v>1468</v>
      </c>
      <c r="E6" s="43">
        <f t="shared" si="7"/>
        <v>420</v>
      </c>
      <c r="F6" s="3">
        <v>7422900</v>
      </c>
      <c r="G6" s="43">
        <f t="shared" si="10"/>
        <v>280.8</v>
      </c>
      <c r="H6" s="3">
        <v>766890</v>
      </c>
      <c r="I6" s="48">
        <f t="shared" si="11"/>
        <v>5.8860000000000001</v>
      </c>
      <c r="J6" s="21">
        <f t="shared" si="8"/>
        <v>1486.6859999999999</v>
      </c>
      <c r="K6" s="22">
        <f t="shared" si="9"/>
        <v>8711.9799600000006</v>
      </c>
    </row>
    <row r="7" spans="1:14" ht="16.5" thickBot="1" x14ac:dyDescent="0.3">
      <c r="A7" s="10">
        <v>44566</v>
      </c>
      <c r="B7" s="3">
        <f t="shared" ref="B4:B33" si="12">B6</f>
        <v>436100</v>
      </c>
      <c r="C7" s="43">
        <f t="shared" si="6"/>
        <v>0</v>
      </c>
      <c r="D7" s="3">
        <f t="shared" ref="D4:D33" si="13">D6</f>
        <v>1468</v>
      </c>
      <c r="E7" s="43">
        <f t="shared" si="7"/>
        <v>0</v>
      </c>
      <c r="F7" s="3">
        <f t="shared" ref="F4:F33" si="14">F6</f>
        <v>7422900</v>
      </c>
      <c r="G7" s="43">
        <f t="shared" si="10"/>
        <v>0</v>
      </c>
      <c r="H7" s="3">
        <f t="shared" ref="H4:H33" si="15">H6</f>
        <v>766890</v>
      </c>
      <c r="I7" s="48">
        <f t="shared" si="11"/>
        <v>0</v>
      </c>
      <c r="J7" s="21">
        <f t="shared" si="8"/>
        <v>0</v>
      </c>
      <c r="K7" s="22">
        <f t="shared" si="9"/>
        <v>0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f t="shared" si="12"/>
        <v>436100</v>
      </c>
      <c r="C8" s="43">
        <f t="shared" si="6"/>
        <v>0</v>
      </c>
      <c r="D8" s="3">
        <f t="shared" si="13"/>
        <v>1468</v>
      </c>
      <c r="E8" s="43">
        <f t="shared" si="7"/>
        <v>0</v>
      </c>
      <c r="F8" s="3">
        <f t="shared" si="14"/>
        <v>7422900</v>
      </c>
      <c r="G8" s="43">
        <f t="shared" si="10"/>
        <v>0</v>
      </c>
      <c r="H8" s="3">
        <f t="shared" si="15"/>
        <v>766890</v>
      </c>
      <c r="I8" s="48">
        <f t="shared" si="11"/>
        <v>0</v>
      </c>
      <c r="J8" s="21">
        <f t="shared" si="8"/>
        <v>0</v>
      </c>
      <c r="K8" s="22">
        <f t="shared" si="9"/>
        <v>0</v>
      </c>
    </row>
    <row r="9" spans="1:14" ht="16.5" thickBot="1" x14ac:dyDescent="0.3">
      <c r="A9" s="10">
        <v>44568</v>
      </c>
      <c r="B9" s="3">
        <f t="shared" si="12"/>
        <v>436100</v>
      </c>
      <c r="C9" s="43">
        <f t="shared" ref="C9:C33" si="16">(IF((B9-B8)&lt;0,"0",(B9-B8)))*10</f>
        <v>0</v>
      </c>
      <c r="D9" s="3">
        <f t="shared" si="13"/>
        <v>1468</v>
      </c>
      <c r="E9" s="43">
        <f t="shared" si="7"/>
        <v>0</v>
      </c>
      <c r="F9" s="3">
        <f t="shared" si="14"/>
        <v>7422900</v>
      </c>
      <c r="G9" s="43">
        <f t="shared" si="10"/>
        <v>0</v>
      </c>
      <c r="H9" s="3">
        <f t="shared" si="15"/>
        <v>766890</v>
      </c>
      <c r="I9" s="48">
        <f t="shared" si="11"/>
        <v>0</v>
      </c>
      <c r="J9" s="21">
        <f t="shared" si="8"/>
        <v>0</v>
      </c>
      <c r="K9" s="22">
        <f t="shared" si="9"/>
        <v>0</v>
      </c>
    </row>
    <row r="10" spans="1:14" ht="16.5" thickBot="1" x14ac:dyDescent="0.3">
      <c r="A10" s="10">
        <v>44569</v>
      </c>
      <c r="B10" s="3">
        <f t="shared" si="12"/>
        <v>436100</v>
      </c>
      <c r="C10" s="43">
        <f>(IF((B10-B9)&lt;0,"0",(B10-B9)))*10</f>
        <v>0</v>
      </c>
      <c r="D10" s="3">
        <f t="shared" si="13"/>
        <v>1468</v>
      </c>
      <c r="E10" s="43">
        <f t="shared" si="7"/>
        <v>0</v>
      </c>
      <c r="F10" s="3">
        <f t="shared" si="14"/>
        <v>7422900</v>
      </c>
      <c r="G10" s="43">
        <f t="shared" si="10"/>
        <v>0</v>
      </c>
      <c r="H10" s="3">
        <f t="shared" si="15"/>
        <v>766890</v>
      </c>
      <c r="I10" s="48">
        <f t="shared" si="11"/>
        <v>0</v>
      </c>
      <c r="J10" s="21">
        <f t="shared" si="8"/>
        <v>0</v>
      </c>
      <c r="K10" s="22">
        <f t="shared" si="9"/>
        <v>0</v>
      </c>
    </row>
    <row r="11" spans="1:14" ht="16.5" thickBot="1" x14ac:dyDescent="0.3">
      <c r="A11" s="10">
        <v>44570</v>
      </c>
      <c r="B11" s="3">
        <f t="shared" si="12"/>
        <v>436100</v>
      </c>
      <c r="C11" s="43">
        <f t="shared" si="16"/>
        <v>0</v>
      </c>
      <c r="D11" s="3">
        <f t="shared" si="13"/>
        <v>1468</v>
      </c>
      <c r="E11" s="43">
        <f t="shared" si="7"/>
        <v>0</v>
      </c>
      <c r="F11" s="3">
        <f t="shared" si="14"/>
        <v>7422900</v>
      </c>
      <c r="G11" s="43">
        <f t="shared" si="10"/>
        <v>0</v>
      </c>
      <c r="H11" s="3">
        <f t="shared" si="15"/>
        <v>766890</v>
      </c>
      <c r="I11" s="48">
        <f t="shared" si="11"/>
        <v>0</v>
      </c>
      <c r="J11" s="21">
        <f t="shared" si="8"/>
        <v>0</v>
      </c>
      <c r="K11" s="22">
        <f t="shared" si="9"/>
        <v>0</v>
      </c>
      <c r="N11" t="s">
        <v>12</v>
      </c>
    </row>
    <row r="12" spans="1:14" ht="16.5" thickBot="1" x14ac:dyDescent="0.3">
      <c r="A12" s="10">
        <v>44571</v>
      </c>
      <c r="B12" s="3">
        <f t="shared" si="12"/>
        <v>436100</v>
      </c>
      <c r="C12" s="43">
        <f t="shared" si="16"/>
        <v>0</v>
      </c>
      <c r="D12" s="3">
        <f t="shared" si="13"/>
        <v>1468</v>
      </c>
      <c r="E12" s="43">
        <f t="shared" si="7"/>
        <v>0</v>
      </c>
      <c r="F12" s="3">
        <f t="shared" si="14"/>
        <v>7422900</v>
      </c>
      <c r="G12" s="43">
        <f t="shared" si="10"/>
        <v>0</v>
      </c>
      <c r="H12" s="3">
        <f t="shared" si="15"/>
        <v>766890</v>
      </c>
      <c r="I12" s="48">
        <f t="shared" si="11"/>
        <v>0</v>
      </c>
      <c r="J12" s="21">
        <f t="shared" si="8"/>
        <v>0</v>
      </c>
      <c r="K12" s="22">
        <f t="shared" si="9"/>
        <v>0</v>
      </c>
    </row>
    <row r="13" spans="1:14" ht="16.5" thickBot="1" x14ac:dyDescent="0.3">
      <c r="A13" s="10">
        <v>44572</v>
      </c>
      <c r="B13" s="3">
        <f t="shared" si="12"/>
        <v>436100</v>
      </c>
      <c r="C13" s="43">
        <f t="shared" si="16"/>
        <v>0</v>
      </c>
      <c r="D13" s="3">
        <f t="shared" si="13"/>
        <v>1468</v>
      </c>
      <c r="E13" s="43">
        <f t="shared" si="7"/>
        <v>0</v>
      </c>
      <c r="F13" s="3">
        <f t="shared" si="14"/>
        <v>7422900</v>
      </c>
      <c r="G13" s="43">
        <f t="shared" si="10"/>
        <v>0</v>
      </c>
      <c r="H13" s="3">
        <f t="shared" si="15"/>
        <v>766890</v>
      </c>
      <c r="I13" s="48">
        <f t="shared" si="11"/>
        <v>0</v>
      </c>
      <c r="J13" s="21">
        <f t="shared" si="8"/>
        <v>0</v>
      </c>
      <c r="K13" s="22">
        <f t="shared" si="9"/>
        <v>0</v>
      </c>
    </row>
    <row r="14" spans="1:14" ht="16.5" thickBot="1" x14ac:dyDescent="0.3">
      <c r="A14" s="10">
        <v>44573</v>
      </c>
      <c r="B14" s="3">
        <f t="shared" si="12"/>
        <v>436100</v>
      </c>
      <c r="C14" s="43">
        <f t="shared" si="16"/>
        <v>0</v>
      </c>
      <c r="D14" s="3">
        <f t="shared" si="13"/>
        <v>1468</v>
      </c>
      <c r="E14" s="43">
        <f t="shared" si="7"/>
        <v>0</v>
      </c>
      <c r="F14" s="3">
        <f t="shared" si="14"/>
        <v>7422900</v>
      </c>
      <c r="G14" s="43">
        <f t="shared" si="10"/>
        <v>0</v>
      </c>
      <c r="H14" s="3">
        <f t="shared" si="15"/>
        <v>766890</v>
      </c>
      <c r="I14" s="48">
        <f t="shared" si="11"/>
        <v>0</v>
      </c>
      <c r="J14" s="21">
        <f t="shared" si="8"/>
        <v>0</v>
      </c>
      <c r="K14" s="22">
        <f t="shared" si="9"/>
        <v>0</v>
      </c>
    </row>
    <row r="15" spans="1:14" ht="16.5" thickBot="1" x14ac:dyDescent="0.3">
      <c r="A15" s="10">
        <v>44574</v>
      </c>
      <c r="B15" s="3">
        <f t="shared" si="12"/>
        <v>436100</v>
      </c>
      <c r="C15" s="43">
        <f t="shared" si="16"/>
        <v>0</v>
      </c>
      <c r="D15" s="3">
        <f t="shared" si="13"/>
        <v>1468</v>
      </c>
      <c r="E15" s="43">
        <f t="shared" si="7"/>
        <v>0</v>
      </c>
      <c r="F15" s="3">
        <f t="shared" si="14"/>
        <v>7422900</v>
      </c>
      <c r="G15" s="43">
        <f t="shared" si="10"/>
        <v>0</v>
      </c>
      <c r="H15" s="3">
        <f t="shared" si="15"/>
        <v>766890</v>
      </c>
      <c r="I15" s="48">
        <f t="shared" si="11"/>
        <v>0</v>
      </c>
      <c r="J15" s="21">
        <f t="shared" si="8"/>
        <v>0</v>
      </c>
      <c r="K15" s="22">
        <f t="shared" si="9"/>
        <v>0</v>
      </c>
    </row>
    <row r="16" spans="1:14" ht="16.5" thickBot="1" x14ac:dyDescent="0.3">
      <c r="A16" s="10">
        <v>44575</v>
      </c>
      <c r="B16" s="3">
        <f t="shared" si="12"/>
        <v>436100</v>
      </c>
      <c r="C16" s="43">
        <f t="shared" si="16"/>
        <v>0</v>
      </c>
      <c r="D16" s="3">
        <f t="shared" si="13"/>
        <v>1468</v>
      </c>
      <c r="E16" s="43">
        <f t="shared" si="7"/>
        <v>0</v>
      </c>
      <c r="F16" s="3">
        <f t="shared" si="14"/>
        <v>7422900</v>
      </c>
      <c r="G16" s="43">
        <f t="shared" si="10"/>
        <v>0</v>
      </c>
      <c r="H16" s="3">
        <f t="shared" si="15"/>
        <v>766890</v>
      </c>
      <c r="I16" s="48">
        <f t="shared" si="11"/>
        <v>0</v>
      </c>
      <c r="J16" s="21">
        <f t="shared" si="8"/>
        <v>0</v>
      </c>
      <c r="K16" s="22">
        <f t="shared" si="9"/>
        <v>0</v>
      </c>
    </row>
    <row r="17" spans="1:25" ht="16.5" thickBot="1" x14ac:dyDescent="0.3">
      <c r="A17" s="10">
        <v>44576</v>
      </c>
      <c r="B17" s="3">
        <f t="shared" si="12"/>
        <v>436100</v>
      </c>
      <c r="C17" s="43">
        <f t="shared" si="16"/>
        <v>0</v>
      </c>
      <c r="D17" s="3">
        <f t="shared" si="13"/>
        <v>1468</v>
      </c>
      <c r="E17" s="43">
        <f t="shared" si="7"/>
        <v>0</v>
      </c>
      <c r="F17" s="3">
        <f t="shared" si="14"/>
        <v>7422900</v>
      </c>
      <c r="G17" s="43">
        <f t="shared" si="10"/>
        <v>0</v>
      </c>
      <c r="H17" s="3">
        <f t="shared" si="15"/>
        <v>766890</v>
      </c>
      <c r="I17" s="48">
        <f t="shared" si="11"/>
        <v>0</v>
      </c>
      <c r="J17" s="21">
        <f t="shared" si="8"/>
        <v>0</v>
      </c>
      <c r="K17" s="22">
        <f t="shared" si="9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12"/>
        <v>436100</v>
      </c>
      <c r="C18" s="43">
        <f t="shared" si="16"/>
        <v>0</v>
      </c>
      <c r="D18" s="3">
        <f t="shared" si="13"/>
        <v>1468</v>
      </c>
      <c r="E18" s="43">
        <f t="shared" si="7"/>
        <v>0</v>
      </c>
      <c r="F18" s="3">
        <f t="shared" si="14"/>
        <v>7422900</v>
      </c>
      <c r="G18" s="43">
        <f t="shared" si="10"/>
        <v>0</v>
      </c>
      <c r="H18" s="3">
        <f t="shared" si="15"/>
        <v>766890</v>
      </c>
      <c r="I18" s="48">
        <f t="shared" si="11"/>
        <v>0</v>
      </c>
      <c r="J18" s="21">
        <f t="shared" si="8"/>
        <v>0</v>
      </c>
      <c r="K18" s="22">
        <f t="shared" si="9"/>
        <v>0</v>
      </c>
      <c r="Q18" t="s">
        <v>43</v>
      </c>
    </row>
    <row r="19" spans="1:25" ht="16.5" thickBot="1" x14ac:dyDescent="0.3">
      <c r="A19" s="10">
        <v>44578</v>
      </c>
      <c r="B19" s="3">
        <f t="shared" si="12"/>
        <v>436100</v>
      </c>
      <c r="C19" s="43">
        <f t="shared" si="16"/>
        <v>0</v>
      </c>
      <c r="D19" s="3">
        <f t="shared" si="13"/>
        <v>1468</v>
      </c>
      <c r="E19" s="43">
        <f t="shared" si="7"/>
        <v>0</v>
      </c>
      <c r="F19" s="3">
        <f t="shared" si="14"/>
        <v>7422900</v>
      </c>
      <c r="G19" s="43">
        <f t="shared" si="10"/>
        <v>0</v>
      </c>
      <c r="H19" s="3">
        <f t="shared" si="15"/>
        <v>766890</v>
      </c>
      <c r="I19" s="48">
        <f t="shared" si="11"/>
        <v>0</v>
      </c>
      <c r="J19" s="21">
        <f t="shared" si="8"/>
        <v>0</v>
      </c>
      <c r="K19" s="22">
        <f t="shared" si="9"/>
        <v>0</v>
      </c>
      <c r="Q19" t="s">
        <v>12</v>
      </c>
    </row>
    <row r="20" spans="1:25" ht="16.5" thickBot="1" x14ac:dyDescent="0.3">
      <c r="A20" s="10">
        <v>44579</v>
      </c>
      <c r="B20" s="3">
        <f t="shared" si="12"/>
        <v>436100</v>
      </c>
      <c r="C20" s="43">
        <f t="shared" si="16"/>
        <v>0</v>
      </c>
      <c r="D20" s="3">
        <f t="shared" si="13"/>
        <v>1468</v>
      </c>
      <c r="E20" s="43">
        <f t="shared" si="7"/>
        <v>0</v>
      </c>
      <c r="F20" s="3">
        <f t="shared" si="14"/>
        <v>7422900</v>
      </c>
      <c r="G20" s="43">
        <f t="shared" si="10"/>
        <v>0</v>
      </c>
      <c r="H20" s="3">
        <f t="shared" si="15"/>
        <v>766890</v>
      </c>
      <c r="I20" s="48">
        <f t="shared" si="11"/>
        <v>0</v>
      </c>
      <c r="J20" s="21">
        <f t="shared" si="8"/>
        <v>0</v>
      </c>
      <c r="K20" s="22">
        <f t="shared" si="9"/>
        <v>0</v>
      </c>
    </row>
    <row r="21" spans="1:25" ht="16.5" thickBot="1" x14ac:dyDescent="0.3">
      <c r="A21" s="10">
        <v>44580</v>
      </c>
      <c r="B21" s="3">
        <f t="shared" si="12"/>
        <v>436100</v>
      </c>
      <c r="C21" s="43">
        <f t="shared" si="16"/>
        <v>0</v>
      </c>
      <c r="D21" s="3">
        <f t="shared" si="13"/>
        <v>1468</v>
      </c>
      <c r="E21" s="43">
        <f t="shared" si="7"/>
        <v>0</v>
      </c>
      <c r="F21" s="3">
        <f t="shared" si="14"/>
        <v>7422900</v>
      </c>
      <c r="G21" s="43">
        <f t="shared" si="10"/>
        <v>0</v>
      </c>
      <c r="H21" s="3">
        <f t="shared" si="15"/>
        <v>766890</v>
      </c>
      <c r="I21" s="48">
        <f t="shared" si="11"/>
        <v>0</v>
      </c>
      <c r="J21" s="21">
        <f t="shared" si="8"/>
        <v>0</v>
      </c>
      <c r="K21" s="22">
        <f t="shared" si="9"/>
        <v>0</v>
      </c>
    </row>
    <row r="22" spans="1:25" ht="16.5" thickBot="1" x14ac:dyDescent="0.3">
      <c r="A22" s="10">
        <v>44581</v>
      </c>
      <c r="B22" s="3">
        <f t="shared" si="12"/>
        <v>436100</v>
      </c>
      <c r="C22" s="43">
        <f t="shared" si="16"/>
        <v>0</v>
      </c>
      <c r="D22" s="3">
        <f t="shared" si="13"/>
        <v>1468</v>
      </c>
      <c r="E22" s="43">
        <f t="shared" si="7"/>
        <v>0</v>
      </c>
      <c r="F22" s="3">
        <f t="shared" si="14"/>
        <v>7422900</v>
      </c>
      <c r="G22" s="43">
        <f t="shared" si="10"/>
        <v>0</v>
      </c>
      <c r="H22" s="3">
        <f t="shared" si="15"/>
        <v>766890</v>
      </c>
      <c r="I22" s="48">
        <f t="shared" si="11"/>
        <v>0</v>
      </c>
      <c r="J22" s="21">
        <f t="shared" si="8"/>
        <v>0</v>
      </c>
      <c r="K22" s="22">
        <f t="shared" si="9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12"/>
        <v>436100</v>
      </c>
      <c r="C23" s="43">
        <f t="shared" si="16"/>
        <v>0</v>
      </c>
      <c r="D23" s="3">
        <f t="shared" si="13"/>
        <v>1468</v>
      </c>
      <c r="E23" s="43">
        <f t="shared" si="7"/>
        <v>0</v>
      </c>
      <c r="F23" s="3">
        <f t="shared" si="14"/>
        <v>7422900</v>
      </c>
      <c r="G23" s="43">
        <f t="shared" si="10"/>
        <v>0</v>
      </c>
      <c r="H23" s="3">
        <f t="shared" si="15"/>
        <v>766890</v>
      </c>
      <c r="I23" s="48">
        <f t="shared" si="11"/>
        <v>0</v>
      </c>
      <c r="J23" s="21">
        <f t="shared" si="8"/>
        <v>0</v>
      </c>
      <c r="K23" s="22">
        <f t="shared" si="9"/>
        <v>0</v>
      </c>
      <c r="Q23" t="s">
        <v>12</v>
      </c>
    </row>
    <row r="24" spans="1:25" ht="16.5" thickBot="1" x14ac:dyDescent="0.3">
      <c r="A24" s="10">
        <v>44583</v>
      </c>
      <c r="B24" s="3">
        <f t="shared" si="12"/>
        <v>436100</v>
      </c>
      <c r="C24" s="43">
        <f t="shared" si="16"/>
        <v>0</v>
      </c>
      <c r="D24" s="3">
        <f t="shared" si="13"/>
        <v>1468</v>
      </c>
      <c r="E24" s="43">
        <f t="shared" si="7"/>
        <v>0</v>
      </c>
      <c r="F24" s="3">
        <f t="shared" si="14"/>
        <v>7422900</v>
      </c>
      <c r="G24" s="43">
        <f t="shared" si="10"/>
        <v>0</v>
      </c>
      <c r="H24" s="3">
        <f t="shared" si="15"/>
        <v>766890</v>
      </c>
      <c r="I24" s="48">
        <f t="shared" si="11"/>
        <v>0</v>
      </c>
      <c r="J24" s="21">
        <f t="shared" si="8"/>
        <v>0</v>
      </c>
      <c r="K24" s="22">
        <f t="shared" si="9"/>
        <v>0</v>
      </c>
    </row>
    <row r="25" spans="1:25" ht="17.25" customHeight="1" thickBot="1" x14ac:dyDescent="0.4">
      <c r="A25" s="10">
        <v>44584</v>
      </c>
      <c r="B25" s="3">
        <f t="shared" si="12"/>
        <v>436100</v>
      </c>
      <c r="C25" s="43">
        <f t="shared" si="16"/>
        <v>0</v>
      </c>
      <c r="D25" s="3">
        <f t="shared" si="13"/>
        <v>1468</v>
      </c>
      <c r="E25" s="43">
        <f t="shared" si="7"/>
        <v>0</v>
      </c>
      <c r="F25" s="3">
        <f t="shared" si="14"/>
        <v>7422900</v>
      </c>
      <c r="G25" s="43">
        <f t="shared" si="10"/>
        <v>0</v>
      </c>
      <c r="H25" s="3">
        <f t="shared" si="15"/>
        <v>766890</v>
      </c>
      <c r="I25" s="48">
        <f t="shared" si="11"/>
        <v>0</v>
      </c>
      <c r="J25" s="21">
        <f t="shared" si="8"/>
        <v>0</v>
      </c>
      <c r="K25" s="22">
        <f t="shared" si="9"/>
        <v>0</v>
      </c>
      <c r="Y25" s="59"/>
    </row>
    <row r="26" spans="1:25" ht="16.5" thickBot="1" x14ac:dyDescent="0.3">
      <c r="A26" s="10">
        <v>44585</v>
      </c>
      <c r="B26" s="3">
        <f t="shared" si="12"/>
        <v>436100</v>
      </c>
      <c r="C26" s="43">
        <f t="shared" si="16"/>
        <v>0</v>
      </c>
      <c r="D26" s="3">
        <f t="shared" si="13"/>
        <v>1468</v>
      </c>
      <c r="E26" s="43">
        <f t="shared" si="7"/>
        <v>0</v>
      </c>
      <c r="F26" s="3">
        <f t="shared" si="14"/>
        <v>7422900</v>
      </c>
      <c r="G26" s="43">
        <f t="shared" si="10"/>
        <v>0</v>
      </c>
      <c r="H26" s="3">
        <f t="shared" si="15"/>
        <v>766890</v>
      </c>
      <c r="I26" s="48">
        <f t="shared" si="11"/>
        <v>0</v>
      </c>
      <c r="J26" s="21">
        <f t="shared" si="8"/>
        <v>0</v>
      </c>
      <c r="K26" s="22">
        <f t="shared" si="9"/>
        <v>0</v>
      </c>
      <c r="L26" t="s">
        <v>12</v>
      </c>
    </row>
    <row r="27" spans="1:25" ht="16.5" thickBot="1" x14ac:dyDescent="0.3">
      <c r="A27" s="10">
        <v>44586</v>
      </c>
      <c r="B27" s="3">
        <f t="shared" si="12"/>
        <v>436100</v>
      </c>
      <c r="C27" s="43">
        <f t="shared" si="16"/>
        <v>0</v>
      </c>
      <c r="D27" s="3">
        <f t="shared" si="13"/>
        <v>1468</v>
      </c>
      <c r="E27" s="43">
        <f t="shared" si="7"/>
        <v>0</v>
      </c>
      <c r="F27" s="3">
        <f t="shared" si="14"/>
        <v>7422900</v>
      </c>
      <c r="G27" s="43">
        <f t="shared" si="10"/>
        <v>0</v>
      </c>
      <c r="H27" s="3">
        <f t="shared" si="15"/>
        <v>766890</v>
      </c>
      <c r="I27" s="48">
        <f t="shared" si="11"/>
        <v>0</v>
      </c>
      <c r="J27" s="21">
        <f t="shared" si="8"/>
        <v>0</v>
      </c>
      <c r="K27" s="22">
        <f t="shared" si="9"/>
        <v>0</v>
      </c>
      <c r="O27" t="s">
        <v>12</v>
      </c>
    </row>
    <row r="28" spans="1:25" ht="16.5" thickBot="1" x14ac:dyDescent="0.3">
      <c r="A28" s="10">
        <v>44587</v>
      </c>
      <c r="B28" s="3">
        <f t="shared" si="12"/>
        <v>436100</v>
      </c>
      <c r="C28" s="43">
        <f t="shared" si="16"/>
        <v>0</v>
      </c>
      <c r="D28" s="3">
        <f t="shared" si="13"/>
        <v>1468</v>
      </c>
      <c r="E28" s="43">
        <f t="shared" si="7"/>
        <v>0</v>
      </c>
      <c r="F28" s="3">
        <f t="shared" si="14"/>
        <v>7422900</v>
      </c>
      <c r="G28" s="43">
        <f t="shared" si="10"/>
        <v>0</v>
      </c>
      <c r="H28" s="3">
        <f t="shared" si="15"/>
        <v>766890</v>
      </c>
      <c r="I28" s="48">
        <f t="shared" si="11"/>
        <v>0</v>
      </c>
      <c r="J28" s="21">
        <f t="shared" si="8"/>
        <v>0</v>
      </c>
      <c r="K28" s="22">
        <f t="shared" si="9"/>
        <v>0</v>
      </c>
    </row>
    <row r="29" spans="1:25" ht="16.5" thickBot="1" x14ac:dyDescent="0.3">
      <c r="A29" s="10">
        <v>44588</v>
      </c>
      <c r="B29" s="3">
        <f t="shared" si="12"/>
        <v>436100</v>
      </c>
      <c r="C29" s="43">
        <f t="shared" si="16"/>
        <v>0</v>
      </c>
      <c r="D29" s="3">
        <f t="shared" si="13"/>
        <v>1468</v>
      </c>
      <c r="E29" s="43">
        <f t="shared" si="7"/>
        <v>0</v>
      </c>
      <c r="F29" s="3">
        <f t="shared" si="14"/>
        <v>7422900</v>
      </c>
      <c r="G29" s="43">
        <f t="shared" si="10"/>
        <v>0</v>
      </c>
      <c r="H29" s="3">
        <f t="shared" si="15"/>
        <v>766890</v>
      </c>
      <c r="I29" s="48">
        <f t="shared" si="11"/>
        <v>0</v>
      </c>
      <c r="J29" s="21">
        <f t="shared" si="8"/>
        <v>0</v>
      </c>
      <c r="K29" s="22">
        <f t="shared" si="9"/>
        <v>0</v>
      </c>
    </row>
    <row r="30" spans="1:25" ht="16.5" thickBot="1" x14ac:dyDescent="0.3">
      <c r="A30" s="10">
        <v>44589</v>
      </c>
      <c r="B30" s="3">
        <f t="shared" si="12"/>
        <v>436100</v>
      </c>
      <c r="C30" s="43">
        <f t="shared" si="16"/>
        <v>0</v>
      </c>
      <c r="D30" s="3">
        <f t="shared" si="13"/>
        <v>1468</v>
      </c>
      <c r="E30" s="43">
        <f t="shared" si="7"/>
        <v>0</v>
      </c>
      <c r="F30" s="3">
        <f t="shared" si="14"/>
        <v>7422900</v>
      </c>
      <c r="G30" s="43">
        <f t="shared" si="10"/>
        <v>0</v>
      </c>
      <c r="H30" s="3">
        <f t="shared" si="15"/>
        <v>766890</v>
      </c>
      <c r="I30" s="48">
        <f t="shared" si="11"/>
        <v>0</v>
      </c>
      <c r="J30" s="21">
        <f t="shared" si="8"/>
        <v>0</v>
      </c>
      <c r="K30" s="22">
        <f t="shared" si="9"/>
        <v>0</v>
      </c>
    </row>
    <row r="31" spans="1:25" ht="16.5" thickBot="1" x14ac:dyDescent="0.3">
      <c r="A31" s="10">
        <v>44590</v>
      </c>
      <c r="B31" s="3">
        <f t="shared" si="12"/>
        <v>436100</v>
      </c>
      <c r="C31" s="43">
        <f t="shared" si="16"/>
        <v>0</v>
      </c>
      <c r="D31" s="3">
        <f t="shared" si="13"/>
        <v>1468</v>
      </c>
      <c r="E31" s="43">
        <f t="shared" si="7"/>
        <v>0</v>
      </c>
      <c r="F31" s="3">
        <f t="shared" si="14"/>
        <v>7422900</v>
      </c>
      <c r="G31" s="43">
        <f t="shared" si="10"/>
        <v>0</v>
      </c>
      <c r="H31" s="3">
        <f t="shared" si="15"/>
        <v>766890</v>
      </c>
      <c r="I31" s="48">
        <f t="shared" si="11"/>
        <v>0</v>
      </c>
      <c r="J31" s="21">
        <f t="shared" si="8"/>
        <v>0</v>
      </c>
      <c r="K31" s="22">
        <f t="shared" si="9"/>
        <v>0</v>
      </c>
    </row>
    <row r="32" spans="1:25" ht="16.5" thickBot="1" x14ac:dyDescent="0.3">
      <c r="A32" s="10">
        <v>44591</v>
      </c>
      <c r="B32" s="3">
        <f t="shared" si="12"/>
        <v>436100</v>
      </c>
      <c r="C32" s="43">
        <f t="shared" si="16"/>
        <v>0</v>
      </c>
      <c r="D32" s="3">
        <f t="shared" si="13"/>
        <v>1468</v>
      </c>
      <c r="E32" s="43">
        <f t="shared" si="7"/>
        <v>0</v>
      </c>
      <c r="F32" s="3">
        <f t="shared" si="14"/>
        <v>7422900</v>
      </c>
      <c r="G32" s="43">
        <f t="shared" si="10"/>
        <v>0</v>
      </c>
      <c r="H32" s="3">
        <f t="shared" si="15"/>
        <v>766890</v>
      </c>
      <c r="I32" s="48">
        <f t="shared" si="11"/>
        <v>0</v>
      </c>
      <c r="J32" s="21">
        <f t="shared" si="8"/>
        <v>0</v>
      </c>
      <c r="K32" s="22">
        <f t="shared" si="9"/>
        <v>0</v>
      </c>
    </row>
    <row r="33" spans="1:11" ht="16.5" thickBot="1" x14ac:dyDescent="0.3">
      <c r="A33" s="10">
        <v>44592</v>
      </c>
      <c r="B33" s="3">
        <f t="shared" si="12"/>
        <v>436100</v>
      </c>
      <c r="C33" s="43">
        <f t="shared" si="16"/>
        <v>0</v>
      </c>
      <c r="D33" s="3">
        <f t="shared" si="13"/>
        <v>1468</v>
      </c>
      <c r="E33" s="43">
        <f t="shared" si="7"/>
        <v>0</v>
      </c>
      <c r="F33" s="3">
        <f t="shared" si="14"/>
        <v>7422900</v>
      </c>
      <c r="G33" s="43">
        <f t="shared" si="10"/>
        <v>0</v>
      </c>
      <c r="H33" s="3">
        <f t="shared" si="15"/>
        <v>766890</v>
      </c>
      <c r="I33" s="48">
        <f t="shared" si="11"/>
        <v>0</v>
      </c>
      <c r="J33" s="21">
        <f t="shared" si="8"/>
        <v>0</v>
      </c>
      <c r="K33" s="22">
        <f t="shared" si="9"/>
        <v>0</v>
      </c>
    </row>
    <row r="34" spans="1:11" ht="21" thickBot="1" x14ac:dyDescent="0.3">
      <c r="A34" s="9" t="s">
        <v>23</v>
      </c>
      <c r="B34" s="3"/>
      <c r="C34" s="60">
        <f>SUM(C4:C33)</f>
        <v>2280</v>
      </c>
      <c r="D34" s="3"/>
      <c r="E34" s="60">
        <f>SUM(E4:E33)</f>
        <v>1240</v>
      </c>
      <c r="F34" s="3"/>
      <c r="G34" s="60">
        <f>SUM(G4:G33)</f>
        <v>818.09999999999991</v>
      </c>
      <c r="H34" s="3"/>
      <c r="I34" s="60">
        <f>SUM(I4:I33)</f>
        <v>15.309000000000001</v>
      </c>
      <c r="J34" s="60">
        <f>SUM(J4:J33)</f>
        <v>4353.4089999999997</v>
      </c>
      <c r="K34" s="60">
        <f>SUM(K4:K33)</f>
        <v>25510.976740000002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6" sqref="A6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 t="e">
        <f t="shared" ref="C2" si="0">IF((B2-B1)&lt;0,"0",(B2-B1))</f>
        <v>#VALUE!</v>
      </c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1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1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f t="shared" ref="B4:B33" si="2">B6</f>
        <v>17882953</v>
      </c>
      <c r="C7" s="49">
        <f>IF((B7-B6)&lt;0,"0",(B7-B6))</f>
        <v>0</v>
      </c>
    </row>
    <row r="8" spans="1:9" ht="24" thickBot="1" x14ac:dyDescent="0.4">
      <c r="A8" s="10">
        <v>44567</v>
      </c>
      <c r="B8" s="137">
        <f t="shared" si="2"/>
        <v>17882953</v>
      </c>
      <c r="C8" s="49">
        <f>IF((B8-B7)&lt;0,"0",(B8-B7))</f>
        <v>0</v>
      </c>
    </row>
    <row r="9" spans="1:9" ht="24" thickBot="1" x14ac:dyDescent="0.4">
      <c r="A9" s="10">
        <v>44568</v>
      </c>
      <c r="B9" s="137">
        <f t="shared" si="2"/>
        <v>17882953</v>
      </c>
      <c r="C9" s="49">
        <f>IF((B9-B8)&lt;0,"0",(B9-B8))</f>
        <v>0</v>
      </c>
    </row>
    <row r="10" spans="1:9" ht="24" thickBot="1" x14ac:dyDescent="0.4">
      <c r="A10" s="10">
        <v>44569</v>
      </c>
      <c r="B10" s="137">
        <f t="shared" si="2"/>
        <v>17882953</v>
      </c>
      <c r="C10" s="49">
        <f t="shared" si="1"/>
        <v>0</v>
      </c>
    </row>
    <row r="11" spans="1:9" ht="24" thickBot="1" x14ac:dyDescent="0.4">
      <c r="A11" s="10">
        <v>44570</v>
      </c>
      <c r="B11" s="137">
        <f t="shared" si="2"/>
        <v>17882953</v>
      </c>
      <c r="C11" s="49">
        <f>IF((B11-B10)&lt;0,"0",(B11-B10))</f>
        <v>0</v>
      </c>
    </row>
    <row r="12" spans="1:9" ht="24" thickBot="1" x14ac:dyDescent="0.4">
      <c r="A12" s="10">
        <v>44571</v>
      </c>
      <c r="B12" s="137">
        <f t="shared" si="2"/>
        <v>17882953</v>
      </c>
      <c r="C12" s="49">
        <f t="shared" si="1"/>
        <v>0</v>
      </c>
    </row>
    <row r="13" spans="1:9" ht="24" thickBot="1" x14ac:dyDescent="0.4">
      <c r="A13" s="10">
        <v>44572</v>
      </c>
      <c r="B13" s="137">
        <f t="shared" si="2"/>
        <v>17882953</v>
      </c>
      <c r="C13" s="49">
        <f t="shared" si="1"/>
        <v>0</v>
      </c>
    </row>
    <row r="14" spans="1:9" ht="24" thickBot="1" x14ac:dyDescent="0.4">
      <c r="A14" s="10">
        <v>44573</v>
      </c>
      <c r="B14" s="137">
        <f t="shared" si="2"/>
        <v>17882953</v>
      </c>
      <c r="C14" s="49">
        <f t="shared" si="1"/>
        <v>0</v>
      </c>
    </row>
    <row r="15" spans="1:9" ht="24" thickBot="1" x14ac:dyDescent="0.4">
      <c r="A15" s="10">
        <v>44574</v>
      </c>
      <c r="B15" s="137">
        <f t="shared" si="2"/>
        <v>17882953</v>
      </c>
      <c r="C15" s="49">
        <f t="shared" si="1"/>
        <v>0</v>
      </c>
      <c r="I15" t="s">
        <v>12</v>
      </c>
    </row>
    <row r="16" spans="1:9" ht="26.25" customHeight="1" thickBot="1" x14ac:dyDescent="0.4">
      <c r="A16" s="10">
        <v>44575</v>
      </c>
      <c r="B16" s="137">
        <f t="shared" si="2"/>
        <v>17882953</v>
      </c>
      <c r="C16" s="49">
        <f t="shared" si="1"/>
        <v>0</v>
      </c>
    </row>
    <row r="17" spans="1:9" ht="25.5" customHeight="1" thickBot="1" x14ac:dyDescent="0.4">
      <c r="A17" s="10">
        <v>44576</v>
      </c>
      <c r="B17" s="137">
        <f t="shared" si="2"/>
        <v>17882953</v>
      </c>
      <c r="C17" s="49">
        <f t="shared" si="1"/>
        <v>0</v>
      </c>
    </row>
    <row r="18" spans="1:9" ht="24" thickBot="1" x14ac:dyDescent="0.4">
      <c r="A18" s="10">
        <v>44577</v>
      </c>
      <c r="B18" s="137">
        <f t="shared" si="2"/>
        <v>17882953</v>
      </c>
      <c r="C18" s="49">
        <f t="shared" si="1"/>
        <v>0</v>
      </c>
    </row>
    <row r="19" spans="1:9" ht="24" thickBot="1" x14ac:dyDescent="0.4">
      <c r="A19" s="10">
        <v>44578</v>
      </c>
      <c r="B19" s="137">
        <f t="shared" si="2"/>
        <v>17882953</v>
      </c>
      <c r="C19" s="49">
        <f t="shared" si="1"/>
        <v>0</v>
      </c>
    </row>
    <row r="20" spans="1:9" ht="24" thickBot="1" x14ac:dyDescent="0.4">
      <c r="A20" s="10">
        <v>44579</v>
      </c>
      <c r="B20" s="137">
        <f t="shared" si="2"/>
        <v>17882953</v>
      </c>
      <c r="C20" s="49">
        <f t="shared" si="1"/>
        <v>0</v>
      </c>
    </row>
    <row r="21" spans="1:9" ht="24" thickBot="1" x14ac:dyDescent="0.4">
      <c r="A21" s="10">
        <v>44580</v>
      </c>
      <c r="B21" s="137">
        <f t="shared" si="2"/>
        <v>17882953</v>
      </c>
      <c r="C21" s="49">
        <f t="shared" si="1"/>
        <v>0</v>
      </c>
    </row>
    <row r="22" spans="1:9" ht="24" thickBot="1" x14ac:dyDescent="0.4">
      <c r="A22" s="10">
        <v>44581</v>
      </c>
      <c r="B22" s="137">
        <f t="shared" si="2"/>
        <v>17882953</v>
      </c>
      <c r="C22" s="49">
        <f t="shared" si="1"/>
        <v>0</v>
      </c>
    </row>
    <row r="23" spans="1:9" ht="24" thickBot="1" x14ac:dyDescent="0.4">
      <c r="A23" s="10">
        <v>44582</v>
      </c>
      <c r="B23" s="137">
        <f t="shared" si="2"/>
        <v>17882953</v>
      </c>
      <c r="C23" s="49">
        <f t="shared" si="1"/>
        <v>0</v>
      </c>
      <c r="F23" t="s">
        <v>12</v>
      </c>
    </row>
    <row r="24" spans="1:9" ht="24" thickBot="1" x14ac:dyDescent="0.4">
      <c r="A24" s="10">
        <v>44583</v>
      </c>
      <c r="B24" s="137">
        <f t="shared" si="2"/>
        <v>17882953</v>
      </c>
      <c r="C24" s="49">
        <f t="shared" si="1"/>
        <v>0</v>
      </c>
      <c r="E24" t="s">
        <v>12</v>
      </c>
    </row>
    <row r="25" spans="1:9" ht="24" thickBot="1" x14ac:dyDescent="0.4">
      <c r="A25" s="10">
        <v>44584</v>
      </c>
      <c r="B25" s="137">
        <f t="shared" si="2"/>
        <v>17882953</v>
      </c>
      <c r="C25" s="49">
        <f t="shared" si="1"/>
        <v>0</v>
      </c>
    </row>
    <row r="26" spans="1:9" ht="24" thickBot="1" x14ac:dyDescent="0.4">
      <c r="A26" s="10">
        <v>44585</v>
      </c>
      <c r="B26" s="137">
        <f t="shared" si="2"/>
        <v>17882953</v>
      </c>
      <c r="C26" s="49">
        <f t="shared" si="1"/>
        <v>0</v>
      </c>
    </row>
    <row r="27" spans="1:9" ht="24" thickBot="1" x14ac:dyDescent="0.4">
      <c r="A27" s="10">
        <v>44586</v>
      </c>
      <c r="B27" s="137">
        <f t="shared" si="2"/>
        <v>17882953</v>
      </c>
      <c r="C27" s="49">
        <f t="shared" si="1"/>
        <v>0</v>
      </c>
    </row>
    <row r="28" spans="1:9" ht="24" thickBot="1" x14ac:dyDescent="0.4">
      <c r="A28" s="10">
        <v>44587</v>
      </c>
      <c r="B28" s="137">
        <f t="shared" si="2"/>
        <v>17882953</v>
      </c>
      <c r="C28" s="49">
        <f t="shared" si="1"/>
        <v>0</v>
      </c>
      <c r="I28" t="s">
        <v>12</v>
      </c>
    </row>
    <row r="29" spans="1:9" ht="24" thickBot="1" x14ac:dyDescent="0.4">
      <c r="A29" s="10">
        <v>44588</v>
      </c>
      <c r="B29" s="137">
        <f t="shared" si="2"/>
        <v>17882953</v>
      </c>
      <c r="C29" s="49">
        <f t="shared" si="1"/>
        <v>0</v>
      </c>
    </row>
    <row r="30" spans="1:9" ht="24" thickBot="1" x14ac:dyDescent="0.4">
      <c r="A30" s="10">
        <v>44589</v>
      </c>
      <c r="B30" s="137">
        <f t="shared" si="2"/>
        <v>17882953</v>
      </c>
      <c r="C30" s="49">
        <f t="shared" si="1"/>
        <v>0</v>
      </c>
    </row>
    <row r="31" spans="1:9" ht="24" thickBot="1" x14ac:dyDescent="0.4">
      <c r="A31" s="10">
        <v>44590</v>
      </c>
      <c r="B31" s="137">
        <f t="shared" si="2"/>
        <v>17882953</v>
      </c>
      <c r="C31" s="49">
        <f t="shared" si="1"/>
        <v>0</v>
      </c>
    </row>
    <row r="32" spans="1:9" ht="24" thickBot="1" x14ac:dyDescent="0.4">
      <c r="A32" s="10">
        <v>44591</v>
      </c>
      <c r="B32" s="137">
        <f t="shared" si="2"/>
        <v>17882953</v>
      </c>
      <c r="C32" s="49">
        <f t="shared" si="1"/>
        <v>0</v>
      </c>
    </row>
    <row r="33" spans="1:3" ht="24" thickBot="1" x14ac:dyDescent="0.4">
      <c r="A33" s="10">
        <v>44592</v>
      </c>
      <c r="B33" s="137">
        <f t="shared" si="2"/>
        <v>17882953</v>
      </c>
      <c r="C33" s="49">
        <f t="shared" si="1"/>
        <v>0</v>
      </c>
    </row>
    <row r="34" spans="1:3" ht="24" thickBot="1" x14ac:dyDescent="0.4">
      <c r="A34" s="171" t="s">
        <v>138</v>
      </c>
      <c r="B34" s="172"/>
      <c r="C34" s="140">
        <f>SUM(C4:C33)</f>
        <v>9431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6" sqref="A6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 t="e">
        <f t="shared" ref="C2" si="0">IF((B2-B1)&lt;0,"0",(B2-B1))</f>
        <v>#VALUE!</v>
      </c>
      <c r="D2" s="32" t="e">
        <f t="shared" ref="D2" si="1">C2*1.9*1000</f>
        <v>#VALUE!</v>
      </c>
      <c r="E2" s="1">
        <v>4083.9</v>
      </c>
      <c r="F2" s="48" t="e">
        <f t="shared" ref="F2" si="2">IF((E2-E1)&lt;0,"0",(E2-E1))</f>
        <v>#VALUE!</v>
      </c>
      <c r="G2" s="32" t="e">
        <f t="shared" ref="G2" si="3">F2*1.9*1000</f>
        <v>#VALUE!</v>
      </c>
      <c r="H2" s="1">
        <v>4553</v>
      </c>
      <c r="I2" s="48" t="e">
        <f t="shared" ref="I2" si="4">IF((H2-H1)&lt;0,"0",(H2-H1))</f>
        <v>#VALUE!</v>
      </c>
      <c r="J2" s="32" t="e">
        <f t="shared" ref="J2" si="5">I2*1.9*1000</f>
        <v>#VALUE!</v>
      </c>
      <c r="K2" s="7">
        <v>13883.09</v>
      </c>
      <c r="L2" s="48" t="e">
        <f t="shared" ref="L2" si="6">IF((K2-K1)&lt;0,"0",(K2-K1))</f>
        <v>#VALUE!</v>
      </c>
      <c r="M2" s="32" t="e">
        <f t="shared" ref="M2" si="7">L2*1.9*1000</f>
        <v>#VALUE!</v>
      </c>
      <c r="N2" s="7">
        <v>3369</v>
      </c>
      <c r="O2" s="48" t="e">
        <f t="shared" ref="O2" si="8">IF((N2-N1)&lt;0,"0",(N2-N1))</f>
        <v>#VALUE!</v>
      </c>
      <c r="P2" s="32" t="e">
        <f t="shared" ref="P2" si="9">O2*1.9*1000</f>
        <v>#VALUE!</v>
      </c>
      <c r="Q2" s="7">
        <v>5289.9</v>
      </c>
      <c r="R2" s="48" t="e">
        <f t="shared" ref="R2" si="10">IF((Q2-Q1)&lt;0,"0",(Q2-Q1))</f>
        <v>#VALUE!</v>
      </c>
      <c r="S2" s="32" t="e">
        <f t="shared" ref="S2" si="11">R2*1.9*1000</f>
        <v>#VALUE!</v>
      </c>
      <c r="T2" s="8" t="e">
        <f t="shared" ref="T2" si="12">C2+F2+I2+L2+O2+R2</f>
        <v>#VALUE!</v>
      </c>
      <c r="U2" s="34" t="e">
        <f t="shared" ref="U2" si="13">T2*1.9*1000</f>
        <v>#VALUE!</v>
      </c>
      <c r="V2"/>
      <c r="W2" s="162">
        <v>44561</v>
      </c>
      <c r="X2" s="163">
        <v>163330</v>
      </c>
      <c r="Y2" s="169">
        <f t="shared" ref="Y2" si="14">X2-X1</f>
        <v>163330</v>
      </c>
      <c r="Z2" s="163">
        <v>8244</v>
      </c>
      <c r="AA2" s="169">
        <f t="shared" ref="AA2" si="15">Z2-Z1</f>
        <v>8244</v>
      </c>
      <c r="AB2" s="163">
        <v>18.78</v>
      </c>
      <c r="AC2" s="169">
        <v>0</v>
      </c>
      <c r="AD2" s="163">
        <v>85</v>
      </c>
      <c r="AE2" s="169" t="e">
        <f t="shared" ref="AE2" si="16">AD2-AD1</f>
        <v>#VALUE!</v>
      </c>
      <c r="AF2" s="163">
        <v>5234</v>
      </c>
      <c r="AG2" s="169" t="e">
        <f t="shared" ref="AG2" si="17">AF2-AF1</f>
        <v>#VALUE!</v>
      </c>
    </row>
    <row r="3" spans="1:33" ht="16.5" thickBot="1" x14ac:dyDescent="0.25">
      <c r="A3" s="10">
        <v>44562</v>
      </c>
      <c r="B3" s="165">
        <v>22788.09</v>
      </c>
      <c r="C3" s="48">
        <f t="shared" ref="C3" si="18">IF((B3-B2)&lt;0,"0",(B3-B2))</f>
        <v>2.1630000000004657</v>
      </c>
      <c r="D3" s="32">
        <f t="shared" ref="D3" si="19">C3*1.9*1000</f>
        <v>4109.7000000008848</v>
      </c>
      <c r="E3" s="1">
        <v>4084.395</v>
      </c>
      <c r="F3" s="48">
        <f t="shared" ref="F3" si="20">IF((E3-E2)&lt;0,"0",(E3-E2))</f>
        <v>0.49499999999989086</v>
      </c>
      <c r="G3" s="32">
        <f t="shared" ref="G3" si="21">F3*1.9*1000</f>
        <v>940.49999999979264</v>
      </c>
      <c r="H3" s="1">
        <v>4557</v>
      </c>
      <c r="I3" s="48">
        <f t="shared" ref="I3" si="22">IF((H3-H2)&lt;0,"0",(H3-H2))</f>
        <v>4</v>
      </c>
      <c r="J3" s="32">
        <f t="shared" ref="J3" si="23">I3*1.9*1000</f>
        <v>7600</v>
      </c>
      <c r="K3" s="7">
        <v>13883.09</v>
      </c>
      <c r="L3" s="48">
        <f t="shared" ref="L3" si="24">IF((K3-K2)&lt;0,"0",(K3-K2))</f>
        <v>0</v>
      </c>
      <c r="M3" s="32">
        <f t="shared" ref="M3" si="25">L3*1.9*1000</f>
        <v>0</v>
      </c>
      <c r="N3" s="7">
        <v>3370.3890000000001</v>
      </c>
      <c r="O3" s="48">
        <f t="shared" ref="O3" si="26">IF((N3-N2)&lt;0,"0",(N3-N2))</f>
        <v>1.3890000000001237</v>
      </c>
      <c r="P3" s="32">
        <f t="shared" ref="P3" si="27">O3*1.9*1000</f>
        <v>2639.100000000235</v>
      </c>
      <c r="Q3" s="7">
        <v>5290.56</v>
      </c>
      <c r="R3" s="48">
        <f t="shared" ref="R3" si="28">IF((Q3-Q2)&lt;0,"0",(Q3-Q2))</f>
        <v>0.66000000000076398</v>
      </c>
      <c r="S3" s="32">
        <f t="shared" ref="S3" si="29">R3*1.9*1000</f>
        <v>1254.0000000014516</v>
      </c>
      <c r="T3" s="8">
        <f>C3+F3+I3+L3+O3+R3</f>
        <v>8.7070000000012442</v>
      </c>
      <c r="U3" s="34">
        <f t="shared" ref="U3" si="30">T3*1.9*1000</f>
        <v>16543.300000002364</v>
      </c>
      <c r="W3" s="162">
        <v>44562</v>
      </c>
      <c r="X3" s="163">
        <v>163383</v>
      </c>
      <c r="Y3" s="168">
        <f t="shared" ref="Y3" si="31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32">IF((B4-B3)&lt;0,"0",(B4-B3))</f>
        <v>2.2049999999981083</v>
      </c>
      <c r="D4" s="32">
        <f t="shared" ref="D4:D33" si="33">C4*1.9*1000</f>
        <v>4189.4999999964057</v>
      </c>
      <c r="E4" s="1">
        <v>4085.1</v>
      </c>
      <c r="F4" s="48">
        <f t="shared" ref="F4:F33" si="34">IF((E4-E3)&lt;0,"0",(E4-E3))</f>
        <v>0.70499999999992724</v>
      </c>
      <c r="G4" s="32">
        <f t="shared" ref="G4:G33" si="35">F4*1.9*1000</f>
        <v>1339.4999999998618</v>
      </c>
      <c r="H4" s="1">
        <v>4562</v>
      </c>
      <c r="I4" s="48">
        <f t="shared" ref="I4:I33" si="36">IF((H4-H3)&lt;0,"0",(H4-H3))</f>
        <v>5</v>
      </c>
      <c r="J4" s="32">
        <f t="shared" ref="J4:J33" si="37">I4*1.9*1000</f>
        <v>9500</v>
      </c>
      <c r="K4" s="7">
        <v>13883.26</v>
      </c>
      <c r="L4" s="48">
        <f t="shared" ref="L4:L33" si="38">IF((K4-K3)&lt;0,"0",(K4-K3))</f>
        <v>0.17000000000007276</v>
      </c>
      <c r="M4" s="32">
        <f t="shared" ref="M4:M33" si="39">L4*1.9*1000</f>
        <v>323.00000000013824</v>
      </c>
      <c r="N4" s="7">
        <v>3371.6190000000001</v>
      </c>
      <c r="O4" s="48">
        <f t="shared" ref="O4:O34" si="40">IF((N4-N3)&lt;0,"0",(N4-N3))</f>
        <v>1.2300000000000182</v>
      </c>
      <c r="P4" s="32">
        <f t="shared" ref="P4:P33" si="41">O4*1.9*1000</f>
        <v>2337.0000000000346</v>
      </c>
      <c r="Q4" s="7">
        <v>5290.83</v>
      </c>
      <c r="R4" s="48">
        <f t="shared" ref="R4:R33" si="42">IF((Q4-Q3)&lt;0,"0",(Q4-Q3))</f>
        <v>0.26999999999952706</v>
      </c>
      <c r="S4" s="32">
        <f t="shared" ref="S4:S33" si="43">R4*1.9*1000</f>
        <v>512.99999999910142</v>
      </c>
      <c r="T4" s="8">
        <f>C4+F4+I4+L4+O4+R4</f>
        <v>9.5799999999976535</v>
      </c>
      <c r="U4" s="34">
        <f t="shared" ref="U4:U33" si="44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45">AB4-AB3</f>
        <v>0</v>
      </c>
      <c r="AD4" s="163">
        <f>AD3</f>
        <v>89</v>
      </c>
      <c r="AE4" s="169">
        <f t="shared" ref="AE4:AE33" si="46">AD4-AD3</f>
        <v>0</v>
      </c>
      <c r="AF4" s="163">
        <v>5258</v>
      </c>
      <c r="AG4" s="169">
        <f t="shared" ref="AG4:AG33" si="47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32"/>
        <v>2.3569999999999709</v>
      </c>
      <c r="D5" s="32">
        <f t="shared" si="33"/>
        <v>4478.2999999999447</v>
      </c>
      <c r="E5" s="1">
        <v>4085.8510000000001</v>
      </c>
      <c r="F5" s="48">
        <f t="shared" si="34"/>
        <v>0.75100000000020373</v>
      </c>
      <c r="G5" s="32">
        <f t="shared" si="35"/>
        <v>1426.9000000003871</v>
      </c>
      <c r="H5" s="1">
        <v>4566</v>
      </c>
      <c r="I5" s="48">
        <f t="shared" si="36"/>
        <v>4</v>
      </c>
      <c r="J5" s="32">
        <f t="shared" si="37"/>
        <v>7600</v>
      </c>
      <c r="K5" s="7">
        <v>13885.11</v>
      </c>
      <c r="L5" s="48">
        <f t="shared" si="38"/>
        <v>1.8500000000003638</v>
      </c>
      <c r="M5" s="32">
        <f t="shared" si="39"/>
        <v>3515.0000000006912</v>
      </c>
      <c r="N5" s="7">
        <v>3372.7510000000002</v>
      </c>
      <c r="O5" s="48">
        <f t="shared" si="40"/>
        <v>1.1320000000000618</v>
      </c>
      <c r="P5" s="32">
        <f t="shared" si="41"/>
        <v>2150.8000000001175</v>
      </c>
      <c r="Q5" s="7">
        <v>5291.46</v>
      </c>
      <c r="R5" s="48">
        <f t="shared" si="42"/>
        <v>0.63000000000010914</v>
      </c>
      <c r="S5" s="32">
        <f t="shared" si="43"/>
        <v>1197.0000000002071</v>
      </c>
      <c r="T5" s="8">
        <f>C5+F5+I5+L5+O5+R5</f>
        <v>10.720000000000709</v>
      </c>
      <c r="U5" s="34">
        <f t="shared" si="44"/>
        <v>20368.00000000135</v>
      </c>
      <c r="W5" s="162">
        <v>44564</v>
      </c>
      <c r="X5" s="163">
        <v>163452</v>
      </c>
      <c r="Y5" s="169">
        <f t="shared" ref="Y5:Y33" si="48">X5-X4</f>
        <v>31</v>
      </c>
      <c r="Z5" s="163">
        <v>8254</v>
      </c>
      <c r="AA5" s="169">
        <f>Z5-Z4</f>
        <v>3</v>
      </c>
      <c r="AB5" s="163">
        <f t="shared" ref="AB5" si="49">AB4</f>
        <v>19</v>
      </c>
      <c r="AC5" s="169">
        <f t="shared" si="45"/>
        <v>0</v>
      </c>
      <c r="AD5" s="163">
        <v>95</v>
      </c>
      <c r="AE5" s="169">
        <f t="shared" si="46"/>
        <v>6</v>
      </c>
      <c r="AF5" s="163">
        <v>5263</v>
      </c>
      <c r="AG5" s="169">
        <f t="shared" si="47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32"/>
        <v>2.2850000000034925</v>
      </c>
      <c r="D6" s="32">
        <f t="shared" si="33"/>
        <v>4341.5000000066357</v>
      </c>
      <c r="E6" s="1">
        <v>4086.6289999999999</v>
      </c>
      <c r="F6" s="48">
        <f t="shared" si="34"/>
        <v>0.77799999999979264</v>
      </c>
      <c r="G6" s="32">
        <f t="shared" si="35"/>
        <v>1478.1999999996058</v>
      </c>
      <c r="H6" s="1">
        <v>4569</v>
      </c>
      <c r="I6" s="48">
        <f t="shared" si="36"/>
        <v>3</v>
      </c>
      <c r="J6" s="32">
        <f t="shared" si="37"/>
        <v>5699.9999999999991</v>
      </c>
      <c r="K6" s="7">
        <v>13887.33</v>
      </c>
      <c r="L6" s="48">
        <f t="shared" si="38"/>
        <v>2.2199999999993452</v>
      </c>
      <c r="M6" s="32">
        <f t="shared" si="39"/>
        <v>4217.9999999987558</v>
      </c>
      <c r="N6" s="7">
        <v>3373.7950000000001</v>
      </c>
      <c r="O6" s="48">
        <f t="shared" si="40"/>
        <v>1.043999999999869</v>
      </c>
      <c r="P6" s="32">
        <f t="shared" si="41"/>
        <v>1983.5999999997512</v>
      </c>
      <c r="Q6" s="7">
        <f t="shared" ref="Q6:Q33" si="50">Q5</f>
        <v>5291.46</v>
      </c>
      <c r="R6" s="48">
        <f t="shared" si="42"/>
        <v>0</v>
      </c>
      <c r="S6" s="32">
        <f t="shared" si="43"/>
        <v>0</v>
      </c>
      <c r="T6" s="8">
        <f t="shared" ref="T6:T33" si="51">C6+F6+I6+L6+O6+R6</f>
        <v>9.3270000000024993</v>
      </c>
      <c r="U6" s="34">
        <f t="shared" si="44"/>
        <v>17721.30000000475</v>
      </c>
      <c r="W6" s="162">
        <v>44565</v>
      </c>
      <c r="X6" s="163">
        <v>163459</v>
      </c>
      <c r="Y6" s="169">
        <f t="shared" si="48"/>
        <v>7</v>
      </c>
      <c r="Z6" s="163">
        <v>8258</v>
      </c>
      <c r="AA6" s="169">
        <f>Z6-Z5</f>
        <v>4</v>
      </c>
      <c r="AB6" s="163">
        <f t="shared" ref="AB4:AB33" si="52">AB5</f>
        <v>19</v>
      </c>
      <c r="AC6" s="169">
        <f t="shared" si="45"/>
        <v>0</v>
      </c>
      <c r="AD6" s="163">
        <v>99</v>
      </c>
      <c r="AE6" s="169">
        <f t="shared" si="46"/>
        <v>4</v>
      </c>
      <c r="AF6" s="163">
        <v>5282</v>
      </c>
      <c r="AG6" s="169">
        <f t="shared" si="47"/>
        <v>19</v>
      </c>
    </row>
    <row r="7" spans="1:33" ht="16.5" thickBot="1" x14ac:dyDescent="0.25">
      <c r="A7" s="10">
        <v>44566</v>
      </c>
      <c r="B7" s="165">
        <f t="shared" ref="B6:B33" si="53">B6</f>
        <v>22794.937000000002</v>
      </c>
      <c r="C7" s="48">
        <f t="shared" si="32"/>
        <v>0</v>
      </c>
      <c r="D7" s="32">
        <f t="shared" si="33"/>
        <v>0</v>
      </c>
      <c r="E7" s="1">
        <f t="shared" ref="E6:E33" si="54">E6</f>
        <v>4086.6289999999999</v>
      </c>
      <c r="F7" s="48">
        <f t="shared" si="34"/>
        <v>0</v>
      </c>
      <c r="G7" s="32">
        <f t="shared" si="35"/>
        <v>0</v>
      </c>
      <c r="H7" s="1">
        <f t="shared" ref="H6:H33" si="55">H6</f>
        <v>4569</v>
      </c>
      <c r="I7" s="48">
        <f t="shared" si="36"/>
        <v>0</v>
      </c>
      <c r="J7" s="32">
        <f t="shared" si="37"/>
        <v>0</v>
      </c>
      <c r="K7" s="7">
        <f t="shared" ref="K6:K33" si="56">K6</f>
        <v>13887.33</v>
      </c>
      <c r="L7" s="48">
        <f t="shared" si="38"/>
        <v>0</v>
      </c>
      <c r="M7" s="32">
        <f t="shared" si="39"/>
        <v>0</v>
      </c>
      <c r="N7" s="7">
        <f t="shared" ref="N6:N33" si="57">N6</f>
        <v>3373.7950000000001</v>
      </c>
      <c r="O7" s="48">
        <f t="shared" si="40"/>
        <v>0</v>
      </c>
      <c r="P7" s="32">
        <f t="shared" si="41"/>
        <v>0</v>
      </c>
      <c r="Q7" s="7">
        <f t="shared" si="50"/>
        <v>5291.46</v>
      </c>
      <c r="R7" s="48">
        <f t="shared" si="42"/>
        <v>0</v>
      </c>
      <c r="S7" s="32">
        <f t="shared" si="43"/>
        <v>0</v>
      </c>
      <c r="T7" s="8">
        <f t="shared" si="51"/>
        <v>0</v>
      </c>
      <c r="U7" s="34">
        <f t="shared" si="44"/>
        <v>0</v>
      </c>
      <c r="W7" s="162">
        <v>44566</v>
      </c>
      <c r="X7" s="163">
        <f t="shared" ref="X4:X33" si="58">X6</f>
        <v>163459</v>
      </c>
      <c r="Y7" s="169">
        <f t="shared" si="48"/>
        <v>0</v>
      </c>
      <c r="Z7" s="163">
        <f t="shared" ref="Z4:Z33" si="59">Z6</f>
        <v>8258</v>
      </c>
      <c r="AA7" s="169">
        <f t="shared" ref="AA7:AA33" si="60">Z7-Z6</f>
        <v>0</v>
      </c>
      <c r="AB7" s="163">
        <f t="shared" si="52"/>
        <v>19</v>
      </c>
      <c r="AC7" s="169">
        <f t="shared" si="45"/>
        <v>0</v>
      </c>
      <c r="AD7" s="163">
        <f t="shared" ref="AD4:AD33" si="61">AD6</f>
        <v>99</v>
      </c>
      <c r="AE7" s="169">
        <f t="shared" si="46"/>
        <v>0</v>
      </c>
      <c r="AF7" s="163">
        <f t="shared" ref="AF4:AF33" si="62">AF6</f>
        <v>5282</v>
      </c>
      <c r="AG7" s="169">
        <f t="shared" si="47"/>
        <v>0</v>
      </c>
    </row>
    <row r="8" spans="1:33" ht="16.5" thickBot="1" x14ac:dyDescent="0.25">
      <c r="A8" s="10">
        <v>44567</v>
      </c>
      <c r="B8" s="165">
        <f t="shared" si="53"/>
        <v>22794.937000000002</v>
      </c>
      <c r="C8" s="48">
        <f t="shared" si="32"/>
        <v>0</v>
      </c>
      <c r="D8" s="32">
        <f t="shared" si="33"/>
        <v>0</v>
      </c>
      <c r="E8" s="1">
        <f t="shared" si="54"/>
        <v>4086.6289999999999</v>
      </c>
      <c r="F8" s="48">
        <f t="shared" si="34"/>
        <v>0</v>
      </c>
      <c r="G8" s="32">
        <f t="shared" si="35"/>
        <v>0</v>
      </c>
      <c r="H8" s="1">
        <f t="shared" si="55"/>
        <v>4569</v>
      </c>
      <c r="I8" s="48">
        <f t="shared" si="36"/>
        <v>0</v>
      </c>
      <c r="J8" s="32">
        <f t="shared" si="37"/>
        <v>0</v>
      </c>
      <c r="K8" s="7">
        <f t="shared" si="56"/>
        <v>13887.33</v>
      </c>
      <c r="L8" s="48">
        <f t="shared" si="38"/>
        <v>0</v>
      </c>
      <c r="M8" s="32">
        <f t="shared" si="39"/>
        <v>0</v>
      </c>
      <c r="N8" s="7">
        <f t="shared" si="57"/>
        <v>3373.7950000000001</v>
      </c>
      <c r="O8" s="48">
        <f t="shared" si="40"/>
        <v>0</v>
      </c>
      <c r="P8" s="32">
        <f t="shared" si="41"/>
        <v>0</v>
      </c>
      <c r="Q8" s="7">
        <f t="shared" si="50"/>
        <v>5291.46</v>
      </c>
      <c r="R8" s="48">
        <f t="shared" si="42"/>
        <v>0</v>
      </c>
      <c r="S8" s="32">
        <f t="shared" si="43"/>
        <v>0</v>
      </c>
      <c r="T8" s="8">
        <f t="shared" si="51"/>
        <v>0</v>
      </c>
      <c r="U8" s="34">
        <f t="shared" si="44"/>
        <v>0</v>
      </c>
      <c r="W8" s="162">
        <v>44567</v>
      </c>
      <c r="X8" s="163">
        <f t="shared" si="58"/>
        <v>163459</v>
      </c>
      <c r="Y8" s="169">
        <f t="shared" si="48"/>
        <v>0</v>
      </c>
      <c r="Z8" s="163">
        <f t="shared" si="59"/>
        <v>8258</v>
      </c>
      <c r="AA8" s="169">
        <f t="shared" si="60"/>
        <v>0</v>
      </c>
      <c r="AB8" s="163">
        <f t="shared" si="52"/>
        <v>19</v>
      </c>
      <c r="AC8" s="169">
        <f t="shared" si="45"/>
        <v>0</v>
      </c>
      <c r="AD8" s="163">
        <f t="shared" si="61"/>
        <v>99</v>
      </c>
      <c r="AE8" s="169">
        <f t="shared" si="46"/>
        <v>0</v>
      </c>
      <c r="AF8" s="163">
        <f t="shared" si="62"/>
        <v>5282</v>
      </c>
      <c r="AG8" s="169">
        <f t="shared" si="47"/>
        <v>0</v>
      </c>
    </row>
    <row r="9" spans="1:33" ht="16.5" thickBot="1" x14ac:dyDescent="0.25">
      <c r="A9" s="10">
        <v>44568</v>
      </c>
      <c r="B9" s="165">
        <f t="shared" si="53"/>
        <v>22794.937000000002</v>
      </c>
      <c r="C9" s="48">
        <f t="shared" si="32"/>
        <v>0</v>
      </c>
      <c r="D9" s="32">
        <f t="shared" si="33"/>
        <v>0</v>
      </c>
      <c r="E9" s="1">
        <f t="shared" si="54"/>
        <v>4086.6289999999999</v>
      </c>
      <c r="F9" s="48">
        <f t="shared" si="34"/>
        <v>0</v>
      </c>
      <c r="G9" s="32">
        <f t="shared" si="35"/>
        <v>0</v>
      </c>
      <c r="H9" s="1">
        <f t="shared" si="55"/>
        <v>4569</v>
      </c>
      <c r="I9" s="48">
        <f t="shared" si="36"/>
        <v>0</v>
      </c>
      <c r="J9" s="32">
        <f t="shared" si="37"/>
        <v>0</v>
      </c>
      <c r="K9" s="7">
        <f t="shared" si="56"/>
        <v>13887.33</v>
      </c>
      <c r="L9" s="48">
        <f t="shared" si="38"/>
        <v>0</v>
      </c>
      <c r="M9" s="32">
        <f t="shared" si="39"/>
        <v>0</v>
      </c>
      <c r="N9" s="7">
        <f t="shared" si="57"/>
        <v>3373.7950000000001</v>
      </c>
      <c r="O9" s="48">
        <f t="shared" si="40"/>
        <v>0</v>
      </c>
      <c r="P9" s="32">
        <f t="shared" si="41"/>
        <v>0</v>
      </c>
      <c r="Q9" s="7">
        <f t="shared" si="50"/>
        <v>5291.46</v>
      </c>
      <c r="R9" s="48">
        <f t="shared" si="42"/>
        <v>0</v>
      </c>
      <c r="S9" s="32">
        <f t="shared" si="43"/>
        <v>0</v>
      </c>
      <c r="T9" s="8">
        <f t="shared" si="51"/>
        <v>0</v>
      </c>
      <c r="U9" s="34">
        <f t="shared" si="44"/>
        <v>0</v>
      </c>
      <c r="W9" s="162">
        <v>44568</v>
      </c>
      <c r="X9" s="163">
        <f t="shared" si="58"/>
        <v>163459</v>
      </c>
      <c r="Y9" s="169">
        <f t="shared" si="48"/>
        <v>0</v>
      </c>
      <c r="Z9" s="163">
        <f t="shared" si="59"/>
        <v>8258</v>
      </c>
      <c r="AA9" s="169">
        <f t="shared" si="60"/>
        <v>0</v>
      </c>
      <c r="AB9" s="163">
        <f t="shared" si="52"/>
        <v>19</v>
      </c>
      <c r="AC9" s="169">
        <f>AB9-AB8</f>
        <v>0</v>
      </c>
      <c r="AD9" s="163">
        <f t="shared" si="61"/>
        <v>99</v>
      </c>
      <c r="AE9" s="169">
        <f t="shared" si="46"/>
        <v>0</v>
      </c>
      <c r="AF9" s="163">
        <f t="shared" si="62"/>
        <v>5282</v>
      </c>
      <c r="AG9" s="169">
        <f t="shared" si="47"/>
        <v>0</v>
      </c>
    </row>
    <row r="10" spans="1:33" ht="16.5" thickBot="1" x14ac:dyDescent="0.25">
      <c r="A10" s="10">
        <v>44569</v>
      </c>
      <c r="B10" s="165">
        <f t="shared" si="53"/>
        <v>22794.937000000002</v>
      </c>
      <c r="C10" s="48">
        <f t="shared" si="32"/>
        <v>0</v>
      </c>
      <c r="D10" s="32">
        <f t="shared" si="33"/>
        <v>0</v>
      </c>
      <c r="E10" s="1">
        <f t="shared" si="54"/>
        <v>4086.6289999999999</v>
      </c>
      <c r="F10" s="48">
        <f t="shared" si="34"/>
        <v>0</v>
      </c>
      <c r="G10" s="32">
        <f t="shared" si="35"/>
        <v>0</v>
      </c>
      <c r="H10" s="1">
        <f t="shared" si="55"/>
        <v>4569</v>
      </c>
      <c r="I10" s="48">
        <f t="shared" si="36"/>
        <v>0</v>
      </c>
      <c r="J10" s="32">
        <f t="shared" si="37"/>
        <v>0</v>
      </c>
      <c r="K10" s="7">
        <f t="shared" si="56"/>
        <v>13887.33</v>
      </c>
      <c r="L10" s="48">
        <f t="shared" si="38"/>
        <v>0</v>
      </c>
      <c r="M10" s="32">
        <f t="shared" si="39"/>
        <v>0</v>
      </c>
      <c r="N10" s="7">
        <f t="shared" si="57"/>
        <v>3373.7950000000001</v>
      </c>
      <c r="O10" s="48">
        <f>IF((N10-N9)&lt;0,"0",(N10-N9))</f>
        <v>0</v>
      </c>
      <c r="P10" s="32">
        <f t="shared" si="41"/>
        <v>0</v>
      </c>
      <c r="Q10" s="7">
        <f t="shared" si="50"/>
        <v>5291.46</v>
      </c>
      <c r="R10" s="48">
        <f t="shared" si="42"/>
        <v>0</v>
      </c>
      <c r="S10" s="32">
        <f t="shared" si="43"/>
        <v>0</v>
      </c>
      <c r="T10" s="8">
        <f t="shared" si="51"/>
        <v>0</v>
      </c>
      <c r="U10" s="34">
        <f t="shared" si="44"/>
        <v>0</v>
      </c>
      <c r="W10" s="162">
        <v>44569</v>
      </c>
      <c r="X10" s="163">
        <f t="shared" si="58"/>
        <v>163459</v>
      </c>
      <c r="Y10" s="169">
        <f t="shared" si="48"/>
        <v>0</v>
      </c>
      <c r="Z10" s="163">
        <f t="shared" si="59"/>
        <v>8258</v>
      </c>
      <c r="AA10" s="169">
        <f t="shared" si="60"/>
        <v>0</v>
      </c>
      <c r="AB10" s="163">
        <f t="shared" si="52"/>
        <v>19</v>
      </c>
      <c r="AC10" s="169">
        <f t="shared" ref="AC10:AC31" si="63">AB10-AB9</f>
        <v>0</v>
      </c>
      <c r="AD10" s="163">
        <f t="shared" si="61"/>
        <v>99</v>
      </c>
      <c r="AE10" s="169">
        <f t="shared" si="46"/>
        <v>0</v>
      </c>
      <c r="AF10" s="163">
        <f t="shared" si="62"/>
        <v>5282</v>
      </c>
      <c r="AG10" s="169">
        <f t="shared" si="47"/>
        <v>0</v>
      </c>
    </row>
    <row r="11" spans="1:33" ht="16.5" thickBot="1" x14ac:dyDescent="0.25">
      <c r="A11" s="10">
        <v>44570</v>
      </c>
      <c r="B11" s="165">
        <f t="shared" si="53"/>
        <v>22794.937000000002</v>
      </c>
      <c r="C11" s="48">
        <f t="shared" si="32"/>
        <v>0</v>
      </c>
      <c r="D11" s="32">
        <f t="shared" si="33"/>
        <v>0</v>
      </c>
      <c r="E11" s="1">
        <f t="shared" si="54"/>
        <v>4086.6289999999999</v>
      </c>
      <c r="F11" s="48">
        <f t="shared" si="34"/>
        <v>0</v>
      </c>
      <c r="G11" s="32">
        <f t="shared" si="35"/>
        <v>0</v>
      </c>
      <c r="H11" s="1">
        <f t="shared" si="55"/>
        <v>4569</v>
      </c>
      <c r="I11" s="48">
        <f t="shared" si="36"/>
        <v>0</v>
      </c>
      <c r="J11" s="32">
        <f t="shared" si="37"/>
        <v>0</v>
      </c>
      <c r="K11" s="7">
        <f t="shared" si="56"/>
        <v>13887.33</v>
      </c>
      <c r="L11" s="48">
        <f t="shared" si="38"/>
        <v>0</v>
      </c>
      <c r="M11" s="32">
        <f t="shared" si="39"/>
        <v>0</v>
      </c>
      <c r="N11" s="7">
        <f t="shared" si="57"/>
        <v>3373.7950000000001</v>
      </c>
      <c r="O11" s="48">
        <f t="shared" si="40"/>
        <v>0</v>
      </c>
      <c r="P11" s="32">
        <f t="shared" si="41"/>
        <v>0</v>
      </c>
      <c r="Q11" s="7">
        <f t="shared" si="50"/>
        <v>5291.46</v>
      </c>
      <c r="R11" s="48">
        <f t="shared" si="42"/>
        <v>0</v>
      </c>
      <c r="S11" s="32">
        <f t="shared" si="43"/>
        <v>0</v>
      </c>
      <c r="T11" s="8">
        <f t="shared" si="51"/>
        <v>0</v>
      </c>
      <c r="U11" s="34">
        <f t="shared" si="44"/>
        <v>0</v>
      </c>
      <c r="W11" s="162">
        <v>44570</v>
      </c>
      <c r="X11" s="163">
        <f t="shared" si="58"/>
        <v>163459</v>
      </c>
      <c r="Y11" s="169">
        <f t="shared" si="48"/>
        <v>0</v>
      </c>
      <c r="Z11" s="163">
        <f t="shared" si="59"/>
        <v>8258</v>
      </c>
      <c r="AA11" s="169">
        <f t="shared" si="60"/>
        <v>0</v>
      </c>
      <c r="AB11" s="163">
        <f t="shared" si="52"/>
        <v>19</v>
      </c>
      <c r="AC11" s="169">
        <f t="shared" si="63"/>
        <v>0</v>
      </c>
      <c r="AD11" s="163">
        <f t="shared" si="61"/>
        <v>99</v>
      </c>
      <c r="AE11" s="169">
        <f t="shared" si="46"/>
        <v>0</v>
      </c>
      <c r="AF11" s="163">
        <f t="shared" si="62"/>
        <v>5282</v>
      </c>
      <c r="AG11" s="169">
        <f t="shared" si="47"/>
        <v>0</v>
      </c>
    </row>
    <row r="12" spans="1:33" ht="16.5" thickBot="1" x14ac:dyDescent="0.25">
      <c r="A12" s="10">
        <v>44571</v>
      </c>
      <c r="B12" s="165">
        <f t="shared" si="53"/>
        <v>22794.937000000002</v>
      </c>
      <c r="C12" s="48">
        <f t="shared" si="32"/>
        <v>0</v>
      </c>
      <c r="D12" s="32">
        <f t="shared" si="33"/>
        <v>0</v>
      </c>
      <c r="E12" s="1">
        <f t="shared" si="54"/>
        <v>4086.6289999999999</v>
      </c>
      <c r="F12" s="48">
        <f t="shared" si="34"/>
        <v>0</v>
      </c>
      <c r="G12" s="32">
        <f t="shared" si="35"/>
        <v>0</v>
      </c>
      <c r="H12" s="1">
        <f t="shared" si="55"/>
        <v>4569</v>
      </c>
      <c r="I12" s="48">
        <f t="shared" si="36"/>
        <v>0</v>
      </c>
      <c r="J12" s="32">
        <f t="shared" si="37"/>
        <v>0</v>
      </c>
      <c r="K12" s="7">
        <f t="shared" si="56"/>
        <v>13887.33</v>
      </c>
      <c r="L12" s="48">
        <f t="shared" si="38"/>
        <v>0</v>
      </c>
      <c r="M12" s="32">
        <f t="shared" si="39"/>
        <v>0</v>
      </c>
      <c r="N12" s="7">
        <f t="shared" si="57"/>
        <v>3373.7950000000001</v>
      </c>
      <c r="O12" s="48">
        <f t="shared" si="40"/>
        <v>0</v>
      </c>
      <c r="P12" s="32">
        <f t="shared" si="41"/>
        <v>0</v>
      </c>
      <c r="Q12" s="7">
        <f t="shared" si="50"/>
        <v>5291.46</v>
      </c>
      <c r="R12" s="48">
        <f t="shared" si="42"/>
        <v>0</v>
      </c>
      <c r="S12" s="32">
        <f t="shared" si="43"/>
        <v>0</v>
      </c>
      <c r="T12" s="8">
        <f t="shared" si="51"/>
        <v>0</v>
      </c>
      <c r="U12" s="34">
        <f t="shared" si="44"/>
        <v>0</v>
      </c>
      <c r="W12" s="162">
        <v>44571</v>
      </c>
      <c r="X12" s="163">
        <f t="shared" si="58"/>
        <v>163459</v>
      </c>
      <c r="Y12" s="169">
        <f t="shared" si="48"/>
        <v>0</v>
      </c>
      <c r="Z12" s="163">
        <f t="shared" si="59"/>
        <v>8258</v>
      </c>
      <c r="AA12" s="169">
        <f t="shared" si="60"/>
        <v>0</v>
      </c>
      <c r="AB12" s="163">
        <f t="shared" si="52"/>
        <v>19</v>
      </c>
      <c r="AC12" s="169">
        <f t="shared" si="63"/>
        <v>0</v>
      </c>
      <c r="AD12" s="163">
        <f t="shared" si="61"/>
        <v>99</v>
      </c>
      <c r="AE12" s="169">
        <f t="shared" si="46"/>
        <v>0</v>
      </c>
      <c r="AF12" s="163">
        <f t="shared" si="62"/>
        <v>5282</v>
      </c>
      <c r="AG12" s="169">
        <f t="shared" si="47"/>
        <v>0</v>
      </c>
    </row>
    <row r="13" spans="1:33" ht="16.5" thickBot="1" x14ac:dyDescent="0.25">
      <c r="A13" s="10">
        <v>44572</v>
      </c>
      <c r="B13" s="165">
        <f t="shared" si="53"/>
        <v>22794.937000000002</v>
      </c>
      <c r="C13" s="48">
        <f t="shared" si="32"/>
        <v>0</v>
      </c>
      <c r="D13" s="32">
        <f t="shared" si="33"/>
        <v>0</v>
      </c>
      <c r="E13" s="1">
        <f t="shared" si="54"/>
        <v>4086.6289999999999</v>
      </c>
      <c r="F13" s="48">
        <f t="shared" si="34"/>
        <v>0</v>
      </c>
      <c r="G13" s="32">
        <f t="shared" si="35"/>
        <v>0</v>
      </c>
      <c r="H13" s="1">
        <f t="shared" si="55"/>
        <v>4569</v>
      </c>
      <c r="I13" s="48">
        <f t="shared" si="36"/>
        <v>0</v>
      </c>
      <c r="J13" s="32">
        <f t="shared" si="37"/>
        <v>0</v>
      </c>
      <c r="K13" s="7">
        <f t="shared" si="56"/>
        <v>13887.33</v>
      </c>
      <c r="L13" s="48">
        <f t="shared" si="38"/>
        <v>0</v>
      </c>
      <c r="M13" s="32">
        <f t="shared" si="39"/>
        <v>0</v>
      </c>
      <c r="N13" s="7">
        <f t="shared" si="57"/>
        <v>3373.7950000000001</v>
      </c>
      <c r="O13" s="48">
        <f t="shared" si="40"/>
        <v>0</v>
      </c>
      <c r="P13" s="32">
        <f t="shared" si="41"/>
        <v>0</v>
      </c>
      <c r="Q13" s="7">
        <f t="shared" si="50"/>
        <v>5291.46</v>
      </c>
      <c r="R13" s="48">
        <f t="shared" si="42"/>
        <v>0</v>
      </c>
      <c r="S13" s="32">
        <f t="shared" si="43"/>
        <v>0</v>
      </c>
      <c r="T13" s="8">
        <f t="shared" si="51"/>
        <v>0</v>
      </c>
      <c r="U13" s="34">
        <f t="shared" si="44"/>
        <v>0</v>
      </c>
      <c r="W13" s="162">
        <v>44572</v>
      </c>
      <c r="X13" s="163">
        <f t="shared" si="58"/>
        <v>163459</v>
      </c>
      <c r="Y13" s="169">
        <f t="shared" si="48"/>
        <v>0</v>
      </c>
      <c r="Z13" s="163">
        <f t="shared" si="59"/>
        <v>8258</v>
      </c>
      <c r="AA13" s="169">
        <f t="shared" si="60"/>
        <v>0</v>
      </c>
      <c r="AB13" s="163">
        <f t="shared" si="52"/>
        <v>19</v>
      </c>
      <c r="AC13" s="169">
        <f t="shared" si="63"/>
        <v>0</v>
      </c>
      <c r="AD13" s="163">
        <f t="shared" si="61"/>
        <v>99</v>
      </c>
      <c r="AE13" s="169">
        <f t="shared" si="46"/>
        <v>0</v>
      </c>
      <c r="AF13" s="163">
        <f t="shared" si="62"/>
        <v>5282</v>
      </c>
      <c r="AG13" s="169">
        <f t="shared" si="47"/>
        <v>0</v>
      </c>
    </row>
    <row r="14" spans="1:33" ht="16.5" thickBot="1" x14ac:dyDescent="0.25">
      <c r="A14" s="10">
        <v>44573</v>
      </c>
      <c r="B14" s="165">
        <f t="shared" si="53"/>
        <v>22794.937000000002</v>
      </c>
      <c r="C14" s="48">
        <f t="shared" si="32"/>
        <v>0</v>
      </c>
      <c r="D14" s="32">
        <f t="shared" si="33"/>
        <v>0</v>
      </c>
      <c r="E14" s="1">
        <f t="shared" si="54"/>
        <v>4086.6289999999999</v>
      </c>
      <c r="F14" s="48">
        <f t="shared" si="34"/>
        <v>0</v>
      </c>
      <c r="G14" s="32">
        <f t="shared" si="35"/>
        <v>0</v>
      </c>
      <c r="H14" s="1">
        <f t="shared" si="55"/>
        <v>4569</v>
      </c>
      <c r="I14" s="48">
        <f t="shared" si="36"/>
        <v>0</v>
      </c>
      <c r="J14" s="32">
        <f t="shared" si="37"/>
        <v>0</v>
      </c>
      <c r="K14" s="7">
        <f t="shared" si="56"/>
        <v>13887.33</v>
      </c>
      <c r="L14" s="48">
        <f t="shared" si="38"/>
        <v>0</v>
      </c>
      <c r="M14" s="32">
        <f t="shared" si="39"/>
        <v>0</v>
      </c>
      <c r="N14" s="7">
        <f t="shared" si="57"/>
        <v>3373.7950000000001</v>
      </c>
      <c r="O14" s="48">
        <f>IF((N14-N13)&lt;0,"0",(N14-N13))</f>
        <v>0</v>
      </c>
      <c r="P14" s="32">
        <f t="shared" si="41"/>
        <v>0</v>
      </c>
      <c r="Q14" s="7">
        <f t="shared" si="50"/>
        <v>5291.46</v>
      </c>
      <c r="R14" s="48">
        <f t="shared" si="42"/>
        <v>0</v>
      </c>
      <c r="S14" s="32">
        <f t="shared" si="43"/>
        <v>0</v>
      </c>
      <c r="T14" s="8">
        <f t="shared" si="51"/>
        <v>0</v>
      </c>
      <c r="U14" s="34">
        <f t="shared" si="44"/>
        <v>0</v>
      </c>
      <c r="W14" s="162">
        <v>44573</v>
      </c>
      <c r="X14" s="163">
        <f t="shared" si="58"/>
        <v>163459</v>
      </c>
      <c r="Y14" s="169">
        <f t="shared" si="48"/>
        <v>0</v>
      </c>
      <c r="Z14" s="163">
        <f t="shared" si="59"/>
        <v>8258</v>
      </c>
      <c r="AA14" s="169">
        <f t="shared" si="60"/>
        <v>0</v>
      </c>
      <c r="AB14" s="163">
        <f t="shared" si="52"/>
        <v>19</v>
      </c>
      <c r="AC14" s="169">
        <f t="shared" si="63"/>
        <v>0</v>
      </c>
      <c r="AD14" s="163">
        <f t="shared" si="61"/>
        <v>99</v>
      </c>
      <c r="AE14" s="169">
        <f t="shared" si="46"/>
        <v>0</v>
      </c>
      <c r="AF14" s="163">
        <f t="shared" si="62"/>
        <v>5282</v>
      </c>
      <c r="AG14" s="169">
        <f t="shared" si="47"/>
        <v>0</v>
      </c>
    </row>
    <row r="15" spans="1:33" ht="16.5" thickBot="1" x14ac:dyDescent="0.25">
      <c r="A15" s="10">
        <v>44574</v>
      </c>
      <c r="B15" s="165">
        <f t="shared" si="53"/>
        <v>22794.937000000002</v>
      </c>
      <c r="C15" s="48">
        <f t="shared" ref="C15" si="64">IF((B15-B14)&lt;0,"0",(B15-B14))</f>
        <v>0</v>
      </c>
      <c r="D15" s="32">
        <f t="shared" ref="D15" si="65">C15*1.9*1000</f>
        <v>0</v>
      </c>
      <c r="E15" s="1">
        <f t="shared" si="54"/>
        <v>4086.6289999999999</v>
      </c>
      <c r="F15" s="48">
        <f t="shared" ref="F15" si="66">IF((E15-E14)&lt;0,"0",(E15-E14))</f>
        <v>0</v>
      </c>
      <c r="G15" s="32">
        <f t="shared" ref="G15" si="67">F15*1.9*1000</f>
        <v>0</v>
      </c>
      <c r="H15" s="1">
        <f t="shared" si="55"/>
        <v>4569</v>
      </c>
      <c r="I15" s="48">
        <f t="shared" ref="I15" si="68">IF((H15-H14)&lt;0,"0",(H15-H14))</f>
        <v>0</v>
      </c>
      <c r="J15" s="32">
        <f t="shared" ref="J15" si="69">I15*1.9*1000</f>
        <v>0</v>
      </c>
      <c r="K15" s="7">
        <f t="shared" si="56"/>
        <v>13887.33</v>
      </c>
      <c r="L15" s="48">
        <f t="shared" ref="L15" si="70">IF((K15-K14)&lt;0,"0",(K15-K14))</f>
        <v>0</v>
      </c>
      <c r="M15" s="32">
        <f t="shared" ref="M15" si="71">L15*1.9*1000</f>
        <v>0</v>
      </c>
      <c r="N15" s="7">
        <f t="shared" si="57"/>
        <v>3373.7950000000001</v>
      </c>
      <c r="O15" s="48">
        <f>IF((N15-N14)&lt;0,"0",(N15-N14))</f>
        <v>0</v>
      </c>
      <c r="P15" s="32">
        <f t="shared" ref="P15" si="72">O15*1.9*1000</f>
        <v>0</v>
      </c>
      <c r="Q15" s="7">
        <f t="shared" si="50"/>
        <v>5291.46</v>
      </c>
      <c r="R15" s="48">
        <f t="shared" ref="R15" si="73">IF((Q15-Q14)&lt;0,"0",(Q15-Q14))</f>
        <v>0</v>
      </c>
      <c r="S15" s="32">
        <f t="shared" ref="S15" si="74">R15*1.9*1000</f>
        <v>0</v>
      </c>
      <c r="T15" s="8">
        <f t="shared" ref="T15" si="75">C15+F15+I15+L15+O15+R15</f>
        <v>0</v>
      </c>
      <c r="U15" s="34">
        <f t="shared" ref="U15" si="76">T15*1.9*1000</f>
        <v>0</v>
      </c>
      <c r="W15" s="162">
        <v>44574</v>
      </c>
      <c r="X15" s="163">
        <f t="shared" si="58"/>
        <v>163459</v>
      </c>
      <c r="Y15" s="169">
        <f t="shared" ref="Y15" si="77">X15-X14</f>
        <v>0</v>
      </c>
      <c r="Z15" s="163">
        <f t="shared" si="59"/>
        <v>8258</v>
      </c>
      <c r="AA15" s="169">
        <f t="shared" ref="AA15" si="78">Z15-Z14</f>
        <v>0</v>
      </c>
      <c r="AB15" s="163">
        <f t="shared" si="52"/>
        <v>19</v>
      </c>
      <c r="AC15" s="169">
        <f t="shared" ref="AC15" si="79">AB15-AB14</f>
        <v>0</v>
      </c>
      <c r="AD15" s="163">
        <f t="shared" si="61"/>
        <v>99</v>
      </c>
      <c r="AE15" s="169">
        <f t="shared" si="46"/>
        <v>0</v>
      </c>
      <c r="AF15" s="163">
        <f t="shared" si="62"/>
        <v>5282</v>
      </c>
      <c r="AG15" s="169">
        <f t="shared" si="47"/>
        <v>0</v>
      </c>
    </row>
    <row r="16" spans="1:33" ht="16.5" thickBot="1" x14ac:dyDescent="0.25">
      <c r="A16" s="10">
        <v>44575</v>
      </c>
      <c r="B16" s="165">
        <f t="shared" si="53"/>
        <v>22794.937000000002</v>
      </c>
      <c r="C16" s="48">
        <f t="shared" si="32"/>
        <v>0</v>
      </c>
      <c r="D16" s="32">
        <f t="shared" si="33"/>
        <v>0</v>
      </c>
      <c r="E16" s="1">
        <f t="shared" si="54"/>
        <v>4086.6289999999999</v>
      </c>
      <c r="F16" s="48">
        <f t="shared" si="34"/>
        <v>0</v>
      </c>
      <c r="G16" s="32">
        <f t="shared" si="35"/>
        <v>0</v>
      </c>
      <c r="H16" s="1">
        <f t="shared" si="55"/>
        <v>4569</v>
      </c>
      <c r="I16" s="48">
        <f t="shared" si="36"/>
        <v>0</v>
      </c>
      <c r="J16" s="32">
        <f t="shared" si="37"/>
        <v>0</v>
      </c>
      <c r="K16" s="7">
        <f t="shared" si="56"/>
        <v>13887.33</v>
      </c>
      <c r="L16" s="48">
        <f t="shared" si="38"/>
        <v>0</v>
      </c>
      <c r="M16" s="32">
        <f t="shared" si="39"/>
        <v>0</v>
      </c>
      <c r="N16" s="7">
        <f t="shared" si="57"/>
        <v>3373.7950000000001</v>
      </c>
      <c r="O16" s="48">
        <f t="shared" si="40"/>
        <v>0</v>
      </c>
      <c r="P16" s="32">
        <f t="shared" si="41"/>
        <v>0</v>
      </c>
      <c r="Q16" s="7">
        <f t="shared" si="50"/>
        <v>5291.46</v>
      </c>
      <c r="R16" s="48">
        <f t="shared" si="42"/>
        <v>0</v>
      </c>
      <c r="S16" s="32">
        <f t="shared" si="43"/>
        <v>0</v>
      </c>
      <c r="T16" s="8">
        <f t="shared" si="51"/>
        <v>0</v>
      </c>
      <c r="U16" s="34">
        <f t="shared" si="44"/>
        <v>0</v>
      </c>
      <c r="W16" s="162">
        <v>44575</v>
      </c>
      <c r="X16" s="163">
        <f t="shared" si="58"/>
        <v>163459</v>
      </c>
      <c r="Y16" s="169">
        <f t="shared" si="48"/>
        <v>0</v>
      </c>
      <c r="Z16" s="163">
        <f t="shared" si="59"/>
        <v>8258</v>
      </c>
      <c r="AA16" s="169">
        <f t="shared" si="60"/>
        <v>0</v>
      </c>
      <c r="AB16" s="163">
        <f t="shared" si="52"/>
        <v>19</v>
      </c>
      <c r="AC16" s="169">
        <f t="shared" si="63"/>
        <v>0</v>
      </c>
      <c r="AD16" s="163">
        <f t="shared" si="61"/>
        <v>99</v>
      </c>
      <c r="AE16" s="169">
        <f t="shared" si="46"/>
        <v>0</v>
      </c>
      <c r="AF16" s="163">
        <f t="shared" si="62"/>
        <v>5282</v>
      </c>
      <c r="AG16" s="169">
        <f t="shared" si="47"/>
        <v>0</v>
      </c>
    </row>
    <row r="17" spans="1:33" ht="16.5" thickBot="1" x14ac:dyDescent="0.25">
      <c r="A17" s="10">
        <v>44576</v>
      </c>
      <c r="B17" s="165">
        <f t="shared" si="53"/>
        <v>22794.937000000002</v>
      </c>
      <c r="C17" s="48">
        <f t="shared" si="32"/>
        <v>0</v>
      </c>
      <c r="D17" s="32">
        <f t="shared" si="33"/>
        <v>0</v>
      </c>
      <c r="E17" s="1">
        <f t="shared" si="54"/>
        <v>4086.6289999999999</v>
      </c>
      <c r="F17" s="48">
        <f t="shared" si="34"/>
        <v>0</v>
      </c>
      <c r="G17" s="32">
        <f t="shared" si="35"/>
        <v>0</v>
      </c>
      <c r="H17" s="1">
        <f t="shared" si="55"/>
        <v>4569</v>
      </c>
      <c r="I17" s="48">
        <f t="shared" si="36"/>
        <v>0</v>
      </c>
      <c r="J17" s="32">
        <f t="shared" si="37"/>
        <v>0</v>
      </c>
      <c r="K17" s="7">
        <f t="shared" si="56"/>
        <v>13887.33</v>
      </c>
      <c r="L17" s="48">
        <f t="shared" si="38"/>
        <v>0</v>
      </c>
      <c r="M17" s="32">
        <f t="shared" si="39"/>
        <v>0</v>
      </c>
      <c r="N17" s="7">
        <f t="shared" si="57"/>
        <v>3373.7950000000001</v>
      </c>
      <c r="O17" s="48">
        <f t="shared" si="40"/>
        <v>0</v>
      </c>
      <c r="P17" s="32">
        <f t="shared" si="41"/>
        <v>0</v>
      </c>
      <c r="Q17" s="7">
        <f t="shared" si="50"/>
        <v>5291.46</v>
      </c>
      <c r="R17" s="48">
        <f t="shared" si="42"/>
        <v>0</v>
      </c>
      <c r="S17" s="32">
        <f t="shared" si="43"/>
        <v>0</v>
      </c>
      <c r="T17" s="8">
        <f t="shared" si="51"/>
        <v>0</v>
      </c>
      <c r="U17" s="34">
        <f t="shared" si="44"/>
        <v>0</v>
      </c>
      <c r="W17" s="162">
        <v>44576</v>
      </c>
      <c r="X17" s="163">
        <f t="shared" si="58"/>
        <v>163459</v>
      </c>
      <c r="Y17" s="169">
        <f t="shared" si="48"/>
        <v>0</v>
      </c>
      <c r="Z17" s="163">
        <f t="shared" si="59"/>
        <v>8258</v>
      </c>
      <c r="AA17" s="169">
        <f t="shared" si="60"/>
        <v>0</v>
      </c>
      <c r="AB17" s="163">
        <f t="shared" si="52"/>
        <v>19</v>
      </c>
      <c r="AC17" s="169">
        <f t="shared" si="63"/>
        <v>0</v>
      </c>
      <c r="AD17" s="163">
        <f t="shared" si="61"/>
        <v>99</v>
      </c>
      <c r="AE17" s="169">
        <f t="shared" si="46"/>
        <v>0</v>
      </c>
      <c r="AF17" s="163">
        <f t="shared" si="62"/>
        <v>5282</v>
      </c>
      <c r="AG17" s="169">
        <f t="shared" si="47"/>
        <v>0</v>
      </c>
    </row>
    <row r="18" spans="1:33" ht="16.5" thickBot="1" x14ac:dyDescent="0.25">
      <c r="A18" s="10">
        <v>44577</v>
      </c>
      <c r="B18" s="165">
        <f t="shared" si="53"/>
        <v>22794.937000000002</v>
      </c>
      <c r="C18" s="48">
        <f t="shared" si="32"/>
        <v>0</v>
      </c>
      <c r="D18" s="32">
        <f t="shared" si="33"/>
        <v>0</v>
      </c>
      <c r="E18" s="1">
        <f t="shared" si="54"/>
        <v>4086.6289999999999</v>
      </c>
      <c r="F18" s="48">
        <f t="shared" si="34"/>
        <v>0</v>
      </c>
      <c r="G18" s="32">
        <f t="shared" si="35"/>
        <v>0</v>
      </c>
      <c r="H18" s="1">
        <f t="shared" si="55"/>
        <v>4569</v>
      </c>
      <c r="I18" s="48">
        <f t="shared" si="36"/>
        <v>0</v>
      </c>
      <c r="J18" s="32">
        <f t="shared" si="37"/>
        <v>0</v>
      </c>
      <c r="K18" s="7">
        <f t="shared" si="56"/>
        <v>13887.33</v>
      </c>
      <c r="L18" s="48">
        <f t="shared" si="38"/>
        <v>0</v>
      </c>
      <c r="M18" s="32">
        <f t="shared" si="39"/>
        <v>0</v>
      </c>
      <c r="N18" s="7">
        <f t="shared" si="57"/>
        <v>3373.7950000000001</v>
      </c>
      <c r="O18" s="48">
        <f t="shared" si="40"/>
        <v>0</v>
      </c>
      <c r="P18" s="32">
        <f t="shared" si="41"/>
        <v>0</v>
      </c>
      <c r="Q18" s="7">
        <f t="shared" si="50"/>
        <v>5291.46</v>
      </c>
      <c r="R18" s="48">
        <f t="shared" si="42"/>
        <v>0</v>
      </c>
      <c r="S18" s="32">
        <f t="shared" si="43"/>
        <v>0</v>
      </c>
      <c r="T18" s="8">
        <f t="shared" si="51"/>
        <v>0</v>
      </c>
      <c r="U18" s="34">
        <f t="shared" si="44"/>
        <v>0</v>
      </c>
      <c r="W18" s="162">
        <v>44577</v>
      </c>
      <c r="X18" s="163">
        <f t="shared" si="58"/>
        <v>163459</v>
      </c>
      <c r="Y18" s="169">
        <f t="shared" si="48"/>
        <v>0</v>
      </c>
      <c r="Z18" s="163">
        <f t="shared" si="59"/>
        <v>8258</v>
      </c>
      <c r="AA18" s="169">
        <f t="shared" si="60"/>
        <v>0</v>
      </c>
      <c r="AB18" s="163">
        <f t="shared" si="52"/>
        <v>19</v>
      </c>
      <c r="AC18" s="169">
        <f t="shared" si="63"/>
        <v>0</v>
      </c>
      <c r="AD18" s="163">
        <f t="shared" si="61"/>
        <v>99</v>
      </c>
      <c r="AE18" s="169">
        <f t="shared" si="46"/>
        <v>0</v>
      </c>
      <c r="AF18" s="163">
        <f t="shared" si="62"/>
        <v>5282</v>
      </c>
      <c r="AG18" s="169">
        <v>18</v>
      </c>
    </row>
    <row r="19" spans="1:33" ht="16.5" thickBot="1" x14ac:dyDescent="0.25">
      <c r="A19" s="10">
        <v>44578</v>
      </c>
      <c r="B19" s="165">
        <f t="shared" si="53"/>
        <v>22794.937000000002</v>
      </c>
      <c r="C19" s="48">
        <f t="shared" si="32"/>
        <v>0</v>
      </c>
      <c r="D19" s="32">
        <f t="shared" si="33"/>
        <v>0</v>
      </c>
      <c r="E19" s="1">
        <f t="shared" si="54"/>
        <v>4086.6289999999999</v>
      </c>
      <c r="F19" s="48">
        <f t="shared" si="34"/>
        <v>0</v>
      </c>
      <c r="G19" s="32">
        <f t="shared" si="35"/>
        <v>0</v>
      </c>
      <c r="H19" s="1">
        <f t="shared" si="55"/>
        <v>4569</v>
      </c>
      <c r="I19" s="48">
        <f t="shared" si="36"/>
        <v>0</v>
      </c>
      <c r="J19" s="32">
        <f t="shared" si="37"/>
        <v>0</v>
      </c>
      <c r="K19" s="7">
        <f t="shared" si="56"/>
        <v>13887.33</v>
      </c>
      <c r="L19" s="48">
        <f t="shared" si="38"/>
        <v>0</v>
      </c>
      <c r="M19" s="32">
        <f t="shared" si="39"/>
        <v>0</v>
      </c>
      <c r="N19" s="7">
        <f t="shared" si="57"/>
        <v>3373.7950000000001</v>
      </c>
      <c r="O19" s="48">
        <f t="shared" si="40"/>
        <v>0</v>
      </c>
      <c r="P19" s="32">
        <f t="shared" si="41"/>
        <v>0</v>
      </c>
      <c r="Q19" s="7">
        <f t="shared" si="50"/>
        <v>5291.46</v>
      </c>
      <c r="R19" s="48">
        <f t="shared" si="42"/>
        <v>0</v>
      </c>
      <c r="S19" s="32">
        <f t="shared" si="43"/>
        <v>0</v>
      </c>
      <c r="T19" s="8">
        <f t="shared" si="51"/>
        <v>0</v>
      </c>
      <c r="U19" s="34">
        <f t="shared" si="44"/>
        <v>0</v>
      </c>
      <c r="W19" s="162">
        <v>44578</v>
      </c>
      <c r="X19" s="163">
        <f t="shared" si="58"/>
        <v>163459</v>
      </c>
      <c r="Y19" s="169">
        <f t="shared" si="48"/>
        <v>0</v>
      </c>
      <c r="Z19" s="163">
        <f t="shared" si="59"/>
        <v>8258</v>
      </c>
      <c r="AA19" s="169">
        <f t="shared" si="60"/>
        <v>0</v>
      </c>
      <c r="AB19" s="163">
        <f t="shared" si="52"/>
        <v>19</v>
      </c>
      <c r="AC19" s="169">
        <f t="shared" si="63"/>
        <v>0</v>
      </c>
      <c r="AD19" s="163">
        <f t="shared" si="61"/>
        <v>99</v>
      </c>
      <c r="AE19" s="169">
        <f t="shared" si="46"/>
        <v>0</v>
      </c>
      <c r="AF19" s="163">
        <f t="shared" si="62"/>
        <v>5282</v>
      </c>
      <c r="AG19" s="169">
        <v>17</v>
      </c>
    </row>
    <row r="20" spans="1:33" ht="16.5" thickBot="1" x14ac:dyDescent="0.25">
      <c r="A20" s="10">
        <v>44579</v>
      </c>
      <c r="B20" s="165">
        <f t="shared" si="53"/>
        <v>22794.937000000002</v>
      </c>
      <c r="C20" s="48">
        <f t="shared" si="32"/>
        <v>0</v>
      </c>
      <c r="D20" s="32">
        <f t="shared" si="33"/>
        <v>0</v>
      </c>
      <c r="E20" s="1">
        <f t="shared" si="54"/>
        <v>4086.6289999999999</v>
      </c>
      <c r="F20" s="48">
        <f t="shared" si="34"/>
        <v>0</v>
      </c>
      <c r="G20" s="32">
        <f t="shared" si="35"/>
        <v>0</v>
      </c>
      <c r="H20" s="1">
        <f t="shared" si="55"/>
        <v>4569</v>
      </c>
      <c r="I20" s="48">
        <f t="shared" si="36"/>
        <v>0</v>
      </c>
      <c r="J20" s="32">
        <f t="shared" si="37"/>
        <v>0</v>
      </c>
      <c r="K20" s="7">
        <f t="shared" si="56"/>
        <v>13887.33</v>
      </c>
      <c r="L20" s="48">
        <f t="shared" si="38"/>
        <v>0</v>
      </c>
      <c r="M20" s="32">
        <f t="shared" si="39"/>
        <v>0</v>
      </c>
      <c r="N20" s="7">
        <f t="shared" si="57"/>
        <v>3373.7950000000001</v>
      </c>
      <c r="O20" s="48">
        <f t="shared" si="40"/>
        <v>0</v>
      </c>
      <c r="P20" s="32">
        <f t="shared" si="41"/>
        <v>0</v>
      </c>
      <c r="Q20" s="7">
        <f t="shared" si="50"/>
        <v>5291.46</v>
      </c>
      <c r="R20" s="48">
        <f t="shared" si="42"/>
        <v>0</v>
      </c>
      <c r="S20" s="32">
        <f t="shared" si="43"/>
        <v>0</v>
      </c>
      <c r="T20" s="8">
        <f t="shared" si="51"/>
        <v>0</v>
      </c>
      <c r="U20" s="34">
        <f t="shared" si="44"/>
        <v>0</v>
      </c>
      <c r="W20" s="162">
        <v>44579</v>
      </c>
      <c r="X20" s="163">
        <f t="shared" si="58"/>
        <v>163459</v>
      </c>
      <c r="Y20" s="169">
        <f t="shared" si="48"/>
        <v>0</v>
      </c>
      <c r="Z20" s="163">
        <f t="shared" si="59"/>
        <v>8258</v>
      </c>
      <c r="AA20" s="169">
        <f t="shared" si="60"/>
        <v>0</v>
      </c>
      <c r="AB20" s="163">
        <f t="shared" si="52"/>
        <v>19</v>
      </c>
      <c r="AC20" s="169">
        <f t="shared" si="63"/>
        <v>0</v>
      </c>
      <c r="AD20" s="163">
        <f t="shared" si="61"/>
        <v>99</v>
      </c>
      <c r="AE20" s="169">
        <v>2</v>
      </c>
      <c r="AF20" s="163">
        <f t="shared" si="62"/>
        <v>5282</v>
      </c>
      <c r="AG20" s="169">
        <f t="shared" si="47"/>
        <v>0</v>
      </c>
    </row>
    <row r="21" spans="1:33" ht="16.5" thickBot="1" x14ac:dyDescent="0.25">
      <c r="A21" s="10">
        <v>44580</v>
      </c>
      <c r="B21" s="165">
        <f t="shared" si="53"/>
        <v>22794.937000000002</v>
      </c>
      <c r="C21" s="48">
        <f t="shared" si="32"/>
        <v>0</v>
      </c>
      <c r="D21" s="32">
        <f t="shared" si="33"/>
        <v>0</v>
      </c>
      <c r="E21" s="1">
        <f t="shared" si="54"/>
        <v>4086.6289999999999</v>
      </c>
      <c r="F21" s="48">
        <f t="shared" si="34"/>
        <v>0</v>
      </c>
      <c r="G21" s="32">
        <f t="shared" si="35"/>
        <v>0</v>
      </c>
      <c r="H21" s="1">
        <f t="shared" si="55"/>
        <v>4569</v>
      </c>
      <c r="I21" s="48">
        <f t="shared" si="36"/>
        <v>0</v>
      </c>
      <c r="J21" s="32">
        <f t="shared" si="37"/>
        <v>0</v>
      </c>
      <c r="K21" s="7">
        <f t="shared" si="56"/>
        <v>13887.33</v>
      </c>
      <c r="L21" s="48">
        <f t="shared" si="38"/>
        <v>0</v>
      </c>
      <c r="M21" s="32">
        <f t="shared" si="39"/>
        <v>0</v>
      </c>
      <c r="N21" s="7">
        <f t="shared" si="57"/>
        <v>3373.7950000000001</v>
      </c>
      <c r="O21" s="48">
        <f t="shared" si="40"/>
        <v>0</v>
      </c>
      <c r="P21" s="32">
        <f t="shared" si="41"/>
        <v>0</v>
      </c>
      <c r="Q21" s="7">
        <f t="shared" si="50"/>
        <v>5291.46</v>
      </c>
      <c r="R21" s="48">
        <f t="shared" si="42"/>
        <v>0</v>
      </c>
      <c r="S21" s="32">
        <f t="shared" si="43"/>
        <v>0</v>
      </c>
      <c r="T21" s="8">
        <f t="shared" si="51"/>
        <v>0</v>
      </c>
      <c r="U21" s="34">
        <f t="shared" si="44"/>
        <v>0</v>
      </c>
      <c r="W21" s="162">
        <v>44580</v>
      </c>
      <c r="X21" s="163">
        <f t="shared" si="58"/>
        <v>163459</v>
      </c>
      <c r="Y21" s="169">
        <f t="shared" si="48"/>
        <v>0</v>
      </c>
      <c r="Z21" s="163">
        <f t="shared" si="59"/>
        <v>8258</v>
      </c>
      <c r="AA21" s="169">
        <f t="shared" si="60"/>
        <v>0</v>
      </c>
      <c r="AB21" s="163">
        <f t="shared" si="52"/>
        <v>19</v>
      </c>
      <c r="AC21" s="169">
        <f t="shared" si="63"/>
        <v>0</v>
      </c>
      <c r="AD21" s="163">
        <f t="shared" si="61"/>
        <v>99</v>
      </c>
      <c r="AE21" s="169">
        <f t="shared" si="46"/>
        <v>0</v>
      </c>
      <c r="AF21" s="163">
        <f t="shared" si="62"/>
        <v>5282</v>
      </c>
      <c r="AG21" s="169">
        <f t="shared" si="47"/>
        <v>0</v>
      </c>
    </row>
    <row r="22" spans="1:33" ht="16.5" thickBot="1" x14ac:dyDescent="0.25">
      <c r="A22" s="10">
        <v>44581</v>
      </c>
      <c r="B22" s="165">
        <f t="shared" si="53"/>
        <v>22794.937000000002</v>
      </c>
      <c r="C22" s="48">
        <f t="shared" si="32"/>
        <v>0</v>
      </c>
      <c r="D22" s="32">
        <f t="shared" si="33"/>
        <v>0</v>
      </c>
      <c r="E22" s="1">
        <f t="shared" si="54"/>
        <v>4086.6289999999999</v>
      </c>
      <c r="F22" s="48">
        <f t="shared" si="34"/>
        <v>0</v>
      </c>
      <c r="G22" s="32">
        <f t="shared" si="35"/>
        <v>0</v>
      </c>
      <c r="H22" s="1">
        <f t="shared" si="55"/>
        <v>4569</v>
      </c>
      <c r="I22" s="48">
        <f t="shared" si="36"/>
        <v>0</v>
      </c>
      <c r="J22" s="32">
        <f t="shared" si="37"/>
        <v>0</v>
      </c>
      <c r="K22" s="7">
        <f t="shared" si="56"/>
        <v>13887.33</v>
      </c>
      <c r="L22" s="48">
        <f t="shared" si="38"/>
        <v>0</v>
      </c>
      <c r="M22" s="32">
        <f t="shared" si="39"/>
        <v>0</v>
      </c>
      <c r="N22" s="7">
        <f t="shared" si="57"/>
        <v>3373.7950000000001</v>
      </c>
      <c r="O22" s="48">
        <f t="shared" si="40"/>
        <v>0</v>
      </c>
      <c r="P22" s="32">
        <f t="shared" si="41"/>
        <v>0</v>
      </c>
      <c r="Q22" s="7">
        <f t="shared" si="50"/>
        <v>5291.46</v>
      </c>
      <c r="R22" s="48">
        <f t="shared" si="42"/>
        <v>0</v>
      </c>
      <c r="S22" s="32">
        <f t="shared" si="43"/>
        <v>0</v>
      </c>
      <c r="T22" s="8">
        <f t="shared" si="51"/>
        <v>0</v>
      </c>
      <c r="U22" s="34">
        <f t="shared" si="44"/>
        <v>0</v>
      </c>
      <c r="W22" s="162">
        <v>44581</v>
      </c>
      <c r="X22" s="163">
        <f t="shared" si="58"/>
        <v>163459</v>
      </c>
      <c r="Y22" s="169">
        <f t="shared" si="48"/>
        <v>0</v>
      </c>
      <c r="Z22" s="163">
        <f t="shared" si="59"/>
        <v>8258</v>
      </c>
      <c r="AA22" s="169">
        <f t="shared" si="60"/>
        <v>0</v>
      </c>
      <c r="AB22" s="163">
        <f t="shared" si="52"/>
        <v>19</v>
      </c>
      <c r="AC22" s="169">
        <f t="shared" si="63"/>
        <v>0</v>
      </c>
      <c r="AD22" s="163">
        <f t="shared" si="61"/>
        <v>99</v>
      </c>
      <c r="AE22" s="169">
        <f t="shared" si="46"/>
        <v>0</v>
      </c>
      <c r="AF22" s="163">
        <f t="shared" si="62"/>
        <v>5282</v>
      </c>
      <c r="AG22" s="169">
        <f t="shared" si="47"/>
        <v>0</v>
      </c>
    </row>
    <row r="23" spans="1:33" ht="16.5" thickBot="1" x14ac:dyDescent="0.25">
      <c r="A23" s="10">
        <v>44582</v>
      </c>
      <c r="B23" s="165">
        <f t="shared" si="53"/>
        <v>22794.937000000002</v>
      </c>
      <c r="C23" s="48">
        <f t="shared" si="32"/>
        <v>0</v>
      </c>
      <c r="D23" s="32">
        <f t="shared" si="33"/>
        <v>0</v>
      </c>
      <c r="E23" s="1">
        <f t="shared" si="54"/>
        <v>4086.6289999999999</v>
      </c>
      <c r="F23" s="48">
        <f t="shared" si="34"/>
        <v>0</v>
      </c>
      <c r="G23" s="32">
        <f t="shared" si="35"/>
        <v>0</v>
      </c>
      <c r="H23" s="1">
        <f t="shared" si="55"/>
        <v>4569</v>
      </c>
      <c r="I23" s="48">
        <f t="shared" si="36"/>
        <v>0</v>
      </c>
      <c r="J23" s="32">
        <f t="shared" si="37"/>
        <v>0</v>
      </c>
      <c r="K23" s="7">
        <f t="shared" si="56"/>
        <v>13887.33</v>
      </c>
      <c r="L23" s="48">
        <f t="shared" si="38"/>
        <v>0</v>
      </c>
      <c r="M23" s="32">
        <f t="shared" si="39"/>
        <v>0</v>
      </c>
      <c r="N23" s="7">
        <f t="shared" si="57"/>
        <v>3373.7950000000001</v>
      </c>
      <c r="O23" s="48">
        <f t="shared" si="40"/>
        <v>0</v>
      </c>
      <c r="P23" s="32">
        <f t="shared" si="41"/>
        <v>0</v>
      </c>
      <c r="Q23" s="7">
        <f t="shared" si="50"/>
        <v>5291.46</v>
      </c>
      <c r="R23" s="48">
        <f t="shared" si="42"/>
        <v>0</v>
      </c>
      <c r="S23" s="32">
        <f t="shared" si="43"/>
        <v>0</v>
      </c>
      <c r="T23" s="8">
        <f t="shared" si="51"/>
        <v>0</v>
      </c>
      <c r="U23" s="34">
        <f t="shared" si="44"/>
        <v>0</v>
      </c>
      <c r="W23" s="162">
        <v>44582</v>
      </c>
      <c r="X23" s="163">
        <f t="shared" si="58"/>
        <v>163459</v>
      </c>
      <c r="Y23" s="169">
        <f t="shared" si="48"/>
        <v>0</v>
      </c>
      <c r="Z23" s="163">
        <f t="shared" si="59"/>
        <v>8258</v>
      </c>
      <c r="AA23" s="169">
        <f t="shared" si="60"/>
        <v>0</v>
      </c>
      <c r="AB23" s="163">
        <f t="shared" si="52"/>
        <v>19</v>
      </c>
      <c r="AC23" s="169">
        <f t="shared" si="63"/>
        <v>0</v>
      </c>
      <c r="AD23" s="163">
        <f t="shared" si="61"/>
        <v>99</v>
      </c>
      <c r="AE23" s="169">
        <f t="shared" si="46"/>
        <v>0</v>
      </c>
      <c r="AF23" s="163">
        <f t="shared" si="62"/>
        <v>5282</v>
      </c>
      <c r="AG23" s="169">
        <f t="shared" si="47"/>
        <v>0</v>
      </c>
    </row>
    <row r="24" spans="1:33" ht="16.5" thickBot="1" x14ac:dyDescent="0.25">
      <c r="A24" s="10">
        <v>44583</v>
      </c>
      <c r="B24" s="165">
        <f t="shared" si="53"/>
        <v>22794.937000000002</v>
      </c>
      <c r="C24" s="48">
        <f t="shared" si="32"/>
        <v>0</v>
      </c>
      <c r="D24" s="32">
        <f t="shared" si="33"/>
        <v>0</v>
      </c>
      <c r="E24" s="1">
        <f t="shared" si="54"/>
        <v>4086.6289999999999</v>
      </c>
      <c r="F24" s="48">
        <f t="shared" si="34"/>
        <v>0</v>
      </c>
      <c r="G24" s="32">
        <f t="shared" si="35"/>
        <v>0</v>
      </c>
      <c r="H24" s="1">
        <f t="shared" si="55"/>
        <v>4569</v>
      </c>
      <c r="I24" s="48">
        <f t="shared" si="36"/>
        <v>0</v>
      </c>
      <c r="J24" s="32">
        <f t="shared" si="37"/>
        <v>0</v>
      </c>
      <c r="K24" s="7">
        <f t="shared" si="56"/>
        <v>13887.33</v>
      </c>
      <c r="L24" s="48">
        <f t="shared" si="38"/>
        <v>0</v>
      </c>
      <c r="M24" s="32">
        <f t="shared" si="39"/>
        <v>0</v>
      </c>
      <c r="N24" s="7">
        <f t="shared" si="57"/>
        <v>3373.7950000000001</v>
      </c>
      <c r="O24" s="48">
        <f t="shared" si="40"/>
        <v>0</v>
      </c>
      <c r="P24" s="32">
        <f t="shared" si="41"/>
        <v>0</v>
      </c>
      <c r="Q24" s="7">
        <f t="shared" si="50"/>
        <v>5291.46</v>
      </c>
      <c r="R24" s="48">
        <f t="shared" si="42"/>
        <v>0</v>
      </c>
      <c r="S24" s="32">
        <f t="shared" si="43"/>
        <v>0</v>
      </c>
      <c r="T24" s="8">
        <f t="shared" si="51"/>
        <v>0</v>
      </c>
      <c r="U24" s="34">
        <f t="shared" si="44"/>
        <v>0</v>
      </c>
      <c r="W24" s="162">
        <v>44583</v>
      </c>
      <c r="X24" s="163">
        <f t="shared" si="58"/>
        <v>163459</v>
      </c>
      <c r="Y24" s="169">
        <f t="shared" si="48"/>
        <v>0</v>
      </c>
      <c r="Z24" s="163">
        <f t="shared" si="59"/>
        <v>8258</v>
      </c>
      <c r="AA24" s="169">
        <f t="shared" si="60"/>
        <v>0</v>
      </c>
      <c r="AB24" s="163">
        <f t="shared" si="52"/>
        <v>19</v>
      </c>
      <c r="AC24" s="169">
        <f t="shared" si="63"/>
        <v>0</v>
      </c>
      <c r="AD24" s="163">
        <f t="shared" si="61"/>
        <v>99</v>
      </c>
      <c r="AE24" s="169">
        <f t="shared" si="46"/>
        <v>0</v>
      </c>
      <c r="AF24" s="163">
        <f t="shared" si="62"/>
        <v>5282</v>
      </c>
      <c r="AG24" s="169">
        <f t="shared" si="47"/>
        <v>0</v>
      </c>
    </row>
    <row r="25" spans="1:33" ht="16.5" thickBot="1" x14ac:dyDescent="0.25">
      <c r="A25" s="10">
        <v>44584</v>
      </c>
      <c r="B25" s="165">
        <f t="shared" si="53"/>
        <v>22794.937000000002</v>
      </c>
      <c r="C25" s="48">
        <f t="shared" si="32"/>
        <v>0</v>
      </c>
      <c r="D25" s="32">
        <f t="shared" si="33"/>
        <v>0</v>
      </c>
      <c r="E25" s="1">
        <f t="shared" si="54"/>
        <v>4086.6289999999999</v>
      </c>
      <c r="F25" s="48">
        <f t="shared" si="34"/>
        <v>0</v>
      </c>
      <c r="G25" s="32">
        <f t="shared" si="35"/>
        <v>0</v>
      </c>
      <c r="H25" s="1">
        <f t="shared" si="55"/>
        <v>4569</v>
      </c>
      <c r="I25" s="48">
        <f t="shared" si="36"/>
        <v>0</v>
      </c>
      <c r="J25" s="32">
        <f t="shared" si="37"/>
        <v>0</v>
      </c>
      <c r="K25" s="7">
        <f t="shared" si="56"/>
        <v>13887.33</v>
      </c>
      <c r="L25" s="48">
        <f t="shared" si="38"/>
        <v>0</v>
      </c>
      <c r="M25" s="32">
        <f t="shared" si="39"/>
        <v>0</v>
      </c>
      <c r="N25" s="7">
        <f t="shared" si="57"/>
        <v>3373.7950000000001</v>
      </c>
      <c r="O25" s="48">
        <f t="shared" si="40"/>
        <v>0</v>
      </c>
      <c r="P25" s="32">
        <f t="shared" si="41"/>
        <v>0</v>
      </c>
      <c r="Q25" s="7">
        <f t="shared" si="50"/>
        <v>5291.46</v>
      </c>
      <c r="R25" s="48">
        <f t="shared" si="42"/>
        <v>0</v>
      </c>
      <c r="S25" s="32">
        <f t="shared" si="43"/>
        <v>0</v>
      </c>
      <c r="T25" s="8">
        <f t="shared" si="51"/>
        <v>0</v>
      </c>
      <c r="U25" s="34">
        <f t="shared" si="44"/>
        <v>0</v>
      </c>
      <c r="W25" s="162">
        <v>44584</v>
      </c>
      <c r="X25" s="163">
        <f t="shared" si="58"/>
        <v>163459</v>
      </c>
      <c r="Y25" s="169">
        <f t="shared" si="48"/>
        <v>0</v>
      </c>
      <c r="Z25" s="163">
        <f t="shared" si="59"/>
        <v>8258</v>
      </c>
      <c r="AA25" s="169">
        <f t="shared" si="60"/>
        <v>0</v>
      </c>
      <c r="AB25" s="163">
        <f t="shared" si="52"/>
        <v>19</v>
      </c>
      <c r="AC25" s="169">
        <f t="shared" si="63"/>
        <v>0</v>
      </c>
      <c r="AD25" s="163">
        <f t="shared" si="61"/>
        <v>99</v>
      </c>
      <c r="AE25" s="169">
        <f t="shared" si="46"/>
        <v>0</v>
      </c>
      <c r="AF25" s="163">
        <f t="shared" si="62"/>
        <v>5282</v>
      </c>
      <c r="AG25" s="169">
        <f t="shared" si="47"/>
        <v>0</v>
      </c>
    </row>
    <row r="26" spans="1:33" ht="16.5" thickBot="1" x14ac:dyDescent="0.25">
      <c r="A26" s="10">
        <v>44585</v>
      </c>
      <c r="B26" s="165">
        <f t="shared" si="53"/>
        <v>22794.937000000002</v>
      </c>
      <c r="C26" s="48">
        <f t="shared" si="32"/>
        <v>0</v>
      </c>
      <c r="D26" s="32">
        <f t="shared" si="33"/>
        <v>0</v>
      </c>
      <c r="E26" s="1">
        <f t="shared" si="54"/>
        <v>4086.6289999999999</v>
      </c>
      <c r="F26" s="48">
        <f t="shared" si="34"/>
        <v>0</v>
      </c>
      <c r="G26" s="32">
        <f t="shared" si="35"/>
        <v>0</v>
      </c>
      <c r="H26" s="1">
        <f t="shared" si="55"/>
        <v>4569</v>
      </c>
      <c r="I26" s="48">
        <f t="shared" si="36"/>
        <v>0</v>
      </c>
      <c r="J26" s="32">
        <f t="shared" si="37"/>
        <v>0</v>
      </c>
      <c r="K26" s="7">
        <f t="shared" si="56"/>
        <v>13887.33</v>
      </c>
      <c r="L26" s="48">
        <f>IF((K26-K25)&lt;0,"0",(K26-K25))</f>
        <v>0</v>
      </c>
      <c r="M26" s="32">
        <f t="shared" si="39"/>
        <v>0</v>
      </c>
      <c r="N26" s="7">
        <f t="shared" si="57"/>
        <v>3373.7950000000001</v>
      </c>
      <c r="O26" s="48">
        <f t="shared" si="40"/>
        <v>0</v>
      </c>
      <c r="P26" s="32">
        <f t="shared" si="41"/>
        <v>0</v>
      </c>
      <c r="Q26" s="7">
        <f t="shared" si="50"/>
        <v>5291.46</v>
      </c>
      <c r="R26" s="48">
        <f t="shared" si="42"/>
        <v>0</v>
      </c>
      <c r="S26" s="32">
        <f t="shared" si="43"/>
        <v>0</v>
      </c>
      <c r="T26" s="8">
        <f t="shared" si="51"/>
        <v>0</v>
      </c>
      <c r="U26" s="34">
        <f t="shared" si="44"/>
        <v>0</v>
      </c>
      <c r="V26" t="s">
        <v>12</v>
      </c>
      <c r="W26" s="162">
        <v>44585</v>
      </c>
      <c r="X26" s="163">
        <f t="shared" si="58"/>
        <v>163459</v>
      </c>
      <c r="Y26" s="169">
        <f t="shared" si="48"/>
        <v>0</v>
      </c>
      <c r="Z26" s="163">
        <f t="shared" si="59"/>
        <v>8258</v>
      </c>
      <c r="AA26" s="169">
        <f t="shared" si="60"/>
        <v>0</v>
      </c>
      <c r="AB26" s="163">
        <f t="shared" si="52"/>
        <v>19</v>
      </c>
      <c r="AC26" s="169">
        <f t="shared" si="63"/>
        <v>0</v>
      </c>
      <c r="AD26" s="163">
        <f t="shared" si="61"/>
        <v>99</v>
      </c>
      <c r="AE26" s="169">
        <f t="shared" si="46"/>
        <v>0</v>
      </c>
      <c r="AF26" s="163">
        <f t="shared" si="62"/>
        <v>5282</v>
      </c>
      <c r="AG26" s="169">
        <f t="shared" si="47"/>
        <v>0</v>
      </c>
    </row>
    <row r="27" spans="1:33" ht="16.5" thickBot="1" x14ac:dyDescent="0.25">
      <c r="A27" s="10">
        <v>44586</v>
      </c>
      <c r="B27" s="165">
        <f t="shared" si="53"/>
        <v>22794.937000000002</v>
      </c>
      <c r="C27" s="48">
        <f t="shared" si="32"/>
        <v>0</v>
      </c>
      <c r="D27" s="32">
        <f t="shared" si="33"/>
        <v>0</v>
      </c>
      <c r="E27" s="1">
        <f t="shared" si="54"/>
        <v>4086.6289999999999</v>
      </c>
      <c r="F27" s="48">
        <f t="shared" si="34"/>
        <v>0</v>
      </c>
      <c r="G27" s="32">
        <f t="shared" si="35"/>
        <v>0</v>
      </c>
      <c r="H27" s="1">
        <f t="shared" si="55"/>
        <v>4569</v>
      </c>
      <c r="I27" s="48">
        <f t="shared" si="36"/>
        <v>0</v>
      </c>
      <c r="J27" s="32">
        <f t="shared" si="37"/>
        <v>0</v>
      </c>
      <c r="K27" s="7">
        <f t="shared" si="56"/>
        <v>13887.33</v>
      </c>
      <c r="L27" s="48">
        <f t="shared" si="38"/>
        <v>0</v>
      </c>
      <c r="M27" s="32">
        <f t="shared" si="39"/>
        <v>0</v>
      </c>
      <c r="N27" s="7">
        <f t="shared" si="57"/>
        <v>3373.7950000000001</v>
      </c>
      <c r="O27" s="48">
        <f t="shared" si="40"/>
        <v>0</v>
      </c>
      <c r="P27" s="32">
        <f t="shared" si="41"/>
        <v>0</v>
      </c>
      <c r="Q27" s="7">
        <f t="shared" si="50"/>
        <v>5291.46</v>
      </c>
      <c r="R27" s="48">
        <f t="shared" si="42"/>
        <v>0</v>
      </c>
      <c r="S27" s="32">
        <f t="shared" si="43"/>
        <v>0</v>
      </c>
      <c r="T27" s="8">
        <f t="shared" si="51"/>
        <v>0</v>
      </c>
      <c r="U27" s="34">
        <f t="shared" si="44"/>
        <v>0</v>
      </c>
      <c r="V27" t="s">
        <v>12</v>
      </c>
      <c r="W27" s="162">
        <v>44586</v>
      </c>
      <c r="X27" s="163">
        <f t="shared" si="58"/>
        <v>163459</v>
      </c>
      <c r="Y27" s="169">
        <f t="shared" si="48"/>
        <v>0</v>
      </c>
      <c r="Z27" s="163">
        <f t="shared" si="59"/>
        <v>8258</v>
      </c>
      <c r="AA27" s="169">
        <f t="shared" si="60"/>
        <v>0</v>
      </c>
      <c r="AB27" s="163">
        <f t="shared" si="52"/>
        <v>19</v>
      </c>
      <c r="AC27" s="169">
        <f t="shared" si="63"/>
        <v>0</v>
      </c>
      <c r="AD27" s="163">
        <f t="shared" si="61"/>
        <v>99</v>
      </c>
      <c r="AE27" s="169">
        <f t="shared" si="46"/>
        <v>0</v>
      </c>
      <c r="AF27" s="163">
        <f t="shared" si="62"/>
        <v>5282</v>
      </c>
      <c r="AG27" s="169">
        <f t="shared" si="47"/>
        <v>0</v>
      </c>
    </row>
    <row r="28" spans="1:33" ht="16.5" thickBot="1" x14ac:dyDescent="0.25">
      <c r="A28" s="10">
        <v>44587</v>
      </c>
      <c r="B28" s="165">
        <f t="shared" si="53"/>
        <v>22794.937000000002</v>
      </c>
      <c r="C28" s="48">
        <f t="shared" si="32"/>
        <v>0</v>
      </c>
      <c r="D28" s="32">
        <f t="shared" si="33"/>
        <v>0</v>
      </c>
      <c r="E28" s="1">
        <f t="shared" si="54"/>
        <v>4086.6289999999999</v>
      </c>
      <c r="F28" s="48">
        <f t="shared" si="34"/>
        <v>0</v>
      </c>
      <c r="G28" s="32">
        <f t="shared" si="35"/>
        <v>0</v>
      </c>
      <c r="H28" s="1">
        <f t="shared" si="55"/>
        <v>4569</v>
      </c>
      <c r="I28" s="48">
        <f t="shared" si="36"/>
        <v>0</v>
      </c>
      <c r="J28" s="32">
        <f t="shared" si="37"/>
        <v>0</v>
      </c>
      <c r="K28" s="7">
        <f t="shared" si="56"/>
        <v>13887.33</v>
      </c>
      <c r="L28" s="48">
        <f t="shared" si="38"/>
        <v>0</v>
      </c>
      <c r="M28" s="32">
        <f t="shared" si="39"/>
        <v>0</v>
      </c>
      <c r="N28" s="7">
        <f t="shared" si="57"/>
        <v>3373.7950000000001</v>
      </c>
      <c r="O28" s="48">
        <f t="shared" si="40"/>
        <v>0</v>
      </c>
      <c r="P28" s="32">
        <f t="shared" si="41"/>
        <v>0</v>
      </c>
      <c r="Q28" s="7">
        <f t="shared" si="50"/>
        <v>5291.46</v>
      </c>
      <c r="R28" s="48">
        <f t="shared" si="42"/>
        <v>0</v>
      </c>
      <c r="S28" s="32">
        <f t="shared" si="43"/>
        <v>0</v>
      </c>
      <c r="T28" s="8">
        <f t="shared" si="51"/>
        <v>0</v>
      </c>
      <c r="U28" s="34">
        <f t="shared" si="44"/>
        <v>0</v>
      </c>
      <c r="W28" s="162">
        <v>44587</v>
      </c>
      <c r="X28" s="163">
        <f t="shared" si="58"/>
        <v>163459</v>
      </c>
      <c r="Y28" s="169">
        <f t="shared" si="48"/>
        <v>0</v>
      </c>
      <c r="Z28" s="163">
        <f t="shared" si="59"/>
        <v>8258</v>
      </c>
      <c r="AA28" s="169">
        <f t="shared" si="60"/>
        <v>0</v>
      </c>
      <c r="AB28" s="163">
        <f t="shared" si="52"/>
        <v>19</v>
      </c>
      <c r="AC28" s="169">
        <f t="shared" si="63"/>
        <v>0</v>
      </c>
      <c r="AD28" s="163">
        <f t="shared" si="61"/>
        <v>99</v>
      </c>
      <c r="AE28" s="169">
        <f t="shared" si="46"/>
        <v>0</v>
      </c>
      <c r="AF28" s="163">
        <f t="shared" si="62"/>
        <v>5282</v>
      </c>
      <c r="AG28" s="169">
        <f t="shared" si="47"/>
        <v>0</v>
      </c>
    </row>
    <row r="29" spans="1:33" ht="16.5" thickBot="1" x14ac:dyDescent="0.25">
      <c r="A29" s="10">
        <v>44588</v>
      </c>
      <c r="B29" s="165">
        <f t="shared" si="53"/>
        <v>22794.937000000002</v>
      </c>
      <c r="C29" s="48">
        <f t="shared" si="32"/>
        <v>0</v>
      </c>
      <c r="D29" s="32">
        <f t="shared" si="33"/>
        <v>0</v>
      </c>
      <c r="E29" s="1">
        <f t="shared" si="54"/>
        <v>4086.6289999999999</v>
      </c>
      <c r="F29" s="48">
        <f t="shared" si="34"/>
        <v>0</v>
      </c>
      <c r="G29" s="32">
        <f t="shared" si="35"/>
        <v>0</v>
      </c>
      <c r="H29" s="1">
        <f t="shared" si="55"/>
        <v>4569</v>
      </c>
      <c r="I29" s="48">
        <f t="shared" si="36"/>
        <v>0</v>
      </c>
      <c r="J29" s="32">
        <f t="shared" si="37"/>
        <v>0</v>
      </c>
      <c r="K29" s="7">
        <f t="shared" si="56"/>
        <v>13887.33</v>
      </c>
      <c r="L29" s="48">
        <f t="shared" si="38"/>
        <v>0</v>
      </c>
      <c r="M29" s="32">
        <f t="shared" si="39"/>
        <v>0</v>
      </c>
      <c r="N29" s="7">
        <f t="shared" si="57"/>
        <v>3373.7950000000001</v>
      </c>
      <c r="O29" s="48">
        <f t="shared" si="40"/>
        <v>0</v>
      </c>
      <c r="P29" s="32">
        <f t="shared" si="41"/>
        <v>0</v>
      </c>
      <c r="Q29" s="7">
        <f t="shared" si="50"/>
        <v>5291.46</v>
      </c>
      <c r="R29" s="48">
        <f t="shared" si="42"/>
        <v>0</v>
      </c>
      <c r="S29" s="32">
        <f t="shared" si="43"/>
        <v>0</v>
      </c>
      <c r="T29" s="8">
        <f t="shared" si="51"/>
        <v>0</v>
      </c>
      <c r="U29" s="34">
        <f t="shared" si="44"/>
        <v>0</v>
      </c>
      <c r="W29" s="162">
        <v>44588</v>
      </c>
      <c r="X29" s="163">
        <f t="shared" si="58"/>
        <v>163459</v>
      </c>
      <c r="Y29" s="169">
        <f t="shared" si="48"/>
        <v>0</v>
      </c>
      <c r="Z29" s="163">
        <f t="shared" si="59"/>
        <v>8258</v>
      </c>
      <c r="AA29" s="169">
        <f t="shared" si="60"/>
        <v>0</v>
      </c>
      <c r="AB29" s="163">
        <f t="shared" si="52"/>
        <v>19</v>
      </c>
      <c r="AC29" s="169">
        <f t="shared" si="63"/>
        <v>0</v>
      </c>
      <c r="AD29" s="163">
        <f t="shared" si="61"/>
        <v>99</v>
      </c>
      <c r="AE29" s="169">
        <f t="shared" si="46"/>
        <v>0</v>
      </c>
      <c r="AF29" s="163">
        <f t="shared" si="62"/>
        <v>5282</v>
      </c>
      <c r="AG29" s="169">
        <f t="shared" si="47"/>
        <v>0</v>
      </c>
    </row>
    <row r="30" spans="1:33" ht="16.5" thickBot="1" x14ac:dyDescent="0.25">
      <c r="A30" s="10">
        <v>44589</v>
      </c>
      <c r="B30" s="165">
        <f t="shared" si="53"/>
        <v>22794.937000000002</v>
      </c>
      <c r="C30" s="48">
        <f t="shared" si="32"/>
        <v>0</v>
      </c>
      <c r="D30" s="32">
        <f t="shared" si="33"/>
        <v>0</v>
      </c>
      <c r="E30" s="1">
        <f t="shared" si="54"/>
        <v>4086.6289999999999</v>
      </c>
      <c r="F30" s="48">
        <f t="shared" si="34"/>
        <v>0</v>
      </c>
      <c r="G30" s="32">
        <f t="shared" si="35"/>
        <v>0</v>
      </c>
      <c r="H30" s="1">
        <f t="shared" si="55"/>
        <v>4569</v>
      </c>
      <c r="I30" s="48">
        <f t="shared" si="36"/>
        <v>0</v>
      </c>
      <c r="J30" s="32">
        <f t="shared" si="37"/>
        <v>0</v>
      </c>
      <c r="K30" s="7">
        <f t="shared" si="56"/>
        <v>13887.33</v>
      </c>
      <c r="L30" s="48">
        <f t="shared" si="38"/>
        <v>0</v>
      </c>
      <c r="M30" s="32">
        <f t="shared" si="39"/>
        <v>0</v>
      </c>
      <c r="N30" s="7">
        <f t="shared" si="57"/>
        <v>3373.7950000000001</v>
      </c>
      <c r="O30" s="48">
        <f t="shared" si="40"/>
        <v>0</v>
      </c>
      <c r="P30" s="32">
        <f t="shared" si="41"/>
        <v>0</v>
      </c>
      <c r="Q30" s="7">
        <f t="shared" si="50"/>
        <v>5291.46</v>
      </c>
      <c r="R30" s="48">
        <f t="shared" si="42"/>
        <v>0</v>
      </c>
      <c r="S30" s="32">
        <f t="shared" si="43"/>
        <v>0</v>
      </c>
      <c r="T30" s="8">
        <f t="shared" si="51"/>
        <v>0</v>
      </c>
      <c r="U30" s="34">
        <f t="shared" si="44"/>
        <v>0</v>
      </c>
      <c r="W30" s="162">
        <v>44589</v>
      </c>
      <c r="X30" s="163">
        <f t="shared" si="58"/>
        <v>163459</v>
      </c>
      <c r="Y30" s="169">
        <f t="shared" si="48"/>
        <v>0</v>
      </c>
      <c r="Z30" s="163">
        <f t="shared" si="59"/>
        <v>8258</v>
      </c>
      <c r="AA30" s="169">
        <f>Z30-Z29</f>
        <v>0</v>
      </c>
      <c r="AB30" s="163">
        <f t="shared" si="52"/>
        <v>19</v>
      </c>
      <c r="AC30" s="169">
        <f t="shared" si="63"/>
        <v>0</v>
      </c>
      <c r="AD30" s="163">
        <f t="shared" si="61"/>
        <v>99</v>
      </c>
      <c r="AE30" s="169">
        <f t="shared" si="46"/>
        <v>0</v>
      </c>
      <c r="AF30" s="163">
        <f t="shared" si="62"/>
        <v>5282</v>
      </c>
      <c r="AG30" s="169">
        <f t="shared" si="47"/>
        <v>0</v>
      </c>
    </row>
    <row r="31" spans="1:33" ht="16.5" thickBot="1" x14ac:dyDescent="0.25">
      <c r="A31" s="10">
        <v>44590</v>
      </c>
      <c r="B31" s="165">
        <f t="shared" si="53"/>
        <v>22794.937000000002</v>
      </c>
      <c r="C31" s="48">
        <f t="shared" si="32"/>
        <v>0</v>
      </c>
      <c r="D31" s="32">
        <f t="shared" si="33"/>
        <v>0</v>
      </c>
      <c r="E31" s="1">
        <f t="shared" si="54"/>
        <v>4086.6289999999999</v>
      </c>
      <c r="F31" s="48">
        <f t="shared" si="34"/>
        <v>0</v>
      </c>
      <c r="G31" s="32">
        <f t="shared" si="35"/>
        <v>0</v>
      </c>
      <c r="H31" s="1">
        <f t="shared" si="55"/>
        <v>4569</v>
      </c>
      <c r="I31" s="48">
        <f t="shared" si="36"/>
        <v>0</v>
      </c>
      <c r="J31" s="32">
        <f t="shared" si="37"/>
        <v>0</v>
      </c>
      <c r="K31" s="7">
        <f t="shared" si="56"/>
        <v>13887.33</v>
      </c>
      <c r="L31" s="48">
        <f t="shared" si="38"/>
        <v>0</v>
      </c>
      <c r="M31" s="32">
        <f t="shared" si="39"/>
        <v>0</v>
      </c>
      <c r="N31" s="7">
        <f t="shared" si="57"/>
        <v>3373.7950000000001</v>
      </c>
      <c r="O31" s="48">
        <f t="shared" si="40"/>
        <v>0</v>
      </c>
      <c r="P31" s="32">
        <f t="shared" si="41"/>
        <v>0</v>
      </c>
      <c r="Q31" s="7">
        <f t="shared" si="50"/>
        <v>5291.46</v>
      </c>
      <c r="R31" s="48">
        <f t="shared" si="42"/>
        <v>0</v>
      </c>
      <c r="S31" s="32">
        <f t="shared" si="43"/>
        <v>0</v>
      </c>
      <c r="T31" s="8">
        <f t="shared" si="51"/>
        <v>0</v>
      </c>
      <c r="U31" s="34">
        <f t="shared" si="44"/>
        <v>0</v>
      </c>
      <c r="W31" s="162">
        <v>44590</v>
      </c>
      <c r="X31" s="163">
        <f t="shared" si="58"/>
        <v>163459</v>
      </c>
      <c r="Y31" s="169">
        <f t="shared" si="48"/>
        <v>0</v>
      </c>
      <c r="Z31" s="163">
        <f t="shared" si="59"/>
        <v>8258</v>
      </c>
      <c r="AA31" s="169">
        <f t="shared" si="60"/>
        <v>0</v>
      </c>
      <c r="AB31" s="163">
        <f t="shared" si="52"/>
        <v>19</v>
      </c>
      <c r="AC31" s="169">
        <f t="shared" si="63"/>
        <v>0</v>
      </c>
      <c r="AD31" s="163">
        <f t="shared" si="61"/>
        <v>99</v>
      </c>
      <c r="AE31" s="169">
        <f t="shared" si="46"/>
        <v>0</v>
      </c>
      <c r="AF31" s="163">
        <f t="shared" si="62"/>
        <v>5282</v>
      </c>
      <c r="AG31" s="169">
        <f t="shared" si="47"/>
        <v>0</v>
      </c>
    </row>
    <row r="32" spans="1:33" ht="16.5" thickBot="1" x14ac:dyDescent="0.25">
      <c r="A32" s="10">
        <v>44591</v>
      </c>
      <c r="B32" s="165">
        <f t="shared" si="53"/>
        <v>22794.937000000002</v>
      </c>
      <c r="C32" s="48">
        <f t="shared" si="32"/>
        <v>0</v>
      </c>
      <c r="D32" s="32">
        <f t="shared" si="33"/>
        <v>0</v>
      </c>
      <c r="E32" s="1">
        <f t="shared" si="54"/>
        <v>4086.6289999999999</v>
      </c>
      <c r="F32" s="48">
        <f t="shared" si="34"/>
        <v>0</v>
      </c>
      <c r="G32" s="32">
        <f t="shared" si="35"/>
        <v>0</v>
      </c>
      <c r="H32" s="1">
        <f t="shared" si="55"/>
        <v>4569</v>
      </c>
      <c r="I32" s="48">
        <f t="shared" si="36"/>
        <v>0</v>
      </c>
      <c r="J32" s="32">
        <f t="shared" si="37"/>
        <v>0</v>
      </c>
      <c r="K32" s="7">
        <f t="shared" si="56"/>
        <v>13887.33</v>
      </c>
      <c r="L32" s="48">
        <f t="shared" si="38"/>
        <v>0</v>
      </c>
      <c r="M32" s="32">
        <f t="shared" si="39"/>
        <v>0</v>
      </c>
      <c r="N32" s="7">
        <f t="shared" si="57"/>
        <v>3373.7950000000001</v>
      </c>
      <c r="O32" s="48">
        <f t="shared" si="40"/>
        <v>0</v>
      </c>
      <c r="P32" s="32">
        <f t="shared" si="41"/>
        <v>0</v>
      </c>
      <c r="Q32" s="7">
        <f t="shared" si="50"/>
        <v>5291.46</v>
      </c>
      <c r="R32" s="48">
        <f t="shared" si="42"/>
        <v>0</v>
      </c>
      <c r="S32" s="32">
        <f t="shared" si="43"/>
        <v>0</v>
      </c>
      <c r="T32" s="8">
        <f t="shared" si="51"/>
        <v>0</v>
      </c>
      <c r="U32" s="34">
        <f t="shared" si="44"/>
        <v>0</v>
      </c>
      <c r="W32" s="162">
        <v>44591</v>
      </c>
      <c r="X32" s="163">
        <f t="shared" si="58"/>
        <v>163459</v>
      </c>
      <c r="Y32" s="169">
        <f t="shared" si="48"/>
        <v>0</v>
      </c>
      <c r="Z32" s="163">
        <f t="shared" si="59"/>
        <v>8258</v>
      </c>
      <c r="AA32" s="169">
        <f t="shared" si="60"/>
        <v>0</v>
      </c>
      <c r="AB32" s="163">
        <f t="shared" si="52"/>
        <v>19</v>
      </c>
      <c r="AC32" s="169">
        <v>0</v>
      </c>
      <c r="AD32" s="163">
        <f t="shared" si="61"/>
        <v>99</v>
      </c>
      <c r="AE32" s="169">
        <f t="shared" si="46"/>
        <v>0</v>
      </c>
      <c r="AF32" s="163">
        <f t="shared" si="62"/>
        <v>5282</v>
      </c>
      <c r="AG32" s="169">
        <f t="shared" si="47"/>
        <v>0</v>
      </c>
    </row>
    <row r="33" spans="1:33" s="24" customFormat="1" ht="16.5" thickBot="1" x14ac:dyDescent="0.25">
      <c r="A33" s="10">
        <v>44592</v>
      </c>
      <c r="B33" s="165">
        <f t="shared" si="53"/>
        <v>22794.937000000002</v>
      </c>
      <c r="C33" s="48">
        <f t="shared" si="32"/>
        <v>0</v>
      </c>
      <c r="D33" s="32">
        <f t="shared" si="33"/>
        <v>0</v>
      </c>
      <c r="E33" s="1">
        <f t="shared" si="54"/>
        <v>4086.6289999999999</v>
      </c>
      <c r="F33" s="48">
        <f t="shared" si="34"/>
        <v>0</v>
      </c>
      <c r="G33" s="32">
        <f t="shared" si="35"/>
        <v>0</v>
      </c>
      <c r="H33" s="1">
        <f t="shared" si="55"/>
        <v>4569</v>
      </c>
      <c r="I33" s="48">
        <f t="shared" si="36"/>
        <v>0</v>
      </c>
      <c r="J33" s="32">
        <f t="shared" si="37"/>
        <v>0</v>
      </c>
      <c r="K33" s="7">
        <f t="shared" si="56"/>
        <v>13887.33</v>
      </c>
      <c r="L33" s="48">
        <f t="shared" si="38"/>
        <v>0</v>
      </c>
      <c r="M33" s="32">
        <f t="shared" si="39"/>
        <v>0</v>
      </c>
      <c r="N33" s="7">
        <f t="shared" si="57"/>
        <v>3373.7950000000001</v>
      </c>
      <c r="O33" s="48">
        <f t="shared" si="40"/>
        <v>0</v>
      </c>
      <c r="P33" s="32">
        <f t="shared" si="41"/>
        <v>0</v>
      </c>
      <c r="Q33" s="7">
        <f t="shared" si="50"/>
        <v>5291.46</v>
      </c>
      <c r="R33" s="48">
        <f t="shared" si="42"/>
        <v>0</v>
      </c>
      <c r="S33" s="32">
        <f t="shared" si="43"/>
        <v>0</v>
      </c>
      <c r="T33" s="8">
        <f t="shared" si="51"/>
        <v>0</v>
      </c>
      <c r="U33" s="34">
        <f t="shared" si="44"/>
        <v>0</v>
      </c>
      <c r="V33"/>
      <c r="W33" s="162">
        <v>44592</v>
      </c>
      <c r="X33" s="163">
        <f t="shared" si="58"/>
        <v>163459</v>
      </c>
      <c r="Y33" s="169">
        <f t="shared" si="48"/>
        <v>0</v>
      </c>
      <c r="Z33" s="163">
        <f t="shared" si="59"/>
        <v>8258</v>
      </c>
      <c r="AA33" s="169">
        <f t="shared" si="60"/>
        <v>0</v>
      </c>
      <c r="AB33" s="163">
        <f t="shared" si="52"/>
        <v>19</v>
      </c>
      <c r="AC33" s="169">
        <v>0</v>
      </c>
      <c r="AD33" s="163">
        <f t="shared" si="61"/>
        <v>99</v>
      </c>
      <c r="AE33" s="169">
        <f t="shared" si="46"/>
        <v>0</v>
      </c>
      <c r="AF33" s="163">
        <f t="shared" si="62"/>
        <v>5282</v>
      </c>
      <c r="AG33" s="169">
        <f t="shared" si="47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6.8470000000015716</v>
      </c>
      <c r="D34" s="142">
        <f>SUM(D3:D33)</f>
        <v>17119.000000003871</v>
      </c>
      <c r="E34" s="142">
        <v>0</v>
      </c>
      <c r="F34" s="142">
        <f>SUM(F3:F33)</f>
        <v>2.7289999999998145</v>
      </c>
      <c r="G34" s="142">
        <f>SUM(G3:G33)</f>
        <v>5185.0999999996475</v>
      </c>
      <c r="H34" s="142"/>
      <c r="I34" s="142">
        <f>SUM(I3:I33)</f>
        <v>16</v>
      </c>
      <c r="J34" s="142">
        <f>SUM(J3:J33)</f>
        <v>30400</v>
      </c>
      <c r="K34" s="142"/>
      <c r="L34" s="142">
        <f>SUM(L3:L33)</f>
        <v>4.2399999999997817</v>
      </c>
      <c r="M34" s="142">
        <f>SUM(M3:M33)</f>
        <v>8055.9999999995853</v>
      </c>
      <c r="N34" s="142"/>
      <c r="O34" s="48" t="str">
        <f t="shared" si="40"/>
        <v>0</v>
      </c>
      <c r="P34" s="142">
        <f>SUM(P3:P33)</f>
        <v>9110.5000000001382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38.334000000002106</v>
      </c>
      <c r="U34" s="142">
        <f>SUM(U3:U33)</f>
        <v>72834.600000004008</v>
      </c>
      <c r="V34"/>
      <c r="W34" s="142" t="s">
        <v>143</v>
      </c>
      <c r="X34" s="142"/>
      <c r="Y34" s="142">
        <f>SUM(Y5:Y33)</f>
        <v>38</v>
      </c>
      <c r="Z34" s="142"/>
      <c r="AA34" s="142">
        <f>SUM(AA5:AA33)</f>
        <v>7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28" sqref="F2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2022-01-05T04:20:51Z</dcterms:modified>
</cp:coreProperties>
</file>