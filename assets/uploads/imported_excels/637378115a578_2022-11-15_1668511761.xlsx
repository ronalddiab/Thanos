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9DF48F5E-6900-49B6-907C-0884D8E6B6FA}" xr6:coauthVersionLast="47" xr6:coauthVersionMax="47" xr10:uidLastSave="{00000000-0000-0000-0000-000000000000}"/>
  <bookViews>
    <workbookView xWindow="-108" yWindow="-108" windowWidth="23256" windowHeight="12456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X36" i="2"/>
  <c r="AT36" i="2"/>
  <c r="AS36" i="2"/>
  <c r="AR36" i="2"/>
  <c r="AN36" i="2"/>
  <c r="AJ36" i="2"/>
  <c r="AG36" i="2"/>
  <c r="AD36" i="2"/>
  <c r="X36" i="2"/>
  <c r="T36" i="2"/>
  <c r="R36" i="2"/>
  <c r="P36" i="2"/>
  <c r="D36" i="2"/>
  <c r="BI35" i="2"/>
  <c r="BH35" i="2"/>
  <c r="BG35" i="2"/>
  <c r="BF35" i="2"/>
  <c r="BE35" i="2"/>
  <c r="AY35" i="2"/>
  <c r="AW35" i="2"/>
  <c r="AQ35" i="2"/>
  <c r="AM35" i="2"/>
  <c r="AI35" i="2"/>
  <c r="AC35" i="2"/>
  <c r="Z35" i="2"/>
  <c r="W35" i="2"/>
  <c r="U35" i="2"/>
  <c r="S35" i="2"/>
  <c r="Q35" i="2"/>
  <c r="O35" i="2"/>
  <c r="M35" i="2"/>
  <c r="K35" i="2"/>
  <c r="I35" i="2"/>
  <c r="G35" i="2"/>
  <c r="E35" i="2"/>
  <c r="BI34" i="2"/>
  <c r="BH34" i="2"/>
  <c r="BG34" i="2"/>
  <c r="BF34" i="2"/>
  <c r="BE34" i="2"/>
  <c r="BD34" i="2"/>
  <c r="AY34" i="2"/>
  <c r="AW34" i="2"/>
  <c r="AQ34" i="2"/>
  <c r="AM34" i="2"/>
  <c r="AI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AY33" i="2"/>
  <c r="AW33" i="2"/>
  <c r="AQ33" i="2"/>
  <c r="AM33" i="2"/>
  <c r="AI33" i="2"/>
  <c r="AC33" i="2"/>
  <c r="Z33" i="2"/>
  <c r="W33" i="2"/>
  <c r="U33" i="2"/>
  <c r="S33" i="2"/>
  <c r="Q33" i="2"/>
  <c r="O33" i="2"/>
  <c r="M33" i="2"/>
  <c r="K33" i="2"/>
  <c r="I33" i="2"/>
  <c r="G33" i="2"/>
  <c r="F31" i="4" s="1"/>
  <c r="E33" i="2"/>
  <c r="BI32" i="2"/>
  <c r="BH32" i="2"/>
  <c r="BG32" i="2"/>
  <c r="BF32" i="2"/>
  <c r="BE32" i="2"/>
  <c r="BD32" i="2"/>
  <c r="AY32" i="2"/>
  <c r="AW32" i="2"/>
  <c r="AQ32" i="2"/>
  <c r="AM32" i="2"/>
  <c r="AI32" i="2"/>
  <c r="AC32" i="2"/>
  <c r="Z32" i="2"/>
  <c r="W32" i="2"/>
  <c r="U32" i="2"/>
  <c r="S32" i="2"/>
  <c r="Q32" i="2"/>
  <c r="O32" i="2"/>
  <c r="K32" i="2"/>
  <c r="I32" i="2"/>
  <c r="M32" i="2" s="1"/>
  <c r="G32" i="2"/>
  <c r="E32" i="2"/>
  <c r="G29" i="5" s="1"/>
  <c r="BI31" i="2"/>
  <c r="BH31" i="2"/>
  <c r="BG31" i="2"/>
  <c r="BF31" i="2"/>
  <c r="BE31" i="2"/>
  <c r="BD31" i="2"/>
  <c r="AY31" i="2"/>
  <c r="AW31" i="2"/>
  <c r="AQ31" i="2"/>
  <c r="AM31" i="2"/>
  <c r="AI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C27" i="2"/>
  <c r="Z27" i="2"/>
  <c r="W27" i="2"/>
  <c r="U27" i="2"/>
  <c r="S27" i="2"/>
  <c r="I25" i="4" s="1"/>
  <c r="Q27" i="2"/>
  <c r="O27" i="2"/>
  <c r="K27" i="2"/>
  <c r="I27" i="2"/>
  <c r="M27" i="2" s="1"/>
  <c r="G27" i="2"/>
  <c r="E27" i="2"/>
  <c r="G24" i="5" s="1"/>
  <c r="BI26" i="2"/>
  <c r="BH26" i="2"/>
  <c r="BG26" i="2"/>
  <c r="BF26" i="2"/>
  <c r="BE26" i="2"/>
  <c r="BD26" i="2"/>
  <c r="AY26" i="2"/>
  <c r="AW26" i="2"/>
  <c r="AQ26" i="2"/>
  <c r="AM26" i="2"/>
  <c r="AI26" i="2"/>
  <c r="AC26" i="2"/>
  <c r="Z26" i="2"/>
  <c r="W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W25" i="2"/>
  <c r="AQ25" i="2"/>
  <c r="AM25" i="2"/>
  <c r="AI25" i="2"/>
  <c r="AC25" i="2"/>
  <c r="Z25" i="2"/>
  <c r="W25" i="2"/>
  <c r="U25" i="2"/>
  <c r="S25" i="2"/>
  <c r="Q25" i="2"/>
  <c r="O25" i="2"/>
  <c r="G23" i="4" s="1"/>
  <c r="K25" i="2"/>
  <c r="I25" i="2"/>
  <c r="M25" i="2" s="1"/>
  <c r="G25" i="2"/>
  <c r="E25" i="2"/>
  <c r="BI24" i="2"/>
  <c r="BH24" i="2"/>
  <c r="BG24" i="2"/>
  <c r="BF24" i="2"/>
  <c r="BE24" i="2"/>
  <c r="AY24" i="2"/>
  <c r="AW24" i="2"/>
  <c r="AQ24" i="2"/>
  <c r="AM24" i="2"/>
  <c r="AI24" i="2"/>
  <c r="AC24" i="2"/>
  <c r="Z24" i="2"/>
  <c r="W24" i="2"/>
  <c r="U24" i="2"/>
  <c r="S24" i="2"/>
  <c r="Q24" i="2"/>
  <c r="O24" i="2"/>
  <c r="K24" i="2"/>
  <c r="I24" i="2"/>
  <c r="M24" i="2"/>
  <c r="G24" i="2"/>
  <c r="E24" i="2"/>
  <c r="G21" i="5" s="1"/>
  <c r="BI23" i="2"/>
  <c r="BH23" i="2"/>
  <c r="BG23" i="2"/>
  <c r="BF23" i="2"/>
  <c r="BE23" i="2"/>
  <c r="BD23" i="2"/>
  <c r="AY23" i="2"/>
  <c r="AW23" i="2"/>
  <c r="AQ23" i="2"/>
  <c r="AM23" i="2"/>
  <c r="AI23" i="2"/>
  <c r="AC23" i="2"/>
  <c r="Z23" i="2"/>
  <c r="W23" i="2"/>
  <c r="U23" i="2"/>
  <c r="S23" i="2"/>
  <c r="I21" i="4" s="1"/>
  <c r="Q23" i="2"/>
  <c r="O23" i="2"/>
  <c r="K23" i="2"/>
  <c r="I23" i="2"/>
  <c r="M23" i="2" s="1"/>
  <c r="G23" i="2"/>
  <c r="F21" i="4" s="1"/>
  <c r="E23" i="2"/>
  <c r="BI22" i="2"/>
  <c r="BH22" i="2"/>
  <c r="BG22" i="2"/>
  <c r="BF22" i="2"/>
  <c r="BE22" i="2"/>
  <c r="BD22" i="2"/>
  <c r="AY22" i="2"/>
  <c r="AW22" i="2"/>
  <c r="AQ22" i="2"/>
  <c r="AM22" i="2"/>
  <c r="AI22" i="2"/>
  <c r="AC22" i="2"/>
  <c r="Z22" i="2"/>
  <c r="W22" i="2"/>
  <c r="U22" i="2"/>
  <c r="S22" i="2"/>
  <c r="Q22" i="2"/>
  <c r="O22" i="2"/>
  <c r="K22" i="2"/>
  <c r="I22" i="2"/>
  <c r="M22" i="2" s="1"/>
  <c r="G22" i="2"/>
  <c r="F20" i="4" s="1"/>
  <c r="E22" i="2"/>
  <c r="G19" i="5" s="1"/>
  <c r="BI21" i="2"/>
  <c r="BH21" i="2"/>
  <c r="BG21" i="2"/>
  <c r="BF21" i="2"/>
  <c r="BE21" i="2"/>
  <c r="BD21" i="2"/>
  <c r="AY21" i="2"/>
  <c r="AW21" i="2"/>
  <c r="AQ21" i="2"/>
  <c r="AM21" i="2"/>
  <c r="AI21" i="2"/>
  <c r="AC21" i="2"/>
  <c r="Z21" i="2"/>
  <c r="W21" i="2"/>
  <c r="U21" i="2"/>
  <c r="S21" i="2"/>
  <c r="Q21" i="2"/>
  <c r="O21" i="2"/>
  <c r="M21" i="2"/>
  <c r="K21" i="2"/>
  <c r="I21" i="2"/>
  <c r="G21" i="2"/>
  <c r="F19" i="4" s="1"/>
  <c r="E21" i="2"/>
  <c r="G18" i="5" s="1"/>
  <c r="BI20" i="2"/>
  <c r="BH20" i="2"/>
  <c r="BG20" i="2"/>
  <c r="BF20" i="2"/>
  <c r="BE20" i="2"/>
  <c r="BD20" i="2"/>
  <c r="AY20" i="2"/>
  <c r="AW20" i="2"/>
  <c r="AQ20" i="2"/>
  <c r="AM20" i="2"/>
  <c r="AI20" i="2"/>
  <c r="AC20" i="2"/>
  <c r="Z20" i="2"/>
  <c r="W20" i="2"/>
  <c r="U20" i="2"/>
  <c r="S20" i="2"/>
  <c r="Q20" i="2"/>
  <c r="O20" i="2"/>
  <c r="K20" i="2"/>
  <c r="I20" i="2"/>
  <c r="M20" i="2" s="1"/>
  <c r="G20" i="2"/>
  <c r="E20" i="2"/>
  <c r="G17" i="5" s="1"/>
  <c r="BI19" i="2"/>
  <c r="BH19" i="2"/>
  <c r="BG19" i="2"/>
  <c r="BF19" i="2"/>
  <c r="BE19" i="2"/>
  <c r="BD19" i="2"/>
  <c r="AY19" i="2"/>
  <c r="AW19" i="2"/>
  <c r="AQ19" i="2"/>
  <c r="AM19" i="2"/>
  <c r="AI19" i="2"/>
  <c r="AC19" i="2"/>
  <c r="Z19" i="2"/>
  <c r="W19" i="2"/>
  <c r="U19" i="2"/>
  <c r="S19" i="2"/>
  <c r="I17" i="4" s="1"/>
  <c r="Q19" i="2"/>
  <c r="O19" i="2"/>
  <c r="M19" i="2"/>
  <c r="K19" i="2"/>
  <c r="I19" i="2"/>
  <c r="G19" i="2"/>
  <c r="E19" i="2"/>
  <c r="BI18" i="2"/>
  <c r="BH18" i="2"/>
  <c r="BG18" i="2"/>
  <c r="BF18" i="2"/>
  <c r="BE18" i="2"/>
  <c r="BD18" i="2"/>
  <c r="AY18" i="2"/>
  <c r="AW18" i="2"/>
  <c r="AQ18" i="2"/>
  <c r="AM18" i="2"/>
  <c r="AI18" i="2"/>
  <c r="AC18" i="2"/>
  <c r="Z18" i="2"/>
  <c r="W18" i="2"/>
  <c r="U18" i="2"/>
  <c r="Q18" i="2"/>
  <c r="O18" i="2"/>
  <c r="G16" i="4" s="1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C17" i="2"/>
  <c r="Z17" i="2"/>
  <c r="W17" i="2"/>
  <c r="U17" i="2"/>
  <c r="S17" i="2"/>
  <c r="Q17" i="2"/>
  <c r="H15" i="4" s="1"/>
  <c r="O17" i="2"/>
  <c r="K17" i="2"/>
  <c r="I17" i="2"/>
  <c r="M17" i="2"/>
  <c r="G17" i="2"/>
  <c r="F15" i="4" s="1"/>
  <c r="E17" i="2"/>
  <c r="G14" i="5" s="1"/>
  <c r="BI16" i="2"/>
  <c r="BH16" i="2"/>
  <c r="BG16" i="2"/>
  <c r="BF16" i="2"/>
  <c r="BE16" i="2"/>
  <c r="BD16" i="2"/>
  <c r="AY16" i="2"/>
  <c r="AW16" i="2"/>
  <c r="AQ16" i="2"/>
  <c r="AM16" i="2"/>
  <c r="AI16" i="2"/>
  <c r="AC16" i="2"/>
  <c r="Z16" i="2"/>
  <c r="W16" i="2"/>
  <c r="U16" i="2"/>
  <c r="S16" i="2"/>
  <c r="Q16" i="2"/>
  <c r="O16" i="2"/>
  <c r="G14" i="4" s="1"/>
  <c r="K16" i="2"/>
  <c r="I16" i="2"/>
  <c r="M16" i="2" s="1"/>
  <c r="G16" i="2"/>
  <c r="F14" i="4" s="1"/>
  <c r="E16" i="2"/>
  <c r="E14" i="4" s="1"/>
  <c r="BI15" i="2"/>
  <c r="BH15" i="2"/>
  <c r="BG15" i="2"/>
  <c r="BF15" i="2"/>
  <c r="BE15" i="2"/>
  <c r="BD15" i="2"/>
  <c r="AY15" i="2"/>
  <c r="AW15" i="2"/>
  <c r="AQ15" i="2"/>
  <c r="AM15" i="2"/>
  <c r="AI15" i="2"/>
  <c r="AC15" i="2"/>
  <c r="Z15" i="2"/>
  <c r="W15" i="2"/>
  <c r="U15" i="2"/>
  <c r="J13" i="4" s="1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AY14" i="2"/>
  <c r="AW14" i="2"/>
  <c r="AQ14" i="2"/>
  <c r="AM14" i="2"/>
  <c r="AI14" i="2"/>
  <c r="Z14" i="2"/>
  <c r="W14" i="2"/>
  <c r="U14" i="2"/>
  <c r="S14" i="2"/>
  <c r="Q14" i="2"/>
  <c r="O14" i="2"/>
  <c r="M14" i="2"/>
  <c r="K14" i="2"/>
  <c r="I14" i="2"/>
  <c r="G14" i="2"/>
  <c r="E14" i="2"/>
  <c r="E12" i="4" s="1"/>
  <c r="A14" i="2"/>
  <c r="BD14" i="2" s="1"/>
  <c r="A15" i="2"/>
  <c r="AZ15" i="2" s="1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C13" i="2"/>
  <c r="Z13" i="2"/>
  <c r="W13" i="2"/>
  <c r="U13" i="2"/>
  <c r="S13" i="2"/>
  <c r="Q13" i="2"/>
  <c r="O13" i="2"/>
  <c r="G11" i="4" s="1"/>
  <c r="K13" i="2"/>
  <c r="I13" i="2"/>
  <c r="M13" i="2" s="1"/>
  <c r="G13" i="2"/>
  <c r="F11" i="4" s="1"/>
  <c r="E13" i="2"/>
  <c r="BI12" i="2"/>
  <c r="BH12" i="2"/>
  <c r="BG12" i="2"/>
  <c r="BF12" i="2"/>
  <c r="BE12" i="2"/>
  <c r="BD12" i="2"/>
  <c r="AY12" i="2"/>
  <c r="AW12" i="2"/>
  <c r="AQ12" i="2"/>
  <c r="AM12" i="2"/>
  <c r="AI12" i="2"/>
  <c r="AC12" i="2"/>
  <c r="Z12" i="2"/>
  <c r="W12" i="2"/>
  <c r="U12" i="2"/>
  <c r="S12" i="2"/>
  <c r="Q12" i="2"/>
  <c r="O12" i="2"/>
  <c r="K12" i="2"/>
  <c r="I12" i="2"/>
  <c r="M12" i="2" s="1"/>
  <c r="G12" i="2"/>
  <c r="E12" i="2"/>
  <c r="E10" i="4" s="1"/>
  <c r="BI11" i="2"/>
  <c r="BH11" i="2"/>
  <c r="BG11" i="2"/>
  <c r="BF11" i="2"/>
  <c r="BE11" i="2"/>
  <c r="BD11" i="2"/>
  <c r="AY11" i="2"/>
  <c r="AW11" i="2"/>
  <c r="AQ11" i="2"/>
  <c r="AM11" i="2"/>
  <c r="AI11" i="2"/>
  <c r="AC11" i="2"/>
  <c r="Z11" i="2"/>
  <c r="W11" i="2"/>
  <c r="U11" i="2"/>
  <c r="S11" i="2"/>
  <c r="I9" i="4" s="1"/>
  <c r="Q11" i="2"/>
  <c r="O11" i="2"/>
  <c r="K11" i="2"/>
  <c r="I11" i="2"/>
  <c r="M11" i="2" s="1"/>
  <c r="G11" i="2"/>
  <c r="F9" i="4" s="1"/>
  <c r="E11" i="2"/>
  <c r="BI10" i="2"/>
  <c r="BH10" i="2"/>
  <c r="BG10" i="2"/>
  <c r="BF10" i="2"/>
  <c r="BE10" i="2"/>
  <c r="BD10" i="2"/>
  <c r="AY10" i="2"/>
  <c r="AW10" i="2"/>
  <c r="AQ10" i="2"/>
  <c r="AM10" i="2"/>
  <c r="AI10" i="2"/>
  <c r="AC10" i="2"/>
  <c r="Z10" i="2"/>
  <c r="W10" i="2"/>
  <c r="U10" i="2"/>
  <c r="S10" i="2"/>
  <c r="Q10" i="2"/>
  <c r="H8" i="4" s="1"/>
  <c r="O10" i="2"/>
  <c r="K10" i="2"/>
  <c r="I10" i="2"/>
  <c r="M10" i="2" s="1"/>
  <c r="G10" i="2"/>
  <c r="E10" i="2"/>
  <c r="G7" i="5" s="1"/>
  <c r="BI9" i="2"/>
  <c r="BH9" i="2"/>
  <c r="BG9" i="2"/>
  <c r="BF9" i="2"/>
  <c r="BE9" i="2"/>
  <c r="BD9" i="2"/>
  <c r="AY9" i="2"/>
  <c r="AW9" i="2"/>
  <c r="AQ9" i="2"/>
  <c r="AM9" i="2"/>
  <c r="AI9" i="2"/>
  <c r="AC9" i="2"/>
  <c r="Z9" i="2"/>
  <c r="W9" i="2"/>
  <c r="U9" i="2"/>
  <c r="S9" i="2"/>
  <c r="Q9" i="2"/>
  <c r="O9" i="2"/>
  <c r="G7" i="4" s="1"/>
  <c r="K9" i="2"/>
  <c r="I9" i="2"/>
  <c r="M9" i="2" s="1"/>
  <c r="G9" i="2"/>
  <c r="F7" i="4" s="1"/>
  <c r="E9" i="2"/>
  <c r="G6" i="5" s="1"/>
  <c r="BI8" i="2"/>
  <c r="BH8" i="2"/>
  <c r="BG8" i="2"/>
  <c r="BF8" i="2"/>
  <c r="BE8" i="2"/>
  <c r="BD8" i="2"/>
  <c r="AY8" i="2"/>
  <c r="AW8" i="2"/>
  <c r="AQ8" i="2"/>
  <c r="AM8" i="2"/>
  <c r="AI8" i="2"/>
  <c r="AC8" i="2"/>
  <c r="Z8" i="2"/>
  <c r="W8" i="2"/>
  <c r="U8" i="2"/>
  <c r="J6" i="4" s="1"/>
  <c r="S8" i="2"/>
  <c r="Q8" i="2"/>
  <c r="O8" i="2"/>
  <c r="M8" i="2"/>
  <c r="K8" i="2"/>
  <c r="I8" i="2"/>
  <c r="G8" i="2"/>
  <c r="E8" i="2"/>
  <c r="E6" i="4" s="1"/>
  <c r="BI7" i="2"/>
  <c r="BH7" i="2"/>
  <c r="BG7" i="2"/>
  <c r="BF7" i="2"/>
  <c r="BE7" i="2"/>
  <c r="BD7" i="2"/>
  <c r="AY7" i="2"/>
  <c r="AW7" i="2"/>
  <c r="AQ7" i="2"/>
  <c r="AM7" i="2"/>
  <c r="AI7" i="2"/>
  <c r="AC7" i="2"/>
  <c r="Z7" i="2"/>
  <c r="W7" i="2"/>
  <c r="U7" i="2"/>
  <c r="S7" i="2"/>
  <c r="I5" i="4" s="1"/>
  <c r="Q7" i="2"/>
  <c r="O7" i="2"/>
  <c r="M7" i="2"/>
  <c r="K7" i="2"/>
  <c r="I7" i="2"/>
  <c r="G7" i="2"/>
  <c r="E7" i="2"/>
  <c r="BI6" i="2"/>
  <c r="BH6" i="2"/>
  <c r="BG6" i="2"/>
  <c r="BF6" i="2"/>
  <c r="BE6" i="2"/>
  <c r="BD6" i="2"/>
  <c r="AY6" i="2"/>
  <c r="AW6" i="2"/>
  <c r="AQ6" i="2"/>
  <c r="AM6" i="2"/>
  <c r="AI6" i="2"/>
  <c r="AC6" i="2"/>
  <c r="Z6" i="2"/>
  <c r="W6" i="2"/>
  <c r="U6" i="2"/>
  <c r="S6" i="2"/>
  <c r="I4" i="4" s="1"/>
  <c r="Q6" i="2"/>
  <c r="O6" i="2"/>
  <c r="M6" i="2"/>
  <c r="K6" i="2"/>
  <c r="I6" i="2"/>
  <c r="G6" i="2"/>
  <c r="E6" i="2"/>
  <c r="A6" i="2"/>
  <c r="BC6" i="2" s="1"/>
  <c r="A7" i="2"/>
  <c r="BC7" i="2" s="1"/>
  <c r="BI5" i="2"/>
  <c r="BH5" i="2"/>
  <c r="BG5" i="2"/>
  <c r="BF5" i="2"/>
  <c r="BE5" i="2"/>
  <c r="BD5" i="2"/>
  <c r="BC5" i="2"/>
  <c r="BB5" i="2"/>
  <c r="BA5" i="2"/>
  <c r="AZ5" i="2"/>
  <c r="AY5" i="2"/>
  <c r="AW5" i="2"/>
  <c r="AQ5" i="2"/>
  <c r="AM5" i="2"/>
  <c r="AI5" i="2"/>
  <c r="AC5" i="2"/>
  <c r="Z5" i="2"/>
  <c r="W5" i="2"/>
  <c r="U5" i="2"/>
  <c r="K5" i="2"/>
  <c r="G5" i="2"/>
  <c r="E5" i="2"/>
  <c r="G2" i="5" s="1"/>
  <c r="BE4" i="2"/>
  <c r="BC4" i="2"/>
  <c r="BB4" i="2"/>
  <c r="BA4" i="2"/>
  <c r="AZ4" i="2"/>
  <c r="AP36" i="2"/>
  <c r="AL36" i="2"/>
  <c r="AH36" i="2"/>
  <c r="AE36" i="2"/>
  <c r="AC14" i="2"/>
  <c r="V36" i="2"/>
  <c r="R4" i="2"/>
  <c r="S5" i="2" s="1"/>
  <c r="I3" i="4" s="1"/>
  <c r="Q5" i="2"/>
  <c r="H3" i="4" s="1"/>
  <c r="O5" i="2"/>
  <c r="H36" i="2"/>
  <c r="F36" i="2"/>
  <c r="AA36" i="2"/>
  <c r="AZ7" i="2"/>
  <c r="A8" i="2"/>
  <c r="BA8" i="2" s="1"/>
  <c r="Y36" i="2"/>
  <c r="I5" i="2"/>
  <c r="M5" i="2" s="1"/>
  <c r="AZ18" i="2"/>
  <c r="BA18" i="2"/>
  <c r="N36" i="2"/>
  <c r="AB36" i="2"/>
  <c r="BB18" i="2"/>
  <c r="A19" i="2"/>
  <c r="AZ19" i="2" s="1"/>
  <c r="AZ6" i="2"/>
  <c r="BA6" i="2"/>
  <c r="A20" i="2"/>
  <c r="BC20" i="2" s="1"/>
  <c r="BB19" i="2"/>
  <c r="AZ20" i="2"/>
  <c r="AB38" i="2"/>
  <c r="AJ38" i="2"/>
  <c r="H33" i="4"/>
  <c r="G33" i="4"/>
  <c r="I32" i="4"/>
  <c r="H32" i="4"/>
  <c r="G31" i="5"/>
  <c r="J31" i="4"/>
  <c r="I31" i="4"/>
  <c r="E31" i="4"/>
  <c r="J30" i="4"/>
  <c r="G30" i="4"/>
  <c r="F30" i="4"/>
  <c r="J29" i="4"/>
  <c r="I29" i="4"/>
  <c r="G28" i="5"/>
  <c r="I28" i="4"/>
  <c r="G28" i="4"/>
  <c r="F28" i="4"/>
  <c r="H27" i="4"/>
  <c r="G27" i="4"/>
  <c r="F27" i="4"/>
  <c r="G26" i="5"/>
  <c r="I26" i="4"/>
  <c r="H26" i="4"/>
  <c r="F26" i="4"/>
  <c r="E26" i="4"/>
  <c r="J24" i="4"/>
  <c r="I24" i="4"/>
  <c r="H24" i="4"/>
  <c r="E24" i="4"/>
  <c r="J23" i="4"/>
  <c r="I23" i="4"/>
  <c r="H23" i="4"/>
  <c r="E23" i="4"/>
  <c r="I22" i="4"/>
  <c r="H22" i="4"/>
  <c r="G22" i="4"/>
  <c r="F22" i="4"/>
  <c r="J21" i="4"/>
  <c r="G21" i="4"/>
  <c r="G20" i="5"/>
  <c r="J20" i="4"/>
  <c r="H20" i="4"/>
  <c r="G20" i="4"/>
  <c r="J19" i="4"/>
  <c r="I19" i="4"/>
  <c r="H19" i="4"/>
  <c r="J18" i="4"/>
  <c r="H18" i="4"/>
  <c r="G18" i="4"/>
  <c r="E18" i="4"/>
  <c r="G17" i="4"/>
  <c r="F17" i="4"/>
  <c r="G16" i="5"/>
  <c r="J16" i="4"/>
  <c r="I16" i="4"/>
  <c r="H16" i="4"/>
  <c r="E16" i="4"/>
  <c r="J15" i="4"/>
  <c r="I15" i="4"/>
  <c r="G15" i="4"/>
  <c r="J14" i="4"/>
  <c r="I14" i="4"/>
  <c r="H14" i="4"/>
  <c r="I13" i="4"/>
  <c r="H13" i="4"/>
  <c r="G13" i="4"/>
  <c r="F13" i="4"/>
  <c r="G12" i="5"/>
  <c r="J12" i="4"/>
  <c r="I12" i="4"/>
  <c r="H12" i="4"/>
  <c r="G12" i="4"/>
  <c r="J11" i="4"/>
  <c r="I11" i="4"/>
  <c r="G10" i="5"/>
  <c r="J10" i="4"/>
  <c r="I10" i="4"/>
  <c r="G10" i="4"/>
  <c r="G9" i="5"/>
  <c r="J9" i="4"/>
  <c r="G9" i="4"/>
  <c r="G8" i="5"/>
  <c r="I8" i="4"/>
  <c r="G8" i="4"/>
  <c r="F8" i="4"/>
  <c r="J7" i="4"/>
  <c r="I7" i="4"/>
  <c r="H7" i="4"/>
  <c r="I6" i="4"/>
  <c r="H6" i="4"/>
  <c r="G6" i="4"/>
  <c r="F6" i="4"/>
  <c r="G5" i="5"/>
  <c r="J5" i="4"/>
  <c r="H5" i="4"/>
  <c r="F5" i="4"/>
  <c r="G4" i="5"/>
  <c r="H4" i="4"/>
  <c r="G4" i="4"/>
  <c r="F4" i="4"/>
  <c r="G3" i="5"/>
  <c r="J3" i="4"/>
  <c r="G3" i="4"/>
  <c r="F3" i="4"/>
  <c r="J17" i="4"/>
  <c r="F23" i="4"/>
  <c r="G24" i="4"/>
  <c r="F25" i="4"/>
  <c r="G25" i="4"/>
  <c r="J25" i="4"/>
  <c r="G26" i="4"/>
  <c r="F29" i="4"/>
  <c r="G29" i="4"/>
  <c r="I30" i="4"/>
  <c r="F32" i="4"/>
  <c r="E33" i="4"/>
  <c r="F33" i="4"/>
  <c r="J33" i="4"/>
  <c r="I33" i="4"/>
  <c r="J27" i="4"/>
  <c r="I27" i="4"/>
  <c r="H17" i="4"/>
  <c r="F12" i="4"/>
  <c r="H10" i="4"/>
  <c r="J4" i="4"/>
  <c r="H25" i="4"/>
  <c r="I18" i="4"/>
  <c r="F16" i="4"/>
  <c r="I20" i="4"/>
  <c r="E9" i="4"/>
  <c r="G32" i="4"/>
  <c r="F24" i="4"/>
  <c r="E32" i="5"/>
  <c r="E31" i="5"/>
  <c r="K33" i="4"/>
  <c r="K32" i="4"/>
  <c r="J32" i="4"/>
  <c r="H31" i="4"/>
  <c r="P33" i="4"/>
  <c r="G31" i="4"/>
  <c r="H29" i="4"/>
  <c r="H28" i="4"/>
  <c r="G27" i="5"/>
  <c r="J26" i="4"/>
  <c r="J22" i="4"/>
  <c r="G19" i="4"/>
  <c r="F18" i="4"/>
  <c r="H11" i="4"/>
  <c r="F10" i="4"/>
  <c r="H9" i="4"/>
  <c r="G5" i="4"/>
  <c r="H21" i="4"/>
  <c r="E28" i="4"/>
  <c r="J28" i="4"/>
  <c r="H30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3" i="5"/>
  <c r="E22" i="4"/>
  <c r="E8" i="4"/>
  <c r="E13" i="4"/>
  <c r="G32" i="5"/>
  <c r="E17" i="4"/>
  <c r="E29" i="4"/>
  <c r="G25" i="5"/>
  <c r="E27" i="4"/>
  <c r="G11" i="5"/>
  <c r="G15" i="5"/>
  <c r="E4" i="4"/>
  <c r="E21" i="4"/>
  <c r="E5" i="4"/>
  <c r="G30" i="5"/>
  <c r="E11" i="4"/>
  <c r="G22" i="5"/>
  <c r="E32" i="4"/>
  <c r="E15" i="4" l="1"/>
  <c r="E19" i="4"/>
  <c r="AZ14" i="2"/>
  <c r="E3" i="4"/>
  <c r="E30" i="4"/>
  <c r="BB8" i="2"/>
  <c r="BB14" i="2"/>
  <c r="A9" i="2"/>
  <c r="BA7" i="2"/>
  <c r="BC19" i="2"/>
  <c r="BA14" i="2"/>
  <c r="BB7" i="2"/>
  <c r="E20" i="4"/>
  <c r="E25" i="4"/>
  <c r="BB20" i="2"/>
  <c r="BA19" i="2"/>
  <c r="BA20" i="2"/>
  <c r="G13" i="5"/>
  <c r="A21" i="2"/>
  <c r="BA15" i="2"/>
  <c r="BB15" i="2"/>
  <c r="E7" i="4"/>
  <c r="AZ8" i="2"/>
  <c r="BC15" i="2"/>
  <c r="BC14" i="2"/>
  <c r="BC8" i="2"/>
  <c r="A16" i="2"/>
  <c r="BB6" i="2"/>
  <c r="AZ21" i="2" l="1"/>
  <c r="BA21" i="2"/>
  <c r="BB21" i="2"/>
  <c r="BC21" i="2"/>
  <c r="A22" i="2"/>
  <c r="AZ9" i="2"/>
  <c r="BC9" i="2"/>
  <c r="A10" i="2"/>
  <c r="BB9" i="2"/>
  <c r="BA9" i="2"/>
  <c r="BC16" i="2"/>
  <c r="BA16" i="2"/>
  <c r="AZ16" i="2"/>
  <c r="BB16" i="2"/>
  <c r="A23" i="2" l="1"/>
  <c r="BB22" i="2"/>
  <c r="AZ22" i="2"/>
  <c r="BC22" i="2"/>
  <c r="BA22" i="2"/>
  <c r="A11" i="2"/>
  <c r="BB10" i="2"/>
  <c r="BA10" i="2"/>
  <c r="AZ10" i="2"/>
  <c r="BC10" i="2"/>
  <c r="BC11" i="2" l="1"/>
  <c r="BB11" i="2"/>
  <c r="A12" i="2"/>
  <c r="BA11" i="2"/>
  <c r="AZ11" i="2"/>
  <c r="BB23" i="2"/>
  <c r="BC23" i="2"/>
  <c r="BA23" i="2"/>
  <c r="AZ23" i="2"/>
  <c r="A24" i="2"/>
  <c r="A25" i="2" l="1"/>
  <c r="BD24" i="2"/>
  <c r="BC24" i="2"/>
  <c r="BB24" i="2"/>
  <c r="BA24" i="2"/>
  <c r="AZ24" i="2"/>
  <c r="BB12" i="2"/>
  <c r="BA12" i="2"/>
  <c r="AZ12" i="2"/>
  <c r="BC12" i="2"/>
  <c r="BA25" i="2" l="1"/>
  <c r="AZ25" i="2"/>
  <c r="BB25" i="2"/>
  <c r="A26" i="2"/>
  <c r="BC25" i="2"/>
  <c r="BB26" i="2" l="1"/>
  <c r="BA26" i="2"/>
  <c r="BC26" i="2"/>
  <c r="A27" i="2"/>
  <c r="AZ26" i="2"/>
  <c r="BB27" i="2" l="1"/>
  <c r="BC27" i="2"/>
  <c r="A28" i="2"/>
  <c r="BA27" i="2"/>
  <c r="AZ27" i="2"/>
  <c r="AZ28" i="2" l="1"/>
  <c r="BC28" i="2"/>
  <c r="A29" i="2"/>
  <c r="BA28" i="2"/>
  <c r="BB28" i="2"/>
  <c r="BC29" i="2" l="1"/>
  <c r="BB29" i="2"/>
  <c r="AZ29" i="2"/>
  <c r="A30" i="2"/>
  <c r="BA29" i="2"/>
  <c r="BC30" i="2" l="1"/>
  <c r="BB30" i="2"/>
  <c r="BA30" i="2"/>
  <c r="AZ30" i="2"/>
  <c r="A31" i="2"/>
  <c r="AZ31" i="2" l="1"/>
  <c r="BB31" i="2"/>
  <c r="BA31" i="2"/>
  <c r="A32" i="2"/>
  <c r="BC31" i="2"/>
  <c r="A33" i="2" l="1"/>
  <c r="BB32" i="2"/>
  <c r="BA32" i="2"/>
  <c r="AZ32" i="2"/>
  <c r="BC32" i="2"/>
  <c r="BC33" i="2" l="1"/>
  <c r="BB33" i="2"/>
  <c r="BA33" i="2"/>
  <c r="AZ33" i="2"/>
  <c r="A34" i="2"/>
  <c r="BA34" i="2" l="1"/>
  <c r="AZ34" i="2"/>
  <c r="BC34" i="2"/>
  <c r="A35" i="2"/>
  <c r="BB34" i="2"/>
  <c r="AZ35" i="2" l="1"/>
  <c r="BC35" i="2"/>
  <c r="BB35" i="2"/>
  <c r="BD35" i="2"/>
  <c r="BA35" i="2"/>
</calcChain>
</file>

<file path=xl/sharedStrings.xml><?xml version="1.0" encoding="utf-8"?>
<sst xmlns="http://schemas.openxmlformats.org/spreadsheetml/2006/main" count="198" uniqueCount="71">
  <si>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</si>
  <si>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</si>
  <si>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</si>
  <si>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</si>
  <si>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</si>
  <si>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</si>
  <si>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</si>
  <si>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</si>
  <si>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</si>
  <si>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</si>
  <si>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</si>
  <si>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</si>
  <si>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</si>
  <si>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</si>
  <si>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</si>
  <si>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</si>
  <si>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</si>
  <si>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</si>
  <si>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</si>
  <si>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</si>
  <si>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</si>
  <si>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</si>
  <si>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</si>
  <si>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</si>
  <si>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</si>
  <si>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</si>
  <si>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</si>
  <si>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</si>
  <si>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</si>
  <si>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</si>
  <si>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</si>
  <si>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</si>
  <si>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</si>
  <si>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</si>
  <si>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</si>
  <si>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</si>
  <si>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</si>
  <si>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</si>
  <si>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</si>
  <si>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</si>
  <si>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</si>
  <si>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</si>
  <si>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</si>
  <si>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</si>
  <si>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</si>
  <si>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</si>
  <si>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</si>
  <si>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</si>
  <si>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</si>
  <si>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</si>
  <si>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</si>
  <si>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</si>
  <si>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</si>
  <si>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</si>
  <si>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</si>
  <si>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</si>
  <si>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</si>
  <si>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</si>
  <si>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</si>
  <si>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</si>
  <si>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</si>
  <si>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</si>
  <si>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</si>
  <si>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</si>
  <si>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</si>
  <si>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</si>
  <si>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</si>
  <si>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</si>
  <si>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</si>
  <si>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00:00</t>
  </si>
  <si>
    <t xml:space="preserve">TOTALE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</si>
</sst>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8" formatCode="_-* #,##0.000_-;\-* #,##0.000_-;_-* &quot;-&quot;_-;_-@_-"/>
    <numFmt numFmtId="179" formatCode="#,##0_ ;\-#,##0\ "/>
    <numFmt numFmtId="180" formatCode="_-* #,##0.00_-;\-* #,##0.00_-;_-* &quot;-&quot;_-;_-@_-"/>
    <numFmt numFmtId="183" formatCode="#,##0.00_ ;\-#,##0.00\ 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45"/>
      <name val="Arial"/>
      <family val="2"/>
    </font>
    <font>
      <sz val="12"/>
      <color indexed="57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41" fontId="12" fillId="0" borderId="0" applyFont="0" applyFill="0" applyBorder="0" applyAlignment="0" applyProtection="0"/>
  </cellStyleXfs>
  <cellXfs count="130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78" fontId="6" fillId="0" borderId="4" xfId="1" applyNumberFormat="1" applyFont="1" applyBorder="1" applyProtection="1"/>
    <xf numFmtId="3" fontId="5" fillId="0" borderId="4" xfId="1" applyNumberFormat="1" applyFont="1" applyBorder="1" applyProtection="1"/>
    <xf numFmtId="180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/>
    <xf numFmtId="41" fontId="2" fillId="0" borderId="6" xfId="1" applyFont="1" applyBorder="1" applyProtection="1"/>
    <xf numFmtId="41" fontId="2" fillId="0" borderId="0" xfId="1" applyFont="1" applyBorder="1" applyProtection="1"/>
    <xf numFmtId="41" fontId="2" fillId="5" borderId="7" xfId="1" applyFont="1" applyFill="1" applyBorder="1"/>
    <xf numFmtId="41" fontId="2" fillId="0" borderId="0" xfId="1" applyFont="1" applyAlignment="1" applyProtection="1">
      <alignment horizontal="center"/>
    </xf>
    <xf numFmtId="180" fontId="2" fillId="0" borderId="0" xfId="1" applyNumberFormat="1" applyFont="1" applyBorder="1" applyProtection="1"/>
    <xf numFmtId="180" fontId="1" fillId="0" borderId="0" xfId="1" applyNumberFormat="1" applyFont="1"/>
    <xf numFmtId="41" fontId="2" fillId="0" borderId="8" xfId="1" applyFont="1" applyBorder="1"/>
    <xf numFmtId="41" fontId="2" fillId="0" borderId="8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13" fillId="0" borderId="0" xfId="0" applyNumberFormat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1" fontId="13" fillId="0" borderId="0" xfId="0" applyNumberFormat="1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15" fillId="0" borderId="0" xfId="0" applyNumberFormat="1" applyFont="1"/>
    <xf numFmtId="1" fontId="18" fillId="0" borderId="0" xfId="0" applyNumberFormat="1" applyFont="1" applyAlignment="1">
      <alignment wrapText="1"/>
    </xf>
    <xf numFmtId="1" fontId="17" fillId="0" borderId="0" xfId="0" applyNumberFormat="1" applyFont="1"/>
    <xf numFmtId="1" fontId="14" fillId="0" borderId="0" xfId="0" applyNumberFormat="1" applyFont="1"/>
    <xf numFmtId="41" fontId="1" fillId="3" borderId="9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1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3" borderId="12" xfId="1" applyFont="1" applyFill="1" applyBorder="1" applyAlignment="1">
      <alignment horizontal="center" vertical="center" wrapText="1"/>
    </xf>
    <xf numFmtId="41" fontId="19" fillId="0" borderId="4" xfId="1" applyFont="1" applyBorder="1" applyProtection="1"/>
    <xf numFmtId="41" fontId="2" fillId="4" borderId="13" xfId="1" applyFont="1" applyFill="1" applyBorder="1" applyAlignment="1" applyProtection="1">
      <alignment horizontal="right"/>
    </xf>
    <xf numFmtId="41" fontId="2" fillId="0" borderId="0" xfId="1" applyFont="1" applyBorder="1" applyAlignment="1" applyProtection="1">
      <alignment horizontal="left"/>
    </xf>
    <xf numFmtId="41" fontId="2" fillId="0" borderId="14" xfId="1" applyFont="1" applyBorder="1" applyProtection="1"/>
    <xf numFmtId="41" fontId="1" fillId="2" borderId="0" xfId="1" applyFont="1" applyFill="1" applyBorder="1"/>
    <xf numFmtId="41" fontId="1" fillId="0" borderId="0" xfId="1" applyFont="1" applyBorder="1" applyProtection="1"/>
    <xf numFmtId="180" fontId="2" fillId="0" borderId="0" xfId="1" applyNumberFormat="1" applyFont="1"/>
    <xf numFmtId="41" fontId="2" fillId="0" borderId="7" xfId="1" applyFont="1" applyFill="1" applyBorder="1"/>
    <xf numFmtId="41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83" fontId="5" fillId="0" borderId="4" xfId="1" applyNumberFormat="1" applyFont="1" applyBorder="1" applyProtection="1"/>
    <xf numFmtId="41" fontId="7" fillId="0" borderId="4" xfId="1" applyFont="1" applyBorder="1" applyProtection="1"/>
    <xf numFmtId="41" fontId="5" fillId="0" borderId="4" xfId="1" applyFont="1" applyFill="1" applyBorder="1"/>
    <xf numFmtId="41" fontId="1" fillId="0" borderId="4" xfId="1" applyFont="1" applyBorder="1"/>
    <xf numFmtId="41" fontId="20" fillId="0" borderId="0" xfId="1" applyFont="1"/>
    <xf numFmtId="41" fontId="2" fillId="0" borderId="16" xfId="1" applyFont="1" applyBorder="1"/>
    <xf numFmtId="41" fontId="1" fillId="2" borderId="4" xfId="1" applyFont="1" applyFill="1" applyBorder="1"/>
    <xf numFmtId="178" fontId="6" fillId="6" borderId="4" xfId="1" applyNumberFormat="1" applyFont="1" applyFill="1" applyBorder="1" applyProtection="1"/>
    <xf numFmtId="180" fontId="5" fillId="0" borderId="4" xfId="1" applyNumberFormat="1" applyFont="1" applyFill="1" applyBorder="1" applyProtection="1"/>
    <xf numFmtId="41" fontId="3" fillId="0" borderId="4" xfId="1" applyFont="1" applyFill="1" applyBorder="1" applyProtection="1"/>
    <xf numFmtId="178" fontId="5" fillId="0" borderId="17" xfId="1" applyNumberFormat="1" applyFont="1" applyBorder="1" applyProtection="1"/>
    <xf numFmtId="41" fontId="9" fillId="0" borderId="4" xfId="1" applyFont="1" applyBorder="1" applyProtection="1"/>
    <xf numFmtId="3" fontId="21" fillId="0" borderId="4" xfId="1" applyNumberFormat="1" applyFont="1" applyBorder="1" applyProtection="1"/>
    <xf numFmtId="41" fontId="1" fillId="0" borderId="4" xfId="1" applyFont="1" applyFill="1" applyBorder="1" applyProtection="1"/>
    <xf numFmtId="41" fontId="1" fillId="6" borderId="4" xfId="1" applyFont="1" applyFill="1" applyBorder="1" applyProtection="1"/>
    <xf numFmtId="178" fontId="10" fillId="0" borderId="4" xfId="1" applyNumberFormat="1" applyFont="1" applyBorder="1" applyProtection="1"/>
    <xf numFmtId="4" fontId="1" fillId="0" borderId="18" xfId="1" quotePrefix="1" applyNumberFormat="1" applyFont="1" applyBorder="1" applyAlignment="1" applyProtection="1">
      <alignment horizontal="left"/>
    </xf>
    <xf numFmtId="3" fontId="1" fillId="0" borderId="1" xfId="1" applyNumberFormat="1" applyFont="1" applyBorder="1" applyProtection="1"/>
    <xf numFmtId="41" fontId="5" fillId="0" borderId="17" xfId="1" applyFont="1" applyBorder="1" applyProtection="1"/>
    <xf numFmtId="183" fontId="11" fillId="0" borderId="4" xfId="1" applyNumberFormat="1" applyFont="1" applyFill="1" applyBorder="1" applyProtection="1"/>
    <xf numFmtId="3" fontId="5" fillId="0" borderId="4" xfId="1" applyNumberFormat="1" applyFont="1" applyFill="1" applyBorder="1" applyProtection="1"/>
    <xf numFmtId="3" fontId="5" fillId="0" borderId="19" xfId="1" applyNumberFormat="1" applyFont="1" applyBorder="1" applyProtection="1"/>
    <xf numFmtId="41" fontId="8" fillId="0" borderId="4" xfId="1" applyFont="1" applyBorder="1" applyAlignment="1" applyProtection="1">
      <alignment horizontal="left"/>
    </xf>
    <xf numFmtId="41" fontId="1" fillId="0" borderId="20" xfId="1" applyFont="1" applyBorder="1" applyProtection="1"/>
    <xf numFmtId="41" fontId="5" fillId="0" borderId="21" xfId="1" applyFont="1" applyBorder="1" applyProtection="1"/>
    <xf numFmtId="41" fontId="2" fillId="0" borderId="0" xfId="1" applyFont="1" applyAlignment="1" applyProtection="1">
      <alignment horizontal="left"/>
    </xf>
    <xf numFmtId="179" fontId="2" fillId="0" borderId="6" xfId="1" applyNumberFormat="1" applyFont="1" applyBorder="1" applyProtection="1"/>
    <xf numFmtId="183" fontId="2" fillId="0" borderId="6" xfId="1" applyNumberFormat="1" applyFont="1" applyBorder="1" applyProtection="1"/>
    <xf numFmtId="41" fontId="2" fillId="0" borderId="22" xfId="1" applyFont="1" applyBorder="1" applyProtection="1"/>
    <xf numFmtId="41" fontId="2" fillId="0" borderId="23" xfId="1" applyFont="1" applyBorder="1" applyProtection="1"/>
    <xf numFmtId="41" fontId="2" fillId="4" borderId="24" xfId="1" applyFont="1" applyFill="1" applyBorder="1" applyAlignment="1" applyProtection="1">
      <alignment horizontal="right"/>
    </xf>
    <xf numFmtId="41" fontId="5" fillId="0" borderId="25" xfId="1" applyFont="1" applyBorder="1" applyProtection="1"/>
    <xf numFmtId="179" fontId="3" fillId="0" borderId="25" xfId="1" applyNumberFormat="1" applyFont="1" applyFill="1" applyBorder="1"/>
    <xf numFmtId="41" fontId="3" fillId="0" borderId="25" xfId="1" applyFont="1" applyFill="1" applyBorder="1"/>
    <xf numFmtId="41" fontId="2" fillId="0" borderId="26" xfId="1" applyFont="1" applyBorder="1" applyProtection="1"/>
    <xf numFmtId="4" fontId="2" fillId="3" borderId="31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16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 applyProtection="1">
      <alignment horizontal="center" vertical="center" wrapText="1"/>
    </xf>
    <xf numFmtId="41" fontId="2" fillId="3" borderId="10" xfId="1" applyFont="1" applyFill="1" applyBorder="1" applyAlignment="1" applyProtection="1">
      <alignment horizontal="center" vertical="center" wrapText="1"/>
    </xf>
    <xf numFmtId="41" fontId="2" fillId="3" borderId="14" xfId="1" applyFont="1" applyFill="1" applyBorder="1" applyAlignment="1" applyProtection="1">
      <alignment horizontal="center" vertical="center" wrapText="1"/>
    </xf>
    <xf numFmtId="41" fontId="2" fillId="3" borderId="34" xfId="1" applyFont="1" applyFill="1" applyBorder="1" applyAlignment="1" applyProtection="1">
      <alignment horizontal="center" vertical="center" wrapText="1"/>
    </xf>
    <xf numFmtId="41" fontId="2" fillId="3" borderId="35" xfId="1" applyFont="1" applyFill="1" applyBorder="1" applyAlignment="1">
      <alignment horizontal="center" vertical="center" wrapText="1"/>
    </xf>
    <xf numFmtId="41" fontId="2" fillId="3" borderId="36" xfId="1" applyFont="1" applyFill="1" applyBorder="1" applyAlignment="1">
      <alignment horizontal="center" vertical="center" wrapText="1"/>
    </xf>
    <xf numFmtId="41" fontId="1" fillId="3" borderId="9" xfId="1" applyFont="1" applyFill="1" applyBorder="1" applyAlignment="1">
      <alignment horizontal="center" vertical="center" wrapText="1"/>
    </xf>
    <xf numFmtId="41" fontId="1" fillId="3" borderId="30" xfId="1" applyFont="1" applyFill="1" applyBorder="1" applyAlignment="1">
      <alignment horizontal="center" vertical="center" wrapText="1"/>
    </xf>
    <xf numFmtId="41" fontId="1" fillId="3" borderId="33" xfId="1" applyFont="1" applyFill="1" applyBorder="1" applyAlignment="1">
      <alignment horizontal="center" vertical="center" wrapText="1"/>
    </xf>
    <xf numFmtId="41" fontId="1" fillId="3" borderId="10" xfId="1" applyFont="1" applyFill="1" applyBorder="1" applyAlignment="1">
      <alignment horizontal="center" vertical="center" wrapText="1"/>
    </xf>
    <xf numFmtId="41" fontId="1" fillId="3" borderId="14" xfId="1" applyFont="1" applyFill="1" applyBorder="1" applyAlignment="1">
      <alignment horizontal="center" vertical="center" wrapText="1"/>
    </xf>
    <xf numFmtId="41" fontId="1" fillId="3" borderId="34" xfId="1" applyFont="1" applyFill="1" applyBorder="1" applyAlignment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11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41" xfId="1" applyFont="1" applyFill="1" applyBorder="1" applyAlignment="1" applyProtection="1">
      <alignment horizontal="center" vertical="center" wrapText="1"/>
    </xf>
    <xf numFmtId="41" fontId="2" fillId="3" borderId="42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10" xfId="1" applyFont="1" applyFill="1" applyBorder="1" applyAlignment="1">
      <alignment horizontal="center" vertical="center" wrapText="1"/>
    </xf>
    <xf numFmtId="41" fontId="2" fillId="3" borderId="34" xfId="1" applyFont="1" applyFill="1" applyBorder="1" applyAlignment="1">
      <alignment horizontal="center" vertical="center" wrapText="1"/>
    </xf>
    <xf numFmtId="41" fontId="2" fillId="5" borderId="27" xfId="1" applyFont="1" applyFill="1" applyBorder="1" applyAlignment="1">
      <alignment horizontal="center"/>
    </xf>
    <xf numFmtId="41" fontId="1" fillId="5" borderId="28" xfId="1" applyFont="1" applyFill="1" applyBorder="1" applyAlignment="1">
      <alignment horizontal="center"/>
    </xf>
    <xf numFmtId="41" fontId="2" fillId="5" borderId="29" xfId="1" applyFont="1" applyFill="1" applyBorder="1" applyAlignment="1">
      <alignment horizontal="center"/>
    </xf>
    <xf numFmtId="41" fontId="2" fillId="0" borderId="30" xfId="1" applyFont="1" applyBorder="1" applyAlignment="1">
      <alignment horizontal="center"/>
    </xf>
    <xf numFmtId="41" fontId="2" fillId="3" borderId="31" xfId="1" applyFont="1" applyFill="1" applyBorder="1" applyAlignment="1">
      <alignment horizontal="center" vertical="center" wrapText="1"/>
    </xf>
    <xf numFmtId="41" fontId="2" fillId="3" borderId="16" xfId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">
          <cell r="R32">
            <v>39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="130" zoomScaleNormal="130" workbookViewId="0">
      <selection activeCell="H2" sqref="H2"/>
    </sheetView>
  </sheetViews>
  <sheetFormatPr defaultColWidth="11.5546875" defaultRowHeight="14.4" x14ac:dyDescent="0.3"/>
  <cols>
    <col min="4" max="4" width="13.44140625" customWidth="1"/>
    <col min="5" max="5" width="13" style="37" customWidth="1"/>
    <col min="6" max="6" width="12.5546875" customWidth="1"/>
    <col min="7" max="7" width="13" style="25" customWidth="1"/>
  </cols>
  <sheetData>
    <row r="1" spans="1:12" s="29" customFormat="1" ht="43.2" x14ac:dyDescent="0.3">
      <c r="A1" s="29" t="s">
        <v>31</v>
      </c>
      <c r="B1" s="29" t="s">
        <v>32</v>
      </c>
      <c r="C1" s="29" t="s">
        <v>33</v>
      </c>
      <c r="D1" s="29" t="s">
        <v>34</v>
      </c>
      <c r="E1" s="35" t="s">
        <v>35</v>
      </c>
      <c r="F1" s="28" t="s">
        <v>52</v>
      </c>
      <c r="G1" s="30" t="s">
        <v>36</v>
      </c>
      <c r="H1" s="28" t="s">
        <v>53</v>
      </c>
      <c r="I1" s="28" t="s">
        <v>37</v>
      </c>
      <c r="J1" s="28" t="s">
        <v>54</v>
      </c>
      <c r="K1" s="28" t="s">
        <v>38</v>
      </c>
      <c r="L1" s="28" t="s">
        <v>39</v>
      </c>
    </row>
    <row r="2" spans="1:12" s="31" customFormat="1" ht="13.2" x14ac:dyDescent="0.25">
      <c r="A2" s="31" t="s">
        <v>40</v>
      </c>
      <c r="B2" s="31">
        <v>1</v>
      </c>
      <c r="C2" s="33">
        <v>10</v>
      </c>
      <c r="D2" s="31">
        <v>2022</v>
      </c>
      <c r="E2" s="36">
        <f>'Hotel Data'!X5</f>
        <v>11898</v>
      </c>
      <c r="F2" s="31">
        <v>0.55000000000000004</v>
      </c>
      <c r="G2" s="34">
        <f>'Hotel Data'!E5</f>
        <v>312</v>
      </c>
      <c r="H2" s="31">
        <v>2</v>
      </c>
      <c r="I2" s="34">
        <f>'Hotel Data'!K5</f>
        <v>187</v>
      </c>
      <c r="J2" s="31">
        <v>1</v>
      </c>
      <c r="K2" s="31">
        <v>86</v>
      </c>
      <c r="L2" s="31">
        <v>156</v>
      </c>
    </row>
    <row r="3" spans="1:12" s="32" customFormat="1" x14ac:dyDescent="0.3">
      <c r="A3" s="32" t="s">
        <v>40</v>
      </c>
      <c r="B3" s="32">
        <f>B2+1</f>
        <v>2</v>
      </c>
      <c r="C3" s="33">
        <v>10</v>
      </c>
      <c r="D3" s="31">
        <v>2022</v>
      </c>
      <c r="E3" s="36">
        <f>'Hotel Data'!X6</f>
        <v>12147</v>
      </c>
      <c r="F3" s="31">
        <v>0.55000000000000004</v>
      </c>
      <c r="G3" s="34">
        <f>'Hotel Data'!E6</f>
        <v>276</v>
      </c>
      <c r="H3" s="31">
        <v>2</v>
      </c>
      <c r="I3" s="34">
        <f>'Hotel Data'!K6</f>
        <v>177</v>
      </c>
      <c r="J3" s="31">
        <v>1</v>
      </c>
      <c r="K3" s="31">
        <v>68</v>
      </c>
      <c r="L3" s="31">
        <v>125</v>
      </c>
    </row>
    <row r="4" spans="1:12" s="32" customFormat="1" x14ac:dyDescent="0.3">
      <c r="A4" s="32" t="s">
        <v>40</v>
      </c>
      <c r="B4" s="32">
        <f t="shared" ref="B4:B32" si="0">B3+1</f>
        <v>3</v>
      </c>
      <c r="C4" s="33">
        <v>10</v>
      </c>
      <c r="D4" s="31">
        <v>2022</v>
      </c>
      <c r="E4" s="36">
        <f>'Hotel Data'!X7</f>
        <v>11905</v>
      </c>
      <c r="F4" s="31">
        <v>0.55000000000000004</v>
      </c>
      <c r="G4" s="34">
        <f>'Hotel Data'!E7</f>
        <v>273</v>
      </c>
      <c r="H4" s="31">
        <v>2</v>
      </c>
      <c r="I4" s="34">
        <f>'Hotel Data'!K7</f>
        <v>185</v>
      </c>
      <c r="J4" s="31">
        <v>1</v>
      </c>
      <c r="K4" s="31">
        <v>68</v>
      </c>
      <c r="L4" s="31">
        <v>125</v>
      </c>
    </row>
    <row r="5" spans="1:12" s="32" customFormat="1" x14ac:dyDescent="0.3">
      <c r="A5" s="32" t="s">
        <v>40</v>
      </c>
      <c r="B5" s="32">
        <f t="shared" si="0"/>
        <v>4</v>
      </c>
      <c r="C5" s="33">
        <v>10</v>
      </c>
      <c r="D5" s="31">
        <v>2022</v>
      </c>
      <c r="E5" s="36">
        <f>'Hotel Data'!X8</f>
        <v>12166</v>
      </c>
      <c r="F5" s="31">
        <v>0.55000000000000004</v>
      </c>
      <c r="G5" s="34">
        <f>'Hotel Data'!E8</f>
        <v>281</v>
      </c>
      <c r="H5" s="31">
        <v>2</v>
      </c>
      <c r="I5" s="34">
        <f>'Hotel Data'!K8</f>
        <v>192</v>
      </c>
      <c r="J5" s="31">
        <v>1</v>
      </c>
      <c r="K5" s="31">
        <v>77</v>
      </c>
      <c r="L5" s="31">
        <v>122</v>
      </c>
    </row>
    <row r="6" spans="1:12" s="32" customFormat="1" x14ac:dyDescent="0.3">
      <c r="A6" s="32" t="s">
        <v>40</v>
      </c>
      <c r="B6" s="32">
        <f t="shared" si="0"/>
        <v>5</v>
      </c>
      <c r="C6" s="33">
        <v>10</v>
      </c>
      <c r="D6" s="31">
        <v>2022</v>
      </c>
      <c r="E6" s="36">
        <f>'Hotel Data'!X9</f>
        <v>12216</v>
      </c>
      <c r="F6" s="31">
        <v>0.55000000000000004</v>
      </c>
      <c r="G6" s="34">
        <f>'Hotel Data'!E9</f>
        <v>253</v>
      </c>
      <c r="H6" s="31">
        <v>2</v>
      </c>
      <c r="I6" s="34">
        <f>'Hotel Data'!K9</f>
        <v>213</v>
      </c>
      <c r="J6" s="31">
        <v>1</v>
      </c>
      <c r="K6" s="31">
        <v>65</v>
      </c>
      <c r="L6" s="31">
        <v>110</v>
      </c>
    </row>
    <row r="7" spans="1:12" s="32" customFormat="1" x14ac:dyDescent="0.3">
      <c r="A7" s="32" t="s">
        <v>40</v>
      </c>
      <c r="B7" s="32">
        <f t="shared" si="0"/>
        <v>6</v>
      </c>
      <c r="C7" s="33">
        <v>10</v>
      </c>
      <c r="D7" s="31">
        <v>2022</v>
      </c>
      <c r="E7" s="36">
        <f>'Hotel Data'!X10</f>
        <v>12291</v>
      </c>
      <c r="F7" s="31">
        <v>0.55000000000000004</v>
      </c>
      <c r="G7" s="34">
        <f>'Hotel Data'!E10</f>
        <v>220</v>
      </c>
      <c r="H7" s="31">
        <v>2</v>
      </c>
      <c r="I7" s="34">
        <f>'Hotel Data'!K10</f>
        <v>193</v>
      </c>
      <c r="J7" s="31">
        <v>1</v>
      </c>
      <c r="K7" s="31">
        <v>73</v>
      </c>
      <c r="L7" s="31">
        <v>123</v>
      </c>
    </row>
    <row r="8" spans="1:12" s="32" customFormat="1" x14ac:dyDescent="0.3">
      <c r="A8" s="32" t="s">
        <v>40</v>
      </c>
      <c r="B8" s="32">
        <f t="shared" si="0"/>
        <v>7</v>
      </c>
      <c r="C8" s="33">
        <v>10</v>
      </c>
      <c r="D8" s="31">
        <v>2022</v>
      </c>
      <c r="E8" s="36">
        <f>'Hotel Data'!X11</f>
        <v>11862</v>
      </c>
      <c r="F8" s="31">
        <v>0.55000000000000004</v>
      </c>
      <c r="G8" s="34">
        <f>'Hotel Data'!E11</f>
        <v>293</v>
      </c>
      <c r="H8" s="31">
        <v>2</v>
      </c>
      <c r="I8" s="34">
        <f>'Hotel Data'!K11</f>
        <v>213</v>
      </c>
      <c r="J8" s="31">
        <v>1</v>
      </c>
      <c r="K8" s="31">
        <v>71</v>
      </c>
      <c r="L8" s="31">
        <v>156</v>
      </c>
    </row>
    <row r="9" spans="1:12" s="32" customFormat="1" x14ac:dyDescent="0.3">
      <c r="A9" s="32" t="s">
        <v>40</v>
      </c>
      <c r="B9" s="32">
        <f t="shared" si="0"/>
        <v>8</v>
      </c>
      <c r="C9" s="33">
        <v>10</v>
      </c>
      <c r="D9" s="31">
        <v>2022</v>
      </c>
      <c r="E9" s="36">
        <f>'Hotel Data'!X12</f>
        <v>12680</v>
      </c>
      <c r="F9" s="31">
        <v>0.55000000000000004</v>
      </c>
      <c r="G9" s="34">
        <f>'Hotel Data'!E12</f>
        <v>244</v>
      </c>
      <c r="H9" s="31">
        <v>2</v>
      </c>
      <c r="I9" s="34">
        <f>'Hotel Data'!K12</f>
        <v>225</v>
      </c>
      <c r="J9" s="31">
        <v>1</v>
      </c>
      <c r="K9" s="31">
        <v>102</v>
      </c>
      <c r="L9" s="31">
        <v>172</v>
      </c>
    </row>
    <row r="10" spans="1:12" s="32" customFormat="1" x14ac:dyDescent="0.3">
      <c r="A10" s="32" t="s">
        <v>40</v>
      </c>
      <c r="B10" s="32">
        <f t="shared" si="0"/>
        <v>9</v>
      </c>
      <c r="C10" s="33">
        <v>10</v>
      </c>
      <c r="D10" s="31">
        <v>2022</v>
      </c>
      <c r="E10" s="36">
        <f>'Hotel Data'!X13</f>
        <v>12505</v>
      </c>
      <c r="F10" s="31">
        <v>0.55000000000000004</v>
      </c>
      <c r="G10" s="34">
        <f>'Hotel Data'!E13</f>
        <v>352</v>
      </c>
      <c r="H10" s="31">
        <v>2</v>
      </c>
      <c r="I10" s="34">
        <f>'Hotel Data'!K13</f>
        <v>207</v>
      </c>
      <c r="J10" s="31">
        <v>1</v>
      </c>
      <c r="K10" s="31">
        <v>98</v>
      </c>
      <c r="L10" s="31">
        <v>167</v>
      </c>
    </row>
    <row r="11" spans="1:12" s="32" customFormat="1" x14ac:dyDescent="0.3">
      <c r="A11" s="32" t="s">
        <v>40</v>
      </c>
      <c r="B11" s="32">
        <f t="shared" si="0"/>
        <v>10</v>
      </c>
      <c r="C11" s="33">
        <v>10</v>
      </c>
      <c r="D11" s="31">
        <v>2022</v>
      </c>
      <c r="E11" s="36">
        <f>'Hotel Data'!X14</f>
        <v>11955</v>
      </c>
      <c r="F11" s="31">
        <v>0.55000000000000004</v>
      </c>
      <c r="G11" s="34">
        <f>'Hotel Data'!E14</f>
        <v>345</v>
      </c>
      <c r="H11" s="31">
        <v>2</v>
      </c>
      <c r="I11" s="34">
        <f>'Hotel Data'!K14</f>
        <v>208</v>
      </c>
      <c r="J11" s="31">
        <v>1</v>
      </c>
      <c r="K11" s="31">
        <v>103</v>
      </c>
      <c r="L11" s="31">
        <v>174</v>
      </c>
    </row>
    <row r="12" spans="1:12" s="32" customFormat="1" x14ac:dyDescent="0.3">
      <c r="A12" s="32" t="s">
        <v>40</v>
      </c>
      <c r="B12" s="32">
        <f t="shared" si="0"/>
        <v>11</v>
      </c>
      <c r="C12" s="33">
        <v>10</v>
      </c>
      <c r="D12" s="31">
        <v>2022</v>
      </c>
      <c r="E12" s="36">
        <f>'Hotel Data'!X15</f>
        <v>12078</v>
      </c>
      <c r="F12" s="31">
        <v>0.55000000000000004</v>
      </c>
      <c r="G12" s="34">
        <f>'Hotel Data'!E15</f>
        <v>332</v>
      </c>
      <c r="H12" s="31">
        <v>2</v>
      </c>
      <c r="I12" s="34">
        <f>'Hotel Data'!K15</f>
        <v>232</v>
      </c>
      <c r="J12" s="31">
        <v>1</v>
      </c>
      <c r="K12" s="31">
        <v>106</v>
      </c>
      <c r="L12" s="31">
        <v>169</v>
      </c>
    </row>
    <row r="13" spans="1:12" s="32" customFormat="1" x14ac:dyDescent="0.3">
      <c r="A13" s="32" t="s">
        <v>40</v>
      </c>
      <c r="B13" s="32">
        <f t="shared" si="0"/>
        <v>12</v>
      </c>
      <c r="C13" s="33">
        <v>10</v>
      </c>
      <c r="D13" s="31">
        <v>2022</v>
      </c>
      <c r="E13" s="36">
        <f>'Hotel Data'!X16</f>
        <v>12114</v>
      </c>
      <c r="F13" s="31">
        <v>0.55000000000000004</v>
      </c>
      <c r="G13" s="34">
        <f>'Hotel Data'!E16</f>
        <v>273</v>
      </c>
      <c r="H13" s="31">
        <v>2</v>
      </c>
      <c r="I13" s="34">
        <f>'Hotel Data'!K16</f>
        <v>220</v>
      </c>
      <c r="J13" s="31">
        <v>1</v>
      </c>
      <c r="K13" s="31">
        <v>89</v>
      </c>
      <c r="L13" s="31">
        <v>149</v>
      </c>
    </row>
    <row r="14" spans="1:12" s="32" customFormat="1" x14ac:dyDescent="0.3">
      <c r="A14" s="32" t="s">
        <v>40</v>
      </c>
      <c r="B14" s="32">
        <f t="shared" si="0"/>
        <v>13</v>
      </c>
      <c r="C14" s="33">
        <v>10</v>
      </c>
      <c r="D14" s="31">
        <v>2022</v>
      </c>
      <c r="E14" s="36">
        <f>'Hotel Data'!X17</f>
        <v>12178</v>
      </c>
      <c r="F14" s="31">
        <v>0.55000000000000004</v>
      </c>
      <c r="G14" s="34">
        <f>'Hotel Data'!E17</f>
        <v>286</v>
      </c>
      <c r="H14" s="31">
        <v>2</v>
      </c>
      <c r="I14" s="34">
        <f>'Hotel Data'!K17</f>
        <v>240</v>
      </c>
      <c r="J14" s="31">
        <v>1</v>
      </c>
      <c r="K14" s="31">
        <v>99</v>
      </c>
      <c r="L14" s="31">
        <v>186</v>
      </c>
    </row>
    <row r="15" spans="1:12" s="32" customFormat="1" x14ac:dyDescent="0.3">
      <c r="A15" s="32" t="s">
        <v>40</v>
      </c>
      <c r="B15" s="32">
        <f t="shared" si="0"/>
        <v>14</v>
      </c>
      <c r="C15" s="33">
        <v>10</v>
      </c>
      <c r="D15" s="31">
        <v>2022</v>
      </c>
      <c r="E15" s="36">
        <f>'Hotel Data'!X18</f>
        <v>12049</v>
      </c>
      <c r="F15" s="31">
        <v>0.55000000000000004</v>
      </c>
      <c r="G15" s="34">
        <f>'Hotel Data'!E18</f>
        <v>294</v>
      </c>
      <c r="H15" s="31">
        <v>2</v>
      </c>
      <c r="I15" s="34">
        <f>'Hotel Data'!K18</f>
        <v>211</v>
      </c>
      <c r="J15" s="31">
        <v>1</v>
      </c>
      <c r="K15" s="31">
        <v>99</v>
      </c>
      <c r="L15" s="31">
        <v>186</v>
      </c>
    </row>
    <row r="16" spans="1:12" s="32" customFormat="1" x14ac:dyDescent="0.3">
      <c r="A16" s="32" t="s">
        <v>40</v>
      </c>
      <c r="B16" s="32">
        <f t="shared" si="0"/>
        <v>15</v>
      </c>
      <c r="C16" s="33">
        <v>10</v>
      </c>
      <c r="D16" s="31">
        <v>2022</v>
      </c>
      <c r="E16" s="36">
        <f>'Hotel Data'!X19</f>
        <v>11546</v>
      </c>
      <c r="F16" s="31">
        <v>0.55000000000000004</v>
      </c>
      <c r="G16" s="34">
        <f>'Hotel Data'!E19</f>
        <v>266</v>
      </c>
      <c r="H16" s="31">
        <v>2</v>
      </c>
      <c r="I16" s="34">
        <f>'Hotel Data'!K19</f>
        <v>206</v>
      </c>
      <c r="J16" s="31">
        <v>1</v>
      </c>
      <c r="K16" s="31">
        <v>89</v>
      </c>
      <c r="L16" s="31">
        <v>159</v>
      </c>
    </row>
    <row r="17" spans="1:12" s="32" customFormat="1" x14ac:dyDescent="0.3">
      <c r="A17" s="32" t="s">
        <v>40</v>
      </c>
      <c r="B17" s="32">
        <f t="shared" si="0"/>
        <v>16</v>
      </c>
      <c r="C17" s="33">
        <v>10</v>
      </c>
      <c r="D17" s="31">
        <v>2022</v>
      </c>
      <c r="E17" s="36">
        <f>'Hotel Data'!X20</f>
        <v>12151</v>
      </c>
      <c r="F17" s="31">
        <v>0.55000000000000004</v>
      </c>
      <c r="G17" s="34">
        <f>'Hotel Data'!E20</f>
        <v>219</v>
      </c>
      <c r="H17" s="31">
        <v>2</v>
      </c>
      <c r="I17" s="34">
        <f>'Hotel Data'!K20</f>
        <v>189</v>
      </c>
      <c r="J17" s="31">
        <v>1</v>
      </c>
      <c r="K17" s="31">
        <v>72</v>
      </c>
      <c r="L17" s="31">
        <v>125</v>
      </c>
    </row>
    <row r="18" spans="1:12" s="32" customFormat="1" x14ac:dyDescent="0.3">
      <c r="A18" s="32" t="s">
        <v>40</v>
      </c>
      <c r="B18" s="32">
        <f t="shared" si="0"/>
        <v>17</v>
      </c>
      <c r="C18" s="33">
        <v>10</v>
      </c>
      <c r="D18" s="31">
        <v>2022</v>
      </c>
      <c r="E18" s="36">
        <f>'Hotel Data'!X21</f>
        <v>11390</v>
      </c>
      <c r="F18" s="31">
        <v>0.55000000000000004</v>
      </c>
      <c r="G18" s="34">
        <f>'Hotel Data'!E21</f>
        <v>223</v>
      </c>
      <c r="H18" s="31">
        <v>2</v>
      </c>
      <c r="I18" s="34">
        <f>'Hotel Data'!K21</f>
        <v>199</v>
      </c>
      <c r="J18" s="31">
        <v>1</v>
      </c>
      <c r="K18" s="31">
        <v>80</v>
      </c>
      <c r="L18" s="31">
        <v>131</v>
      </c>
    </row>
    <row r="19" spans="1:12" s="32" customFormat="1" x14ac:dyDescent="0.3">
      <c r="A19" s="32" t="s">
        <v>40</v>
      </c>
      <c r="B19" s="32">
        <f t="shared" si="0"/>
        <v>18</v>
      </c>
      <c r="C19" s="33">
        <v>10</v>
      </c>
      <c r="D19" s="31">
        <v>2022</v>
      </c>
      <c r="E19" s="36">
        <f>'Hotel Data'!X22</f>
        <v>12958</v>
      </c>
      <c r="F19" s="31">
        <v>0.55000000000000004</v>
      </c>
      <c r="G19" s="34">
        <f>'Hotel Data'!E22</f>
        <v>290</v>
      </c>
      <c r="H19" s="31">
        <v>2</v>
      </c>
      <c r="I19" s="34">
        <f>'Hotel Data'!K22</f>
        <v>199</v>
      </c>
      <c r="J19" s="31">
        <v>1</v>
      </c>
      <c r="K19" s="31">
        <v>93</v>
      </c>
      <c r="L19" s="31">
        <v>152</v>
      </c>
    </row>
    <row r="20" spans="1:12" s="32" customFormat="1" x14ac:dyDescent="0.3">
      <c r="A20" s="32" t="s">
        <v>40</v>
      </c>
      <c r="B20" s="32">
        <f t="shared" si="0"/>
        <v>19</v>
      </c>
      <c r="C20" s="33">
        <v>10</v>
      </c>
      <c r="D20" s="31">
        <v>2022</v>
      </c>
      <c r="E20" s="36">
        <f>'Hotel Data'!X23</f>
        <v>12878</v>
      </c>
      <c r="F20" s="31">
        <v>0.55000000000000004</v>
      </c>
      <c r="G20" s="34">
        <f>'Hotel Data'!E23</f>
        <v>277</v>
      </c>
      <c r="H20" s="31">
        <v>2</v>
      </c>
      <c r="I20" s="34">
        <f>'Hotel Data'!K23</f>
        <v>198</v>
      </c>
      <c r="J20" s="31">
        <v>1</v>
      </c>
      <c r="K20" s="31">
        <v>81</v>
      </c>
      <c r="L20" s="31">
        <v>132</v>
      </c>
    </row>
    <row r="21" spans="1:12" s="32" customFormat="1" x14ac:dyDescent="0.3">
      <c r="A21" s="32" t="s">
        <v>40</v>
      </c>
      <c r="B21" s="32">
        <f t="shared" si="0"/>
        <v>20</v>
      </c>
      <c r="C21" s="33">
        <v>10</v>
      </c>
      <c r="D21" s="31">
        <v>2022</v>
      </c>
      <c r="E21" s="36">
        <f>'Hotel Data'!X24</f>
        <v>12413</v>
      </c>
      <c r="F21" s="31">
        <v>0.55000000000000004</v>
      </c>
      <c r="G21" s="34">
        <f>'Hotel Data'!E24</f>
        <v>268</v>
      </c>
      <c r="H21" s="31">
        <v>2</v>
      </c>
      <c r="I21" s="34">
        <f>'Hotel Data'!K24</f>
        <v>195</v>
      </c>
      <c r="J21" s="31">
        <v>1</v>
      </c>
      <c r="K21" s="31">
        <v>89</v>
      </c>
      <c r="L21" s="31">
        <v>150</v>
      </c>
    </row>
    <row r="22" spans="1:12" s="32" customFormat="1" x14ac:dyDescent="0.3">
      <c r="A22" s="32" t="s">
        <v>40</v>
      </c>
      <c r="B22" s="32">
        <f t="shared" si="0"/>
        <v>21</v>
      </c>
      <c r="C22" s="33">
        <v>10</v>
      </c>
      <c r="D22" s="31">
        <v>2022</v>
      </c>
      <c r="E22" s="36">
        <f>'Hotel Data'!X25</f>
        <v>11892</v>
      </c>
      <c r="F22" s="31">
        <v>0.55000000000000004</v>
      </c>
      <c r="G22" s="34">
        <f>'Hotel Data'!E25</f>
        <v>282</v>
      </c>
      <c r="H22" s="31">
        <v>2</v>
      </c>
      <c r="I22" s="34">
        <f>'Hotel Data'!K25</f>
        <v>196</v>
      </c>
      <c r="J22" s="31">
        <v>1</v>
      </c>
      <c r="K22" s="31">
        <v>83</v>
      </c>
      <c r="L22" s="31">
        <v>146</v>
      </c>
    </row>
    <row r="23" spans="1:12" s="32" customFormat="1" x14ac:dyDescent="0.3">
      <c r="A23" s="32" t="s">
        <v>40</v>
      </c>
      <c r="B23" s="32">
        <f t="shared" si="0"/>
        <v>22</v>
      </c>
      <c r="C23" s="33">
        <v>10</v>
      </c>
      <c r="D23" s="31">
        <v>2022</v>
      </c>
      <c r="E23" s="36">
        <f>'Hotel Data'!X26</f>
        <v>12024</v>
      </c>
      <c r="F23" s="31">
        <v>0.55000000000000004</v>
      </c>
      <c r="G23" s="34">
        <f>'Hotel Data'!E26</f>
        <v>276</v>
      </c>
      <c r="H23" s="31">
        <v>2</v>
      </c>
      <c r="I23" s="34">
        <f>'Hotel Data'!K26</f>
        <v>150</v>
      </c>
      <c r="J23" s="31">
        <v>1</v>
      </c>
      <c r="K23" s="31">
        <v>75</v>
      </c>
      <c r="L23" s="31">
        <v>133</v>
      </c>
    </row>
    <row r="24" spans="1:12" s="32" customFormat="1" x14ac:dyDescent="0.3">
      <c r="A24" s="32" t="s">
        <v>40</v>
      </c>
      <c r="B24" s="32">
        <f t="shared" si="0"/>
        <v>23</v>
      </c>
      <c r="C24" s="33">
        <v>10</v>
      </c>
      <c r="D24" s="31">
        <v>2022</v>
      </c>
      <c r="E24" s="36">
        <f>'Hotel Data'!X27</f>
        <v>12412</v>
      </c>
      <c r="F24" s="31">
        <v>0.55000000000000004</v>
      </c>
      <c r="G24" s="34">
        <f>'Hotel Data'!E27</f>
        <v>257</v>
      </c>
      <c r="H24" s="31">
        <v>2</v>
      </c>
      <c r="I24" s="34">
        <f>'Hotel Data'!K27</f>
        <v>186</v>
      </c>
      <c r="J24" s="31">
        <v>1</v>
      </c>
      <c r="K24" s="31">
        <v>88</v>
      </c>
      <c r="L24" s="31">
        <v>156</v>
      </c>
    </row>
    <row r="25" spans="1:12" s="32" customFormat="1" x14ac:dyDescent="0.3">
      <c r="A25" s="32" t="s">
        <v>40</v>
      </c>
      <c r="B25" s="32">
        <f t="shared" si="0"/>
        <v>24</v>
      </c>
      <c r="C25" s="33">
        <v>10</v>
      </c>
      <c r="D25" s="31">
        <v>2022</v>
      </c>
      <c r="E25" s="36">
        <f>'Hotel Data'!X28</f>
        <v>12482</v>
      </c>
      <c r="F25" s="31">
        <v>0.55000000000000004</v>
      </c>
      <c r="G25" s="34">
        <f>'Hotel Data'!E28</f>
        <v>274</v>
      </c>
      <c r="H25" s="31">
        <v>2</v>
      </c>
      <c r="I25" s="34">
        <f>'Hotel Data'!K28</f>
        <v>219</v>
      </c>
      <c r="J25" s="31">
        <v>1</v>
      </c>
      <c r="K25" s="31">
        <v>102</v>
      </c>
      <c r="L25" s="31">
        <v>169</v>
      </c>
    </row>
    <row r="26" spans="1:12" s="32" customFormat="1" x14ac:dyDescent="0.3">
      <c r="A26" s="32" t="s">
        <v>40</v>
      </c>
      <c r="B26" s="32">
        <f>B25+1</f>
        <v>25</v>
      </c>
      <c r="C26" s="33">
        <v>10</v>
      </c>
      <c r="D26" s="31">
        <v>2022</v>
      </c>
      <c r="E26" s="36">
        <f>'Hotel Data'!X29</f>
        <v>12443</v>
      </c>
      <c r="F26" s="31">
        <v>0.55000000000000004</v>
      </c>
      <c r="G26" s="34">
        <f>'Hotel Data'!E29</f>
        <v>292</v>
      </c>
      <c r="H26" s="31">
        <v>2</v>
      </c>
      <c r="I26" s="34">
        <f>'Hotel Data'!K29</f>
        <v>203</v>
      </c>
      <c r="J26" s="31">
        <v>1</v>
      </c>
      <c r="K26" s="31">
        <v>105</v>
      </c>
      <c r="L26" s="31">
        <v>163</v>
      </c>
    </row>
    <row r="27" spans="1:12" s="32" customFormat="1" x14ac:dyDescent="0.3">
      <c r="A27" s="32" t="s">
        <v>40</v>
      </c>
      <c r="B27" s="32">
        <f t="shared" si="0"/>
        <v>26</v>
      </c>
      <c r="C27" s="33">
        <v>10</v>
      </c>
      <c r="D27" s="31">
        <v>2022</v>
      </c>
      <c r="E27" s="36">
        <f>'Hotel Data'!X30</f>
        <v>12642</v>
      </c>
      <c r="F27" s="31">
        <v>0.55000000000000004</v>
      </c>
      <c r="G27" s="34">
        <f>'Hotel Data'!E30</f>
        <v>284</v>
      </c>
      <c r="H27" s="31">
        <v>2</v>
      </c>
      <c r="I27" s="34">
        <f>'Hotel Data'!K30</f>
        <v>199</v>
      </c>
      <c r="J27" s="31">
        <v>1</v>
      </c>
      <c r="K27" s="31">
        <v>107</v>
      </c>
      <c r="L27" s="31">
        <v>182</v>
      </c>
    </row>
    <row r="28" spans="1:12" s="32" customFormat="1" x14ac:dyDescent="0.3">
      <c r="A28" s="32" t="s">
        <v>40</v>
      </c>
      <c r="B28" s="32">
        <f t="shared" si="0"/>
        <v>27</v>
      </c>
      <c r="C28" s="33">
        <v>10</v>
      </c>
      <c r="D28" s="31">
        <v>2022</v>
      </c>
      <c r="E28" s="36">
        <f>'Hotel Data'!X31</f>
        <v>13106</v>
      </c>
      <c r="F28" s="31">
        <v>0.55000000000000004</v>
      </c>
      <c r="G28" s="34">
        <f>'Hotel Data'!E31</f>
        <v>286</v>
      </c>
      <c r="H28" s="31">
        <v>2</v>
      </c>
      <c r="I28" s="34">
        <f>'Hotel Data'!K31</f>
        <v>180</v>
      </c>
      <c r="J28" s="31">
        <v>1</v>
      </c>
      <c r="K28" s="31">
        <v>103</v>
      </c>
      <c r="L28" s="31">
        <v>167</v>
      </c>
    </row>
    <row r="29" spans="1:12" s="32" customFormat="1" x14ac:dyDescent="0.3">
      <c r="A29" s="32" t="s">
        <v>40</v>
      </c>
      <c r="B29" s="32">
        <f t="shared" si="0"/>
        <v>28</v>
      </c>
      <c r="C29" s="33">
        <v>10</v>
      </c>
      <c r="D29" s="31">
        <v>2022</v>
      </c>
      <c r="E29" s="36">
        <f>'Hotel Data'!X32</f>
        <v>26424</v>
      </c>
      <c r="F29" s="31">
        <v>0.55000000000000004</v>
      </c>
      <c r="G29" s="34">
        <f>'Hotel Data'!E32</f>
        <v>407</v>
      </c>
      <c r="H29" s="31">
        <v>2</v>
      </c>
      <c r="I29" s="34">
        <f>'Hotel Data'!K32</f>
        <v>170</v>
      </c>
      <c r="J29" s="31">
        <v>1</v>
      </c>
      <c r="K29" s="31">
        <v>178</v>
      </c>
      <c r="L29" s="31">
        <v>178</v>
      </c>
    </row>
    <row r="30" spans="1:12" s="32" customFormat="1" x14ac:dyDescent="0.3">
      <c r="A30" s="32" t="s">
        <v>40</v>
      </c>
      <c r="B30" s="32">
        <f t="shared" si="0"/>
        <v>29</v>
      </c>
      <c r="C30" s="33">
        <v>10</v>
      </c>
      <c r="D30" s="31">
        <v>2022</v>
      </c>
      <c r="E30" s="36">
        <f>'Hotel Data'!X33</f>
        <v>11858</v>
      </c>
      <c r="F30" s="31">
        <v>0.55000000000000004</v>
      </c>
      <c r="G30" s="34">
        <f>'Hotel Data'!E33</f>
        <v>279</v>
      </c>
      <c r="H30" s="31">
        <v>2</v>
      </c>
      <c r="I30" s="34">
        <f>'Hotel Data'!K33</f>
        <v>152</v>
      </c>
      <c r="J30" s="31">
        <v>1</v>
      </c>
      <c r="K30" s="31">
        <v>95</v>
      </c>
      <c r="L30" s="31">
        <v>176</v>
      </c>
    </row>
    <row r="31" spans="1:12" s="31" customFormat="1" x14ac:dyDescent="0.3">
      <c r="A31" s="31" t="s">
        <v>40</v>
      </c>
      <c r="B31" s="32">
        <f t="shared" si="0"/>
        <v>30</v>
      </c>
      <c r="C31" s="33">
        <v>10</v>
      </c>
      <c r="D31" s="31">
        <v>2022</v>
      </c>
      <c r="E31" s="36">
        <f>'Hotel Data'!X34</f>
        <v>11333</v>
      </c>
      <c r="F31" s="31">
        <v>0.55000000000000004</v>
      </c>
      <c r="G31" s="34">
        <f>'Hotel Data'!E34</f>
        <v>277</v>
      </c>
      <c r="H31" s="31">
        <v>2</v>
      </c>
      <c r="I31" s="34">
        <f>'Hotel Data'!K34</f>
        <v>152</v>
      </c>
      <c r="J31" s="31">
        <v>1</v>
      </c>
      <c r="K31" s="31">
        <v>66</v>
      </c>
      <c r="L31" s="31">
        <v>124</v>
      </c>
    </row>
    <row r="32" spans="1:12" s="31" customFormat="1" x14ac:dyDescent="0.3">
      <c r="A32" s="31" t="s">
        <v>40</v>
      </c>
      <c r="B32" s="32">
        <f t="shared" si="0"/>
        <v>31</v>
      </c>
      <c r="C32" s="33">
        <v>10</v>
      </c>
      <c r="D32" s="31">
        <v>2022</v>
      </c>
      <c r="E32" s="36">
        <f>'Hotel Data'!X35</f>
        <v>11991</v>
      </c>
      <c r="F32" s="31">
        <v>0.55000000000000004</v>
      </c>
      <c r="G32" s="34">
        <f>'Hotel Data'!E35</f>
        <v>270</v>
      </c>
      <c r="H32" s="31">
        <v>2</v>
      </c>
      <c r="I32" s="34">
        <f>'Hotel Data'!K35</f>
        <v>144</v>
      </c>
      <c r="J32" s="31">
        <v>1</v>
      </c>
      <c r="K32" s="31">
        <v>69</v>
      </c>
      <c r="L32" s="31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B1" workbookViewId="0">
      <selection activeCell="L10" sqref="L10"/>
    </sheetView>
  </sheetViews>
  <sheetFormatPr defaultColWidth="11.5546875" defaultRowHeight="14.4" x14ac:dyDescent="0.3"/>
  <cols>
    <col min="4" max="4" width="13.44140625" customWidth="1"/>
    <col min="5" max="5" width="13" style="25" customWidth="1"/>
    <col min="6" max="6" width="12.5546875" customWidth="1"/>
    <col min="7" max="7" width="13" style="25" customWidth="1"/>
    <col min="12" max="12" width="11.5546875" style="25"/>
    <col min="15" max="15" width="14" customWidth="1"/>
  </cols>
  <sheetData>
    <row r="1" spans="1:16" s="29" customFormat="1" ht="43.2" x14ac:dyDescent="0.3">
      <c r="A1" s="29" t="s">
        <v>31</v>
      </c>
      <c r="B1" s="29" t="s">
        <v>32</v>
      </c>
      <c r="C1" s="29" t="s">
        <v>33</v>
      </c>
      <c r="D1" s="29" t="s">
        <v>34</v>
      </c>
      <c r="E1" s="26" t="s">
        <v>50</v>
      </c>
      <c r="F1" s="26" t="s">
        <v>41</v>
      </c>
      <c r="G1" s="26" t="s">
        <v>42</v>
      </c>
      <c r="H1" s="27" t="s">
        <v>43</v>
      </c>
      <c r="I1" s="27" t="s">
        <v>44</v>
      </c>
      <c r="J1" s="27" t="s">
        <v>45</v>
      </c>
      <c r="K1" s="27" t="s">
        <v>46</v>
      </c>
      <c r="L1" s="26" t="s">
        <v>47</v>
      </c>
      <c r="M1" s="27" t="s">
        <v>48</v>
      </c>
      <c r="N1" s="27" t="s">
        <v>49</v>
      </c>
      <c r="O1" s="28" t="s">
        <v>51</v>
      </c>
      <c r="P1" s="28" t="s">
        <v>38</v>
      </c>
    </row>
    <row r="2" spans="1:16" s="29" customFormat="1" x14ac:dyDescent="0.3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</row>
    <row r="3" spans="1:16" s="31" customFormat="1" x14ac:dyDescent="0.3">
      <c r="A3" s="31" t="s">
        <v>40</v>
      </c>
      <c r="B3" s="31">
        <v>1</v>
      </c>
      <c r="C3" s="33">
        <v>10</v>
      </c>
      <c r="D3" s="31">
        <v>2022</v>
      </c>
      <c r="E3" s="34">
        <f>'Hotel Data'!E5</f>
        <v>312</v>
      </c>
      <c r="F3" s="34">
        <f>'Hotel Data'!G5</f>
        <v>1</v>
      </c>
      <c r="G3" s="34">
        <f>'Hotel Data'!O5</f>
        <v>8</v>
      </c>
      <c r="H3" s="34">
        <f>'Hotel Data'!Q5</f>
        <v>0</v>
      </c>
      <c r="I3" s="34">
        <f>'Hotel Data'!S5</f>
        <v>1</v>
      </c>
      <c r="J3" s="34">
        <f>'Hotel Data'!U5</f>
        <v>29</v>
      </c>
      <c r="K3" s="34">
        <f>'Hotel Data'!AD5</f>
        <v>316</v>
      </c>
      <c r="L3" s="34">
        <f>'Hotel Data'!AG5</f>
        <v>1260</v>
      </c>
      <c r="M3" s="34">
        <f>'Hotel Data'!AJ5</f>
        <v>256</v>
      </c>
      <c r="N3" s="34">
        <f>'Hotel Data'!AN5</f>
        <v>490</v>
      </c>
      <c r="O3" s="34">
        <f>'Hotel Data'!AR5</f>
        <v>240</v>
      </c>
      <c r="P3" s="32">
        <f>TOTAL!K2</f>
        <v>86</v>
      </c>
    </row>
    <row r="4" spans="1:16" s="32" customFormat="1" x14ac:dyDescent="0.3">
      <c r="A4" s="32" t="s">
        <v>40</v>
      </c>
      <c r="B4" s="32">
        <f>B3+1</f>
        <v>2</v>
      </c>
      <c r="C4" s="33">
        <v>10</v>
      </c>
      <c r="D4" s="31">
        <v>2022</v>
      </c>
      <c r="E4" s="34">
        <f>'Hotel Data'!E6</f>
        <v>276</v>
      </c>
      <c r="F4" s="34">
        <f>'Hotel Data'!G6</f>
        <v>1</v>
      </c>
      <c r="G4" s="34">
        <f>'Hotel Data'!O6</f>
        <v>11</v>
      </c>
      <c r="H4" s="34">
        <f>'Hotel Data'!Q6</f>
        <v>0</v>
      </c>
      <c r="I4" s="34">
        <f>'Hotel Data'!S6</f>
        <v>0</v>
      </c>
      <c r="J4" s="34">
        <f>'Hotel Data'!U6</f>
        <v>27</v>
      </c>
      <c r="K4" s="34">
        <f>'Hotel Data'!AD6</f>
        <v>305</v>
      </c>
      <c r="L4" s="34">
        <f>'Hotel Data'!AG6</f>
        <v>1239</v>
      </c>
      <c r="M4" s="34">
        <f>'Hotel Data'!AJ6</f>
        <v>224</v>
      </c>
      <c r="N4" s="34">
        <f>'Hotel Data'!AN6</f>
        <v>473</v>
      </c>
      <c r="O4" s="34">
        <f>'Hotel Data'!AR6</f>
        <v>312</v>
      </c>
      <c r="P4" s="32">
        <f>TOTAL!K3</f>
        <v>68</v>
      </c>
    </row>
    <row r="5" spans="1:16" s="32" customFormat="1" x14ac:dyDescent="0.3">
      <c r="A5" s="32" t="s">
        <v>40</v>
      </c>
      <c r="B5" s="32">
        <f t="shared" ref="B5:B33" si="0">B4+1</f>
        <v>3</v>
      </c>
      <c r="C5" s="33">
        <v>10</v>
      </c>
      <c r="D5" s="31">
        <v>2022</v>
      </c>
      <c r="E5" s="34">
        <f>'Hotel Data'!E7</f>
        <v>273</v>
      </c>
      <c r="F5" s="34">
        <f>'Hotel Data'!G7</f>
        <v>0</v>
      </c>
      <c r="G5" s="34">
        <f>'Hotel Data'!O7</f>
        <v>8</v>
      </c>
      <c r="H5" s="34">
        <f>'Hotel Data'!Q7</f>
        <v>0</v>
      </c>
      <c r="I5" s="34">
        <f>'Hotel Data'!S7</f>
        <v>0</v>
      </c>
      <c r="J5" s="34">
        <f>'Hotel Data'!U7</f>
        <v>23</v>
      </c>
      <c r="K5" s="34">
        <f>'Hotel Data'!AD7</f>
        <v>294</v>
      </c>
      <c r="L5" s="34">
        <f>'Hotel Data'!AG7</f>
        <v>1076</v>
      </c>
      <c r="M5" s="34">
        <f>'Hotel Data'!AJ7</f>
        <v>160</v>
      </c>
      <c r="N5" s="34">
        <f>'Hotel Data'!AN7</f>
        <v>417</v>
      </c>
      <c r="O5" s="34">
        <f>'Hotel Data'!AR7</f>
        <v>240</v>
      </c>
      <c r="P5" s="32">
        <f>TOTAL!K4</f>
        <v>68</v>
      </c>
    </row>
    <row r="6" spans="1:16" s="32" customFormat="1" x14ac:dyDescent="0.3">
      <c r="A6" s="32" t="s">
        <v>40</v>
      </c>
      <c r="B6" s="32">
        <f t="shared" si="0"/>
        <v>4</v>
      </c>
      <c r="C6" s="33">
        <v>10</v>
      </c>
      <c r="D6" s="31">
        <v>2022</v>
      </c>
      <c r="E6" s="34">
        <f>'Hotel Data'!E8</f>
        <v>281</v>
      </c>
      <c r="F6" s="34">
        <f>'Hotel Data'!G8</f>
        <v>1</v>
      </c>
      <c r="G6" s="34">
        <f>'Hotel Data'!O8</f>
        <v>11</v>
      </c>
      <c r="H6" s="34">
        <f>'Hotel Data'!Q8</f>
        <v>0</v>
      </c>
      <c r="I6" s="34">
        <f>'Hotel Data'!S8</f>
        <v>0</v>
      </c>
      <c r="J6" s="34">
        <f>'Hotel Data'!U8</f>
        <v>37</v>
      </c>
      <c r="K6" s="34">
        <f>'Hotel Data'!AD8</f>
        <v>302</v>
      </c>
      <c r="L6" s="34">
        <f>'Hotel Data'!AG8</f>
        <v>1192</v>
      </c>
      <c r="M6" s="34">
        <f>'Hotel Data'!AJ8</f>
        <v>224</v>
      </c>
      <c r="N6" s="34">
        <f>'Hotel Data'!AN8</f>
        <v>436</v>
      </c>
      <c r="O6" s="34">
        <f>'Hotel Data'!AR8</f>
        <v>248</v>
      </c>
      <c r="P6" s="32">
        <f>TOTAL!K5</f>
        <v>77</v>
      </c>
    </row>
    <row r="7" spans="1:16" s="32" customFormat="1" x14ac:dyDescent="0.3">
      <c r="A7" s="32" t="s">
        <v>40</v>
      </c>
      <c r="B7" s="32">
        <f t="shared" si="0"/>
        <v>5</v>
      </c>
      <c r="C7" s="33">
        <v>10</v>
      </c>
      <c r="D7" s="31">
        <v>2022</v>
      </c>
      <c r="E7" s="34">
        <f>'Hotel Data'!E9</f>
        <v>253</v>
      </c>
      <c r="F7" s="34">
        <f>'Hotel Data'!G9</f>
        <v>0</v>
      </c>
      <c r="G7" s="34">
        <f>'Hotel Data'!O9</f>
        <v>11</v>
      </c>
      <c r="H7" s="34">
        <f>'Hotel Data'!Q9</f>
        <v>13</v>
      </c>
      <c r="I7" s="34">
        <f>'Hotel Data'!S9</f>
        <v>0</v>
      </c>
      <c r="J7" s="34">
        <f>'Hotel Data'!U9</f>
        <v>54</v>
      </c>
      <c r="K7" s="34">
        <f>'Hotel Data'!AD9</f>
        <v>292</v>
      </c>
      <c r="L7" s="34">
        <f>'Hotel Data'!AG9</f>
        <v>1169</v>
      </c>
      <c r="M7" s="34">
        <f>'Hotel Data'!AJ9</f>
        <v>208</v>
      </c>
      <c r="N7" s="34">
        <f>'Hotel Data'!AN9</f>
        <v>453</v>
      </c>
      <c r="O7" s="34">
        <f>'Hotel Data'!AR9</f>
        <v>248</v>
      </c>
      <c r="P7" s="32">
        <f>TOTAL!K6</f>
        <v>65</v>
      </c>
    </row>
    <row r="8" spans="1:16" s="32" customFormat="1" x14ac:dyDescent="0.3">
      <c r="A8" s="32" t="s">
        <v>40</v>
      </c>
      <c r="B8" s="32">
        <f t="shared" si="0"/>
        <v>6</v>
      </c>
      <c r="C8" s="33">
        <v>10</v>
      </c>
      <c r="D8" s="31">
        <v>2022</v>
      </c>
      <c r="E8" s="34">
        <f>'Hotel Data'!E10</f>
        <v>220</v>
      </c>
      <c r="F8" s="34">
        <f>'Hotel Data'!G10</f>
        <v>0</v>
      </c>
      <c r="G8" s="34">
        <f>'Hotel Data'!O10</f>
        <v>11</v>
      </c>
      <c r="H8" s="34">
        <f>'Hotel Data'!Q10</f>
        <v>31</v>
      </c>
      <c r="I8" s="34">
        <f>'Hotel Data'!S10</f>
        <v>0</v>
      </c>
      <c r="J8" s="34">
        <f>'Hotel Data'!U10</f>
        <v>55</v>
      </c>
      <c r="K8" s="34">
        <f>'Hotel Data'!AD10</f>
        <v>302</v>
      </c>
      <c r="L8" s="34">
        <f>'Hotel Data'!AG10</f>
        <v>1177</v>
      </c>
      <c r="M8" s="34">
        <f>'Hotel Data'!AJ10</f>
        <v>208</v>
      </c>
      <c r="N8" s="34">
        <f>'Hotel Data'!AN10</f>
        <v>507</v>
      </c>
      <c r="O8" s="34">
        <f>'Hotel Data'!AR10</f>
        <v>264</v>
      </c>
      <c r="P8" s="32">
        <f>TOTAL!K7</f>
        <v>73</v>
      </c>
    </row>
    <row r="9" spans="1:16" s="32" customFormat="1" x14ac:dyDescent="0.3">
      <c r="A9" s="32" t="s">
        <v>40</v>
      </c>
      <c r="B9" s="32">
        <f t="shared" si="0"/>
        <v>7</v>
      </c>
      <c r="C9" s="33">
        <v>10</v>
      </c>
      <c r="D9" s="31">
        <v>2022</v>
      </c>
      <c r="E9" s="34">
        <f>'Hotel Data'!E11</f>
        <v>293</v>
      </c>
      <c r="F9" s="34">
        <f>'Hotel Data'!G11</f>
        <v>0</v>
      </c>
      <c r="G9" s="34">
        <f>'Hotel Data'!O11</f>
        <v>11</v>
      </c>
      <c r="H9" s="34">
        <f>'Hotel Data'!Q11</f>
        <v>31</v>
      </c>
      <c r="I9" s="34">
        <f>'Hotel Data'!S11</f>
        <v>0</v>
      </c>
      <c r="J9" s="34">
        <f>'Hotel Data'!U11</f>
        <v>64</v>
      </c>
      <c r="K9" s="34">
        <f>'Hotel Data'!AD11</f>
        <v>314</v>
      </c>
      <c r="L9" s="34">
        <f>'Hotel Data'!AG11</f>
        <v>1087</v>
      </c>
      <c r="M9" s="34">
        <f>'Hotel Data'!AJ11</f>
        <v>160</v>
      </c>
      <c r="N9" s="34">
        <f>'Hotel Data'!AN11</f>
        <v>463</v>
      </c>
      <c r="O9" s="34">
        <f>'Hotel Data'!AR11</f>
        <v>304</v>
      </c>
      <c r="P9" s="32">
        <f>TOTAL!K8</f>
        <v>71</v>
      </c>
    </row>
    <row r="10" spans="1:16" s="32" customFormat="1" x14ac:dyDescent="0.3">
      <c r="A10" s="32" t="s">
        <v>40</v>
      </c>
      <c r="B10" s="32">
        <f t="shared" si="0"/>
        <v>8</v>
      </c>
      <c r="C10" s="33">
        <v>10</v>
      </c>
      <c r="D10" s="31">
        <v>2022</v>
      </c>
      <c r="E10" s="34">
        <f>'Hotel Data'!E12</f>
        <v>244</v>
      </c>
      <c r="F10" s="34">
        <f>'Hotel Data'!G12</f>
        <v>0</v>
      </c>
      <c r="G10" s="34">
        <f>'Hotel Data'!O12</f>
        <v>14</v>
      </c>
      <c r="H10" s="34">
        <f>'Hotel Data'!Q12</f>
        <v>34</v>
      </c>
      <c r="I10" s="34">
        <f>'Hotel Data'!S12</f>
        <v>0</v>
      </c>
      <c r="J10" s="34">
        <f>'Hotel Data'!U12</f>
        <v>73</v>
      </c>
      <c r="K10" s="34">
        <f>'Hotel Data'!AD12</f>
        <v>321</v>
      </c>
      <c r="L10" s="34">
        <f>'Hotel Data'!AG12</f>
        <v>1284</v>
      </c>
      <c r="M10" s="34">
        <f>'Hotel Data'!AJ12</f>
        <v>216</v>
      </c>
      <c r="N10" s="34">
        <f>'Hotel Data'!AN12</f>
        <v>497</v>
      </c>
      <c r="O10" s="34">
        <f>'Hotel Data'!AR12</f>
        <v>224</v>
      </c>
      <c r="P10" s="32">
        <f>TOTAL!K9</f>
        <v>102</v>
      </c>
    </row>
    <row r="11" spans="1:16" s="32" customFormat="1" x14ac:dyDescent="0.3">
      <c r="A11" s="32" t="s">
        <v>40</v>
      </c>
      <c r="B11" s="32">
        <f t="shared" si="0"/>
        <v>9</v>
      </c>
      <c r="C11" s="33">
        <v>10</v>
      </c>
      <c r="D11" s="31">
        <v>2022</v>
      </c>
      <c r="E11" s="34">
        <f>'Hotel Data'!E13</f>
        <v>352</v>
      </c>
      <c r="F11" s="34">
        <f>'Hotel Data'!G13</f>
        <v>0</v>
      </c>
      <c r="G11" s="34">
        <f>'Hotel Data'!O13</f>
        <v>10</v>
      </c>
      <c r="H11" s="34">
        <f>'Hotel Data'!Q13</f>
        <v>30</v>
      </c>
      <c r="I11" s="34">
        <f>'Hotel Data'!S13</f>
        <v>0</v>
      </c>
      <c r="J11" s="34">
        <f>'Hotel Data'!U13</f>
        <v>66</v>
      </c>
      <c r="K11" s="34">
        <f>'Hotel Data'!AD13</f>
        <v>302</v>
      </c>
      <c r="L11" s="34">
        <f>'Hotel Data'!AG13</f>
        <v>1316</v>
      </c>
      <c r="M11" s="34">
        <f>'Hotel Data'!AJ13</f>
        <v>200</v>
      </c>
      <c r="N11" s="34">
        <f>'Hotel Data'!AN13</f>
        <v>556</v>
      </c>
      <c r="O11" s="34">
        <f>'Hotel Data'!AR13</f>
        <v>272</v>
      </c>
      <c r="P11" s="32">
        <f>TOTAL!K10</f>
        <v>98</v>
      </c>
    </row>
    <row r="12" spans="1:16" s="32" customFormat="1" x14ac:dyDescent="0.3">
      <c r="A12" s="32" t="s">
        <v>40</v>
      </c>
      <c r="B12" s="32">
        <f t="shared" si="0"/>
        <v>10</v>
      </c>
      <c r="C12" s="33">
        <v>10</v>
      </c>
      <c r="D12" s="31">
        <v>2022</v>
      </c>
      <c r="E12" s="34">
        <f>'Hotel Data'!E14</f>
        <v>345</v>
      </c>
      <c r="F12" s="34">
        <f>'Hotel Data'!G14</f>
        <v>0</v>
      </c>
      <c r="G12" s="34">
        <f>'Hotel Data'!O14</f>
        <v>9</v>
      </c>
      <c r="H12" s="34">
        <f>'Hotel Data'!Q14</f>
        <v>29</v>
      </c>
      <c r="I12" s="34">
        <f>'Hotel Data'!S14</f>
        <v>0</v>
      </c>
      <c r="J12" s="34">
        <f>'Hotel Data'!U14</f>
        <v>61</v>
      </c>
      <c r="K12" s="34">
        <f>'Hotel Data'!AD14</f>
        <v>298</v>
      </c>
      <c r="L12" s="34">
        <f>'Hotel Data'!AG14</f>
        <v>1136</v>
      </c>
      <c r="M12" s="34">
        <f>'Hotel Data'!AJ14</f>
        <v>192</v>
      </c>
      <c r="N12" s="34">
        <f>'Hotel Data'!AN14</f>
        <v>474</v>
      </c>
      <c r="O12" s="34">
        <f>'Hotel Data'!AR14</f>
        <v>304</v>
      </c>
      <c r="P12" s="32">
        <f>TOTAL!K11</f>
        <v>103</v>
      </c>
    </row>
    <row r="13" spans="1:16" s="32" customFormat="1" x14ac:dyDescent="0.3">
      <c r="A13" s="32" t="s">
        <v>40</v>
      </c>
      <c r="B13" s="32">
        <f t="shared" si="0"/>
        <v>11</v>
      </c>
      <c r="C13" s="33">
        <v>10</v>
      </c>
      <c r="D13" s="31">
        <v>2022</v>
      </c>
      <c r="E13" s="34">
        <f>'Hotel Data'!E15</f>
        <v>332</v>
      </c>
      <c r="F13" s="34">
        <f>'Hotel Data'!G15</f>
        <v>0</v>
      </c>
      <c r="G13" s="34">
        <f>'Hotel Data'!O15</f>
        <v>38</v>
      </c>
      <c r="H13" s="34">
        <f>'Hotel Data'!Q15</f>
        <v>21</v>
      </c>
      <c r="I13" s="34">
        <f>'Hotel Data'!S15</f>
        <v>0</v>
      </c>
      <c r="J13" s="34">
        <f>'Hotel Data'!U15</f>
        <v>56</v>
      </c>
      <c r="K13" s="34">
        <f>'Hotel Data'!AD15</f>
        <v>295</v>
      </c>
      <c r="L13" s="34">
        <f>'Hotel Data'!AG15</f>
        <v>1212</v>
      </c>
      <c r="M13" s="34">
        <f>'Hotel Data'!AJ15</f>
        <v>168</v>
      </c>
      <c r="N13" s="34">
        <f>'Hotel Data'!AN15</f>
        <v>465</v>
      </c>
      <c r="O13" s="34">
        <f>'Hotel Data'!AR15</f>
        <v>296</v>
      </c>
      <c r="P13" s="32">
        <f>TOTAL!K12</f>
        <v>106</v>
      </c>
    </row>
    <row r="14" spans="1:16" s="32" customFormat="1" x14ac:dyDescent="0.3">
      <c r="A14" s="32" t="s">
        <v>40</v>
      </c>
      <c r="B14" s="32">
        <f t="shared" si="0"/>
        <v>12</v>
      </c>
      <c r="C14" s="33">
        <v>10</v>
      </c>
      <c r="D14" s="31">
        <v>2022</v>
      </c>
      <c r="E14" s="34">
        <f>'Hotel Data'!E16</f>
        <v>273</v>
      </c>
      <c r="F14" s="34">
        <f>'Hotel Data'!G16</f>
        <v>0</v>
      </c>
      <c r="G14" s="34">
        <f>'Hotel Data'!O16</f>
        <v>19</v>
      </c>
      <c r="H14" s="34">
        <f>'Hotel Data'!Q16</f>
        <v>21</v>
      </c>
      <c r="I14" s="34">
        <f>'Hotel Data'!S16</f>
        <v>0</v>
      </c>
      <c r="J14" s="34">
        <f>'Hotel Data'!U16</f>
        <v>51</v>
      </c>
      <c r="K14" s="34">
        <f>'Hotel Data'!AD16</f>
        <v>313</v>
      </c>
      <c r="L14" s="34">
        <f>'Hotel Data'!AG16</f>
        <v>1291</v>
      </c>
      <c r="M14" s="34">
        <f>'Hotel Data'!AJ16</f>
        <v>208</v>
      </c>
      <c r="N14" s="34">
        <f>'Hotel Data'!AN16</f>
        <v>462</v>
      </c>
      <c r="O14" s="34">
        <f>'Hotel Data'!AR16</f>
        <v>256</v>
      </c>
      <c r="P14" s="32">
        <f>TOTAL!K13</f>
        <v>89</v>
      </c>
    </row>
    <row r="15" spans="1:16" s="32" customFormat="1" x14ac:dyDescent="0.3">
      <c r="A15" s="32" t="s">
        <v>40</v>
      </c>
      <c r="B15" s="32">
        <f t="shared" si="0"/>
        <v>13</v>
      </c>
      <c r="C15" s="33">
        <v>10</v>
      </c>
      <c r="D15" s="31">
        <v>2022</v>
      </c>
      <c r="E15" s="34">
        <f>'Hotel Data'!E17</f>
        <v>286</v>
      </c>
      <c r="F15" s="34">
        <f>'Hotel Data'!G17</f>
        <v>0</v>
      </c>
      <c r="G15" s="34">
        <f>'Hotel Data'!O17</f>
        <v>25</v>
      </c>
      <c r="H15" s="34">
        <f>'Hotel Data'!Q17</f>
        <v>27</v>
      </c>
      <c r="I15" s="34">
        <f>'Hotel Data'!S17</f>
        <v>0</v>
      </c>
      <c r="J15" s="34">
        <f>'Hotel Data'!U17</f>
        <v>59</v>
      </c>
      <c r="K15" s="34">
        <f>'Hotel Data'!AD17</f>
        <v>311</v>
      </c>
      <c r="L15" s="34">
        <f>'Hotel Data'!AG17</f>
        <v>1244</v>
      </c>
      <c r="M15" s="34">
        <f>'Hotel Data'!AJ17</f>
        <v>208</v>
      </c>
      <c r="N15" s="34">
        <f>'Hotel Data'!AN17</f>
        <v>519</v>
      </c>
      <c r="O15" s="34">
        <f>'Hotel Data'!AR17</f>
        <v>304</v>
      </c>
      <c r="P15" s="32">
        <f>TOTAL!K14</f>
        <v>99</v>
      </c>
    </row>
    <row r="16" spans="1:16" s="32" customFormat="1" x14ac:dyDescent="0.3">
      <c r="A16" s="32" t="s">
        <v>40</v>
      </c>
      <c r="B16" s="32">
        <f t="shared" si="0"/>
        <v>14</v>
      </c>
      <c r="C16" s="33">
        <v>10</v>
      </c>
      <c r="D16" s="31">
        <v>2022</v>
      </c>
      <c r="E16" s="34">
        <f>'Hotel Data'!E18</f>
        <v>294</v>
      </c>
      <c r="F16" s="34">
        <f>'Hotel Data'!G18</f>
        <v>1</v>
      </c>
      <c r="G16" s="34">
        <f>'Hotel Data'!O18</f>
        <v>9</v>
      </c>
      <c r="H16" s="34">
        <f>'Hotel Data'!Q18</f>
        <v>30</v>
      </c>
      <c r="I16" s="34">
        <f>'Hotel Data'!S18</f>
        <v>0</v>
      </c>
      <c r="J16" s="34">
        <f>'Hotel Data'!U18</f>
        <v>63</v>
      </c>
      <c r="K16" s="34">
        <f>'Hotel Data'!AD18</f>
        <v>335</v>
      </c>
      <c r="L16" s="34">
        <f>'Hotel Data'!AG18</f>
        <v>1240</v>
      </c>
      <c r="M16" s="34">
        <f>'Hotel Data'!AJ18</f>
        <v>152</v>
      </c>
      <c r="N16" s="34">
        <f>'Hotel Data'!AN18</f>
        <v>539</v>
      </c>
      <c r="O16" s="34">
        <f>'Hotel Data'!AR18</f>
        <v>272</v>
      </c>
      <c r="P16" s="32">
        <f>TOTAL!K15</f>
        <v>99</v>
      </c>
    </row>
    <row r="17" spans="1:16" s="32" customFormat="1" x14ac:dyDescent="0.3">
      <c r="A17" s="32" t="s">
        <v>40</v>
      </c>
      <c r="B17" s="32">
        <f t="shared" si="0"/>
        <v>15</v>
      </c>
      <c r="C17" s="33">
        <v>10</v>
      </c>
      <c r="D17" s="31">
        <v>2022</v>
      </c>
      <c r="E17" s="34">
        <f>'Hotel Data'!E19</f>
        <v>266</v>
      </c>
      <c r="F17" s="34">
        <f>'Hotel Data'!G19</f>
        <v>0</v>
      </c>
      <c r="G17" s="34">
        <f>'Hotel Data'!O19</f>
        <v>8</v>
      </c>
      <c r="H17" s="34">
        <f>'Hotel Data'!Q19</f>
        <v>30</v>
      </c>
      <c r="I17" s="34">
        <f>'Hotel Data'!S19</f>
        <v>1</v>
      </c>
      <c r="J17" s="34">
        <f>'Hotel Data'!U19</f>
        <v>58</v>
      </c>
      <c r="K17" s="34">
        <f>'Hotel Data'!AD19</f>
        <v>311</v>
      </c>
      <c r="L17" s="34">
        <f>'Hotel Data'!AG19</f>
        <v>1344</v>
      </c>
      <c r="M17" s="34">
        <f>'Hotel Data'!AJ19</f>
        <v>224</v>
      </c>
      <c r="N17" s="34">
        <f>'Hotel Data'!AN19</f>
        <v>479</v>
      </c>
      <c r="O17" s="34">
        <f>'Hotel Data'!AR19</f>
        <v>272</v>
      </c>
      <c r="P17" s="32">
        <f>TOTAL!K16</f>
        <v>89</v>
      </c>
    </row>
    <row r="18" spans="1:16" s="32" customFormat="1" x14ac:dyDescent="0.3">
      <c r="A18" s="32" t="s">
        <v>40</v>
      </c>
      <c r="B18" s="32">
        <f t="shared" si="0"/>
        <v>16</v>
      </c>
      <c r="C18" s="33">
        <v>10</v>
      </c>
      <c r="D18" s="31">
        <v>2022</v>
      </c>
      <c r="E18" s="34">
        <f>'Hotel Data'!E20</f>
        <v>219</v>
      </c>
      <c r="F18" s="34">
        <f>'Hotel Data'!G20</f>
        <v>0</v>
      </c>
      <c r="G18" s="34">
        <f>'Hotel Data'!O20</f>
        <v>10</v>
      </c>
      <c r="H18" s="34">
        <f>'Hotel Data'!Q20</f>
        <v>26</v>
      </c>
      <c r="I18" s="34">
        <f>'Hotel Data'!S20</f>
        <v>0</v>
      </c>
      <c r="J18" s="34">
        <f>'Hotel Data'!U20</f>
        <v>58</v>
      </c>
      <c r="K18" s="34">
        <f>'Hotel Data'!AD20</f>
        <v>318</v>
      </c>
      <c r="L18" s="34">
        <f>'Hotel Data'!AG20</f>
        <v>1291</v>
      </c>
      <c r="M18" s="34">
        <f>'Hotel Data'!AJ20</f>
        <v>248</v>
      </c>
      <c r="N18" s="34">
        <f>'Hotel Data'!AN20</f>
        <v>446</v>
      </c>
      <c r="O18" s="34">
        <f>'Hotel Data'!AR20</f>
        <v>240</v>
      </c>
      <c r="P18" s="32">
        <f>TOTAL!K17</f>
        <v>72</v>
      </c>
    </row>
    <row r="19" spans="1:16" s="32" customFormat="1" x14ac:dyDescent="0.3">
      <c r="A19" s="32" t="s">
        <v>40</v>
      </c>
      <c r="B19" s="32">
        <f t="shared" si="0"/>
        <v>17</v>
      </c>
      <c r="C19" s="33">
        <v>10</v>
      </c>
      <c r="D19" s="31">
        <v>2022</v>
      </c>
      <c r="E19" s="34">
        <f>'Hotel Data'!E21</f>
        <v>223</v>
      </c>
      <c r="F19" s="34">
        <f>'Hotel Data'!G21</f>
        <v>1</v>
      </c>
      <c r="G19" s="34">
        <f>'Hotel Data'!O21</f>
        <v>10</v>
      </c>
      <c r="H19" s="34">
        <f>'Hotel Data'!Q21</f>
        <v>25</v>
      </c>
      <c r="I19" s="34">
        <f>'Hotel Data'!S21</f>
        <v>0</v>
      </c>
      <c r="J19" s="34">
        <f>'Hotel Data'!U21</f>
        <v>54</v>
      </c>
      <c r="K19" s="34">
        <f>'Hotel Data'!AD21</f>
        <v>311</v>
      </c>
      <c r="L19" s="34">
        <f>'Hotel Data'!AG21</f>
        <v>1087</v>
      </c>
      <c r="M19" s="34">
        <f>'Hotel Data'!AJ21</f>
        <v>176</v>
      </c>
      <c r="N19" s="34">
        <f>'Hotel Data'!AN21</f>
        <v>432</v>
      </c>
      <c r="O19" s="34">
        <f>'Hotel Data'!AR21</f>
        <v>304</v>
      </c>
      <c r="P19" s="32">
        <f>TOTAL!K18</f>
        <v>80</v>
      </c>
    </row>
    <row r="20" spans="1:16" s="32" customFormat="1" x14ac:dyDescent="0.3">
      <c r="A20" s="32" t="s">
        <v>40</v>
      </c>
      <c r="B20" s="32">
        <f t="shared" si="0"/>
        <v>18</v>
      </c>
      <c r="C20" s="33">
        <v>10</v>
      </c>
      <c r="D20" s="31">
        <v>2022</v>
      </c>
      <c r="E20" s="34">
        <f>'Hotel Data'!E22</f>
        <v>290</v>
      </c>
      <c r="F20" s="34">
        <f>'Hotel Data'!G22</f>
        <v>0</v>
      </c>
      <c r="G20" s="34">
        <f>'Hotel Data'!O22</f>
        <v>13</v>
      </c>
      <c r="H20" s="34">
        <f>'Hotel Data'!Q22</f>
        <v>30</v>
      </c>
      <c r="I20" s="34">
        <f>'Hotel Data'!S22</f>
        <v>0</v>
      </c>
      <c r="J20" s="34">
        <f>'Hotel Data'!U22</f>
        <v>51</v>
      </c>
      <c r="K20" s="34">
        <f>'Hotel Data'!AD22</f>
        <v>302</v>
      </c>
      <c r="L20" s="34">
        <f>'Hotel Data'!AG22</f>
        <v>1241</v>
      </c>
      <c r="M20" s="34">
        <f>'Hotel Data'!AJ22</f>
        <v>160</v>
      </c>
      <c r="N20" s="34">
        <f>'Hotel Data'!AN22</f>
        <v>459</v>
      </c>
      <c r="O20" s="34">
        <f>'Hotel Data'!AR22</f>
        <v>264</v>
      </c>
      <c r="P20" s="32">
        <f>TOTAL!K19</f>
        <v>93</v>
      </c>
    </row>
    <row r="21" spans="1:16" s="32" customFormat="1" x14ac:dyDescent="0.3">
      <c r="A21" s="32" t="s">
        <v>40</v>
      </c>
      <c r="B21" s="32">
        <f t="shared" si="0"/>
        <v>19</v>
      </c>
      <c r="C21" s="33">
        <v>10</v>
      </c>
      <c r="D21" s="31">
        <v>2022</v>
      </c>
      <c r="E21" s="34">
        <f>'Hotel Data'!E23</f>
        <v>277</v>
      </c>
      <c r="F21" s="34">
        <f>'Hotel Data'!G23</f>
        <v>1</v>
      </c>
      <c r="G21" s="34">
        <f>'Hotel Data'!O23</f>
        <v>12</v>
      </c>
      <c r="H21" s="34">
        <f>'Hotel Data'!Q23</f>
        <v>34</v>
      </c>
      <c r="I21" s="34">
        <f>'Hotel Data'!S23</f>
        <v>0</v>
      </c>
      <c r="J21" s="34">
        <f>'Hotel Data'!U23</f>
        <v>59</v>
      </c>
      <c r="K21" s="34">
        <f>'Hotel Data'!AD23</f>
        <v>312</v>
      </c>
      <c r="L21" s="34">
        <f>'Hotel Data'!AG23</f>
        <v>1251</v>
      </c>
      <c r="M21" s="34">
        <f>'Hotel Data'!AJ23</f>
        <v>264</v>
      </c>
      <c r="N21" s="34">
        <f>'Hotel Data'!AN23</f>
        <v>468</v>
      </c>
      <c r="O21" s="34">
        <f>'Hotel Data'!AR23</f>
        <v>232</v>
      </c>
      <c r="P21" s="32">
        <f>TOTAL!K20</f>
        <v>81</v>
      </c>
    </row>
    <row r="22" spans="1:16" s="32" customFormat="1" x14ac:dyDescent="0.3">
      <c r="A22" s="32" t="s">
        <v>40</v>
      </c>
      <c r="B22" s="32">
        <f t="shared" si="0"/>
        <v>20</v>
      </c>
      <c r="C22" s="33">
        <v>10</v>
      </c>
      <c r="D22" s="31">
        <v>2022</v>
      </c>
      <c r="E22" s="34">
        <f>'Hotel Data'!E24</f>
        <v>268</v>
      </c>
      <c r="F22" s="34">
        <f>'Hotel Data'!G24</f>
        <v>0</v>
      </c>
      <c r="G22" s="34">
        <f>'Hotel Data'!O24</f>
        <v>9</v>
      </c>
      <c r="H22" s="34">
        <f>'Hotel Data'!Q24</f>
        <v>31</v>
      </c>
      <c r="I22" s="34">
        <f>'Hotel Data'!S24</f>
        <v>0</v>
      </c>
      <c r="J22" s="34">
        <f>'Hotel Data'!U24</f>
        <v>57</v>
      </c>
      <c r="K22" s="34">
        <f>'Hotel Data'!AD24</f>
        <v>299</v>
      </c>
      <c r="L22" s="34">
        <f>'Hotel Data'!AG24</f>
        <v>1214</v>
      </c>
      <c r="M22" s="34">
        <f>'Hotel Data'!AJ24</f>
        <v>272</v>
      </c>
      <c r="N22" s="34">
        <f>'Hotel Data'!AN24</f>
        <v>472</v>
      </c>
      <c r="O22" s="34">
        <f>'Hotel Data'!AR24</f>
        <v>296</v>
      </c>
      <c r="P22" s="32">
        <f>TOTAL!K21</f>
        <v>89</v>
      </c>
    </row>
    <row r="23" spans="1:16" s="32" customFormat="1" x14ac:dyDescent="0.3">
      <c r="A23" s="32" t="s">
        <v>40</v>
      </c>
      <c r="B23" s="32">
        <f t="shared" si="0"/>
        <v>21</v>
      </c>
      <c r="C23" s="33">
        <v>10</v>
      </c>
      <c r="D23" s="31">
        <v>2022</v>
      </c>
      <c r="E23" s="34">
        <f>'Hotel Data'!E25</f>
        <v>282</v>
      </c>
      <c r="F23" s="34">
        <f>'Hotel Data'!G25</f>
        <v>1</v>
      </c>
      <c r="G23" s="34">
        <f>'Hotel Data'!O25</f>
        <v>8</v>
      </c>
      <c r="H23" s="34">
        <f>'Hotel Data'!Q25</f>
        <v>12</v>
      </c>
      <c r="I23" s="34">
        <f>'Hotel Data'!S25</f>
        <v>0</v>
      </c>
      <c r="J23" s="34">
        <f>'Hotel Data'!U25</f>
        <v>39</v>
      </c>
      <c r="K23" s="34">
        <f>'Hotel Data'!AD25</f>
        <v>303</v>
      </c>
      <c r="L23" s="34">
        <f>'Hotel Data'!AG25</f>
        <v>1141</v>
      </c>
      <c r="M23" s="34">
        <f>'Hotel Data'!AJ25</f>
        <v>224</v>
      </c>
      <c r="N23" s="34">
        <f>'Hotel Data'!AN25</f>
        <v>526</v>
      </c>
      <c r="O23" s="34">
        <f>'Hotel Data'!AR25</f>
        <v>240</v>
      </c>
      <c r="P23" s="32">
        <f>TOTAL!K22</f>
        <v>83</v>
      </c>
    </row>
    <row r="24" spans="1:16" s="32" customFormat="1" x14ac:dyDescent="0.3">
      <c r="A24" s="32" t="s">
        <v>40</v>
      </c>
      <c r="B24" s="32">
        <f t="shared" si="0"/>
        <v>22</v>
      </c>
      <c r="C24" s="33">
        <v>10</v>
      </c>
      <c r="D24" s="31">
        <v>2022</v>
      </c>
      <c r="E24" s="34">
        <f>'Hotel Data'!E26</f>
        <v>276</v>
      </c>
      <c r="F24" s="34">
        <f>'Hotel Data'!G26</f>
        <v>0</v>
      </c>
      <c r="G24" s="34">
        <f>'Hotel Data'!O26</f>
        <v>8</v>
      </c>
      <c r="H24" s="34">
        <f>'Hotel Data'!Q26</f>
        <v>0</v>
      </c>
      <c r="I24" s="34">
        <f>'Hotel Data'!S26</f>
        <v>0</v>
      </c>
      <c r="J24" s="34">
        <f>'Hotel Data'!U26</f>
        <v>20</v>
      </c>
      <c r="K24" s="34">
        <f>'Hotel Data'!AD26</f>
        <v>320</v>
      </c>
      <c r="L24" s="34">
        <f>'Hotel Data'!AG26</f>
        <v>1354</v>
      </c>
      <c r="M24" s="34">
        <f>'Hotel Data'!AJ26</f>
        <v>232</v>
      </c>
      <c r="N24" s="34">
        <f>'Hotel Data'!AN26</f>
        <v>493</v>
      </c>
      <c r="O24" s="34">
        <f>'Hotel Data'!AR26</f>
        <v>216</v>
      </c>
      <c r="P24" s="32">
        <f>TOTAL!K23</f>
        <v>75</v>
      </c>
    </row>
    <row r="25" spans="1:16" s="32" customFormat="1" x14ac:dyDescent="0.3">
      <c r="A25" s="32" t="s">
        <v>40</v>
      </c>
      <c r="B25" s="32">
        <f t="shared" si="0"/>
        <v>23</v>
      </c>
      <c r="C25" s="33">
        <v>10</v>
      </c>
      <c r="D25" s="31">
        <v>2022</v>
      </c>
      <c r="E25" s="34">
        <f>'Hotel Data'!E27</f>
        <v>257</v>
      </c>
      <c r="F25" s="34">
        <f>'Hotel Data'!G27</f>
        <v>0</v>
      </c>
      <c r="G25" s="34">
        <f>'Hotel Data'!O27</f>
        <v>11</v>
      </c>
      <c r="H25" s="34">
        <f>'Hotel Data'!Q27</f>
        <v>13</v>
      </c>
      <c r="I25" s="34">
        <f>'Hotel Data'!S27</f>
        <v>0</v>
      </c>
      <c r="J25" s="34">
        <f>'Hotel Data'!U27</f>
        <v>40</v>
      </c>
      <c r="K25" s="34">
        <f>'Hotel Data'!AD27</f>
        <v>323</v>
      </c>
      <c r="L25" s="34">
        <f>'Hotel Data'!AG27</f>
        <v>1338</v>
      </c>
      <c r="M25" s="34">
        <f>'Hotel Data'!AJ27</f>
        <v>232</v>
      </c>
      <c r="N25" s="34">
        <f>'Hotel Data'!AN27</f>
        <v>525</v>
      </c>
      <c r="O25" s="34">
        <f>'Hotel Data'!AR27</f>
        <v>264</v>
      </c>
      <c r="P25" s="32">
        <f>TOTAL!K24</f>
        <v>88</v>
      </c>
    </row>
    <row r="26" spans="1:16" s="32" customFormat="1" x14ac:dyDescent="0.3">
      <c r="A26" s="32" t="s">
        <v>40</v>
      </c>
      <c r="B26" s="32">
        <f t="shared" si="0"/>
        <v>24</v>
      </c>
      <c r="C26" s="33">
        <v>10</v>
      </c>
      <c r="D26" s="31">
        <v>2022</v>
      </c>
      <c r="E26" s="34">
        <f>'Hotel Data'!E28</f>
        <v>274</v>
      </c>
      <c r="F26" s="34">
        <f>'Hotel Data'!G28</f>
        <v>1</v>
      </c>
      <c r="G26" s="34">
        <f>'Hotel Data'!O28</f>
        <v>11</v>
      </c>
      <c r="H26" s="34">
        <f>'Hotel Data'!Q28</f>
        <v>36</v>
      </c>
      <c r="I26" s="34">
        <f>'Hotel Data'!S28</f>
        <v>0</v>
      </c>
      <c r="J26" s="34">
        <f>'Hotel Data'!U28</f>
        <v>63</v>
      </c>
      <c r="K26" s="34">
        <f>'Hotel Data'!AD28</f>
        <v>334</v>
      </c>
      <c r="L26" s="34">
        <f>'Hotel Data'!AG28</f>
        <v>1183</v>
      </c>
      <c r="M26" s="34">
        <f>'Hotel Data'!AJ28</f>
        <v>208</v>
      </c>
      <c r="N26" s="34">
        <f>'Hotel Data'!AN28</f>
        <v>496</v>
      </c>
      <c r="O26" s="34">
        <f>'Hotel Data'!AR28</f>
        <v>280</v>
      </c>
      <c r="P26" s="32">
        <f>TOTAL!K25</f>
        <v>102</v>
      </c>
    </row>
    <row r="27" spans="1:16" s="32" customFormat="1" x14ac:dyDescent="0.3">
      <c r="A27" s="32" t="s">
        <v>40</v>
      </c>
      <c r="B27" s="32">
        <f>B26+1</f>
        <v>25</v>
      </c>
      <c r="C27" s="33">
        <v>10</v>
      </c>
      <c r="D27" s="31">
        <v>2022</v>
      </c>
      <c r="E27" s="34">
        <f>'Hotel Data'!E29</f>
        <v>292</v>
      </c>
      <c r="F27" s="34">
        <f>'Hotel Data'!G29</f>
        <v>0</v>
      </c>
      <c r="G27" s="34">
        <f>'Hotel Data'!O29</f>
        <v>11</v>
      </c>
      <c r="H27" s="34">
        <f>'Hotel Data'!Q29</f>
        <v>33</v>
      </c>
      <c r="I27" s="34">
        <f>'Hotel Data'!S29</f>
        <v>0</v>
      </c>
      <c r="J27" s="34">
        <f>'Hotel Data'!U29</f>
        <v>62</v>
      </c>
      <c r="K27" s="34">
        <f>'Hotel Data'!AD29</f>
        <v>304</v>
      </c>
      <c r="L27" s="34">
        <f>'Hotel Data'!AG29</f>
        <v>1208</v>
      </c>
      <c r="M27" s="34">
        <f>'Hotel Data'!AJ29</f>
        <v>184</v>
      </c>
      <c r="N27" s="34">
        <f>'Hotel Data'!AN29</f>
        <v>427</v>
      </c>
      <c r="O27" s="34">
        <f>'Hotel Data'!AR29</f>
        <v>264</v>
      </c>
      <c r="P27" s="32">
        <f>TOTAL!K26</f>
        <v>105</v>
      </c>
    </row>
    <row r="28" spans="1:16" s="32" customFormat="1" x14ac:dyDescent="0.3">
      <c r="A28" s="32" t="s">
        <v>40</v>
      </c>
      <c r="B28" s="32">
        <f t="shared" si="0"/>
        <v>26</v>
      </c>
      <c r="C28" s="33">
        <v>10</v>
      </c>
      <c r="D28" s="31">
        <v>2022</v>
      </c>
      <c r="E28" s="34">
        <f>'Hotel Data'!E30</f>
        <v>284</v>
      </c>
      <c r="F28" s="34">
        <f>'Hotel Data'!G30</f>
        <v>2</v>
      </c>
      <c r="G28" s="34">
        <f>'Hotel Data'!O30</f>
        <v>12</v>
      </c>
      <c r="H28" s="34">
        <f>'Hotel Data'!Q30</f>
        <v>26</v>
      </c>
      <c r="I28" s="34">
        <f>'Hotel Data'!S30</f>
        <v>0</v>
      </c>
      <c r="J28" s="34">
        <f>'Hotel Data'!U30</f>
        <v>57</v>
      </c>
      <c r="K28" s="34">
        <f>'Hotel Data'!AD30</f>
        <v>305</v>
      </c>
      <c r="L28" s="34">
        <f>'Hotel Data'!AG30</f>
        <v>1268</v>
      </c>
      <c r="M28" s="34">
        <f>'Hotel Data'!AJ30</f>
        <v>160</v>
      </c>
      <c r="N28" s="34">
        <f>'Hotel Data'!AN30</f>
        <v>471</v>
      </c>
      <c r="O28" s="34">
        <f>'Hotel Data'!AR30</f>
        <v>304</v>
      </c>
      <c r="P28" s="32">
        <f>TOTAL!K27</f>
        <v>107</v>
      </c>
    </row>
    <row r="29" spans="1:16" s="32" customFormat="1" x14ac:dyDescent="0.3">
      <c r="A29" s="32" t="s">
        <v>40</v>
      </c>
      <c r="B29" s="32">
        <f t="shared" si="0"/>
        <v>27</v>
      </c>
      <c r="C29" s="33">
        <v>10</v>
      </c>
      <c r="D29" s="31">
        <v>2022</v>
      </c>
      <c r="E29" s="34">
        <f>'Hotel Data'!E31</f>
        <v>286</v>
      </c>
      <c r="F29" s="34">
        <f>'Hotel Data'!G31</f>
        <v>0</v>
      </c>
      <c r="G29" s="34">
        <f>'Hotel Data'!O31</f>
        <v>11</v>
      </c>
      <c r="H29" s="34">
        <f>'Hotel Data'!Q31</f>
        <v>15</v>
      </c>
      <c r="I29" s="34">
        <f>'Hotel Data'!S31</f>
        <v>0</v>
      </c>
      <c r="J29" s="34">
        <f>'Hotel Data'!U31</f>
        <v>45</v>
      </c>
      <c r="K29" s="34">
        <f>'Hotel Data'!AD31</f>
        <v>316</v>
      </c>
      <c r="L29" s="34">
        <f>'Hotel Data'!AG31</f>
        <v>1284</v>
      </c>
      <c r="M29" s="34">
        <f>'Hotel Data'!AJ31</f>
        <v>328</v>
      </c>
      <c r="N29" s="34">
        <f>'Hotel Data'!AN31</f>
        <v>473</v>
      </c>
      <c r="O29" s="34">
        <f>'Hotel Data'!AR31</f>
        <v>248</v>
      </c>
      <c r="P29" s="32">
        <f>TOTAL!K28</f>
        <v>103</v>
      </c>
    </row>
    <row r="30" spans="1:16" s="32" customFormat="1" x14ac:dyDescent="0.3">
      <c r="A30" s="32" t="s">
        <v>40</v>
      </c>
      <c r="B30" s="32">
        <f t="shared" si="0"/>
        <v>28</v>
      </c>
      <c r="C30" s="33">
        <v>10</v>
      </c>
      <c r="D30" s="31">
        <v>2022</v>
      </c>
      <c r="E30" s="34">
        <f>'Hotel Data'!E32</f>
        <v>407</v>
      </c>
      <c r="F30" s="34">
        <f>'Hotel Data'!G32</f>
        <v>0</v>
      </c>
      <c r="G30" s="34">
        <f>'Hotel Data'!O32</f>
        <v>11</v>
      </c>
      <c r="H30" s="34">
        <f>'Hotel Data'!Q32</f>
        <v>0</v>
      </c>
      <c r="I30" s="34">
        <f>'Hotel Data'!S32</f>
        <v>0</v>
      </c>
      <c r="J30" s="34">
        <f>'Hotel Data'!U32</f>
        <v>29</v>
      </c>
      <c r="K30" s="34">
        <f>'Hotel Data'!AD32</f>
        <v>321</v>
      </c>
      <c r="L30" s="34">
        <f>'Hotel Data'!AG32</f>
        <v>1107</v>
      </c>
      <c r="M30" s="34">
        <f>'Hotel Data'!AJ32</f>
        <v>288</v>
      </c>
      <c r="N30" s="34">
        <f>'Hotel Data'!AN32</f>
        <v>453</v>
      </c>
      <c r="O30" s="34">
        <f>'Hotel Data'!AR32</f>
        <v>248</v>
      </c>
      <c r="P30" s="32">
        <f>TOTAL!K29</f>
        <v>178</v>
      </c>
    </row>
    <row r="31" spans="1:16" s="32" customFormat="1" x14ac:dyDescent="0.3">
      <c r="A31" s="32" t="s">
        <v>40</v>
      </c>
      <c r="B31" s="32">
        <f t="shared" si="0"/>
        <v>29</v>
      </c>
      <c r="C31" s="33">
        <v>10</v>
      </c>
      <c r="D31" s="31">
        <v>2022</v>
      </c>
      <c r="E31" s="34">
        <f>'Hotel Data'!E33</f>
        <v>279</v>
      </c>
      <c r="F31" s="34">
        <f>'Hotel Data'!G33</f>
        <v>0</v>
      </c>
      <c r="G31" s="34">
        <f>'Hotel Data'!O33</f>
        <v>7</v>
      </c>
      <c r="H31" s="34">
        <f>'Hotel Data'!Q33</f>
        <v>0</v>
      </c>
      <c r="I31" s="34">
        <f>'Hotel Data'!S33</f>
        <v>1</v>
      </c>
      <c r="J31" s="34">
        <f>'Hotel Data'!U33</f>
        <v>20</v>
      </c>
      <c r="K31" s="34">
        <f>'Hotel Data'!AD33</f>
        <v>326</v>
      </c>
      <c r="L31" s="34">
        <f>'Hotel Data'!AG33</f>
        <v>1188</v>
      </c>
      <c r="M31" s="34">
        <f>'Hotel Data'!AJ33</f>
        <v>192</v>
      </c>
      <c r="N31" s="34">
        <f>'Hotel Data'!AN33</f>
        <v>498</v>
      </c>
      <c r="O31" s="34">
        <f>'Hotel Data'!AR33</f>
        <v>256</v>
      </c>
      <c r="P31" s="32">
        <f>TOTAL!K30</f>
        <v>95</v>
      </c>
    </row>
    <row r="32" spans="1:16" s="31" customFormat="1" x14ac:dyDescent="0.3">
      <c r="A32" s="31" t="s">
        <v>40</v>
      </c>
      <c r="B32" s="31">
        <f t="shared" si="0"/>
        <v>30</v>
      </c>
      <c r="C32" s="33">
        <v>10</v>
      </c>
      <c r="D32" s="31">
        <v>2022</v>
      </c>
      <c r="E32" s="34">
        <f>'Hotel Data'!E34</f>
        <v>277</v>
      </c>
      <c r="F32" s="34">
        <f>'Hotel Data'!G34</f>
        <v>0</v>
      </c>
      <c r="G32" s="34">
        <f>'Hotel Data'!O34</f>
        <v>10</v>
      </c>
      <c r="H32" s="34">
        <f>'Hotel Data'!Q34</f>
        <v>0</v>
      </c>
      <c r="I32" s="34">
        <f>'Hotel Data'!S34</f>
        <v>0</v>
      </c>
      <c r="J32" s="34">
        <f>'Hotel Data'!U34</f>
        <v>26</v>
      </c>
      <c r="K32" s="34">
        <f>'Hotel Data'!AD34</f>
        <v>297</v>
      </c>
      <c r="L32" s="34">
        <f>'Hotel Data'!AG34</f>
        <v>1208</v>
      </c>
      <c r="M32" s="34">
        <f>'Hotel Data'!AJ34</f>
        <v>208</v>
      </c>
      <c r="N32" s="34">
        <f>'Hotel Data'!AN34</f>
        <v>484</v>
      </c>
      <c r="O32" s="34">
        <f>'Hotel Data'!AR34</f>
        <v>304</v>
      </c>
      <c r="P32" s="32">
        <f>TOTAL!K31</f>
        <v>66</v>
      </c>
    </row>
    <row r="33" spans="1:16" s="31" customFormat="1" x14ac:dyDescent="0.3">
      <c r="A33" s="31" t="s">
        <v>40</v>
      </c>
      <c r="B33" s="31">
        <f t="shared" si="0"/>
        <v>31</v>
      </c>
      <c r="C33" s="33">
        <v>10</v>
      </c>
      <c r="D33" s="31">
        <v>2022</v>
      </c>
      <c r="E33" s="34">
        <f>'Hotel Data'!E35</f>
        <v>270</v>
      </c>
      <c r="F33" s="34">
        <f>'Hotel Data'!G35</f>
        <v>1</v>
      </c>
      <c r="G33" s="34">
        <f>'Hotel Data'!O35</f>
        <v>10</v>
      </c>
      <c r="H33" s="34">
        <f>'Hotel Data'!Q35</f>
        <v>0</v>
      </c>
      <c r="I33" s="34">
        <f>'Hotel Data'!S35</f>
        <v>0</v>
      </c>
      <c r="J33" s="34">
        <f>'Hotel Data'!U35</f>
        <v>25</v>
      </c>
      <c r="K33" s="34">
        <f>'Hotel Data'!AD35</f>
        <v>307</v>
      </c>
      <c r="L33" s="34">
        <f>'Hotel Data'!AG35</f>
        <v>1109</v>
      </c>
      <c r="M33" s="34">
        <f>'Hotel Data'!AJ35</f>
        <v>216</v>
      </c>
      <c r="N33" s="34">
        <f>'Hotel Data'!AN35</f>
        <v>481</v>
      </c>
      <c r="O33" s="34">
        <f>'Hotel Data'!AR35</f>
        <v>256</v>
      </c>
      <c r="P33" s="32">
        <f>TOTAL!K32</f>
        <v>69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topLeftCell="R1" zoomScale="85" zoomScaleNormal="85" workbookViewId="0">
      <selection activeCell="AT40" sqref="AT40"/>
    </sheetView>
  </sheetViews>
  <sheetFormatPr defaultColWidth="8.5546875" defaultRowHeight="15" x14ac:dyDescent="0.25"/>
  <cols>
    <col min="1" max="1" width="6" style="41" customWidth="1"/>
    <col min="2" max="2" width="8.109375" style="1" customWidth="1"/>
    <col min="3" max="3" width="14.88671875" style="1" customWidth="1"/>
    <col min="4" max="4" width="13.5546875" style="1" customWidth="1"/>
    <col min="5" max="5" width="10.6640625" style="1" customWidth="1"/>
    <col min="6" max="6" width="12.33203125" style="1" customWidth="1"/>
    <col min="7" max="7" width="12.33203125" style="1" bestFit="1" customWidth="1"/>
    <col min="8" max="8" width="11.6640625" style="1" customWidth="1"/>
    <col min="9" max="11" width="12.6640625" style="1" customWidth="1"/>
    <col min="12" max="13" width="8.88671875" style="1" customWidth="1"/>
    <col min="14" max="14" width="14.88671875" style="1" customWidth="1"/>
    <col min="15" max="15" width="9.109375" style="1" customWidth="1"/>
    <col min="16" max="16" width="15.6640625" style="1" customWidth="1"/>
    <col min="17" max="17" width="9" style="1" customWidth="1"/>
    <col min="18" max="18" width="15.6640625" style="1" customWidth="1"/>
    <col min="19" max="19" width="9.5546875" style="1" customWidth="1"/>
    <col min="20" max="20" width="13.5546875" style="1" customWidth="1"/>
    <col min="21" max="21" width="7.5546875" style="1" customWidth="1"/>
    <col min="22" max="22" width="17" style="1" customWidth="1"/>
    <col min="23" max="23" width="15.109375" style="1" bestFit="1" customWidth="1"/>
    <col min="24" max="24" width="14.44140625" style="1" customWidth="1"/>
    <col min="25" max="25" width="12.6640625" style="21" customWidth="1"/>
    <col min="26" max="26" width="16.44140625" style="1" customWidth="1"/>
    <col min="27" max="27" width="11.5546875" style="1" customWidth="1"/>
    <col min="28" max="28" width="16.5546875" style="41" customWidth="1"/>
    <col min="29" max="29" width="12.109375" style="1" customWidth="1"/>
    <col min="30" max="30" width="17.6640625" style="1" bestFit="1" customWidth="1"/>
    <col min="31" max="31" width="17.88671875" style="1" customWidth="1"/>
    <col min="32" max="32" width="12.33203125" style="1" bestFit="1" customWidth="1"/>
    <col min="33" max="33" width="12.33203125" style="1" customWidth="1"/>
    <col min="34" max="34" width="17.88671875" style="1" bestFit="1" customWidth="1"/>
    <col min="35" max="35" width="17.88671875" style="1" customWidth="1"/>
    <col min="36" max="36" width="12.33203125" style="1" customWidth="1"/>
    <col min="37" max="37" width="10" style="1" customWidth="1"/>
    <col min="38" max="38" width="15" style="1" customWidth="1"/>
    <col min="39" max="39" width="12.5546875" style="1" customWidth="1"/>
    <col min="40" max="40" width="11" style="1" customWidth="1"/>
    <col min="41" max="41" width="9.109375" style="1" customWidth="1"/>
    <col min="42" max="42" width="13.44140625" style="1" customWidth="1"/>
    <col min="43" max="43" width="13.33203125" style="1" customWidth="1"/>
    <col min="44" max="44" width="10.33203125" style="1" customWidth="1"/>
    <col min="45" max="45" width="11.109375" style="1" customWidth="1"/>
    <col min="46" max="46" width="10.33203125" style="1" customWidth="1"/>
    <col min="47" max="47" width="11.5546875" style="1" customWidth="1"/>
    <col min="48" max="48" width="13.109375" style="1" customWidth="1"/>
    <col min="49" max="49" width="9" style="1" customWidth="1"/>
    <col min="50" max="50" width="7.33203125" style="1" customWidth="1"/>
    <col min="51" max="51" width="7.5546875" style="1" customWidth="1"/>
    <col min="52" max="55" width="11.44140625" style="1" customWidth="1"/>
    <col min="56" max="56" width="17.33203125" style="1" bestFit="1" customWidth="1"/>
    <col min="57" max="57" width="17.33203125" style="1" customWidth="1"/>
    <col min="58" max="59" width="12.6640625" style="1" customWidth="1"/>
    <col min="60" max="61" width="11.44140625" style="1" customWidth="1"/>
    <col min="62" max="16384" width="8.5546875" style="1"/>
  </cols>
  <sheetData>
    <row r="1" spans="1:61" ht="12" customHeight="1" x14ac:dyDescent="0.25">
      <c r="A1" s="104"/>
      <c r="B1" s="105"/>
      <c r="C1" s="106"/>
      <c r="D1" s="96" t="s">
        <v>56</v>
      </c>
      <c r="E1" s="98"/>
      <c r="F1" s="96" t="s">
        <v>57</v>
      </c>
      <c r="G1" s="98"/>
      <c r="H1" s="110" t="s">
        <v>1</v>
      </c>
      <c r="I1" s="111"/>
      <c r="J1" s="111"/>
      <c r="K1" s="111"/>
      <c r="L1" s="111"/>
      <c r="M1" s="112"/>
      <c r="N1" s="116" t="s">
        <v>2</v>
      </c>
      <c r="O1" s="98"/>
      <c r="P1" s="118" t="s">
        <v>58</v>
      </c>
      <c r="Q1" s="119"/>
      <c r="R1" s="118" t="s">
        <v>3</v>
      </c>
      <c r="S1" s="119"/>
      <c r="T1" s="118" t="s">
        <v>4</v>
      </c>
      <c r="U1" s="119"/>
      <c r="V1" s="96" t="s">
        <v>5</v>
      </c>
      <c r="W1" s="97"/>
      <c r="X1" s="98"/>
      <c r="Y1" s="96" t="s">
        <v>6</v>
      </c>
      <c r="Z1" s="97"/>
      <c r="AA1" s="98"/>
      <c r="AB1" s="96" t="s">
        <v>59</v>
      </c>
      <c r="AC1" s="97"/>
      <c r="AD1" s="98"/>
      <c r="AE1" s="96" t="s">
        <v>60</v>
      </c>
      <c r="AF1" s="97"/>
      <c r="AG1" s="98"/>
      <c r="AH1" s="96" t="s">
        <v>61</v>
      </c>
      <c r="AI1" s="97"/>
      <c r="AJ1" s="97"/>
      <c r="AK1" s="98"/>
      <c r="AL1" s="96" t="s">
        <v>62</v>
      </c>
      <c r="AM1" s="97"/>
      <c r="AN1" s="97"/>
      <c r="AO1" s="98"/>
      <c r="AP1" s="96" t="s">
        <v>63</v>
      </c>
      <c r="AQ1" s="97"/>
      <c r="AR1" s="98"/>
      <c r="AS1" s="96" t="s">
        <v>64</v>
      </c>
      <c r="AT1" s="98"/>
      <c r="AU1" s="126" t="s">
        <v>7</v>
      </c>
      <c r="AV1" s="128" t="s">
        <v>8</v>
      </c>
      <c r="AW1" s="91" t="s">
        <v>9</v>
      </c>
      <c r="AX1" s="42"/>
      <c r="AY1" s="38"/>
      <c r="AZ1" s="93" t="s">
        <v>65</v>
      </c>
      <c r="BA1" s="93" t="s">
        <v>0</v>
      </c>
      <c r="BB1" s="93" t="s">
        <v>10</v>
      </c>
      <c r="BC1" s="93" t="s">
        <v>11</v>
      </c>
      <c r="BD1" s="93" t="s">
        <v>12</v>
      </c>
      <c r="BE1" s="93" t="s">
        <v>13</v>
      </c>
      <c r="BF1" s="93" t="s">
        <v>55</v>
      </c>
      <c r="BG1" s="93" t="s">
        <v>61</v>
      </c>
      <c r="BH1" s="93" t="s">
        <v>66</v>
      </c>
      <c r="BI1" s="93" t="s">
        <v>67</v>
      </c>
    </row>
    <row r="2" spans="1:61" ht="15.6" thickBot="1" x14ac:dyDescent="0.3">
      <c r="A2" s="107"/>
      <c r="B2" s="108"/>
      <c r="C2" s="109"/>
      <c r="D2" s="99"/>
      <c r="E2" s="101"/>
      <c r="F2" s="99"/>
      <c r="G2" s="101"/>
      <c r="H2" s="113"/>
      <c r="I2" s="114"/>
      <c r="J2" s="114"/>
      <c r="K2" s="114"/>
      <c r="L2" s="114"/>
      <c r="M2" s="115"/>
      <c r="N2" s="117"/>
      <c r="O2" s="101"/>
      <c r="P2" s="120"/>
      <c r="Q2" s="121"/>
      <c r="R2" s="120"/>
      <c r="S2" s="121"/>
      <c r="T2" s="120"/>
      <c r="U2" s="121"/>
      <c r="V2" s="99"/>
      <c r="W2" s="100"/>
      <c r="X2" s="101"/>
      <c r="Y2" s="99"/>
      <c r="Z2" s="100"/>
      <c r="AA2" s="101"/>
      <c r="AB2" s="99"/>
      <c r="AC2" s="100"/>
      <c r="AD2" s="101"/>
      <c r="AE2" s="99"/>
      <c r="AF2" s="100"/>
      <c r="AG2" s="101"/>
      <c r="AH2" s="99"/>
      <c r="AI2" s="100"/>
      <c r="AJ2" s="100"/>
      <c r="AK2" s="101"/>
      <c r="AL2" s="99"/>
      <c r="AM2" s="100"/>
      <c r="AN2" s="100"/>
      <c r="AO2" s="101"/>
      <c r="AP2" s="99"/>
      <c r="AQ2" s="100"/>
      <c r="AR2" s="101"/>
      <c r="AS2" s="99"/>
      <c r="AT2" s="101"/>
      <c r="AU2" s="127"/>
      <c r="AV2" s="129"/>
      <c r="AW2" s="92"/>
      <c r="AX2" s="42"/>
      <c r="AY2" s="40"/>
      <c r="AZ2" s="94"/>
      <c r="BA2" s="94"/>
      <c r="BB2" s="94"/>
      <c r="BC2" s="94"/>
      <c r="BD2" s="94"/>
      <c r="BE2" s="94"/>
      <c r="BF2" s="94"/>
      <c r="BG2" s="94"/>
      <c r="BH2" s="94"/>
      <c r="BI2" s="94"/>
    </row>
    <row r="3" spans="1:61" ht="16.2" thickBot="1" x14ac:dyDescent="0.35">
      <c r="A3" s="43" t="s">
        <v>14</v>
      </c>
      <c r="B3" s="43" t="s">
        <v>15</v>
      </c>
      <c r="C3" s="43" t="s">
        <v>16</v>
      </c>
      <c r="D3" s="44" t="s">
        <v>17</v>
      </c>
      <c r="E3" s="44" t="s">
        <v>18</v>
      </c>
      <c r="F3" s="44" t="s">
        <v>17</v>
      </c>
      <c r="G3" s="44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44" t="s">
        <v>17</v>
      </c>
      <c r="O3" s="44" t="s">
        <v>18</v>
      </c>
      <c r="P3" s="44" t="s">
        <v>17</v>
      </c>
      <c r="Q3" s="44" t="s">
        <v>18</v>
      </c>
      <c r="R3" s="44" t="s">
        <v>17</v>
      </c>
      <c r="S3" s="44" t="s">
        <v>18</v>
      </c>
      <c r="T3" s="44" t="s">
        <v>17</v>
      </c>
      <c r="U3" s="44" t="s">
        <v>18</v>
      </c>
      <c r="V3" s="44" t="s">
        <v>22</v>
      </c>
      <c r="W3" s="44" t="s">
        <v>18</v>
      </c>
      <c r="X3" s="44" t="s">
        <v>68</v>
      </c>
      <c r="Y3" s="44" t="s">
        <v>23</v>
      </c>
      <c r="Z3" s="44" t="s">
        <v>18</v>
      </c>
      <c r="AA3" s="44"/>
      <c r="AB3" s="44" t="s">
        <v>24</v>
      </c>
      <c r="AC3" s="44" t="s">
        <v>18</v>
      </c>
      <c r="AD3" s="44" t="s">
        <v>68</v>
      </c>
      <c r="AE3" s="44" t="s">
        <v>24</v>
      </c>
      <c r="AF3" s="44" t="s">
        <v>18</v>
      </c>
      <c r="AG3" s="44" t="s">
        <v>68</v>
      </c>
      <c r="AH3" s="44" t="s">
        <v>25</v>
      </c>
      <c r="AI3" s="44" t="s">
        <v>18</v>
      </c>
      <c r="AJ3" s="44" t="s">
        <v>68</v>
      </c>
      <c r="AK3" s="44" t="s">
        <v>26</v>
      </c>
      <c r="AL3" s="44" t="s">
        <v>24</v>
      </c>
      <c r="AM3" s="44" t="s">
        <v>18</v>
      </c>
      <c r="AN3" s="44" t="s">
        <v>68</v>
      </c>
      <c r="AO3" s="44" t="s">
        <v>26</v>
      </c>
      <c r="AP3" s="44" t="s">
        <v>25</v>
      </c>
      <c r="AQ3" s="44" t="s">
        <v>18</v>
      </c>
      <c r="AR3" s="44" t="s">
        <v>68</v>
      </c>
      <c r="AS3" s="43" t="s">
        <v>27</v>
      </c>
      <c r="AT3" s="43" t="s">
        <v>28</v>
      </c>
      <c r="AU3" s="102" t="s">
        <v>29</v>
      </c>
      <c r="AV3" s="103"/>
      <c r="AW3" s="45"/>
      <c r="AX3" s="42"/>
      <c r="AY3" s="39"/>
      <c r="AZ3" s="95"/>
      <c r="BA3" s="95"/>
      <c r="BB3" s="95"/>
      <c r="BC3" s="95"/>
      <c r="BD3" s="95"/>
      <c r="BE3" s="95"/>
      <c r="BF3" s="95"/>
      <c r="BG3" s="95"/>
      <c r="BH3" s="95"/>
      <c r="BI3" s="95"/>
    </row>
    <row r="4" spans="1:61" ht="15.6" x14ac:dyDescent="0.3">
      <c r="A4" s="86"/>
      <c r="B4" s="72"/>
      <c r="C4" s="10"/>
      <c r="D4" s="6">
        <v>345762</v>
      </c>
      <c r="E4" s="8"/>
      <c r="F4" s="6">
        <v>7076</v>
      </c>
      <c r="G4" s="8"/>
      <c r="H4" s="6">
        <v>101946</v>
      </c>
      <c r="I4" s="8"/>
      <c r="J4" s="46">
        <v>616362</v>
      </c>
      <c r="K4" s="8"/>
      <c r="L4" s="7"/>
      <c r="M4" s="7"/>
      <c r="N4" s="6">
        <v>14559</v>
      </c>
      <c r="O4" s="8"/>
      <c r="P4" s="6">
        <v>97868</v>
      </c>
      <c r="Q4" s="73"/>
      <c r="R4" s="6">
        <f>[1]September!R32</f>
        <v>39</v>
      </c>
      <c r="S4" s="73"/>
      <c r="T4" s="6">
        <v>202876</v>
      </c>
      <c r="U4" s="73"/>
      <c r="V4" s="6">
        <v>5455</v>
      </c>
      <c r="W4" s="8"/>
      <c r="X4" s="46"/>
      <c r="Y4" s="6">
        <v>1037</v>
      </c>
      <c r="Z4" s="8"/>
      <c r="AA4" s="46"/>
      <c r="AB4" s="6">
        <v>1766846</v>
      </c>
      <c r="AC4" s="9"/>
      <c r="AD4" s="46"/>
      <c r="AE4" s="6">
        <v>5224001</v>
      </c>
      <c r="AF4" s="9"/>
      <c r="AG4" s="46"/>
      <c r="AH4" s="6">
        <v>34176</v>
      </c>
      <c r="AI4" s="8"/>
      <c r="AJ4" s="46"/>
      <c r="AK4" s="7"/>
      <c r="AL4" s="6">
        <v>231873</v>
      </c>
      <c r="AM4" s="8"/>
      <c r="AN4" s="46"/>
      <c r="AO4" s="7"/>
      <c r="AP4" s="6">
        <v>46916</v>
      </c>
      <c r="AQ4" s="8"/>
      <c r="AR4" s="46"/>
      <c r="AS4" s="14"/>
      <c r="AT4" s="14"/>
      <c r="AU4" s="14"/>
      <c r="AV4" s="56"/>
      <c r="AW4" s="74"/>
      <c r="AX4" s="6">
        <v>540</v>
      </c>
      <c r="AY4" s="73"/>
      <c r="AZ4" s="87">
        <f>D39</f>
        <v>0</v>
      </c>
      <c r="BA4" s="87">
        <f>F39</f>
        <v>0</v>
      </c>
      <c r="BB4" s="87">
        <f>H39</f>
        <v>0</v>
      </c>
      <c r="BC4" s="87">
        <f>N39</f>
        <v>0</v>
      </c>
      <c r="BD4" s="87">
        <v>420000</v>
      </c>
      <c r="BE4" s="87">
        <f>BD4</f>
        <v>420000</v>
      </c>
      <c r="BF4" s="88">
        <v>35198</v>
      </c>
      <c r="BG4" s="89">
        <v>6000</v>
      </c>
      <c r="BH4" s="89">
        <v>20304</v>
      </c>
      <c r="BI4" s="89">
        <v>10992</v>
      </c>
    </row>
    <row r="5" spans="1:61" ht="15.6" x14ac:dyDescent="0.3">
      <c r="A5" s="54">
        <v>1</v>
      </c>
      <c r="B5" s="55" t="s">
        <v>69</v>
      </c>
      <c r="C5" s="10"/>
      <c r="D5" s="6">
        <v>346074</v>
      </c>
      <c r="E5" s="8">
        <f t="shared" ref="E5:E35" si="0">IF(ISBLANK(D5),0,D5-D4)</f>
        <v>312</v>
      </c>
      <c r="F5" s="6">
        <v>7077</v>
      </c>
      <c r="G5" s="8">
        <f t="shared" ref="G5:G35" si="1">IF(ISBLANK(F5),0,F5-F4)</f>
        <v>1</v>
      </c>
      <c r="H5" s="6">
        <v>102141</v>
      </c>
      <c r="I5" s="8">
        <f t="shared" ref="I5:I35" si="2">IF(ISBLANK(H5),0,H5-H4)</f>
        <v>195</v>
      </c>
      <c r="J5" s="46">
        <v>616549</v>
      </c>
      <c r="K5" s="8">
        <f>IF(ISBLANK(J5),0,J5-J4)</f>
        <v>187</v>
      </c>
      <c r="L5" s="7"/>
      <c r="M5" s="63" t="e">
        <f>I5/L5</f>
        <v>#DIV/0!</v>
      </c>
      <c r="N5" s="6">
        <v>14567</v>
      </c>
      <c r="O5" s="8">
        <f t="shared" ref="O5:O35" si="3">IF(ISBLANK(N5),0,N5-N4)</f>
        <v>8</v>
      </c>
      <c r="P5" s="12">
        <v>97868</v>
      </c>
      <c r="Q5" s="9">
        <f t="shared" ref="Q5:Q35" si="4">IF(ISBLANK(P5),0,P5-P4)</f>
        <v>0</v>
      </c>
      <c r="R5" s="12">
        <v>40</v>
      </c>
      <c r="S5" s="9">
        <f t="shared" ref="S5:S35" si="5">IF(ISBLANK(R5),0,R5-R4)</f>
        <v>1</v>
      </c>
      <c r="T5" s="12">
        <v>202905</v>
      </c>
      <c r="U5" s="9">
        <f t="shared" ref="U5:U35" si="6">IF(ISBLANK(T5),0,T5-T4)</f>
        <v>29</v>
      </c>
      <c r="V5" s="64"/>
      <c r="W5" s="8">
        <f t="shared" ref="W5:W35" si="7">IF(ISBLANK(V5),0,SUM(V5-V4)*2200)</f>
        <v>0</v>
      </c>
      <c r="X5" s="46">
        <v>11898</v>
      </c>
      <c r="Y5" s="56"/>
      <c r="Z5" s="8">
        <f t="shared" ref="Z5:Z35" si="8">IF(ISBLANK(Y5),0,Y5-Y4)*2200</f>
        <v>0</v>
      </c>
      <c r="AA5" s="46">
        <v>2462</v>
      </c>
      <c r="AB5" s="6"/>
      <c r="AC5" s="9">
        <f>IF(ISBLANK(AB5),0,SUM(AB5-AB4))</f>
        <v>0</v>
      </c>
      <c r="AD5" s="46">
        <v>316</v>
      </c>
      <c r="AE5" s="12"/>
      <c r="AF5" s="9"/>
      <c r="AG5" s="46">
        <v>1260</v>
      </c>
      <c r="AH5" s="6"/>
      <c r="AI5" s="8">
        <f>IF(ISBLANK(AH5),0,AH5-AH4)*80</f>
        <v>0</v>
      </c>
      <c r="AJ5" s="46">
        <v>256</v>
      </c>
      <c r="AK5" s="7"/>
      <c r="AL5" s="6"/>
      <c r="AM5" s="8">
        <f t="shared" ref="AM5:AM35" si="9">IF(ISBLANK(AL5),0,AL5-AL4)</f>
        <v>0</v>
      </c>
      <c r="AN5" s="46">
        <v>490</v>
      </c>
      <c r="AO5" s="7"/>
      <c r="AP5" s="6"/>
      <c r="AQ5" s="8">
        <f>IF(ISBLANK(AP5),0,AP5-AP4)*80</f>
        <v>0</v>
      </c>
      <c r="AR5" s="46">
        <v>240</v>
      </c>
      <c r="AS5" s="14">
        <v>13</v>
      </c>
      <c r="AT5" s="14">
        <v>20</v>
      </c>
      <c r="AU5" s="65"/>
      <c r="AV5" s="56"/>
      <c r="AW5" s="66">
        <f t="shared" ref="AW5:AW35" si="10">IF(ISBLANK(AV5),0,AV5-AV4)</f>
        <v>0</v>
      </c>
      <c r="AX5" s="12">
        <v>541</v>
      </c>
      <c r="AY5" s="9">
        <f t="shared" ref="AY5:AY35" si="11">IF(ISBLANK(AX5),0,AX5-AX4)</f>
        <v>1</v>
      </c>
      <c r="AZ5" s="9">
        <f t="shared" ref="AZ5:AZ35" si="12">IF(D5&lt;&gt;0,(+D5-D$10)/$A5*31,0)</f>
        <v>-40393</v>
      </c>
      <c r="BA5" s="9">
        <f>IF(F5&lt;&gt;0,(+F5-F$10)/$A5*31,0)</f>
        <v>-62</v>
      </c>
      <c r="BB5" s="9">
        <f t="shared" ref="BB5:BB35" si="13">IF(H5&lt;&gt;0,(+H5-H$10)/$A5*31,0)</f>
        <v>-30938</v>
      </c>
      <c r="BC5" s="9">
        <f>IF(N5&lt;&gt;0,(+N5-N$10)/$A5*31,0)</f>
        <v>-1612</v>
      </c>
      <c r="BD5" s="9">
        <f>IF(V5&lt;&gt;0,(+V5-V$10)*2200/$A5*31,0)</f>
        <v>0</v>
      </c>
      <c r="BE5" s="9">
        <f>IF(X5&lt;&gt;0,AVERAGE(X5:X$11)*31,)</f>
        <v>374147.8571428571</v>
      </c>
      <c r="BF5" s="8">
        <f>IF(AD5+AG5&lt;&gt;0,AVERAGE(AD5:AD$11)*31+AVERAGE(AG5:AG$11)*31,)</f>
        <v>45724.999999999993</v>
      </c>
      <c r="BG5" s="9">
        <f>IF(AJ5&lt;&gt;0,AVERAGE(AJ5:AJ$11)*31,)</f>
        <v>6377.1428571428578</v>
      </c>
      <c r="BH5" s="9">
        <f>IF(AN5&lt;&gt;0,AVERAGE(AN5:AN$11)*31,)</f>
        <v>14344.142857142857</v>
      </c>
      <c r="BI5" s="9">
        <f>IF(AR5&lt;&gt;0,AVERAGE(AR5:AR$11)*31,)</f>
        <v>8219.4285714285725</v>
      </c>
    </row>
    <row r="6" spans="1:61" ht="15.6" x14ac:dyDescent="0.3">
      <c r="A6" s="54">
        <f t="shared" ref="A6:A12" si="14">1+A5</f>
        <v>2</v>
      </c>
      <c r="B6" s="55" t="s">
        <v>69</v>
      </c>
      <c r="C6" s="10"/>
      <c r="D6" s="6">
        <v>346350</v>
      </c>
      <c r="E6" s="8">
        <f t="shared" si="0"/>
        <v>276</v>
      </c>
      <c r="F6" s="6">
        <v>7078</v>
      </c>
      <c r="G6" s="8">
        <f t="shared" si="1"/>
        <v>1</v>
      </c>
      <c r="H6" s="6">
        <v>102325</v>
      </c>
      <c r="I6" s="8">
        <f t="shared" si="2"/>
        <v>184</v>
      </c>
      <c r="J6" s="46">
        <v>616726</v>
      </c>
      <c r="K6" s="8">
        <f t="shared" ref="K6:K35" si="15">IF(ISBLANK(J6),0,J6-J5)</f>
        <v>177</v>
      </c>
      <c r="L6" s="7"/>
      <c r="M6" s="11" t="e">
        <f t="shared" ref="M6:M35" si="16">I6/L6</f>
        <v>#DIV/0!</v>
      </c>
      <c r="N6" s="6">
        <v>14578</v>
      </c>
      <c r="O6" s="8">
        <f t="shared" si="3"/>
        <v>11</v>
      </c>
      <c r="P6" s="12">
        <v>97868</v>
      </c>
      <c r="Q6" s="9">
        <f t="shared" si="4"/>
        <v>0</v>
      </c>
      <c r="R6" s="12">
        <v>40</v>
      </c>
      <c r="S6" s="9">
        <f t="shared" si="5"/>
        <v>0</v>
      </c>
      <c r="T6" s="12">
        <v>202932</v>
      </c>
      <c r="U6" s="9">
        <f t="shared" si="6"/>
        <v>27</v>
      </c>
      <c r="V6" s="13"/>
      <c r="W6" s="8">
        <f t="shared" si="7"/>
        <v>0</v>
      </c>
      <c r="X6" s="46">
        <v>12147</v>
      </c>
      <c r="Y6" s="56"/>
      <c r="Z6" s="8">
        <f t="shared" si="8"/>
        <v>0</v>
      </c>
      <c r="AA6" s="46">
        <v>2645</v>
      </c>
      <c r="AB6" s="6"/>
      <c r="AC6" s="9">
        <f t="shared" ref="AC6:AC34" si="17">IF(ISBLANK(AB6),0,SUM(AB6-AB5))</f>
        <v>0</v>
      </c>
      <c r="AD6" s="46">
        <v>305</v>
      </c>
      <c r="AE6" s="12"/>
      <c r="AF6" s="9"/>
      <c r="AG6" s="46">
        <v>1239</v>
      </c>
      <c r="AH6" s="6"/>
      <c r="AI6" s="8">
        <f t="shared" ref="AI6:AI35" si="18">IF(ISBLANK(AH6),0,AH6-AH5)*80</f>
        <v>0</v>
      </c>
      <c r="AJ6" s="46">
        <v>224</v>
      </c>
      <c r="AK6" s="7"/>
      <c r="AL6" s="6"/>
      <c r="AM6" s="8">
        <f t="shared" si="9"/>
        <v>0</v>
      </c>
      <c r="AN6" s="46">
        <v>473</v>
      </c>
      <c r="AO6" s="7"/>
      <c r="AP6" s="6"/>
      <c r="AQ6" s="8">
        <f t="shared" ref="AQ6:AQ35" si="19">IF(ISBLANK(AP6),0,AP6-AP5)*80</f>
        <v>0</v>
      </c>
      <c r="AR6" s="46">
        <v>312</v>
      </c>
      <c r="AS6" s="14">
        <v>14</v>
      </c>
      <c r="AT6" s="14">
        <v>24</v>
      </c>
      <c r="AU6" s="65"/>
      <c r="AV6" s="56"/>
      <c r="AW6" s="66">
        <f t="shared" si="10"/>
        <v>0</v>
      </c>
      <c r="AX6" s="12">
        <v>543</v>
      </c>
      <c r="AY6" s="9">
        <f t="shared" si="11"/>
        <v>2</v>
      </c>
      <c r="AZ6" s="9">
        <f t="shared" si="12"/>
        <v>-15918.5</v>
      </c>
      <c r="BA6" s="9">
        <f t="shared" ref="BA6:BA35" si="20">IF(F6&lt;&gt;0,(+F6-F$10)/$A6*31,0)</f>
        <v>-15.5</v>
      </c>
      <c r="BB6" s="9">
        <f t="shared" si="13"/>
        <v>-12617</v>
      </c>
      <c r="BC6" s="9">
        <f t="shared" ref="BC6:BC35" si="21">IF(N6&lt;&gt;0,(+N6-N$10)/$A6*31,0)</f>
        <v>-635.5</v>
      </c>
      <c r="BD6" s="9">
        <f t="shared" ref="BD6:BD35" si="22">IF(V6&lt;&gt;0,(+V6-V$10)*2200/$A6*31,0)</f>
        <v>0</v>
      </c>
      <c r="BE6" s="9">
        <f>IF(X6&lt;&gt;0,AVERAGE(X6:X$11)*31,)</f>
        <v>375032.83333333337</v>
      </c>
      <c r="BF6" s="8">
        <f>IF(AD6+AG6&lt;&gt;0,AVERAGE(AD6:AD$11)*31+AVERAGE(AG6:AG$11)*31,)</f>
        <v>45203.166666666672</v>
      </c>
      <c r="BG6" s="9">
        <f>IF(AJ6&lt;&gt;0,AVERAGE(AJ6:AJ$11)*31,)</f>
        <v>6117.3333333333339</v>
      </c>
      <c r="BH6" s="9">
        <f>IF(AN6&lt;&gt;0,AVERAGE(AN6:AN$11)*31,)</f>
        <v>14203.166666666668</v>
      </c>
      <c r="BI6" s="9">
        <f>IF(AR6&lt;&gt;0,AVERAGE(AR6:AR$11)*31,)</f>
        <v>8349.3333333333321</v>
      </c>
    </row>
    <row r="7" spans="1:61" ht="15.6" x14ac:dyDescent="0.3">
      <c r="A7" s="54">
        <f t="shared" si="14"/>
        <v>3</v>
      </c>
      <c r="B7" s="55" t="s">
        <v>69</v>
      </c>
      <c r="C7" s="10"/>
      <c r="D7" s="6">
        <v>346623</v>
      </c>
      <c r="E7" s="8">
        <f t="shared" si="0"/>
        <v>273</v>
      </c>
      <c r="F7" s="6">
        <v>7078</v>
      </c>
      <c r="G7" s="8">
        <f t="shared" si="1"/>
        <v>0</v>
      </c>
      <c r="H7" s="6">
        <v>102517</v>
      </c>
      <c r="I7" s="8">
        <f t="shared" si="2"/>
        <v>192</v>
      </c>
      <c r="J7" s="46">
        <v>616911</v>
      </c>
      <c r="K7" s="8">
        <f t="shared" si="15"/>
        <v>185</v>
      </c>
      <c r="L7" s="7"/>
      <c r="M7" s="11" t="e">
        <f t="shared" si="16"/>
        <v>#DIV/0!</v>
      </c>
      <c r="N7" s="6">
        <v>14586</v>
      </c>
      <c r="O7" s="8">
        <f t="shared" si="3"/>
        <v>8</v>
      </c>
      <c r="P7" s="12">
        <v>97868</v>
      </c>
      <c r="Q7" s="9">
        <f t="shared" si="4"/>
        <v>0</v>
      </c>
      <c r="R7" s="12">
        <v>40</v>
      </c>
      <c r="S7" s="9">
        <f t="shared" si="5"/>
        <v>0</v>
      </c>
      <c r="T7" s="12">
        <v>202955</v>
      </c>
      <c r="U7" s="9">
        <f t="shared" si="6"/>
        <v>23</v>
      </c>
      <c r="V7" s="13"/>
      <c r="W7" s="8">
        <f t="shared" si="7"/>
        <v>0</v>
      </c>
      <c r="X7" s="46">
        <v>11905</v>
      </c>
      <c r="Y7" s="56"/>
      <c r="Z7" s="8">
        <f>IF(ISBLANK(Y7),0,Y7-Y6)*2200</f>
        <v>0</v>
      </c>
      <c r="AA7" s="46">
        <v>2551</v>
      </c>
      <c r="AB7" s="6"/>
      <c r="AC7" s="9">
        <f t="shared" si="17"/>
        <v>0</v>
      </c>
      <c r="AD7" s="46">
        <v>294</v>
      </c>
      <c r="AE7" s="12"/>
      <c r="AF7" s="9"/>
      <c r="AG7" s="46">
        <v>1076</v>
      </c>
      <c r="AH7" s="6"/>
      <c r="AI7" s="8">
        <f t="shared" si="18"/>
        <v>0</v>
      </c>
      <c r="AJ7" s="46">
        <v>160</v>
      </c>
      <c r="AK7" s="7"/>
      <c r="AL7" s="6"/>
      <c r="AM7" s="8">
        <f t="shared" si="9"/>
        <v>0</v>
      </c>
      <c r="AN7" s="46">
        <v>417</v>
      </c>
      <c r="AO7" s="7"/>
      <c r="AP7" s="6"/>
      <c r="AQ7" s="8">
        <f t="shared" si="19"/>
        <v>0</v>
      </c>
      <c r="AR7" s="46">
        <v>240</v>
      </c>
      <c r="AS7" s="14">
        <v>18</v>
      </c>
      <c r="AT7" s="14">
        <v>24</v>
      </c>
      <c r="AU7" s="65"/>
      <c r="AV7" s="56"/>
      <c r="AW7" s="66">
        <f t="shared" si="10"/>
        <v>0</v>
      </c>
      <c r="AX7" s="12">
        <v>543</v>
      </c>
      <c r="AY7" s="9">
        <f t="shared" si="11"/>
        <v>0</v>
      </c>
      <c r="AZ7" s="9">
        <f t="shared" si="12"/>
        <v>-7791.3333333333339</v>
      </c>
      <c r="BA7" s="9">
        <f t="shared" si="20"/>
        <v>-10.333333333333332</v>
      </c>
      <c r="BB7" s="9">
        <f t="shared" si="13"/>
        <v>-6427.3333333333339</v>
      </c>
      <c r="BC7" s="9">
        <f t="shared" si="21"/>
        <v>-341</v>
      </c>
      <c r="BD7" s="9">
        <f t="shared" si="22"/>
        <v>0</v>
      </c>
      <c r="BE7" s="9">
        <f>IF(X7&lt;&gt;0,AVERAGE(X7:X$11)*31,)</f>
        <v>374728</v>
      </c>
      <c r="BF7" s="8">
        <f>IF(AD7+AG7&lt;&gt;0,AVERAGE(AD7:AD$11)*31+AVERAGE(AG7:AG$11)*31,)</f>
        <v>44671.000000000007</v>
      </c>
      <c r="BG7" s="9">
        <f>IF(AJ7&lt;&gt;0,AVERAGE(AJ7:AJ$11)*31,)</f>
        <v>5952</v>
      </c>
      <c r="BH7" s="9">
        <f>IF(AN7&lt;&gt;0,AVERAGE(AN7:AN$11)*31,)</f>
        <v>14111.199999999999</v>
      </c>
      <c r="BI7" s="9">
        <f>IF(AR7&lt;&gt;0,AVERAGE(AR7:AR$11)*31,)</f>
        <v>8084.8</v>
      </c>
    </row>
    <row r="8" spans="1:61" ht="15.6" x14ac:dyDescent="0.3">
      <c r="A8" s="54">
        <f t="shared" si="14"/>
        <v>4</v>
      </c>
      <c r="B8" s="55" t="s">
        <v>69</v>
      </c>
      <c r="C8" s="10"/>
      <c r="D8" s="6">
        <v>346904</v>
      </c>
      <c r="E8" s="8">
        <f t="shared" si="0"/>
        <v>281</v>
      </c>
      <c r="F8" s="6">
        <v>7079</v>
      </c>
      <c r="G8" s="8">
        <f t="shared" si="1"/>
        <v>1</v>
      </c>
      <c r="H8" s="6">
        <v>102717</v>
      </c>
      <c r="I8" s="8">
        <f t="shared" si="2"/>
        <v>200</v>
      </c>
      <c r="J8" s="46">
        <v>617103</v>
      </c>
      <c r="K8" s="8">
        <f t="shared" si="15"/>
        <v>192</v>
      </c>
      <c r="L8" s="7"/>
      <c r="M8" s="11" t="e">
        <f t="shared" si="16"/>
        <v>#DIV/0!</v>
      </c>
      <c r="N8" s="6">
        <v>14597</v>
      </c>
      <c r="O8" s="8">
        <f t="shared" si="3"/>
        <v>11</v>
      </c>
      <c r="P8" s="12">
        <v>97868</v>
      </c>
      <c r="Q8" s="9">
        <f t="shared" si="4"/>
        <v>0</v>
      </c>
      <c r="R8" s="12">
        <v>40</v>
      </c>
      <c r="S8" s="9">
        <f t="shared" si="5"/>
        <v>0</v>
      </c>
      <c r="T8" s="12">
        <v>202992</v>
      </c>
      <c r="U8" s="9">
        <f t="shared" si="6"/>
        <v>37</v>
      </c>
      <c r="V8" s="13"/>
      <c r="W8" s="8">
        <f t="shared" si="7"/>
        <v>0</v>
      </c>
      <c r="X8" s="46">
        <v>12166</v>
      </c>
      <c r="Y8" s="56"/>
      <c r="Z8" s="8">
        <f t="shared" si="8"/>
        <v>0</v>
      </c>
      <c r="AA8" s="46">
        <v>2530</v>
      </c>
      <c r="AB8" s="6"/>
      <c r="AC8" s="9">
        <f t="shared" si="17"/>
        <v>0</v>
      </c>
      <c r="AD8" s="46">
        <v>302</v>
      </c>
      <c r="AE8" s="12"/>
      <c r="AF8" s="9"/>
      <c r="AG8" s="46">
        <v>1192</v>
      </c>
      <c r="AH8" s="6"/>
      <c r="AI8" s="8">
        <f t="shared" si="18"/>
        <v>0</v>
      </c>
      <c r="AJ8" s="46">
        <v>224</v>
      </c>
      <c r="AK8" s="7"/>
      <c r="AL8" s="67"/>
      <c r="AM8" s="8">
        <f t="shared" si="9"/>
        <v>0</v>
      </c>
      <c r="AN8" s="46">
        <v>436</v>
      </c>
      <c r="AO8" s="7"/>
      <c r="AP8" s="6"/>
      <c r="AQ8" s="8">
        <f t="shared" si="19"/>
        <v>0</v>
      </c>
      <c r="AR8" s="46">
        <v>248</v>
      </c>
      <c r="AS8" s="14">
        <v>19</v>
      </c>
      <c r="AT8" s="14">
        <v>25</v>
      </c>
      <c r="AU8" s="65"/>
      <c r="AV8" s="56"/>
      <c r="AW8" s="66">
        <f t="shared" si="10"/>
        <v>0</v>
      </c>
      <c r="AX8" s="12">
        <v>544</v>
      </c>
      <c r="AY8" s="9">
        <f t="shared" si="11"/>
        <v>1</v>
      </c>
      <c r="AZ8" s="9">
        <f t="shared" si="12"/>
        <v>-3665.75</v>
      </c>
      <c r="BA8" s="9">
        <f t="shared" si="20"/>
        <v>0</v>
      </c>
      <c r="BB8" s="9">
        <f t="shared" si="13"/>
        <v>-3270.5</v>
      </c>
      <c r="BC8" s="9">
        <f t="shared" si="21"/>
        <v>-170.5</v>
      </c>
      <c r="BD8" s="9">
        <f t="shared" si="22"/>
        <v>0</v>
      </c>
      <c r="BE8" s="9">
        <f>IF(X8&lt;&gt;0,AVERAGE(X8:X$11)*31,)</f>
        <v>376146.25</v>
      </c>
      <c r="BF8" s="8">
        <f>IF(AD8+AG8&lt;&gt;0,AVERAGE(AD8:AD$11)*31+AVERAGE(AG8:AG$11)*31,)</f>
        <v>45221.25</v>
      </c>
      <c r="BG8" s="9">
        <f>IF(AJ8&lt;&gt;0,AVERAGE(AJ8:AJ$11)*31,)</f>
        <v>6200</v>
      </c>
      <c r="BH8" s="9">
        <f>IF(AN8&lt;&gt;0,AVERAGE(AN8:AN$11)*31,)</f>
        <v>14407.25</v>
      </c>
      <c r="BI8" s="9">
        <f>IF(AR8&lt;&gt;0,AVERAGE(AR8:AR$11)*31,)</f>
        <v>8246</v>
      </c>
    </row>
    <row r="9" spans="1:61" ht="15.6" x14ac:dyDescent="0.3">
      <c r="A9" s="54">
        <f t="shared" si="14"/>
        <v>5</v>
      </c>
      <c r="B9" s="55" t="s">
        <v>69</v>
      </c>
      <c r="C9" s="10"/>
      <c r="D9" s="6">
        <v>347157</v>
      </c>
      <c r="E9" s="8">
        <f t="shared" si="0"/>
        <v>253</v>
      </c>
      <c r="F9" s="6">
        <v>7079</v>
      </c>
      <c r="G9" s="8">
        <f t="shared" si="1"/>
        <v>0</v>
      </c>
      <c r="H9" s="6">
        <v>102937</v>
      </c>
      <c r="I9" s="8">
        <f t="shared" si="2"/>
        <v>220</v>
      </c>
      <c r="J9" s="46">
        <v>617316</v>
      </c>
      <c r="K9" s="8">
        <f t="shared" si="15"/>
        <v>213</v>
      </c>
      <c r="L9" s="7"/>
      <c r="M9" s="11" t="e">
        <f t="shared" si="16"/>
        <v>#DIV/0!</v>
      </c>
      <c r="N9" s="6">
        <v>14608</v>
      </c>
      <c r="O9" s="8">
        <f t="shared" si="3"/>
        <v>11</v>
      </c>
      <c r="P9" s="12">
        <v>97881</v>
      </c>
      <c r="Q9" s="9">
        <f t="shared" si="4"/>
        <v>13</v>
      </c>
      <c r="R9" s="12">
        <v>40</v>
      </c>
      <c r="S9" s="9">
        <f t="shared" si="5"/>
        <v>0</v>
      </c>
      <c r="T9" s="68">
        <v>203046</v>
      </c>
      <c r="U9" s="9">
        <f t="shared" si="6"/>
        <v>54</v>
      </c>
      <c r="V9" s="13"/>
      <c r="W9" s="8">
        <f t="shared" si="7"/>
        <v>0</v>
      </c>
      <c r="X9" s="46">
        <v>12216</v>
      </c>
      <c r="Y9" s="56"/>
      <c r="Z9" s="8">
        <f t="shared" si="8"/>
        <v>0</v>
      </c>
      <c r="AA9" s="46">
        <v>2065</v>
      </c>
      <c r="AB9" s="6"/>
      <c r="AC9" s="9">
        <f t="shared" si="17"/>
        <v>0</v>
      </c>
      <c r="AD9" s="46">
        <v>292</v>
      </c>
      <c r="AE9" s="12"/>
      <c r="AF9" s="9"/>
      <c r="AG9" s="46">
        <v>1169</v>
      </c>
      <c r="AH9" s="6"/>
      <c r="AI9" s="8">
        <f t="shared" si="18"/>
        <v>0</v>
      </c>
      <c r="AJ9" s="46">
        <v>208</v>
      </c>
      <c r="AK9" s="7"/>
      <c r="AL9" s="67"/>
      <c r="AM9" s="8">
        <f t="shared" si="9"/>
        <v>0</v>
      </c>
      <c r="AN9" s="46">
        <v>453</v>
      </c>
      <c r="AO9" s="7"/>
      <c r="AP9" s="6"/>
      <c r="AQ9" s="8">
        <f t="shared" si="19"/>
        <v>0</v>
      </c>
      <c r="AR9" s="46">
        <v>248</v>
      </c>
      <c r="AS9" s="14">
        <v>19</v>
      </c>
      <c r="AT9" s="14">
        <v>25</v>
      </c>
      <c r="AU9" s="65"/>
      <c r="AV9" s="56"/>
      <c r="AW9" s="66">
        <f t="shared" si="10"/>
        <v>0</v>
      </c>
      <c r="AX9" s="12">
        <v>544</v>
      </c>
      <c r="AY9" s="9">
        <f t="shared" si="11"/>
        <v>0</v>
      </c>
      <c r="AZ9" s="9">
        <f t="shared" si="12"/>
        <v>-1364</v>
      </c>
      <c r="BA9" s="9">
        <f t="shared" si="20"/>
        <v>0</v>
      </c>
      <c r="BB9" s="9">
        <f t="shared" si="13"/>
        <v>-1252.3999999999999</v>
      </c>
      <c r="BC9" s="9">
        <f t="shared" si="21"/>
        <v>-68.2</v>
      </c>
      <c r="BD9" s="9">
        <f t="shared" si="22"/>
        <v>0</v>
      </c>
      <c r="BE9" s="9">
        <f>IF(X9&lt;&gt;0,AVERAGE(X9:X$11)*31,)</f>
        <v>375813</v>
      </c>
      <c r="BF9" s="8">
        <f>IF(AD9+AG9&lt;&gt;0,AVERAGE(AD9:AD$11)*31+AVERAGE(AG9:AG$11)*31,)</f>
        <v>44857</v>
      </c>
      <c r="BG9" s="9">
        <f>IF(AJ9&lt;&gt;0,AVERAGE(AJ9:AJ$11)*31,)</f>
        <v>5952</v>
      </c>
      <c r="BH9" s="9">
        <f>IF(AN9&lt;&gt;0,AVERAGE(AN9:AN$11)*31,)</f>
        <v>14704.333333333332</v>
      </c>
      <c r="BI9" s="9">
        <f>IF(AR9&lt;&gt;0,AVERAGE(AR9:AR$11)*31,)</f>
        <v>8432</v>
      </c>
    </row>
    <row r="10" spans="1:61" ht="15.6" x14ac:dyDescent="0.3">
      <c r="A10" s="54">
        <f t="shared" si="14"/>
        <v>6</v>
      </c>
      <c r="B10" s="55" t="s">
        <v>69</v>
      </c>
      <c r="C10" s="10"/>
      <c r="D10" s="6">
        <v>347377</v>
      </c>
      <c r="E10" s="8">
        <f t="shared" si="0"/>
        <v>220</v>
      </c>
      <c r="F10" s="6">
        <v>7079</v>
      </c>
      <c r="G10" s="8">
        <f t="shared" si="1"/>
        <v>0</v>
      </c>
      <c r="H10" s="6">
        <v>103139</v>
      </c>
      <c r="I10" s="8">
        <f t="shared" si="2"/>
        <v>202</v>
      </c>
      <c r="J10" s="46">
        <v>617509</v>
      </c>
      <c r="K10" s="8">
        <f t="shared" si="15"/>
        <v>193</v>
      </c>
      <c r="L10" s="7"/>
      <c r="M10" s="11" t="e">
        <f t="shared" si="16"/>
        <v>#DIV/0!</v>
      </c>
      <c r="N10" s="6">
        <v>14619</v>
      </c>
      <c r="O10" s="8">
        <f t="shared" si="3"/>
        <v>11</v>
      </c>
      <c r="P10" s="12">
        <v>97912</v>
      </c>
      <c r="Q10" s="9">
        <f t="shared" si="4"/>
        <v>31</v>
      </c>
      <c r="R10" s="12">
        <v>40</v>
      </c>
      <c r="S10" s="9">
        <f t="shared" si="5"/>
        <v>0</v>
      </c>
      <c r="T10" s="12">
        <v>203101</v>
      </c>
      <c r="U10" s="9">
        <f t="shared" si="6"/>
        <v>55</v>
      </c>
      <c r="V10" s="13"/>
      <c r="W10" s="8">
        <f t="shared" si="7"/>
        <v>0</v>
      </c>
      <c r="X10" s="46">
        <v>12291</v>
      </c>
      <c r="Y10" s="56"/>
      <c r="Z10" s="8">
        <f t="shared" si="8"/>
        <v>0</v>
      </c>
      <c r="AA10" s="46">
        <v>2270</v>
      </c>
      <c r="AB10" s="6"/>
      <c r="AC10" s="9">
        <f t="shared" si="17"/>
        <v>0</v>
      </c>
      <c r="AD10" s="46">
        <v>302</v>
      </c>
      <c r="AE10" s="12"/>
      <c r="AF10" s="9"/>
      <c r="AG10" s="46">
        <v>1177</v>
      </c>
      <c r="AH10" s="6"/>
      <c r="AI10" s="8">
        <f t="shared" si="18"/>
        <v>0</v>
      </c>
      <c r="AJ10" s="46">
        <v>208</v>
      </c>
      <c r="AK10" s="7"/>
      <c r="AL10" s="6"/>
      <c r="AM10" s="8">
        <f t="shared" si="9"/>
        <v>0</v>
      </c>
      <c r="AN10" s="46">
        <v>507</v>
      </c>
      <c r="AO10" s="7"/>
      <c r="AP10" s="6"/>
      <c r="AQ10" s="8">
        <f t="shared" si="19"/>
        <v>0</v>
      </c>
      <c r="AR10" s="46">
        <v>264</v>
      </c>
      <c r="AS10" s="14">
        <v>19</v>
      </c>
      <c r="AT10" s="14">
        <v>26</v>
      </c>
      <c r="AU10" s="65"/>
      <c r="AV10" s="56"/>
      <c r="AW10" s="66">
        <f t="shared" si="10"/>
        <v>0</v>
      </c>
      <c r="AX10" s="12">
        <v>545</v>
      </c>
      <c r="AY10" s="9">
        <f t="shared" si="11"/>
        <v>1</v>
      </c>
      <c r="AZ10" s="9">
        <f t="shared" si="12"/>
        <v>0</v>
      </c>
      <c r="BA10" s="9">
        <f t="shared" si="20"/>
        <v>0</v>
      </c>
      <c r="BB10" s="9">
        <f t="shared" si="13"/>
        <v>0</v>
      </c>
      <c r="BC10" s="9">
        <f t="shared" si="21"/>
        <v>0</v>
      </c>
      <c r="BD10" s="9">
        <f t="shared" si="22"/>
        <v>0</v>
      </c>
      <c r="BE10" s="9">
        <f>IF(X10&lt;&gt;0,AVERAGE(X10:X$11)*31,)</f>
        <v>374371.5</v>
      </c>
      <c r="BF10" s="8">
        <f>IF(AD10+AG10&lt;&gt;0,AVERAGE(AD10:AD$11)*31+AVERAGE(AG10:AG$11)*31,)</f>
        <v>44640</v>
      </c>
      <c r="BG10" s="9">
        <f>IF(AJ10&lt;&gt;0,AVERAGE(AJ10:AJ$11)*31,)</f>
        <v>5704</v>
      </c>
      <c r="BH10" s="9">
        <f>IF(AN10&lt;&gt;0,AVERAGE(AN10:AN$11)*31,)</f>
        <v>15035</v>
      </c>
      <c r="BI10" s="9">
        <f>IF(AR10&lt;&gt;0,AVERAGE(AR10:AR$11)*31,)</f>
        <v>8804</v>
      </c>
    </row>
    <row r="11" spans="1:61" ht="15.6" x14ac:dyDescent="0.3">
      <c r="A11" s="54">
        <f t="shared" si="14"/>
        <v>7</v>
      </c>
      <c r="B11" s="55" t="s">
        <v>69</v>
      </c>
      <c r="C11" s="10"/>
      <c r="D11" s="6">
        <v>347670</v>
      </c>
      <c r="E11" s="8">
        <f t="shared" si="0"/>
        <v>293</v>
      </c>
      <c r="F11" s="6">
        <v>7079</v>
      </c>
      <c r="G11" s="8">
        <f t="shared" si="1"/>
        <v>0</v>
      </c>
      <c r="H11" s="6">
        <v>103361</v>
      </c>
      <c r="I11" s="8">
        <f t="shared" si="2"/>
        <v>222</v>
      </c>
      <c r="J11" s="46">
        <v>617722</v>
      </c>
      <c r="K11" s="8">
        <f t="shared" si="15"/>
        <v>213</v>
      </c>
      <c r="L11" s="7"/>
      <c r="M11" s="11" t="e">
        <f t="shared" si="16"/>
        <v>#DIV/0!</v>
      </c>
      <c r="N11" s="6">
        <v>14630</v>
      </c>
      <c r="O11" s="8">
        <f t="shared" si="3"/>
        <v>11</v>
      </c>
      <c r="P11" s="12">
        <v>97943</v>
      </c>
      <c r="Q11" s="9">
        <f t="shared" si="4"/>
        <v>31</v>
      </c>
      <c r="R11" s="12">
        <v>40</v>
      </c>
      <c r="S11" s="9">
        <f t="shared" si="5"/>
        <v>0</v>
      </c>
      <c r="T11" s="12">
        <v>203165</v>
      </c>
      <c r="U11" s="9">
        <f t="shared" si="6"/>
        <v>64</v>
      </c>
      <c r="V11" s="13"/>
      <c r="W11" s="8">
        <f t="shared" si="7"/>
        <v>0</v>
      </c>
      <c r="X11" s="46">
        <v>11862</v>
      </c>
      <c r="Y11" s="56"/>
      <c r="Z11" s="8">
        <f t="shared" si="8"/>
        <v>0</v>
      </c>
      <c r="AA11" s="46">
        <v>2593</v>
      </c>
      <c r="AB11" s="6"/>
      <c r="AC11" s="9">
        <f t="shared" si="17"/>
        <v>0</v>
      </c>
      <c r="AD11" s="46">
        <v>314</v>
      </c>
      <c r="AE11" s="12"/>
      <c r="AF11" s="9"/>
      <c r="AG11" s="46">
        <v>1087</v>
      </c>
      <c r="AH11" s="6"/>
      <c r="AI11" s="8">
        <f t="shared" si="18"/>
        <v>0</v>
      </c>
      <c r="AJ11" s="46">
        <v>160</v>
      </c>
      <c r="AK11" s="7"/>
      <c r="AL11" s="6"/>
      <c r="AM11" s="8">
        <f t="shared" si="9"/>
        <v>0</v>
      </c>
      <c r="AN11" s="46">
        <v>463</v>
      </c>
      <c r="AO11" s="7"/>
      <c r="AP11" s="6"/>
      <c r="AQ11" s="8">
        <f t="shared" si="19"/>
        <v>0</v>
      </c>
      <c r="AR11" s="46">
        <v>304</v>
      </c>
      <c r="AS11" s="14">
        <v>19</v>
      </c>
      <c r="AT11" s="14">
        <v>26</v>
      </c>
      <c r="AU11" s="65"/>
      <c r="AV11" s="56"/>
      <c r="AW11" s="66">
        <f t="shared" si="10"/>
        <v>0</v>
      </c>
      <c r="AX11" s="68">
        <v>545</v>
      </c>
      <c r="AY11" s="9">
        <f t="shared" si="11"/>
        <v>0</v>
      </c>
      <c r="AZ11" s="9">
        <f t="shared" si="12"/>
        <v>1297.5714285714284</v>
      </c>
      <c r="BA11" s="9">
        <f t="shared" si="20"/>
        <v>0</v>
      </c>
      <c r="BB11" s="9">
        <f t="shared" si="13"/>
        <v>983.14285714285722</v>
      </c>
      <c r="BC11" s="9">
        <f t="shared" si="21"/>
        <v>48.714285714285715</v>
      </c>
      <c r="BD11" s="9">
        <f t="shared" si="22"/>
        <v>0</v>
      </c>
      <c r="BE11" s="9">
        <f>IF(X11&lt;&gt;0,AVERAGE(X$11:X11)*31,)</f>
        <v>367722</v>
      </c>
      <c r="BF11" s="8">
        <f>IF(AD11+AG11&lt;&gt;0,AVERAGE(AD$11:AD11)*31+AVERAGE(AG$11:AG11)*31,)</f>
        <v>43431</v>
      </c>
      <c r="BG11" s="9">
        <f>IF(AJ11&lt;&gt;0,AVERAGE(AJ$11:AJ11)*31,)</f>
        <v>4960</v>
      </c>
      <c r="BH11" s="9">
        <f>IF(AN11&lt;&gt;0,AVERAGE(AN$11:AN11)*31,)</f>
        <v>14353</v>
      </c>
      <c r="BI11" s="9">
        <f>IF(AR11&lt;&gt;0,AVERAGE(AR$11:AR11)*31,)</f>
        <v>9424</v>
      </c>
    </row>
    <row r="12" spans="1:61" ht="18" customHeight="1" x14ac:dyDescent="0.3">
      <c r="A12" s="54">
        <f t="shared" si="14"/>
        <v>8</v>
      </c>
      <c r="B12" s="55" t="s">
        <v>69</v>
      </c>
      <c r="C12" s="10"/>
      <c r="D12" s="6">
        <v>347914</v>
      </c>
      <c r="E12" s="8">
        <f t="shared" si="0"/>
        <v>244</v>
      </c>
      <c r="F12" s="6">
        <v>7079</v>
      </c>
      <c r="G12" s="8">
        <f t="shared" si="1"/>
        <v>0</v>
      </c>
      <c r="H12" s="6">
        <v>103596</v>
      </c>
      <c r="I12" s="8">
        <f t="shared" si="2"/>
        <v>235</v>
      </c>
      <c r="J12" s="46">
        <v>617947</v>
      </c>
      <c r="K12" s="8">
        <f t="shared" si="15"/>
        <v>225</v>
      </c>
      <c r="L12" s="7"/>
      <c r="M12" s="11" t="e">
        <f t="shared" si="16"/>
        <v>#DIV/0!</v>
      </c>
      <c r="N12" s="6">
        <v>14644</v>
      </c>
      <c r="O12" s="8">
        <f t="shared" si="3"/>
        <v>14</v>
      </c>
      <c r="P12" s="12">
        <v>97977</v>
      </c>
      <c r="Q12" s="9">
        <f t="shared" si="4"/>
        <v>34</v>
      </c>
      <c r="R12" s="12">
        <v>40</v>
      </c>
      <c r="S12" s="9">
        <f t="shared" si="5"/>
        <v>0</v>
      </c>
      <c r="T12" s="12">
        <v>203238</v>
      </c>
      <c r="U12" s="9">
        <f t="shared" si="6"/>
        <v>73</v>
      </c>
      <c r="V12" s="13"/>
      <c r="W12" s="8">
        <f t="shared" si="7"/>
        <v>0</v>
      </c>
      <c r="X12" s="46">
        <v>12680</v>
      </c>
      <c r="Y12" s="56"/>
      <c r="Z12" s="8">
        <f t="shared" si="8"/>
        <v>0</v>
      </c>
      <c r="AA12" s="46">
        <v>2274</v>
      </c>
      <c r="AB12" s="6"/>
      <c r="AC12" s="9">
        <f t="shared" si="17"/>
        <v>0</v>
      </c>
      <c r="AD12" s="46">
        <v>321</v>
      </c>
      <c r="AE12" s="12"/>
      <c r="AF12" s="9"/>
      <c r="AG12" s="46">
        <v>1284</v>
      </c>
      <c r="AH12" s="6"/>
      <c r="AI12" s="8">
        <f t="shared" si="18"/>
        <v>0</v>
      </c>
      <c r="AJ12" s="46">
        <v>216</v>
      </c>
      <c r="AK12" s="7"/>
      <c r="AL12" s="6"/>
      <c r="AM12" s="8">
        <f t="shared" si="9"/>
        <v>0</v>
      </c>
      <c r="AN12" s="46">
        <v>497</v>
      </c>
      <c r="AO12" s="7"/>
      <c r="AP12" s="6"/>
      <c r="AQ12" s="8">
        <f t="shared" si="19"/>
        <v>0</v>
      </c>
      <c r="AR12" s="46">
        <v>224</v>
      </c>
      <c r="AS12" s="14">
        <v>12</v>
      </c>
      <c r="AT12" s="14">
        <v>26</v>
      </c>
      <c r="AU12" s="65"/>
      <c r="AV12" s="56"/>
      <c r="AW12" s="66">
        <f t="shared" si="10"/>
        <v>0</v>
      </c>
      <c r="AX12" s="12">
        <v>547</v>
      </c>
      <c r="AY12" s="9">
        <f t="shared" si="11"/>
        <v>2</v>
      </c>
      <c r="AZ12" s="9">
        <f t="shared" si="12"/>
        <v>2080.875</v>
      </c>
      <c r="BA12" s="9">
        <f t="shared" si="20"/>
        <v>0</v>
      </c>
      <c r="BB12" s="9">
        <f t="shared" si="13"/>
        <v>1770.875</v>
      </c>
      <c r="BC12" s="9">
        <f t="shared" si="21"/>
        <v>96.875</v>
      </c>
      <c r="BD12" s="9">
        <f t="shared" si="22"/>
        <v>0</v>
      </c>
      <c r="BE12" s="9">
        <f>IF(X12&lt;&gt;0,AVERAGE(X$11:X12)*31,)</f>
        <v>380401</v>
      </c>
      <c r="BF12" s="8">
        <f>IF(AD12+AG12&lt;&gt;0,AVERAGE(AD$11:AD12)*31+AVERAGE(AG$11:AG12)*31,)</f>
        <v>46593</v>
      </c>
      <c r="BG12" s="9">
        <f>IF(AJ12&lt;&gt;0,AVERAGE(AJ$11:AJ12)*31,)</f>
        <v>5828</v>
      </c>
      <c r="BH12" s="9">
        <f>IF(AN12&lt;&gt;0,AVERAGE(AN$11:AN12)*31,)</f>
        <v>14880</v>
      </c>
      <c r="BI12" s="9">
        <f>IF(AR12&lt;&gt;0,AVERAGE(AR$11:AR12)*31,)</f>
        <v>8184</v>
      </c>
    </row>
    <row r="13" spans="1:61" ht="15.6" x14ac:dyDescent="0.3">
      <c r="A13" s="54">
        <v>9</v>
      </c>
      <c r="B13" s="55" t="s">
        <v>69</v>
      </c>
      <c r="C13" s="10"/>
      <c r="D13" s="6">
        <v>348266</v>
      </c>
      <c r="E13" s="8">
        <f t="shared" si="0"/>
        <v>352</v>
      </c>
      <c r="F13" s="6">
        <v>7079</v>
      </c>
      <c r="G13" s="8">
        <f t="shared" si="1"/>
        <v>0</v>
      </c>
      <c r="H13" s="6">
        <v>103811</v>
      </c>
      <c r="I13" s="8">
        <f t="shared" si="2"/>
        <v>215</v>
      </c>
      <c r="J13" s="46">
        <v>618154</v>
      </c>
      <c r="K13" s="8">
        <f t="shared" si="15"/>
        <v>207</v>
      </c>
      <c r="L13" s="7"/>
      <c r="M13" s="11" t="e">
        <f t="shared" si="16"/>
        <v>#DIV/0!</v>
      </c>
      <c r="N13" s="6">
        <v>14654</v>
      </c>
      <c r="O13" s="8">
        <f t="shared" si="3"/>
        <v>10</v>
      </c>
      <c r="P13" s="12">
        <v>98007</v>
      </c>
      <c r="Q13" s="9">
        <f t="shared" si="4"/>
        <v>30</v>
      </c>
      <c r="R13" s="12">
        <v>40</v>
      </c>
      <c r="S13" s="9">
        <f t="shared" si="5"/>
        <v>0</v>
      </c>
      <c r="T13" s="12">
        <v>203304</v>
      </c>
      <c r="U13" s="9">
        <f t="shared" si="6"/>
        <v>66</v>
      </c>
      <c r="V13" s="13"/>
      <c r="W13" s="8">
        <f t="shared" si="7"/>
        <v>0</v>
      </c>
      <c r="X13" s="46">
        <v>12505</v>
      </c>
      <c r="Y13" s="56"/>
      <c r="Z13" s="8">
        <f t="shared" si="8"/>
        <v>0</v>
      </c>
      <c r="AA13" s="46">
        <v>1866</v>
      </c>
      <c r="AB13" s="6"/>
      <c r="AC13" s="9">
        <f t="shared" si="17"/>
        <v>0</v>
      </c>
      <c r="AD13" s="46">
        <v>302</v>
      </c>
      <c r="AE13" s="12"/>
      <c r="AF13" s="9"/>
      <c r="AG13" s="46">
        <v>1316</v>
      </c>
      <c r="AH13" s="6"/>
      <c r="AI13" s="8">
        <f t="shared" si="18"/>
        <v>0</v>
      </c>
      <c r="AJ13" s="46">
        <v>200</v>
      </c>
      <c r="AK13" s="7"/>
      <c r="AL13" s="6"/>
      <c r="AM13" s="8">
        <f t="shared" si="9"/>
        <v>0</v>
      </c>
      <c r="AN13" s="46">
        <v>556</v>
      </c>
      <c r="AO13" s="7"/>
      <c r="AP13" s="6"/>
      <c r="AQ13" s="8">
        <f t="shared" si="19"/>
        <v>0</v>
      </c>
      <c r="AR13" s="46">
        <v>272</v>
      </c>
      <c r="AS13" s="14">
        <v>16</v>
      </c>
      <c r="AT13" s="14">
        <v>19</v>
      </c>
      <c r="AU13" s="65"/>
      <c r="AV13" s="56"/>
      <c r="AW13" s="66">
        <f t="shared" si="10"/>
        <v>0</v>
      </c>
      <c r="AX13" s="12">
        <v>547</v>
      </c>
      <c r="AY13" s="9">
        <f t="shared" si="11"/>
        <v>0</v>
      </c>
      <c r="AZ13" s="9">
        <f t="shared" si="12"/>
        <v>3062.1111111111109</v>
      </c>
      <c r="BA13" s="9">
        <f t="shared" si="20"/>
        <v>0</v>
      </c>
      <c r="BB13" s="9">
        <f t="shared" si="13"/>
        <v>2314.666666666667</v>
      </c>
      <c r="BC13" s="9">
        <f t="shared" si="21"/>
        <v>120.55555555555556</v>
      </c>
      <c r="BD13" s="9">
        <f t="shared" si="22"/>
        <v>0</v>
      </c>
      <c r="BE13" s="9">
        <f>IF(X13&lt;&gt;0,AVERAGE(X$11:X13)*31,)</f>
        <v>382819</v>
      </c>
      <c r="BF13" s="8">
        <f>IF(AD13+AG13&lt;&gt;0,AVERAGE(AD$11:AD13)*31+AVERAGE(AG$11:AG13)*31,)</f>
        <v>47781.333333333328</v>
      </c>
      <c r="BG13" s="9">
        <f>IF(AJ13&lt;&gt;0,AVERAGE(AJ$11:AJ13)*31,)</f>
        <v>5952</v>
      </c>
      <c r="BH13" s="9">
        <f>IF(AN13&lt;&gt;0,AVERAGE(AN$11:AN13)*31,)</f>
        <v>15665.333333333332</v>
      </c>
      <c r="BI13" s="9">
        <f>IF(AR13&lt;&gt;0,AVERAGE(AR$11:AR13)*31,)</f>
        <v>8266.6666666666679</v>
      </c>
    </row>
    <row r="14" spans="1:61" ht="15.6" x14ac:dyDescent="0.3">
      <c r="A14" s="54">
        <f>1+A13</f>
        <v>10</v>
      </c>
      <c r="B14" s="55" t="s">
        <v>69</v>
      </c>
      <c r="C14" s="10"/>
      <c r="D14" s="6">
        <v>348611</v>
      </c>
      <c r="E14" s="8">
        <f t="shared" si="0"/>
        <v>345</v>
      </c>
      <c r="F14" s="6">
        <v>7079</v>
      </c>
      <c r="G14" s="8">
        <f t="shared" si="1"/>
        <v>0</v>
      </c>
      <c r="H14" s="6">
        <v>104027</v>
      </c>
      <c r="I14" s="8">
        <f t="shared" si="2"/>
        <v>216</v>
      </c>
      <c r="J14" s="46">
        <v>618362</v>
      </c>
      <c r="K14" s="8">
        <f t="shared" si="15"/>
        <v>208</v>
      </c>
      <c r="L14" s="7"/>
      <c r="M14" s="11" t="e">
        <f t="shared" si="16"/>
        <v>#DIV/0!</v>
      </c>
      <c r="N14" s="6">
        <v>14663</v>
      </c>
      <c r="O14" s="8">
        <f t="shared" si="3"/>
        <v>9</v>
      </c>
      <c r="P14" s="12">
        <v>98036</v>
      </c>
      <c r="Q14" s="9">
        <f t="shared" si="4"/>
        <v>29</v>
      </c>
      <c r="R14" s="12">
        <v>40</v>
      </c>
      <c r="S14" s="9">
        <f t="shared" si="5"/>
        <v>0</v>
      </c>
      <c r="T14" s="12">
        <v>203365</v>
      </c>
      <c r="U14" s="9">
        <f t="shared" si="6"/>
        <v>61</v>
      </c>
      <c r="V14" s="13">
        <v>5512.69</v>
      </c>
      <c r="W14" s="69">
        <f t="shared" si="7"/>
        <v>12127918</v>
      </c>
      <c r="X14" s="46">
        <v>11955</v>
      </c>
      <c r="Y14" s="56">
        <v>1048.3399999999999</v>
      </c>
      <c r="Z14" s="8">
        <f t="shared" si="8"/>
        <v>2306348</v>
      </c>
      <c r="AA14" s="46">
        <v>1825</v>
      </c>
      <c r="AB14" s="6">
        <v>1769884</v>
      </c>
      <c r="AC14" s="9">
        <f>IF(ISBLANK(AB14),0,SUM(AB14-AB4))</f>
        <v>3038</v>
      </c>
      <c r="AD14" s="46">
        <v>298</v>
      </c>
      <c r="AE14" s="12">
        <v>5235919</v>
      </c>
      <c r="AF14" s="9"/>
      <c r="AG14" s="46">
        <v>1136</v>
      </c>
      <c r="AH14" s="6">
        <v>34201</v>
      </c>
      <c r="AI14" s="8">
        <f t="shared" si="18"/>
        <v>2736080</v>
      </c>
      <c r="AJ14" s="46">
        <v>192</v>
      </c>
      <c r="AK14" s="7"/>
      <c r="AL14" s="6">
        <v>236633</v>
      </c>
      <c r="AM14" s="8">
        <f t="shared" si="9"/>
        <v>236633</v>
      </c>
      <c r="AN14" s="46">
        <v>474</v>
      </c>
      <c r="AO14" s="7"/>
      <c r="AP14" s="6">
        <v>46949</v>
      </c>
      <c r="AQ14" s="8">
        <f t="shared" si="19"/>
        <v>3755920</v>
      </c>
      <c r="AR14" s="46">
        <v>304</v>
      </c>
      <c r="AS14" s="14">
        <v>11</v>
      </c>
      <c r="AT14" s="14">
        <v>18</v>
      </c>
      <c r="AU14" s="65"/>
      <c r="AV14" s="56"/>
      <c r="AW14" s="66">
        <f t="shared" si="10"/>
        <v>0</v>
      </c>
      <c r="AX14" s="12">
        <v>548</v>
      </c>
      <c r="AY14" s="9">
        <f t="shared" si="11"/>
        <v>1</v>
      </c>
      <c r="AZ14" s="9">
        <f t="shared" si="12"/>
        <v>3825.4</v>
      </c>
      <c r="BA14" s="9">
        <f t="shared" si="20"/>
        <v>0</v>
      </c>
      <c r="BB14" s="9">
        <f t="shared" si="13"/>
        <v>2752.7999999999997</v>
      </c>
      <c r="BC14" s="9">
        <f t="shared" si="21"/>
        <v>136.4</v>
      </c>
      <c r="BD14" s="9">
        <f t="shared" si="22"/>
        <v>37596545.800000004</v>
      </c>
      <c r="BE14" s="9">
        <f>IF(X14&lt;&gt;0,AVERAGE(X$11:X14)*31,)</f>
        <v>379765.5</v>
      </c>
      <c r="BF14" s="8">
        <f>IF(AD14+AG14&lt;&gt;0,AVERAGE(AD$11:AD14)*31+AVERAGE(AG$11:AG14)*31,)</f>
        <v>46949.5</v>
      </c>
      <c r="BG14" s="9">
        <f>IF(AJ14&lt;&gt;0,AVERAGE(AJ$11:AJ14)*31,)</f>
        <v>5952</v>
      </c>
      <c r="BH14" s="9">
        <f>IF(AN14&lt;&gt;0,AVERAGE(AN$11:AN14)*31,)</f>
        <v>15422.5</v>
      </c>
      <c r="BI14" s="9">
        <f>IF(AR14&lt;&gt;0,AVERAGE(AR$11:AR14)*31,)</f>
        <v>8556</v>
      </c>
    </row>
    <row r="15" spans="1:61" ht="15.6" x14ac:dyDescent="0.3">
      <c r="A15" s="54">
        <f>1+A14</f>
        <v>11</v>
      </c>
      <c r="B15" s="55" t="s">
        <v>69</v>
      </c>
      <c r="D15" s="6">
        <v>348943</v>
      </c>
      <c r="E15" s="8">
        <f t="shared" si="0"/>
        <v>332</v>
      </c>
      <c r="F15" s="6">
        <v>7079</v>
      </c>
      <c r="G15" s="8">
        <f t="shared" si="1"/>
        <v>0</v>
      </c>
      <c r="H15" s="6">
        <v>104268</v>
      </c>
      <c r="I15" s="8">
        <f t="shared" si="2"/>
        <v>241</v>
      </c>
      <c r="J15" s="46">
        <v>618594</v>
      </c>
      <c r="K15" s="8">
        <f t="shared" si="15"/>
        <v>232</v>
      </c>
      <c r="L15" s="7"/>
      <c r="M15" s="11" t="e">
        <f t="shared" si="16"/>
        <v>#DIV/0!</v>
      </c>
      <c r="N15" s="6">
        <v>14701</v>
      </c>
      <c r="O15" s="8">
        <f t="shared" si="3"/>
        <v>38</v>
      </c>
      <c r="P15" s="12">
        <v>98057</v>
      </c>
      <c r="Q15" s="9">
        <f t="shared" si="4"/>
        <v>21</v>
      </c>
      <c r="R15" s="12">
        <v>40</v>
      </c>
      <c r="S15" s="9">
        <f t="shared" si="5"/>
        <v>0</v>
      </c>
      <c r="T15" s="12">
        <v>203421</v>
      </c>
      <c r="U15" s="9">
        <f t="shared" si="6"/>
        <v>56</v>
      </c>
      <c r="V15" s="13"/>
      <c r="W15" s="69">
        <f t="shared" si="7"/>
        <v>0</v>
      </c>
      <c r="X15" s="46">
        <v>12078</v>
      </c>
      <c r="Y15" s="56"/>
      <c r="Z15" s="8">
        <f t="shared" si="8"/>
        <v>0</v>
      </c>
      <c r="AA15" s="46">
        <v>2216</v>
      </c>
      <c r="AB15" s="6"/>
      <c r="AC15" s="9">
        <f t="shared" si="17"/>
        <v>0</v>
      </c>
      <c r="AD15" s="46">
        <v>295</v>
      </c>
      <c r="AE15" s="12"/>
      <c r="AF15" s="9"/>
      <c r="AG15" s="46">
        <v>1212</v>
      </c>
      <c r="AH15" s="6"/>
      <c r="AI15" s="8">
        <f t="shared" si="18"/>
        <v>0</v>
      </c>
      <c r="AJ15" s="46">
        <v>168</v>
      </c>
      <c r="AK15" s="7"/>
      <c r="AL15" s="6"/>
      <c r="AM15" s="8">
        <f t="shared" si="9"/>
        <v>0</v>
      </c>
      <c r="AN15" s="46">
        <v>465</v>
      </c>
      <c r="AO15" s="7"/>
      <c r="AP15" s="6"/>
      <c r="AQ15" s="8">
        <f t="shared" si="19"/>
        <v>0</v>
      </c>
      <c r="AR15" s="46">
        <v>296</v>
      </c>
      <c r="AS15" s="14">
        <v>13</v>
      </c>
      <c r="AT15" s="14">
        <v>22</v>
      </c>
      <c r="AU15" s="65"/>
      <c r="AV15" s="56"/>
      <c r="AW15" s="66">
        <f t="shared" si="10"/>
        <v>0</v>
      </c>
      <c r="AX15" s="12">
        <v>548</v>
      </c>
      <c r="AY15" s="9">
        <f t="shared" si="11"/>
        <v>0</v>
      </c>
      <c r="AZ15" s="9">
        <f t="shared" si="12"/>
        <v>4413.2727272727279</v>
      </c>
      <c r="BA15" s="9">
        <f t="shared" si="20"/>
        <v>0</v>
      </c>
      <c r="BB15" s="9">
        <f t="shared" si="13"/>
        <v>3181.727272727273</v>
      </c>
      <c r="BC15" s="9">
        <f t="shared" si="21"/>
        <v>231.09090909090907</v>
      </c>
      <c r="BD15" s="9">
        <f t="shared" si="22"/>
        <v>0</v>
      </c>
      <c r="BE15" s="9">
        <f>IF(X15&lt;&gt;0,AVERAGE(X$11:X15)*31,)</f>
        <v>378696</v>
      </c>
      <c r="BF15" s="8">
        <f>IF(AD15+AG15&lt;&gt;0,AVERAGE(AD$11:AD15)*31+AVERAGE(AG$11:AG15)*31,)</f>
        <v>46903</v>
      </c>
      <c r="BG15" s="9">
        <f>IF(AJ15&lt;&gt;0,AVERAGE(AJ$11:AJ15)*31,)</f>
        <v>5803.2</v>
      </c>
      <c r="BH15" s="9">
        <f>IF(AN15&lt;&gt;0,AVERAGE(AN$11:AN15)*31,)</f>
        <v>15221</v>
      </c>
      <c r="BI15" s="9">
        <f>IF(AR15&lt;&gt;0,AVERAGE(AR$11:AR15)*31,)</f>
        <v>8680</v>
      </c>
    </row>
    <row r="16" spans="1:61" ht="15.6" x14ac:dyDescent="0.3">
      <c r="A16" s="54">
        <f>1+A15</f>
        <v>12</v>
      </c>
      <c r="B16" s="55" t="s">
        <v>69</v>
      </c>
      <c r="C16" s="10"/>
      <c r="D16" s="6">
        <v>349216</v>
      </c>
      <c r="E16" s="8">
        <f t="shared" si="0"/>
        <v>273</v>
      </c>
      <c r="F16" s="6">
        <v>7079</v>
      </c>
      <c r="G16" s="8">
        <f t="shared" si="1"/>
        <v>0</v>
      </c>
      <c r="H16" s="6">
        <v>104497</v>
      </c>
      <c r="I16" s="8">
        <f t="shared" si="2"/>
        <v>229</v>
      </c>
      <c r="J16" s="46">
        <v>618814</v>
      </c>
      <c r="K16" s="8">
        <f t="shared" si="15"/>
        <v>220</v>
      </c>
      <c r="L16" s="7"/>
      <c r="M16" s="11" t="e">
        <f t="shared" si="16"/>
        <v>#DIV/0!</v>
      </c>
      <c r="N16" s="6">
        <v>14720</v>
      </c>
      <c r="O16" s="8">
        <f t="shared" si="3"/>
        <v>19</v>
      </c>
      <c r="P16" s="12">
        <v>98078</v>
      </c>
      <c r="Q16" s="9">
        <f>IF(ISBLANK(P16),0,P16-P15)</f>
        <v>21</v>
      </c>
      <c r="R16" s="12">
        <v>40</v>
      </c>
      <c r="S16" s="9">
        <f>IF(ISBLANK(R16),0,R16-R15)</f>
        <v>0</v>
      </c>
      <c r="T16" s="12">
        <v>203472</v>
      </c>
      <c r="U16" s="9">
        <f t="shared" si="6"/>
        <v>51</v>
      </c>
      <c r="V16" s="13"/>
      <c r="W16" s="8">
        <f t="shared" si="7"/>
        <v>0</v>
      </c>
      <c r="X16" s="46">
        <v>12114</v>
      </c>
      <c r="Y16" s="56"/>
      <c r="Z16" s="8">
        <f t="shared" si="8"/>
        <v>0</v>
      </c>
      <c r="AA16" s="46">
        <v>2478</v>
      </c>
      <c r="AB16" s="6"/>
      <c r="AC16" s="9">
        <f t="shared" si="17"/>
        <v>0</v>
      </c>
      <c r="AD16" s="46">
        <v>313</v>
      </c>
      <c r="AE16" s="12"/>
      <c r="AF16" s="9"/>
      <c r="AG16" s="46">
        <v>1291</v>
      </c>
      <c r="AH16" s="6"/>
      <c r="AI16" s="8">
        <f t="shared" si="18"/>
        <v>0</v>
      </c>
      <c r="AJ16" s="46">
        <v>208</v>
      </c>
      <c r="AK16" s="7"/>
      <c r="AL16" s="6"/>
      <c r="AM16" s="8">
        <f t="shared" si="9"/>
        <v>0</v>
      </c>
      <c r="AN16" s="46">
        <v>462</v>
      </c>
      <c r="AO16" s="7"/>
      <c r="AP16" s="6"/>
      <c r="AQ16" s="8">
        <f t="shared" si="19"/>
        <v>0</v>
      </c>
      <c r="AR16" s="46">
        <v>256</v>
      </c>
      <c r="AS16" s="14">
        <v>12</v>
      </c>
      <c r="AT16" s="14">
        <v>22</v>
      </c>
      <c r="AU16" s="65"/>
      <c r="AV16" s="56"/>
      <c r="AW16" s="66">
        <f t="shared" si="10"/>
        <v>0</v>
      </c>
      <c r="AX16" s="12">
        <v>548</v>
      </c>
      <c r="AY16" s="9">
        <f t="shared" si="11"/>
        <v>0</v>
      </c>
      <c r="AZ16" s="9">
        <f t="shared" si="12"/>
        <v>4750.75</v>
      </c>
      <c r="BA16" s="9">
        <f t="shared" si="20"/>
        <v>0</v>
      </c>
      <c r="BB16" s="9">
        <f t="shared" si="13"/>
        <v>3508.166666666667</v>
      </c>
      <c r="BC16" s="9">
        <f t="shared" si="21"/>
        <v>260.91666666666663</v>
      </c>
      <c r="BD16" s="9">
        <f t="shared" si="22"/>
        <v>0</v>
      </c>
      <c r="BE16" s="9">
        <f>IF(X16&lt;&gt;0,AVERAGE(X$11:X16)*31,)</f>
        <v>378169</v>
      </c>
      <c r="BF16" s="8">
        <f>IF(AD16+AG16&lt;&gt;0,AVERAGE(AD$11:AD16)*31+AVERAGE(AG$11:AG16)*31,)</f>
        <v>47373.166666666672</v>
      </c>
      <c r="BG16" s="9">
        <f>IF(AJ16&lt;&gt;0,AVERAGE(AJ$11:AJ16)*31,)</f>
        <v>5910.6666666666661</v>
      </c>
      <c r="BH16" s="9">
        <f>IF(AN16&lt;&gt;0,AVERAGE(AN$11:AN16)*31,)</f>
        <v>15071.166666666668</v>
      </c>
      <c r="BI16" s="9">
        <f>IF(AR16&lt;&gt;0,AVERAGE(AR$11:AR16)*31,)</f>
        <v>8556</v>
      </c>
    </row>
    <row r="17" spans="1:61" ht="15.6" x14ac:dyDescent="0.3">
      <c r="A17" s="54">
        <v>13</v>
      </c>
      <c r="B17" s="55" t="s">
        <v>69</v>
      </c>
      <c r="C17" s="10"/>
      <c r="D17" s="6">
        <v>349502</v>
      </c>
      <c r="E17" s="8">
        <f t="shared" si="0"/>
        <v>286</v>
      </c>
      <c r="F17" s="6">
        <v>7079</v>
      </c>
      <c r="G17" s="8">
        <f t="shared" si="1"/>
        <v>0</v>
      </c>
      <c r="H17" s="6">
        <v>104748</v>
      </c>
      <c r="I17" s="8">
        <f t="shared" si="2"/>
        <v>251</v>
      </c>
      <c r="J17" s="46">
        <v>619054</v>
      </c>
      <c r="K17" s="8">
        <f t="shared" si="15"/>
        <v>240</v>
      </c>
      <c r="L17" s="7"/>
      <c r="M17" s="11" t="e">
        <f t="shared" si="16"/>
        <v>#DIV/0!</v>
      </c>
      <c r="N17" s="6">
        <v>14745</v>
      </c>
      <c r="O17" s="8">
        <f t="shared" si="3"/>
        <v>25</v>
      </c>
      <c r="P17" s="12">
        <v>98105</v>
      </c>
      <c r="Q17" s="9">
        <f t="shared" si="4"/>
        <v>27</v>
      </c>
      <c r="R17" s="12">
        <v>40</v>
      </c>
      <c r="S17" s="9">
        <f t="shared" si="5"/>
        <v>0</v>
      </c>
      <c r="T17" s="12">
        <v>203531</v>
      </c>
      <c r="U17" s="9">
        <f t="shared" si="6"/>
        <v>59</v>
      </c>
      <c r="V17" s="13"/>
      <c r="W17" s="8">
        <f t="shared" si="7"/>
        <v>0</v>
      </c>
      <c r="X17" s="46">
        <v>12178</v>
      </c>
      <c r="Y17" s="56"/>
      <c r="Z17" s="8">
        <f t="shared" si="8"/>
        <v>0</v>
      </c>
      <c r="AA17" s="46">
        <v>2460</v>
      </c>
      <c r="AB17" s="6"/>
      <c r="AC17" s="9">
        <f t="shared" si="17"/>
        <v>0</v>
      </c>
      <c r="AD17" s="46">
        <v>311</v>
      </c>
      <c r="AE17" s="12"/>
      <c r="AF17" s="9"/>
      <c r="AG17" s="46">
        <v>1244</v>
      </c>
      <c r="AH17" s="6"/>
      <c r="AI17" s="8">
        <f t="shared" si="18"/>
        <v>0</v>
      </c>
      <c r="AJ17" s="46">
        <v>208</v>
      </c>
      <c r="AK17" s="7"/>
      <c r="AL17" s="6"/>
      <c r="AM17" s="8">
        <f t="shared" si="9"/>
        <v>0</v>
      </c>
      <c r="AN17" s="46">
        <v>519</v>
      </c>
      <c r="AO17" s="7"/>
      <c r="AP17" s="6"/>
      <c r="AQ17" s="8">
        <f t="shared" si="19"/>
        <v>0</v>
      </c>
      <c r="AR17" s="46">
        <v>304</v>
      </c>
      <c r="AS17" s="14">
        <v>11</v>
      </c>
      <c r="AT17" s="14">
        <v>21</v>
      </c>
      <c r="AU17" s="65"/>
      <c r="AV17" s="56"/>
      <c r="AW17" s="66">
        <f t="shared" si="10"/>
        <v>0</v>
      </c>
      <c r="AX17" s="12">
        <v>548</v>
      </c>
      <c r="AY17" s="9">
        <f t="shared" si="11"/>
        <v>0</v>
      </c>
      <c r="AZ17" s="9">
        <f t="shared" si="12"/>
        <v>5067.3076923076924</v>
      </c>
      <c r="BA17" s="9">
        <f t="shared" si="20"/>
        <v>0</v>
      </c>
      <c r="BB17" s="9">
        <f t="shared" si="13"/>
        <v>3836.8461538461538</v>
      </c>
      <c r="BC17" s="9">
        <f t="shared" si="21"/>
        <v>300.46153846153845</v>
      </c>
      <c r="BD17" s="9">
        <f t="shared" si="22"/>
        <v>0</v>
      </c>
      <c r="BE17" s="9">
        <f>IF(X17&lt;&gt;0,AVERAGE(X$11:X17)*31,)</f>
        <v>378076</v>
      </c>
      <c r="BF17" s="8">
        <f>IF(AD17+AG17&lt;&gt;0,AVERAGE(AD$11:AD17)*31+AVERAGE(AG$11:AG17)*31,)</f>
        <v>47491.999999999993</v>
      </c>
      <c r="BG17" s="9">
        <f>IF(AJ17&lt;&gt;0,AVERAGE(AJ$11:AJ17)*31,)</f>
        <v>5987.4285714285716</v>
      </c>
      <c r="BH17" s="9">
        <f>IF(AN17&lt;&gt;0,AVERAGE(AN$11:AN17)*31,)</f>
        <v>15216.571428571428</v>
      </c>
      <c r="BI17" s="9">
        <f>IF(AR17&lt;&gt;0,AVERAGE(AR$11:AR17)*31,)</f>
        <v>8680</v>
      </c>
    </row>
    <row r="18" spans="1:61" ht="15.6" x14ac:dyDescent="0.3">
      <c r="A18" s="54">
        <f t="shared" ref="A18:A35" si="23">1+A17</f>
        <v>14</v>
      </c>
      <c r="B18" s="55" t="s">
        <v>69</v>
      </c>
      <c r="C18" s="10"/>
      <c r="D18" s="6">
        <v>349796</v>
      </c>
      <c r="E18" s="8">
        <f t="shared" si="0"/>
        <v>294</v>
      </c>
      <c r="F18" s="6">
        <v>7080</v>
      </c>
      <c r="G18" s="8">
        <f t="shared" si="1"/>
        <v>1</v>
      </c>
      <c r="H18" s="6">
        <v>104967</v>
      </c>
      <c r="I18" s="8">
        <f t="shared" si="2"/>
        <v>219</v>
      </c>
      <c r="J18" s="46">
        <v>619265</v>
      </c>
      <c r="K18" s="8">
        <f t="shared" si="15"/>
        <v>211</v>
      </c>
      <c r="L18" s="7"/>
      <c r="M18" s="11" t="e">
        <f t="shared" si="16"/>
        <v>#DIV/0!</v>
      </c>
      <c r="N18" s="6">
        <v>14754</v>
      </c>
      <c r="O18" s="8">
        <f t="shared" si="3"/>
        <v>9</v>
      </c>
      <c r="P18" s="12">
        <v>98135</v>
      </c>
      <c r="Q18" s="9">
        <f t="shared" si="4"/>
        <v>30</v>
      </c>
      <c r="R18" s="12">
        <v>40</v>
      </c>
      <c r="S18" s="9">
        <v>0</v>
      </c>
      <c r="T18" s="12">
        <v>203594</v>
      </c>
      <c r="U18" s="9">
        <f t="shared" si="6"/>
        <v>63</v>
      </c>
      <c r="V18" s="13"/>
      <c r="W18" s="8">
        <f t="shared" si="7"/>
        <v>0</v>
      </c>
      <c r="X18" s="46">
        <v>12049</v>
      </c>
      <c r="Y18" s="56"/>
      <c r="Z18" s="69">
        <f t="shared" si="8"/>
        <v>0</v>
      </c>
      <c r="AA18" s="46">
        <v>2490</v>
      </c>
      <c r="AB18" s="6"/>
      <c r="AC18" s="9">
        <f t="shared" si="17"/>
        <v>0</v>
      </c>
      <c r="AD18" s="46">
        <v>335</v>
      </c>
      <c r="AE18" s="12"/>
      <c r="AF18" s="9"/>
      <c r="AG18" s="46">
        <v>1240</v>
      </c>
      <c r="AH18" s="6"/>
      <c r="AI18" s="8">
        <f t="shared" si="18"/>
        <v>0</v>
      </c>
      <c r="AJ18" s="46">
        <v>152</v>
      </c>
      <c r="AK18" s="7"/>
      <c r="AL18" s="6"/>
      <c r="AM18" s="8">
        <f t="shared" si="9"/>
        <v>0</v>
      </c>
      <c r="AN18" s="46">
        <v>539</v>
      </c>
      <c r="AO18" s="7"/>
      <c r="AP18" s="6"/>
      <c r="AQ18" s="8">
        <f t="shared" si="19"/>
        <v>0</v>
      </c>
      <c r="AR18" s="46">
        <v>272</v>
      </c>
      <c r="AS18" s="14">
        <v>11</v>
      </c>
      <c r="AT18" s="14">
        <v>19</v>
      </c>
      <c r="AU18" s="65"/>
      <c r="AV18" s="56"/>
      <c r="AW18" s="66">
        <f t="shared" si="10"/>
        <v>0</v>
      </c>
      <c r="AX18" s="12">
        <v>551</v>
      </c>
      <c r="AY18" s="9">
        <f t="shared" si="11"/>
        <v>3</v>
      </c>
      <c r="AZ18" s="9">
        <f t="shared" si="12"/>
        <v>5356.3571428571422</v>
      </c>
      <c r="BA18" s="9">
        <f t="shared" si="20"/>
        <v>2.214285714285714</v>
      </c>
      <c r="BB18" s="9">
        <f t="shared" si="13"/>
        <v>4047.7142857142862</v>
      </c>
      <c r="BC18" s="9">
        <f t="shared" si="21"/>
        <v>298.92857142857139</v>
      </c>
      <c r="BD18" s="9">
        <f t="shared" si="22"/>
        <v>0</v>
      </c>
      <c r="BE18" s="9">
        <f>IF(X18&lt;&gt;0,AVERAGE(X$11:X18)*31,)</f>
        <v>377506.375</v>
      </c>
      <c r="BF18" s="8">
        <f>IF(AD18+AG18&lt;&gt;0,AVERAGE(AD$11:AD18)*31+AVERAGE(AG$11:AG18)*31,)</f>
        <v>47658.625</v>
      </c>
      <c r="BG18" s="9">
        <f>IF(AJ18&lt;&gt;0,AVERAGE(AJ$11:AJ18)*31,)</f>
        <v>5828</v>
      </c>
      <c r="BH18" s="9">
        <f>IF(AN18&lt;&gt;0,AVERAGE(AN$11:AN18)*31,)</f>
        <v>15403.125</v>
      </c>
      <c r="BI18" s="9">
        <f>IF(AR18&lt;&gt;0,AVERAGE(AR$11:AR18)*31,)</f>
        <v>8649</v>
      </c>
    </row>
    <row r="19" spans="1:61" ht="15.6" x14ac:dyDescent="0.3">
      <c r="A19" s="54">
        <f t="shared" si="23"/>
        <v>15</v>
      </c>
      <c r="B19" s="55" t="s">
        <v>69</v>
      </c>
      <c r="C19" s="10"/>
      <c r="D19" s="6">
        <v>350062</v>
      </c>
      <c r="E19" s="8">
        <f t="shared" si="0"/>
        <v>266</v>
      </c>
      <c r="F19" s="6">
        <v>7080</v>
      </c>
      <c r="G19" s="8">
        <f t="shared" si="1"/>
        <v>0</v>
      </c>
      <c r="H19" s="6">
        <v>105181</v>
      </c>
      <c r="I19" s="8">
        <f t="shared" si="2"/>
        <v>214</v>
      </c>
      <c r="J19" s="46">
        <v>619471</v>
      </c>
      <c r="K19" s="8">
        <f t="shared" si="15"/>
        <v>206</v>
      </c>
      <c r="L19" s="7"/>
      <c r="M19" s="11" t="e">
        <f t="shared" si="16"/>
        <v>#DIV/0!</v>
      </c>
      <c r="N19" s="6">
        <v>14762</v>
      </c>
      <c r="O19" s="8">
        <f t="shared" si="3"/>
        <v>8</v>
      </c>
      <c r="P19" s="12">
        <v>98165</v>
      </c>
      <c r="Q19" s="9">
        <f t="shared" si="4"/>
        <v>30</v>
      </c>
      <c r="R19" s="12">
        <v>41</v>
      </c>
      <c r="S19" s="9">
        <f t="shared" si="5"/>
        <v>1</v>
      </c>
      <c r="T19" s="12">
        <v>203652</v>
      </c>
      <c r="U19" s="9">
        <f t="shared" si="6"/>
        <v>58</v>
      </c>
      <c r="V19" s="13"/>
      <c r="W19" s="8">
        <f t="shared" si="7"/>
        <v>0</v>
      </c>
      <c r="X19" s="46">
        <v>11546</v>
      </c>
      <c r="Y19" s="56"/>
      <c r="Z19" s="69">
        <f t="shared" si="8"/>
        <v>0</v>
      </c>
      <c r="AA19" s="46">
        <v>2329</v>
      </c>
      <c r="AB19" s="6"/>
      <c r="AC19" s="9">
        <f t="shared" si="17"/>
        <v>0</v>
      </c>
      <c r="AD19" s="46">
        <v>311</v>
      </c>
      <c r="AE19" s="12"/>
      <c r="AF19" s="9"/>
      <c r="AG19" s="46">
        <v>1344</v>
      </c>
      <c r="AH19" s="6"/>
      <c r="AI19" s="8">
        <f t="shared" si="18"/>
        <v>0</v>
      </c>
      <c r="AJ19" s="46">
        <v>224</v>
      </c>
      <c r="AK19" s="7"/>
      <c r="AL19" s="6"/>
      <c r="AM19" s="8">
        <f t="shared" si="9"/>
        <v>0</v>
      </c>
      <c r="AN19" s="46">
        <v>479</v>
      </c>
      <c r="AO19" s="7"/>
      <c r="AP19" s="6"/>
      <c r="AQ19" s="8">
        <f t="shared" si="19"/>
        <v>0</v>
      </c>
      <c r="AR19" s="46">
        <v>272</v>
      </c>
      <c r="AS19" s="14">
        <v>14</v>
      </c>
      <c r="AT19" s="14">
        <v>22</v>
      </c>
      <c r="AU19" s="65"/>
      <c r="AV19" s="56"/>
      <c r="AW19" s="66">
        <f t="shared" si="10"/>
        <v>0</v>
      </c>
      <c r="AX19" s="12">
        <v>551</v>
      </c>
      <c r="AY19" s="9">
        <f t="shared" si="11"/>
        <v>0</v>
      </c>
      <c r="AZ19" s="9">
        <f t="shared" si="12"/>
        <v>5549</v>
      </c>
      <c r="BA19" s="9">
        <f t="shared" si="20"/>
        <v>2.0666666666666664</v>
      </c>
      <c r="BB19" s="9">
        <f t="shared" si="13"/>
        <v>4220.1333333333332</v>
      </c>
      <c r="BC19" s="9">
        <f t="shared" si="21"/>
        <v>295.5333333333333</v>
      </c>
      <c r="BD19" s="9">
        <f t="shared" si="22"/>
        <v>0</v>
      </c>
      <c r="BE19" s="9">
        <f>IF(X19&lt;&gt;0,AVERAGE(X$11:X19)*31,)</f>
        <v>375330.77777777781</v>
      </c>
      <c r="BF19" s="8">
        <f>IF(AD19+AG19&lt;&gt;0,AVERAGE(AD$11:AD19)*31+AVERAGE(AG$11:AG19)*31,)</f>
        <v>48063.777777777774</v>
      </c>
      <c r="BG19" s="9">
        <f>IF(AJ19&lt;&gt;0,AVERAGE(AJ$11:AJ19)*31,)</f>
        <v>5952</v>
      </c>
      <c r="BH19" s="9">
        <f>IF(AN19&lt;&gt;0,AVERAGE(AN$11:AN19)*31,)</f>
        <v>15341.555555555557</v>
      </c>
      <c r="BI19" s="9">
        <f>IF(AR19&lt;&gt;0,AVERAGE(AR$11:AR19)*31,)</f>
        <v>8624.8888888888887</v>
      </c>
    </row>
    <row r="20" spans="1:61" ht="15.6" x14ac:dyDescent="0.3">
      <c r="A20" s="54">
        <f t="shared" si="23"/>
        <v>16</v>
      </c>
      <c r="B20" s="55" t="s">
        <v>69</v>
      </c>
      <c r="C20" s="10"/>
      <c r="D20" s="6">
        <v>350281</v>
      </c>
      <c r="E20" s="8">
        <f t="shared" si="0"/>
        <v>219</v>
      </c>
      <c r="F20" s="6">
        <v>7080</v>
      </c>
      <c r="G20" s="8">
        <f t="shared" si="1"/>
        <v>0</v>
      </c>
      <c r="H20" s="6">
        <v>105378</v>
      </c>
      <c r="I20" s="8">
        <f>IF(ISBLANK(H20),0,H20-H19)</f>
        <v>197</v>
      </c>
      <c r="J20" s="46">
        <v>619660</v>
      </c>
      <c r="K20" s="8">
        <f t="shared" si="15"/>
        <v>189</v>
      </c>
      <c r="L20" s="7"/>
      <c r="M20" s="11" t="e">
        <f t="shared" si="16"/>
        <v>#DIV/0!</v>
      </c>
      <c r="N20" s="6">
        <v>14772</v>
      </c>
      <c r="O20" s="70">
        <f t="shared" si="3"/>
        <v>10</v>
      </c>
      <c r="P20" s="12">
        <v>98191</v>
      </c>
      <c r="Q20" s="9">
        <f t="shared" si="4"/>
        <v>26</v>
      </c>
      <c r="R20" s="12">
        <v>41</v>
      </c>
      <c r="S20" s="9">
        <f t="shared" si="5"/>
        <v>0</v>
      </c>
      <c r="T20" s="12">
        <v>203710</v>
      </c>
      <c r="U20" s="9">
        <f t="shared" si="6"/>
        <v>58</v>
      </c>
      <c r="V20" s="13"/>
      <c r="W20" s="8">
        <f t="shared" si="7"/>
        <v>0</v>
      </c>
      <c r="X20" s="46">
        <v>12151</v>
      </c>
      <c r="Y20" s="56"/>
      <c r="Z20" s="69">
        <f t="shared" si="8"/>
        <v>0</v>
      </c>
      <c r="AA20" s="46">
        <v>2592</v>
      </c>
      <c r="AB20" s="6"/>
      <c r="AC20" s="9">
        <f t="shared" si="17"/>
        <v>0</v>
      </c>
      <c r="AD20" s="46">
        <v>318</v>
      </c>
      <c r="AE20" s="12"/>
      <c r="AF20" s="9"/>
      <c r="AG20" s="46">
        <v>1291</v>
      </c>
      <c r="AH20" s="6"/>
      <c r="AI20" s="8">
        <f t="shared" si="18"/>
        <v>0</v>
      </c>
      <c r="AJ20" s="46">
        <v>248</v>
      </c>
      <c r="AK20" s="7"/>
      <c r="AL20" s="6"/>
      <c r="AM20" s="8">
        <f t="shared" si="9"/>
        <v>0</v>
      </c>
      <c r="AN20" s="46">
        <v>446</v>
      </c>
      <c r="AO20" s="7"/>
      <c r="AP20" s="6"/>
      <c r="AQ20" s="8">
        <f t="shared" si="19"/>
        <v>0</v>
      </c>
      <c r="AR20" s="46">
        <v>240</v>
      </c>
      <c r="AS20" s="14">
        <v>15</v>
      </c>
      <c r="AT20" s="14">
        <v>23</v>
      </c>
      <c r="AU20" s="65"/>
      <c r="AV20" s="56"/>
      <c r="AW20" s="66">
        <f t="shared" si="10"/>
        <v>0</v>
      </c>
      <c r="AX20" s="12">
        <v>552</v>
      </c>
      <c r="AY20" s="9">
        <f t="shared" si="11"/>
        <v>1</v>
      </c>
      <c r="AZ20" s="9">
        <f t="shared" si="12"/>
        <v>5626.5</v>
      </c>
      <c r="BA20" s="9">
        <f t="shared" si="20"/>
        <v>1.9375</v>
      </c>
      <c r="BB20" s="9">
        <f t="shared" si="13"/>
        <v>4338.0625</v>
      </c>
      <c r="BC20" s="9">
        <f t="shared" si="21"/>
        <v>296.4375</v>
      </c>
      <c r="BD20" s="9">
        <f t="shared" si="22"/>
        <v>0</v>
      </c>
      <c r="BE20" s="9">
        <f>IF(X20&lt;&gt;0,AVERAGE(X$11:X20)*31,)</f>
        <v>375465.8</v>
      </c>
      <c r="BF20" s="8">
        <f>IF(AD20+AG20&lt;&gt;0,AVERAGE(AD$11:AD20)*31+AVERAGE(AG$11:AG20)*31,)</f>
        <v>48245.3</v>
      </c>
      <c r="BG20" s="9">
        <f>IF(AJ20&lt;&gt;0,AVERAGE(AJ$11:AJ20)*31,)</f>
        <v>6125.5999999999995</v>
      </c>
      <c r="BH20" s="9">
        <f>IF(AN20&lt;&gt;0,AVERAGE(AN$11:AN20)*31,)</f>
        <v>15190</v>
      </c>
      <c r="BI20" s="9">
        <f>IF(AR20&lt;&gt;0,AVERAGE(AR$11:AR20)*31,)</f>
        <v>8506.4</v>
      </c>
    </row>
    <row r="21" spans="1:61" ht="15.6" x14ac:dyDescent="0.3">
      <c r="A21" s="54">
        <f t="shared" si="23"/>
        <v>17</v>
      </c>
      <c r="B21" s="55" t="s">
        <v>69</v>
      </c>
      <c r="C21" s="10"/>
      <c r="D21" s="6">
        <v>350504</v>
      </c>
      <c r="E21" s="8">
        <f t="shared" si="0"/>
        <v>223</v>
      </c>
      <c r="F21" s="6">
        <v>7081</v>
      </c>
      <c r="G21" s="8">
        <f t="shared" si="1"/>
        <v>1</v>
      </c>
      <c r="H21" s="6">
        <v>105585</v>
      </c>
      <c r="I21" s="8">
        <f t="shared" si="2"/>
        <v>207</v>
      </c>
      <c r="J21" s="46">
        <v>619859</v>
      </c>
      <c r="K21" s="8">
        <f t="shared" si="15"/>
        <v>199</v>
      </c>
      <c r="L21" s="7"/>
      <c r="M21" s="11" t="e">
        <f t="shared" si="16"/>
        <v>#DIV/0!</v>
      </c>
      <c r="N21" s="6">
        <v>14782</v>
      </c>
      <c r="O21" s="8">
        <f>IF(ISBLANK(N21),0,N21-N20)</f>
        <v>10</v>
      </c>
      <c r="P21" s="12">
        <v>98216</v>
      </c>
      <c r="Q21" s="9">
        <f t="shared" si="4"/>
        <v>25</v>
      </c>
      <c r="R21" s="12">
        <v>41</v>
      </c>
      <c r="S21" s="9">
        <f t="shared" si="5"/>
        <v>0</v>
      </c>
      <c r="T21" s="12">
        <v>203764</v>
      </c>
      <c r="U21" s="9">
        <f t="shared" si="6"/>
        <v>54</v>
      </c>
      <c r="V21" s="13"/>
      <c r="W21" s="8">
        <f t="shared" si="7"/>
        <v>0</v>
      </c>
      <c r="X21" s="46">
        <v>11390</v>
      </c>
      <c r="Y21" s="56"/>
      <c r="Z21" s="69">
        <f t="shared" si="8"/>
        <v>0</v>
      </c>
      <c r="AA21" s="46">
        <v>2129</v>
      </c>
      <c r="AB21" s="6"/>
      <c r="AC21" s="9">
        <f t="shared" si="17"/>
        <v>0</v>
      </c>
      <c r="AD21" s="46">
        <v>311</v>
      </c>
      <c r="AE21" s="12"/>
      <c r="AF21" s="9"/>
      <c r="AG21" s="46">
        <v>1087</v>
      </c>
      <c r="AH21" s="6"/>
      <c r="AI21" s="8">
        <f t="shared" si="18"/>
        <v>0</v>
      </c>
      <c r="AJ21" s="46">
        <v>176</v>
      </c>
      <c r="AK21" s="7"/>
      <c r="AL21" s="6"/>
      <c r="AM21" s="8">
        <f t="shared" si="9"/>
        <v>0</v>
      </c>
      <c r="AN21" s="46">
        <v>432</v>
      </c>
      <c r="AO21" s="7"/>
      <c r="AP21" s="6"/>
      <c r="AQ21" s="8">
        <f t="shared" si="19"/>
        <v>0</v>
      </c>
      <c r="AR21" s="46">
        <v>304</v>
      </c>
      <c r="AS21" s="14">
        <v>17</v>
      </c>
      <c r="AT21" s="14">
        <v>22</v>
      </c>
      <c r="AU21" s="65"/>
      <c r="AV21" s="56"/>
      <c r="AW21" s="66">
        <f t="shared" si="10"/>
        <v>0</v>
      </c>
      <c r="AX21" s="12">
        <v>553</v>
      </c>
      <c r="AY21" s="9">
        <f t="shared" si="11"/>
        <v>1</v>
      </c>
      <c r="AZ21" s="9">
        <f t="shared" si="12"/>
        <v>5702.1764705882351</v>
      </c>
      <c r="BA21" s="9">
        <f t="shared" si="20"/>
        <v>3.6470588235294117</v>
      </c>
      <c r="BB21" s="9">
        <f t="shared" si="13"/>
        <v>4460.3529411764703</v>
      </c>
      <c r="BC21" s="9">
        <f t="shared" si="21"/>
        <v>297.23529411764707</v>
      </c>
      <c r="BD21" s="9">
        <f t="shared" si="22"/>
        <v>0</v>
      </c>
      <c r="BE21" s="9">
        <f>IF(X21&lt;&gt;0,AVERAGE(X$11:X21)*31,)</f>
        <v>373431.63636363635</v>
      </c>
      <c r="BF21" s="8">
        <f>IF(AD21+AG21&lt;&gt;0,AVERAGE(AD$11:AD21)*31+AVERAGE(AG$11:AG21)*31,)</f>
        <v>47799.181818181823</v>
      </c>
      <c r="BG21" s="9">
        <f>IF(AJ21&lt;&gt;0,AVERAGE(AJ$11:AJ21)*31,)</f>
        <v>6064.7272727272721</v>
      </c>
      <c r="BH21" s="9">
        <f>IF(AN21&lt;&gt;0,AVERAGE(AN$11:AN21)*31,)</f>
        <v>15026.545454545456</v>
      </c>
      <c r="BI21" s="9">
        <f>IF(AR21&lt;&gt;0,AVERAGE(AR$11:AR21)*31,)</f>
        <v>8589.8181818181802</v>
      </c>
    </row>
    <row r="22" spans="1:61" ht="15.6" x14ac:dyDescent="0.3">
      <c r="A22" s="54">
        <f t="shared" si="23"/>
        <v>18</v>
      </c>
      <c r="B22" s="55" t="s">
        <v>69</v>
      </c>
      <c r="C22" s="10"/>
      <c r="D22" s="6">
        <v>350794</v>
      </c>
      <c r="E22" s="8">
        <f t="shared" si="0"/>
        <v>290</v>
      </c>
      <c r="F22" s="6">
        <v>7081</v>
      </c>
      <c r="G22" s="8">
        <f t="shared" si="1"/>
        <v>0</v>
      </c>
      <c r="H22" s="6">
        <v>105793</v>
      </c>
      <c r="I22" s="8">
        <f t="shared" si="2"/>
        <v>208</v>
      </c>
      <c r="J22" s="46">
        <v>620058</v>
      </c>
      <c r="K22" s="8">
        <f t="shared" si="15"/>
        <v>199</v>
      </c>
      <c r="L22" s="7"/>
      <c r="M22" s="11" t="e">
        <f t="shared" si="16"/>
        <v>#DIV/0!</v>
      </c>
      <c r="N22" s="6">
        <v>14795</v>
      </c>
      <c r="O22" s="8">
        <f t="shared" si="3"/>
        <v>13</v>
      </c>
      <c r="P22" s="12">
        <v>98246</v>
      </c>
      <c r="Q22" s="9">
        <f t="shared" si="4"/>
        <v>30</v>
      </c>
      <c r="R22" s="12">
        <v>41</v>
      </c>
      <c r="S22" s="9">
        <f t="shared" si="5"/>
        <v>0</v>
      </c>
      <c r="T22" s="12">
        <v>203815</v>
      </c>
      <c r="U22" s="9">
        <f t="shared" si="6"/>
        <v>51</v>
      </c>
      <c r="V22" s="13"/>
      <c r="W22" s="8">
        <f t="shared" si="7"/>
        <v>0</v>
      </c>
      <c r="X22" s="46">
        <v>12958</v>
      </c>
      <c r="Y22" s="56"/>
      <c r="Z22" s="8">
        <f t="shared" si="8"/>
        <v>0</v>
      </c>
      <c r="AA22" s="46">
        <v>2119</v>
      </c>
      <c r="AB22" s="6"/>
      <c r="AC22" s="9">
        <f t="shared" si="17"/>
        <v>0</v>
      </c>
      <c r="AD22" s="46">
        <v>302</v>
      </c>
      <c r="AE22" s="12"/>
      <c r="AF22" s="9"/>
      <c r="AG22" s="46">
        <v>1241</v>
      </c>
      <c r="AH22" s="6"/>
      <c r="AI22" s="8">
        <f t="shared" si="18"/>
        <v>0</v>
      </c>
      <c r="AJ22" s="46">
        <v>160</v>
      </c>
      <c r="AK22" s="7"/>
      <c r="AL22" s="6"/>
      <c r="AM22" s="8">
        <f t="shared" si="9"/>
        <v>0</v>
      </c>
      <c r="AN22" s="46">
        <v>459</v>
      </c>
      <c r="AO22" s="7"/>
      <c r="AP22" s="6"/>
      <c r="AQ22" s="8">
        <f t="shared" si="19"/>
        <v>0</v>
      </c>
      <c r="AR22" s="46">
        <v>264</v>
      </c>
      <c r="AS22" s="14">
        <v>18</v>
      </c>
      <c r="AT22" s="14">
        <v>22</v>
      </c>
      <c r="AU22" s="65"/>
      <c r="AV22" s="56"/>
      <c r="AW22" s="66">
        <f t="shared" si="10"/>
        <v>0</v>
      </c>
      <c r="AX22" s="12">
        <v>553</v>
      </c>
      <c r="AY22" s="9">
        <f t="shared" si="11"/>
        <v>0</v>
      </c>
      <c r="AZ22" s="9">
        <f t="shared" si="12"/>
        <v>5884.8333333333339</v>
      </c>
      <c r="BA22" s="9">
        <f t="shared" si="20"/>
        <v>3.4444444444444442</v>
      </c>
      <c r="BB22" s="9">
        <f t="shared" si="13"/>
        <v>4570.7777777777783</v>
      </c>
      <c r="BC22" s="9">
        <f t="shared" si="21"/>
        <v>303.11111111111114</v>
      </c>
      <c r="BD22" s="9">
        <f t="shared" si="22"/>
        <v>0</v>
      </c>
      <c r="BE22" s="9">
        <f>IF(X22&lt;&gt;0,AVERAGE(X$11:X22)*31,)</f>
        <v>375787.16666666663</v>
      </c>
      <c r="BF22" s="8">
        <f>IF(AD22+AG22&lt;&gt;0,AVERAGE(AD$11:AD22)*31+AVERAGE(AG$11:AG22)*31,)</f>
        <v>47802</v>
      </c>
      <c r="BG22" s="9">
        <f>IF(AJ22&lt;&gt;0,AVERAGE(AJ$11:AJ22)*31,)</f>
        <v>5972.6666666666661</v>
      </c>
      <c r="BH22" s="9">
        <f>IF(AN22&lt;&gt;0,AVERAGE(AN$11:AN22)*31,)</f>
        <v>14960.083333333332</v>
      </c>
      <c r="BI22" s="9">
        <f>IF(AR22&lt;&gt;0,AVERAGE(AR$11:AR22)*31,)</f>
        <v>8556</v>
      </c>
    </row>
    <row r="23" spans="1:61" ht="15.6" x14ac:dyDescent="0.3">
      <c r="A23" s="54">
        <f t="shared" si="23"/>
        <v>19</v>
      </c>
      <c r="B23" s="55" t="s">
        <v>69</v>
      </c>
      <c r="C23" s="10"/>
      <c r="D23" s="6">
        <v>351071</v>
      </c>
      <c r="E23" s="8">
        <f t="shared" si="0"/>
        <v>277</v>
      </c>
      <c r="F23" s="6">
        <v>7082</v>
      </c>
      <c r="G23" s="8">
        <f t="shared" si="1"/>
        <v>1</v>
      </c>
      <c r="H23" s="6">
        <v>105999</v>
      </c>
      <c r="I23" s="8">
        <f t="shared" si="2"/>
        <v>206</v>
      </c>
      <c r="J23" s="46">
        <v>620256</v>
      </c>
      <c r="K23" s="8">
        <f t="shared" si="15"/>
        <v>198</v>
      </c>
      <c r="L23" s="7"/>
      <c r="M23" s="11" t="e">
        <f t="shared" si="16"/>
        <v>#DIV/0!</v>
      </c>
      <c r="N23" s="6">
        <v>14807</v>
      </c>
      <c r="O23" s="8">
        <f t="shared" si="3"/>
        <v>12</v>
      </c>
      <c r="P23" s="12">
        <v>98280</v>
      </c>
      <c r="Q23" s="9">
        <f t="shared" si="4"/>
        <v>34</v>
      </c>
      <c r="R23" s="12">
        <v>41</v>
      </c>
      <c r="S23" s="9">
        <f t="shared" si="5"/>
        <v>0</v>
      </c>
      <c r="T23" s="12">
        <v>203874</v>
      </c>
      <c r="U23" s="9">
        <f t="shared" si="6"/>
        <v>59</v>
      </c>
      <c r="V23" s="13"/>
      <c r="W23" s="8">
        <f t="shared" si="7"/>
        <v>0</v>
      </c>
      <c r="X23" s="46">
        <v>12878</v>
      </c>
      <c r="Y23" s="56"/>
      <c r="Z23" s="8">
        <f t="shared" si="8"/>
        <v>0</v>
      </c>
      <c r="AA23" s="46">
        <v>2660</v>
      </c>
      <c r="AB23" s="6"/>
      <c r="AC23" s="9">
        <f t="shared" si="17"/>
        <v>0</v>
      </c>
      <c r="AD23" s="46">
        <v>312</v>
      </c>
      <c r="AE23" s="12"/>
      <c r="AF23" s="9"/>
      <c r="AG23" s="46">
        <v>1251</v>
      </c>
      <c r="AH23" s="6"/>
      <c r="AI23" s="8">
        <f t="shared" si="18"/>
        <v>0</v>
      </c>
      <c r="AJ23" s="46">
        <v>264</v>
      </c>
      <c r="AK23" s="7"/>
      <c r="AL23" s="71"/>
      <c r="AM23" s="8">
        <f t="shared" si="9"/>
        <v>0</v>
      </c>
      <c r="AN23" s="46">
        <v>468</v>
      </c>
      <c r="AO23" s="7"/>
      <c r="AP23" s="6"/>
      <c r="AQ23" s="8">
        <f t="shared" si="19"/>
        <v>0</v>
      </c>
      <c r="AR23" s="46">
        <v>232</v>
      </c>
      <c r="AS23" s="58">
        <v>13</v>
      </c>
      <c r="AT23" s="58">
        <v>21</v>
      </c>
      <c r="AU23" s="65"/>
      <c r="AV23" s="56"/>
      <c r="AW23" s="66">
        <f t="shared" si="10"/>
        <v>0</v>
      </c>
      <c r="AX23" s="12">
        <v>553</v>
      </c>
      <c r="AY23" s="9">
        <f t="shared" si="11"/>
        <v>0</v>
      </c>
      <c r="AZ23" s="9">
        <f t="shared" si="12"/>
        <v>6027.0526315789475</v>
      </c>
      <c r="BA23" s="9">
        <f t="shared" si="20"/>
        <v>4.8947368421052628</v>
      </c>
      <c r="BB23" s="9">
        <f t="shared" si="13"/>
        <v>4666.3157894736842</v>
      </c>
      <c r="BC23" s="9">
        <f t="shared" si="21"/>
        <v>306.73684210526318</v>
      </c>
      <c r="BD23" s="9">
        <f t="shared" si="22"/>
        <v>0</v>
      </c>
      <c r="BE23" s="9">
        <f>IF(X23&lt;&gt;0,AVERAGE(X$11:X23)*31,)</f>
        <v>377589.53846153844</v>
      </c>
      <c r="BF23" s="8">
        <f>IF(AD23+AG23&lt;&gt;0,AVERAGE(AD$11:AD23)*31+AVERAGE(AG$11:AG23)*31,)</f>
        <v>47852.076923076922</v>
      </c>
      <c r="BG23" s="9">
        <f>IF(AJ23&lt;&gt;0,AVERAGE(AJ$11:AJ23)*31,)</f>
        <v>6142.7692307692314</v>
      </c>
      <c r="BH23" s="9">
        <f>IF(AN23&lt;&gt;0,AVERAGE(AN$11:AN23)*31,)</f>
        <v>14925.307692307691</v>
      </c>
      <c r="BI23" s="9">
        <f>IF(AR23&lt;&gt;0,AVERAGE(AR$11:AR23)*31,)</f>
        <v>8451.0769230769238</v>
      </c>
    </row>
    <row r="24" spans="1:61" ht="15.6" x14ac:dyDescent="0.3">
      <c r="A24" s="54">
        <f t="shared" si="23"/>
        <v>20</v>
      </c>
      <c r="B24" s="55" t="s">
        <v>69</v>
      </c>
      <c r="C24" s="10"/>
      <c r="D24" s="6">
        <v>351339</v>
      </c>
      <c r="E24" s="8">
        <f t="shared" si="0"/>
        <v>268</v>
      </c>
      <c r="F24" s="6">
        <v>7082</v>
      </c>
      <c r="G24" s="8">
        <f t="shared" si="1"/>
        <v>0</v>
      </c>
      <c r="H24" s="6">
        <v>106202</v>
      </c>
      <c r="I24" s="8">
        <f t="shared" si="2"/>
        <v>203</v>
      </c>
      <c r="J24" s="46">
        <v>620451</v>
      </c>
      <c r="K24" s="8">
        <f t="shared" si="15"/>
        <v>195</v>
      </c>
      <c r="L24" s="7"/>
      <c r="M24" s="11" t="e">
        <f t="shared" si="16"/>
        <v>#DIV/0!</v>
      </c>
      <c r="N24" s="6">
        <v>14816</v>
      </c>
      <c r="O24" s="8">
        <f t="shared" si="3"/>
        <v>9</v>
      </c>
      <c r="P24" s="12">
        <v>98311</v>
      </c>
      <c r="Q24" s="9">
        <f t="shared" si="4"/>
        <v>31</v>
      </c>
      <c r="R24" s="12">
        <v>41</v>
      </c>
      <c r="S24" s="9">
        <f t="shared" si="5"/>
        <v>0</v>
      </c>
      <c r="T24" s="12">
        <v>203931</v>
      </c>
      <c r="U24" s="9">
        <f t="shared" si="6"/>
        <v>57</v>
      </c>
      <c r="V24" s="13">
        <v>5573.7439999999997</v>
      </c>
      <c r="W24" s="8">
        <f t="shared" si="7"/>
        <v>12262236.799999999</v>
      </c>
      <c r="X24" s="46">
        <v>12413</v>
      </c>
      <c r="Y24" s="56">
        <v>1060.22</v>
      </c>
      <c r="Z24" s="8">
        <f t="shared" si="8"/>
        <v>2332484</v>
      </c>
      <c r="AA24" s="46">
        <v>2220</v>
      </c>
      <c r="AB24" s="6">
        <v>1772999</v>
      </c>
      <c r="AC24" s="9">
        <f>IF(ISBLANK(AB24),0,SUM(AB24-AB14))</f>
        <v>3115</v>
      </c>
      <c r="AD24" s="46">
        <v>299</v>
      </c>
      <c r="AE24" s="12">
        <v>5248360</v>
      </c>
      <c r="AF24" s="9"/>
      <c r="AG24" s="46">
        <v>1214</v>
      </c>
      <c r="AH24" s="6">
        <v>34227</v>
      </c>
      <c r="AI24" s="8">
        <f t="shared" si="18"/>
        <v>2738160</v>
      </c>
      <c r="AJ24" s="46">
        <v>272</v>
      </c>
      <c r="AK24" s="7"/>
      <c r="AL24" s="6">
        <v>241383</v>
      </c>
      <c r="AM24" s="8">
        <f t="shared" si="9"/>
        <v>241383</v>
      </c>
      <c r="AN24" s="46">
        <v>472</v>
      </c>
      <c r="AO24" s="7"/>
      <c r="AP24" s="6">
        <v>46982</v>
      </c>
      <c r="AQ24" s="8">
        <f t="shared" si="19"/>
        <v>3758560</v>
      </c>
      <c r="AR24" s="46">
        <v>296</v>
      </c>
      <c r="AS24" s="14">
        <v>14</v>
      </c>
      <c r="AT24" s="14">
        <v>20</v>
      </c>
      <c r="AU24" s="65"/>
      <c r="AV24" s="56"/>
      <c r="AW24" s="66">
        <f t="shared" si="10"/>
        <v>0</v>
      </c>
      <c r="AX24" s="12">
        <v>554</v>
      </c>
      <c r="AY24" s="9">
        <f t="shared" si="11"/>
        <v>1</v>
      </c>
      <c r="AZ24" s="9">
        <f t="shared" si="12"/>
        <v>6141.0999999999995</v>
      </c>
      <c r="BA24" s="9">
        <f t="shared" si="20"/>
        <v>4.6499999999999995</v>
      </c>
      <c r="BB24" s="9">
        <f t="shared" si="13"/>
        <v>4747.6500000000005</v>
      </c>
      <c r="BC24" s="9">
        <f t="shared" si="21"/>
        <v>305.34999999999997</v>
      </c>
      <c r="BD24" s="9">
        <f t="shared" si="22"/>
        <v>19006467.039999999</v>
      </c>
      <c r="BE24" s="9">
        <f>IF(X24&lt;&gt;0,AVERAGE(X$11:X24)*31,)</f>
        <v>378104.78571428568</v>
      </c>
      <c r="BF24" s="8">
        <f>IF(AD24+AG24&lt;&gt;0,AVERAGE(AD$11:AD24)*31+AVERAGE(AG$11:AG24)*31,)</f>
        <v>47784.28571428571</v>
      </c>
      <c r="BG24" s="9">
        <f>IF(AJ24&lt;&gt;0,AVERAGE(AJ$11:AJ24)*31,)</f>
        <v>6306.2857142857138</v>
      </c>
      <c r="BH24" s="9">
        <f>IF(AN24&lt;&gt;0,AVERAGE(AN$11:AN24)*31,)</f>
        <v>14904.357142857143</v>
      </c>
      <c r="BI24" s="9">
        <f>IF(AR24&lt;&gt;0,AVERAGE(AR$11:AR24)*31,)</f>
        <v>8502.8571428571431</v>
      </c>
    </row>
    <row r="25" spans="1:61" ht="15.6" x14ac:dyDescent="0.3">
      <c r="A25" s="54">
        <f t="shared" si="23"/>
        <v>21</v>
      </c>
      <c r="B25" s="55" t="s">
        <v>69</v>
      </c>
      <c r="C25" s="10"/>
      <c r="D25" s="6">
        <v>351621</v>
      </c>
      <c r="E25" s="8">
        <f t="shared" si="0"/>
        <v>282</v>
      </c>
      <c r="F25" s="6">
        <v>7083</v>
      </c>
      <c r="G25" s="8">
        <f t="shared" si="1"/>
        <v>1</v>
      </c>
      <c r="H25" s="6">
        <v>106406</v>
      </c>
      <c r="I25" s="8">
        <f t="shared" si="2"/>
        <v>204</v>
      </c>
      <c r="J25" s="46">
        <v>620647</v>
      </c>
      <c r="K25" s="8">
        <f t="shared" si="15"/>
        <v>196</v>
      </c>
      <c r="L25" s="7"/>
      <c r="M25" s="11" t="e">
        <f t="shared" si="16"/>
        <v>#DIV/0!</v>
      </c>
      <c r="N25" s="6">
        <v>14824</v>
      </c>
      <c r="O25" s="8">
        <f t="shared" si="3"/>
        <v>8</v>
      </c>
      <c r="P25" s="12">
        <v>98323</v>
      </c>
      <c r="Q25" s="9">
        <f t="shared" si="4"/>
        <v>12</v>
      </c>
      <c r="R25" s="12">
        <v>41</v>
      </c>
      <c r="S25" s="9">
        <f t="shared" si="5"/>
        <v>0</v>
      </c>
      <c r="T25" s="12">
        <v>203970</v>
      </c>
      <c r="U25" s="9">
        <f t="shared" si="6"/>
        <v>39</v>
      </c>
      <c r="V25" s="13"/>
      <c r="W25" s="8">
        <f t="shared" si="7"/>
        <v>0</v>
      </c>
      <c r="X25" s="46">
        <v>11892</v>
      </c>
      <c r="Y25" s="56"/>
      <c r="Z25" s="8">
        <f t="shared" si="8"/>
        <v>0</v>
      </c>
      <c r="AA25" s="46">
        <v>1946</v>
      </c>
      <c r="AB25" s="6"/>
      <c r="AC25" s="9">
        <f t="shared" si="17"/>
        <v>0</v>
      </c>
      <c r="AD25" s="46">
        <v>303</v>
      </c>
      <c r="AE25" s="12"/>
      <c r="AF25" s="9"/>
      <c r="AG25" s="46">
        <v>1141</v>
      </c>
      <c r="AH25" s="6"/>
      <c r="AI25" s="8">
        <f t="shared" si="18"/>
        <v>0</v>
      </c>
      <c r="AJ25" s="46">
        <v>224</v>
      </c>
      <c r="AK25" s="7"/>
      <c r="AL25" s="6"/>
      <c r="AM25" s="8">
        <f t="shared" si="9"/>
        <v>0</v>
      </c>
      <c r="AN25" s="46">
        <v>526</v>
      </c>
      <c r="AO25" s="7"/>
      <c r="AP25" s="6"/>
      <c r="AQ25" s="8">
        <f t="shared" si="19"/>
        <v>0</v>
      </c>
      <c r="AR25" s="46">
        <v>240</v>
      </c>
      <c r="AS25" s="14">
        <v>13</v>
      </c>
      <c r="AT25" s="14">
        <v>21</v>
      </c>
      <c r="AU25" s="65"/>
      <c r="AV25" s="56"/>
      <c r="AW25" s="66">
        <f t="shared" si="10"/>
        <v>0</v>
      </c>
      <c r="AX25" s="12">
        <v>554</v>
      </c>
      <c r="AY25" s="9">
        <f t="shared" si="11"/>
        <v>0</v>
      </c>
      <c r="AZ25" s="9">
        <f t="shared" si="12"/>
        <v>6264.9523809523807</v>
      </c>
      <c r="BA25" s="9">
        <f t="shared" si="20"/>
        <v>5.9047619047619042</v>
      </c>
      <c r="BB25" s="9">
        <f t="shared" si="13"/>
        <v>4822.7142857142862</v>
      </c>
      <c r="BC25" s="9">
        <f t="shared" si="21"/>
        <v>302.61904761904765</v>
      </c>
      <c r="BD25" s="9">
        <f t="shared" si="22"/>
        <v>0</v>
      </c>
      <c r="BE25" s="9">
        <f>IF(X25&lt;&gt;0,AVERAGE(X$11:X25)*31,)</f>
        <v>377474.60000000003</v>
      </c>
      <c r="BF25" s="8">
        <f>IF(AD25+AG25&lt;&gt;0,AVERAGE(AD$11:AD25)*31+AVERAGE(AG$11:AG25)*31,)</f>
        <v>47582.933333333334</v>
      </c>
      <c r="BG25" s="9">
        <f>IF(AJ25&lt;&gt;0,AVERAGE(AJ$11:AJ25)*31,)</f>
        <v>6348.8</v>
      </c>
      <c r="BH25" s="9">
        <f>IF(AN25&lt;&gt;0,AVERAGE(AN$11:AN25)*31,)</f>
        <v>14997.800000000001</v>
      </c>
      <c r="BI25" s="9">
        <f>IF(AR25&lt;&gt;0,AVERAGE(AR$11:AR25)*31,)</f>
        <v>8432</v>
      </c>
    </row>
    <row r="26" spans="1:61" ht="15.6" x14ac:dyDescent="0.3">
      <c r="A26" s="54">
        <f t="shared" si="23"/>
        <v>22</v>
      </c>
      <c r="B26" s="55" t="s">
        <v>69</v>
      </c>
      <c r="C26" s="10"/>
      <c r="D26" s="6">
        <v>351897</v>
      </c>
      <c r="E26" s="8">
        <f t="shared" si="0"/>
        <v>276</v>
      </c>
      <c r="F26" s="6">
        <v>7083</v>
      </c>
      <c r="G26" s="8">
        <f t="shared" si="1"/>
        <v>0</v>
      </c>
      <c r="H26" s="6">
        <v>106562</v>
      </c>
      <c r="I26" s="8">
        <f t="shared" si="2"/>
        <v>156</v>
      </c>
      <c r="J26" s="46">
        <v>620797</v>
      </c>
      <c r="K26" s="8">
        <f t="shared" si="15"/>
        <v>150</v>
      </c>
      <c r="L26" s="7"/>
      <c r="M26" s="11" t="e">
        <f t="shared" si="16"/>
        <v>#DIV/0!</v>
      </c>
      <c r="N26" s="6">
        <v>14832</v>
      </c>
      <c r="O26" s="8">
        <f t="shared" si="3"/>
        <v>8</v>
      </c>
      <c r="P26" s="12">
        <v>98323</v>
      </c>
      <c r="Q26" s="9">
        <f t="shared" si="4"/>
        <v>0</v>
      </c>
      <c r="R26" s="12">
        <v>41</v>
      </c>
      <c r="S26" s="9">
        <f t="shared" si="5"/>
        <v>0</v>
      </c>
      <c r="T26" s="12">
        <v>203990</v>
      </c>
      <c r="U26" s="9">
        <f t="shared" si="6"/>
        <v>20</v>
      </c>
      <c r="V26" s="13"/>
      <c r="W26" s="8">
        <f t="shared" si="7"/>
        <v>0</v>
      </c>
      <c r="X26" s="46">
        <v>12024</v>
      </c>
      <c r="Y26" s="56"/>
      <c r="Z26" s="8">
        <f t="shared" si="8"/>
        <v>0</v>
      </c>
      <c r="AA26" s="46">
        <v>1945</v>
      </c>
      <c r="AB26" s="6"/>
      <c r="AC26" s="9">
        <f t="shared" si="17"/>
        <v>0</v>
      </c>
      <c r="AD26" s="46">
        <v>320</v>
      </c>
      <c r="AE26" s="12"/>
      <c r="AF26" s="9"/>
      <c r="AG26" s="46">
        <v>1354</v>
      </c>
      <c r="AH26" s="6"/>
      <c r="AI26" s="8">
        <f t="shared" si="18"/>
        <v>0</v>
      </c>
      <c r="AJ26" s="46">
        <v>232</v>
      </c>
      <c r="AK26" s="7"/>
      <c r="AL26" s="6"/>
      <c r="AM26" s="8">
        <f t="shared" si="9"/>
        <v>0</v>
      </c>
      <c r="AN26" s="46">
        <v>493</v>
      </c>
      <c r="AO26" s="7"/>
      <c r="AP26" s="6"/>
      <c r="AQ26" s="8">
        <f t="shared" si="19"/>
        <v>0</v>
      </c>
      <c r="AR26" s="46">
        <v>216</v>
      </c>
      <c r="AS26" s="14">
        <v>14</v>
      </c>
      <c r="AT26" s="14">
        <v>23</v>
      </c>
      <c r="AU26" s="65"/>
      <c r="AV26" s="56"/>
      <c r="AW26" s="66">
        <f t="shared" si="10"/>
        <v>0</v>
      </c>
      <c r="AX26" s="12">
        <v>555</v>
      </c>
      <c r="AY26" s="9">
        <f t="shared" si="11"/>
        <v>1</v>
      </c>
      <c r="AZ26" s="9">
        <f t="shared" si="12"/>
        <v>6369.0909090909099</v>
      </c>
      <c r="BA26" s="9">
        <f t="shared" si="20"/>
        <v>5.6363636363636367</v>
      </c>
      <c r="BB26" s="9">
        <f t="shared" si="13"/>
        <v>4823.318181818182</v>
      </c>
      <c r="BC26" s="9">
        <f t="shared" si="21"/>
        <v>300.13636363636363</v>
      </c>
      <c r="BD26" s="9">
        <f t="shared" si="22"/>
        <v>0</v>
      </c>
      <c r="BE26" s="9">
        <f>IF(X26&lt;&gt;0,AVERAGE(X$11:X26)*31,)</f>
        <v>377178.9375</v>
      </c>
      <c r="BF26" s="8">
        <f>IF(AD26+AG26&lt;&gt;0,AVERAGE(AD$11:AD26)*31+AVERAGE(AG$11:AG26)*31,)</f>
        <v>47852.375</v>
      </c>
      <c r="BG26" s="9">
        <f>IF(AJ26&lt;&gt;0,AVERAGE(AJ$11:AJ26)*31,)</f>
        <v>6401.5</v>
      </c>
      <c r="BH26" s="9">
        <f>IF(AN26&lt;&gt;0,AVERAGE(AN$11:AN26)*31,)</f>
        <v>15015.625</v>
      </c>
      <c r="BI26" s="9">
        <f>IF(AR26&lt;&gt;0,AVERAGE(AR$11:AR26)*31,)</f>
        <v>8323.5</v>
      </c>
    </row>
    <row r="27" spans="1:61" ht="15.6" x14ac:dyDescent="0.3">
      <c r="A27" s="54">
        <f t="shared" si="23"/>
        <v>23</v>
      </c>
      <c r="B27" s="55" t="s">
        <v>69</v>
      </c>
      <c r="C27" s="10"/>
      <c r="D27" s="6">
        <v>352154</v>
      </c>
      <c r="E27" s="8">
        <f t="shared" si="0"/>
        <v>257</v>
      </c>
      <c r="F27" s="6">
        <v>7083</v>
      </c>
      <c r="G27" s="8">
        <f t="shared" si="1"/>
        <v>0</v>
      </c>
      <c r="H27" s="6">
        <v>106755</v>
      </c>
      <c r="I27" s="8">
        <f t="shared" si="2"/>
        <v>193</v>
      </c>
      <c r="J27" s="46">
        <v>620983</v>
      </c>
      <c r="K27" s="8">
        <f t="shared" si="15"/>
        <v>186</v>
      </c>
      <c r="L27" s="7"/>
      <c r="M27" s="11" t="e">
        <f t="shared" si="16"/>
        <v>#DIV/0!</v>
      </c>
      <c r="N27" s="6">
        <v>14843</v>
      </c>
      <c r="O27" s="8">
        <f t="shared" si="3"/>
        <v>11</v>
      </c>
      <c r="P27" s="12">
        <v>98336</v>
      </c>
      <c r="Q27" s="9">
        <f t="shared" si="4"/>
        <v>13</v>
      </c>
      <c r="R27" s="12">
        <v>41</v>
      </c>
      <c r="S27" s="9">
        <f t="shared" si="5"/>
        <v>0</v>
      </c>
      <c r="T27" s="12">
        <v>204030</v>
      </c>
      <c r="U27" s="9">
        <f t="shared" si="6"/>
        <v>40</v>
      </c>
      <c r="V27" s="13"/>
      <c r="W27" s="8">
        <f t="shared" si="7"/>
        <v>0</v>
      </c>
      <c r="X27" s="46">
        <v>12412</v>
      </c>
      <c r="Y27" s="56"/>
      <c r="Z27" s="8">
        <f t="shared" si="8"/>
        <v>0</v>
      </c>
      <c r="AA27" s="46">
        <v>2607</v>
      </c>
      <c r="AB27" s="6"/>
      <c r="AC27" s="9">
        <f t="shared" si="17"/>
        <v>0</v>
      </c>
      <c r="AD27" s="46">
        <v>323</v>
      </c>
      <c r="AE27" s="12"/>
      <c r="AF27" s="9"/>
      <c r="AG27" s="46">
        <v>1338</v>
      </c>
      <c r="AH27" s="6"/>
      <c r="AI27" s="8">
        <f t="shared" si="18"/>
        <v>0</v>
      </c>
      <c r="AJ27" s="46">
        <v>232</v>
      </c>
      <c r="AK27" s="7"/>
      <c r="AL27" s="6"/>
      <c r="AM27" s="8">
        <f t="shared" si="9"/>
        <v>0</v>
      </c>
      <c r="AN27" s="46">
        <v>525</v>
      </c>
      <c r="AO27" s="7"/>
      <c r="AP27" s="6"/>
      <c r="AQ27" s="8">
        <f t="shared" si="19"/>
        <v>0</v>
      </c>
      <c r="AR27" s="46">
        <v>264</v>
      </c>
      <c r="AS27" s="14">
        <v>13</v>
      </c>
      <c r="AT27" s="14">
        <v>22</v>
      </c>
      <c r="AU27" s="65"/>
      <c r="AV27" s="56"/>
      <c r="AW27" s="66">
        <f t="shared" si="10"/>
        <v>0</v>
      </c>
      <c r="AX27" s="12">
        <v>555</v>
      </c>
      <c r="AY27" s="9">
        <f t="shared" si="11"/>
        <v>0</v>
      </c>
      <c r="AZ27" s="9">
        <f t="shared" si="12"/>
        <v>6438.565217391304</v>
      </c>
      <c r="BA27" s="9">
        <f t="shared" si="20"/>
        <v>5.3913043478260869</v>
      </c>
      <c r="BB27" s="9">
        <f t="shared" si="13"/>
        <v>4873.7391304347821</v>
      </c>
      <c r="BC27" s="9">
        <f t="shared" si="21"/>
        <v>301.91304347826087</v>
      </c>
      <c r="BD27" s="9">
        <f t="shared" si="22"/>
        <v>0</v>
      </c>
      <c r="BE27" s="9">
        <f>IF(X27&lt;&gt;0,AVERAGE(X$11:X27)*31,)</f>
        <v>377625.5882352941</v>
      </c>
      <c r="BF27" s="8">
        <f>IF(AD27+AG27&lt;&gt;0,AVERAGE(AD$11:AD27)*31+AVERAGE(AG$11:AG27)*31,)</f>
        <v>48066.411764705881</v>
      </c>
      <c r="BG27" s="9">
        <f>IF(AJ27&lt;&gt;0,AVERAGE(AJ$11:AJ27)*31,)</f>
        <v>6448</v>
      </c>
      <c r="BH27" s="9">
        <f>IF(AN27&lt;&gt;0,AVERAGE(AN$11:AN27)*31,)</f>
        <v>15089.705882352941</v>
      </c>
      <c r="BI27" s="9">
        <f>IF(AR27&lt;&gt;0,AVERAGE(AR$11:AR27)*31,)</f>
        <v>8315.2941176470595</v>
      </c>
    </row>
    <row r="28" spans="1:61" ht="15.6" x14ac:dyDescent="0.3">
      <c r="A28" s="54">
        <f t="shared" si="23"/>
        <v>24</v>
      </c>
      <c r="B28" s="55" t="s">
        <v>69</v>
      </c>
      <c r="C28" s="10"/>
      <c r="D28" s="6">
        <v>352428</v>
      </c>
      <c r="E28" s="8">
        <f t="shared" si="0"/>
        <v>274</v>
      </c>
      <c r="F28" s="6">
        <v>7084</v>
      </c>
      <c r="G28" s="8">
        <f t="shared" si="1"/>
        <v>1</v>
      </c>
      <c r="H28" s="6">
        <v>106984</v>
      </c>
      <c r="I28" s="8">
        <f t="shared" si="2"/>
        <v>229</v>
      </c>
      <c r="J28" s="46">
        <v>621202</v>
      </c>
      <c r="K28" s="8">
        <f t="shared" si="15"/>
        <v>219</v>
      </c>
      <c r="L28" s="7"/>
      <c r="M28" s="11" t="e">
        <f t="shared" si="16"/>
        <v>#DIV/0!</v>
      </c>
      <c r="N28" s="6">
        <v>14854</v>
      </c>
      <c r="O28" s="8">
        <f t="shared" si="3"/>
        <v>11</v>
      </c>
      <c r="P28" s="12">
        <v>98372</v>
      </c>
      <c r="Q28" s="9">
        <f t="shared" si="4"/>
        <v>36</v>
      </c>
      <c r="R28" s="12">
        <v>41</v>
      </c>
      <c r="S28" s="9">
        <f t="shared" si="5"/>
        <v>0</v>
      </c>
      <c r="T28" s="12">
        <v>204093</v>
      </c>
      <c r="U28" s="9">
        <f t="shared" si="6"/>
        <v>63</v>
      </c>
      <c r="V28" s="13"/>
      <c r="W28" s="8">
        <f t="shared" si="7"/>
        <v>0</v>
      </c>
      <c r="X28" s="46">
        <v>12482</v>
      </c>
      <c r="Y28" s="56"/>
      <c r="Z28" s="8">
        <f t="shared" si="8"/>
        <v>0</v>
      </c>
      <c r="AA28" s="46">
        <v>2613</v>
      </c>
      <c r="AB28" s="6"/>
      <c r="AC28" s="9">
        <f t="shared" si="17"/>
        <v>0</v>
      </c>
      <c r="AD28" s="46">
        <v>334</v>
      </c>
      <c r="AE28" s="12"/>
      <c r="AF28" s="9"/>
      <c r="AG28" s="46">
        <v>1183</v>
      </c>
      <c r="AH28" s="6"/>
      <c r="AI28" s="8">
        <f t="shared" si="18"/>
        <v>0</v>
      </c>
      <c r="AJ28" s="46">
        <v>208</v>
      </c>
      <c r="AK28" s="7"/>
      <c r="AL28" s="6"/>
      <c r="AM28" s="8">
        <f t="shared" si="9"/>
        <v>0</v>
      </c>
      <c r="AN28" s="46">
        <v>496</v>
      </c>
      <c r="AO28" s="7"/>
      <c r="AP28" s="6"/>
      <c r="AQ28" s="8">
        <f t="shared" si="19"/>
        <v>0</v>
      </c>
      <c r="AR28" s="46">
        <v>280</v>
      </c>
      <c r="AS28" s="14">
        <v>16</v>
      </c>
      <c r="AT28" s="14">
        <v>23</v>
      </c>
      <c r="AU28" s="65"/>
      <c r="AV28" s="56"/>
      <c r="AW28" s="66">
        <f t="shared" si="10"/>
        <v>0</v>
      </c>
      <c r="AX28" s="12">
        <v>557</v>
      </c>
      <c r="AY28" s="9">
        <f t="shared" si="11"/>
        <v>2</v>
      </c>
      <c r="AZ28" s="9">
        <f t="shared" si="12"/>
        <v>6524.2083333333339</v>
      </c>
      <c r="BA28" s="9">
        <f t="shared" si="20"/>
        <v>6.4583333333333339</v>
      </c>
      <c r="BB28" s="9">
        <f t="shared" si="13"/>
        <v>4966.4583333333339</v>
      </c>
      <c r="BC28" s="9">
        <f t="shared" si="21"/>
        <v>303.54166666666663</v>
      </c>
      <c r="BD28" s="9">
        <f t="shared" si="22"/>
        <v>0</v>
      </c>
      <c r="BE28" s="9">
        <f>IF(X28&lt;&gt;0,AVERAGE(X$11:X28)*31,)</f>
        <v>378143.16666666663</v>
      </c>
      <c r="BF28" s="8">
        <f>IF(AD28+AG28&lt;&gt;0,AVERAGE(AD$11:AD28)*31+AVERAGE(AG$11:AG28)*31,)</f>
        <v>48008.666666666657</v>
      </c>
      <c r="BG28" s="9">
        <f>IF(AJ28&lt;&gt;0,AVERAGE(AJ$11:AJ28)*31,)</f>
        <v>6448</v>
      </c>
      <c r="BH28" s="9">
        <f>IF(AN28&lt;&gt;0,AVERAGE(AN$11:AN28)*31,)</f>
        <v>15105.611111111111</v>
      </c>
      <c r="BI28" s="9">
        <f>IF(AR28&lt;&gt;0,AVERAGE(AR$11:AR28)*31,)</f>
        <v>8335.5555555555566</v>
      </c>
    </row>
    <row r="29" spans="1:61" ht="15.6" x14ac:dyDescent="0.3">
      <c r="A29" s="54">
        <f t="shared" si="23"/>
        <v>25</v>
      </c>
      <c r="B29" s="55" t="s">
        <v>69</v>
      </c>
      <c r="C29" s="10"/>
      <c r="D29" s="6">
        <v>352720</v>
      </c>
      <c r="E29" s="8">
        <f t="shared" si="0"/>
        <v>292</v>
      </c>
      <c r="F29" s="6">
        <v>7084</v>
      </c>
      <c r="G29" s="8">
        <f t="shared" si="1"/>
        <v>0</v>
      </c>
      <c r="H29" s="6">
        <v>107196</v>
      </c>
      <c r="I29" s="8">
        <f t="shared" si="2"/>
        <v>212</v>
      </c>
      <c r="J29" s="46">
        <v>621405</v>
      </c>
      <c r="K29" s="8">
        <f t="shared" si="15"/>
        <v>203</v>
      </c>
      <c r="L29" s="7"/>
      <c r="M29" s="11" t="e">
        <f t="shared" si="16"/>
        <v>#DIV/0!</v>
      </c>
      <c r="N29" s="6">
        <v>14865</v>
      </c>
      <c r="O29" s="8">
        <f t="shared" si="3"/>
        <v>11</v>
      </c>
      <c r="P29" s="12">
        <v>98405</v>
      </c>
      <c r="Q29" s="9">
        <f t="shared" si="4"/>
        <v>33</v>
      </c>
      <c r="R29" s="12">
        <v>41</v>
      </c>
      <c r="S29" s="9">
        <f t="shared" si="5"/>
        <v>0</v>
      </c>
      <c r="T29" s="12">
        <v>204155</v>
      </c>
      <c r="U29" s="9">
        <f t="shared" si="6"/>
        <v>62</v>
      </c>
      <c r="V29" s="13"/>
      <c r="W29" s="8">
        <f t="shared" si="7"/>
        <v>0</v>
      </c>
      <c r="X29" s="46">
        <v>12443</v>
      </c>
      <c r="Y29" s="56"/>
      <c r="Z29" s="8">
        <f t="shared" si="8"/>
        <v>0</v>
      </c>
      <c r="AA29" s="46">
        <v>2639</v>
      </c>
      <c r="AB29" s="6"/>
      <c r="AC29" s="9">
        <f t="shared" si="17"/>
        <v>0</v>
      </c>
      <c r="AD29" s="46">
        <v>304</v>
      </c>
      <c r="AE29" s="12"/>
      <c r="AF29" s="9"/>
      <c r="AG29" s="46">
        <v>1208</v>
      </c>
      <c r="AH29" s="6"/>
      <c r="AI29" s="8">
        <f t="shared" si="18"/>
        <v>0</v>
      </c>
      <c r="AJ29" s="46">
        <v>184</v>
      </c>
      <c r="AK29" s="7"/>
      <c r="AL29" s="6"/>
      <c r="AM29" s="8">
        <f t="shared" si="9"/>
        <v>0</v>
      </c>
      <c r="AN29" s="46">
        <v>427</v>
      </c>
      <c r="AO29" s="7"/>
      <c r="AP29" s="6"/>
      <c r="AQ29" s="8">
        <f t="shared" si="19"/>
        <v>0</v>
      </c>
      <c r="AR29" s="46">
        <v>264</v>
      </c>
      <c r="AS29" s="14">
        <v>17</v>
      </c>
      <c r="AT29" s="14">
        <v>23</v>
      </c>
      <c r="AU29" s="65"/>
      <c r="AV29" s="56"/>
      <c r="AW29" s="66">
        <f t="shared" si="10"/>
        <v>0</v>
      </c>
      <c r="AX29" s="12">
        <v>558</v>
      </c>
      <c r="AY29" s="9">
        <f t="shared" si="11"/>
        <v>1</v>
      </c>
      <c r="AZ29" s="9">
        <f t="shared" si="12"/>
        <v>6625.32</v>
      </c>
      <c r="BA29" s="9">
        <f t="shared" si="20"/>
        <v>6.2</v>
      </c>
      <c r="BB29" s="9">
        <f t="shared" si="13"/>
        <v>5030.68</v>
      </c>
      <c r="BC29" s="9">
        <f t="shared" si="21"/>
        <v>305.04000000000002</v>
      </c>
      <c r="BD29" s="9">
        <f t="shared" si="22"/>
        <v>0</v>
      </c>
      <c r="BE29" s="9">
        <f>IF(X29&lt;&gt;0,AVERAGE(X$11:X29)*31,)</f>
        <v>378542.63157894736</v>
      </c>
      <c r="BF29" s="8">
        <f>IF(AD29+AG29&lt;&gt;0,AVERAGE(AD$11:AD29)*31+AVERAGE(AG$11:AG29)*31,)</f>
        <v>47948.84210526316</v>
      </c>
      <c r="BG29" s="9">
        <f>IF(AJ29&lt;&gt;0,AVERAGE(AJ$11:AJ29)*31,)</f>
        <v>6408.8421052631575</v>
      </c>
      <c r="BH29" s="9">
        <f>IF(AN29&lt;&gt;0,AVERAGE(AN$11:AN29)*31,)</f>
        <v>15007.263157894737</v>
      </c>
      <c r="BI29" s="9">
        <f>IF(AR29&lt;&gt;0,AVERAGE(AR$11:AR29)*31,)</f>
        <v>8327.5789473684217</v>
      </c>
    </row>
    <row r="30" spans="1:61" ht="15.6" x14ac:dyDescent="0.3">
      <c r="A30" s="54">
        <f t="shared" si="23"/>
        <v>26</v>
      </c>
      <c r="B30" s="55" t="s">
        <v>69</v>
      </c>
      <c r="C30" s="10"/>
      <c r="D30" s="6">
        <v>353004</v>
      </c>
      <c r="E30" s="8">
        <f t="shared" si="0"/>
        <v>284</v>
      </c>
      <c r="F30" s="6">
        <v>7086</v>
      </c>
      <c r="G30" s="8">
        <f t="shared" si="1"/>
        <v>2</v>
      </c>
      <c r="H30" s="6">
        <v>107404</v>
      </c>
      <c r="I30" s="8">
        <f t="shared" si="2"/>
        <v>208</v>
      </c>
      <c r="J30" s="46">
        <v>621604</v>
      </c>
      <c r="K30" s="8">
        <f t="shared" si="15"/>
        <v>199</v>
      </c>
      <c r="L30" s="7"/>
      <c r="M30" s="11" t="e">
        <f t="shared" si="16"/>
        <v>#DIV/0!</v>
      </c>
      <c r="N30" s="6">
        <v>14877</v>
      </c>
      <c r="O30" s="8">
        <f t="shared" si="3"/>
        <v>12</v>
      </c>
      <c r="P30" s="12">
        <v>98431</v>
      </c>
      <c r="Q30" s="9">
        <f t="shared" si="4"/>
        <v>26</v>
      </c>
      <c r="R30" s="12">
        <v>41</v>
      </c>
      <c r="S30" s="9">
        <f t="shared" si="5"/>
        <v>0</v>
      </c>
      <c r="T30" s="12">
        <v>204212</v>
      </c>
      <c r="U30" s="9">
        <f t="shared" si="6"/>
        <v>57</v>
      </c>
      <c r="V30" s="13"/>
      <c r="W30" s="8">
        <f t="shared" si="7"/>
        <v>0</v>
      </c>
      <c r="X30" s="46">
        <v>12642</v>
      </c>
      <c r="Y30" s="56"/>
      <c r="Z30" s="8">
        <f t="shared" si="8"/>
        <v>0</v>
      </c>
      <c r="AA30" s="46">
        <v>1907</v>
      </c>
      <c r="AB30" s="6"/>
      <c r="AC30" s="9">
        <f t="shared" si="17"/>
        <v>0</v>
      </c>
      <c r="AD30" s="46">
        <v>305</v>
      </c>
      <c r="AE30" s="12"/>
      <c r="AF30" s="9"/>
      <c r="AG30" s="46">
        <v>1268</v>
      </c>
      <c r="AH30" s="6"/>
      <c r="AI30" s="8">
        <f t="shared" si="18"/>
        <v>0</v>
      </c>
      <c r="AJ30" s="46">
        <v>160</v>
      </c>
      <c r="AK30" s="7"/>
      <c r="AL30" s="6"/>
      <c r="AM30" s="8">
        <f t="shared" si="9"/>
        <v>0</v>
      </c>
      <c r="AN30" s="46">
        <v>471</v>
      </c>
      <c r="AO30" s="7"/>
      <c r="AP30" s="6"/>
      <c r="AQ30" s="8">
        <f t="shared" si="19"/>
        <v>0</v>
      </c>
      <c r="AR30" s="46">
        <v>304</v>
      </c>
      <c r="AS30" s="14">
        <v>14</v>
      </c>
      <c r="AT30" s="14">
        <v>24</v>
      </c>
      <c r="AU30" s="65"/>
      <c r="AV30" s="56"/>
      <c r="AW30" s="66">
        <f t="shared" si="10"/>
        <v>0</v>
      </c>
      <c r="AX30" s="12">
        <v>560</v>
      </c>
      <c r="AY30" s="9">
        <f t="shared" si="11"/>
        <v>2</v>
      </c>
      <c r="AZ30" s="9">
        <f t="shared" si="12"/>
        <v>6709.1153846153848</v>
      </c>
      <c r="BA30" s="9">
        <f t="shared" si="20"/>
        <v>8.3461538461538449</v>
      </c>
      <c r="BB30" s="9">
        <f t="shared" si="13"/>
        <v>5085.1923076923076</v>
      </c>
      <c r="BC30" s="9">
        <f t="shared" si="21"/>
        <v>307.61538461538464</v>
      </c>
      <c r="BD30" s="9">
        <f t="shared" si="22"/>
        <v>0</v>
      </c>
      <c r="BE30" s="9">
        <f>IF(X30&lt;&gt;0,AVERAGE(X$11:X30)*31,)</f>
        <v>379210.60000000003</v>
      </c>
      <c r="BF30" s="8">
        <f>IF(AD30+AG30&lt;&gt;0,AVERAGE(AD$11:AD30)*31+AVERAGE(AG$11:AG30)*31,)</f>
        <v>47989.55</v>
      </c>
      <c r="BG30" s="9">
        <f>IF(AJ30&lt;&gt;0,AVERAGE(AJ$11:AJ30)*31,)</f>
        <v>6336.4000000000005</v>
      </c>
      <c r="BH30" s="9">
        <f>IF(AN30&lt;&gt;0,AVERAGE(AN$11:AN30)*31,)</f>
        <v>14986.949999999999</v>
      </c>
      <c r="BI30" s="9">
        <f>IF(AR30&lt;&gt;0,AVERAGE(AR$11:AR30)*31,)</f>
        <v>8382.4</v>
      </c>
    </row>
    <row r="31" spans="1:61" ht="15.6" x14ac:dyDescent="0.3">
      <c r="A31" s="54">
        <f t="shared" si="23"/>
        <v>27</v>
      </c>
      <c r="B31" s="55" t="s">
        <v>69</v>
      </c>
      <c r="C31" s="10"/>
      <c r="D31" s="6">
        <v>353290</v>
      </c>
      <c r="E31" s="8">
        <f t="shared" si="0"/>
        <v>286</v>
      </c>
      <c r="F31" s="6">
        <v>7086</v>
      </c>
      <c r="G31" s="8">
        <f t="shared" si="1"/>
        <v>0</v>
      </c>
      <c r="H31" s="6">
        <v>107592</v>
      </c>
      <c r="I31" s="8">
        <f t="shared" si="2"/>
        <v>188</v>
      </c>
      <c r="J31" s="46">
        <v>621784</v>
      </c>
      <c r="K31" s="8">
        <f t="shared" si="15"/>
        <v>180</v>
      </c>
      <c r="L31" s="7"/>
      <c r="M31" s="11" t="e">
        <f t="shared" si="16"/>
        <v>#DIV/0!</v>
      </c>
      <c r="N31" s="14">
        <v>14888</v>
      </c>
      <c r="O31" s="8">
        <f t="shared" si="3"/>
        <v>11</v>
      </c>
      <c r="P31" s="12">
        <v>98446</v>
      </c>
      <c r="Q31" s="9">
        <f t="shared" si="4"/>
        <v>15</v>
      </c>
      <c r="R31" s="12">
        <v>41</v>
      </c>
      <c r="S31" s="9">
        <f t="shared" si="5"/>
        <v>0</v>
      </c>
      <c r="T31" s="12">
        <v>204257</v>
      </c>
      <c r="U31" s="9">
        <f t="shared" si="6"/>
        <v>45</v>
      </c>
      <c r="V31" s="13"/>
      <c r="W31" s="8">
        <f t="shared" si="7"/>
        <v>0</v>
      </c>
      <c r="X31" s="46">
        <v>13106</v>
      </c>
      <c r="Y31" s="75"/>
      <c r="Z31" s="8">
        <f t="shared" si="8"/>
        <v>0</v>
      </c>
      <c r="AA31" s="46">
        <v>2198</v>
      </c>
      <c r="AB31" s="6"/>
      <c r="AC31" s="9">
        <f t="shared" si="17"/>
        <v>0</v>
      </c>
      <c r="AD31" s="46">
        <v>316</v>
      </c>
      <c r="AE31" s="12"/>
      <c r="AF31" s="9"/>
      <c r="AG31" s="46">
        <v>1284</v>
      </c>
      <c r="AH31" s="6"/>
      <c r="AI31" s="8">
        <f t="shared" si="18"/>
        <v>0</v>
      </c>
      <c r="AJ31" s="46">
        <v>328</v>
      </c>
      <c r="AK31" s="7"/>
      <c r="AL31" s="6"/>
      <c r="AM31" s="8">
        <f t="shared" si="9"/>
        <v>0</v>
      </c>
      <c r="AN31" s="46">
        <v>473</v>
      </c>
      <c r="AO31" s="7"/>
      <c r="AP31" s="6"/>
      <c r="AQ31" s="8">
        <f t="shared" si="19"/>
        <v>0</v>
      </c>
      <c r="AR31" s="46">
        <v>248</v>
      </c>
      <c r="AS31" s="58">
        <v>14</v>
      </c>
      <c r="AT31" s="58">
        <v>24</v>
      </c>
      <c r="AU31" s="65"/>
      <c r="AV31" s="56"/>
      <c r="AW31" s="66">
        <f t="shared" si="10"/>
        <v>0</v>
      </c>
      <c r="AX31" s="12">
        <v>560</v>
      </c>
      <c r="AY31" s="9">
        <f t="shared" si="11"/>
        <v>0</v>
      </c>
      <c r="AZ31" s="9">
        <f t="shared" si="12"/>
        <v>6789</v>
      </c>
      <c r="BA31" s="9">
        <f t="shared" si="20"/>
        <v>8.0370370370370363</v>
      </c>
      <c r="BB31" s="9">
        <f t="shared" si="13"/>
        <v>5112.7037037037035</v>
      </c>
      <c r="BC31" s="9">
        <f t="shared" si="21"/>
        <v>308.85185185185185</v>
      </c>
      <c r="BD31" s="9">
        <f t="shared" si="22"/>
        <v>0</v>
      </c>
      <c r="BE31" s="9">
        <f>IF(X31&lt;&gt;0,AVERAGE(X$11:X31)*31,)</f>
        <v>380499.90476190479</v>
      </c>
      <c r="BF31" s="8">
        <f>IF(AD31+AG31&lt;&gt;0,AVERAGE(AD$11:AD31)*31+AVERAGE(AG$11:AG31)*31,)</f>
        <v>48066.238095238092</v>
      </c>
      <c r="BG31" s="9">
        <f>IF(AJ31&lt;&gt;0,AVERAGE(AJ$11:AJ31)*31,)</f>
        <v>6518.8571428571422</v>
      </c>
      <c r="BH31" s="9">
        <f>IF(AN31&lt;&gt;0,AVERAGE(AN$11:AN31)*31,)</f>
        <v>14971.523809523809</v>
      </c>
      <c r="BI31" s="9">
        <f>IF(AR31&lt;&gt;0,AVERAGE(AR$11:AR31)*31,)</f>
        <v>8349.3333333333321</v>
      </c>
    </row>
    <row r="32" spans="1:61" ht="15.6" x14ac:dyDescent="0.3">
      <c r="A32" s="54">
        <f t="shared" si="23"/>
        <v>28</v>
      </c>
      <c r="B32" s="55" t="s">
        <v>69</v>
      </c>
      <c r="C32" s="10"/>
      <c r="D32" s="6">
        <v>353697</v>
      </c>
      <c r="E32" s="8">
        <f t="shared" si="0"/>
        <v>407</v>
      </c>
      <c r="F32" s="6">
        <v>7086</v>
      </c>
      <c r="G32" s="8">
        <f t="shared" si="1"/>
        <v>0</v>
      </c>
      <c r="H32" s="6">
        <v>107769</v>
      </c>
      <c r="I32" s="8">
        <f t="shared" si="2"/>
        <v>177</v>
      </c>
      <c r="J32" s="46">
        <v>621954</v>
      </c>
      <c r="K32" s="8">
        <f t="shared" si="15"/>
        <v>170</v>
      </c>
      <c r="L32" s="7"/>
      <c r="M32" s="11" t="e">
        <f t="shared" si="16"/>
        <v>#DIV/0!</v>
      </c>
      <c r="N32" s="14">
        <v>14899</v>
      </c>
      <c r="O32" s="8">
        <f t="shared" si="3"/>
        <v>11</v>
      </c>
      <c r="P32" s="12">
        <v>98446</v>
      </c>
      <c r="Q32" s="9">
        <f t="shared" si="4"/>
        <v>0</v>
      </c>
      <c r="R32" s="12">
        <v>41</v>
      </c>
      <c r="S32" s="9">
        <f t="shared" si="5"/>
        <v>0</v>
      </c>
      <c r="T32" s="12">
        <v>204286</v>
      </c>
      <c r="U32" s="9">
        <f t="shared" si="6"/>
        <v>29</v>
      </c>
      <c r="V32" s="13"/>
      <c r="W32" s="8">
        <f t="shared" si="7"/>
        <v>0</v>
      </c>
      <c r="X32" s="46">
        <v>26424</v>
      </c>
      <c r="Y32" s="56"/>
      <c r="Z32" s="8">
        <f t="shared" si="8"/>
        <v>0</v>
      </c>
      <c r="AA32" s="46">
        <v>2553</v>
      </c>
      <c r="AB32" s="6"/>
      <c r="AC32" s="9">
        <f t="shared" si="17"/>
        <v>0</v>
      </c>
      <c r="AD32" s="46">
        <v>321</v>
      </c>
      <c r="AE32" s="12"/>
      <c r="AF32" s="9"/>
      <c r="AG32" s="46">
        <v>1107</v>
      </c>
      <c r="AH32" s="6"/>
      <c r="AI32" s="8">
        <f t="shared" si="18"/>
        <v>0</v>
      </c>
      <c r="AJ32" s="46">
        <v>288</v>
      </c>
      <c r="AK32" s="7"/>
      <c r="AL32" s="6"/>
      <c r="AM32" s="8">
        <f t="shared" si="9"/>
        <v>0</v>
      </c>
      <c r="AN32" s="46">
        <v>453</v>
      </c>
      <c r="AO32" s="7"/>
      <c r="AP32" s="6"/>
      <c r="AQ32" s="8">
        <f t="shared" si="19"/>
        <v>0</v>
      </c>
      <c r="AR32" s="46">
        <v>248</v>
      </c>
      <c r="AS32" s="14">
        <v>11</v>
      </c>
      <c r="AT32" s="14">
        <v>24</v>
      </c>
      <c r="AU32" s="65"/>
      <c r="AV32" s="56"/>
      <c r="AW32" s="66">
        <f t="shared" si="10"/>
        <v>0</v>
      </c>
      <c r="AX32" s="12">
        <v>562</v>
      </c>
      <c r="AY32" s="9">
        <f t="shared" si="11"/>
        <v>2</v>
      </c>
      <c r="AZ32" s="9">
        <f t="shared" si="12"/>
        <v>6997.1428571428578</v>
      </c>
      <c r="BA32" s="9">
        <f t="shared" si="20"/>
        <v>7.75</v>
      </c>
      <c r="BB32" s="9">
        <f t="shared" si="13"/>
        <v>5126.0714285714284</v>
      </c>
      <c r="BC32" s="9">
        <f t="shared" si="21"/>
        <v>310</v>
      </c>
      <c r="BD32" s="9">
        <f t="shared" si="22"/>
        <v>0</v>
      </c>
      <c r="BE32" s="9">
        <f>IF(X32&lt;&gt;0,AVERAGE(X$11:X32)*31,)</f>
        <v>400438.27272727271</v>
      </c>
      <c r="BF32" s="8">
        <f>IF(AD32+AG32&lt;&gt;0,AVERAGE(AD$11:AD32)*31+AVERAGE(AG$11:AG32)*31,)</f>
        <v>47893.590909090912</v>
      </c>
      <c r="BG32" s="9">
        <f>IF(AJ32&lt;&gt;0,AVERAGE(AJ$11:AJ32)*31,)</f>
        <v>6628.363636363636</v>
      </c>
      <c r="BH32" s="9">
        <f>IF(AN32&lt;&gt;0,AVERAGE(AN$11:AN32)*31,)</f>
        <v>14929.31818181818</v>
      </c>
      <c r="BI32" s="9">
        <f>IF(AR32&lt;&gt;0,AVERAGE(AR$11:AR32)*31,)</f>
        <v>8319.2727272727279</v>
      </c>
    </row>
    <row r="33" spans="1:61" ht="15.6" x14ac:dyDescent="0.3">
      <c r="A33" s="54">
        <f t="shared" si="23"/>
        <v>29</v>
      </c>
      <c r="B33" s="55" t="s">
        <v>69</v>
      </c>
      <c r="C33" s="10"/>
      <c r="D33" s="6">
        <v>353976</v>
      </c>
      <c r="E33" s="8">
        <f t="shared" si="0"/>
        <v>279</v>
      </c>
      <c r="F33" s="6">
        <v>7086</v>
      </c>
      <c r="G33" s="8">
        <f t="shared" si="1"/>
        <v>0</v>
      </c>
      <c r="H33" s="6">
        <v>107929</v>
      </c>
      <c r="I33" s="8">
        <f t="shared" si="2"/>
        <v>160</v>
      </c>
      <c r="J33" s="46">
        <v>622106</v>
      </c>
      <c r="K33" s="8">
        <f t="shared" si="15"/>
        <v>152</v>
      </c>
      <c r="L33" s="7"/>
      <c r="M33" s="11" t="e">
        <f t="shared" si="16"/>
        <v>#DIV/0!</v>
      </c>
      <c r="N33" s="14">
        <v>14906</v>
      </c>
      <c r="O33" s="8">
        <f t="shared" si="3"/>
        <v>7</v>
      </c>
      <c r="P33" s="12">
        <v>98446</v>
      </c>
      <c r="Q33" s="9">
        <f t="shared" si="4"/>
        <v>0</v>
      </c>
      <c r="R33" s="76">
        <v>42</v>
      </c>
      <c r="S33" s="9">
        <f t="shared" si="5"/>
        <v>1</v>
      </c>
      <c r="T33" s="12">
        <v>204306</v>
      </c>
      <c r="U33" s="9">
        <f t="shared" si="6"/>
        <v>20</v>
      </c>
      <c r="V33" s="13"/>
      <c r="W33" s="8">
        <f t="shared" si="7"/>
        <v>0</v>
      </c>
      <c r="X33" s="46">
        <v>11858</v>
      </c>
      <c r="Y33" s="56"/>
      <c r="Z33" s="8">
        <f t="shared" si="8"/>
        <v>0</v>
      </c>
      <c r="AA33" s="46">
        <v>2339</v>
      </c>
      <c r="AB33" s="6"/>
      <c r="AC33" s="9">
        <f t="shared" si="17"/>
        <v>0</v>
      </c>
      <c r="AD33" s="46">
        <v>326</v>
      </c>
      <c r="AE33" s="12"/>
      <c r="AF33" s="9"/>
      <c r="AG33" s="46">
        <v>1188</v>
      </c>
      <c r="AH33" s="6"/>
      <c r="AI33" s="8">
        <f t="shared" si="18"/>
        <v>0</v>
      </c>
      <c r="AJ33" s="46">
        <v>192</v>
      </c>
      <c r="AK33" s="7"/>
      <c r="AL33" s="6"/>
      <c r="AM33" s="8">
        <f t="shared" si="9"/>
        <v>0</v>
      </c>
      <c r="AN33" s="46">
        <v>498</v>
      </c>
      <c r="AO33" s="7"/>
      <c r="AP33" s="6"/>
      <c r="AQ33" s="8">
        <f t="shared" si="19"/>
        <v>0</v>
      </c>
      <c r="AR33" s="46">
        <v>256</v>
      </c>
      <c r="AS33" s="14">
        <v>19</v>
      </c>
      <c r="AT33" s="14">
        <v>26</v>
      </c>
      <c r="AU33" s="65"/>
      <c r="AV33" s="56"/>
      <c r="AW33" s="66">
        <f t="shared" si="10"/>
        <v>0</v>
      </c>
      <c r="AX33" s="12">
        <v>562</v>
      </c>
      <c r="AY33" s="9">
        <f t="shared" si="11"/>
        <v>0</v>
      </c>
      <c r="AZ33" s="9">
        <f t="shared" si="12"/>
        <v>7054.1034482758623</v>
      </c>
      <c r="BA33" s="9">
        <f t="shared" si="20"/>
        <v>7.4827586206896557</v>
      </c>
      <c r="BB33" s="9">
        <f t="shared" si="13"/>
        <v>5120.3448275862074</v>
      </c>
      <c r="BC33" s="9">
        <f t="shared" si="21"/>
        <v>306.79310344827587</v>
      </c>
      <c r="BD33" s="9">
        <f t="shared" si="22"/>
        <v>0</v>
      </c>
      <c r="BE33" s="9">
        <f>IF(X33&lt;&gt;0,AVERAGE(X$11:X33)*31,)</f>
        <v>399010.43478260865</v>
      </c>
      <c r="BF33" s="8">
        <f>IF(AD33+AG33&lt;&gt;0,AVERAGE(AD$11:AD33)*31+AVERAGE(AG$11:AG33)*31,)</f>
        <v>47851.869565217392</v>
      </c>
      <c r="BG33" s="9">
        <f>IF(AJ33&lt;&gt;0,AVERAGE(AJ$11:AJ33)*31,)</f>
        <v>6598.9565217391309</v>
      </c>
      <c r="BH33" s="9">
        <f>IF(AN33&lt;&gt;0,AVERAGE(AN$11:AN33)*31,)</f>
        <v>14951.434782608696</v>
      </c>
      <c r="BI33" s="9">
        <f>IF(AR33&lt;&gt;0,AVERAGE(AR$11:AR33)*31,)</f>
        <v>8302.608695652174</v>
      </c>
    </row>
    <row r="34" spans="1:61" ht="15.6" x14ac:dyDescent="0.3">
      <c r="A34" s="54">
        <f t="shared" si="23"/>
        <v>30</v>
      </c>
      <c r="B34" s="55" t="s">
        <v>69</v>
      </c>
      <c r="C34" s="10"/>
      <c r="D34" s="6">
        <v>354253</v>
      </c>
      <c r="E34" s="8">
        <f t="shared" si="0"/>
        <v>277</v>
      </c>
      <c r="F34" s="6">
        <v>7086</v>
      </c>
      <c r="G34" s="8">
        <f t="shared" si="1"/>
        <v>0</v>
      </c>
      <c r="H34" s="6">
        <v>108088</v>
      </c>
      <c r="I34" s="8">
        <f t="shared" si="2"/>
        <v>159</v>
      </c>
      <c r="J34" s="46">
        <v>622258</v>
      </c>
      <c r="K34" s="8">
        <f t="shared" si="15"/>
        <v>152</v>
      </c>
      <c r="L34" s="7"/>
      <c r="M34" s="11" t="e">
        <f t="shared" si="16"/>
        <v>#DIV/0!</v>
      </c>
      <c r="N34" s="14">
        <v>14916</v>
      </c>
      <c r="O34" s="8">
        <f t="shared" si="3"/>
        <v>10</v>
      </c>
      <c r="P34" s="77">
        <v>98446</v>
      </c>
      <c r="Q34" s="9">
        <f t="shared" si="4"/>
        <v>0</v>
      </c>
      <c r="R34" s="12">
        <v>42</v>
      </c>
      <c r="S34" s="9">
        <f t="shared" si="5"/>
        <v>0</v>
      </c>
      <c r="T34" s="77">
        <v>204332</v>
      </c>
      <c r="U34" s="9">
        <f t="shared" si="6"/>
        <v>26</v>
      </c>
      <c r="V34" s="13"/>
      <c r="W34" s="8">
        <f t="shared" si="7"/>
        <v>0</v>
      </c>
      <c r="X34" s="46">
        <v>11333</v>
      </c>
      <c r="Y34" s="56"/>
      <c r="Z34" s="8">
        <f t="shared" si="8"/>
        <v>0</v>
      </c>
      <c r="AA34" s="46">
        <v>2201</v>
      </c>
      <c r="AB34" s="6"/>
      <c r="AC34" s="9">
        <f t="shared" si="17"/>
        <v>0</v>
      </c>
      <c r="AD34" s="46">
        <v>297</v>
      </c>
      <c r="AE34" s="12"/>
      <c r="AF34" s="9"/>
      <c r="AG34" s="46">
        <v>1208</v>
      </c>
      <c r="AH34" s="6"/>
      <c r="AI34" s="8">
        <f t="shared" si="18"/>
        <v>0</v>
      </c>
      <c r="AJ34" s="46">
        <v>208</v>
      </c>
      <c r="AK34" s="7"/>
      <c r="AL34" s="6"/>
      <c r="AM34" s="8">
        <f t="shared" si="9"/>
        <v>0</v>
      </c>
      <c r="AN34" s="46">
        <v>484</v>
      </c>
      <c r="AO34" s="7"/>
      <c r="AP34" s="6"/>
      <c r="AQ34" s="8">
        <f t="shared" si="19"/>
        <v>0</v>
      </c>
      <c r="AR34" s="46">
        <v>304</v>
      </c>
      <c r="AS34" s="14">
        <v>19</v>
      </c>
      <c r="AT34" s="14">
        <v>26</v>
      </c>
      <c r="AU34" s="65"/>
      <c r="AV34" s="56"/>
      <c r="AW34" s="66">
        <f t="shared" si="10"/>
        <v>0</v>
      </c>
      <c r="AX34" s="12">
        <v>562</v>
      </c>
      <c r="AY34" s="9">
        <f t="shared" si="11"/>
        <v>0</v>
      </c>
      <c r="AZ34" s="9">
        <f t="shared" si="12"/>
        <v>7105.2</v>
      </c>
      <c r="BA34" s="9">
        <f t="shared" si="20"/>
        <v>7.2333333333333334</v>
      </c>
      <c r="BB34" s="9">
        <f t="shared" si="13"/>
        <v>5113.9666666666672</v>
      </c>
      <c r="BC34" s="9">
        <f t="shared" si="21"/>
        <v>306.90000000000003</v>
      </c>
      <c r="BD34" s="9">
        <f t="shared" si="22"/>
        <v>0</v>
      </c>
      <c r="BE34" s="9">
        <f>IF(X34&lt;&gt;0,AVERAGE(X$11:X34)*31,)</f>
        <v>397023.45833333337</v>
      </c>
      <c r="BF34" s="8">
        <f>IF(AD34+AG34&lt;&gt;0,AVERAGE(AD$11:AD34)*31+AVERAGE(AG$11:AG34)*31,)</f>
        <v>47802</v>
      </c>
      <c r="BG34" s="9">
        <f>IF(AJ34&lt;&gt;0,AVERAGE(AJ$11:AJ34)*31,)</f>
        <v>6592.6666666666661</v>
      </c>
      <c r="BH34" s="9">
        <f>IF(AN34&lt;&gt;0,AVERAGE(AN$11:AN34)*31,)</f>
        <v>14953.625</v>
      </c>
      <c r="BI34" s="9">
        <f>IF(AR34&lt;&gt;0,AVERAGE(AR$11:AR34)*31,)</f>
        <v>8349.3333333333321</v>
      </c>
    </row>
    <row r="35" spans="1:61" ht="16.2" thickBot="1" x14ac:dyDescent="0.35">
      <c r="A35" s="54">
        <f t="shared" si="23"/>
        <v>31</v>
      </c>
      <c r="B35" s="55" t="s">
        <v>69</v>
      </c>
      <c r="C35" s="78"/>
      <c r="D35" s="6">
        <v>354523</v>
      </c>
      <c r="E35" s="8">
        <f t="shared" si="0"/>
        <v>270</v>
      </c>
      <c r="F35" s="6">
        <v>7087</v>
      </c>
      <c r="G35" s="8">
        <f t="shared" si="1"/>
        <v>1</v>
      </c>
      <c r="H35" s="6">
        <v>108241</v>
      </c>
      <c r="I35" s="8">
        <f t="shared" si="2"/>
        <v>153</v>
      </c>
      <c r="J35" s="46">
        <v>622402</v>
      </c>
      <c r="K35" s="8">
        <f t="shared" si="15"/>
        <v>144</v>
      </c>
      <c r="L35" s="7"/>
      <c r="M35" s="11" t="e">
        <f t="shared" si="16"/>
        <v>#DIV/0!</v>
      </c>
      <c r="N35" s="14">
        <v>14926</v>
      </c>
      <c r="O35" s="79">
        <f t="shared" si="3"/>
        <v>10</v>
      </c>
      <c r="P35" s="80">
        <v>98446</v>
      </c>
      <c r="Q35" s="9">
        <f t="shared" si="4"/>
        <v>0</v>
      </c>
      <c r="R35" s="12">
        <v>42</v>
      </c>
      <c r="S35" s="9">
        <f t="shared" si="5"/>
        <v>0</v>
      </c>
      <c r="T35" s="80">
        <v>204357</v>
      </c>
      <c r="U35" s="9">
        <f t="shared" si="6"/>
        <v>25</v>
      </c>
      <c r="V35" s="13">
        <v>5641.45</v>
      </c>
      <c r="W35" s="8">
        <f t="shared" si="7"/>
        <v>12411190</v>
      </c>
      <c r="X35" s="46">
        <v>11991</v>
      </c>
      <c r="Y35" s="56">
        <v>1072.99</v>
      </c>
      <c r="Z35" s="8">
        <f t="shared" si="8"/>
        <v>2360578</v>
      </c>
      <c r="AA35" s="46">
        <v>2358</v>
      </c>
      <c r="AB35" s="6">
        <v>1776489</v>
      </c>
      <c r="AC35" s="9">
        <f>IF(ISBLANK(AB35),0,SUM(AB35-AB24))</f>
        <v>3490</v>
      </c>
      <c r="AD35" s="46">
        <v>307</v>
      </c>
      <c r="AE35" s="12">
        <v>5261860</v>
      </c>
      <c r="AF35" s="9"/>
      <c r="AG35" s="57">
        <v>1109</v>
      </c>
      <c r="AH35" s="6">
        <v>34257</v>
      </c>
      <c r="AI35" s="8">
        <f t="shared" si="18"/>
        <v>2740560</v>
      </c>
      <c r="AJ35" s="46">
        <v>216</v>
      </c>
      <c r="AK35" s="7"/>
      <c r="AL35" s="6">
        <v>246721</v>
      </c>
      <c r="AM35" s="8">
        <f t="shared" si="9"/>
        <v>246721</v>
      </c>
      <c r="AN35" s="46">
        <v>481</v>
      </c>
      <c r="AO35" s="7"/>
      <c r="AP35" s="6">
        <v>47018</v>
      </c>
      <c r="AQ35" s="8">
        <f t="shared" si="19"/>
        <v>3761440</v>
      </c>
      <c r="AR35" s="46">
        <v>256</v>
      </c>
      <c r="AS35" s="14">
        <v>15</v>
      </c>
      <c r="AT35" s="14">
        <v>24</v>
      </c>
      <c r="AU35" s="65"/>
      <c r="AV35" s="56"/>
      <c r="AW35" s="66">
        <f t="shared" si="10"/>
        <v>0</v>
      </c>
      <c r="AX35" s="12">
        <v>563</v>
      </c>
      <c r="AY35" s="9">
        <f t="shared" si="11"/>
        <v>1</v>
      </c>
      <c r="AZ35" s="9">
        <f t="shared" si="12"/>
        <v>7146</v>
      </c>
      <c r="BA35" s="9">
        <f t="shared" si="20"/>
        <v>8</v>
      </c>
      <c r="BB35" s="9">
        <f t="shared" si="13"/>
        <v>5102</v>
      </c>
      <c r="BC35" s="9">
        <f t="shared" si="21"/>
        <v>307</v>
      </c>
      <c r="BD35" s="9">
        <f t="shared" si="22"/>
        <v>12411190</v>
      </c>
      <c r="BE35" s="9">
        <f>IF(X35&lt;&gt;0,AVERAGE(X$11:X35)*31,)</f>
        <v>396011.36</v>
      </c>
      <c r="BF35" s="8">
        <f>IF(AD35+AG35&lt;&gt;0,AVERAGE(AD$11:AD35)*31+AVERAGE(AG$11:AG35)*31,)</f>
        <v>47645.759999999995</v>
      </c>
      <c r="BG35" s="9">
        <f>IF(AJ35&lt;&gt;0,AVERAGE(AJ$11:AJ35)*31,)</f>
        <v>6596.8</v>
      </c>
      <c r="BH35" s="9">
        <f>IF(AN35&lt;&gt;0,AVERAGE(AN$11:AN35)*31,)</f>
        <v>14951.92</v>
      </c>
      <c r="BI35" s="9">
        <f>IF(AR35&lt;&gt;0,AVERAGE(AR$11:AR35)*31,)</f>
        <v>8332.8000000000011</v>
      </c>
    </row>
    <row r="36" spans="1:61" ht="15" customHeight="1" thickTop="1" thickBot="1" x14ac:dyDescent="0.35">
      <c r="A36" s="81" t="s">
        <v>70</v>
      </c>
      <c r="C36" s="15"/>
      <c r="D36" s="16">
        <f>D35-D4</f>
        <v>8761</v>
      </c>
      <c r="F36" s="16">
        <f>F35-F4</f>
        <v>11</v>
      </c>
      <c r="G36" s="2"/>
      <c r="H36" s="16">
        <f>H35-H4</f>
        <v>6295</v>
      </c>
      <c r="I36" s="2"/>
      <c r="J36" s="60"/>
      <c r="K36" s="2"/>
      <c r="L36" s="2"/>
      <c r="M36" s="2"/>
      <c r="N36" s="16">
        <f>N35-N4</f>
        <v>367</v>
      </c>
      <c r="O36" s="2"/>
      <c r="P36" s="16">
        <f>P35-P5</f>
        <v>578</v>
      </c>
      <c r="Q36" s="2"/>
      <c r="R36" s="82">
        <f>R35-R5</f>
        <v>2</v>
      </c>
      <c r="S36" s="2"/>
      <c r="T36" s="16">
        <f>T35-T5</f>
        <v>1452</v>
      </c>
      <c r="U36" s="2"/>
      <c r="V36" s="16">
        <f>SUM(+V35-V4)*2200</f>
        <v>410189.99999999959</v>
      </c>
      <c r="W36" s="2"/>
      <c r="X36" s="16">
        <f>SUM(X5:X35)</f>
        <v>391987</v>
      </c>
      <c r="Y36" s="83">
        <f>Y35-Y4</f>
        <v>35.990000000000009</v>
      </c>
      <c r="Z36" s="2"/>
      <c r="AA36" s="16">
        <f>SUM(Y4:Y36)</f>
        <v>4254.54</v>
      </c>
      <c r="AB36" s="84">
        <f>SUM(+AB35-AB4)</f>
        <v>9643</v>
      </c>
      <c r="AC36" s="2"/>
      <c r="AD36" s="16">
        <f>SUM(AD5:AD35)</f>
        <v>9609</v>
      </c>
      <c r="AE36" s="84">
        <f>SUM(+AE35-AE4)</f>
        <v>37859</v>
      </c>
      <c r="AF36" s="2"/>
      <c r="AG36" s="16">
        <f>SUM(AG5:AG35)</f>
        <v>37739</v>
      </c>
      <c r="AH36" s="16">
        <f>SUM(+AH35-AH4)*80</f>
        <v>6480</v>
      </c>
      <c r="AI36" s="2"/>
      <c r="AJ36" s="61">
        <f>SUM(AJ4:AJ35)</f>
        <v>6600</v>
      </c>
      <c r="AK36" s="2"/>
      <c r="AL36" s="61">
        <f>AL35-AL4</f>
        <v>14848</v>
      </c>
      <c r="AM36" s="2"/>
      <c r="AN36" s="16">
        <f>SUM(AN5:AN35)</f>
        <v>14834</v>
      </c>
      <c r="AO36" s="2"/>
      <c r="AP36" s="16">
        <f>SUM(+AP35-AP4)*80</f>
        <v>8160</v>
      </c>
      <c r="AQ36" s="2"/>
      <c r="AR36" s="16">
        <f>SUM(AR5:AR35)</f>
        <v>8272</v>
      </c>
      <c r="AS36" s="90">
        <f>AVERAGE(AS5:AS35)</f>
        <v>14.935483870967742</v>
      </c>
      <c r="AT36" s="85">
        <f>AVERAGE(AT5:AT35)</f>
        <v>22.806451612903224</v>
      </c>
      <c r="AU36" s="17"/>
      <c r="AV36" s="56"/>
      <c r="AX36" s="16">
        <f>AX35-AX5</f>
        <v>22</v>
      </c>
      <c r="AY36" s="62"/>
      <c r="AZ36" s="59"/>
      <c r="BA36" s="59"/>
      <c r="BB36" s="59"/>
      <c r="BC36" s="59"/>
      <c r="BD36" s="59"/>
      <c r="BE36" s="9"/>
      <c r="BF36" s="8"/>
      <c r="BG36" s="9"/>
      <c r="BH36" s="9"/>
      <c r="BI36" s="9"/>
    </row>
    <row r="37" spans="1:61" ht="16.8" thickTop="1" thickBot="1" x14ac:dyDescent="0.35">
      <c r="A37" s="48" t="s">
        <v>30</v>
      </c>
      <c r="C37" s="4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9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50"/>
      <c r="AZ37" s="41"/>
      <c r="BA37" s="41"/>
      <c r="BB37" s="41"/>
      <c r="BC37" s="41"/>
      <c r="BD37" s="41"/>
      <c r="BE37" s="51"/>
      <c r="BF37" s="51"/>
      <c r="BG37" s="51"/>
      <c r="BH37" s="51"/>
      <c r="BI37" s="51"/>
    </row>
    <row r="38" spans="1:61" ht="16.2" thickBot="1" x14ac:dyDescent="0.35">
      <c r="A38" s="48" t="s">
        <v>30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2"/>
      <c r="Z38" s="2"/>
      <c r="AA38" s="2"/>
      <c r="AB38" s="122">
        <f>AD36+AG36</f>
        <v>47348</v>
      </c>
      <c r="AC38" s="123"/>
      <c r="AD38" s="123"/>
      <c r="AE38" s="124"/>
      <c r="AF38" s="2"/>
      <c r="AG38" s="2"/>
      <c r="AH38" s="2"/>
      <c r="AI38" s="53"/>
      <c r="AJ38" s="18">
        <f>AB38+AJ36</f>
        <v>53948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 ht="15.6" x14ac:dyDescent="0.3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2"/>
      <c r="Z39" s="2"/>
      <c r="AA39" s="2"/>
      <c r="AB39" s="125"/>
      <c r="AC39" s="125"/>
      <c r="AD39" s="125"/>
      <c r="AE39" s="125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6" thickBot="1" x14ac:dyDescent="0.3"/>
    <row r="41" spans="1:61" ht="16.8" thickTop="1" thickBot="1" x14ac:dyDescent="0.35">
      <c r="A41" s="47"/>
      <c r="B41" s="47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  <c r="AS41" s="24"/>
    </row>
    <row r="42" spans="1:61" ht="16.2" thickTop="1" x14ac:dyDescent="0.3">
      <c r="A42" s="2"/>
    </row>
    <row r="43" spans="1:61" ht="15" customHeight="1" x14ac:dyDescent="0.3">
      <c r="A43" s="2"/>
    </row>
    <row r="44" spans="1:61" ht="25.5" customHeight="1" x14ac:dyDescent="0.3">
      <c r="A44" s="2"/>
    </row>
  </sheetData>
  <mergeCells count="32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W1:AW2"/>
    <mergeCell ref="AZ1:AZ3"/>
    <mergeCell ref="BA1:BA3"/>
    <mergeCell ref="BB1:BB3"/>
    <mergeCell ref="BC1:BC3"/>
    <mergeCell ref="BD1:B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dcterms:created xsi:type="dcterms:W3CDTF">2017-05-22T13:08:25Z</dcterms:created>
  <dcterms:modified xsi:type="dcterms:W3CDTF">2022-11-15T11:28:48Z</dcterms:modified>
</cp:coreProperties>
</file>