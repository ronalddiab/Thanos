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4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2" l="1"/>
  <c r="C11" i="5" l="1"/>
  <c r="T14" i="2" l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9" i="2" s="1"/>
  <c r="P10" i="2" s="1"/>
  <c r="P11" i="2" s="1"/>
  <c r="P12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4" i="5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4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6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12" i="4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2" i="4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2" i="4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2" i="4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2" i="4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2" i="4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2" i="4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2" i="4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2" i="4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I2" i="4"/>
  <c r="N26" i="10" l="1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<sst xmlns="http://schemas.openxmlformats.org/spreadsheetml/2006/main" count="442" uniqueCount="144">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</sst>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H22" sqref="H2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62842.014303999997</v>
      </c>
      <c r="F10" s="162">
        <v>1.27</v>
      </c>
      <c r="G10" s="47">
        <f>Gas!C11*0.9147</f>
        <v>1404.0645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189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-2027</v>
      </c>
      <c r="F11" s="162">
        <v>1.27</v>
      </c>
      <c r="G11" s="47">
        <f>Gas!C12*0.9147</f>
        <v>2530.9748999999997</v>
      </c>
      <c r="H11" s="163">
        <v>3.65</v>
      </c>
      <c r="I11" s="165">
        <f>Submetering!H11+Submetering!AD11+Submetering!AE11</f>
        <v>1166.0000000000002</v>
      </c>
      <c r="J11" s="165">
        <v>10.029999999999999</v>
      </c>
      <c r="K11" s="47">
        <f>ELECT.!B12</f>
        <v>190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145186.45609600004</v>
      </c>
      <c r="F12" s="162">
        <v>1.27</v>
      </c>
      <c r="G12" s="47">
        <f>Gas!C13*0.9147</f>
        <v>1726.0389</v>
      </c>
      <c r="H12" s="163">
        <v>3.65</v>
      </c>
      <c r="I12" s="165">
        <f>Submetering!H12+Submetering!AD12+Submetering!AE12</f>
        <v>1166</v>
      </c>
      <c r="J12" s="165">
        <v>10.029999999999999</v>
      </c>
      <c r="K12" s="47">
        <f>ELECT.!B13</f>
        <v>166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9" sqref="C2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14983</v>
      </c>
      <c r="J10" s="47">
        <f>ELECT.!H11</f>
        <v>51124</v>
      </c>
      <c r="K10" s="47">
        <f>ELECT.!K11</f>
        <v>5400</v>
      </c>
      <c r="L10" s="47">
        <f>ELECT.!M11</f>
        <v>4473</v>
      </c>
      <c r="M10" s="47">
        <f>ELECT.!O11</f>
        <v>10336</v>
      </c>
      <c r="N10" s="47">
        <f>ELECT.!Q11</f>
        <v>12636</v>
      </c>
      <c r="O10" s="47" t="str">
        <f>ELECT.!S11</f>
        <v>0</v>
      </c>
      <c r="P10" s="47">
        <f>ELECT.!W11*2</f>
        <v>21856</v>
      </c>
      <c r="Q10" s="47">
        <f>ELECT.!D11</f>
        <v>640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189</v>
      </c>
      <c r="Y10" s="45">
        <f t="shared" si="0"/>
        <v>11406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1360</v>
      </c>
      <c r="F11" s="47">
        <f>Water!E12</f>
        <v>0</v>
      </c>
      <c r="G11" s="47">
        <f>Water!G12</f>
        <v>450.9</v>
      </c>
      <c r="H11" s="47">
        <f>Water!I12</f>
        <v>2.6189999999999998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13.407000000002881</v>
      </c>
      <c r="S11" s="48">
        <f>BTU!F12</f>
        <v>2.6969999999996617</v>
      </c>
      <c r="T11" s="48">
        <f>BTU!I12</f>
        <v>9</v>
      </c>
      <c r="U11" s="48">
        <f>BTU!O12</f>
        <v>1.6419999999998254</v>
      </c>
      <c r="V11" s="48">
        <f>BTU!L12</f>
        <v>3.9900000000016007</v>
      </c>
      <c r="W11" s="48">
        <f>BTU!R12</f>
        <v>2.4799999999995634</v>
      </c>
      <c r="X11" s="45">
        <f>ELECT.!B12</f>
        <v>190</v>
      </c>
      <c r="Y11" s="45">
        <f t="shared" si="0"/>
        <v>0</v>
      </c>
      <c r="Z11">
        <f>'Mall, Citadel, Rotana'!C12+'Mall, Citadel, Rotana'!E12+'Mall, Citadel, Rotana'!G12+'Mall, Citadel, Rotana'!I12</f>
        <v>1544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153.33361580000002</v>
      </c>
      <c r="AE11" s="45">
        <f t="shared" si="2"/>
        <v>1010.0473842000001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1360</v>
      </c>
      <c r="F12" s="47">
        <f>Water!E13</f>
        <v>0</v>
      </c>
      <c r="G12" s="47">
        <f>Water!G13</f>
        <v>604.79999999999995</v>
      </c>
      <c r="H12" s="47">
        <f>Water!I13</f>
        <v>3.4830000000000001</v>
      </c>
      <c r="I12" s="47">
        <f>ELECT.!F13</f>
        <v>32920</v>
      </c>
      <c r="J12" s="47">
        <f>ELECT.!H13</f>
        <v>106876</v>
      </c>
      <c r="K12" s="47">
        <f>ELECT.!K13</f>
        <v>11400</v>
      </c>
      <c r="L12" s="47">
        <f>ELECT.!M13</f>
        <v>10215</v>
      </c>
      <c r="M12" s="47">
        <f>ELECT.!O13</f>
        <v>22340</v>
      </c>
      <c r="N12" s="47">
        <f>ELECT.!Q13</f>
        <v>27898</v>
      </c>
      <c r="O12" s="47">
        <f>ELECT.!S13</f>
        <v>420426</v>
      </c>
      <c r="P12" s="47">
        <f>ELECT.!W13*2</f>
        <v>44818</v>
      </c>
      <c r="Q12" s="47">
        <f>ELECT.!D13</f>
        <v>1600</v>
      </c>
      <c r="R12" s="48">
        <f>BTU!C13</f>
        <v>15.123999999999796</v>
      </c>
      <c r="S12" s="48">
        <f>BTU!F13</f>
        <v>3.7930000000001201</v>
      </c>
      <c r="T12" s="48">
        <f>BTU!I13</f>
        <v>9</v>
      </c>
      <c r="U12" s="48">
        <f>BTU!O13</f>
        <v>1.4720000000002074</v>
      </c>
      <c r="V12" s="48">
        <f>BTU!L13</f>
        <v>2.5799999999999272</v>
      </c>
      <c r="W12" s="48">
        <f>BTU!R13</f>
        <v>3.5399999999999636</v>
      </c>
      <c r="X12" s="45">
        <f>ELECT.!B13</f>
        <v>166</v>
      </c>
      <c r="Y12" s="45">
        <f t="shared" si="0"/>
        <v>-397301</v>
      </c>
      <c r="Z12">
        <f>'Mall, Citadel, Rotana'!C13+'Mall, Citadel, Rotana'!E13+'Mall, Citadel, Rotana'!G13+'Mall, Citadel, Rotana'!I13</f>
        <v>1579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153.21974059999999</v>
      </c>
      <c r="AE12" s="45">
        <f t="shared" si="2"/>
        <v>1009.2972594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A13" sqref="A1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3693</v>
      </c>
      <c r="U9" s="16">
        <f t="shared" si="9"/>
        <v>320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3694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0</v>
      </c>
    </row>
    <row r="12" spans="1:24" ht="13.5" thickBot="1" x14ac:dyDescent="0.25">
      <c r="A12" s="10">
        <v>44387</v>
      </c>
      <c r="B12" s="42">
        <v>45541</v>
      </c>
      <c r="C12" s="16">
        <f t="shared" si="0"/>
        <v>960</v>
      </c>
      <c r="D12" s="42">
        <v>39666</v>
      </c>
      <c r="E12" s="16">
        <f t="shared" si="1"/>
        <v>480</v>
      </c>
      <c r="F12" s="42">
        <v>20551</v>
      </c>
      <c r="G12" s="16">
        <f t="shared" si="2"/>
        <v>60</v>
      </c>
      <c r="H12" s="42">
        <v>245158</v>
      </c>
      <c r="I12" s="16">
        <f t="shared" si="3"/>
        <v>44</v>
      </c>
      <c r="J12" s="42">
        <v>303517</v>
      </c>
      <c r="K12" s="16">
        <f t="shared" si="4"/>
        <v>0</v>
      </c>
      <c r="L12" s="42">
        <v>25134</v>
      </c>
      <c r="M12" s="16">
        <f t="shared" si="5"/>
        <v>480</v>
      </c>
      <c r="N12" s="42">
        <v>215671</v>
      </c>
      <c r="O12" s="16">
        <f t="shared" si="6"/>
        <v>3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v>3695</v>
      </c>
      <c r="U12" s="16">
        <f t="shared" si="9"/>
        <v>160</v>
      </c>
    </row>
    <row r="13" spans="1:24" ht="13.5" thickBot="1" x14ac:dyDescent="0.25">
      <c r="A13" s="10">
        <v>44388</v>
      </c>
      <c r="B13" s="42">
        <v>45547</v>
      </c>
      <c r="C13" s="16">
        <f t="shared" si="0"/>
        <v>960</v>
      </c>
      <c r="D13" s="42">
        <v>39669</v>
      </c>
      <c r="E13" s="16">
        <f t="shared" si="1"/>
        <v>480</v>
      </c>
      <c r="F13" s="42">
        <v>20555</v>
      </c>
      <c r="G13" s="16">
        <f t="shared" si="2"/>
        <v>80</v>
      </c>
      <c r="H13" s="42">
        <v>245217</v>
      </c>
      <c r="I13" s="16">
        <f t="shared" si="3"/>
        <v>59</v>
      </c>
      <c r="J13" s="42">
        <v>303517</v>
      </c>
      <c r="K13" s="16">
        <f t="shared" si="4"/>
        <v>0</v>
      </c>
      <c r="L13" s="42">
        <v>25138</v>
      </c>
      <c r="M13" s="16">
        <f t="shared" si="5"/>
        <v>640</v>
      </c>
      <c r="N13" s="42">
        <v>215674</v>
      </c>
      <c r="O13" s="16">
        <f t="shared" si="6"/>
        <v>3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v>3697</v>
      </c>
      <c r="U13" s="16">
        <f t="shared" si="9"/>
        <v>320</v>
      </c>
    </row>
    <row r="14" spans="1:24" ht="13.5" thickBot="1" x14ac:dyDescent="0.25">
      <c r="A14" s="10">
        <v>44389</v>
      </c>
      <c r="B14" s="42">
        <f t="shared" ref="B13:B33" si="11">B13</f>
        <v>45547</v>
      </c>
      <c r="C14" s="16">
        <f t="shared" si="0"/>
        <v>0</v>
      </c>
      <c r="D14" s="42">
        <f t="shared" ref="D13:D33" si="12">D13</f>
        <v>39669</v>
      </c>
      <c r="E14" s="16">
        <f t="shared" si="1"/>
        <v>0</v>
      </c>
      <c r="F14" s="42">
        <f t="shared" ref="F13:F33" si="13">F13</f>
        <v>20555</v>
      </c>
      <c r="G14" s="16">
        <f t="shared" si="2"/>
        <v>0</v>
      </c>
      <c r="H14" s="42">
        <f t="shared" ref="H13:H33" si="14">H13</f>
        <v>245217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ref="L13:L33" si="15">L13</f>
        <v>25138</v>
      </c>
      <c r="M14" s="16">
        <f t="shared" si="5"/>
        <v>0</v>
      </c>
      <c r="N14" s="42">
        <f t="shared" ref="N13:N33" si="16">N13</f>
        <v>215674</v>
      </c>
      <c r="O14" s="16">
        <f t="shared" si="6"/>
        <v>0</v>
      </c>
      <c r="P14" s="42">
        <f t="shared" si="10"/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ref="T13:T33" si="17">T13</f>
        <v>3697</v>
      </c>
      <c r="U14" s="16">
        <f>(T14-T13)*800/5</f>
        <v>0</v>
      </c>
    </row>
    <row r="15" spans="1:24" ht="13.5" thickBot="1" x14ac:dyDescent="0.25">
      <c r="A15" s="10">
        <v>44390</v>
      </c>
      <c r="B15" s="42">
        <f t="shared" si="11"/>
        <v>45547</v>
      </c>
      <c r="C15" s="16">
        <f t="shared" si="0"/>
        <v>0</v>
      </c>
      <c r="D15" s="42">
        <f t="shared" si="12"/>
        <v>39669</v>
      </c>
      <c r="E15" s="16">
        <f t="shared" si="1"/>
        <v>0</v>
      </c>
      <c r="F15" s="42">
        <f t="shared" si="13"/>
        <v>20555</v>
      </c>
      <c r="G15" s="16">
        <f t="shared" si="2"/>
        <v>0</v>
      </c>
      <c r="H15" s="42">
        <f t="shared" si="14"/>
        <v>245217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5"/>
        <v>25138</v>
      </c>
      <c r="M15" s="16">
        <f t="shared" si="5"/>
        <v>0</v>
      </c>
      <c r="N15" s="42">
        <f t="shared" si="16"/>
        <v>215674</v>
      </c>
      <c r="O15" s="16">
        <f t="shared" si="6"/>
        <v>0</v>
      </c>
      <c r="P15" s="42">
        <f t="shared" si="10"/>
        <v>111345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3697</v>
      </c>
      <c r="U15" s="16">
        <f>(T15-T14)*800/5</f>
        <v>0</v>
      </c>
      <c r="X15" t="s">
        <v>12</v>
      </c>
    </row>
    <row r="16" spans="1:24" ht="13.5" thickBot="1" x14ac:dyDescent="0.25">
      <c r="A16" s="10">
        <v>44391</v>
      </c>
      <c r="B16" s="42">
        <f t="shared" si="11"/>
        <v>45547</v>
      </c>
      <c r="C16" s="16">
        <f t="shared" si="0"/>
        <v>0</v>
      </c>
      <c r="D16" s="42">
        <f t="shared" si="12"/>
        <v>39669</v>
      </c>
      <c r="E16" s="16">
        <f t="shared" si="1"/>
        <v>0</v>
      </c>
      <c r="F16" s="42">
        <f t="shared" si="13"/>
        <v>20555</v>
      </c>
      <c r="G16" s="16">
        <f t="shared" si="2"/>
        <v>0</v>
      </c>
      <c r="H16" s="42">
        <f t="shared" si="14"/>
        <v>245217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5"/>
        <v>25138</v>
      </c>
      <c r="M16" s="16">
        <f t="shared" si="5"/>
        <v>0</v>
      </c>
      <c r="N16" s="42">
        <f t="shared" si="16"/>
        <v>215674</v>
      </c>
      <c r="O16" s="16">
        <f t="shared" si="6"/>
        <v>0</v>
      </c>
      <c r="P16" s="42">
        <f t="shared" si="10"/>
        <v>111345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3697</v>
      </c>
      <c r="U16" s="16">
        <f t="shared" si="9"/>
        <v>0</v>
      </c>
      <c r="W16" t="s">
        <v>12</v>
      </c>
    </row>
    <row r="17" spans="1:23" ht="13.5" thickBot="1" x14ac:dyDescent="0.25">
      <c r="A17" s="10">
        <v>44392</v>
      </c>
      <c r="B17" s="42">
        <f t="shared" si="11"/>
        <v>45547</v>
      </c>
      <c r="C17" s="16">
        <f t="shared" si="0"/>
        <v>0</v>
      </c>
      <c r="D17" s="42">
        <f t="shared" si="12"/>
        <v>39669</v>
      </c>
      <c r="E17" s="16">
        <f t="shared" si="1"/>
        <v>0</v>
      </c>
      <c r="F17" s="42">
        <f t="shared" si="13"/>
        <v>20555</v>
      </c>
      <c r="G17" s="16">
        <f t="shared" si="2"/>
        <v>0</v>
      </c>
      <c r="H17" s="42">
        <f t="shared" si="14"/>
        <v>245217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5"/>
        <v>25138</v>
      </c>
      <c r="M17" s="16">
        <f t="shared" si="5"/>
        <v>0</v>
      </c>
      <c r="N17" s="42">
        <f t="shared" si="16"/>
        <v>215674</v>
      </c>
      <c r="O17" s="16">
        <f t="shared" si="6"/>
        <v>0</v>
      </c>
      <c r="P17" s="42">
        <f t="shared" si="10"/>
        <v>111345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3697</v>
      </c>
      <c r="U17" s="16">
        <f t="shared" si="9"/>
        <v>0</v>
      </c>
    </row>
    <row r="18" spans="1:23" ht="13.5" thickBot="1" x14ac:dyDescent="0.25">
      <c r="A18" s="10">
        <v>44393</v>
      </c>
      <c r="B18" s="42">
        <f t="shared" si="11"/>
        <v>45547</v>
      </c>
      <c r="C18" s="16">
        <f t="shared" si="0"/>
        <v>0</v>
      </c>
      <c r="D18" s="42">
        <f t="shared" si="12"/>
        <v>39669</v>
      </c>
      <c r="E18" s="16">
        <f t="shared" si="1"/>
        <v>0</v>
      </c>
      <c r="F18" s="42">
        <f t="shared" si="13"/>
        <v>20555</v>
      </c>
      <c r="G18" s="16">
        <f t="shared" si="2"/>
        <v>0</v>
      </c>
      <c r="H18" s="42">
        <f t="shared" si="14"/>
        <v>245217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5"/>
        <v>25138</v>
      </c>
      <c r="M18" s="16">
        <f t="shared" si="5"/>
        <v>0</v>
      </c>
      <c r="N18" s="42">
        <f t="shared" si="16"/>
        <v>215674</v>
      </c>
      <c r="O18" s="16">
        <f t="shared" si="6"/>
        <v>0</v>
      </c>
      <c r="P18" s="42">
        <f t="shared" si="10"/>
        <v>111345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3697</v>
      </c>
      <c r="U18" s="16">
        <f t="shared" si="9"/>
        <v>0</v>
      </c>
    </row>
    <row r="19" spans="1:23" ht="13.5" thickBot="1" x14ac:dyDescent="0.25">
      <c r="A19" s="10">
        <v>44394</v>
      </c>
      <c r="B19" s="42">
        <f t="shared" si="11"/>
        <v>45547</v>
      </c>
      <c r="C19" s="16">
        <f t="shared" si="0"/>
        <v>0</v>
      </c>
      <c r="D19" s="42">
        <f t="shared" si="12"/>
        <v>39669</v>
      </c>
      <c r="E19" s="16">
        <f t="shared" si="1"/>
        <v>0</v>
      </c>
      <c r="F19" s="42">
        <f t="shared" si="13"/>
        <v>20555</v>
      </c>
      <c r="G19" s="16">
        <f t="shared" si="2"/>
        <v>0</v>
      </c>
      <c r="H19" s="42">
        <f t="shared" si="14"/>
        <v>245217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25138</v>
      </c>
      <c r="M19" s="16">
        <f t="shared" si="5"/>
        <v>0</v>
      </c>
      <c r="N19" s="42">
        <f t="shared" si="16"/>
        <v>215674</v>
      </c>
      <c r="O19" s="16">
        <f t="shared" si="6"/>
        <v>0</v>
      </c>
      <c r="P19" s="42">
        <f t="shared" si="10"/>
        <v>111345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3697</v>
      </c>
      <c r="U19" s="16">
        <f t="shared" si="9"/>
        <v>0</v>
      </c>
      <c r="W19" t="s">
        <v>12</v>
      </c>
    </row>
    <row r="20" spans="1:23" ht="13.5" thickBot="1" x14ac:dyDescent="0.25">
      <c r="A20" s="10">
        <v>44395</v>
      </c>
      <c r="B20" s="42">
        <f t="shared" si="11"/>
        <v>45547</v>
      </c>
      <c r="C20" s="16">
        <f t="shared" si="0"/>
        <v>0</v>
      </c>
      <c r="D20" s="42">
        <f t="shared" si="12"/>
        <v>39669</v>
      </c>
      <c r="E20" s="16">
        <f t="shared" si="1"/>
        <v>0</v>
      </c>
      <c r="F20" s="42">
        <f t="shared" si="13"/>
        <v>20555</v>
      </c>
      <c r="G20" s="16">
        <f t="shared" si="2"/>
        <v>0</v>
      </c>
      <c r="H20" s="42">
        <f t="shared" si="14"/>
        <v>245217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25138</v>
      </c>
      <c r="M20" s="16">
        <f t="shared" si="5"/>
        <v>0</v>
      </c>
      <c r="N20" s="42">
        <f t="shared" si="16"/>
        <v>215674</v>
      </c>
      <c r="O20" s="16">
        <f t="shared" si="6"/>
        <v>0</v>
      </c>
      <c r="P20" s="42">
        <f t="shared" si="10"/>
        <v>111345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3697</v>
      </c>
      <c r="U20" s="16">
        <f t="shared" si="9"/>
        <v>0</v>
      </c>
    </row>
    <row r="21" spans="1:23" ht="13.5" thickBot="1" x14ac:dyDescent="0.25">
      <c r="A21" s="10">
        <v>44396</v>
      </c>
      <c r="B21" s="42">
        <f t="shared" si="11"/>
        <v>45547</v>
      </c>
      <c r="C21" s="16">
        <f t="shared" si="0"/>
        <v>0</v>
      </c>
      <c r="D21" s="42">
        <f t="shared" si="12"/>
        <v>39669</v>
      </c>
      <c r="E21" s="16">
        <f t="shared" si="1"/>
        <v>0</v>
      </c>
      <c r="F21" s="42">
        <f t="shared" si="13"/>
        <v>20555</v>
      </c>
      <c r="G21" s="16">
        <f t="shared" si="2"/>
        <v>0</v>
      </c>
      <c r="H21" s="42">
        <f t="shared" si="14"/>
        <v>245217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25138</v>
      </c>
      <c r="M21" s="16">
        <f t="shared" si="5"/>
        <v>0</v>
      </c>
      <c r="N21" s="42">
        <f t="shared" si="16"/>
        <v>215674</v>
      </c>
      <c r="O21" s="16">
        <f t="shared" si="6"/>
        <v>0</v>
      </c>
      <c r="P21" s="42">
        <f t="shared" si="10"/>
        <v>111345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3697</v>
      </c>
      <c r="U21" s="16">
        <f t="shared" si="9"/>
        <v>0</v>
      </c>
    </row>
    <row r="22" spans="1:23" ht="13.5" thickBot="1" x14ac:dyDescent="0.25">
      <c r="A22" s="10">
        <v>44397</v>
      </c>
      <c r="B22" s="42">
        <f t="shared" si="11"/>
        <v>45547</v>
      </c>
      <c r="C22" s="16">
        <f t="shared" si="0"/>
        <v>0</v>
      </c>
      <c r="D22" s="42">
        <f t="shared" si="12"/>
        <v>39669</v>
      </c>
      <c r="E22" s="16">
        <f t="shared" si="1"/>
        <v>0</v>
      </c>
      <c r="F22" s="42">
        <f t="shared" si="13"/>
        <v>20555</v>
      </c>
      <c r="G22" s="16">
        <f t="shared" si="2"/>
        <v>0</v>
      </c>
      <c r="H22" s="42">
        <f t="shared" si="14"/>
        <v>245217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25138</v>
      </c>
      <c r="M22" s="16">
        <f t="shared" si="5"/>
        <v>0</v>
      </c>
      <c r="N22" s="42">
        <f t="shared" si="16"/>
        <v>215674</v>
      </c>
      <c r="O22" s="16">
        <f t="shared" si="6"/>
        <v>0</v>
      </c>
      <c r="P22" s="42">
        <f t="shared" si="10"/>
        <v>111345</v>
      </c>
      <c r="Q22" s="16">
        <f>P22-P21</f>
        <v>0</v>
      </c>
      <c r="R22" s="1">
        <v>55047</v>
      </c>
      <c r="S22" s="16">
        <f t="shared" si="8"/>
        <v>0</v>
      </c>
      <c r="T22" s="42">
        <f t="shared" si="17"/>
        <v>3697</v>
      </c>
      <c r="U22" s="16">
        <f t="shared" si="9"/>
        <v>0</v>
      </c>
    </row>
    <row r="23" spans="1:23" ht="13.5" thickBot="1" x14ac:dyDescent="0.25">
      <c r="A23" s="10">
        <v>44398</v>
      </c>
      <c r="B23" s="42">
        <f t="shared" si="11"/>
        <v>45547</v>
      </c>
      <c r="C23" s="16">
        <f t="shared" si="0"/>
        <v>0</v>
      </c>
      <c r="D23" s="42">
        <f t="shared" si="12"/>
        <v>39669</v>
      </c>
      <c r="E23" s="16">
        <f t="shared" si="1"/>
        <v>0</v>
      </c>
      <c r="F23" s="42">
        <f t="shared" si="13"/>
        <v>20555</v>
      </c>
      <c r="G23" s="16">
        <f t="shared" si="2"/>
        <v>0</v>
      </c>
      <c r="H23" s="42">
        <f t="shared" si="14"/>
        <v>245217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25138</v>
      </c>
      <c r="M23" s="16">
        <f t="shared" si="5"/>
        <v>0</v>
      </c>
      <c r="N23" s="42">
        <f t="shared" si="16"/>
        <v>215674</v>
      </c>
      <c r="O23" s="16">
        <f t="shared" si="6"/>
        <v>0</v>
      </c>
      <c r="P23" s="42">
        <f t="shared" si="10"/>
        <v>111345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3697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f t="shared" si="11"/>
        <v>45547</v>
      </c>
      <c r="C24" s="16">
        <f t="shared" si="0"/>
        <v>0</v>
      </c>
      <c r="D24" s="42">
        <f t="shared" si="12"/>
        <v>39669</v>
      </c>
      <c r="E24" s="16">
        <f t="shared" si="1"/>
        <v>0</v>
      </c>
      <c r="F24" s="42">
        <f t="shared" si="13"/>
        <v>20555</v>
      </c>
      <c r="G24" s="16">
        <f t="shared" si="2"/>
        <v>0</v>
      </c>
      <c r="H24" s="42">
        <f t="shared" si="14"/>
        <v>245217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25138</v>
      </c>
      <c r="M24" s="16">
        <f t="shared" si="5"/>
        <v>0</v>
      </c>
      <c r="N24" s="42">
        <f t="shared" si="16"/>
        <v>215674</v>
      </c>
      <c r="O24" s="16">
        <f t="shared" si="6"/>
        <v>0</v>
      </c>
      <c r="P24" s="42">
        <f t="shared" si="10"/>
        <v>111345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3697</v>
      </c>
      <c r="U24" s="16">
        <f t="shared" si="9"/>
        <v>0</v>
      </c>
    </row>
    <row r="25" spans="1:23" ht="13.5" thickBot="1" x14ac:dyDescent="0.25">
      <c r="A25" s="10">
        <v>44400</v>
      </c>
      <c r="B25" s="42">
        <f t="shared" si="11"/>
        <v>45547</v>
      </c>
      <c r="C25" s="16">
        <f t="shared" si="0"/>
        <v>0</v>
      </c>
      <c r="D25" s="42">
        <f t="shared" si="12"/>
        <v>39669</v>
      </c>
      <c r="E25" s="16">
        <f t="shared" si="1"/>
        <v>0</v>
      </c>
      <c r="F25" s="42">
        <f t="shared" si="13"/>
        <v>20555</v>
      </c>
      <c r="G25" s="16">
        <f t="shared" si="2"/>
        <v>0</v>
      </c>
      <c r="H25" s="42">
        <f t="shared" si="14"/>
        <v>245217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25138</v>
      </c>
      <c r="M25" s="16">
        <f t="shared" si="5"/>
        <v>0</v>
      </c>
      <c r="N25" s="42">
        <f t="shared" si="16"/>
        <v>215674</v>
      </c>
      <c r="O25" s="16">
        <f t="shared" si="6"/>
        <v>0</v>
      </c>
      <c r="P25" s="42">
        <f t="shared" si="10"/>
        <v>111345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3697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44401</v>
      </c>
      <c r="B26" s="42">
        <f t="shared" si="11"/>
        <v>45547</v>
      </c>
      <c r="C26" s="16">
        <f t="shared" si="0"/>
        <v>0</v>
      </c>
      <c r="D26" s="42">
        <f t="shared" si="12"/>
        <v>39669</v>
      </c>
      <c r="E26" s="16">
        <f t="shared" si="1"/>
        <v>0</v>
      </c>
      <c r="F26" s="42">
        <f t="shared" si="13"/>
        <v>20555</v>
      </c>
      <c r="G26" s="16">
        <f t="shared" si="2"/>
        <v>0</v>
      </c>
      <c r="H26" s="42">
        <f t="shared" si="14"/>
        <v>245217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25138</v>
      </c>
      <c r="M26" s="16">
        <f t="shared" si="5"/>
        <v>0</v>
      </c>
      <c r="N26" s="42">
        <f t="shared" si="16"/>
        <v>215674</v>
      </c>
      <c r="O26" s="16">
        <f t="shared" si="6"/>
        <v>0</v>
      </c>
      <c r="P26" s="42">
        <f t="shared" si="10"/>
        <v>111345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3697</v>
      </c>
      <c r="U26" s="16">
        <f t="shared" si="9"/>
        <v>0</v>
      </c>
      <c r="W26" t="s">
        <v>12</v>
      </c>
    </row>
    <row r="27" spans="1:23" ht="13.5" thickBot="1" x14ac:dyDescent="0.25">
      <c r="A27" s="10">
        <v>44402</v>
      </c>
      <c r="B27" s="42">
        <f t="shared" si="11"/>
        <v>45547</v>
      </c>
      <c r="C27" s="16">
        <f t="shared" si="0"/>
        <v>0</v>
      </c>
      <c r="D27" s="42">
        <f t="shared" si="12"/>
        <v>39669</v>
      </c>
      <c r="E27" s="16">
        <f t="shared" si="1"/>
        <v>0</v>
      </c>
      <c r="F27" s="42">
        <f t="shared" si="13"/>
        <v>20555</v>
      </c>
      <c r="G27" s="16">
        <f t="shared" si="2"/>
        <v>0</v>
      </c>
      <c r="H27" s="42">
        <f t="shared" si="14"/>
        <v>245217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25138</v>
      </c>
      <c r="M27" s="16">
        <f t="shared" si="5"/>
        <v>0</v>
      </c>
      <c r="N27" s="42">
        <f t="shared" si="16"/>
        <v>215674</v>
      </c>
      <c r="O27" s="16">
        <f t="shared" si="6"/>
        <v>0</v>
      </c>
      <c r="P27" s="42">
        <f t="shared" si="10"/>
        <v>111345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3697</v>
      </c>
      <c r="U27" s="16">
        <f t="shared" si="9"/>
        <v>0</v>
      </c>
    </row>
    <row r="28" spans="1:23" ht="13.5" thickBot="1" x14ac:dyDescent="0.25">
      <c r="A28" s="10">
        <v>44403</v>
      </c>
      <c r="B28" s="42">
        <f t="shared" si="11"/>
        <v>45547</v>
      </c>
      <c r="C28" s="16">
        <f t="shared" si="0"/>
        <v>0</v>
      </c>
      <c r="D28" s="42">
        <f t="shared" si="12"/>
        <v>39669</v>
      </c>
      <c r="E28" s="16">
        <f t="shared" si="1"/>
        <v>0</v>
      </c>
      <c r="F28" s="42">
        <f t="shared" si="13"/>
        <v>20555</v>
      </c>
      <c r="G28" s="16">
        <f t="shared" si="2"/>
        <v>0</v>
      </c>
      <c r="H28" s="42">
        <f t="shared" si="14"/>
        <v>245217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25138</v>
      </c>
      <c r="M28" s="16">
        <f t="shared" si="5"/>
        <v>0</v>
      </c>
      <c r="N28" s="42">
        <f t="shared" si="16"/>
        <v>215674</v>
      </c>
      <c r="O28" s="16">
        <f t="shared" si="6"/>
        <v>0</v>
      </c>
      <c r="P28" s="42">
        <f t="shared" si="10"/>
        <v>111345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3697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1"/>
        <v>45547</v>
      </c>
      <c r="C29" s="16">
        <f t="shared" si="0"/>
        <v>0</v>
      </c>
      <c r="D29" s="42">
        <f t="shared" si="12"/>
        <v>39669</v>
      </c>
      <c r="E29" s="16">
        <f t="shared" si="1"/>
        <v>0</v>
      </c>
      <c r="F29" s="42">
        <f t="shared" si="13"/>
        <v>20555</v>
      </c>
      <c r="G29" s="16">
        <f t="shared" si="2"/>
        <v>0</v>
      </c>
      <c r="H29" s="42">
        <f t="shared" si="14"/>
        <v>245217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25138</v>
      </c>
      <c r="M29" s="16">
        <f t="shared" si="5"/>
        <v>0</v>
      </c>
      <c r="N29" s="42">
        <f t="shared" si="16"/>
        <v>215674</v>
      </c>
      <c r="O29" s="16">
        <f t="shared" si="6"/>
        <v>0</v>
      </c>
      <c r="P29" s="42">
        <f t="shared" si="10"/>
        <v>111345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3697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1"/>
        <v>45547</v>
      </c>
      <c r="C30" s="16">
        <f t="shared" si="0"/>
        <v>0</v>
      </c>
      <c r="D30" s="42">
        <f t="shared" si="12"/>
        <v>39669</v>
      </c>
      <c r="E30" s="16">
        <f t="shared" si="1"/>
        <v>0</v>
      </c>
      <c r="F30" s="42">
        <f t="shared" si="13"/>
        <v>20555</v>
      </c>
      <c r="G30" s="16">
        <f t="shared" si="2"/>
        <v>0</v>
      </c>
      <c r="H30" s="42">
        <f t="shared" si="14"/>
        <v>245217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25138</v>
      </c>
      <c r="M30" s="16">
        <f t="shared" si="5"/>
        <v>0</v>
      </c>
      <c r="N30" s="42">
        <f t="shared" si="16"/>
        <v>215674</v>
      </c>
      <c r="O30" s="16">
        <f t="shared" si="6"/>
        <v>0</v>
      </c>
      <c r="P30" s="42">
        <f t="shared" si="10"/>
        <v>111345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3697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45547</v>
      </c>
      <c r="C31" s="16">
        <f t="shared" si="0"/>
        <v>0</v>
      </c>
      <c r="D31" s="42">
        <f t="shared" si="12"/>
        <v>39669</v>
      </c>
      <c r="E31" s="16">
        <f t="shared" si="1"/>
        <v>0</v>
      </c>
      <c r="F31" s="42">
        <f t="shared" si="13"/>
        <v>20555</v>
      </c>
      <c r="G31" s="16">
        <f t="shared" si="2"/>
        <v>0</v>
      </c>
      <c r="H31" s="42">
        <f t="shared" si="14"/>
        <v>245217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25138</v>
      </c>
      <c r="M31" s="16">
        <f t="shared" si="5"/>
        <v>0</v>
      </c>
      <c r="N31" s="42">
        <f t="shared" si="16"/>
        <v>215674</v>
      </c>
      <c r="O31" s="16">
        <f t="shared" si="6"/>
        <v>0</v>
      </c>
      <c r="P31" s="42">
        <f t="shared" si="10"/>
        <v>111345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3697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45547</v>
      </c>
      <c r="C32" s="16">
        <f t="shared" si="0"/>
        <v>0</v>
      </c>
      <c r="D32" s="42">
        <f t="shared" si="12"/>
        <v>39669</v>
      </c>
      <c r="E32" s="16">
        <f t="shared" si="1"/>
        <v>0</v>
      </c>
      <c r="F32" s="42">
        <f t="shared" si="13"/>
        <v>20555</v>
      </c>
      <c r="G32" s="16">
        <f t="shared" si="2"/>
        <v>0</v>
      </c>
      <c r="H32" s="42">
        <f t="shared" si="14"/>
        <v>245217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25138</v>
      </c>
      <c r="M32" s="16">
        <f t="shared" si="5"/>
        <v>0</v>
      </c>
      <c r="N32" s="42">
        <f t="shared" si="16"/>
        <v>215674</v>
      </c>
      <c r="O32" s="16">
        <f t="shared" si="6"/>
        <v>0</v>
      </c>
      <c r="P32" s="42">
        <f t="shared" si="10"/>
        <v>111345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3697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45547</v>
      </c>
      <c r="C33" s="16">
        <f t="shared" si="0"/>
        <v>0</v>
      </c>
      <c r="D33" s="42">
        <f t="shared" si="12"/>
        <v>39669</v>
      </c>
      <c r="E33" s="16">
        <f t="shared" si="1"/>
        <v>0</v>
      </c>
      <c r="F33" s="42">
        <f t="shared" si="13"/>
        <v>20555</v>
      </c>
      <c r="G33" s="16">
        <f t="shared" si="2"/>
        <v>0</v>
      </c>
      <c r="H33" s="42">
        <f t="shared" si="14"/>
        <v>245217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25138</v>
      </c>
      <c r="M33" s="16">
        <f t="shared" si="5"/>
        <v>0</v>
      </c>
      <c r="N33" s="42">
        <f t="shared" si="16"/>
        <v>215674</v>
      </c>
      <c r="O33" s="16">
        <f t="shared" si="6"/>
        <v>0</v>
      </c>
      <c r="P33" s="42">
        <f t="shared" si="10"/>
        <v>111345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3697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9920</v>
      </c>
      <c r="D34" s="13"/>
      <c r="E34" s="11">
        <f>SUM(E3:E33)</f>
        <v>4960</v>
      </c>
      <c r="F34" s="13"/>
      <c r="G34" s="11">
        <f>SUM(G3:G33)</f>
        <v>760</v>
      </c>
      <c r="H34" s="13"/>
      <c r="I34" s="11">
        <f>SUM(I3:I33)</f>
        <v>645</v>
      </c>
      <c r="J34" s="13"/>
      <c r="K34" s="11">
        <f>SUM(K3:K33)</f>
        <v>0</v>
      </c>
      <c r="L34" s="13"/>
      <c r="M34" s="11">
        <f>SUM(M3:M33)</f>
        <v>6560</v>
      </c>
      <c r="N34" s="43"/>
      <c r="O34" s="11">
        <f>SUM(O3:O33)</f>
        <v>35</v>
      </c>
      <c r="P34" s="13"/>
      <c r="Q34" s="11">
        <f>SUM(Q3:Q33)</f>
        <v>850</v>
      </c>
      <c r="R34" s="1"/>
      <c r="S34" s="11">
        <f>SUM(S3:S33)</f>
        <v>0</v>
      </c>
      <c r="T34" s="1"/>
      <c r="U34" s="11">
        <f>SUM(U3:U33)</f>
        <v>2080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B13" sqref="B1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>
        <v>189</v>
      </c>
      <c r="C11" s="161">
        <v>18426</v>
      </c>
      <c r="D11" s="49">
        <f t="shared" si="11"/>
        <v>640</v>
      </c>
      <c r="E11" s="137">
        <v>26720252</v>
      </c>
      <c r="F11" s="49">
        <f t="shared" si="12"/>
        <v>14983</v>
      </c>
      <c r="G11" s="141">
        <v>84806995</v>
      </c>
      <c r="H11" s="49">
        <f t="shared" si="13"/>
        <v>51124</v>
      </c>
      <c r="I11" s="138">
        <f t="shared" si="14"/>
        <v>66107</v>
      </c>
      <c r="J11" s="137">
        <v>8317492</v>
      </c>
      <c r="K11" s="49">
        <f t="shared" si="15"/>
        <v>5400</v>
      </c>
      <c r="L11" s="139">
        <v>8277752</v>
      </c>
      <c r="M11" s="49">
        <f t="shared" si="16"/>
        <v>4473</v>
      </c>
      <c r="N11" s="137">
        <v>5392220</v>
      </c>
      <c r="O11" s="49">
        <f t="shared" si="23"/>
        <v>10336</v>
      </c>
      <c r="P11" s="139">
        <v>4043094</v>
      </c>
      <c r="Q11" s="49">
        <f t="shared" si="17"/>
        <v>12636</v>
      </c>
      <c r="R11" s="137">
        <v>17547941</v>
      </c>
      <c r="S11" s="49" t="str">
        <f t="shared" si="18"/>
        <v>0</v>
      </c>
      <c r="T11" s="137">
        <v>0</v>
      </c>
      <c r="U11" s="140"/>
      <c r="V11" s="137">
        <v>5662956</v>
      </c>
      <c r="W11" s="49">
        <f t="shared" si="19"/>
        <v>10928</v>
      </c>
      <c r="X11" s="28">
        <f t="shared" si="20"/>
        <v>43773</v>
      </c>
      <c r="Y11" s="35">
        <f t="shared" si="21"/>
        <v>22334</v>
      </c>
      <c r="Z11" s="27">
        <f t="shared" si="22"/>
        <v>5978.0022016000003</v>
      </c>
      <c r="AA11" s="27">
        <f t="shared" si="24"/>
        <v>32523.453497600003</v>
      </c>
    </row>
    <row r="12" spans="1:27" ht="16.5" thickBot="1" x14ac:dyDescent="0.25">
      <c r="A12" s="10">
        <v>44387</v>
      </c>
      <c r="B12" s="49">
        <v>190</v>
      </c>
      <c r="C12" s="161">
        <f t="shared" ref="C12:C33" si="25">C11</f>
        <v>18426</v>
      </c>
      <c r="D12" s="49">
        <f t="shared" si="11"/>
        <v>0</v>
      </c>
      <c r="E12" s="137">
        <f t="shared" ref="E12:E33" si="26">E11</f>
        <v>26720252</v>
      </c>
      <c r="F12" s="49">
        <f t="shared" si="12"/>
        <v>0</v>
      </c>
      <c r="G12" s="141">
        <f t="shared" ref="G12:G33" si="27">G11</f>
        <v>84806995</v>
      </c>
      <c r="H12" s="49">
        <f t="shared" si="13"/>
        <v>0</v>
      </c>
      <c r="I12" s="138">
        <f t="shared" si="14"/>
        <v>0</v>
      </c>
      <c r="J12" s="137">
        <f t="shared" ref="J12:J33" si="28">J11</f>
        <v>8317492</v>
      </c>
      <c r="K12" s="49">
        <f t="shared" si="15"/>
        <v>0</v>
      </c>
      <c r="L12" s="139">
        <f t="shared" ref="L12:L33" si="29">L11</f>
        <v>8277752</v>
      </c>
      <c r="M12" s="49">
        <f t="shared" si="16"/>
        <v>0</v>
      </c>
      <c r="N12" s="137">
        <f t="shared" ref="N12:N33" si="30">N11</f>
        <v>5392220</v>
      </c>
      <c r="O12" s="49">
        <f t="shared" si="23"/>
        <v>0</v>
      </c>
      <c r="P12" s="139">
        <f t="shared" ref="P12:P33" si="31">P11</f>
        <v>4043094</v>
      </c>
      <c r="Q12" s="49">
        <f t="shared" si="17"/>
        <v>0</v>
      </c>
      <c r="R12" s="137">
        <f t="shared" ref="R12:R33" si="32">R11</f>
        <v>17547941</v>
      </c>
      <c r="S12" s="49">
        <f t="shared" si="18"/>
        <v>0</v>
      </c>
      <c r="T12" s="137">
        <v>0</v>
      </c>
      <c r="U12" s="140"/>
      <c r="V12" s="137">
        <f t="shared" ref="V12:V33" si="33">V11</f>
        <v>5662956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23395.303588800001</v>
      </c>
    </row>
    <row r="13" spans="1:27" ht="16.5" thickBot="1" x14ac:dyDescent="0.25">
      <c r="A13" s="10">
        <v>44388</v>
      </c>
      <c r="B13" s="49">
        <v>166</v>
      </c>
      <c r="C13" s="161">
        <v>18436</v>
      </c>
      <c r="D13" s="49">
        <f t="shared" si="11"/>
        <v>1600</v>
      </c>
      <c r="E13" s="137">
        <v>26753172</v>
      </c>
      <c r="F13" s="49">
        <f t="shared" si="12"/>
        <v>32920</v>
      </c>
      <c r="G13" s="141">
        <v>84913871</v>
      </c>
      <c r="H13" s="49">
        <f t="shared" si="13"/>
        <v>106876</v>
      </c>
      <c r="I13" s="138">
        <f t="shared" si="14"/>
        <v>139796</v>
      </c>
      <c r="J13" s="137">
        <v>8328892</v>
      </c>
      <c r="K13" s="49">
        <f t="shared" si="15"/>
        <v>11400</v>
      </c>
      <c r="L13" s="139">
        <v>8287967</v>
      </c>
      <c r="M13" s="49">
        <f t="shared" si="16"/>
        <v>10215</v>
      </c>
      <c r="N13" s="137">
        <v>5403390</v>
      </c>
      <c r="O13" s="49">
        <f t="shared" si="23"/>
        <v>22340</v>
      </c>
      <c r="P13" s="139">
        <v>4070992</v>
      </c>
      <c r="Q13" s="49">
        <f t="shared" si="17"/>
        <v>27898</v>
      </c>
      <c r="R13" s="137">
        <v>17968367</v>
      </c>
      <c r="S13" s="49">
        <f>IF((R13-R12)&lt;0,"0",(R13-R12))</f>
        <v>420426</v>
      </c>
      <c r="T13" s="137">
        <v>0</v>
      </c>
      <c r="U13" s="140"/>
      <c r="V13" s="137">
        <v>5685365</v>
      </c>
      <c r="W13" s="49">
        <f t="shared" si="19"/>
        <v>22409</v>
      </c>
      <c r="X13" s="28">
        <f t="shared" si="20"/>
        <v>514688</v>
      </c>
      <c r="Y13" s="35">
        <f t="shared" si="21"/>
        <v>-374892</v>
      </c>
      <c r="Z13" s="27">
        <f t="shared" si="22"/>
        <v>114755.640376</v>
      </c>
      <c r="AA13" s="27">
        <f t="shared" si="24"/>
        <v>131832.99168000001</v>
      </c>
    </row>
    <row r="14" spans="1:27" ht="16.5" thickBot="1" x14ac:dyDescent="0.25">
      <c r="A14" s="10">
        <v>44389</v>
      </c>
      <c r="B14" s="49"/>
      <c r="C14" s="161">
        <f t="shared" si="25"/>
        <v>18436</v>
      </c>
      <c r="D14" s="49">
        <f t="shared" si="11"/>
        <v>0</v>
      </c>
      <c r="E14" s="137">
        <f t="shared" si="26"/>
        <v>26753172</v>
      </c>
      <c r="F14" s="49">
        <f>IF((E14-E13)&lt;0,"0",(E14-E13))</f>
        <v>0</v>
      </c>
      <c r="G14" s="141">
        <f t="shared" si="27"/>
        <v>84913871</v>
      </c>
      <c r="H14" s="49">
        <f t="shared" si="13"/>
        <v>0</v>
      </c>
      <c r="I14" s="138">
        <f t="shared" si="14"/>
        <v>0</v>
      </c>
      <c r="J14" s="137">
        <f t="shared" si="28"/>
        <v>8328892</v>
      </c>
      <c r="K14" s="49">
        <f t="shared" si="15"/>
        <v>0</v>
      </c>
      <c r="L14" s="139">
        <f t="shared" si="29"/>
        <v>8287967</v>
      </c>
      <c r="M14" s="49">
        <f t="shared" si="16"/>
        <v>0</v>
      </c>
      <c r="N14" s="137">
        <f t="shared" si="30"/>
        <v>5403390</v>
      </c>
      <c r="O14" s="49">
        <f t="shared" si="23"/>
        <v>0</v>
      </c>
      <c r="P14" s="139">
        <f t="shared" si="31"/>
        <v>4070992</v>
      </c>
      <c r="Q14" s="49">
        <f t="shared" si="17"/>
        <v>0</v>
      </c>
      <c r="R14" s="137">
        <f t="shared" si="32"/>
        <v>17968367</v>
      </c>
      <c r="S14" s="49">
        <f>IF((R14-R13)&lt;0,"0",(R14-R13))</f>
        <v>0</v>
      </c>
      <c r="T14" s="137">
        <v>0</v>
      </c>
      <c r="U14" s="140"/>
      <c r="V14" s="137">
        <f t="shared" si="33"/>
        <v>5685365</v>
      </c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120733.6425776</v>
      </c>
    </row>
    <row r="15" spans="1:27" ht="16.5" thickBot="1" x14ac:dyDescent="0.25">
      <c r="A15" s="10">
        <v>44390</v>
      </c>
      <c r="B15" s="49"/>
      <c r="C15" s="161">
        <f t="shared" si="25"/>
        <v>18436</v>
      </c>
      <c r="D15" s="49">
        <f t="shared" si="11"/>
        <v>0</v>
      </c>
      <c r="E15" s="137">
        <f t="shared" si="26"/>
        <v>26753172</v>
      </c>
      <c r="F15" s="49">
        <f>IF((E15-E14)&lt;0,"0",(E15-E14))</f>
        <v>0</v>
      </c>
      <c r="G15" s="141">
        <f t="shared" si="27"/>
        <v>84913871</v>
      </c>
      <c r="H15" s="49">
        <f t="shared" si="13"/>
        <v>0</v>
      </c>
      <c r="I15" s="138">
        <f t="shared" si="14"/>
        <v>0</v>
      </c>
      <c r="J15" s="137">
        <f t="shared" si="28"/>
        <v>8328892</v>
      </c>
      <c r="K15" s="49">
        <f t="shared" si="15"/>
        <v>0</v>
      </c>
      <c r="L15" s="139">
        <f t="shared" si="29"/>
        <v>8287967</v>
      </c>
      <c r="M15" s="49">
        <f t="shared" si="16"/>
        <v>0</v>
      </c>
      <c r="N15" s="137">
        <f t="shared" si="30"/>
        <v>5403390</v>
      </c>
      <c r="O15" s="49">
        <f t="shared" si="23"/>
        <v>0</v>
      </c>
      <c r="P15" s="139">
        <f t="shared" si="31"/>
        <v>4070992</v>
      </c>
      <c r="Q15" s="49">
        <f t="shared" si="17"/>
        <v>0</v>
      </c>
      <c r="R15" s="137">
        <f t="shared" si="32"/>
        <v>17968367</v>
      </c>
      <c r="S15" s="49">
        <f>IF((R15-R14)&lt;0,"0",(R15-R14))</f>
        <v>0</v>
      </c>
      <c r="T15" s="137">
        <v>0</v>
      </c>
      <c r="U15" s="140"/>
      <c r="V15" s="137">
        <f t="shared" si="33"/>
        <v>5685365</v>
      </c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114755.640376</v>
      </c>
    </row>
    <row r="16" spans="1:27" ht="16.5" thickBot="1" x14ac:dyDescent="0.25">
      <c r="A16" s="10">
        <v>44391</v>
      </c>
      <c r="B16" s="49"/>
      <c r="C16" s="161">
        <f t="shared" si="25"/>
        <v>18436</v>
      </c>
      <c r="D16" s="49">
        <f t="shared" si="11"/>
        <v>0</v>
      </c>
      <c r="E16" s="137">
        <f t="shared" si="26"/>
        <v>26753172</v>
      </c>
      <c r="F16" s="49">
        <f>IF((E16-E15)&lt;0,"0",(E16-E15))</f>
        <v>0</v>
      </c>
      <c r="G16" s="141">
        <f t="shared" si="27"/>
        <v>84913871</v>
      </c>
      <c r="H16" s="49">
        <f t="shared" si="13"/>
        <v>0</v>
      </c>
      <c r="I16" s="138">
        <f t="shared" si="14"/>
        <v>0</v>
      </c>
      <c r="J16" s="137">
        <f t="shared" si="28"/>
        <v>8328892</v>
      </c>
      <c r="K16" s="49">
        <f t="shared" si="15"/>
        <v>0</v>
      </c>
      <c r="L16" s="139">
        <f t="shared" si="29"/>
        <v>8287967</v>
      </c>
      <c r="M16" s="49">
        <f t="shared" si="16"/>
        <v>0</v>
      </c>
      <c r="N16" s="137">
        <f t="shared" si="30"/>
        <v>5403390</v>
      </c>
      <c r="O16" s="49">
        <f t="shared" si="23"/>
        <v>0</v>
      </c>
      <c r="P16" s="139">
        <f t="shared" si="31"/>
        <v>4070992</v>
      </c>
      <c r="Q16" s="49">
        <f t="shared" si="17"/>
        <v>0</v>
      </c>
      <c r="R16" s="137">
        <f t="shared" si="32"/>
        <v>17968367</v>
      </c>
      <c r="S16" s="49">
        <f t="shared" si="18"/>
        <v>0</v>
      </c>
      <c r="T16" s="137">
        <v>0</v>
      </c>
      <c r="U16" s="140"/>
      <c r="V16" s="137">
        <f t="shared" si="33"/>
        <v>5685365</v>
      </c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114755.640376</v>
      </c>
    </row>
    <row r="17" spans="1:27" s="151" customFormat="1" ht="16.5" thickBot="1" x14ac:dyDescent="0.25">
      <c r="A17" s="10">
        <v>44392</v>
      </c>
      <c r="B17" s="146"/>
      <c r="C17" s="161">
        <f t="shared" si="25"/>
        <v>18436</v>
      </c>
      <c r="D17" s="49">
        <f t="shared" si="11"/>
        <v>0</v>
      </c>
      <c r="E17" s="137">
        <f t="shared" si="26"/>
        <v>26753172</v>
      </c>
      <c r="F17" s="146">
        <f t="shared" si="12"/>
        <v>0</v>
      </c>
      <c r="G17" s="141">
        <f t="shared" si="27"/>
        <v>84913871</v>
      </c>
      <c r="H17" s="49">
        <f t="shared" si="13"/>
        <v>0</v>
      </c>
      <c r="I17" s="148">
        <f t="shared" si="14"/>
        <v>0</v>
      </c>
      <c r="J17" s="137">
        <f t="shared" si="28"/>
        <v>8328892</v>
      </c>
      <c r="K17" s="146">
        <f t="shared" si="15"/>
        <v>0</v>
      </c>
      <c r="L17" s="139">
        <f t="shared" si="29"/>
        <v>8287967</v>
      </c>
      <c r="M17" s="146">
        <f t="shared" si="16"/>
        <v>0</v>
      </c>
      <c r="N17" s="137">
        <f t="shared" si="30"/>
        <v>5403390</v>
      </c>
      <c r="O17" s="146">
        <f t="shared" si="23"/>
        <v>0</v>
      </c>
      <c r="P17" s="139">
        <f t="shared" si="31"/>
        <v>4070992</v>
      </c>
      <c r="Q17" s="146">
        <f t="shared" si="17"/>
        <v>0</v>
      </c>
      <c r="R17" s="137">
        <f t="shared" si="32"/>
        <v>17968367</v>
      </c>
      <c r="S17" s="146">
        <f t="shared" si="18"/>
        <v>0</v>
      </c>
      <c r="T17" s="147">
        <v>0</v>
      </c>
      <c r="U17" s="140"/>
      <c r="V17" s="137">
        <f t="shared" si="33"/>
        <v>5685365</v>
      </c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44393</v>
      </c>
      <c r="B18" s="146"/>
      <c r="C18" s="161">
        <f t="shared" si="25"/>
        <v>18436</v>
      </c>
      <c r="D18" s="49">
        <f t="shared" si="11"/>
        <v>0</v>
      </c>
      <c r="E18" s="137">
        <f t="shared" si="26"/>
        <v>26753172</v>
      </c>
      <c r="F18" s="146">
        <f t="shared" si="12"/>
        <v>0</v>
      </c>
      <c r="G18" s="141">
        <f t="shared" si="27"/>
        <v>84913871</v>
      </c>
      <c r="H18" s="49">
        <f t="shared" si="13"/>
        <v>0</v>
      </c>
      <c r="I18" s="148">
        <f t="shared" si="14"/>
        <v>0</v>
      </c>
      <c r="J18" s="137">
        <f t="shared" si="28"/>
        <v>8328892</v>
      </c>
      <c r="K18" s="146">
        <f t="shared" si="15"/>
        <v>0</v>
      </c>
      <c r="L18" s="139">
        <f t="shared" si="29"/>
        <v>8287967</v>
      </c>
      <c r="M18" s="146">
        <f t="shared" si="16"/>
        <v>0</v>
      </c>
      <c r="N18" s="137">
        <f t="shared" si="30"/>
        <v>5403390</v>
      </c>
      <c r="O18" s="146">
        <f t="shared" si="23"/>
        <v>0</v>
      </c>
      <c r="P18" s="139">
        <f t="shared" si="31"/>
        <v>4070992</v>
      </c>
      <c r="Q18" s="146">
        <f t="shared" si="17"/>
        <v>0</v>
      </c>
      <c r="R18" s="137">
        <f t="shared" si="32"/>
        <v>17968367</v>
      </c>
      <c r="S18" s="146">
        <f t="shared" si="18"/>
        <v>0</v>
      </c>
      <c r="T18" s="147">
        <v>0</v>
      </c>
      <c r="U18" s="140"/>
      <c r="V18" s="137">
        <f t="shared" si="33"/>
        <v>5685365</v>
      </c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44394</v>
      </c>
      <c r="B19" s="146"/>
      <c r="C19" s="161">
        <f t="shared" si="25"/>
        <v>18436</v>
      </c>
      <c r="D19" s="49">
        <f>IF((C19-C18)&lt;0,"0",(C19-C18))*160</f>
        <v>0</v>
      </c>
      <c r="E19" s="137">
        <f t="shared" si="26"/>
        <v>26753172</v>
      </c>
      <c r="F19" s="146">
        <f t="shared" si="12"/>
        <v>0</v>
      </c>
      <c r="G19" s="141">
        <f t="shared" si="27"/>
        <v>84913871</v>
      </c>
      <c r="H19" s="49">
        <f t="shared" si="13"/>
        <v>0</v>
      </c>
      <c r="I19" s="148">
        <f t="shared" si="14"/>
        <v>0</v>
      </c>
      <c r="J19" s="137">
        <f t="shared" si="28"/>
        <v>8328892</v>
      </c>
      <c r="K19" s="146">
        <f t="shared" si="15"/>
        <v>0</v>
      </c>
      <c r="L19" s="139">
        <f t="shared" si="29"/>
        <v>8287967</v>
      </c>
      <c r="M19" s="146">
        <f t="shared" si="16"/>
        <v>0</v>
      </c>
      <c r="N19" s="137">
        <f t="shared" si="30"/>
        <v>5403390</v>
      </c>
      <c r="O19" s="146">
        <f t="shared" si="23"/>
        <v>0</v>
      </c>
      <c r="P19" s="139">
        <f t="shared" si="31"/>
        <v>4070992</v>
      </c>
      <c r="Q19" s="146">
        <f t="shared" si="17"/>
        <v>0</v>
      </c>
      <c r="R19" s="137">
        <f t="shared" si="32"/>
        <v>17968367</v>
      </c>
      <c r="S19" s="146">
        <f t="shared" si="18"/>
        <v>0</v>
      </c>
      <c r="T19" s="147">
        <v>0</v>
      </c>
      <c r="U19" s="140"/>
      <c r="V19" s="137">
        <f t="shared" si="33"/>
        <v>5685365</v>
      </c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44395</v>
      </c>
      <c r="B20" s="146"/>
      <c r="C20" s="161">
        <f t="shared" si="25"/>
        <v>18436</v>
      </c>
      <c r="D20" s="49">
        <f>IF((C20-C19)&lt;0,"0",(C20-C19))*160</f>
        <v>0</v>
      </c>
      <c r="E20" s="137">
        <f t="shared" si="26"/>
        <v>26753172</v>
      </c>
      <c r="F20" s="146">
        <f t="shared" si="12"/>
        <v>0</v>
      </c>
      <c r="G20" s="141">
        <f t="shared" si="27"/>
        <v>84913871</v>
      </c>
      <c r="H20" s="49">
        <f t="shared" si="13"/>
        <v>0</v>
      </c>
      <c r="I20" s="148">
        <f t="shared" si="14"/>
        <v>0</v>
      </c>
      <c r="J20" s="137">
        <f t="shared" si="28"/>
        <v>8328892</v>
      </c>
      <c r="K20" s="146">
        <f t="shared" si="15"/>
        <v>0</v>
      </c>
      <c r="L20" s="139">
        <f t="shared" si="29"/>
        <v>8287967</v>
      </c>
      <c r="M20" s="146">
        <f t="shared" si="16"/>
        <v>0</v>
      </c>
      <c r="N20" s="137">
        <f t="shared" si="30"/>
        <v>5403390</v>
      </c>
      <c r="O20" s="146">
        <f t="shared" si="23"/>
        <v>0</v>
      </c>
      <c r="P20" s="139">
        <f t="shared" si="31"/>
        <v>4070992</v>
      </c>
      <c r="Q20" s="146">
        <f t="shared" si="17"/>
        <v>0</v>
      </c>
      <c r="R20" s="137">
        <f t="shared" si="32"/>
        <v>17968367</v>
      </c>
      <c r="S20" s="146">
        <f t="shared" si="18"/>
        <v>0</v>
      </c>
      <c r="T20" s="147">
        <v>0</v>
      </c>
      <c r="U20" s="140"/>
      <c r="V20" s="137">
        <f t="shared" si="33"/>
        <v>5685365</v>
      </c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44396</v>
      </c>
      <c r="B21" s="146"/>
      <c r="C21" s="161">
        <f t="shared" si="25"/>
        <v>18436</v>
      </c>
      <c r="D21" s="49">
        <f>IF((C21-C20)&lt;0,"0",(C21-C20))*160</f>
        <v>0</v>
      </c>
      <c r="E21" s="137">
        <f t="shared" si="26"/>
        <v>26753172</v>
      </c>
      <c r="F21" s="146">
        <f t="shared" si="12"/>
        <v>0</v>
      </c>
      <c r="G21" s="141">
        <f t="shared" si="27"/>
        <v>84913871</v>
      </c>
      <c r="H21" s="49">
        <f t="shared" si="13"/>
        <v>0</v>
      </c>
      <c r="I21" s="148">
        <f t="shared" si="14"/>
        <v>0</v>
      </c>
      <c r="J21" s="137">
        <f t="shared" si="28"/>
        <v>8328892</v>
      </c>
      <c r="K21" s="146">
        <f t="shared" si="15"/>
        <v>0</v>
      </c>
      <c r="L21" s="139">
        <f t="shared" si="29"/>
        <v>8287967</v>
      </c>
      <c r="M21" s="146">
        <f t="shared" si="16"/>
        <v>0</v>
      </c>
      <c r="N21" s="137">
        <f t="shared" si="30"/>
        <v>5403390</v>
      </c>
      <c r="O21" s="146">
        <f t="shared" si="23"/>
        <v>0</v>
      </c>
      <c r="P21" s="139">
        <f t="shared" si="31"/>
        <v>4070992</v>
      </c>
      <c r="Q21" s="146">
        <f t="shared" si="17"/>
        <v>0</v>
      </c>
      <c r="R21" s="137">
        <f t="shared" si="32"/>
        <v>17968367</v>
      </c>
      <c r="S21" s="146">
        <f t="shared" si="18"/>
        <v>0</v>
      </c>
      <c r="T21" s="147">
        <v>0</v>
      </c>
      <c r="U21" s="140"/>
      <c r="V21" s="137">
        <f t="shared" si="33"/>
        <v>5685365</v>
      </c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44397</v>
      </c>
      <c r="B22" s="49"/>
      <c r="C22" s="161">
        <f t="shared" si="25"/>
        <v>18436</v>
      </c>
      <c r="D22" s="49">
        <f t="shared" si="11"/>
        <v>0</v>
      </c>
      <c r="E22" s="137">
        <f t="shared" si="26"/>
        <v>26753172</v>
      </c>
      <c r="F22" s="49">
        <f t="shared" si="12"/>
        <v>0</v>
      </c>
      <c r="G22" s="141">
        <f t="shared" si="27"/>
        <v>84913871</v>
      </c>
      <c r="H22" s="49">
        <f t="shared" si="13"/>
        <v>0</v>
      </c>
      <c r="I22" s="138">
        <f t="shared" si="14"/>
        <v>0</v>
      </c>
      <c r="J22" s="137">
        <f t="shared" si="28"/>
        <v>8328892</v>
      </c>
      <c r="K22" s="49">
        <f t="shared" si="15"/>
        <v>0</v>
      </c>
      <c r="L22" s="139">
        <f t="shared" si="29"/>
        <v>8287967</v>
      </c>
      <c r="M22" s="49">
        <f t="shared" si="16"/>
        <v>0</v>
      </c>
      <c r="N22" s="137">
        <f t="shared" si="30"/>
        <v>5403390</v>
      </c>
      <c r="O22" s="49">
        <f t="shared" si="23"/>
        <v>0</v>
      </c>
      <c r="P22" s="139">
        <f t="shared" si="31"/>
        <v>4070992</v>
      </c>
      <c r="Q22" s="49">
        <f t="shared" si="17"/>
        <v>0</v>
      </c>
      <c r="R22" s="137">
        <f t="shared" si="32"/>
        <v>17968367</v>
      </c>
      <c r="S22" s="49">
        <f t="shared" si="18"/>
        <v>0</v>
      </c>
      <c r="T22" s="137">
        <v>0</v>
      </c>
      <c r="U22" s="140"/>
      <c r="V22" s="137">
        <f t="shared" si="33"/>
        <v>5685365</v>
      </c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44398</v>
      </c>
      <c r="B23" s="49"/>
      <c r="C23" s="161">
        <f t="shared" si="25"/>
        <v>18436</v>
      </c>
      <c r="D23" s="49">
        <f t="shared" si="11"/>
        <v>0</v>
      </c>
      <c r="E23" s="137">
        <f t="shared" si="26"/>
        <v>26753172</v>
      </c>
      <c r="F23" s="49">
        <f t="shared" si="12"/>
        <v>0</v>
      </c>
      <c r="G23" s="141">
        <f t="shared" si="27"/>
        <v>84913871</v>
      </c>
      <c r="H23" s="49">
        <f t="shared" si="13"/>
        <v>0</v>
      </c>
      <c r="I23" s="138">
        <f t="shared" si="14"/>
        <v>0</v>
      </c>
      <c r="J23" s="137">
        <f t="shared" si="28"/>
        <v>8328892</v>
      </c>
      <c r="K23" s="49">
        <f t="shared" si="15"/>
        <v>0</v>
      </c>
      <c r="L23" s="139">
        <f t="shared" si="29"/>
        <v>8287967</v>
      </c>
      <c r="M23" s="49">
        <f t="shared" si="16"/>
        <v>0</v>
      </c>
      <c r="N23" s="137">
        <f t="shared" si="30"/>
        <v>5403390</v>
      </c>
      <c r="O23" s="49">
        <f t="shared" si="23"/>
        <v>0</v>
      </c>
      <c r="P23" s="139">
        <f t="shared" si="31"/>
        <v>4070992</v>
      </c>
      <c r="Q23" s="49">
        <f t="shared" si="17"/>
        <v>0</v>
      </c>
      <c r="R23" s="137">
        <f t="shared" si="32"/>
        <v>17968367</v>
      </c>
      <c r="S23" s="49">
        <f t="shared" si="18"/>
        <v>0</v>
      </c>
      <c r="T23" s="137">
        <v>0</v>
      </c>
      <c r="U23" s="140"/>
      <c r="V23" s="137">
        <f t="shared" si="33"/>
        <v>5685365</v>
      </c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44399</v>
      </c>
      <c r="B24" s="49"/>
      <c r="C24" s="161">
        <f t="shared" si="25"/>
        <v>18436</v>
      </c>
      <c r="D24" s="49">
        <f t="shared" si="11"/>
        <v>0</v>
      </c>
      <c r="E24" s="137">
        <f t="shared" si="26"/>
        <v>26753172</v>
      </c>
      <c r="F24" s="49">
        <f t="shared" si="12"/>
        <v>0</v>
      </c>
      <c r="G24" s="141">
        <f t="shared" si="27"/>
        <v>84913871</v>
      </c>
      <c r="H24" s="49">
        <f t="shared" si="13"/>
        <v>0</v>
      </c>
      <c r="I24" s="138">
        <f t="shared" si="14"/>
        <v>0</v>
      </c>
      <c r="J24" s="137">
        <f t="shared" si="28"/>
        <v>8328892</v>
      </c>
      <c r="K24" s="49">
        <f t="shared" si="15"/>
        <v>0</v>
      </c>
      <c r="L24" s="139">
        <f t="shared" si="29"/>
        <v>8287967</v>
      </c>
      <c r="M24" s="49">
        <f t="shared" si="16"/>
        <v>0</v>
      </c>
      <c r="N24" s="137">
        <f t="shared" si="30"/>
        <v>5403390</v>
      </c>
      <c r="O24" s="49">
        <f t="shared" si="23"/>
        <v>0</v>
      </c>
      <c r="P24" s="139">
        <f t="shared" si="31"/>
        <v>4070992</v>
      </c>
      <c r="Q24" s="49">
        <f t="shared" si="17"/>
        <v>0</v>
      </c>
      <c r="R24" s="137">
        <f t="shared" si="32"/>
        <v>17968367</v>
      </c>
      <c r="S24" s="49">
        <f t="shared" si="18"/>
        <v>0</v>
      </c>
      <c r="T24" s="137">
        <v>0</v>
      </c>
      <c r="U24" s="140"/>
      <c r="V24" s="137">
        <f t="shared" si="33"/>
        <v>5685365</v>
      </c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44400</v>
      </c>
      <c r="B25" s="49"/>
      <c r="C25" s="161">
        <f t="shared" si="25"/>
        <v>18436</v>
      </c>
      <c r="D25" s="49">
        <f t="shared" si="11"/>
        <v>0</v>
      </c>
      <c r="E25" s="137">
        <f t="shared" si="26"/>
        <v>26753172</v>
      </c>
      <c r="F25" s="49">
        <f t="shared" si="12"/>
        <v>0</v>
      </c>
      <c r="G25" s="141">
        <f t="shared" si="27"/>
        <v>84913871</v>
      </c>
      <c r="H25" s="49">
        <f t="shared" si="13"/>
        <v>0</v>
      </c>
      <c r="I25" s="138">
        <f t="shared" si="14"/>
        <v>0</v>
      </c>
      <c r="J25" s="137">
        <f t="shared" si="28"/>
        <v>8328892</v>
      </c>
      <c r="K25" s="49">
        <f t="shared" si="15"/>
        <v>0</v>
      </c>
      <c r="L25" s="139">
        <f t="shared" si="29"/>
        <v>8287967</v>
      </c>
      <c r="M25" s="49">
        <f t="shared" si="16"/>
        <v>0</v>
      </c>
      <c r="N25" s="137">
        <f t="shared" si="30"/>
        <v>5403390</v>
      </c>
      <c r="O25" s="49">
        <f t="shared" si="23"/>
        <v>0</v>
      </c>
      <c r="P25" s="139">
        <f t="shared" si="31"/>
        <v>4070992</v>
      </c>
      <c r="Q25" s="49">
        <f t="shared" si="17"/>
        <v>0</v>
      </c>
      <c r="R25" s="137">
        <f t="shared" si="32"/>
        <v>17968367</v>
      </c>
      <c r="S25" s="49">
        <f t="shared" si="18"/>
        <v>0</v>
      </c>
      <c r="T25" s="137">
        <v>0</v>
      </c>
      <c r="U25" s="140"/>
      <c r="V25" s="137">
        <f t="shared" si="33"/>
        <v>5685365</v>
      </c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44401</v>
      </c>
      <c r="B26" s="49"/>
      <c r="C26" s="161">
        <f t="shared" si="25"/>
        <v>18436</v>
      </c>
      <c r="D26" s="49">
        <f t="shared" si="11"/>
        <v>0</v>
      </c>
      <c r="E26" s="137">
        <f t="shared" si="26"/>
        <v>26753172</v>
      </c>
      <c r="F26" s="49">
        <f t="shared" si="12"/>
        <v>0</v>
      </c>
      <c r="G26" s="141">
        <f t="shared" si="27"/>
        <v>84913871</v>
      </c>
      <c r="H26" s="49">
        <f t="shared" si="13"/>
        <v>0</v>
      </c>
      <c r="I26" s="138">
        <f t="shared" si="14"/>
        <v>0</v>
      </c>
      <c r="J26" s="137">
        <f t="shared" si="28"/>
        <v>8328892</v>
      </c>
      <c r="K26" s="49">
        <f t="shared" si="15"/>
        <v>0</v>
      </c>
      <c r="L26" s="139">
        <f t="shared" si="29"/>
        <v>8287967</v>
      </c>
      <c r="M26" s="49">
        <f t="shared" si="16"/>
        <v>0</v>
      </c>
      <c r="N26" s="137">
        <f t="shared" si="30"/>
        <v>5403390</v>
      </c>
      <c r="O26" s="49">
        <f t="shared" si="23"/>
        <v>0</v>
      </c>
      <c r="P26" s="139">
        <f t="shared" si="31"/>
        <v>4070992</v>
      </c>
      <c r="Q26" s="49">
        <f t="shared" si="17"/>
        <v>0</v>
      </c>
      <c r="R26" s="137">
        <f t="shared" si="32"/>
        <v>17968367</v>
      </c>
      <c r="S26" s="49">
        <f t="shared" si="18"/>
        <v>0</v>
      </c>
      <c r="T26" s="137">
        <v>0</v>
      </c>
      <c r="U26" s="140"/>
      <c r="V26" s="137">
        <f t="shared" si="33"/>
        <v>5685365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44402</v>
      </c>
      <c r="B27" s="49"/>
      <c r="C27" s="161">
        <f t="shared" si="25"/>
        <v>18436</v>
      </c>
      <c r="D27" s="49">
        <f t="shared" si="11"/>
        <v>0</v>
      </c>
      <c r="E27" s="137">
        <f t="shared" si="26"/>
        <v>26753172</v>
      </c>
      <c r="F27" s="49">
        <f t="shared" si="12"/>
        <v>0</v>
      </c>
      <c r="G27" s="141">
        <f t="shared" si="27"/>
        <v>84913871</v>
      </c>
      <c r="H27" s="49">
        <f t="shared" si="13"/>
        <v>0</v>
      </c>
      <c r="I27" s="138">
        <f t="shared" si="14"/>
        <v>0</v>
      </c>
      <c r="J27" s="137">
        <f t="shared" si="28"/>
        <v>8328892</v>
      </c>
      <c r="K27" s="49">
        <f t="shared" si="15"/>
        <v>0</v>
      </c>
      <c r="L27" s="139">
        <f t="shared" si="29"/>
        <v>8287967</v>
      </c>
      <c r="M27" s="49">
        <f t="shared" si="16"/>
        <v>0</v>
      </c>
      <c r="N27" s="137">
        <f t="shared" si="30"/>
        <v>5403390</v>
      </c>
      <c r="O27" s="49">
        <f t="shared" si="23"/>
        <v>0</v>
      </c>
      <c r="P27" s="139">
        <f t="shared" si="31"/>
        <v>4070992</v>
      </c>
      <c r="Q27" s="49">
        <f t="shared" si="17"/>
        <v>0</v>
      </c>
      <c r="R27" s="137">
        <f t="shared" si="32"/>
        <v>17968367</v>
      </c>
      <c r="S27" s="49">
        <f t="shared" si="18"/>
        <v>0</v>
      </c>
      <c r="T27" s="137">
        <v>0</v>
      </c>
      <c r="U27" s="140"/>
      <c r="V27" s="137">
        <f t="shared" si="33"/>
        <v>5685365</v>
      </c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44403</v>
      </c>
      <c r="B28" s="49"/>
      <c r="C28" s="161">
        <f t="shared" si="25"/>
        <v>18436</v>
      </c>
      <c r="D28" s="49">
        <f t="shared" si="11"/>
        <v>0</v>
      </c>
      <c r="E28" s="137">
        <f t="shared" si="26"/>
        <v>26753172</v>
      </c>
      <c r="F28" s="49">
        <f t="shared" si="12"/>
        <v>0</v>
      </c>
      <c r="G28" s="141">
        <f t="shared" si="27"/>
        <v>84913871</v>
      </c>
      <c r="H28" s="49">
        <f t="shared" si="13"/>
        <v>0</v>
      </c>
      <c r="I28" s="138">
        <f t="shared" si="14"/>
        <v>0</v>
      </c>
      <c r="J28" s="137">
        <f t="shared" si="28"/>
        <v>8328892</v>
      </c>
      <c r="K28" s="49">
        <f t="shared" si="15"/>
        <v>0</v>
      </c>
      <c r="L28" s="139">
        <f t="shared" si="29"/>
        <v>8287967</v>
      </c>
      <c r="M28" s="49">
        <f t="shared" si="16"/>
        <v>0</v>
      </c>
      <c r="N28" s="137">
        <f t="shared" si="30"/>
        <v>5403390</v>
      </c>
      <c r="O28" s="49">
        <f t="shared" si="23"/>
        <v>0</v>
      </c>
      <c r="P28" s="139">
        <f t="shared" si="31"/>
        <v>4070992</v>
      </c>
      <c r="Q28" s="49">
        <f t="shared" si="17"/>
        <v>0</v>
      </c>
      <c r="R28" s="137">
        <f t="shared" si="32"/>
        <v>17968367</v>
      </c>
      <c r="S28" s="49">
        <f t="shared" si="18"/>
        <v>0</v>
      </c>
      <c r="T28" s="137">
        <v>0</v>
      </c>
      <c r="U28" s="140"/>
      <c r="V28" s="137">
        <f t="shared" si="33"/>
        <v>5685365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44404</v>
      </c>
      <c r="B29" s="49"/>
      <c r="C29" s="161">
        <f t="shared" si="25"/>
        <v>18436</v>
      </c>
      <c r="D29" s="49">
        <f t="shared" si="11"/>
        <v>0</v>
      </c>
      <c r="E29" s="137">
        <f t="shared" si="26"/>
        <v>26753172</v>
      </c>
      <c r="F29" s="49">
        <f t="shared" si="12"/>
        <v>0</v>
      </c>
      <c r="G29" s="141">
        <f t="shared" si="27"/>
        <v>84913871</v>
      </c>
      <c r="H29" s="49">
        <f t="shared" si="13"/>
        <v>0</v>
      </c>
      <c r="I29" s="138">
        <f t="shared" si="14"/>
        <v>0</v>
      </c>
      <c r="J29" s="137">
        <f t="shared" si="28"/>
        <v>8328892</v>
      </c>
      <c r="K29" s="49">
        <f t="shared" si="15"/>
        <v>0</v>
      </c>
      <c r="L29" s="139">
        <f t="shared" si="29"/>
        <v>8287967</v>
      </c>
      <c r="M29" s="49">
        <f t="shared" si="16"/>
        <v>0</v>
      </c>
      <c r="N29" s="137">
        <f t="shared" si="30"/>
        <v>5403390</v>
      </c>
      <c r="O29" s="49">
        <f t="shared" si="23"/>
        <v>0</v>
      </c>
      <c r="P29" s="139">
        <f t="shared" si="31"/>
        <v>4070992</v>
      </c>
      <c r="Q29" s="49">
        <f t="shared" si="17"/>
        <v>0</v>
      </c>
      <c r="R29" s="137">
        <f t="shared" si="32"/>
        <v>17968367</v>
      </c>
      <c r="S29" s="49">
        <f t="shared" si="18"/>
        <v>0</v>
      </c>
      <c r="T29" s="137">
        <v>0</v>
      </c>
      <c r="U29" s="140"/>
      <c r="V29" s="137">
        <f t="shared" si="33"/>
        <v>5685365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44405</v>
      </c>
      <c r="B30" s="49"/>
      <c r="C30" s="161">
        <f t="shared" si="25"/>
        <v>18436</v>
      </c>
      <c r="D30" s="49">
        <f t="shared" si="11"/>
        <v>0</v>
      </c>
      <c r="E30" s="137">
        <f t="shared" si="26"/>
        <v>26753172</v>
      </c>
      <c r="F30" s="49">
        <f t="shared" si="12"/>
        <v>0</v>
      </c>
      <c r="G30" s="141">
        <f t="shared" si="27"/>
        <v>84913871</v>
      </c>
      <c r="H30" s="49">
        <f t="shared" si="13"/>
        <v>0</v>
      </c>
      <c r="I30" s="138">
        <f t="shared" si="14"/>
        <v>0</v>
      </c>
      <c r="J30" s="137">
        <f t="shared" si="28"/>
        <v>8328892</v>
      </c>
      <c r="K30" s="49">
        <f t="shared" si="15"/>
        <v>0</v>
      </c>
      <c r="L30" s="139">
        <f t="shared" si="29"/>
        <v>8287967</v>
      </c>
      <c r="M30" s="49">
        <f t="shared" si="16"/>
        <v>0</v>
      </c>
      <c r="N30" s="137">
        <f t="shared" si="30"/>
        <v>5403390</v>
      </c>
      <c r="O30" s="49">
        <f t="shared" si="23"/>
        <v>0</v>
      </c>
      <c r="P30" s="139">
        <f t="shared" si="31"/>
        <v>4070992</v>
      </c>
      <c r="Q30" s="49">
        <f t="shared" si="17"/>
        <v>0</v>
      </c>
      <c r="R30" s="137">
        <f t="shared" si="32"/>
        <v>17968367</v>
      </c>
      <c r="S30" s="49">
        <f t="shared" si="18"/>
        <v>0</v>
      </c>
      <c r="T30" s="137">
        <v>0</v>
      </c>
      <c r="U30" s="140"/>
      <c r="V30" s="137">
        <f t="shared" si="33"/>
        <v>5685365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44406</v>
      </c>
      <c r="B31" s="49"/>
      <c r="C31" s="161">
        <f t="shared" si="25"/>
        <v>18436</v>
      </c>
      <c r="D31" s="49">
        <f t="shared" si="11"/>
        <v>0</v>
      </c>
      <c r="E31" s="137">
        <f t="shared" si="26"/>
        <v>26753172</v>
      </c>
      <c r="F31" s="49">
        <f t="shared" si="12"/>
        <v>0</v>
      </c>
      <c r="G31" s="141">
        <f t="shared" si="27"/>
        <v>84913871</v>
      </c>
      <c r="H31" s="49">
        <f t="shared" si="13"/>
        <v>0</v>
      </c>
      <c r="I31" s="28">
        <f>F31+H31</f>
        <v>0</v>
      </c>
      <c r="J31" s="137">
        <f t="shared" si="28"/>
        <v>8328892</v>
      </c>
      <c r="K31" s="49">
        <f t="shared" si="15"/>
        <v>0</v>
      </c>
      <c r="L31" s="139">
        <f t="shared" si="29"/>
        <v>8287967</v>
      </c>
      <c r="M31" s="49">
        <f t="shared" si="16"/>
        <v>0</v>
      </c>
      <c r="N31" s="137">
        <f t="shared" si="30"/>
        <v>5403390</v>
      </c>
      <c r="O31" s="49">
        <f t="shared" si="23"/>
        <v>0</v>
      </c>
      <c r="P31" s="139">
        <f t="shared" si="31"/>
        <v>4070992</v>
      </c>
      <c r="Q31" s="49">
        <f t="shared" si="17"/>
        <v>0</v>
      </c>
      <c r="R31" s="137">
        <f t="shared" si="32"/>
        <v>17968367</v>
      </c>
      <c r="S31" s="49">
        <f t="shared" si="18"/>
        <v>0</v>
      </c>
      <c r="T31" s="137">
        <v>0</v>
      </c>
      <c r="U31" s="29"/>
      <c r="V31" s="137">
        <f t="shared" si="33"/>
        <v>5685365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18436</v>
      </c>
      <c r="D32" s="49">
        <f t="shared" si="11"/>
        <v>0</v>
      </c>
      <c r="E32" s="137">
        <f t="shared" si="26"/>
        <v>26753172</v>
      </c>
      <c r="F32" s="49">
        <f t="shared" si="12"/>
        <v>0</v>
      </c>
      <c r="G32" s="141">
        <f t="shared" si="27"/>
        <v>84913871</v>
      </c>
      <c r="H32" s="49">
        <f t="shared" si="13"/>
        <v>0</v>
      </c>
      <c r="I32" s="28">
        <f>F32+H32</f>
        <v>0</v>
      </c>
      <c r="J32" s="137">
        <f t="shared" si="28"/>
        <v>8328892</v>
      </c>
      <c r="K32" s="49">
        <f t="shared" si="15"/>
        <v>0</v>
      </c>
      <c r="L32" s="139">
        <f t="shared" si="29"/>
        <v>8287967</v>
      </c>
      <c r="M32" s="49">
        <f t="shared" si="16"/>
        <v>0</v>
      </c>
      <c r="N32" s="137">
        <f t="shared" si="30"/>
        <v>5403390</v>
      </c>
      <c r="O32" s="49">
        <f t="shared" si="23"/>
        <v>0</v>
      </c>
      <c r="P32" s="139">
        <f t="shared" si="31"/>
        <v>4070992</v>
      </c>
      <c r="Q32" s="49">
        <f t="shared" si="17"/>
        <v>0</v>
      </c>
      <c r="R32" s="137">
        <f t="shared" si="32"/>
        <v>17968367</v>
      </c>
      <c r="S32" s="49">
        <f t="shared" si="18"/>
        <v>0</v>
      </c>
      <c r="T32" s="137">
        <v>0</v>
      </c>
      <c r="U32" s="29"/>
      <c r="V32" s="137">
        <f t="shared" si="33"/>
        <v>5685365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18436</v>
      </c>
      <c r="D33" s="49">
        <f t="shared" si="11"/>
        <v>0</v>
      </c>
      <c r="E33" s="137">
        <f t="shared" si="26"/>
        <v>26753172</v>
      </c>
      <c r="F33" s="49">
        <f t="shared" si="12"/>
        <v>0</v>
      </c>
      <c r="G33" s="141">
        <f t="shared" si="27"/>
        <v>84913871</v>
      </c>
      <c r="H33" s="49">
        <f t="shared" si="13"/>
        <v>0</v>
      </c>
      <c r="I33" s="28">
        <f>F33+H33</f>
        <v>0</v>
      </c>
      <c r="J33" s="137">
        <f t="shared" si="28"/>
        <v>8328892</v>
      </c>
      <c r="K33" s="49">
        <f t="shared" si="15"/>
        <v>0</v>
      </c>
      <c r="L33" s="139">
        <f t="shared" si="29"/>
        <v>8287967</v>
      </c>
      <c r="M33" s="49">
        <f t="shared" si="16"/>
        <v>0</v>
      </c>
      <c r="N33" s="137">
        <f t="shared" si="30"/>
        <v>5403390</v>
      </c>
      <c r="O33" s="49">
        <f t="shared" si="23"/>
        <v>0</v>
      </c>
      <c r="P33" s="139">
        <f t="shared" si="31"/>
        <v>4070992</v>
      </c>
      <c r="Q33" s="49">
        <f t="shared" si="17"/>
        <v>0</v>
      </c>
      <c r="R33" s="137">
        <f t="shared" si="32"/>
        <v>17968367</v>
      </c>
      <c r="S33" s="49">
        <f t="shared" si="18"/>
        <v>0</v>
      </c>
      <c r="T33" s="137">
        <v>0</v>
      </c>
      <c r="U33" s="29"/>
      <c r="V33" s="137">
        <f t="shared" si="33"/>
        <v>5685365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1950</v>
      </c>
      <c r="C34" s="159"/>
      <c r="D34" s="159">
        <f>SUM(D2:D33)</f>
        <v>8320</v>
      </c>
      <c r="E34" s="159">
        <v>0</v>
      </c>
      <c r="F34" s="159">
        <f>SUM(F2:F33)</f>
        <v>142559</v>
      </c>
      <c r="G34" s="159">
        <v>0</v>
      </c>
      <c r="H34" s="159">
        <f>SUM(H2:H33)</f>
        <v>649296</v>
      </c>
      <c r="I34" s="159">
        <f>SUM(I5:I33)</f>
        <v>637111</v>
      </c>
      <c r="J34" s="159">
        <v>0</v>
      </c>
      <c r="K34" s="159">
        <f>SUM(K2:K33)</f>
        <v>63833</v>
      </c>
      <c r="L34" s="159">
        <v>0</v>
      </c>
      <c r="M34" s="159">
        <f>SUM(M2:M33)</f>
        <v>53938</v>
      </c>
      <c r="N34" s="159">
        <v>0</v>
      </c>
      <c r="O34" s="159">
        <f>SUM(O2:O33)</f>
        <v>81798</v>
      </c>
      <c r="P34" s="159">
        <v>0</v>
      </c>
      <c r="Q34" s="159">
        <f>SUM(Q2:Q33)</f>
        <v>197707</v>
      </c>
      <c r="R34" s="159">
        <v>0</v>
      </c>
      <c r="S34" s="159">
        <f>SUM(S2:S33)</f>
        <v>506141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128127</v>
      </c>
      <c r="X34" s="159">
        <f>SUM(X5:X33)</f>
        <v>910266</v>
      </c>
      <c r="Y34" s="159">
        <f>SUM(Y2:Y33)</f>
        <v>-239689</v>
      </c>
      <c r="Z34" s="159">
        <f>SUM(Z2:Z33)</f>
        <v>194409.8643136</v>
      </c>
      <c r="AA34" s="159">
        <f>SUM(AA2:AA33)</f>
        <v>766219.99970879988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zoomScale="110" zoomScaleNormal="110" workbookViewId="0">
      <selection activeCell="A13" sqref="A1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v>417265</v>
      </c>
      <c r="C12" s="49">
        <f t="shared" si="12"/>
        <v>1360</v>
      </c>
      <c r="D12" s="3">
        <v>4377000</v>
      </c>
      <c r="E12" s="49">
        <f t="shared" si="6"/>
        <v>0</v>
      </c>
      <c r="F12" s="3">
        <v>4012700</v>
      </c>
      <c r="G12" s="49">
        <f t="shared" si="9"/>
        <v>450.9</v>
      </c>
      <c r="H12" s="3">
        <v>739375</v>
      </c>
      <c r="I12" s="54">
        <f t="shared" si="10"/>
        <v>2.6189999999999998</v>
      </c>
      <c r="J12" s="23">
        <f t="shared" si="7"/>
        <v>1813.519</v>
      </c>
      <c r="K12" s="24">
        <f t="shared" si="8"/>
        <v>10627.22134</v>
      </c>
    </row>
    <row r="13" spans="1:14" ht="16.5" thickBot="1" x14ac:dyDescent="0.3">
      <c r="A13" s="10">
        <v>44388</v>
      </c>
      <c r="B13" s="3">
        <v>417401</v>
      </c>
      <c r="C13" s="49">
        <f t="shared" si="12"/>
        <v>1360</v>
      </c>
      <c r="D13" s="3">
        <v>4377000</v>
      </c>
      <c r="E13" s="49">
        <f t="shared" si="6"/>
        <v>0</v>
      </c>
      <c r="F13" s="3">
        <v>4035100</v>
      </c>
      <c r="G13" s="49">
        <f t="shared" si="9"/>
        <v>604.79999999999995</v>
      </c>
      <c r="H13" s="3">
        <v>739504</v>
      </c>
      <c r="I13" s="54">
        <f t="shared" si="10"/>
        <v>3.4830000000000001</v>
      </c>
      <c r="J13" s="23">
        <f t="shared" si="7"/>
        <v>1968.2829999999999</v>
      </c>
      <c r="K13" s="24">
        <f t="shared" si="8"/>
        <v>11534.13838</v>
      </c>
    </row>
    <row r="14" spans="1:14" ht="16.5" thickBot="1" x14ac:dyDescent="0.3">
      <c r="A14" s="10">
        <v>44389</v>
      </c>
      <c r="B14" s="3">
        <f t="shared" ref="B13:B33" si="13">B13</f>
        <v>417401</v>
      </c>
      <c r="C14" s="49">
        <f t="shared" si="12"/>
        <v>0</v>
      </c>
      <c r="D14" s="3">
        <f t="shared" si="11"/>
        <v>4377000</v>
      </c>
      <c r="E14" s="49">
        <f t="shared" si="6"/>
        <v>0</v>
      </c>
      <c r="F14" s="3">
        <f t="shared" ref="F13:F33" si="14">F13</f>
        <v>4035100</v>
      </c>
      <c r="G14" s="49">
        <f t="shared" si="9"/>
        <v>0</v>
      </c>
      <c r="H14" s="3">
        <f t="shared" ref="H13:H33" si="15">H13</f>
        <v>739504</v>
      </c>
      <c r="I14" s="54">
        <f t="shared" si="10"/>
        <v>0</v>
      </c>
      <c r="J14" s="23">
        <f t="shared" si="7"/>
        <v>0</v>
      </c>
      <c r="K14" s="24">
        <f t="shared" si="8"/>
        <v>0</v>
      </c>
    </row>
    <row r="15" spans="1:14" ht="16.5" thickBot="1" x14ac:dyDescent="0.3">
      <c r="A15" s="10">
        <v>44390</v>
      </c>
      <c r="B15" s="3">
        <f t="shared" si="13"/>
        <v>417401</v>
      </c>
      <c r="C15" s="49">
        <f t="shared" si="12"/>
        <v>0</v>
      </c>
      <c r="D15" s="3">
        <f t="shared" si="11"/>
        <v>4377000</v>
      </c>
      <c r="E15" s="49">
        <f t="shared" si="6"/>
        <v>0</v>
      </c>
      <c r="F15" s="3">
        <f t="shared" si="14"/>
        <v>4035100</v>
      </c>
      <c r="G15" s="49">
        <f t="shared" si="9"/>
        <v>0</v>
      </c>
      <c r="H15" s="3">
        <f t="shared" si="15"/>
        <v>739504</v>
      </c>
      <c r="I15" s="54">
        <f t="shared" si="10"/>
        <v>0</v>
      </c>
      <c r="J15" s="23">
        <f t="shared" si="7"/>
        <v>0</v>
      </c>
      <c r="K15" s="24">
        <f t="shared" si="8"/>
        <v>0</v>
      </c>
    </row>
    <row r="16" spans="1:14" ht="16.5" thickBot="1" x14ac:dyDescent="0.3">
      <c r="A16" s="10">
        <v>44391</v>
      </c>
      <c r="B16" s="3">
        <f t="shared" si="13"/>
        <v>417401</v>
      </c>
      <c r="C16" s="49">
        <f t="shared" si="12"/>
        <v>0</v>
      </c>
      <c r="D16" s="3">
        <f t="shared" si="11"/>
        <v>4377000</v>
      </c>
      <c r="E16" s="49">
        <f t="shared" si="6"/>
        <v>0</v>
      </c>
      <c r="F16" s="3">
        <f t="shared" si="14"/>
        <v>4035100</v>
      </c>
      <c r="G16" s="49">
        <f t="shared" si="9"/>
        <v>0</v>
      </c>
      <c r="H16" s="3">
        <f t="shared" si="15"/>
        <v>739504</v>
      </c>
      <c r="I16" s="54">
        <f t="shared" si="10"/>
        <v>0</v>
      </c>
      <c r="J16" s="23">
        <f t="shared" si="7"/>
        <v>0</v>
      </c>
      <c r="K16" s="24">
        <f t="shared" si="8"/>
        <v>0</v>
      </c>
    </row>
    <row r="17" spans="1:25" ht="16.5" thickBot="1" x14ac:dyDescent="0.3">
      <c r="A17" s="10">
        <v>44392</v>
      </c>
      <c r="B17" s="3">
        <f t="shared" si="13"/>
        <v>417401</v>
      </c>
      <c r="C17" s="49">
        <f t="shared" si="12"/>
        <v>0</v>
      </c>
      <c r="D17" s="3">
        <f t="shared" si="11"/>
        <v>4377000</v>
      </c>
      <c r="E17" s="49">
        <f t="shared" si="6"/>
        <v>0</v>
      </c>
      <c r="F17" s="3">
        <f t="shared" si="14"/>
        <v>4035100</v>
      </c>
      <c r="G17" s="49">
        <f t="shared" si="9"/>
        <v>0</v>
      </c>
      <c r="H17" s="3">
        <f t="shared" si="15"/>
        <v>739504</v>
      </c>
      <c r="I17" s="54">
        <f t="shared" si="10"/>
        <v>0</v>
      </c>
      <c r="J17" s="23">
        <f t="shared" si="7"/>
        <v>0</v>
      </c>
      <c r="K17" s="24">
        <f t="shared" si="8"/>
        <v>0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f t="shared" si="13"/>
        <v>417401</v>
      </c>
      <c r="C18" s="49">
        <f t="shared" si="12"/>
        <v>0</v>
      </c>
      <c r="D18" s="3">
        <f t="shared" si="11"/>
        <v>4377000</v>
      </c>
      <c r="E18" s="49">
        <f t="shared" si="6"/>
        <v>0</v>
      </c>
      <c r="F18" s="3">
        <f t="shared" si="14"/>
        <v>4035100</v>
      </c>
      <c r="G18" s="49">
        <f t="shared" si="9"/>
        <v>0</v>
      </c>
      <c r="H18" s="3">
        <f t="shared" si="15"/>
        <v>739504</v>
      </c>
      <c r="I18" s="54">
        <f t="shared" si="10"/>
        <v>0</v>
      </c>
      <c r="J18" s="23">
        <f t="shared" si="7"/>
        <v>0</v>
      </c>
      <c r="K18" s="24">
        <f t="shared" si="8"/>
        <v>0</v>
      </c>
      <c r="Q18" t="s">
        <v>43</v>
      </c>
    </row>
    <row r="19" spans="1:25" ht="16.5" thickBot="1" x14ac:dyDescent="0.3">
      <c r="A19" s="10">
        <v>44394</v>
      </c>
      <c r="B19" s="3">
        <f t="shared" si="13"/>
        <v>417401</v>
      </c>
      <c r="C19" s="49">
        <f t="shared" si="12"/>
        <v>0</v>
      </c>
      <c r="D19" s="3">
        <f t="shared" si="11"/>
        <v>4377000</v>
      </c>
      <c r="E19" s="49">
        <f t="shared" si="6"/>
        <v>0</v>
      </c>
      <c r="F19" s="3">
        <f t="shared" si="14"/>
        <v>4035100</v>
      </c>
      <c r="G19" s="49">
        <f t="shared" si="9"/>
        <v>0</v>
      </c>
      <c r="H19" s="3">
        <f t="shared" si="15"/>
        <v>739504</v>
      </c>
      <c r="I19" s="54">
        <f t="shared" si="10"/>
        <v>0</v>
      </c>
      <c r="J19" s="23">
        <f t="shared" si="7"/>
        <v>0</v>
      </c>
      <c r="K19" s="24">
        <f t="shared" si="8"/>
        <v>0</v>
      </c>
      <c r="Q19" t="s">
        <v>12</v>
      </c>
    </row>
    <row r="20" spans="1:25" ht="16.5" thickBot="1" x14ac:dyDescent="0.3">
      <c r="A20" s="10">
        <v>44395</v>
      </c>
      <c r="B20" s="3">
        <f t="shared" si="13"/>
        <v>417401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si="14"/>
        <v>4035100</v>
      </c>
      <c r="G20" s="49">
        <f t="shared" si="9"/>
        <v>0</v>
      </c>
      <c r="H20" s="3">
        <f t="shared" si="15"/>
        <v>739504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f t="shared" si="13"/>
        <v>417401</v>
      </c>
      <c r="C21" s="49">
        <f t="shared" si="12"/>
        <v>0</v>
      </c>
      <c r="D21" s="3">
        <f t="shared" si="11"/>
        <v>4377000</v>
      </c>
      <c r="E21" s="49">
        <f t="shared" si="6"/>
        <v>0</v>
      </c>
      <c r="F21" s="3">
        <f t="shared" si="14"/>
        <v>4035100</v>
      </c>
      <c r="G21" s="49">
        <f t="shared" si="9"/>
        <v>0</v>
      </c>
      <c r="H21" s="3">
        <f t="shared" si="15"/>
        <v>739504</v>
      </c>
      <c r="I21" s="54">
        <f t="shared" si="10"/>
        <v>0</v>
      </c>
      <c r="J21" s="23">
        <f t="shared" si="7"/>
        <v>0</v>
      </c>
      <c r="K21" s="24">
        <f t="shared" si="8"/>
        <v>0</v>
      </c>
    </row>
    <row r="22" spans="1:25" ht="16.5" thickBot="1" x14ac:dyDescent="0.3">
      <c r="A22" s="10">
        <v>44397</v>
      </c>
      <c r="B22" s="3">
        <f t="shared" si="13"/>
        <v>417401</v>
      </c>
      <c r="C22" s="49">
        <f t="shared" si="12"/>
        <v>0</v>
      </c>
      <c r="D22" s="3">
        <f t="shared" si="11"/>
        <v>4377000</v>
      </c>
      <c r="E22" s="49">
        <f t="shared" si="6"/>
        <v>0</v>
      </c>
      <c r="F22" s="3">
        <f t="shared" si="14"/>
        <v>4035100</v>
      </c>
      <c r="G22" s="49">
        <f t="shared" si="9"/>
        <v>0</v>
      </c>
      <c r="H22" s="3">
        <f t="shared" si="15"/>
        <v>739504</v>
      </c>
      <c r="I22" s="54">
        <f t="shared" si="10"/>
        <v>0</v>
      </c>
      <c r="J22" s="23">
        <f t="shared" si="7"/>
        <v>0</v>
      </c>
      <c r="K22" s="24">
        <f t="shared" si="8"/>
        <v>0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f t="shared" si="13"/>
        <v>417401</v>
      </c>
      <c r="C23" s="49">
        <f t="shared" si="12"/>
        <v>0</v>
      </c>
      <c r="D23" s="3">
        <f t="shared" si="11"/>
        <v>4377000</v>
      </c>
      <c r="E23" s="49">
        <f t="shared" si="6"/>
        <v>0</v>
      </c>
      <c r="F23" s="3">
        <f t="shared" si="14"/>
        <v>4035100</v>
      </c>
      <c r="G23" s="49">
        <f t="shared" si="9"/>
        <v>0</v>
      </c>
      <c r="H23" s="3">
        <f t="shared" si="15"/>
        <v>739504</v>
      </c>
      <c r="I23" s="54">
        <f t="shared" si="10"/>
        <v>0</v>
      </c>
      <c r="J23" s="23">
        <f t="shared" si="7"/>
        <v>0</v>
      </c>
      <c r="K23" s="24">
        <f t="shared" si="8"/>
        <v>0</v>
      </c>
      <c r="Q23" t="s">
        <v>12</v>
      </c>
    </row>
    <row r="24" spans="1:25" ht="16.5" thickBot="1" x14ac:dyDescent="0.3">
      <c r="A24" s="10">
        <v>44399</v>
      </c>
      <c r="B24" s="3">
        <f t="shared" si="13"/>
        <v>417401</v>
      </c>
      <c r="C24" s="49">
        <f t="shared" si="12"/>
        <v>0</v>
      </c>
      <c r="D24" s="3">
        <f t="shared" si="11"/>
        <v>4377000</v>
      </c>
      <c r="E24" s="49">
        <f t="shared" si="6"/>
        <v>0</v>
      </c>
      <c r="F24" s="3">
        <f t="shared" si="14"/>
        <v>4035100</v>
      </c>
      <c r="G24" s="49">
        <f t="shared" si="9"/>
        <v>0</v>
      </c>
      <c r="H24" s="3">
        <f t="shared" si="15"/>
        <v>739504</v>
      </c>
      <c r="I24" s="54">
        <f t="shared" si="10"/>
        <v>0</v>
      </c>
      <c r="J24" s="23">
        <f t="shared" si="7"/>
        <v>0</v>
      </c>
      <c r="K24" s="24">
        <f t="shared" si="8"/>
        <v>0</v>
      </c>
    </row>
    <row r="25" spans="1:25" ht="17.25" customHeight="1" thickBot="1" x14ac:dyDescent="0.4">
      <c r="A25" s="10">
        <v>44400</v>
      </c>
      <c r="B25" s="3">
        <f t="shared" si="13"/>
        <v>417401</v>
      </c>
      <c r="C25" s="49">
        <f t="shared" si="12"/>
        <v>0</v>
      </c>
      <c r="D25" s="3">
        <f t="shared" si="11"/>
        <v>4377000</v>
      </c>
      <c r="E25" s="49">
        <f t="shared" si="6"/>
        <v>0</v>
      </c>
      <c r="F25" s="3">
        <f t="shared" si="14"/>
        <v>4035100</v>
      </c>
      <c r="G25" s="49">
        <f>F25-F24</f>
        <v>0</v>
      </c>
      <c r="H25" s="3">
        <f t="shared" si="15"/>
        <v>739504</v>
      </c>
      <c r="I25" s="54">
        <f t="shared" si="10"/>
        <v>0</v>
      </c>
      <c r="J25" s="23">
        <f t="shared" si="7"/>
        <v>0</v>
      </c>
      <c r="K25" s="24">
        <f t="shared" si="8"/>
        <v>0</v>
      </c>
      <c r="Y25" s="65"/>
    </row>
    <row r="26" spans="1:25" ht="16.5" thickBot="1" x14ac:dyDescent="0.3">
      <c r="A26" s="10">
        <v>44401</v>
      </c>
      <c r="B26" s="3">
        <f t="shared" si="13"/>
        <v>417401</v>
      </c>
      <c r="C26" s="49">
        <f t="shared" si="12"/>
        <v>0</v>
      </c>
      <c r="D26" s="3">
        <f t="shared" si="11"/>
        <v>4377000</v>
      </c>
      <c r="E26" s="49">
        <f t="shared" si="6"/>
        <v>0</v>
      </c>
      <c r="F26" s="3">
        <f t="shared" si="14"/>
        <v>4035100</v>
      </c>
      <c r="G26" s="49">
        <f t="shared" si="9"/>
        <v>0</v>
      </c>
      <c r="H26" s="3">
        <f t="shared" si="15"/>
        <v>739504</v>
      </c>
      <c r="I26" s="54">
        <f t="shared" si="10"/>
        <v>0</v>
      </c>
      <c r="J26" s="23">
        <f t="shared" si="7"/>
        <v>0</v>
      </c>
      <c r="K26" s="24">
        <f t="shared" si="8"/>
        <v>0</v>
      </c>
      <c r="L26" t="s">
        <v>12</v>
      </c>
    </row>
    <row r="27" spans="1:25" ht="16.5" thickBot="1" x14ac:dyDescent="0.3">
      <c r="A27" s="10">
        <v>44402</v>
      </c>
      <c r="B27" s="3">
        <f t="shared" si="13"/>
        <v>417401</v>
      </c>
      <c r="C27" s="49">
        <f t="shared" si="12"/>
        <v>0</v>
      </c>
      <c r="D27" s="3">
        <f t="shared" si="11"/>
        <v>4377000</v>
      </c>
      <c r="E27" s="49">
        <f t="shared" si="6"/>
        <v>0</v>
      </c>
      <c r="F27" s="3">
        <f t="shared" si="14"/>
        <v>4035100</v>
      </c>
      <c r="G27" s="49">
        <f t="shared" si="9"/>
        <v>0</v>
      </c>
      <c r="H27" s="3">
        <f t="shared" si="15"/>
        <v>739504</v>
      </c>
      <c r="I27" s="54">
        <f t="shared" si="10"/>
        <v>0</v>
      </c>
      <c r="J27" s="23">
        <f t="shared" si="7"/>
        <v>0</v>
      </c>
      <c r="K27" s="24">
        <f t="shared" si="8"/>
        <v>0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417401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4035100</v>
      </c>
      <c r="G28" s="49">
        <f t="shared" si="9"/>
        <v>0</v>
      </c>
      <c r="H28" s="3">
        <f t="shared" si="15"/>
        <v>739504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417401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4035100</v>
      </c>
      <c r="G29" s="49">
        <f t="shared" si="9"/>
        <v>0</v>
      </c>
      <c r="H29" s="3">
        <f t="shared" si="15"/>
        <v>739504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417401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4035100</v>
      </c>
      <c r="G30" s="49">
        <f t="shared" si="9"/>
        <v>0</v>
      </c>
      <c r="H30" s="3">
        <f t="shared" si="15"/>
        <v>739504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417401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4035100</v>
      </c>
      <c r="G31" s="49">
        <f t="shared" si="9"/>
        <v>0</v>
      </c>
      <c r="H31" s="3">
        <f t="shared" si="15"/>
        <v>739504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417401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4035100</v>
      </c>
      <c r="G32" s="49">
        <f t="shared" si="9"/>
        <v>0</v>
      </c>
      <c r="H32" s="3">
        <f t="shared" si="15"/>
        <v>739504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417401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4035100</v>
      </c>
      <c r="G33" s="49">
        <f t="shared" si="9"/>
        <v>0</v>
      </c>
      <c r="H33" s="3">
        <f t="shared" si="15"/>
        <v>739504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17130</v>
      </c>
      <c r="D34" s="3"/>
      <c r="E34" s="66">
        <f>SUM(E3:E33)</f>
        <v>0</v>
      </c>
      <c r="F34" s="3"/>
      <c r="G34" s="66">
        <f>SUM(G3:G33)</f>
        <v>5632.2</v>
      </c>
      <c r="H34" s="3"/>
      <c r="I34" s="66">
        <f>SUM(I3:I33)</f>
        <v>28.512</v>
      </c>
      <c r="J34" s="66">
        <f>SUM(J3:J33)</f>
        <v>22790.712</v>
      </c>
      <c r="K34" s="66">
        <f>SUM(K3:K33)</f>
        <v>133553.57232000004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C17" sqref="C1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v>17454141</v>
      </c>
      <c r="C11" s="55">
        <f>IF((B11-B10)&lt;0,"0",(B11-B10))</f>
        <v>1535</v>
      </c>
    </row>
    <row r="12" spans="1:9" ht="24" thickBot="1" x14ac:dyDescent="0.4">
      <c r="A12" s="10">
        <v>44387</v>
      </c>
      <c r="B12" s="154">
        <v>17456908</v>
      </c>
      <c r="C12" s="55">
        <f t="shared" si="0"/>
        <v>2767</v>
      </c>
    </row>
    <row r="13" spans="1:9" ht="24" thickBot="1" x14ac:dyDescent="0.4">
      <c r="A13" s="10">
        <v>44388</v>
      </c>
      <c r="B13" s="154">
        <v>17458795</v>
      </c>
      <c r="C13" s="55">
        <f t="shared" si="0"/>
        <v>1887</v>
      </c>
    </row>
    <row r="14" spans="1:9" ht="24" thickBot="1" x14ac:dyDescent="0.4">
      <c r="A14" s="10">
        <v>44389</v>
      </c>
      <c r="B14" s="154">
        <f t="shared" ref="B13:B33" si="1">B13</f>
        <v>17458795</v>
      </c>
      <c r="C14" s="55">
        <f t="shared" si="0"/>
        <v>0</v>
      </c>
    </row>
    <row r="15" spans="1:9" ht="24" thickBot="1" x14ac:dyDescent="0.4">
      <c r="A15" s="10">
        <v>44390</v>
      </c>
      <c r="B15" s="154">
        <f t="shared" si="1"/>
        <v>17458795</v>
      </c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44391</v>
      </c>
      <c r="B16" s="154">
        <f t="shared" si="1"/>
        <v>17458795</v>
      </c>
      <c r="C16" s="55">
        <f t="shared" si="0"/>
        <v>0</v>
      </c>
    </row>
    <row r="17" spans="1:9" ht="25.5" customHeight="1" thickBot="1" x14ac:dyDescent="0.4">
      <c r="A17" s="10">
        <v>44392</v>
      </c>
      <c r="B17" s="154">
        <f t="shared" si="1"/>
        <v>17458795</v>
      </c>
      <c r="C17" s="55">
        <f t="shared" si="0"/>
        <v>0</v>
      </c>
      <c r="F17" s="152"/>
    </row>
    <row r="18" spans="1:9" ht="24" thickBot="1" x14ac:dyDescent="0.4">
      <c r="A18" s="10">
        <v>44393</v>
      </c>
      <c r="B18" s="154">
        <f t="shared" si="1"/>
        <v>17458795</v>
      </c>
      <c r="C18" s="55">
        <f t="shared" si="0"/>
        <v>0</v>
      </c>
    </row>
    <row r="19" spans="1:9" ht="24" thickBot="1" x14ac:dyDescent="0.4">
      <c r="A19" s="10">
        <v>44394</v>
      </c>
      <c r="B19" s="154">
        <f t="shared" si="1"/>
        <v>17458795</v>
      </c>
      <c r="C19" s="55">
        <f t="shared" si="0"/>
        <v>0</v>
      </c>
    </row>
    <row r="20" spans="1:9" ht="24" thickBot="1" x14ac:dyDescent="0.4">
      <c r="A20" s="10">
        <v>44395</v>
      </c>
      <c r="B20" s="154">
        <f t="shared" si="1"/>
        <v>17458795</v>
      </c>
      <c r="C20" s="55">
        <f t="shared" si="0"/>
        <v>0</v>
      </c>
    </row>
    <row r="21" spans="1:9" ht="24" thickBot="1" x14ac:dyDescent="0.4">
      <c r="A21" s="10">
        <v>44396</v>
      </c>
      <c r="B21" s="154">
        <f t="shared" si="1"/>
        <v>17458795</v>
      </c>
      <c r="C21" s="55">
        <f t="shared" si="0"/>
        <v>0</v>
      </c>
    </row>
    <row r="22" spans="1:9" ht="24" thickBot="1" x14ac:dyDescent="0.4">
      <c r="A22" s="10">
        <v>44397</v>
      </c>
      <c r="B22" s="154">
        <f t="shared" si="1"/>
        <v>17458795</v>
      </c>
      <c r="C22" s="55">
        <f t="shared" si="0"/>
        <v>0</v>
      </c>
    </row>
    <row r="23" spans="1:9" ht="24" thickBot="1" x14ac:dyDescent="0.4">
      <c r="A23" s="10">
        <v>44398</v>
      </c>
      <c r="B23" s="154">
        <f t="shared" si="1"/>
        <v>17458795</v>
      </c>
      <c r="C23" s="55">
        <f t="shared" si="0"/>
        <v>0</v>
      </c>
      <c r="F23" t="s">
        <v>12</v>
      </c>
    </row>
    <row r="24" spans="1:9" ht="24" thickBot="1" x14ac:dyDescent="0.4">
      <c r="A24" s="10">
        <v>44399</v>
      </c>
      <c r="B24" s="154">
        <f t="shared" si="1"/>
        <v>17458795</v>
      </c>
      <c r="C24" s="55">
        <f t="shared" si="0"/>
        <v>0</v>
      </c>
      <c r="E24" t="s">
        <v>12</v>
      </c>
    </row>
    <row r="25" spans="1:9" ht="24" thickBot="1" x14ac:dyDescent="0.4">
      <c r="A25" s="10">
        <v>44400</v>
      </c>
      <c r="B25" s="154">
        <f t="shared" si="1"/>
        <v>17458795</v>
      </c>
      <c r="C25" s="55">
        <f t="shared" si="0"/>
        <v>0</v>
      </c>
    </row>
    <row r="26" spans="1:9" ht="24" thickBot="1" x14ac:dyDescent="0.4">
      <c r="A26" s="10">
        <v>44401</v>
      </c>
      <c r="B26" s="154">
        <f t="shared" si="1"/>
        <v>17458795</v>
      </c>
      <c r="C26" s="55">
        <f t="shared" si="0"/>
        <v>0</v>
      </c>
    </row>
    <row r="27" spans="1:9" ht="24" thickBot="1" x14ac:dyDescent="0.4">
      <c r="A27" s="10">
        <v>44402</v>
      </c>
      <c r="B27" s="154">
        <f t="shared" si="1"/>
        <v>17458795</v>
      </c>
      <c r="C27" s="55">
        <f t="shared" si="0"/>
        <v>0</v>
      </c>
    </row>
    <row r="28" spans="1:9" ht="24" thickBot="1" x14ac:dyDescent="0.4">
      <c r="A28" s="10">
        <v>44403</v>
      </c>
      <c r="B28" s="154">
        <f t="shared" si="1"/>
        <v>17458795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17458795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17458795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17458795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17458795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17458795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23356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G1" activePane="topRight" state="frozen"/>
      <selection pane="topRight" activeCell="V13" sqref="V1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v>21200.366000000002</v>
      </c>
      <c r="C12" s="54">
        <f t="shared" si="11"/>
        <v>13.407000000002881</v>
      </c>
      <c r="D12" s="38">
        <f t="shared" si="12"/>
        <v>25473.300000005474</v>
      </c>
      <c r="E12" s="1">
        <v>3721.0279999999998</v>
      </c>
      <c r="F12" s="54">
        <f t="shared" si="13"/>
        <v>2.6969999999996617</v>
      </c>
      <c r="G12" s="38">
        <f t="shared" si="14"/>
        <v>5124.2999999993572</v>
      </c>
      <c r="H12" s="1">
        <v>3482</v>
      </c>
      <c r="I12" s="54">
        <f t="shared" si="15"/>
        <v>9</v>
      </c>
      <c r="J12" s="38">
        <f t="shared" si="16"/>
        <v>17099.999999999996</v>
      </c>
      <c r="K12" s="7">
        <v>13505.2</v>
      </c>
      <c r="L12" s="54">
        <f t="shared" si="17"/>
        <v>3.9900000000016007</v>
      </c>
      <c r="M12" s="38">
        <f t="shared" si="18"/>
        <v>7581.0000000030404</v>
      </c>
      <c r="N12" s="7">
        <v>3112.5279999999998</v>
      </c>
      <c r="O12" s="54">
        <f t="shared" si="19"/>
        <v>1.6419999999998254</v>
      </c>
      <c r="P12" s="38">
        <f t="shared" si="20"/>
        <v>3119.7999999996678</v>
      </c>
      <c r="Q12" s="7">
        <v>4916.3999999999996</v>
      </c>
      <c r="R12" s="54">
        <f t="shared" si="21"/>
        <v>2.4799999999995634</v>
      </c>
      <c r="S12" s="38">
        <f t="shared" si="22"/>
        <v>4711.9999999991705</v>
      </c>
      <c r="T12" s="8">
        <f t="shared" si="24"/>
        <v>33.216000000003532</v>
      </c>
      <c r="U12" s="40">
        <f t="shared" si="23"/>
        <v>63110.400000006703</v>
      </c>
    </row>
    <row r="13" spans="1:25" ht="16.5" thickBot="1" x14ac:dyDescent="0.25">
      <c r="A13" s="10">
        <v>44388</v>
      </c>
      <c r="B13" s="1">
        <v>21215.49</v>
      </c>
      <c r="C13" s="54">
        <f t="shared" si="11"/>
        <v>15.123999999999796</v>
      </c>
      <c r="D13" s="38">
        <f t="shared" si="12"/>
        <v>28735.599999999609</v>
      </c>
      <c r="E13" s="1">
        <v>3724.8209999999999</v>
      </c>
      <c r="F13" s="54">
        <f t="shared" si="13"/>
        <v>3.7930000000001201</v>
      </c>
      <c r="G13" s="38">
        <f t="shared" si="14"/>
        <v>7206.7000000002281</v>
      </c>
      <c r="H13" s="1">
        <v>3491</v>
      </c>
      <c r="I13" s="54">
        <f t="shared" si="15"/>
        <v>9</v>
      </c>
      <c r="J13" s="38">
        <f t="shared" si="16"/>
        <v>17099.999999999996</v>
      </c>
      <c r="K13" s="7">
        <v>13507.78</v>
      </c>
      <c r="L13" s="54">
        <f t="shared" si="17"/>
        <v>2.5799999999999272</v>
      </c>
      <c r="M13" s="38">
        <f t="shared" si="18"/>
        <v>4901.9999999998618</v>
      </c>
      <c r="N13" s="7">
        <v>3114</v>
      </c>
      <c r="O13" s="54">
        <f t="shared" si="19"/>
        <v>1.4720000000002074</v>
      </c>
      <c r="P13" s="38">
        <f t="shared" si="20"/>
        <v>2796.800000000394</v>
      </c>
      <c r="Q13" s="7">
        <v>4919.9399999999996</v>
      </c>
      <c r="R13" s="54">
        <f t="shared" si="21"/>
        <v>3.5399999999999636</v>
      </c>
      <c r="S13" s="38">
        <f t="shared" si="22"/>
        <v>6725.9999999999309</v>
      </c>
      <c r="T13" s="8">
        <f t="shared" si="24"/>
        <v>35.509000000000015</v>
      </c>
      <c r="U13" s="40">
        <f t="shared" si="23"/>
        <v>67467.100000000035</v>
      </c>
    </row>
    <row r="14" spans="1:25" ht="16.5" thickBot="1" x14ac:dyDescent="0.25">
      <c r="A14" s="10">
        <v>44389</v>
      </c>
      <c r="B14" s="1">
        <f t="shared" ref="B13:B33" si="25">B13</f>
        <v>21215.49</v>
      </c>
      <c r="C14" s="54">
        <f t="shared" si="11"/>
        <v>0</v>
      </c>
      <c r="D14" s="38">
        <f t="shared" si="12"/>
        <v>0</v>
      </c>
      <c r="E14" s="1">
        <f t="shared" ref="E13:E33" si="26">E13</f>
        <v>3724.8209999999999</v>
      </c>
      <c r="F14" s="54">
        <f t="shared" si="13"/>
        <v>0</v>
      </c>
      <c r="G14" s="38">
        <f t="shared" si="14"/>
        <v>0</v>
      </c>
      <c r="H14" s="1">
        <f t="shared" ref="H13:H33" si="27">H13</f>
        <v>3491</v>
      </c>
      <c r="I14" s="54">
        <f t="shared" si="15"/>
        <v>0</v>
      </c>
      <c r="J14" s="38">
        <f t="shared" si="16"/>
        <v>0</v>
      </c>
      <c r="K14" s="7">
        <f t="shared" ref="K13:K33" si="28">K13</f>
        <v>13507.78</v>
      </c>
      <c r="L14" s="54">
        <f t="shared" si="17"/>
        <v>0</v>
      </c>
      <c r="M14" s="38">
        <f t="shared" si="18"/>
        <v>0</v>
      </c>
      <c r="N14" s="7">
        <f t="shared" ref="N13:N33" si="29">N13</f>
        <v>3114</v>
      </c>
      <c r="O14" s="54">
        <f t="shared" si="19"/>
        <v>0</v>
      </c>
      <c r="P14" s="38">
        <f t="shared" si="20"/>
        <v>0</v>
      </c>
      <c r="Q14" s="7">
        <f t="shared" ref="Q13:Q33" si="30">Q13</f>
        <v>4919.9399999999996</v>
      </c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44390</v>
      </c>
      <c r="B15" s="1">
        <f t="shared" si="25"/>
        <v>21215.49</v>
      </c>
      <c r="C15" s="54">
        <f t="shared" si="11"/>
        <v>0</v>
      </c>
      <c r="D15" s="38">
        <f t="shared" si="12"/>
        <v>0</v>
      </c>
      <c r="E15" s="1">
        <f t="shared" si="26"/>
        <v>3724.8209999999999</v>
      </c>
      <c r="F15" s="54">
        <f t="shared" si="13"/>
        <v>0</v>
      </c>
      <c r="G15" s="38">
        <f t="shared" si="14"/>
        <v>0</v>
      </c>
      <c r="H15" s="1">
        <f t="shared" si="27"/>
        <v>3491</v>
      </c>
      <c r="I15" s="54">
        <f t="shared" si="15"/>
        <v>0</v>
      </c>
      <c r="J15" s="38">
        <f t="shared" si="16"/>
        <v>0</v>
      </c>
      <c r="K15" s="7">
        <f t="shared" si="28"/>
        <v>13507.78</v>
      </c>
      <c r="L15" s="54">
        <f t="shared" si="17"/>
        <v>0</v>
      </c>
      <c r="M15" s="38">
        <f t="shared" si="18"/>
        <v>0</v>
      </c>
      <c r="N15" s="7">
        <f t="shared" si="29"/>
        <v>3114</v>
      </c>
      <c r="O15" s="54">
        <f t="shared" si="19"/>
        <v>0</v>
      </c>
      <c r="P15" s="38">
        <f t="shared" si="20"/>
        <v>0</v>
      </c>
      <c r="Q15" s="7">
        <f t="shared" si="30"/>
        <v>4919.9399999999996</v>
      </c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44391</v>
      </c>
      <c r="B16" s="1">
        <f t="shared" si="25"/>
        <v>21215.49</v>
      </c>
      <c r="C16" s="54">
        <f t="shared" si="11"/>
        <v>0</v>
      </c>
      <c r="D16" s="38">
        <f t="shared" si="12"/>
        <v>0</v>
      </c>
      <c r="E16" s="1">
        <f t="shared" si="26"/>
        <v>3724.8209999999999</v>
      </c>
      <c r="F16" s="54">
        <f t="shared" si="13"/>
        <v>0</v>
      </c>
      <c r="G16" s="38">
        <f t="shared" si="14"/>
        <v>0</v>
      </c>
      <c r="H16" s="1">
        <f t="shared" si="27"/>
        <v>3491</v>
      </c>
      <c r="I16" s="54">
        <f t="shared" si="15"/>
        <v>0</v>
      </c>
      <c r="J16" s="38">
        <f t="shared" si="16"/>
        <v>0</v>
      </c>
      <c r="K16" s="7">
        <f t="shared" si="28"/>
        <v>13507.78</v>
      </c>
      <c r="L16" s="54">
        <f t="shared" si="17"/>
        <v>0</v>
      </c>
      <c r="M16" s="38">
        <f t="shared" si="18"/>
        <v>0</v>
      </c>
      <c r="N16" s="7">
        <f t="shared" si="29"/>
        <v>3114</v>
      </c>
      <c r="O16" s="54">
        <f t="shared" si="19"/>
        <v>0</v>
      </c>
      <c r="P16" s="38">
        <f t="shared" si="20"/>
        <v>0</v>
      </c>
      <c r="Q16" s="7">
        <f t="shared" si="30"/>
        <v>4919.9399999999996</v>
      </c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44392</v>
      </c>
      <c r="B17" s="1">
        <f t="shared" si="25"/>
        <v>21215.49</v>
      </c>
      <c r="C17" s="54">
        <f t="shared" si="11"/>
        <v>0</v>
      </c>
      <c r="D17" s="38">
        <f t="shared" si="12"/>
        <v>0</v>
      </c>
      <c r="E17" s="1">
        <f t="shared" si="26"/>
        <v>3724.8209999999999</v>
      </c>
      <c r="F17" s="54">
        <f t="shared" si="13"/>
        <v>0</v>
      </c>
      <c r="G17" s="38">
        <f t="shared" si="14"/>
        <v>0</v>
      </c>
      <c r="H17" s="1">
        <f t="shared" si="27"/>
        <v>3491</v>
      </c>
      <c r="I17" s="54">
        <f t="shared" si="15"/>
        <v>0</v>
      </c>
      <c r="J17" s="38">
        <f t="shared" si="16"/>
        <v>0</v>
      </c>
      <c r="K17" s="7">
        <f t="shared" si="28"/>
        <v>13507.78</v>
      </c>
      <c r="L17" s="54">
        <f t="shared" si="17"/>
        <v>0</v>
      </c>
      <c r="M17" s="38">
        <f t="shared" si="18"/>
        <v>0</v>
      </c>
      <c r="N17" s="7">
        <f t="shared" si="29"/>
        <v>3114</v>
      </c>
      <c r="O17" s="54">
        <f t="shared" si="19"/>
        <v>0</v>
      </c>
      <c r="P17" s="38">
        <f t="shared" si="20"/>
        <v>0</v>
      </c>
      <c r="Q17" s="7">
        <f t="shared" si="30"/>
        <v>4919.9399999999996</v>
      </c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44393</v>
      </c>
      <c r="B18" s="1">
        <f t="shared" si="25"/>
        <v>21215.49</v>
      </c>
      <c r="C18" s="54">
        <f t="shared" si="11"/>
        <v>0</v>
      </c>
      <c r="D18" s="38">
        <f t="shared" si="12"/>
        <v>0</v>
      </c>
      <c r="E18" s="1">
        <f t="shared" si="26"/>
        <v>3724.8209999999999</v>
      </c>
      <c r="F18" s="54">
        <f t="shared" si="13"/>
        <v>0</v>
      </c>
      <c r="G18" s="38">
        <f t="shared" si="14"/>
        <v>0</v>
      </c>
      <c r="H18" s="1">
        <f t="shared" si="27"/>
        <v>3491</v>
      </c>
      <c r="I18" s="54">
        <f t="shared" si="15"/>
        <v>0</v>
      </c>
      <c r="J18" s="38">
        <f t="shared" si="16"/>
        <v>0</v>
      </c>
      <c r="K18" s="7">
        <f t="shared" si="28"/>
        <v>13507.78</v>
      </c>
      <c r="L18" s="54">
        <f t="shared" si="17"/>
        <v>0</v>
      </c>
      <c r="M18" s="38">
        <f t="shared" si="18"/>
        <v>0</v>
      </c>
      <c r="N18" s="7">
        <f t="shared" si="29"/>
        <v>3114</v>
      </c>
      <c r="O18" s="54">
        <f t="shared" si="19"/>
        <v>0</v>
      </c>
      <c r="P18" s="38">
        <f t="shared" si="20"/>
        <v>0</v>
      </c>
      <c r="Q18" s="7">
        <f t="shared" si="30"/>
        <v>4919.9399999999996</v>
      </c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44394</v>
      </c>
      <c r="B19" s="1">
        <f t="shared" si="25"/>
        <v>21215.49</v>
      </c>
      <c r="C19" s="54">
        <f t="shared" si="11"/>
        <v>0</v>
      </c>
      <c r="D19" s="38">
        <f t="shared" si="12"/>
        <v>0</v>
      </c>
      <c r="E19" s="1">
        <f t="shared" si="26"/>
        <v>3724.8209999999999</v>
      </c>
      <c r="F19" s="54">
        <f t="shared" si="13"/>
        <v>0</v>
      </c>
      <c r="G19" s="38">
        <f t="shared" si="14"/>
        <v>0</v>
      </c>
      <c r="H19" s="1">
        <f t="shared" si="27"/>
        <v>3491</v>
      </c>
      <c r="I19" s="54">
        <f t="shared" si="15"/>
        <v>0</v>
      </c>
      <c r="J19" s="38">
        <f t="shared" si="16"/>
        <v>0</v>
      </c>
      <c r="K19" s="7">
        <f t="shared" si="28"/>
        <v>13507.78</v>
      </c>
      <c r="L19" s="54">
        <f t="shared" si="17"/>
        <v>0</v>
      </c>
      <c r="M19" s="38">
        <f t="shared" si="18"/>
        <v>0</v>
      </c>
      <c r="N19" s="7">
        <f t="shared" si="29"/>
        <v>3114</v>
      </c>
      <c r="O19" s="54">
        <f t="shared" si="19"/>
        <v>0</v>
      </c>
      <c r="P19" s="38">
        <f t="shared" si="20"/>
        <v>0</v>
      </c>
      <c r="Q19" s="7">
        <f t="shared" si="30"/>
        <v>4919.9399999999996</v>
      </c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44395</v>
      </c>
      <c r="B20" s="1">
        <f t="shared" si="25"/>
        <v>21215.49</v>
      </c>
      <c r="C20" s="54">
        <f t="shared" si="11"/>
        <v>0</v>
      </c>
      <c r="D20" s="38">
        <f t="shared" si="12"/>
        <v>0</v>
      </c>
      <c r="E20" s="1">
        <f t="shared" si="26"/>
        <v>3724.8209999999999</v>
      </c>
      <c r="F20" s="54">
        <f t="shared" si="13"/>
        <v>0</v>
      </c>
      <c r="G20" s="38">
        <f t="shared" si="14"/>
        <v>0</v>
      </c>
      <c r="H20" s="1">
        <f t="shared" si="27"/>
        <v>3491</v>
      </c>
      <c r="I20" s="54">
        <f t="shared" si="15"/>
        <v>0</v>
      </c>
      <c r="J20" s="38">
        <f t="shared" si="16"/>
        <v>0</v>
      </c>
      <c r="K20" s="7">
        <f t="shared" si="28"/>
        <v>13507.78</v>
      </c>
      <c r="L20" s="54">
        <f t="shared" si="17"/>
        <v>0</v>
      </c>
      <c r="M20" s="38">
        <f t="shared" si="18"/>
        <v>0</v>
      </c>
      <c r="N20" s="7">
        <f t="shared" si="29"/>
        <v>3114</v>
      </c>
      <c r="O20" s="54">
        <f t="shared" si="19"/>
        <v>0</v>
      </c>
      <c r="P20" s="38">
        <f t="shared" si="20"/>
        <v>0</v>
      </c>
      <c r="Q20" s="7">
        <f t="shared" si="30"/>
        <v>4919.9399999999996</v>
      </c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44396</v>
      </c>
      <c r="B21" s="1">
        <f t="shared" si="25"/>
        <v>21215.49</v>
      </c>
      <c r="C21" s="54">
        <f t="shared" si="11"/>
        <v>0</v>
      </c>
      <c r="D21" s="38">
        <f t="shared" si="12"/>
        <v>0</v>
      </c>
      <c r="E21" s="1">
        <f t="shared" si="26"/>
        <v>3724.8209999999999</v>
      </c>
      <c r="F21" s="54">
        <f t="shared" si="13"/>
        <v>0</v>
      </c>
      <c r="G21" s="38">
        <f t="shared" si="14"/>
        <v>0</v>
      </c>
      <c r="H21" s="1">
        <f t="shared" si="27"/>
        <v>3491</v>
      </c>
      <c r="I21" s="54">
        <f t="shared" si="15"/>
        <v>0</v>
      </c>
      <c r="J21" s="38">
        <f t="shared" si="16"/>
        <v>0</v>
      </c>
      <c r="K21" s="7">
        <f t="shared" si="28"/>
        <v>13507.78</v>
      </c>
      <c r="L21" s="54">
        <f t="shared" si="17"/>
        <v>0</v>
      </c>
      <c r="M21" s="38">
        <f t="shared" si="18"/>
        <v>0</v>
      </c>
      <c r="N21" s="7">
        <f t="shared" si="29"/>
        <v>3114</v>
      </c>
      <c r="O21" s="54">
        <f t="shared" si="19"/>
        <v>0</v>
      </c>
      <c r="P21" s="38">
        <f t="shared" si="20"/>
        <v>0</v>
      </c>
      <c r="Q21" s="7">
        <f t="shared" si="30"/>
        <v>4919.9399999999996</v>
      </c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44397</v>
      </c>
      <c r="B22" s="1">
        <f t="shared" si="25"/>
        <v>21215.49</v>
      </c>
      <c r="C22" s="54">
        <f t="shared" si="11"/>
        <v>0</v>
      </c>
      <c r="D22" s="38">
        <f t="shared" si="12"/>
        <v>0</v>
      </c>
      <c r="E22" s="1">
        <f t="shared" si="26"/>
        <v>3724.8209999999999</v>
      </c>
      <c r="F22" s="54">
        <f t="shared" si="13"/>
        <v>0</v>
      </c>
      <c r="G22" s="38">
        <f t="shared" si="14"/>
        <v>0</v>
      </c>
      <c r="H22" s="1">
        <f t="shared" si="27"/>
        <v>3491</v>
      </c>
      <c r="I22" s="54">
        <f t="shared" si="15"/>
        <v>0</v>
      </c>
      <c r="J22" s="38">
        <f t="shared" si="16"/>
        <v>0</v>
      </c>
      <c r="K22" s="7">
        <f t="shared" si="28"/>
        <v>13507.78</v>
      </c>
      <c r="L22" s="54">
        <f t="shared" si="17"/>
        <v>0</v>
      </c>
      <c r="M22" s="38">
        <f t="shared" si="18"/>
        <v>0</v>
      </c>
      <c r="N22" s="7">
        <f t="shared" si="29"/>
        <v>3114</v>
      </c>
      <c r="O22" s="54">
        <f t="shared" si="19"/>
        <v>0</v>
      </c>
      <c r="P22" s="38">
        <f t="shared" si="20"/>
        <v>0</v>
      </c>
      <c r="Q22" s="7">
        <f t="shared" si="30"/>
        <v>4919.9399999999996</v>
      </c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44398</v>
      </c>
      <c r="B23" s="1">
        <f t="shared" si="25"/>
        <v>21215.49</v>
      </c>
      <c r="C23" s="54">
        <f t="shared" si="11"/>
        <v>0</v>
      </c>
      <c r="D23" s="38">
        <f t="shared" si="12"/>
        <v>0</v>
      </c>
      <c r="E23" s="1">
        <f t="shared" si="26"/>
        <v>3724.8209999999999</v>
      </c>
      <c r="F23" s="54">
        <f t="shared" si="13"/>
        <v>0</v>
      </c>
      <c r="G23" s="38">
        <f t="shared" si="14"/>
        <v>0</v>
      </c>
      <c r="H23" s="1">
        <f t="shared" si="27"/>
        <v>3491</v>
      </c>
      <c r="I23" s="54">
        <f t="shared" si="15"/>
        <v>0</v>
      </c>
      <c r="J23" s="38">
        <f t="shared" si="16"/>
        <v>0</v>
      </c>
      <c r="K23" s="7">
        <f t="shared" si="28"/>
        <v>13507.78</v>
      </c>
      <c r="L23" s="54">
        <f t="shared" si="17"/>
        <v>0</v>
      </c>
      <c r="M23" s="38">
        <f t="shared" si="18"/>
        <v>0</v>
      </c>
      <c r="N23" s="7">
        <f t="shared" si="29"/>
        <v>3114</v>
      </c>
      <c r="O23" s="54">
        <f t="shared" si="19"/>
        <v>0</v>
      </c>
      <c r="P23" s="38">
        <f t="shared" si="20"/>
        <v>0</v>
      </c>
      <c r="Q23" s="7">
        <f t="shared" si="30"/>
        <v>4919.9399999999996</v>
      </c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44399</v>
      </c>
      <c r="B24" s="1">
        <f t="shared" si="25"/>
        <v>21215.49</v>
      </c>
      <c r="C24" s="54">
        <f t="shared" si="11"/>
        <v>0</v>
      </c>
      <c r="D24" s="38">
        <f t="shared" si="12"/>
        <v>0</v>
      </c>
      <c r="E24" s="1">
        <f t="shared" si="26"/>
        <v>3724.8209999999999</v>
      </c>
      <c r="F24" s="54">
        <f t="shared" si="13"/>
        <v>0</v>
      </c>
      <c r="G24" s="38">
        <f t="shared" si="14"/>
        <v>0</v>
      </c>
      <c r="H24" s="1">
        <f t="shared" si="27"/>
        <v>3491</v>
      </c>
      <c r="I24" s="54">
        <f t="shared" si="15"/>
        <v>0</v>
      </c>
      <c r="J24" s="38">
        <f t="shared" si="16"/>
        <v>0</v>
      </c>
      <c r="K24" s="7">
        <f t="shared" si="28"/>
        <v>13507.78</v>
      </c>
      <c r="L24" s="54">
        <f t="shared" si="17"/>
        <v>0</v>
      </c>
      <c r="M24" s="38">
        <f t="shared" si="18"/>
        <v>0</v>
      </c>
      <c r="N24" s="7">
        <f t="shared" si="29"/>
        <v>3114</v>
      </c>
      <c r="O24" s="54">
        <f t="shared" si="19"/>
        <v>0</v>
      </c>
      <c r="P24" s="38">
        <f t="shared" si="20"/>
        <v>0</v>
      </c>
      <c r="Q24" s="7">
        <f t="shared" si="30"/>
        <v>4919.9399999999996</v>
      </c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44400</v>
      </c>
      <c r="B25" s="1">
        <f t="shared" si="25"/>
        <v>21215.49</v>
      </c>
      <c r="C25" s="54">
        <f t="shared" si="11"/>
        <v>0</v>
      </c>
      <c r="D25" s="38">
        <f t="shared" si="12"/>
        <v>0</v>
      </c>
      <c r="E25" s="1">
        <f t="shared" si="26"/>
        <v>3724.8209999999999</v>
      </c>
      <c r="F25" s="54">
        <f t="shared" si="13"/>
        <v>0</v>
      </c>
      <c r="G25" s="38">
        <f t="shared" si="14"/>
        <v>0</v>
      </c>
      <c r="H25" s="1">
        <f t="shared" si="27"/>
        <v>3491</v>
      </c>
      <c r="I25" s="54">
        <f t="shared" si="15"/>
        <v>0</v>
      </c>
      <c r="J25" s="38">
        <f t="shared" si="16"/>
        <v>0</v>
      </c>
      <c r="K25" s="7">
        <f t="shared" si="28"/>
        <v>13507.78</v>
      </c>
      <c r="L25" s="54">
        <f t="shared" si="17"/>
        <v>0</v>
      </c>
      <c r="M25" s="38">
        <f t="shared" si="18"/>
        <v>0</v>
      </c>
      <c r="N25" s="7">
        <f t="shared" si="29"/>
        <v>3114</v>
      </c>
      <c r="O25" s="54">
        <f t="shared" si="19"/>
        <v>0</v>
      </c>
      <c r="P25" s="38">
        <f t="shared" si="20"/>
        <v>0</v>
      </c>
      <c r="Q25" s="7">
        <f t="shared" si="30"/>
        <v>4919.9399999999996</v>
      </c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44401</v>
      </c>
      <c r="B26" s="1">
        <f t="shared" si="25"/>
        <v>21215.49</v>
      </c>
      <c r="C26" s="54">
        <f t="shared" si="11"/>
        <v>0</v>
      </c>
      <c r="D26" s="38">
        <f t="shared" si="12"/>
        <v>0</v>
      </c>
      <c r="E26" s="1">
        <f t="shared" si="26"/>
        <v>3724.8209999999999</v>
      </c>
      <c r="F26" s="54">
        <f t="shared" si="13"/>
        <v>0</v>
      </c>
      <c r="G26" s="38">
        <f t="shared" si="14"/>
        <v>0</v>
      </c>
      <c r="H26" s="1">
        <f t="shared" si="27"/>
        <v>3491</v>
      </c>
      <c r="I26" s="54">
        <f t="shared" si="15"/>
        <v>0</v>
      </c>
      <c r="J26" s="38">
        <f t="shared" si="16"/>
        <v>0</v>
      </c>
      <c r="K26" s="7">
        <f t="shared" si="28"/>
        <v>13507.78</v>
      </c>
      <c r="L26" s="54">
        <f t="shared" si="17"/>
        <v>0</v>
      </c>
      <c r="M26" s="38">
        <f t="shared" si="18"/>
        <v>0</v>
      </c>
      <c r="N26" s="7">
        <f t="shared" si="29"/>
        <v>3114</v>
      </c>
      <c r="O26" s="54">
        <f t="shared" si="19"/>
        <v>0</v>
      </c>
      <c r="P26" s="38">
        <f t="shared" si="20"/>
        <v>0</v>
      </c>
      <c r="Q26" s="7">
        <f t="shared" si="30"/>
        <v>4919.9399999999996</v>
      </c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44402</v>
      </c>
      <c r="B27" s="1">
        <f t="shared" si="25"/>
        <v>21215.49</v>
      </c>
      <c r="C27" s="54">
        <f t="shared" si="11"/>
        <v>0</v>
      </c>
      <c r="D27" s="38">
        <f t="shared" si="12"/>
        <v>0</v>
      </c>
      <c r="E27" s="1">
        <f t="shared" si="26"/>
        <v>3724.8209999999999</v>
      </c>
      <c r="F27" s="54">
        <f t="shared" si="13"/>
        <v>0</v>
      </c>
      <c r="G27" s="38">
        <f t="shared" si="14"/>
        <v>0</v>
      </c>
      <c r="H27" s="1">
        <f t="shared" si="27"/>
        <v>3491</v>
      </c>
      <c r="I27" s="54">
        <f t="shared" si="15"/>
        <v>0</v>
      </c>
      <c r="J27" s="38">
        <f t="shared" si="16"/>
        <v>0</v>
      </c>
      <c r="K27" s="7">
        <f t="shared" si="28"/>
        <v>13507.78</v>
      </c>
      <c r="L27" s="54">
        <f t="shared" si="17"/>
        <v>0</v>
      </c>
      <c r="M27" s="38">
        <f t="shared" si="18"/>
        <v>0</v>
      </c>
      <c r="N27" s="7">
        <f t="shared" si="29"/>
        <v>3114</v>
      </c>
      <c r="O27" s="54">
        <f t="shared" si="19"/>
        <v>0</v>
      </c>
      <c r="P27" s="38">
        <f t="shared" si="20"/>
        <v>0</v>
      </c>
      <c r="Q27" s="7">
        <f t="shared" si="30"/>
        <v>4919.9399999999996</v>
      </c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44403</v>
      </c>
      <c r="B28" s="1">
        <f t="shared" si="25"/>
        <v>21215.49</v>
      </c>
      <c r="C28" s="54">
        <f t="shared" si="11"/>
        <v>0</v>
      </c>
      <c r="D28" s="38">
        <f t="shared" si="12"/>
        <v>0</v>
      </c>
      <c r="E28" s="1">
        <f t="shared" si="26"/>
        <v>3724.8209999999999</v>
      </c>
      <c r="F28" s="54">
        <f t="shared" si="13"/>
        <v>0</v>
      </c>
      <c r="G28" s="38">
        <f t="shared" si="14"/>
        <v>0</v>
      </c>
      <c r="H28" s="1">
        <f t="shared" si="27"/>
        <v>3491</v>
      </c>
      <c r="I28" s="54">
        <f t="shared" si="15"/>
        <v>0</v>
      </c>
      <c r="J28" s="38">
        <f t="shared" si="16"/>
        <v>0</v>
      </c>
      <c r="K28" s="7">
        <f t="shared" si="28"/>
        <v>13507.78</v>
      </c>
      <c r="L28" s="54">
        <f t="shared" si="17"/>
        <v>0</v>
      </c>
      <c r="M28" s="38">
        <f t="shared" si="18"/>
        <v>0</v>
      </c>
      <c r="N28" s="7">
        <f t="shared" si="29"/>
        <v>3114</v>
      </c>
      <c r="O28" s="54">
        <f t="shared" si="19"/>
        <v>0</v>
      </c>
      <c r="P28" s="38">
        <f t="shared" si="20"/>
        <v>0</v>
      </c>
      <c r="Q28" s="7">
        <f t="shared" si="30"/>
        <v>4919.9399999999996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21215.49</v>
      </c>
      <c r="C29" s="54">
        <f t="shared" si="11"/>
        <v>0</v>
      </c>
      <c r="D29" s="38">
        <f t="shared" si="12"/>
        <v>0</v>
      </c>
      <c r="E29" s="1">
        <f t="shared" si="26"/>
        <v>3724.8209999999999</v>
      </c>
      <c r="F29" s="54">
        <f t="shared" si="13"/>
        <v>0</v>
      </c>
      <c r="G29" s="38">
        <f t="shared" si="14"/>
        <v>0</v>
      </c>
      <c r="H29" s="1">
        <f t="shared" si="27"/>
        <v>3491</v>
      </c>
      <c r="I29" s="54">
        <f t="shared" si="15"/>
        <v>0</v>
      </c>
      <c r="J29" s="38">
        <f t="shared" si="16"/>
        <v>0</v>
      </c>
      <c r="K29" s="7">
        <f t="shared" si="28"/>
        <v>13507.78</v>
      </c>
      <c r="L29" s="54">
        <f t="shared" si="17"/>
        <v>0</v>
      </c>
      <c r="M29" s="38">
        <f t="shared" si="18"/>
        <v>0</v>
      </c>
      <c r="N29" s="7">
        <f t="shared" si="29"/>
        <v>3114</v>
      </c>
      <c r="O29" s="54">
        <f t="shared" si="19"/>
        <v>0</v>
      </c>
      <c r="P29" s="38">
        <f t="shared" si="20"/>
        <v>0</v>
      </c>
      <c r="Q29" s="7">
        <f t="shared" si="30"/>
        <v>4919.9399999999996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21215.49</v>
      </c>
      <c r="C30" s="54">
        <f t="shared" si="11"/>
        <v>0</v>
      </c>
      <c r="D30" s="38">
        <f t="shared" si="12"/>
        <v>0</v>
      </c>
      <c r="E30" s="1">
        <f t="shared" si="26"/>
        <v>3724.8209999999999</v>
      </c>
      <c r="F30" s="54">
        <f t="shared" si="13"/>
        <v>0</v>
      </c>
      <c r="G30" s="38">
        <f t="shared" si="14"/>
        <v>0</v>
      </c>
      <c r="H30" s="1">
        <f t="shared" si="27"/>
        <v>3491</v>
      </c>
      <c r="I30" s="54">
        <f t="shared" si="15"/>
        <v>0</v>
      </c>
      <c r="J30" s="38">
        <f t="shared" si="16"/>
        <v>0</v>
      </c>
      <c r="K30" s="7">
        <f t="shared" si="28"/>
        <v>13507.78</v>
      </c>
      <c r="L30" s="54">
        <f t="shared" si="17"/>
        <v>0</v>
      </c>
      <c r="M30" s="38">
        <f t="shared" si="18"/>
        <v>0</v>
      </c>
      <c r="N30" s="7">
        <f t="shared" si="29"/>
        <v>3114</v>
      </c>
      <c r="O30" s="54">
        <f t="shared" si="19"/>
        <v>0</v>
      </c>
      <c r="P30" s="38">
        <f t="shared" si="20"/>
        <v>0</v>
      </c>
      <c r="Q30" s="7">
        <f t="shared" si="30"/>
        <v>4919.9399999999996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21215.49</v>
      </c>
      <c r="C31" s="54">
        <f t="shared" si="11"/>
        <v>0</v>
      </c>
      <c r="D31" s="38">
        <f t="shared" si="12"/>
        <v>0</v>
      </c>
      <c r="E31" s="1">
        <f t="shared" si="26"/>
        <v>3724.8209999999999</v>
      </c>
      <c r="F31" s="54">
        <f t="shared" si="13"/>
        <v>0</v>
      </c>
      <c r="G31" s="38">
        <f t="shared" si="14"/>
        <v>0</v>
      </c>
      <c r="H31" s="1">
        <f t="shared" si="27"/>
        <v>3491</v>
      </c>
      <c r="I31" s="54">
        <f t="shared" si="15"/>
        <v>0</v>
      </c>
      <c r="J31" s="38">
        <f t="shared" si="16"/>
        <v>0</v>
      </c>
      <c r="K31" s="7">
        <f t="shared" si="28"/>
        <v>13507.78</v>
      </c>
      <c r="L31" s="54">
        <f t="shared" si="17"/>
        <v>0</v>
      </c>
      <c r="M31" s="38">
        <f t="shared" si="18"/>
        <v>0</v>
      </c>
      <c r="N31" s="7">
        <f t="shared" si="29"/>
        <v>3114</v>
      </c>
      <c r="O31" s="54">
        <f t="shared" si="19"/>
        <v>0</v>
      </c>
      <c r="P31" s="38">
        <f t="shared" si="20"/>
        <v>0</v>
      </c>
      <c r="Q31" s="7">
        <f t="shared" si="30"/>
        <v>4919.9399999999996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21215.49</v>
      </c>
      <c r="C32" s="54">
        <f t="shared" si="11"/>
        <v>0</v>
      </c>
      <c r="D32" s="38">
        <f t="shared" si="12"/>
        <v>0</v>
      </c>
      <c r="E32" s="1">
        <f t="shared" si="26"/>
        <v>3724.8209999999999</v>
      </c>
      <c r="F32" s="54">
        <f t="shared" si="13"/>
        <v>0</v>
      </c>
      <c r="G32" s="38">
        <f t="shared" si="14"/>
        <v>0</v>
      </c>
      <c r="H32" s="1">
        <f t="shared" si="27"/>
        <v>3491</v>
      </c>
      <c r="I32" s="54">
        <f t="shared" si="15"/>
        <v>0</v>
      </c>
      <c r="J32" s="38">
        <f t="shared" si="16"/>
        <v>0</v>
      </c>
      <c r="K32" s="7">
        <f t="shared" si="28"/>
        <v>13507.78</v>
      </c>
      <c r="L32" s="54">
        <f t="shared" si="17"/>
        <v>0</v>
      </c>
      <c r="M32" s="38">
        <f t="shared" si="18"/>
        <v>0</v>
      </c>
      <c r="N32" s="7">
        <f t="shared" si="29"/>
        <v>3114</v>
      </c>
      <c r="O32" s="54">
        <f t="shared" si="19"/>
        <v>0</v>
      </c>
      <c r="P32" s="38">
        <f t="shared" si="20"/>
        <v>0</v>
      </c>
      <c r="Q32" s="7">
        <f t="shared" si="30"/>
        <v>4919.9399999999996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21215.49</v>
      </c>
      <c r="C33" s="54">
        <f t="shared" si="11"/>
        <v>0</v>
      </c>
      <c r="D33" s="38">
        <f t="shared" si="12"/>
        <v>0</v>
      </c>
      <c r="E33" s="1">
        <f t="shared" si="26"/>
        <v>3724.8209999999999</v>
      </c>
      <c r="F33" s="54">
        <f t="shared" si="13"/>
        <v>0</v>
      </c>
      <c r="G33" s="38">
        <f t="shared" si="14"/>
        <v>0</v>
      </c>
      <c r="H33" s="1">
        <f t="shared" si="27"/>
        <v>3491</v>
      </c>
      <c r="I33" s="54">
        <f t="shared" si="15"/>
        <v>0</v>
      </c>
      <c r="J33" s="38">
        <f t="shared" si="16"/>
        <v>0</v>
      </c>
      <c r="K33" s="7">
        <f t="shared" si="28"/>
        <v>13507.78</v>
      </c>
      <c r="L33" s="54">
        <f t="shared" si="17"/>
        <v>0</v>
      </c>
      <c r="M33" s="38">
        <f t="shared" si="18"/>
        <v>0</v>
      </c>
      <c r="N33" s="7">
        <f t="shared" si="29"/>
        <v>3114</v>
      </c>
      <c r="O33" s="54">
        <f t="shared" si="19"/>
        <v>0</v>
      </c>
      <c r="P33" s="38">
        <f t="shared" si="20"/>
        <v>0</v>
      </c>
      <c r="Q33" s="7">
        <f t="shared" si="30"/>
        <v>4919.9399999999996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148.63500000000204</v>
      </c>
      <c r="D34" s="159">
        <f>SUM(D2:D33)</f>
        <v>282406.50000000384</v>
      </c>
      <c r="E34" s="159">
        <v>0</v>
      </c>
      <c r="F34" s="159">
        <f>SUM(F2:F33)</f>
        <v>33.655999999999949</v>
      </c>
      <c r="G34" s="159">
        <f>SUM(G2:G33)</f>
        <v>63946.3999999999</v>
      </c>
      <c r="H34" s="159"/>
      <c r="I34" s="159">
        <f>SUM(I2:I33)</f>
        <v>92</v>
      </c>
      <c r="J34" s="159">
        <f>SUM(J2:J33)</f>
        <v>174800</v>
      </c>
      <c r="K34" s="159"/>
      <c r="L34" s="159">
        <f>SUM(L2:L33)</f>
        <v>27.520000000000437</v>
      </c>
      <c r="M34" s="159">
        <f>SUM(M2:M33)</f>
        <v>52288.000000000829</v>
      </c>
      <c r="N34" s="159"/>
      <c r="O34" s="159">
        <f>SUM(O2:O33)</f>
        <v>18.623000000000047</v>
      </c>
      <c r="P34" s="159">
        <f>SUM(P2:P33)</f>
        <v>35383.700000000084</v>
      </c>
      <c r="Q34" s="159"/>
      <c r="R34" s="159">
        <f>SUM(R2:R33)</f>
        <v>31.989999999999782</v>
      </c>
      <c r="S34" s="159">
        <f>SUM(S2:S33)</f>
        <v>60780.999999999578</v>
      </c>
      <c r="T34" s="159">
        <f>SUM(T2:T33)</f>
        <v>352.42400000000225</v>
      </c>
      <c r="U34" s="159">
        <f>SUM(U2:U33)</f>
        <v>669605.60000000428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9" sqref="F9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301546</v>
      </c>
      <c r="D2" s="107">
        <f>C2*1.27</f>
        <v>382963.42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26753172</v>
      </c>
      <c r="K3" s="102">
        <f>J3-I3</f>
        <v>142559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84913871</v>
      </c>
      <c r="K4" s="102">
        <f>J4-I4</f>
        <v>649296</v>
      </c>
    </row>
    <row r="5" spans="1:11" ht="13.5" thickBot="1" x14ac:dyDescent="0.25">
      <c r="A5" s="105"/>
      <c r="B5" s="111" t="s">
        <v>27</v>
      </c>
      <c r="C5" s="115">
        <f>(K10+K12)*0.842284+K26</f>
        <v>322102.79679200001</v>
      </c>
      <c r="D5" s="115">
        <f t="shared" ref="D5:D11" si="0">C5*1.27</f>
        <v>409070.55192584003</v>
      </c>
      <c r="E5" s="116"/>
      <c r="F5" s="105"/>
      <c r="G5" s="105"/>
      <c r="H5" s="111" t="s">
        <v>23</v>
      </c>
      <c r="I5" s="117"/>
      <c r="J5" s="117"/>
      <c r="K5" s="142">
        <f>K3+K4</f>
        <v>791855</v>
      </c>
    </row>
    <row r="6" spans="1:11" ht="13.5" thickBot="1" x14ac:dyDescent="0.25">
      <c r="A6" s="105"/>
      <c r="B6" s="111" t="s">
        <v>99</v>
      </c>
      <c r="C6" s="115">
        <f>(K10+K12+K26)*0.1488</f>
        <v>56671.670399999995</v>
      </c>
      <c r="D6" s="115">
        <f t="shared" si="0"/>
        <v>71973.021408000001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8328892</v>
      </c>
      <c r="K6" s="102">
        <f>J6-I6</f>
        <v>63833</v>
      </c>
    </row>
    <row r="7" spans="1:11" ht="13.5" thickBot="1" x14ac:dyDescent="0.25">
      <c r="A7" s="105"/>
      <c r="B7" s="111" t="s">
        <v>101</v>
      </c>
      <c r="C7" s="115">
        <f>(K6+K7)-(C8+C9+C10+C11+K26)</f>
        <v>86121</v>
      </c>
      <c r="D7" s="115">
        <f t="shared" si="0"/>
        <v>109373.67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8287967</v>
      </c>
      <c r="K7" s="102">
        <f>J7-I7</f>
        <v>53938</v>
      </c>
    </row>
    <row r="8" spans="1:11" ht="13.5" thickBot="1" x14ac:dyDescent="0.25">
      <c r="A8" s="105"/>
      <c r="B8" s="111" t="s">
        <v>103</v>
      </c>
      <c r="C8" s="115">
        <f>K21+K22+K23+K24</f>
        <v>13805</v>
      </c>
      <c r="D8" s="115">
        <f t="shared" si="0"/>
        <v>17532.349999999999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5403390</v>
      </c>
      <c r="K8" s="102">
        <f>(J8-I8)*2</f>
        <v>81798</v>
      </c>
    </row>
    <row r="9" spans="1:11" ht="13.5" thickBot="1" x14ac:dyDescent="0.25">
      <c r="A9" s="105"/>
      <c r="B9" s="111" t="s">
        <v>137</v>
      </c>
      <c r="C9" s="115">
        <f>K25+K16+K17</f>
        <v>2115</v>
      </c>
      <c r="D9" s="115">
        <f t="shared" si="0"/>
        <v>2686.05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4070992</v>
      </c>
      <c r="K9" s="102">
        <f>J9-I9</f>
        <v>197707</v>
      </c>
    </row>
    <row r="10" spans="1:11" ht="13.5" thickBot="1" x14ac:dyDescent="0.25">
      <c r="A10" s="105"/>
      <c r="B10" s="111" t="s">
        <v>106</v>
      </c>
      <c r="C10" s="115">
        <f>K18</f>
        <v>6560</v>
      </c>
      <c r="D10" s="115">
        <f t="shared" si="0"/>
        <v>8331.2000000000007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17968367</v>
      </c>
      <c r="K10" s="102">
        <f>J10-I10</f>
        <v>116284</v>
      </c>
    </row>
    <row r="11" spans="1:11" ht="13.5" thickBot="1" x14ac:dyDescent="0.25">
      <c r="A11" s="105"/>
      <c r="B11" s="111" t="s">
        <v>108</v>
      </c>
      <c r="C11" s="115">
        <f>K19+K20</f>
        <v>850</v>
      </c>
      <c r="D11" s="115">
        <f t="shared" si="0"/>
        <v>1079.5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5685365</v>
      </c>
      <c r="K12" s="102">
        <f>(J12-I12)*2</f>
        <v>256254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769814</v>
      </c>
    </row>
    <row r="14" spans="1:11" ht="13.5" thickBot="1" x14ac:dyDescent="0.25">
      <c r="A14" s="105"/>
      <c r="B14" s="111" t="s">
        <v>42</v>
      </c>
      <c r="C14" s="115">
        <f>K29</f>
        <v>17130</v>
      </c>
      <c r="D14" s="123">
        <f t="shared" ref="D14:D22" si="1">C14*10.03</f>
        <v>171813.9</v>
      </c>
      <c r="E14" s="124"/>
      <c r="F14" s="105"/>
      <c r="G14" s="105"/>
      <c r="H14" s="111" t="s">
        <v>114</v>
      </c>
      <c r="I14" s="120"/>
      <c r="J14" s="121"/>
      <c r="K14" s="103">
        <f>K5-K13</f>
        <v>22041</v>
      </c>
    </row>
    <row r="15" spans="1:11" ht="13.5" thickBot="1" x14ac:dyDescent="0.25">
      <c r="A15" s="105"/>
      <c r="B15" s="111" t="s">
        <v>115</v>
      </c>
      <c r="C15" s="125">
        <f>K30</f>
        <v>28.512</v>
      </c>
      <c r="D15" s="123">
        <f t="shared" si="1"/>
        <v>285.97535999999997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1486.9001184000001</v>
      </c>
      <c r="D16" s="123">
        <f t="shared" si="1"/>
        <v>14913.608187551999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3697</v>
      </c>
      <c r="K16" s="104">
        <f>(J16-I16)*160</f>
        <v>2080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25138</v>
      </c>
      <c r="K18" s="104">
        <f>(J18-I18)*160</f>
        <v>6560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111345</v>
      </c>
      <c r="K19" s="104">
        <f>J19-I19</f>
        <v>850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45547</v>
      </c>
      <c r="K21" s="104">
        <f>(J21-I21)*120</f>
        <v>7440</v>
      </c>
    </row>
    <row r="22" spans="1:11" ht="13.5" thickBot="1" x14ac:dyDescent="0.25">
      <c r="A22" s="105"/>
      <c r="B22" s="111" t="s">
        <v>119</v>
      </c>
      <c r="C22" s="123">
        <f>C14-(C15+C16+C17+C18+C19+C20+C21)</f>
        <v>9794.5878816000004</v>
      </c>
      <c r="D22" s="123">
        <f t="shared" si="1"/>
        <v>98239.716452448003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39669</v>
      </c>
      <c r="K22" s="104">
        <f>(J22-I22)*160</f>
        <v>4960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20555</v>
      </c>
      <c r="K23" s="104">
        <f>(J23-I23)*20</f>
        <v>760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245217</v>
      </c>
      <c r="K24" s="104">
        <f>J24-I24</f>
        <v>645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215674</v>
      </c>
      <c r="K25" s="104">
        <f>J25-I25</f>
        <v>35</v>
      </c>
    </row>
    <row r="26" spans="1:11" ht="13.5" thickBot="1" x14ac:dyDescent="0.25">
      <c r="A26" s="105"/>
      <c r="B26" s="111" t="s">
        <v>42</v>
      </c>
      <c r="C26" s="129">
        <f>K35</f>
        <v>23356</v>
      </c>
      <c r="D26" s="115">
        <f>C26*3.65</f>
        <v>85249.4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18436</v>
      </c>
      <c r="K26" s="104">
        <f>(J26-I26)*160</f>
        <v>8320</v>
      </c>
    </row>
    <row r="27" spans="1:11" ht="13.5" thickBot="1" x14ac:dyDescent="0.25">
      <c r="A27" s="105"/>
      <c r="B27" s="106" t="s">
        <v>124</v>
      </c>
      <c r="C27" s="129">
        <f>C26</f>
        <v>23356</v>
      </c>
      <c r="D27" s="115">
        <f>C27*3.65</f>
        <v>85249.4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417401</v>
      </c>
      <c r="K29" s="104">
        <f>(J29-I29)*10</f>
        <v>17130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739504</v>
      </c>
      <c r="K30" s="104">
        <f>(J30-I30)*0.027</f>
        <v>28.512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4035100</v>
      </c>
      <c r="K32" s="104">
        <f>(J32-I32)*0.027</f>
        <v>5632.2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17458795</v>
      </c>
      <c r="K35" s="135">
        <f>J35-I35</f>
        <v>23356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2021-07-12T02:02:44Z</dcterms:modified>
</cp:coreProperties>
</file>