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3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35BD21A0-D76C-4490-9039-91AEB4772102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V7" i="1"/>
  <c r="AA11" i="1"/>
  <c r="AA9" i="1"/>
  <c r="AA8" i="1"/>
  <c r="AA7" i="1"/>
  <c r="D3" i="1"/>
  <c r="E7" i="1"/>
  <c r="M7" i="1"/>
  <c r="E2" i="4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" i="1"/>
  <c r="M4" i="1"/>
  <c r="M5" i="1"/>
  <c r="M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" i="1"/>
  <c r="J3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6" i="1"/>
  <c r="AA5" i="1"/>
  <c r="E32" i="3"/>
  <c r="F32" i="3"/>
  <c r="G32" i="3"/>
  <c r="H32" i="3"/>
  <c r="I32" i="3"/>
  <c r="J32" i="3"/>
  <c r="K32" i="3"/>
  <c r="L32" i="3"/>
  <c r="M32" i="3"/>
  <c r="C32" i="3"/>
  <c r="B32" i="3"/>
  <c r="AA3" i="1"/>
  <c r="Z15" i="1"/>
  <c r="Z10" i="1"/>
  <c r="Z6" i="1"/>
  <c r="Z5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" i="1"/>
  <c r="V4" i="1"/>
  <c r="V5" i="1"/>
  <c r="V6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V3" i="1"/>
  <c r="U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H3" i="1"/>
  <c r="I3" i="1"/>
  <c r="G3" i="1"/>
  <c r="E3" i="1"/>
  <c r="F3" i="1"/>
  <c r="E4" i="1"/>
  <c r="F4" i="1"/>
  <c r="D4" i="1"/>
  <c r="D5" i="1"/>
  <c r="E5" i="1"/>
  <c r="F5" i="1"/>
  <c r="D6" i="1"/>
  <c r="E6" i="1"/>
  <c r="F6" i="1"/>
  <c r="D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D20" i="1"/>
  <c r="E20" i="1"/>
  <c r="F20" i="1"/>
  <c r="D21" i="1"/>
  <c r="E21" i="1"/>
  <c r="F21" i="1"/>
  <c r="D22" i="1"/>
  <c r="E22" i="1"/>
  <c r="F22" i="1"/>
  <c r="D23" i="1"/>
  <c r="E23" i="1"/>
  <c r="F23" i="1"/>
  <c r="D24" i="1"/>
  <c r="E24" i="1"/>
  <c r="F24" i="1"/>
  <c r="D25" i="1"/>
  <c r="E25" i="1"/>
  <c r="F25" i="1"/>
  <c r="D26" i="1"/>
  <c r="E26" i="1"/>
  <c r="F26" i="1"/>
  <c r="D27" i="1"/>
  <c r="E27" i="1"/>
  <c r="F27" i="1"/>
  <c r="D28" i="1"/>
  <c r="E28" i="1"/>
  <c r="F28" i="1"/>
  <c r="D29" i="1"/>
  <c r="E29" i="1"/>
  <c r="F29" i="1"/>
  <c r="D30" i="1"/>
  <c r="E30" i="1"/>
  <c r="F30" i="1"/>
  <c r="D31" i="1"/>
  <c r="E31" i="1"/>
  <c r="F31" i="1"/>
  <c r="D32" i="1"/>
  <c r="E32" i="1"/>
  <c r="F32" i="1"/>
  <c r="D33" i="1"/>
  <c r="E33" i="1"/>
  <c r="F3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AA4" i="1"/>
  <c r="N22" i="7"/>
  <c r="Z9" i="1"/>
  <c r="X11" i="6"/>
  <c r="AA17" i="6"/>
  <c r="Z17" i="6" s="1"/>
  <c r="AA18" i="6"/>
  <c r="Z18" i="6" s="1"/>
  <c r="AA19" i="6"/>
  <c r="Z19" i="6" s="1"/>
  <c r="AA20" i="6"/>
  <c r="Z20" i="6" s="1"/>
  <c r="AA21" i="6"/>
  <c r="Z21" i="6" s="1"/>
  <c r="AA22" i="6"/>
  <c r="Z22" i="6" s="1"/>
  <c r="AA23" i="6"/>
  <c r="Z23" i="6" s="1"/>
  <c r="AA24" i="6"/>
  <c r="Z24" i="6" s="1"/>
  <c r="AA25" i="6"/>
  <c r="Z25" i="6" s="1"/>
  <c r="AA26" i="6"/>
  <c r="Z26" i="6" s="1"/>
  <c r="AA27" i="6"/>
  <c r="Z27" i="6" s="1"/>
  <c r="AA28" i="6"/>
  <c r="Z28" i="6" s="1"/>
  <c r="AA29" i="6"/>
  <c r="Z29" i="6" s="1"/>
  <c r="AA30" i="6"/>
  <c r="Z30" i="6" s="1"/>
  <c r="AA31" i="6"/>
  <c r="Z31" i="6" s="1"/>
  <c r="AA32" i="6"/>
  <c r="Z32" i="6" s="1"/>
  <c r="AA33" i="6"/>
  <c r="Z33" i="6" s="1"/>
  <c r="AA34" i="6"/>
  <c r="Z34" i="6" s="1"/>
  <c r="Y4" i="6"/>
  <c r="X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X5" i="6"/>
  <c r="X6" i="6"/>
  <c r="X7" i="6"/>
  <c r="X8" i="6"/>
  <c r="X9" i="6"/>
  <c r="X10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5" i="6"/>
  <c r="W4" i="6"/>
  <c r="W35" i="6" s="1"/>
  <c r="D83" i="6"/>
  <c r="N9" i="7"/>
  <c r="N13" i="7"/>
  <c r="N8" i="7"/>
  <c r="N10" i="7"/>
  <c r="N12" i="7"/>
  <c r="N14" i="7"/>
  <c r="N15" i="7"/>
  <c r="N16" i="7"/>
  <c r="N17" i="7"/>
  <c r="N18" i="7"/>
  <c r="N19" i="7"/>
  <c r="N20" i="7"/>
  <c r="N21" i="7"/>
  <c r="N23" i="7"/>
  <c r="N24" i="7"/>
  <c r="N25" i="7"/>
  <c r="N26" i="7"/>
  <c r="N28" i="7"/>
  <c r="N29" i="7"/>
  <c r="N30" i="7"/>
  <c r="N31" i="7"/>
  <c r="N32" i="7"/>
  <c r="N33" i="7"/>
  <c r="N34" i="7"/>
  <c r="N5" i="7"/>
  <c r="N6" i="7"/>
  <c r="N7" i="7"/>
  <c r="N11" i="7"/>
  <c r="N4" i="7"/>
  <c r="X4" i="4"/>
  <c r="X5" i="4"/>
  <c r="X6" i="4"/>
  <c r="X7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D35" i="1"/>
  <c r="D36" i="1" s="1"/>
  <c r="Z7" i="1"/>
  <c r="Z8" i="1"/>
  <c r="K8" i="4"/>
  <c r="G35" i="7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36" i="6"/>
  <c r="L36" i="6"/>
  <c r="J36" i="6"/>
  <c r="X3" i="4"/>
  <c r="C35" i="7"/>
  <c r="D35" i="7"/>
  <c r="E35" i="7"/>
  <c r="F35" i="7"/>
  <c r="H35" i="7"/>
  <c r="I35" i="7"/>
  <c r="J35" i="7"/>
  <c r="L35" i="7"/>
  <c r="B35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E72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2" i="4"/>
  <c r="V2" i="4"/>
  <c r="L5" i="4"/>
  <c r="L7" i="4"/>
  <c r="L8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K3" i="3"/>
  <c r="K4" i="3"/>
  <c r="K5" i="3"/>
  <c r="K6" i="3"/>
  <c r="K7" i="3"/>
  <c r="K8" i="3"/>
  <c r="K10" i="3"/>
  <c r="K13" i="3"/>
  <c r="K18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J65" i="6"/>
  <c r="N66" i="6"/>
  <c r="R58" i="6"/>
  <c r="F57" i="6"/>
  <c r="R56" i="6"/>
  <c r="G36" i="6"/>
  <c r="H36" i="6"/>
  <c r="N36" i="6"/>
  <c r="O36" i="6"/>
  <c r="P36" i="6"/>
  <c r="R36" i="6"/>
  <c r="S36" i="6"/>
  <c r="T36" i="6"/>
  <c r="Q8" i="4"/>
  <c r="N7" i="4"/>
  <c r="N8" i="4"/>
  <c r="M5" i="4"/>
  <c r="M7" i="4"/>
  <c r="M8" i="4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8" i="6"/>
  <c r="J68" i="6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5" i="4"/>
  <c r="Q4" i="4"/>
  <c r="Q2" i="4"/>
  <c r="Q3" i="4"/>
  <c r="Q15" i="4"/>
  <c r="Q16" i="4"/>
  <c r="Q17" i="4"/>
  <c r="Q18" i="4"/>
  <c r="Q23" i="4"/>
  <c r="Q24" i="4"/>
  <c r="Q26" i="4"/>
  <c r="Q29" i="4"/>
  <c r="Q30" i="4"/>
  <c r="X8" i="4" l="1"/>
  <c r="Y35" i="1"/>
  <c r="X35" i="6"/>
  <c r="Y35" i="6"/>
  <c r="N35" i="7"/>
  <c r="Q7" i="4"/>
  <c r="Q6" i="4"/>
  <c r="E103" i="6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Q10" i="4"/>
  <c r="X2" i="4"/>
  <c r="L3" i="4"/>
  <c r="M3" i="4"/>
  <c r="N3" i="4"/>
  <c r="O3" i="4"/>
  <c r="P3" i="4"/>
  <c r="S35" i="1" l="1"/>
  <c r="F3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T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T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K5" i="4"/>
  <c r="N5" i="4"/>
  <c r="O5" i="4"/>
  <c r="P5" i="4"/>
  <c r="S5" i="4"/>
  <c r="T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T6" i="4"/>
  <c r="U6" i="4"/>
  <c r="V6" i="4"/>
  <c r="E7" i="4"/>
  <c r="F7" i="4"/>
  <c r="G7" i="4"/>
  <c r="H7" i="4"/>
  <c r="I7" i="4"/>
  <c r="K7" i="4"/>
  <c r="O7" i="4"/>
  <c r="P7" i="4"/>
  <c r="S7" i="4"/>
  <c r="T7" i="4"/>
  <c r="U7" i="4"/>
  <c r="V7" i="4"/>
  <c r="E8" i="4"/>
  <c r="F8" i="4"/>
  <c r="G8" i="4"/>
  <c r="H8" i="4"/>
  <c r="I8" i="4"/>
  <c r="O8" i="4"/>
  <c r="P8" i="4"/>
  <c r="S8" i="4"/>
  <c r="T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T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T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T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T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T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T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T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T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T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T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T19" i="4"/>
  <c r="U19" i="4"/>
  <c r="V19" i="4"/>
  <c r="E20" i="4"/>
  <c r="F20" i="4"/>
  <c r="G20" i="4"/>
  <c r="H20" i="4"/>
  <c r="I20" i="4"/>
  <c r="K20" i="4"/>
  <c r="L20" i="4"/>
  <c r="M20" i="4"/>
  <c r="N20" i="4"/>
  <c r="O20" i="4"/>
  <c r="P20" i="4"/>
  <c r="T20" i="4"/>
  <c r="U20" i="4"/>
  <c r="V20" i="4"/>
  <c r="E21" i="4"/>
  <c r="F21" i="4"/>
  <c r="G21" i="4"/>
  <c r="H21" i="4"/>
  <c r="I21" i="4"/>
  <c r="K21" i="4"/>
  <c r="L21" i="4"/>
  <c r="M21" i="4"/>
  <c r="N21" i="4"/>
  <c r="O21" i="4"/>
  <c r="P21" i="4"/>
  <c r="T21" i="4"/>
  <c r="U21" i="4"/>
  <c r="V21" i="4"/>
  <c r="E22" i="4"/>
  <c r="F22" i="4"/>
  <c r="G22" i="4"/>
  <c r="H22" i="4"/>
  <c r="I22" i="4"/>
  <c r="K22" i="4"/>
  <c r="L22" i="4"/>
  <c r="M22" i="4"/>
  <c r="N22" i="4"/>
  <c r="O22" i="4"/>
  <c r="P22" i="4"/>
  <c r="T22" i="4"/>
  <c r="U22" i="4"/>
  <c r="V22" i="4"/>
  <c r="E23" i="4"/>
  <c r="F23" i="4"/>
  <c r="G23" i="4"/>
  <c r="H23" i="4"/>
  <c r="I23" i="4"/>
  <c r="K23" i="4"/>
  <c r="L23" i="4"/>
  <c r="M23" i="4"/>
  <c r="N23" i="4"/>
  <c r="O23" i="4"/>
  <c r="P23" i="4"/>
  <c r="T23" i="4"/>
  <c r="U23" i="4"/>
  <c r="V23" i="4"/>
  <c r="E24" i="4"/>
  <c r="F24" i="4"/>
  <c r="G24" i="4"/>
  <c r="H24" i="4"/>
  <c r="I24" i="4"/>
  <c r="K24" i="4"/>
  <c r="L24" i="4"/>
  <c r="M24" i="4"/>
  <c r="N24" i="4"/>
  <c r="O24" i="4"/>
  <c r="P24" i="4"/>
  <c r="T24" i="4"/>
  <c r="U24" i="4"/>
  <c r="V24" i="4"/>
  <c r="E25" i="4"/>
  <c r="F25" i="4"/>
  <c r="G25" i="4"/>
  <c r="H25" i="4"/>
  <c r="I25" i="4"/>
  <c r="K25" i="4"/>
  <c r="L25" i="4"/>
  <c r="M25" i="4"/>
  <c r="N25" i="4"/>
  <c r="O25" i="4"/>
  <c r="P25" i="4"/>
  <c r="T25" i="4"/>
  <c r="U25" i="4"/>
  <c r="V25" i="4"/>
  <c r="E26" i="4"/>
  <c r="F26" i="4"/>
  <c r="G26" i="4"/>
  <c r="H26" i="4"/>
  <c r="I26" i="4"/>
  <c r="K26" i="4"/>
  <c r="L26" i="4"/>
  <c r="M26" i="4"/>
  <c r="N26" i="4"/>
  <c r="O26" i="4"/>
  <c r="P26" i="4"/>
  <c r="T26" i="4"/>
  <c r="U26" i="4"/>
  <c r="V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23" i="3"/>
  <c r="F20" i="3"/>
  <c r="F31" i="3" l="1"/>
  <c r="Q31" i="4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</authors>
  <commentList>
    <comment ref="N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</commentList>
</comments>
</file>

<file path=xl/sharedStrings.xml><?xml version="1.0" encoding="utf-8"?>
<sst xmlns="http://schemas.openxmlformats.org/spreadsheetml/2006/main" count="247" uniqueCount="116">
  <si>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</si>
  <si>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</si>
  <si>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</si>
  <si>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</si>
  <si>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</si>
  <si>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</si>
  <si>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</si>
  <si>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</si>
  <si>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</si>
  <si>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</si>
  <si>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</si>
  <si>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</si>
  <si>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</si>
  <si>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</si>
  <si>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</si>
  <si>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</si>
  <si>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</si>
  <si>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</si>
  <si>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</si>
  <si>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</si>
  <si>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</si>
  <si>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</si>
  <si>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</si>
  <si>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</si>
  <si>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</si>
  <si>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</si>
  <si>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</si>
  <si>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</si>
  <si>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</si>
  <si>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</si>
  <si>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</si>
  <si>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</si>
  <si>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</si>
  <si>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</si>
  <si>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</si>
  <si>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</si>
  <si>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</si>
  <si>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</si>
  <si>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</si>
  <si>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</si>
  <si>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</si>
  <si>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</si>
  <si>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</si>
  <si>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</si>
  <si>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</si>
  <si>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</si>
  <si>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</si>
  <si>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</si>
  <si>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</si>
  <si>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</si>
  <si>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</si>
  <si>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</si>
  <si>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 (m3)</t>
  </si>
  <si>
    <t>WT08 (m3)</t>
  </si>
  <si>
    <t>PUC HOH (m3)</t>
  </si>
  <si>
    <t>Fire Tank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</si>
  <si>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</si>
  <si>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</si>
  <si>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</si>
  <si>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</si>
  <si>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</si>
  <si>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</si>
  <si>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</si>
  <si>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</si>
  <si>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</si>
  <si>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</si>
  <si>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</si>
  <si>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</si>
  <si>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Location</t>
  </si>
  <si>
    <t>BOH</t>
  </si>
  <si>
    <t>E-Resort</t>
  </si>
  <si>
    <t>North RVs</t>
  </si>
  <si>
    <t>Kannel,300,400,500,600,SRV,300,400</t>
  </si>
  <si>
    <t>Zez,SPA,MV,100,200</t>
  </si>
  <si>
    <t>STP</t>
  </si>
  <si>
    <t>From E-Resort</t>
  </si>
  <si>
    <t>SRV</t>
  </si>
  <si>
    <t>Formula</t>
  </si>
  <si>
    <t>E-Resort (m3)</t>
  </si>
  <si>
    <t>North RVs (m3)</t>
  </si>
  <si>
    <t>PUC  (E- Resort) (m3)</t>
  </si>
  <si>
    <t>SRV1 (m3)</t>
  </si>
  <si>
    <t>SRV2 (m3)</t>
  </si>
  <si>
    <t>SRV3 (m3)</t>
  </si>
  <si>
    <t>Excluding all SRVs</t>
  </si>
  <si>
    <t>Average reading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</si>
  <si>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</si>
  <si>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</si>
  <si>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</si>
  <si>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</si>
  <si>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</si>
  <si>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</si>
  <si>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Taken 8AM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</si>
  <si>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</si>
  <si>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</si>
  <si>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</si>
  <si>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</si>
  <si>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</si>
  <si>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</si>
  <si>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</si>
  <si>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</si>
  <si>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Fuel burned Per Hour</t>
  </si>
  <si>
    <t>Energy Consumed Per Hour</t>
  </si>
  <si>
    <t>Engine Efficiency</t>
  </si>
  <si>
    <t>Load %</t>
  </si>
  <si>
    <t>Total consumed energy (MWH)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</si>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</sst>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#,##0.0"/>
    <numFmt numFmtId="166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2" fontId="12" fillId="0" borderId="11" xfId="0" applyNumberFormat="1" applyFont="1" applyBorder="1"/>
    <xf numFmtId="2" fontId="13" fillId="4" borderId="7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0" fontId="12" fillId="0" borderId="5" xfId="0" applyFont="1" applyBorder="1"/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6" fillId="0" borderId="7" xfId="0" applyNumberFormat="1" applyFont="1" applyBorder="1"/>
    <xf numFmtId="0" fontId="0" fillId="0" borderId="13" xfId="0" applyBorder="1"/>
    <xf numFmtId="0" fontId="4" fillId="0" borderId="7" xfId="0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165" fontId="16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wrapText="1"/>
    </xf>
    <xf numFmtId="165" fontId="16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6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6" fillId="0" borderId="15" xfId="0" applyNumberFormat="1" applyFont="1" applyBorder="1"/>
    <xf numFmtId="165" fontId="16" fillId="0" borderId="33" xfId="0" applyNumberFormat="1" applyFont="1" applyBorder="1"/>
    <xf numFmtId="3" fontId="16" fillId="0" borderId="32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6" fillId="0" borderId="15" xfId="0" applyNumberFormat="1" applyFont="1" applyBorder="1"/>
    <xf numFmtId="165" fontId="16" fillId="0" borderId="11" xfId="0" applyNumberFormat="1" applyFont="1" applyBorder="1"/>
    <xf numFmtId="3" fontId="12" fillId="0" borderId="13" xfId="0" applyNumberFormat="1" applyFont="1" applyBorder="1"/>
    <xf numFmtId="3" fontId="13" fillId="11" borderId="7" xfId="0" applyNumberFormat="1" applyFont="1" applyFill="1" applyBorder="1"/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2" fontId="12" fillId="0" borderId="15" xfId="0" applyNumberFormat="1" applyFont="1" applyBorder="1"/>
    <xf numFmtId="4" fontId="12" fillId="0" borderId="6" xfId="0" applyNumberFormat="1" applyFont="1" applyBorder="1"/>
    <xf numFmtId="0" fontId="12" fillId="0" borderId="15" xfId="0" applyFont="1" applyBorder="1"/>
    <xf numFmtId="4" fontId="12" fillId="0" borderId="7" xfId="0" applyNumberFormat="1" applyFont="1" applyBorder="1"/>
    <xf numFmtId="2" fontId="12" fillId="0" borderId="16" xfId="0" applyNumberFormat="1" applyFont="1" applyBorder="1"/>
    <xf numFmtId="3" fontId="12" fillId="0" borderId="15" xfId="0" applyNumberFormat="1" applyFont="1" applyBorder="1"/>
    <xf numFmtId="0" fontId="18" fillId="10" borderId="11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7" xfId="0" applyFont="1" applyFill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12" fillId="0" borderId="28" xfId="0" applyNumberFormat="1" applyFont="1" applyBorder="1"/>
    <xf numFmtId="2" fontId="12" fillId="0" borderId="18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0" fontId="12" fillId="0" borderId="9" xfId="0" applyFont="1" applyBorder="1"/>
    <xf numFmtId="0" fontId="4" fillId="11" borderId="7" xfId="0" applyFont="1" applyFill="1" applyBorder="1" applyAlignment="1">
      <alignment wrapText="1"/>
    </xf>
    <xf numFmtId="3" fontId="12" fillId="11" borderId="18" xfId="0" applyNumberFormat="1" applyFont="1" applyFill="1" applyBorder="1"/>
    <xf numFmtId="3" fontId="12" fillId="11" borderId="11" xfId="0" applyNumberFormat="1" applyFont="1" applyFill="1" applyBorder="1"/>
    <xf numFmtId="15" fontId="12" fillId="0" borderId="0" xfId="0" applyNumberFormat="1" applyFont="1"/>
    <xf numFmtId="0" fontId="12" fillId="9" borderId="7" xfId="0" applyFont="1" applyFill="1" applyBorder="1"/>
    <xf numFmtId="0" fontId="0" fillId="9" borderId="15" xfId="0" applyFill="1" applyBorder="1"/>
    <xf numFmtId="0" fontId="13" fillId="0" borderId="18" xfId="0" applyFont="1" applyBorder="1" applyAlignment="1">
      <alignment horizontal="center"/>
    </xf>
    <xf numFmtId="0" fontId="13" fillId="9" borderId="13" xfId="0" applyFont="1" applyFill="1" applyBorder="1" applyAlignment="1">
      <alignment horizontal="center" wrapText="1"/>
    </xf>
    <xf numFmtId="4" fontId="12" fillId="0" borderId="15" xfId="0" applyNumberFormat="1" applyFont="1" applyBorder="1"/>
    <xf numFmtId="0" fontId="12" fillId="0" borderId="35" xfId="0" applyFont="1" applyBorder="1"/>
    <xf numFmtId="0" fontId="12" fillId="0" borderId="14" xfId="0" applyFont="1" applyBorder="1"/>
    <xf numFmtId="0" fontId="12" fillId="0" borderId="17" xfId="0" applyFont="1" applyBorder="1"/>
    <xf numFmtId="0" fontId="19" fillId="0" borderId="34" xfId="0" applyFont="1" applyBorder="1"/>
    <xf numFmtId="0" fontId="19" fillId="0" borderId="5" xfId="0" applyFont="1" applyBorder="1"/>
    <xf numFmtId="0" fontId="20" fillId="0" borderId="34" xfId="0" applyFont="1" applyBorder="1"/>
    <xf numFmtId="0" fontId="20" fillId="0" borderId="5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0" fillId="9" borderId="18" xfId="0" applyFill="1" applyBorder="1"/>
    <xf numFmtId="0" fontId="13" fillId="14" borderId="7" xfId="0" applyFont="1" applyFill="1" applyBorder="1" applyAlignment="1">
      <alignment vertical="center" wrapText="1"/>
    </xf>
    <xf numFmtId="0" fontId="13" fillId="14" borderId="7" xfId="0" applyFont="1" applyFill="1" applyBorder="1" applyAlignment="1">
      <alignment horizontal="center" vertical="center" wrapText="1"/>
    </xf>
    <xf numFmtId="0" fontId="0" fillId="14" borderId="7" xfId="0" applyFill="1" applyBorder="1"/>
    <xf numFmtId="0" fontId="0" fillId="14" borderId="11" xfId="0" applyFill="1" applyBorder="1"/>
    <xf numFmtId="0" fontId="19" fillId="0" borderId="2" xfId="0" applyFont="1" applyBorder="1" applyAlignment="1">
      <alignment wrapText="1"/>
    </xf>
    <xf numFmtId="0" fontId="19" fillId="0" borderId="4" xfId="0" applyFont="1" applyBorder="1"/>
    <xf numFmtId="0" fontId="19" fillId="0" borderId="5" xfId="0" applyFont="1" applyBorder="1" applyAlignment="1">
      <alignment wrapText="1"/>
    </xf>
    <xf numFmtId="0" fontId="13" fillId="3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vertical="center" wrapText="1"/>
    </xf>
    <xf numFmtId="0" fontId="13" fillId="11" borderId="15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vertical="center" wrapText="1"/>
    </xf>
    <xf numFmtId="14" fontId="12" fillId="0" borderId="18" xfId="0" applyNumberFormat="1" applyFont="1" applyBorder="1"/>
    <xf numFmtId="3" fontId="13" fillId="3" borderId="7" xfId="0" applyNumberFormat="1" applyFont="1" applyFill="1" applyBorder="1" applyAlignment="1">
      <alignment horizontal="right" wrapText="1"/>
    </xf>
    <xf numFmtId="0" fontId="4" fillId="3" borderId="7" xfId="0" applyFont="1" applyFill="1" applyBorder="1" applyAlignment="1">
      <alignment horizontal="right" wrapText="1"/>
    </xf>
    <xf numFmtId="0" fontId="12" fillId="0" borderId="7" xfId="0" applyFont="1" applyBorder="1" applyAlignment="1">
      <alignment horizontal="center"/>
    </xf>
    <xf numFmtId="3" fontId="12" fillId="0" borderId="0" xfId="0" applyNumberFormat="1" applyFont="1"/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0" fillId="14" borderId="11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4" fontId="12" fillId="0" borderId="7" xfId="0" applyNumberFormat="1" applyFont="1" applyBorder="1" applyAlignment="1">
      <alignment horizontal="right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166" fontId="12" fillId="0" borderId="7" xfId="0" applyNumberFormat="1" applyFont="1" applyBorder="1" applyAlignment="1"/>
    <xf numFmtId="166" fontId="12" fillId="0" borderId="15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2-10-04T10:23:28.40" personId="{906BCDB9-8CBC-4ACF-8C89-1BA6B6D4221B}" id="{C92BD015-2C58-442E-BC39-7B2FB6842191}">
    <text>SRV1 to minus SRV3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9" workbookViewId="0">
      <selection activeCell="F38" sqref="F38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12</v>
      </c>
      <c r="D2" s="1">
        <v>2022</v>
      </c>
      <c r="E2" s="12">
        <f>SUM('FS Seychelles'!D3:I3)*1000</f>
        <v>20770.000000000004</v>
      </c>
      <c r="F2" s="11">
        <f>(('FS Seychelles'!O3*'FS Seychelles'!P3)+('FS Seychelles'!Q3*'FS Seychelles'!R3))/TOTAL!E2</f>
        <v>0</v>
      </c>
      <c r="G2" s="12">
        <f>('FS Seychelles'!$Z$10+'FS Seychelles'!$Z$15)/30</f>
        <v>0</v>
      </c>
      <c r="H2" s="11">
        <v>1.05</v>
      </c>
      <c r="I2" s="12">
        <f>SUM('FS Seychelles'!S3:W3)</f>
        <v>383</v>
      </c>
      <c r="J2" s="11">
        <v>0</v>
      </c>
      <c r="K2" s="28">
        <f>'FS Seychelles'!AA3</f>
        <v>103</v>
      </c>
      <c r="L2" s="11">
        <v>0</v>
      </c>
      <c r="M2" s="40">
        <f>'FS Seychelles'!B3</f>
        <v>55.8</v>
      </c>
    </row>
    <row r="3" spans="1:13" s="15" customFormat="1">
      <c r="A3" s="1" t="s">
        <v>13</v>
      </c>
      <c r="B3" s="14">
        <f>B2+1</f>
        <v>2</v>
      </c>
      <c r="C3" s="11">
        <f>C2</f>
        <v>12</v>
      </c>
      <c r="D3" s="1">
        <v>2022</v>
      </c>
      <c r="E3" s="12">
        <f>SUM('FS Seychelles'!D4:I4)*1000</f>
        <v>18700</v>
      </c>
      <c r="F3" s="11">
        <f>(('FS Seychelles'!O4*'FS Seychelles'!P4)+('FS Seychelles'!Q4*'FS Seychelles'!R4))/TOTAL!E3</f>
        <v>0</v>
      </c>
      <c r="G3" s="12">
        <f>('FS Seychelles'!$Z$10+'FS Seychelles'!$Z$15)/30</f>
        <v>0</v>
      </c>
      <c r="H3" s="11">
        <f>H2</f>
        <v>1.05</v>
      </c>
      <c r="I3" s="12">
        <f>SUM('FS Seychelles'!S4:W4)</f>
        <v>330</v>
      </c>
      <c r="J3" s="11">
        <f>J2</f>
        <v>0</v>
      </c>
      <c r="K3" s="28">
        <f>'FS Seychelles'!AA4</f>
        <v>136</v>
      </c>
      <c r="L3" s="11">
        <f>L2</f>
        <v>0</v>
      </c>
      <c r="M3" s="40">
        <f>'FS Seychelles'!B4</f>
        <v>59.7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C32" si="1">C3</f>
        <v>12</v>
      </c>
      <c r="D4" s="1">
        <v>2022</v>
      </c>
      <c r="E4" s="12">
        <f>SUM('FS Seychelles'!D5:I5)*1000</f>
        <v>20060</v>
      </c>
      <c r="F4" s="11">
        <f>(('FS Seychelles'!O5*'FS Seychelles'!P5)+('FS Seychelles'!Q5*'FS Seychelles'!R5))/TOTAL!E4</f>
        <v>0</v>
      </c>
      <c r="G4" s="12">
        <f>('FS Seychelles'!$Z$10+'FS Seychelles'!$Z$15)/30</f>
        <v>0</v>
      </c>
      <c r="H4" s="11">
        <f t="shared" ref="H4:H32" si="2">H3</f>
        <v>1.05</v>
      </c>
      <c r="I4" s="12">
        <f>SUM('FS Seychelles'!S5:W5)</f>
        <v>313</v>
      </c>
      <c r="J4" s="11">
        <f t="shared" ref="J4:L32" si="3">J3</f>
        <v>0</v>
      </c>
      <c r="K4" s="28">
        <f>'FS Seychelles'!AA5</f>
        <v>109</v>
      </c>
      <c r="L4" s="11">
        <f t="shared" si="3"/>
        <v>0</v>
      </c>
      <c r="M4" s="40">
        <f>'FS Seychelles'!B5</f>
        <v>57.1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12</v>
      </c>
      <c r="D5" s="1">
        <v>2022</v>
      </c>
      <c r="E5" s="12">
        <f>SUM('FS Seychelles'!D6:I6)*1000</f>
        <v>19560.000000000004</v>
      </c>
      <c r="F5" s="11">
        <f>(('FS Seychelles'!O6*'FS Seychelles'!P6)+('FS Seychelles'!Q6*'FS Seychelles'!R6))/TOTAL!E5</f>
        <v>0</v>
      </c>
      <c r="G5" s="12">
        <f>('FS Seychelles'!$Z$10+'FS Seychelles'!$Z$15)/30</f>
        <v>0</v>
      </c>
      <c r="H5" s="11">
        <f t="shared" si="2"/>
        <v>1.05</v>
      </c>
      <c r="I5" s="12">
        <f>SUM('FS Seychelles'!S6:W6)</f>
        <v>377</v>
      </c>
      <c r="J5" s="11">
        <f t="shared" si="3"/>
        <v>0</v>
      </c>
      <c r="K5" s="28">
        <f>'FS Seychelles'!AA6</f>
        <v>97</v>
      </c>
      <c r="L5" s="11">
        <f t="shared" si="3"/>
        <v>0</v>
      </c>
      <c r="M5" s="40">
        <f>'FS Seychelles'!B6</f>
        <v>40.299999999999997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12</v>
      </c>
      <c r="D6" s="1">
        <v>2022</v>
      </c>
      <c r="E6" s="12">
        <f>SUM('FS Seychelles'!D7:I7)*1000</f>
        <v>19690</v>
      </c>
      <c r="F6" s="11">
        <f>(('FS Seychelles'!O7*'FS Seychelles'!P7)+('FS Seychelles'!Q7*'FS Seychelles'!R7))/TOTAL!E6</f>
        <v>0</v>
      </c>
      <c r="G6" s="12">
        <f>('FS Seychelles'!$Z$10+'FS Seychelles'!$Z$15)/30</f>
        <v>0</v>
      </c>
      <c r="H6" s="11">
        <f t="shared" si="2"/>
        <v>1.05</v>
      </c>
      <c r="I6" s="12">
        <f>SUM('FS Seychelles'!S7:W7)</f>
        <v>387</v>
      </c>
      <c r="J6" s="11">
        <f t="shared" si="3"/>
        <v>0</v>
      </c>
      <c r="K6" s="28">
        <f>'FS Seychelles'!AA7</f>
        <v>58</v>
      </c>
      <c r="L6" s="11">
        <f t="shared" si="3"/>
        <v>0</v>
      </c>
      <c r="M6" s="40">
        <f>'FS Seychelles'!B7</f>
        <v>39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12</v>
      </c>
      <c r="D7" s="1">
        <v>2022</v>
      </c>
      <c r="E7" s="12">
        <f>SUM('FS Seychelles'!D8:I8)*1000</f>
        <v>0</v>
      </c>
      <c r="F7" s="11" t="e">
        <f>(('FS Seychelles'!O8*'FS Seychelles'!P8)+('FS Seychelles'!Q8*'FS Seychelles'!R8))/TOTAL!E7</f>
        <v>#DIV/0!</v>
      </c>
      <c r="G7" s="12">
        <f>('FS Seychelles'!$Z$10+'FS Seychelles'!$Z$15)/30</f>
        <v>0</v>
      </c>
      <c r="H7" s="11">
        <f t="shared" si="2"/>
        <v>1.05</v>
      </c>
      <c r="I7" s="12">
        <f>SUM('FS Seychelles'!S8:W8)</f>
        <v>0</v>
      </c>
      <c r="J7" s="11">
        <f t="shared" si="3"/>
        <v>0</v>
      </c>
      <c r="K7" s="28">
        <f>'FS Seychelles'!AA8</f>
        <v>56</v>
      </c>
      <c r="L7" s="11">
        <f t="shared" si="3"/>
        <v>0</v>
      </c>
      <c r="M7" s="40">
        <f>'FS Seychelles'!B8</f>
        <v>0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12</v>
      </c>
      <c r="D8" s="1">
        <v>2022</v>
      </c>
      <c r="E8" s="12">
        <f>SUM('FS Seychelles'!D9:I9)*1000</f>
        <v>0</v>
      </c>
      <c r="F8" s="11" t="e">
        <f>(('FS Seychelles'!O9*'FS Seychelles'!P9)+('FS Seychelles'!Q9*'FS Seychelles'!R9))/TOTAL!E8</f>
        <v>#DIV/0!</v>
      </c>
      <c r="G8" s="12">
        <f>('FS Seychelles'!$Z$10+'FS Seychelles'!$Z$15)/30</f>
        <v>0</v>
      </c>
      <c r="H8" s="11">
        <f t="shared" si="2"/>
        <v>1.05</v>
      </c>
      <c r="I8" s="12">
        <f>SUM('FS Seychelles'!S9:W9)</f>
        <v>0</v>
      </c>
      <c r="J8" s="11">
        <f t="shared" si="3"/>
        <v>0</v>
      </c>
      <c r="K8" s="28">
        <f>'FS Seychelles'!AA9</f>
        <v>-54932</v>
      </c>
      <c r="L8" s="11">
        <f t="shared" si="3"/>
        <v>0</v>
      </c>
      <c r="M8" s="40">
        <f>'FS Seychelles'!B9</f>
        <v>0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12</v>
      </c>
      <c r="D9" s="1">
        <v>2022</v>
      </c>
      <c r="E9" s="12">
        <f>SUM('FS Seychelles'!D10:I10)*1000</f>
        <v>0</v>
      </c>
      <c r="F9" s="11" t="e">
        <f>(('FS Seychelles'!O10*'FS Seychelles'!P10)+('FS Seychelles'!Q10*'FS Seychelles'!R10))/TOTAL!E9</f>
        <v>#DIV/0!</v>
      </c>
      <c r="G9" s="12">
        <f>('FS Seychelles'!$Z$10+'FS Seychelles'!$Z$15)/30</f>
        <v>0</v>
      </c>
      <c r="H9" s="11">
        <f t="shared" si="2"/>
        <v>1.05</v>
      </c>
      <c r="I9" s="12">
        <f>SUM('FS Seychelles'!S10:W10)</f>
        <v>0</v>
      </c>
      <c r="J9" s="11">
        <f t="shared" si="3"/>
        <v>0</v>
      </c>
      <c r="K9" s="28">
        <f>'FS Seychelles'!AA10</f>
        <v>0</v>
      </c>
      <c r="L9" s="11">
        <f t="shared" si="3"/>
        <v>0</v>
      </c>
      <c r="M9" s="40">
        <f>'FS Seychelles'!B10</f>
        <v>0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12</v>
      </c>
      <c r="D10" s="1">
        <v>2022</v>
      </c>
      <c r="E10" s="12">
        <f>SUM('FS Seychelles'!D11:I11)*1000</f>
        <v>0</v>
      </c>
      <c r="F10" s="11" t="e">
        <f>(('FS Seychelles'!O11*'FS Seychelles'!P11)+('FS Seychelles'!Q11*'FS Seychelles'!R11))/TOTAL!E10</f>
        <v>#DIV/0!</v>
      </c>
      <c r="G10" s="12">
        <f>('FS Seychelles'!$Z$10+'FS Seychelles'!$Z$15)/30</f>
        <v>0</v>
      </c>
      <c r="H10" s="11">
        <f t="shared" si="2"/>
        <v>1.05</v>
      </c>
      <c r="I10" s="12">
        <f>SUM('FS Seychelles'!S11:W11)</f>
        <v>0</v>
      </c>
      <c r="J10" s="11">
        <f t="shared" si="3"/>
        <v>0</v>
      </c>
      <c r="K10" s="28">
        <f>'FS Seychelles'!AA11</f>
        <v>0</v>
      </c>
      <c r="L10" s="11">
        <f t="shared" si="3"/>
        <v>0</v>
      </c>
      <c r="M10" s="40">
        <f>'FS Seychelles'!B11</f>
        <v>0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12</v>
      </c>
      <c r="D11" s="1">
        <v>2022</v>
      </c>
      <c r="E11" s="12">
        <f>SUM('FS Seychelles'!D12:I12)*1000</f>
        <v>0</v>
      </c>
      <c r="F11" s="11" t="e">
        <f>(('FS Seychelles'!O12*'FS Seychelles'!P12)+('FS Seychelles'!Q12*'FS Seychelles'!R12))/TOTAL!E11</f>
        <v>#DIV/0!</v>
      </c>
      <c r="G11" s="12">
        <f>('FS Seychelles'!$Z$10+'FS Seychelles'!$Z$15)/30</f>
        <v>0</v>
      </c>
      <c r="H11" s="11">
        <f t="shared" si="2"/>
        <v>1.05</v>
      </c>
      <c r="I11" s="12">
        <f>SUM('FS Seychelles'!S12:W12)</f>
        <v>0</v>
      </c>
      <c r="J11" s="11">
        <f t="shared" si="3"/>
        <v>0</v>
      </c>
      <c r="K11" s="28">
        <f>'FS Seychelles'!AA12</f>
        <v>0</v>
      </c>
      <c r="L11" s="11">
        <f t="shared" si="3"/>
        <v>0</v>
      </c>
      <c r="M11" s="40">
        <f>'FS Seychelles'!B12</f>
        <v>0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12</v>
      </c>
      <c r="D12" s="1">
        <v>2022</v>
      </c>
      <c r="E12" s="12">
        <f>SUM('FS Seychelles'!D13:I13)*1000</f>
        <v>0</v>
      </c>
      <c r="F12" s="11" t="e">
        <f>(('FS Seychelles'!O13*'FS Seychelles'!P13)+('FS Seychelles'!Q13*'FS Seychelles'!R13))/TOTAL!E12</f>
        <v>#DIV/0!</v>
      </c>
      <c r="G12" s="12">
        <f>('FS Seychelles'!$Z$10+'FS Seychelles'!$Z$15)/30</f>
        <v>0</v>
      </c>
      <c r="H12" s="11">
        <f t="shared" si="2"/>
        <v>1.05</v>
      </c>
      <c r="I12" s="12">
        <f>SUM('FS Seychelles'!S13:W13)</f>
        <v>0</v>
      </c>
      <c r="J12" s="11">
        <f t="shared" si="3"/>
        <v>0</v>
      </c>
      <c r="K12" s="28">
        <f>'FS Seychelles'!AA13</f>
        <v>0</v>
      </c>
      <c r="L12" s="11">
        <f t="shared" si="3"/>
        <v>0</v>
      </c>
      <c r="M12" s="40">
        <f>'FS Seychelles'!B13</f>
        <v>0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12</v>
      </c>
      <c r="D13" s="1">
        <v>2022</v>
      </c>
      <c r="E13" s="12">
        <f>SUM('FS Seychelles'!D14:I14)*1000</f>
        <v>0</v>
      </c>
      <c r="F13" s="11" t="e">
        <f>(('FS Seychelles'!O14*'FS Seychelles'!P14)+('FS Seychelles'!Q14*'FS Seychelles'!R14))/TOTAL!E13</f>
        <v>#DIV/0!</v>
      </c>
      <c r="G13" s="12">
        <f>('FS Seychelles'!$Z$10+'FS Seychelles'!$Z$15)/30</f>
        <v>0</v>
      </c>
      <c r="H13" s="11">
        <f t="shared" si="2"/>
        <v>1.05</v>
      </c>
      <c r="I13" s="12">
        <f>SUM('FS Seychelles'!S14:W14)</f>
        <v>0</v>
      </c>
      <c r="J13" s="11">
        <f t="shared" si="3"/>
        <v>0</v>
      </c>
      <c r="K13" s="28">
        <f>'FS Seychelles'!AA14</f>
        <v>0</v>
      </c>
      <c r="L13" s="11">
        <f t="shared" si="3"/>
        <v>0</v>
      </c>
      <c r="M13" s="40">
        <f>'FS Seychelles'!B14</f>
        <v>0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12</v>
      </c>
      <c r="D14" s="1">
        <v>2022</v>
      </c>
      <c r="E14" s="12">
        <f>SUM('FS Seychelles'!D15:I15)*1000</f>
        <v>0</v>
      </c>
      <c r="F14" s="11" t="e">
        <f>(('FS Seychelles'!O15*'FS Seychelles'!P15)+('FS Seychelles'!Q15*'FS Seychelles'!R15))/TOTAL!E14</f>
        <v>#DIV/0!</v>
      </c>
      <c r="G14" s="12">
        <f>('FS Seychelles'!$Z$10+'FS Seychelles'!$Z$15)/30</f>
        <v>0</v>
      </c>
      <c r="H14" s="11">
        <f t="shared" si="2"/>
        <v>1.05</v>
      </c>
      <c r="I14" s="12">
        <f>SUM('FS Seychelles'!S15:W15)</f>
        <v>0</v>
      </c>
      <c r="J14" s="11">
        <f t="shared" si="3"/>
        <v>0</v>
      </c>
      <c r="K14" s="28">
        <f>'FS Seychelles'!AA15</f>
        <v>0</v>
      </c>
      <c r="L14" s="11">
        <f t="shared" si="3"/>
        <v>0</v>
      </c>
      <c r="M14" s="40">
        <f>'FS Seychelles'!B15</f>
        <v>0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12</v>
      </c>
      <c r="D15" s="1">
        <v>2022</v>
      </c>
      <c r="E15" s="12">
        <f>SUM('FS Seychelles'!D16:I16)*1000</f>
        <v>0</v>
      </c>
      <c r="F15" s="11" t="e">
        <f>(('FS Seychelles'!O16*'FS Seychelles'!P16)+('FS Seychelles'!Q16*'FS Seychelles'!R16))/TOTAL!E15</f>
        <v>#DIV/0!</v>
      </c>
      <c r="G15" s="12">
        <f>('FS Seychelles'!$Z$10+'FS Seychelles'!$Z$15)/30</f>
        <v>0</v>
      </c>
      <c r="H15" s="11">
        <f t="shared" si="2"/>
        <v>1.05</v>
      </c>
      <c r="I15" s="12">
        <f>SUM('FS Seychelles'!S16:W16)</f>
        <v>0</v>
      </c>
      <c r="J15" s="11">
        <f t="shared" si="3"/>
        <v>0</v>
      </c>
      <c r="K15" s="28">
        <f>'FS Seychelles'!AA16</f>
        <v>0</v>
      </c>
      <c r="L15" s="11">
        <f t="shared" si="3"/>
        <v>0</v>
      </c>
      <c r="M15" s="40">
        <f>'FS Seychelles'!B16</f>
        <v>0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12</v>
      </c>
      <c r="D16" s="1">
        <v>2022</v>
      </c>
      <c r="E16" s="12">
        <f>SUM('FS Seychelles'!D17:I17)*1000</f>
        <v>0</v>
      </c>
      <c r="F16" s="11" t="e">
        <f>(('FS Seychelles'!O17*'FS Seychelles'!P17)+('FS Seychelles'!Q17*'FS Seychelles'!R17))/TOTAL!E16</f>
        <v>#DIV/0!</v>
      </c>
      <c r="G16" s="12">
        <f>('FS Seychelles'!$Z$10+'FS Seychelles'!$Z$15)/30</f>
        <v>0</v>
      </c>
      <c r="H16" s="11">
        <f t="shared" si="2"/>
        <v>1.05</v>
      </c>
      <c r="I16" s="12">
        <f>SUM('FS Seychelles'!S17:W17)</f>
        <v>0</v>
      </c>
      <c r="J16" s="11">
        <f t="shared" si="3"/>
        <v>0</v>
      </c>
      <c r="K16" s="28">
        <f>'FS Seychelles'!AA17</f>
        <v>0</v>
      </c>
      <c r="L16" s="11">
        <f t="shared" si="3"/>
        <v>0</v>
      </c>
      <c r="M16" s="40">
        <f>'FS Seychelles'!B17</f>
        <v>0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12</v>
      </c>
      <c r="D17" s="1">
        <v>2022</v>
      </c>
      <c r="E17" s="12">
        <f>SUM('FS Seychelles'!D18:I18)*1000</f>
        <v>0</v>
      </c>
      <c r="F17" s="11" t="e">
        <f>(('FS Seychelles'!O18*'FS Seychelles'!P18)+('FS Seychelles'!Q18*'FS Seychelles'!R18))/TOTAL!E17</f>
        <v>#DIV/0!</v>
      </c>
      <c r="G17" s="12">
        <f>('FS Seychelles'!$Z$10+'FS Seychelles'!$Z$15)/30</f>
        <v>0</v>
      </c>
      <c r="H17" s="11">
        <f t="shared" si="2"/>
        <v>1.05</v>
      </c>
      <c r="I17" s="12">
        <f>SUM('FS Seychelles'!S18:W18)</f>
        <v>0</v>
      </c>
      <c r="J17" s="11">
        <f t="shared" si="3"/>
        <v>0</v>
      </c>
      <c r="K17" s="28">
        <f>'FS Seychelles'!AA18</f>
        <v>0</v>
      </c>
      <c r="L17" s="11">
        <f t="shared" si="3"/>
        <v>0</v>
      </c>
      <c r="M17" s="40">
        <f>'FS Seychelles'!B18</f>
        <v>0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12</v>
      </c>
      <c r="D18" s="1">
        <v>2022</v>
      </c>
      <c r="E18" s="12">
        <f>SUM('FS Seychelles'!D19:I19)*1000</f>
        <v>0</v>
      </c>
      <c r="F18" s="11" t="e">
        <f>(('FS Seychelles'!O19*'FS Seychelles'!P19)+('FS Seychelles'!Q19*'FS Seychelles'!R19))/TOTAL!E18</f>
        <v>#DIV/0!</v>
      </c>
      <c r="G18" s="12">
        <f>('FS Seychelles'!$Z$10+'FS Seychelles'!$Z$15)/30</f>
        <v>0</v>
      </c>
      <c r="H18" s="11">
        <f t="shared" si="2"/>
        <v>1.05</v>
      </c>
      <c r="I18" s="12">
        <f>SUM('FS Seychelles'!S19:W19)</f>
        <v>0</v>
      </c>
      <c r="J18" s="11">
        <f t="shared" si="3"/>
        <v>0</v>
      </c>
      <c r="K18" s="28">
        <f>'FS Seychelles'!AA19</f>
        <v>0</v>
      </c>
      <c r="L18" s="11">
        <f t="shared" si="3"/>
        <v>0</v>
      </c>
      <c r="M18" s="40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12</v>
      </c>
      <c r="D19" s="1">
        <v>2022</v>
      </c>
      <c r="E19" s="12">
        <f>SUM('FS Seychelles'!D20:I20)*1000</f>
        <v>0</v>
      </c>
      <c r="F19" s="11" t="e">
        <f>(('FS Seychelles'!O20*'FS Seychelles'!P20)+('FS Seychelles'!Q20*'FS Seychelles'!R20))/TOTAL!E19</f>
        <v>#DIV/0!</v>
      </c>
      <c r="G19" s="12">
        <f>('FS Seychelles'!$Z$10+'FS Seychelles'!$Z$15)/30</f>
        <v>0</v>
      </c>
      <c r="H19" s="11">
        <f t="shared" si="2"/>
        <v>1.05</v>
      </c>
      <c r="I19" s="12">
        <f>SUM('FS Seychelles'!S20:W20)</f>
        <v>0</v>
      </c>
      <c r="J19" s="11">
        <f t="shared" si="3"/>
        <v>0</v>
      </c>
      <c r="K19" s="28">
        <f>'FS Seychelles'!AA20</f>
        <v>0</v>
      </c>
      <c r="L19" s="11">
        <f t="shared" si="3"/>
        <v>0</v>
      </c>
      <c r="M19" s="40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12</v>
      </c>
      <c r="D20" s="1">
        <v>2022</v>
      </c>
      <c r="E20" s="12">
        <f>SUM('FS Seychelles'!D21:I21)*1000</f>
        <v>0</v>
      </c>
      <c r="F20" s="11" t="e">
        <f>(('FS Seychelles'!O21*'FS Seychelles'!P21)+('FS Seychelles'!Q21*'FS Seychelles'!R21))/TOTAL!E20</f>
        <v>#DIV/0!</v>
      </c>
      <c r="G20" s="12">
        <f>('FS Seychelles'!$Z$10+'FS Seychelles'!$Z$15)/30</f>
        <v>0</v>
      </c>
      <c r="H20" s="11">
        <f t="shared" si="2"/>
        <v>1.05</v>
      </c>
      <c r="I20" s="12">
        <f>SUM('FS Seychelles'!S21:W21)</f>
        <v>0</v>
      </c>
      <c r="J20" s="11">
        <f t="shared" si="3"/>
        <v>0</v>
      </c>
      <c r="K20" s="28">
        <f>'FS Seychelles'!AA21</f>
        <v>0</v>
      </c>
      <c r="L20" s="11">
        <f t="shared" si="3"/>
        <v>0</v>
      </c>
      <c r="M20" s="40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12</v>
      </c>
      <c r="D21" s="1">
        <v>2022</v>
      </c>
      <c r="E21" s="12">
        <f>SUM('FS Seychelles'!D22:I22)*1000</f>
        <v>0</v>
      </c>
      <c r="F21" s="11" t="e">
        <f>(('FS Seychelles'!O22*'FS Seychelles'!P22)+('FS Seychelles'!Q22*'FS Seychelles'!R22))/TOTAL!E21</f>
        <v>#DIV/0!</v>
      </c>
      <c r="G21" s="12">
        <f>('FS Seychelles'!$Z$10+'FS Seychelles'!$Z$15)/30</f>
        <v>0</v>
      </c>
      <c r="H21" s="11">
        <f t="shared" si="2"/>
        <v>1.05</v>
      </c>
      <c r="I21" s="12">
        <f>SUM('FS Seychelles'!S22:W22)</f>
        <v>0</v>
      </c>
      <c r="J21" s="11">
        <f t="shared" si="3"/>
        <v>0</v>
      </c>
      <c r="K21" s="28">
        <f>'FS Seychelles'!AA22</f>
        <v>0</v>
      </c>
      <c r="L21" s="11">
        <f t="shared" si="3"/>
        <v>0</v>
      </c>
      <c r="M21" s="40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12</v>
      </c>
      <c r="D22" s="1">
        <v>2022</v>
      </c>
      <c r="E22" s="12">
        <f>SUM('FS Seychelles'!D23:I23)*1000</f>
        <v>0</v>
      </c>
      <c r="F22" s="11" t="e">
        <f>(('FS Seychelles'!O23*'FS Seychelles'!P23)+('FS Seychelles'!Q23*'FS Seychelles'!R23))/TOTAL!E22</f>
        <v>#DIV/0!</v>
      </c>
      <c r="G22" s="12">
        <f>('FS Seychelles'!$Z$10+'FS Seychelles'!$Z$15)/30</f>
        <v>0</v>
      </c>
      <c r="H22" s="11">
        <f t="shared" si="2"/>
        <v>1.05</v>
      </c>
      <c r="I22" s="12">
        <f>SUM('FS Seychelles'!S23:W23)</f>
        <v>0</v>
      </c>
      <c r="J22" s="11">
        <f t="shared" si="3"/>
        <v>0</v>
      </c>
      <c r="K22" s="28">
        <f>'FS Seychelles'!AA23</f>
        <v>0</v>
      </c>
      <c r="L22" s="11">
        <f t="shared" si="3"/>
        <v>0</v>
      </c>
      <c r="M22" s="40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12</v>
      </c>
      <c r="D23" s="1">
        <v>2022</v>
      </c>
      <c r="E23" s="12">
        <f>SUM('FS Seychelles'!D24:I24)*1000</f>
        <v>0</v>
      </c>
      <c r="F23" s="11" t="e">
        <f>(('FS Seychelles'!O24*'FS Seychelles'!P24)+('FS Seychelles'!Q24*'FS Seychelles'!R24))/TOTAL!E23</f>
        <v>#DIV/0!</v>
      </c>
      <c r="G23" s="12">
        <f>('FS Seychelles'!$Z$10+'FS Seychelles'!$Z$15)/30</f>
        <v>0</v>
      </c>
      <c r="H23" s="11">
        <f t="shared" si="2"/>
        <v>1.05</v>
      </c>
      <c r="I23" s="12">
        <f>SUM('FS Seychelles'!S24:W24)</f>
        <v>0</v>
      </c>
      <c r="J23" s="11">
        <f t="shared" si="3"/>
        <v>0</v>
      </c>
      <c r="K23" s="28">
        <f>'FS Seychelles'!AA24</f>
        <v>0</v>
      </c>
      <c r="L23" s="11">
        <f t="shared" si="3"/>
        <v>0</v>
      </c>
      <c r="M23" s="40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12</v>
      </c>
      <c r="D24" s="1">
        <v>2022</v>
      </c>
      <c r="E24" s="12">
        <f>SUM('FS Seychelles'!D25:I25)*1000</f>
        <v>0</v>
      </c>
      <c r="F24" s="11" t="e">
        <f>(('FS Seychelles'!O25*'FS Seychelles'!P25)+('FS Seychelles'!Q25*'FS Seychelles'!R25))/TOTAL!E24</f>
        <v>#DIV/0!</v>
      </c>
      <c r="G24" s="12">
        <f>('FS Seychelles'!$Z$10+'FS Seychelles'!$Z$15)/30</f>
        <v>0</v>
      </c>
      <c r="H24" s="11">
        <f t="shared" si="2"/>
        <v>1.05</v>
      </c>
      <c r="I24" s="12">
        <f>SUM('FS Seychelles'!S25:W25)</f>
        <v>0</v>
      </c>
      <c r="J24" s="11">
        <f t="shared" si="3"/>
        <v>0</v>
      </c>
      <c r="K24" s="28">
        <f>'FS Seychelles'!AA25</f>
        <v>0</v>
      </c>
      <c r="L24" s="11">
        <f t="shared" si="3"/>
        <v>0</v>
      </c>
      <c r="M24" s="40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12</v>
      </c>
      <c r="D25" s="1">
        <v>2022</v>
      </c>
      <c r="E25" s="12">
        <f>SUM('FS Seychelles'!D26:I26)*1000</f>
        <v>0</v>
      </c>
      <c r="F25" s="11" t="e">
        <f>(('FS Seychelles'!O26*'FS Seychelles'!P26)+('FS Seychelles'!Q26*'FS Seychelles'!R26))/TOTAL!E25</f>
        <v>#DIV/0!</v>
      </c>
      <c r="G25" s="12">
        <f>('FS Seychelles'!$Z$10+'FS Seychelles'!$Z$15)/30</f>
        <v>0</v>
      </c>
      <c r="H25" s="11">
        <f t="shared" si="2"/>
        <v>1.05</v>
      </c>
      <c r="I25" s="12">
        <f>SUM('FS Seychelles'!S26:W26)</f>
        <v>0</v>
      </c>
      <c r="J25" s="11">
        <f t="shared" si="3"/>
        <v>0</v>
      </c>
      <c r="K25" s="28">
        <f>'FS Seychelles'!AA26</f>
        <v>0</v>
      </c>
      <c r="L25" s="11">
        <f t="shared" si="3"/>
        <v>0</v>
      </c>
      <c r="M25" s="40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12</v>
      </c>
      <c r="D26" s="1">
        <v>2022</v>
      </c>
      <c r="E26" s="12">
        <f>SUM('FS Seychelles'!D27:I27)*1000</f>
        <v>0</v>
      </c>
      <c r="F26" s="11" t="e">
        <f>(('FS Seychelles'!O27*'FS Seychelles'!P27)+('FS Seychelles'!Q27*'FS Seychelles'!R27))/TOTAL!E26</f>
        <v>#DIV/0!</v>
      </c>
      <c r="G26" s="12">
        <f>('FS Seychelles'!$Z$10+'FS Seychelles'!$Z$15)/30</f>
        <v>0</v>
      </c>
      <c r="H26" s="11">
        <f t="shared" si="2"/>
        <v>1.05</v>
      </c>
      <c r="I26" s="12">
        <f>SUM('FS Seychelles'!S27:W27)</f>
        <v>0</v>
      </c>
      <c r="J26" s="11">
        <f t="shared" si="3"/>
        <v>0</v>
      </c>
      <c r="K26" s="28">
        <f>'FS Seychelles'!AA27</f>
        <v>0</v>
      </c>
      <c r="L26" s="11">
        <f t="shared" si="3"/>
        <v>0</v>
      </c>
      <c r="M26" s="40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12</v>
      </c>
      <c r="D27" s="1">
        <v>2022</v>
      </c>
      <c r="E27" s="12">
        <f>SUM('FS Seychelles'!D28:I28)*1000</f>
        <v>0</v>
      </c>
      <c r="F27" s="11" t="e">
        <f>(('FS Seychelles'!O28*'FS Seychelles'!P28)+('FS Seychelles'!Q28*'FS Seychelles'!R28))/TOTAL!E27</f>
        <v>#DIV/0!</v>
      </c>
      <c r="G27" s="12">
        <f>('FS Seychelles'!$Z$10+'FS Seychelles'!$Z$15)/30</f>
        <v>0</v>
      </c>
      <c r="H27" s="11">
        <f t="shared" si="2"/>
        <v>1.05</v>
      </c>
      <c r="I27" s="12">
        <f>SUM('FS Seychelles'!S28:W28)</f>
        <v>0</v>
      </c>
      <c r="J27" s="11">
        <f t="shared" si="3"/>
        <v>0</v>
      </c>
      <c r="K27" s="28">
        <f>'FS Seychelles'!AA28</f>
        <v>0</v>
      </c>
      <c r="L27" s="11">
        <f t="shared" si="3"/>
        <v>0</v>
      </c>
      <c r="M27" s="40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12</v>
      </c>
      <c r="D28" s="1">
        <v>2022</v>
      </c>
      <c r="E28" s="12">
        <f>SUM('FS Seychelles'!D29:I29)*1000</f>
        <v>0</v>
      </c>
      <c r="F28" s="11" t="e">
        <f>(('FS Seychelles'!O29*'FS Seychelles'!P29)+('FS Seychelles'!Q29*'FS Seychelles'!R29))/TOTAL!E28</f>
        <v>#DIV/0!</v>
      </c>
      <c r="G28" s="12">
        <f>('FS Seychelles'!$Z$10+'FS Seychelles'!$Z$15)/30</f>
        <v>0</v>
      </c>
      <c r="H28" s="11">
        <f t="shared" si="2"/>
        <v>1.05</v>
      </c>
      <c r="I28" s="12">
        <f>SUM('FS Seychelles'!S29:W29)</f>
        <v>0</v>
      </c>
      <c r="J28" s="11">
        <f t="shared" si="3"/>
        <v>0</v>
      </c>
      <c r="K28" s="28">
        <f>'FS Seychelles'!AA29</f>
        <v>0</v>
      </c>
      <c r="L28" s="11">
        <f t="shared" si="3"/>
        <v>0</v>
      </c>
      <c r="M28" s="40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12</v>
      </c>
      <c r="D29" s="1">
        <v>2022</v>
      </c>
      <c r="E29" s="12">
        <f>SUM('FS Seychelles'!D30:I30)*1000</f>
        <v>0</v>
      </c>
      <c r="F29" s="11" t="e">
        <f>(('FS Seychelles'!O30*'FS Seychelles'!P30)+('FS Seychelles'!Q30*'FS Seychelles'!R30))/TOTAL!E29</f>
        <v>#DIV/0!</v>
      </c>
      <c r="G29" s="12">
        <f>('FS Seychelles'!$Z$10+'FS Seychelles'!$Z$15)/30</f>
        <v>0</v>
      </c>
      <c r="H29" s="11">
        <f t="shared" si="2"/>
        <v>1.05</v>
      </c>
      <c r="I29" s="12">
        <f>SUM('FS Seychelles'!S30:W30)</f>
        <v>0</v>
      </c>
      <c r="J29" s="11">
        <f t="shared" si="3"/>
        <v>0</v>
      </c>
      <c r="K29" s="28">
        <f>'FS Seychelles'!AA30</f>
        <v>0</v>
      </c>
      <c r="L29" s="11">
        <f t="shared" si="3"/>
        <v>0</v>
      </c>
      <c r="M29" s="40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12</v>
      </c>
      <c r="D30" s="1">
        <v>2022</v>
      </c>
      <c r="E30" s="12">
        <f>SUM('FS Seychelles'!D31:I31)*1000</f>
        <v>0</v>
      </c>
      <c r="F30" s="11" t="e">
        <f>(('FS Seychelles'!O31*'FS Seychelles'!P31)+('FS Seychelles'!Q31*'FS Seychelles'!R31))/TOTAL!E30</f>
        <v>#DIV/0!</v>
      </c>
      <c r="G30" s="12">
        <f>('FS Seychelles'!$Z$10+'FS Seychelles'!$Z$15)/30</f>
        <v>0</v>
      </c>
      <c r="H30" s="11">
        <f t="shared" si="2"/>
        <v>1.05</v>
      </c>
      <c r="I30" s="12">
        <f>SUM('FS Seychelles'!S31:W31)</f>
        <v>0</v>
      </c>
      <c r="J30" s="11">
        <f t="shared" si="3"/>
        <v>0</v>
      </c>
      <c r="K30" s="28">
        <f>'FS Seychelles'!AA31</f>
        <v>0</v>
      </c>
      <c r="L30" s="11">
        <f t="shared" si="3"/>
        <v>0</v>
      </c>
      <c r="M30" s="40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12</v>
      </c>
      <c r="D31" s="1">
        <v>2022</v>
      </c>
      <c r="E31" s="12">
        <f>SUM('FS Seychelles'!D32:I32)*1000</f>
        <v>0</v>
      </c>
      <c r="F31" s="11" t="e">
        <f>(('FS Seychelles'!O32*'FS Seychelles'!P32)+('FS Seychelles'!Q32*'FS Seychelles'!R32))/TOTAL!E31</f>
        <v>#DIV/0!</v>
      </c>
      <c r="G31" s="12">
        <f>('FS Seychelles'!$Z$10+'FS Seychelles'!$Z$15)/30</f>
        <v>0</v>
      </c>
      <c r="H31" s="11">
        <f t="shared" si="2"/>
        <v>1.05</v>
      </c>
      <c r="I31" s="12">
        <f>SUM('FS Seychelles'!S32:W32)</f>
        <v>0</v>
      </c>
      <c r="J31" s="11">
        <f t="shared" si="3"/>
        <v>0</v>
      </c>
      <c r="K31" s="28">
        <f>'FS Seychelles'!AA32</f>
        <v>0</v>
      </c>
      <c r="L31" s="11">
        <f t="shared" si="3"/>
        <v>0</v>
      </c>
      <c r="M31" s="40">
        <f>'FS Seychelles'!B32</f>
        <v>0</v>
      </c>
    </row>
    <row r="32" spans="1:13">
      <c r="A32" s="1" t="s">
        <v>13</v>
      </c>
      <c r="B32" s="14">
        <f t="shared" si="0"/>
        <v>31</v>
      </c>
      <c r="C32" s="11">
        <f t="shared" si="1"/>
        <v>12</v>
      </c>
      <c r="D32" s="1">
        <v>2022</v>
      </c>
      <c r="E32" s="12">
        <f>SUM('FS Seychelles'!D33:I33)*1000</f>
        <v>0</v>
      </c>
      <c r="F32" s="11" t="e">
        <f>(('FS Seychelles'!O33*'FS Seychelles'!P33)+('FS Seychelles'!Q33*'FS Seychelles'!R33))/TOTAL!E32</f>
        <v>#DIV/0!</v>
      </c>
      <c r="G32" s="12">
        <f>('FS Seychelles'!$Z$10+'FS Seychelles'!$Z$15)/30</f>
        <v>0</v>
      </c>
      <c r="H32" s="11">
        <f t="shared" si="2"/>
        <v>1.05</v>
      </c>
      <c r="I32" s="12">
        <f>SUM('FS Seychelles'!S33:W33)</f>
        <v>0</v>
      </c>
      <c r="J32" s="11">
        <f t="shared" si="3"/>
        <v>0</v>
      </c>
      <c r="K32" s="28">
        <f>'FS Seychelles'!AA33</f>
        <v>0</v>
      </c>
      <c r="L32" s="11">
        <f t="shared" si="3"/>
        <v>0</v>
      </c>
      <c r="M32" s="40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workbookViewId="0">
      <selection activeCell="E2" sqref="E2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6" width="12.5703125" style="18" customWidth="1"/>
    <col min="17" max="17" width="12.28515625" style="18" bestFit="1" customWidth="1"/>
    <col min="18" max="18" width="12.28515625" style="18" customWidth="1"/>
    <col min="19" max="19" width="12.5703125" style="18" customWidth="1"/>
    <col min="20" max="24" width="16.5703125" style="18" customWidth="1"/>
  </cols>
  <sheetData>
    <row r="1" spans="1:24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6</v>
      </c>
    </row>
    <row r="2" spans="1:24" ht="15">
      <c r="A2" s="1" t="s">
        <v>13</v>
      </c>
      <c r="B2" s="11">
        <v>1</v>
      </c>
      <c r="C2" s="11">
        <v>12</v>
      </c>
      <c r="D2" s="11">
        <v>2022</v>
      </c>
      <c r="E2" s="18">
        <f>'FS Seychelles'!B3</f>
        <v>55.8</v>
      </c>
      <c r="F2" s="18">
        <f>'FS Seychelles'!D3*1000</f>
        <v>3070</v>
      </c>
      <c r="G2" s="18">
        <f>'FS Seychelles'!E3*1000</f>
        <v>4400</v>
      </c>
      <c r="H2" s="18">
        <f>'FS Seychelles'!F3*1000</f>
        <v>5880</v>
      </c>
      <c r="I2" s="18">
        <f>'FS Seychelles'!G3*1000</f>
        <v>1530</v>
      </c>
      <c r="J2" s="18">
        <f>'FS Seychelles'!H3*1000</f>
        <v>1880</v>
      </c>
      <c r="K2" s="18">
        <f>'FS Seychelles'!I3*1000</f>
        <v>4010</v>
      </c>
      <c r="L2" s="18">
        <f>'FS Seychelles'!J3</f>
        <v>12787</v>
      </c>
      <c r="M2" s="18">
        <f>'FS Seychelles'!K3</f>
        <v>10907</v>
      </c>
      <c r="N2" s="18">
        <f>'FS Seychelles'!L3</f>
        <v>5248</v>
      </c>
      <c r="O2" s="18">
        <f>'FS Seychelles'!M3</f>
        <v>0</v>
      </c>
      <c r="P2" s="18">
        <f>'FS Seychelles'!N3</f>
        <v>7520</v>
      </c>
      <c r="Q2" s="18">
        <f>'FS Seychelles'!O3</f>
        <v>0</v>
      </c>
      <c r="R2" s="18">
        <f>'FS Seychelles'!Q3</f>
        <v>0</v>
      </c>
      <c r="S2" s="18">
        <f>'FS Seychelles'!S3</f>
        <v>60</v>
      </c>
      <c r="T2" s="18">
        <f>'FS Seychelles'!T3</f>
        <v>152</v>
      </c>
      <c r="U2" s="18">
        <f>'FS Seychelles'!U3</f>
        <v>71</v>
      </c>
      <c r="V2" s="18">
        <f>'FS Seychelles'!V3</f>
        <v>100</v>
      </c>
      <c r="W2" s="18">
        <f>'FS Seychelles'!W3</f>
        <v>0</v>
      </c>
      <c r="X2" s="18">
        <f>('FS Seychelles'!Z9+'FS Seychelles'!Z15)/30</f>
        <v>0</v>
      </c>
    </row>
    <row r="3" spans="1:24" ht="15">
      <c r="A3" s="1" t="s">
        <v>13</v>
      </c>
      <c r="B3" s="11">
        <f>B2+1</f>
        <v>2</v>
      </c>
      <c r="C3" s="11">
        <f>C2</f>
        <v>12</v>
      </c>
      <c r="D3" s="11">
        <v>2022</v>
      </c>
      <c r="E3" s="18">
        <f>'FS Seychelles'!B4</f>
        <v>59.7</v>
      </c>
      <c r="F3" s="18">
        <f>'FS Seychelles'!D4*1000</f>
        <v>2480</v>
      </c>
      <c r="G3" s="18">
        <f>'FS Seychelles'!E4*1000</f>
        <v>3870</v>
      </c>
      <c r="H3" s="18">
        <f>'FS Seychelles'!F4*1000</f>
        <v>5370</v>
      </c>
      <c r="I3" s="18">
        <f>'FS Seychelles'!G4*1000</f>
        <v>1450</v>
      </c>
      <c r="J3" s="18">
        <f>'FS Seychelles'!H4*1000</f>
        <v>1710</v>
      </c>
      <c r="K3" s="18">
        <f>'FS Seychelles'!I4*1000</f>
        <v>3820</v>
      </c>
      <c r="L3" s="18">
        <f>'FS Seychelles'!J4</f>
        <v>5363</v>
      </c>
      <c r="M3" s="18">
        <f>'FS Seychelles'!K4</f>
        <v>10782</v>
      </c>
      <c r="N3" s="18">
        <f>'FS Seychelles'!L4</f>
        <v>5378</v>
      </c>
      <c r="O3" s="18">
        <f>'FS Seychelles'!M4</f>
        <v>0</v>
      </c>
      <c r="P3" s="18">
        <f>'FS Seychelles'!N4</f>
        <v>10802</v>
      </c>
      <c r="Q3" s="18">
        <f>'FS Seychelles'!O4</f>
        <v>0</v>
      </c>
      <c r="R3" s="18">
        <f>'FS Seychelles'!Q4</f>
        <v>0</v>
      </c>
      <c r="S3" s="18">
        <f>'FS Seychelles'!S4</f>
        <v>58</v>
      </c>
      <c r="T3" s="18">
        <f>'FS Seychelles'!T4</f>
        <v>97</v>
      </c>
      <c r="U3" s="18">
        <f>'FS Seychelles'!U4</f>
        <v>75</v>
      </c>
      <c r="V3" s="18">
        <f>'FS Seychelles'!V4</f>
        <v>100</v>
      </c>
      <c r="W3" s="18">
        <f>'FS Seychelles'!W4</f>
        <v>0</v>
      </c>
      <c r="X3" s="18">
        <f>('FS Seychelles'!Z10+'FS Seychelles'!Z16)/30</f>
        <v>0</v>
      </c>
    </row>
    <row r="4" spans="1:24" ht="15">
      <c r="A4" s="1" t="s">
        <v>13</v>
      </c>
      <c r="B4" s="11">
        <f t="shared" ref="B4:B32" si="0">B3+1</f>
        <v>3</v>
      </c>
      <c r="C4" s="11">
        <f t="shared" ref="C4:C32" si="1">C3</f>
        <v>12</v>
      </c>
      <c r="D4" s="11">
        <v>2022</v>
      </c>
      <c r="E4" s="18">
        <f>'FS Seychelles'!B5</f>
        <v>57.1</v>
      </c>
      <c r="F4" s="18">
        <f>'FS Seychelles'!D5*1000</f>
        <v>2940</v>
      </c>
      <c r="G4" s="18">
        <f>'FS Seychelles'!E5*1000</f>
        <v>4320</v>
      </c>
      <c r="H4" s="18">
        <f>'FS Seychelles'!F5*1000</f>
        <v>5750</v>
      </c>
      <c r="I4" s="18">
        <f>'FS Seychelles'!G5*1000</f>
        <v>1440</v>
      </c>
      <c r="J4" s="18">
        <f>'FS Seychelles'!H5*1000</f>
        <v>1770</v>
      </c>
      <c r="K4" s="18">
        <f>'FS Seychelles'!I5*1000</f>
        <v>3840</v>
      </c>
      <c r="L4" s="18">
        <f>'FS Seychelles'!J5</f>
        <v>8388</v>
      </c>
      <c r="M4" s="18">
        <f>'FS Seychelles'!K5</f>
        <v>6931</v>
      </c>
      <c r="N4" s="18">
        <f>'FS Seychelles'!L5</f>
        <v>11861</v>
      </c>
      <c r="O4" s="18">
        <f>'FS Seychelles'!M5</f>
        <v>0</v>
      </c>
      <c r="P4" s="18">
        <f>'FS Seychelles'!N5</f>
        <v>5766</v>
      </c>
      <c r="Q4" s="18">
        <f>'FS Seychelles'!O5</f>
        <v>0</v>
      </c>
      <c r="R4" s="18">
        <f>'FS Seychelles'!Q5</f>
        <v>0</v>
      </c>
      <c r="S4" s="18">
        <f>'FS Seychelles'!S5</f>
        <v>57</v>
      </c>
      <c r="T4" s="18">
        <f>'FS Seychelles'!T5</f>
        <v>67</v>
      </c>
      <c r="U4" s="18">
        <f>'FS Seychelles'!U5</f>
        <v>87</v>
      </c>
      <c r="V4" s="18">
        <f>'FS Seychelles'!V5</f>
        <v>102</v>
      </c>
      <c r="W4" s="18">
        <f>'FS Seychelles'!W5</f>
        <v>0</v>
      </c>
      <c r="X4" s="18">
        <f>('FS Seychelles'!Z11+'FS Seychelles'!Z17)/30</f>
        <v>0</v>
      </c>
    </row>
    <row r="5" spans="1:24" ht="15">
      <c r="A5" s="1" t="s">
        <v>13</v>
      </c>
      <c r="B5" s="11">
        <f t="shared" si="0"/>
        <v>4</v>
      </c>
      <c r="C5" s="11">
        <f t="shared" si="1"/>
        <v>12</v>
      </c>
      <c r="D5" s="11">
        <v>2022</v>
      </c>
      <c r="E5" s="18">
        <f>'FS Seychelles'!B6</f>
        <v>40.299999999999997</v>
      </c>
      <c r="F5" s="18">
        <f>'FS Seychelles'!D6*1000</f>
        <v>3080</v>
      </c>
      <c r="G5" s="18">
        <f>'FS Seychelles'!E6*1000</f>
        <v>4450</v>
      </c>
      <c r="H5" s="18">
        <f>'FS Seychelles'!F6*1000</f>
        <v>5480</v>
      </c>
      <c r="I5" s="18">
        <f>'FS Seychelles'!G6*1000</f>
        <v>1230</v>
      </c>
      <c r="J5" s="18">
        <f>'FS Seychelles'!H6*1000</f>
        <v>1690</v>
      </c>
      <c r="K5" s="18">
        <f>'FS Seychelles'!I6*1000</f>
        <v>3630</v>
      </c>
      <c r="L5" s="18">
        <f>'FS Seychelles'!J6</f>
        <v>10905</v>
      </c>
      <c r="M5" s="18">
        <f>'FS Seychelles'!K6</f>
        <v>8754</v>
      </c>
      <c r="N5" s="18">
        <f>'FS Seychelles'!L6</f>
        <v>7905</v>
      </c>
      <c r="O5" s="18">
        <f>'FS Seychelles'!M6</f>
        <v>0</v>
      </c>
      <c r="P5" s="18">
        <f>'FS Seychelles'!N6</f>
        <v>8073</v>
      </c>
      <c r="Q5" s="18">
        <f>'FS Seychelles'!O6</f>
        <v>0</v>
      </c>
      <c r="R5" s="18">
        <f>'FS Seychelles'!Q6</f>
        <v>0</v>
      </c>
      <c r="S5" s="18">
        <f>'FS Seychelles'!S6</f>
        <v>71</v>
      </c>
      <c r="T5" s="18">
        <f>'FS Seychelles'!T6</f>
        <v>145</v>
      </c>
      <c r="U5" s="18">
        <f>'FS Seychelles'!U6</f>
        <v>63</v>
      </c>
      <c r="V5" s="18">
        <f>'FS Seychelles'!V6</f>
        <v>98</v>
      </c>
      <c r="W5" s="18">
        <f>'FS Seychelles'!W6</f>
        <v>0</v>
      </c>
      <c r="X5" s="18">
        <f>('FS Seychelles'!Z12+'FS Seychelles'!Z18)/30</f>
        <v>0</v>
      </c>
    </row>
    <row r="6" spans="1:24" ht="15">
      <c r="A6" s="1" t="s">
        <v>13</v>
      </c>
      <c r="B6" s="11">
        <f t="shared" si="0"/>
        <v>5</v>
      </c>
      <c r="C6" s="11">
        <f t="shared" si="1"/>
        <v>12</v>
      </c>
      <c r="D6" s="11">
        <v>2022</v>
      </c>
      <c r="E6" s="18">
        <f>'FS Seychelles'!B7</f>
        <v>39</v>
      </c>
      <c r="F6" s="18">
        <f>'FS Seychelles'!D7*1000</f>
        <v>3240</v>
      </c>
      <c r="G6" s="18">
        <f>'FS Seychelles'!E7*1000</f>
        <v>4320</v>
      </c>
      <c r="H6" s="18">
        <f>'FS Seychelles'!F7*1000</f>
        <v>5480</v>
      </c>
      <c r="I6" s="18">
        <f>'FS Seychelles'!G7*1000</f>
        <v>1140</v>
      </c>
      <c r="J6" s="18">
        <f>'FS Seychelles'!H7*1000</f>
        <v>1740</v>
      </c>
      <c r="K6" s="18">
        <f>'FS Seychelles'!I7*1000</f>
        <v>3770</v>
      </c>
      <c r="L6" s="18">
        <f>'FS Seychelles'!J7</f>
        <v>5104</v>
      </c>
      <c r="M6" s="18">
        <f>'FS Seychelles'!K7</f>
        <v>15185</v>
      </c>
      <c r="N6" s="18">
        <f>'FS Seychelles'!L7</f>
        <v>8249</v>
      </c>
      <c r="O6" s="18">
        <f>'FS Seychelles'!M7</f>
        <v>0</v>
      </c>
      <c r="P6" s="18">
        <f>'FS Seychelles'!N7</f>
        <v>4060</v>
      </c>
      <c r="Q6" s="18">
        <f>'FS Seychelles'!O7</f>
        <v>0</v>
      </c>
      <c r="R6" s="18">
        <f>'FS Seychelles'!Q7</f>
        <v>0</v>
      </c>
      <c r="S6" s="18">
        <f>'FS Seychelles'!S7</f>
        <v>60</v>
      </c>
      <c r="T6" s="18">
        <f>'FS Seychelles'!T7</f>
        <v>155</v>
      </c>
      <c r="U6" s="18">
        <f>'FS Seychelles'!U7</f>
        <v>71</v>
      </c>
      <c r="V6" s="18">
        <f>'FS Seychelles'!V7</f>
        <v>101</v>
      </c>
      <c r="W6" s="18">
        <f>'FS Seychelles'!W7</f>
        <v>0</v>
      </c>
      <c r="X6" s="18">
        <f>('FS Seychelles'!Z13+'FS Seychelles'!Z19)/30</f>
        <v>0</v>
      </c>
    </row>
    <row r="7" spans="1:24" ht="15">
      <c r="A7" s="1" t="s">
        <v>13</v>
      </c>
      <c r="B7" s="11">
        <f t="shared" si="0"/>
        <v>6</v>
      </c>
      <c r="C7" s="11">
        <f t="shared" si="1"/>
        <v>12</v>
      </c>
      <c r="D7" s="11">
        <v>2022</v>
      </c>
      <c r="E7" s="18">
        <f>'FS Seychelles'!B8</f>
        <v>0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</f>
        <v>0</v>
      </c>
      <c r="M7" s="18">
        <f>'FS Seychelles'!K8</f>
        <v>0</v>
      </c>
      <c r="N7" s="18">
        <f>'FS Seychelles'!L8</f>
        <v>0</v>
      </c>
      <c r="O7" s="18">
        <f>'FS Seychelles'!M8</f>
        <v>0</v>
      </c>
      <c r="P7" s="18">
        <f>'FS Seychelles'!N8</f>
        <v>0</v>
      </c>
      <c r="Q7" s="18">
        <f>'FS Seychelles'!O8</f>
        <v>0</v>
      </c>
      <c r="R7" s="18">
        <f>'FS Seychelles'!Q8</f>
        <v>0</v>
      </c>
      <c r="S7" s="18">
        <f>'FS Seychelles'!S8</f>
        <v>0</v>
      </c>
      <c r="T7" s="18">
        <f>'FS Seychelles'!T8</f>
        <v>0</v>
      </c>
      <c r="U7" s="18">
        <f>'FS Seychelles'!U8</f>
        <v>0</v>
      </c>
      <c r="V7" s="18">
        <f>'FS Seychelles'!V8</f>
        <v>0</v>
      </c>
      <c r="W7" s="18">
        <f>'FS Seychelles'!W8</f>
        <v>0</v>
      </c>
      <c r="X7" s="18">
        <f>('FS Seychelles'!Z14+'FS Seychelles'!Z20)/30</f>
        <v>0</v>
      </c>
    </row>
    <row r="8" spans="1:24" ht="15">
      <c r="A8" s="1" t="s">
        <v>13</v>
      </c>
      <c r="B8" s="11">
        <f t="shared" si="0"/>
        <v>7</v>
      </c>
      <c r="C8" s="11">
        <f t="shared" si="1"/>
        <v>12</v>
      </c>
      <c r="D8" s="11">
        <v>2022</v>
      </c>
      <c r="E8" s="18">
        <f>'FS Seychelles'!B9</f>
        <v>0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</f>
        <v>0</v>
      </c>
      <c r="M8" s="18">
        <f>'FS Seychelles'!K9</f>
        <v>0</v>
      </c>
      <c r="N8" s="18">
        <f>'FS Seychelles'!L9</f>
        <v>0</v>
      </c>
      <c r="O8" s="18">
        <f>'FS Seychelles'!M9</f>
        <v>0</v>
      </c>
      <c r="P8" s="18">
        <f>'FS Seychelles'!N9</f>
        <v>0</v>
      </c>
      <c r="Q8" s="18">
        <f>'FS Seychelles'!O9</f>
        <v>0</v>
      </c>
      <c r="R8" s="18">
        <f>'FS Seychelles'!Q9</f>
        <v>0</v>
      </c>
      <c r="S8" s="18">
        <f>'FS Seychelles'!S9</f>
        <v>0</v>
      </c>
      <c r="T8" s="18">
        <f>'FS Seychelles'!T9</f>
        <v>0</v>
      </c>
      <c r="U8" s="18">
        <f>'FS Seychelles'!U9</f>
        <v>0</v>
      </c>
      <c r="V8" s="18">
        <f>'FS Seychelles'!V9</f>
        <v>0</v>
      </c>
      <c r="W8" s="18">
        <f>'FS Seychelles'!W9</f>
        <v>0</v>
      </c>
      <c r="X8" s="18">
        <f>('FS Seychelles'!Z15+'FS Seychelles'!Z21)/30</f>
        <v>0</v>
      </c>
    </row>
    <row r="9" spans="1:24" ht="15">
      <c r="A9" s="1" t="s">
        <v>13</v>
      </c>
      <c r="B9" s="11">
        <f t="shared" si="0"/>
        <v>8</v>
      </c>
      <c r="C9" s="11">
        <f t="shared" si="1"/>
        <v>12</v>
      </c>
      <c r="D9" s="11">
        <v>2022</v>
      </c>
      <c r="E9" s="18">
        <f>'FS Seychelles'!B10</f>
        <v>0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</f>
        <v>0</v>
      </c>
      <c r="M9" s="18">
        <f>'FS Seychelles'!K10</f>
        <v>0</v>
      </c>
      <c r="N9" s="18">
        <f>'FS Seychelles'!L10</f>
        <v>0</v>
      </c>
      <c r="O9" s="18">
        <f>'FS Seychelles'!M10</f>
        <v>0</v>
      </c>
      <c r="P9" s="18">
        <f>'FS Seychelles'!N10</f>
        <v>0</v>
      </c>
      <c r="Q9" s="18">
        <f>'FS Seychelles'!O10</f>
        <v>0</v>
      </c>
      <c r="R9" s="18">
        <f>'FS Seychelles'!Q10</f>
        <v>0</v>
      </c>
      <c r="S9" s="18">
        <f>'FS Seychelles'!S10</f>
        <v>0</v>
      </c>
      <c r="T9" s="18">
        <f>'FS Seychelles'!T10</f>
        <v>0</v>
      </c>
      <c r="U9" s="18">
        <f>'FS Seychelles'!U10</f>
        <v>0</v>
      </c>
      <c r="V9" s="18">
        <f>'FS Seychelles'!V10</f>
        <v>0</v>
      </c>
      <c r="W9" s="18">
        <f>'FS Seychelles'!W10</f>
        <v>0</v>
      </c>
      <c r="X9" s="18">
        <f>('FS Seychelles'!Z16+'FS Seychelles'!Z22)/30</f>
        <v>0</v>
      </c>
    </row>
    <row r="10" spans="1:24" ht="15">
      <c r="A10" s="1" t="s">
        <v>13</v>
      </c>
      <c r="B10" s="11">
        <f t="shared" si="0"/>
        <v>9</v>
      </c>
      <c r="C10" s="11">
        <f t="shared" si="1"/>
        <v>12</v>
      </c>
      <c r="D10" s="11">
        <v>2022</v>
      </c>
      <c r="E10" s="18">
        <f>'FS Seychelles'!B11</f>
        <v>0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</f>
        <v>0</v>
      </c>
      <c r="M10" s="18">
        <f>'FS Seychelles'!K11</f>
        <v>0</v>
      </c>
      <c r="N10" s="18">
        <f>'FS Seychelles'!L11</f>
        <v>0</v>
      </c>
      <c r="O10" s="18">
        <f>'FS Seychelles'!M11</f>
        <v>0</v>
      </c>
      <c r="P10" s="18">
        <f>'FS Seychelles'!N11</f>
        <v>0</v>
      </c>
      <c r="Q10" s="18">
        <f>'FS Seychelles'!O11</f>
        <v>0</v>
      </c>
      <c r="R10" s="18">
        <f>'FS Seychelles'!Q11</f>
        <v>0</v>
      </c>
      <c r="S10" s="18">
        <f>'FS Seychelles'!S11</f>
        <v>0</v>
      </c>
      <c r="T10" s="18">
        <f>'FS Seychelles'!T11</f>
        <v>0</v>
      </c>
      <c r="U10" s="18">
        <f>'FS Seychelles'!U11</f>
        <v>0</v>
      </c>
      <c r="V10" s="18">
        <f>'FS Seychelles'!V11</f>
        <v>0</v>
      </c>
      <c r="W10" s="18">
        <f>'FS Seychelles'!W11</f>
        <v>0</v>
      </c>
      <c r="X10" s="18">
        <f>('FS Seychelles'!Z17+'FS Seychelles'!Z23)/30</f>
        <v>0</v>
      </c>
    </row>
    <row r="11" spans="1:24" ht="15">
      <c r="A11" s="1" t="s">
        <v>13</v>
      </c>
      <c r="B11" s="11">
        <f t="shared" si="0"/>
        <v>10</v>
      </c>
      <c r="C11" s="11">
        <f t="shared" si="1"/>
        <v>12</v>
      </c>
      <c r="D11" s="11">
        <v>2022</v>
      </c>
      <c r="E11" s="18">
        <f>'FS Seychelles'!B12</f>
        <v>0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</f>
        <v>0</v>
      </c>
      <c r="M11" s="18">
        <f>'FS Seychelles'!K12</f>
        <v>0</v>
      </c>
      <c r="N11" s="18">
        <f>'FS Seychelles'!L12</f>
        <v>0</v>
      </c>
      <c r="O11" s="18">
        <f>'FS Seychelles'!M12</f>
        <v>0</v>
      </c>
      <c r="P11" s="18">
        <f>'FS Seychelles'!N12</f>
        <v>0</v>
      </c>
      <c r="Q11" s="18">
        <f>'FS Seychelles'!O12</f>
        <v>0</v>
      </c>
      <c r="R11" s="18">
        <f>'FS Seychelles'!Q12</f>
        <v>0</v>
      </c>
      <c r="S11" s="18">
        <f>'FS Seychelles'!S12</f>
        <v>0</v>
      </c>
      <c r="T11" s="18">
        <f>'FS Seychelles'!T12</f>
        <v>0</v>
      </c>
      <c r="U11" s="18">
        <f>'FS Seychelles'!U12</f>
        <v>0</v>
      </c>
      <c r="V11" s="18">
        <f>'FS Seychelles'!V12</f>
        <v>0</v>
      </c>
      <c r="W11" s="18">
        <f>'FS Seychelles'!W12</f>
        <v>0</v>
      </c>
      <c r="X11" s="18">
        <f>('FS Seychelles'!Z18+'FS Seychelles'!Z24)/30</f>
        <v>0</v>
      </c>
    </row>
    <row r="12" spans="1:24" ht="15">
      <c r="A12" s="1" t="s">
        <v>13</v>
      </c>
      <c r="B12" s="11">
        <f t="shared" si="0"/>
        <v>11</v>
      </c>
      <c r="C12" s="11">
        <f t="shared" si="1"/>
        <v>12</v>
      </c>
      <c r="D12" s="11">
        <v>2022</v>
      </c>
      <c r="E12" s="18">
        <f>'FS Seychelles'!B13</f>
        <v>0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</f>
        <v>0</v>
      </c>
      <c r="M12" s="18">
        <f>'FS Seychelles'!K13</f>
        <v>0</v>
      </c>
      <c r="N12" s="18">
        <f>'FS Seychelles'!L13</f>
        <v>0</v>
      </c>
      <c r="O12" s="18">
        <f>'FS Seychelles'!M13</f>
        <v>0</v>
      </c>
      <c r="P12" s="18">
        <f>'FS Seychelles'!N13</f>
        <v>0</v>
      </c>
      <c r="Q12" s="18">
        <f>'FS Seychelles'!O13</f>
        <v>0</v>
      </c>
      <c r="R12" s="18">
        <f>'FS Seychelles'!Q13</f>
        <v>0</v>
      </c>
      <c r="S12" s="18">
        <f>'FS Seychelles'!S13</f>
        <v>0</v>
      </c>
      <c r="T12" s="18">
        <f>'FS Seychelles'!T13</f>
        <v>0</v>
      </c>
      <c r="U12" s="18">
        <f>'FS Seychelles'!U13</f>
        <v>0</v>
      </c>
      <c r="V12" s="18">
        <f>'FS Seychelles'!V13</f>
        <v>0</v>
      </c>
      <c r="W12" s="18">
        <f>'FS Seychelles'!W13</f>
        <v>0</v>
      </c>
      <c r="X12" s="18">
        <f>('FS Seychelles'!Z19+'FS Seychelles'!Z25)/30</f>
        <v>0</v>
      </c>
    </row>
    <row r="13" spans="1:24" ht="15">
      <c r="A13" s="1" t="s">
        <v>13</v>
      </c>
      <c r="B13" s="11">
        <f t="shared" si="0"/>
        <v>12</v>
      </c>
      <c r="C13" s="11">
        <f t="shared" si="1"/>
        <v>12</v>
      </c>
      <c r="D13" s="11">
        <v>2022</v>
      </c>
      <c r="E13" s="18">
        <f>'FS Seychelles'!B14</f>
        <v>0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</f>
        <v>0</v>
      </c>
      <c r="M13" s="18">
        <f>'FS Seychelles'!K14</f>
        <v>0</v>
      </c>
      <c r="N13" s="18">
        <f>'FS Seychelles'!L14</f>
        <v>0</v>
      </c>
      <c r="O13" s="18">
        <f>'FS Seychelles'!M14</f>
        <v>0</v>
      </c>
      <c r="P13" s="18">
        <f>'FS Seychelles'!N14</f>
        <v>0</v>
      </c>
      <c r="Q13" s="18">
        <f>'FS Seychelles'!O14</f>
        <v>0</v>
      </c>
      <c r="R13" s="18">
        <f>'FS Seychelles'!Q14</f>
        <v>0</v>
      </c>
      <c r="S13" s="18">
        <f>'FS Seychelles'!S14</f>
        <v>0</v>
      </c>
      <c r="T13" s="18">
        <f>'FS Seychelles'!T14</f>
        <v>0</v>
      </c>
      <c r="U13" s="18">
        <f>'FS Seychelles'!U14</f>
        <v>0</v>
      </c>
      <c r="V13" s="18">
        <f>'FS Seychelles'!V14</f>
        <v>0</v>
      </c>
      <c r="W13" s="18">
        <f>'FS Seychelles'!W14</f>
        <v>0</v>
      </c>
      <c r="X13" s="18">
        <f>('FS Seychelles'!Z20+'FS Seychelles'!Z26)/30</f>
        <v>0</v>
      </c>
    </row>
    <row r="14" spans="1:24" ht="15">
      <c r="A14" s="1" t="s">
        <v>13</v>
      </c>
      <c r="B14" s="11">
        <f t="shared" si="0"/>
        <v>13</v>
      </c>
      <c r="C14" s="11">
        <f t="shared" si="1"/>
        <v>12</v>
      </c>
      <c r="D14" s="11">
        <v>2022</v>
      </c>
      <c r="E14" s="18">
        <f>'FS Seychelles'!B15</f>
        <v>0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</f>
        <v>0</v>
      </c>
      <c r="M14" s="18">
        <f>'FS Seychelles'!K15</f>
        <v>0</v>
      </c>
      <c r="N14" s="18">
        <f>'FS Seychelles'!L15</f>
        <v>0</v>
      </c>
      <c r="O14" s="18">
        <f>'FS Seychelles'!M15</f>
        <v>0</v>
      </c>
      <c r="P14" s="18">
        <f>'FS Seychelles'!N15</f>
        <v>0</v>
      </c>
      <c r="Q14" s="18">
        <f>'FS Seychelles'!O15</f>
        <v>0</v>
      </c>
      <c r="R14" s="18">
        <f>'FS Seychelles'!Q15</f>
        <v>0</v>
      </c>
      <c r="S14" s="18">
        <f>'FS Seychelles'!S15</f>
        <v>0</v>
      </c>
      <c r="T14" s="18">
        <f>'FS Seychelles'!T15</f>
        <v>0</v>
      </c>
      <c r="U14" s="18">
        <f>'FS Seychelles'!U15</f>
        <v>0</v>
      </c>
      <c r="V14" s="18">
        <f>'FS Seychelles'!V15</f>
        <v>0</v>
      </c>
      <c r="W14" s="18">
        <f>'FS Seychelles'!W15</f>
        <v>0</v>
      </c>
      <c r="X14" s="18">
        <f>('FS Seychelles'!Z21+'FS Seychelles'!Z27)/30</f>
        <v>0</v>
      </c>
    </row>
    <row r="15" spans="1:24" ht="15">
      <c r="A15" s="1" t="s">
        <v>13</v>
      </c>
      <c r="B15" s="11">
        <f t="shared" si="0"/>
        <v>14</v>
      </c>
      <c r="C15" s="11">
        <f t="shared" si="1"/>
        <v>12</v>
      </c>
      <c r="D15" s="11">
        <v>2022</v>
      </c>
      <c r="E15" s="18">
        <f>'FS Seychelles'!B16</f>
        <v>0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</f>
        <v>0</v>
      </c>
      <c r="M15" s="18">
        <f>'FS Seychelles'!K16</f>
        <v>0</v>
      </c>
      <c r="N15" s="18">
        <f>'FS Seychelles'!L16</f>
        <v>0</v>
      </c>
      <c r="O15" s="18">
        <f>'FS Seychelles'!M16</f>
        <v>0</v>
      </c>
      <c r="P15" s="18">
        <f>'FS Seychelles'!N16</f>
        <v>0</v>
      </c>
      <c r="Q15" s="18">
        <f>'FS Seychelles'!O16</f>
        <v>0</v>
      </c>
      <c r="R15" s="18">
        <f>'FS Seychelles'!Q16</f>
        <v>0</v>
      </c>
      <c r="S15" s="18">
        <f>'FS Seychelles'!S16</f>
        <v>0</v>
      </c>
      <c r="T15" s="18">
        <f>'FS Seychelles'!T16</f>
        <v>0</v>
      </c>
      <c r="U15" s="18">
        <f>'FS Seychelles'!U16</f>
        <v>0</v>
      </c>
      <c r="V15" s="18">
        <f>'FS Seychelles'!V16</f>
        <v>0</v>
      </c>
      <c r="W15" s="18">
        <f>'FS Seychelles'!W16</f>
        <v>0</v>
      </c>
      <c r="X15" s="18">
        <f>('FS Seychelles'!Z22+'FS Seychelles'!Z28)/30</f>
        <v>0</v>
      </c>
    </row>
    <row r="16" spans="1:24" ht="15">
      <c r="A16" s="1" t="s">
        <v>13</v>
      </c>
      <c r="B16" s="11">
        <f t="shared" si="0"/>
        <v>15</v>
      </c>
      <c r="C16" s="11">
        <f t="shared" si="1"/>
        <v>12</v>
      </c>
      <c r="D16" s="11">
        <v>2022</v>
      </c>
      <c r="E16" s="18">
        <f>'FS Seychelles'!B17</f>
        <v>0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</f>
        <v>0</v>
      </c>
      <c r="M16" s="18">
        <f>'FS Seychelles'!K17</f>
        <v>0</v>
      </c>
      <c r="N16" s="18">
        <f>'FS Seychelles'!L17</f>
        <v>0</v>
      </c>
      <c r="O16" s="18">
        <f>'FS Seychelles'!M17</f>
        <v>0</v>
      </c>
      <c r="P16" s="18">
        <f>'FS Seychelles'!N17</f>
        <v>0</v>
      </c>
      <c r="Q16" s="18">
        <f>'FS Seychelles'!O17</f>
        <v>0</v>
      </c>
      <c r="R16" s="18">
        <f>'FS Seychelles'!Q17</f>
        <v>0</v>
      </c>
      <c r="S16" s="18">
        <f>'FS Seychelles'!S17</f>
        <v>0</v>
      </c>
      <c r="T16" s="18">
        <f>'FS Seychelles'!T17</f>
        <v>0</v>
      </c>
      <c r="U16" s="18">
        <f>'FS Seychelles'!U17</f>
        <v>0</v>
      </c>
      <c r="V16" s="18">
        <f>'FS Seychelles'!V17</f>
        <v>0</v>
      </c>
      <c r="W16" s="18">
        <f>'FS Seychelles'!W17</f>
        <v>0</v>
      </c>
      <c r="X16" s="18">
        <f>('FS Seychelles'!Z23+'FS Seychelles'!Z29)/30</f>
        <v>0</v>
      </c>
    </row>
    <row r="17" spans="1:24" ht="15">
      <c r="A17" s="1" t="s">
        <v>13</v>
      </c>
      <c r="B17" s="11">
        <f t="shared" si="0"/>
        <v>16</v>
      </c>
      <c r="C17" s="11">
        <f t="shared" si="1"/>
        <v>12</v>
      </c>
      <c r="D17" s="11">
        <v>2022</v>
      </c>
      <c r="E17" s="18">
        <f>'FS Seychelles'!B18</f>
        <v>0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</f>
        <v>0</v>
      </c>
      <c r="M17" s="18">
        <f>'FS Seychelles'!K18</f>
        <v>0</v>
      </c>
      <c r="N17" s="18">
        <f>'FS Seychelles'!L18</f>
        <v>0</v>
      </c>
      <c r="O17" s="18">
        <f>'FS Seychelles'!M18</f>
        <v>0</v>
      </c>
      <c r="P17" s="18">
        <f>'FS Seychelles'!N18</f>
        <v>0</v>
      </c>
      <c r="Q17" s="18">
        <f>'FS Seychelles'!O18</f>
        <v>0</v>
      </c>
      <c r="R17" s="18">
        <f>'FS Seychelles'!Q18</f>
        <v>0</v>
      </c>
      <c r="S17" s="18">
        <f>'FS Seychelles'!S18</f>
        <v>0</v>
      </c>
      <c r="T17" s="18">
        <f>'FS Seychelles'!T18</f>
        <v>0</v>
      </c>
      <c r="U17" s="18">
        <f>'FS Seychelles'!U18</f>
        <v>0</v>
      </c>
      <c r="V17" s="18">
        <f>'FS Seychelles'!V18</f>
        <v>0</v>
      </c>
      <c r="W17" s="18">
        <f>'FS Seychelles'!W18</f>
        <v>0</v>
      </c>
      <c r="X17" s="18">
        <f>('FS Seychelles'!Z24+'FS Seychelles'!Z30)/30</f>
        <v>0</v>
      </c>
    </row>
    <row r="18" spans="1:24" ht="15">
      <c r="A18" s="1" t="s">
        <v>13</v>
      </c>
      <c r="B18" s="11">
        <f t="shared" si="0"/>
        <v>17</v>
      </c>
      <c r="C18" s="11">
        <f t="shared" si="1"/>
        <v>12</v>
      </c>
      <c r="D18" s="11">
        <v>2022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</f>
        <v>0</v>
      </c>
      <c r="M18" s="18">
        <f>'FS Seychelles'!K19</f>
        <v>0</v>
      </c>
      <c r="N18" s="18">
        <f>'FS Seychelles'!L19</f>
        <v>0</v>
      </c>
      <c r="O18" s="18">
        <f>'FS Seychelles'!M19</f>
        <v>0</v>
      </c>
      <c r="P18" s="18">
        <f>'FS Seychelles'!N19</f>
        <v>0</v>
      </c>
      <c r="Q18" s="18">
        <f>'FS Seychelles'!O19</f>
        <v>0</v>
      </c>
      <c r="R18" s="18">
        <f>'FS Seychelles'!Q19</f>
        <v>0</v>
      </c>
      <c r="S18" s="18">
        <f>'FS Seychelles'!S19</f>
        <v>0</v>
      </c>
      <c r="T18" s="18">
        <f>'FS Seychelles'!T19</f>
        <v>0</v>
      </c>
      <c r="U18" s="18">
        <f>'FS Seychelles'!U19</f>
        <v>0</v>
      </c>
      <c r="V18" s="18">
        <f>'FS Seychelles'!V19</f>
        <v>0</v>
      </c>
      <c r="W18" s="18">
        <f>'FS Seychelles'!W19</f>
        <v>0</v>
      </c>
      <c r="X18" s="18">
        <f>('FS Seychelles'!Z25+'FS Seychelles'!Z31)/30</f>
        <v>0</v>
      </c>
    </row>
    <row r="19" spans="1:24" ht="15">
      <c r="A19" s="1" t="s">
        <v>13</v>
      </c>
      <c r="B19" s="11">
        <f t="shared" si="0"/>
        <v>18</v>
      </c>
      <c r="C19" s="11">
        <f t="shared" si="1"/>
        <v>12</v>
      </c>
      <c r="D19" s="11">
        <v>2022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</f>
        <v>0</v>
      </c>
      <c r="M19" s="18">
        <f>'FS Seychelles'!K20</f>
        <v>0</v>
      </c>
      <c r="N19" s="18">
        <f>'FS Seychelles'!L20</f>
        <v>0</v>
      </c>
      <c r="O19" s="18">
        <f>'FS Seychelles'!M20</f>
        <v>0</v>
      </c>
      <c r="P19" s="18">
        <f>'FS Seychelles'!N20</f>
        <v>0</v>
      </c>
      <c r="Q19" s="18">
        <f>'FS Seychelles'!O20</f>
        <v>0</v>
      </c>
      <c r="R19" s="18">
        <f>'FS Seychelles'!Q20</f>
        <v>0</v>
      </c>
      <c r="S19" s="18">
        <f>'FS Seychelles'!S20</f>
        <v>0</v>
      </c>
      <c r="T19" s="18">
        <f>'FS Seychelles'!T20</f>
        <v>0</v>
      </c>
      <c r="U19" s="18">
        <f>'FS Seychelles'!U20</f>
        <v>0</v>
      </c>
      <c r="V19" s="18">
        <f>'FS Seychelles'!V20</f>
        <v>0</v>
      </c>
      <c r="W19" s="18">
        <f>'FS Seychelles'!W20</f>
        <v>0</v>
      </c>
      <c r="X19" s="18">
        <f>('FS Seychelles'!Z26+'FS Seychelles'!Z32)/30</f>
        <v>0</v>
      </c>
    </row>
    <row r="20" spans="1:24" ht="15">
      <c r="A20" s="1" t="s">
        <v>13</v>
      </c>
      <c r="B20" s="11">
        <f t="shared" si="0"/>
        <v>19</v>
      </c>
      <c r="C20" s="11">
        <f t="shared" si="1"/>
        <v>12</v>
      </c>
      <c r="D20" s="11">
        <v>2022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</f>
        <v>0</v>
      </c>
      <c r="M20" s="18">
        <f>'FS Seychelles'!K21</f>
        <v>0</v>
      </c>
      <c r="N20" s="18">
        <f>'FS Seychelles'!L21</f>
        <v>0</v>
      </c>
      <c r="O20" s="18">
        <f>'FS Seychelles'!M21</f>
        <v>0</v>
      </c>
      <c r="P20" s="18">
        <f>'FS Seychelles'!N21</f>
        <v>0</v>
      </c>
      <c r="Q20" s="18">
        <f>'FS Seychelles'!O21</f>
        <v>0</v>
      </c>
      <c r="R20" s="18">
        <f>'FS Seychelles'!Q21</f>
        <v>0</v>
      </c>
      <c r="S20" s="18">
        <f>'FS Seychelles'!S21</f>
        <v>0</v>
      </c>
      <c r="T20" s="18">
        <f>'FS Seychelles'!T21</f>
        <v>0</v>
      </c>
      <c r="U20" s="18">
        <f>'FS Seychelles'!U21</f>
        <v>0</v>
      </c>
      <c r="V20" s="18">
        <f>'FS Seychelles'!V21</f>
        <v>0</v>
      </c>
      <c r="W20" s="18">
        <f>'FS Seychelles'!W21</f>
        <v>0</v>
      </c>
      <c r="X20" s="18">
        <f>('FS Seychelles'!Z27+'FS Seychelles'!Z33)/30</f>
        <v>0</v>
      </c>
    </row>
    <row r="21" spans="1:24" ht="15">
      <c r="A21" s="1" t="s">
        <v>13</v>
      </c>
      <c r="B21" s="11">
        <f t="shared" si="0"/>
        <v>20</v>
      </c>
      <c r="C21" s="11">
        <f t="shared" si="1"/>
        <v>12</v>
      </c>
      <c r="D21" s="11">
        <v>2022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</f>
        <v>0</v>
      </c>
      <c r="M21" s="18">
        <f>'FS Seychelles'!K22</f>
        <v>0</v>
      </c>
      <c r="N21" s="18">
        <f>'FS Seychelles'!L22</f>
        <v>0</v>
      </c>
      <c r="O21" s="18">
        <f>'FS Seychelles'!M22</f>
        <v>0</v>
      </c>
      <c r="P21" s="18">
        <f>'FS Seychelles'!N23</f>
        <v>0</v>
      </c>
      <c r="Q21" s="18">
        <f>'FS Seychelles'!O22</f>
        <v>0</v>
      </c>
      <c r="R21" s="18">
        <f>'FS Seychelles'!Q22</f>
        <v>0</v>
      </c>
      <c r="S21" s="18">
        <f>'FS Seychelles'!S22</f>
        <v>0</v>
      </c>
      <c r="T21" s="18">
        <f>'FS Seychelles'!T22</f>
        <v>0</v>
      </c>
      <c r="U21" s="18">
        <f>'FS Seychelles'!U22</f>
        <v>0</v>
      </c>
      <c r="V21" s="18">
        <f>'FS Seychelles'!V22</f>
        <v>0</v>
      </c>
      <c r="W21" s="18">
        <f>'FS Seychelles'!W22</f>
        <v>0</v>
      </c>
      <c r="X21" s="18">
        <f>('FS Seychelles'!Z28+'FS Seychelles'!Z34)/30</f>
        <v>0</v>
      </c>
    </row>
    <row r="22" spans="1:24" ht="15">
      <c r="A22" s="1" t="s">
        <v>13</v>
      </c>
      <c r="B22" s="11">
        <f t="shared" si="0"/>
        <v>21</v>
      </c>
      <c r="C22" s="11">
        <f t="shared" si="1"/>
        <v>12</v>
      </c>
      <c r="D22" s="11">
        <v>2022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</f>
        <v>0</v>
      </c>
      <c r="M22" s="18">
        <f>'FS Seychelles'!K23</f>
        <v>0</v>
      </c>
      <c r="N22" s="18">
        <f>'FS Seychelles'!L23</f>
        <v>0</v>
      </c>
      <c r="O22" s="18">
        <f>'FS Seychelles'!M23</f>
        <v>0</v>
      </c>
      <c r="P22" s="18">
        <f>'FS Seychelles'!N24</f>
        <v>0</v>
      </c>
      <c r="Q22" s="18">
        <f>'FS Seychelles'!O23</f>
        <v>0</v>
      </c>
      <c r="R22" s="18">
        <f>'FS Seychelles'!Q23</f>
        <v>0</v>
      </c>
      <c r="S22" s="18">
        <f>'FS Seychelles'!S23</f>
        <v>0</v>
      </c>
      <c r="T22" s="18">
        <f>'FS Seychelles'!T23</f>
        <v>0</v>
      </c>
      <c r="U22" s="18">
        <f>'FS Seychelles'!U23</f>
        <v>0</v>
      </c>
      <c r="V22" s="18">
        <f>'FS Seychelles'!V23</f>
        <v>0</v>
      </c>
      <c r="W22" s="18">
        <f>'FS Seychelles'!W23</f>
        <v>0</v>
      </c>
      <c r="X22" s="18">
        <f>('FS Seychelles'!Z29+'FS Seychelles'!Z35)/30</f>
        <v>0</v>
      </c>
    </row>
    <row r="23" spans="1:24" ht="15">
      <c r="A23" s="1" t="s">
        <v>13</v>
      </c>
      <c r="B23" s="11">
        <f t="shared" si="0"/>
        <v>22</v>
      </c>
      <c r="C23" s="11">
        <f t="shared" si="1"/>
        <v>12</v>
      </c>
      <c r="D23" s="11">
        <v>2022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</f>
        <v>0</v>
      </c>
      <c r="M23" s="18">
        <f>'FS Seychelles'!K24</f>
        <v>0</v>
      </c>
      <c r="N23" s="18">
        <f>'FS Seychelles'!L24</f>
        <v>0</v>
      </c>
      <c r="O23" s="18">
        <f>'FS Seychelles'!M24</f>
        <v>0</v>
      </c>
      <c r="P23" s="18">
        <f>'FS Seychelles'!N25</f>
        <v>0</v>
      </c>
      <c r="Q23" s="18">
        <f>'FS Seychelles'!O24</f>
        <v>0</v>
      </c>
      <c r="R23" s="18">
        <f>'FS Seychelles'!Q24</f>
        <v>0</v>
      </c>
      <c r="S23" s="18">
        <f>'FS Seychelles'!S24</f>
        <v>0</v>
      </c>
      <c r="T23" s="18">
        <f>'FS Seychelles'!T24</f>
        <v>0</v>
      </c>
      <c r="U23" s="18">
        <f>'FS Seychelles'!U24</f>
        <v>0</v>
      </c>
      <c r="V23" s="18">
        <f>'FS Seychelles'!V24</f>
        <v>0</v>
      </c>
      <c r="W23" s="18">
        <f>'FS Seychelles'!W24</f>
        <v>0</v>
      </c>
      <c r="X23" s="18">
        <f>('FS Seychelles'!Z30+'FS Seychelles'!Z36)/30</f>
        <v>0</v>
      </c>
    </row>
    <row r="24" spans="1:24" ht="15">
      <c r="A24" s="1" t="s">
        <v>13</v>
      </c>
      <c r="B24" s="11">
        <f t="shared" si="0"/>
        <v>23</v>
      </c>
      <c r="C24" s="11">
        <f t="shared" si="1"/>
        <v>12</v>
      </c>
      <c r="D24" s="11">
        <v>2022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</f>
        <v>0</v>
      </c>
      <c r="M24" s="18">
        <f>'FS Seychelles'!K25</f>
        <v>0</v>
      </c>
      <c r="N24" s="18">
        <f>'FS Seychelles'!L25</f>
        <v>0</v>
      </c>
      <c r="O24" s="18">
        <f>'FS Seychelles'!M25</f>
        <v>0</v>
      </c>
      <c r="P24" s="18">
        <f>'FS Seychelles'!N25</f>
        <v>0</v>
      </c>
      <c r="Q24" s="18">
        <f>'FS Seychelles'!O25</f>
        <v>0</v>
      </c>
      <c r="R24" s="18">
        <f>'FS Seychelles'!Q25</f>
        <v>0</v>
      </c>
      <c r="S24" s="18">
        <f>'FS Seychelles'!S25</f>
        <v>0</v>
      </c>
      <c r="T24" s="18">
        <f>'FS Seychelles'!T25</f>
        <v>0</v>
      </c>
      <c r="U24" s="18">
        <f>'FS Seychelles'!U25</f>
        <v>0</v>
      </c>
      <c r="V24" s="18">
        <f>'FS Seychelles'!V25</f>
        <v>0</v>
      </c>
      <c r="W24" s="18">
        <f>'FS Seychelles'!W25</f>
        <v>0</v>
      </c>
      <c r="X24" s="18">
        <f>('FS Seychelles'!Z31+'FS Seychelles'!Z37)/30</f>
        <v>0</v>
      </c>
    </row>
    <row r="25" spans="1:24" ht="15">
      <c r="A25" s="1" t="s">
        <v>13</v>
      </c>
      <c r="B25" s="11">
        <f t="shared" si="0"/>
        <v>24</v>
      </c>
      <c r="C25" s="11">
        <f t="shared" si="1"/>
        <v>12</v>
      </c>
      <c r="D25" s="11">
        <v>2022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</f>
        <v>0</v>
      </c>
      <c r="M25" s="18">
        <f>'FS Seychelles'!K26</f>
        <v>0</v>
      </c>
      <c r="N25" s="18">
        <f>'FS Seychelles'!L26</f>
        <v>0</v>
      </c>
      <c r="O25" s="18">
        <f>'FS Seychelles'!M26</f>
        <v>0</v>
      </c>
      <c r="P25" s="18">
        <f>'FS Seychelles'!N26</f>
        <v>0</v>
      </c>
      <c r="Q25" s="18">
        <f>'FS Seychelles'!O26</f>
        <v>0</v>
      </c>
      <c r="R25" s="18">
        <f>'FS Seychelles'!Q26</f>
        <v>0</v>
      </c>
      <c r="S25" s="18">
        <f>'FS Seychelles'!S26</f>
        <v>0</v>
      </c>
      <c r="T25" s="18">
        <f>'FS Seychelles'!T26</f>
        <v>0</v>
      </c>
      <c r="U25" s="18">
        <f>'FS Seychelles'!U26</f>
        <v>0</v>
      </c>
      <c r="V25" s="18">
        <f>'FS Seychelles'!V26</f>
        <v>0</v>
      </c>
      <c r="W25" s="18">
        <f>'FS Seychelles'!W26</f>
        <v>0</v>
      </c>
      <c r="X25" s="18">
        <f>('FS Seychelles'!Z32+'FS Seychelles'!Z38)/30</f>
        <v>0</v>
      </c>
    </row>
    <row r="26" spans="1:24" ht="15">
      <c r="A26" s="1" t="s">
        <v>13</v>
      </c>
      <c r="B26" s="11">
        <f>B25+1</f>
        <v>25</v>
      </c>
      <c r="C26" s="11">
        <f t="shared" si="1"/>
        <v>12</v>
      </c>
      <c r="D26" s="11">
        <v>2022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</f>
        <v>0</v>
      </c>
      <c r="M26" s="18">
        <f>'FS Seychelles'!K27</f>
        <v>0</v>
      </c>
      <c r="N26" s="18">
        <f>'FS Seychelles'!L27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Seychelles'!Q27</f>
        <v>0</v>
      </c>
      <c r="S26" s="18">
        <f>'FS Seychelles'!S27</f>
        <v>0</v>
      </c>
      <c r="T26" s="18">
        <f>'FS Seychelles'!T27</f>
        <v>0</v>
      </c>
      <c r="U26" s="18">
        <f>'FS Seychelles'!U27</f>
        <v>0</v>
      </c>
      <c r="V26" s="18">
        <f>'FS Seychelles'!V27</f>
        <v>0</v>
      </c>
      <c r="W26" s="18">
        <f>'FS Seychelles'!W27</f>
        <v>0</v>
      </c>
      <c r="X26" s="18">
        <f>('FS Seychelles'!Z33+'FS Seychelles'!Z39)/30</f>
        <v>0</v>
      </c>
    </row>
    <row r="27" spans="1:24" ht="15">
      <c r="A27" s="1" t="s">
        <v>13</v>
      </c>
      <c r="B27" s="11">
        <f t="shared" si="0"/>
        <v>26</v>
      </c>
      <c r="C27" s="11">
        <f t="shared" si="1"/>
        <v>12</v>
      </c>
      <c r="D27" s="11">
        <v>2022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</f>
        <v>0</v>
      </c>
      <c r="M27" s="18">
        <f>'FS Seychelles'!K28</f>
        <v>0</v>
      </c>
      <c r="N27" s="18">
        <f>'FS Seychelles'!L28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Seychelles'!Q28</f>
        <v>0</v>
      </c>
      <c r="S27" s="18">
        <f>'FS Seychelles'!S28</f>
        <v>0</v>
      </c>
      <c r="T27" s="18">
        <f>'FS Seychelles'!T28</f>
        <v>0</v>
      </c>
      <c r="U27" s="18">
        <f>'FS Seychelles'!U28</f>
        <v>0</v>
      </c>
      <c r="V27" s="18">
        <f>'FS Seychelles'!V28</f>
        <v>0</v>
      </c>
      <c r="W27" s="18">
        <f>'FS Seychelles'!W28</f>
        <v>0</v>
      </c>
      <c r="X27" s="18">
        <f>('FS Seychelles'!Z34+'FS Seychelles'!Z40)/30</f>
        <v>0</v>
      </c>
    </row>
    <row r="28" spans="1:24" ht="15">
      <c r="A28" s="1" t="s">
        <v>13</v>
      </c>
      <c r="B28" s="11">
        <f t="shared" si="0"/>
        <v>27</v>
      </c>
      <c r="C28" s="11">
        <f t="shared" si="1"/>
        <v>12</v>
      </c>
      <c r="D28" s="11">
        <v>2022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</f>
        <v>0</v>
      </c>
      <c r="M28" s="18">
        <f>'FS Seychelles'!K29</f>
        <v>0</v>
      </c>
      <c r="N28" s="18">
        <f>'FS Seychelles'!L29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Seychelles'!Q29</f>
        <v>0</v>
      </c>
      <c r="S28" s="18">
        <f>'FS Seychelles'!S29</f>
        <v>0</v>
      </c>
      <c r="T28" s="18">
        <f>'FS Seychelles'!T29</f>
        <v>0</v>
      </c>
      <c r="U28" s="18">
        <f>'FS Seychelles'!U29</f>
        <v>0</v>
      </c>
      <c r="V28" s="18">
        <f>'FS Seychelles'!V29</f>
        <v>0</v>
      </c>
      <c r="W28" s="18">
        <f>'FS Seychelles'!W29</f>
        <v>0</v>
      </c>
      <c r="X28" s="18">
        <f>('FS Seychelles'!Z35+'FS Seychelles'!Z41)/30</f>
        <v>0</v>
      </c>
    </row>
    <row r="29" spans="1:24" ht="15">
      <c r="A29" s="1" t="s">
        <v>13</v>
      </c>
      <c r="B29" s="11">
        <f t="shared" si="0"/>
        <v>28</v>
      </c>
      <c r="C29" s="11">
        <f t="shared" si="1"/>
        <v>12</v>
      </c>
      <c r="D29" s="11">
        <v>2022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</f>
        <v>0</v>
      </c>
      <c r="M29" s="18">
        <f>'FS Seychelles'!K30</f>
        <v>0</v>
      </c>
      <c r="N29" s="18">
        <f>'FS Seychelles'!L30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Seychelles'!Q30</f>
        <v>0</v>
      </c>
      <c r="S29" s="18">
        <f>'FS Seychelles'!S30</f>
        <v>0</v>
      </c>
      <c r="T29" s="18">
        <f>'FS Seychelles'!T30</f>
        <v>0</v>
      </c>
      <c r="U29" s="18">
        <f>'FS Seychelles'!U30</f>
        <v>0</v>
      </c>
      <c r="V29" s="18">
        <f>'FS Seychelles'!V30</f>
        <v>0</v>
      </c>
      <c r="W29" s="18">
        <f>'FS Seychelles'!W30</f>
        <v>0</v>
      </c>
      <c r="X29" s="18">
        <f>('FS Seychelles'!Z36+'FS Seychelles'!Z42)/30</f>
        <v>0</v>
      </c>
    </row>
    <row r="30" spans="1:24" ht="15">
      <c r="A30" s="1" t="s">
        <v>13</v>
      </c>
      <c r="B30" s="11">
        <f t="shared" si="0"/>
        <v>29</v>
      </c>
      <c r="C30" s="11">
        <f t="shared" si="1"/>
        <v>12</v>
      </c>
      <c r="D30" s="11">
        <v>2022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</f>
        <v>0</v>
      </c>
      <c r="M30" s="18">
        <f>'FS Seychelles'!K31</f>
        <v>0</v>
      </c>
      <c r="N30" s="18">
        <f>'FS Seychelles'!L31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Seychelles'!Q31</f>
        <v>0</v>
      </c>
      <c r="S30" s="18">
        <f>'FS Seychelles'!S31</f>
        <v>0</v>
      </c>
      <c r="T30" s="18">
        <f>'FS Seychelles'!T31</f>
        <v>0</v>
      </c>
      <c r="U30" s="18">
        <f>'FS Seychelles'!U31</f>
        <v>0</v>
      </c>
      <c r="V30" s="18">
        <f>'FS Seychelles'!V31</f>
        <v>0</v>
      </c>
      <c r="W30" s="18">
        <f>'FS Seychelles'!W31</f>
        <v>0</v>
      </c>
      <c r="X30" s="18">
        <f>('FS Seychelles'!Z37+'FS Seychelles'!Z43)/30</f>
        <v>0</v>
      </c>
    </row>
    <row r="31" spans="1:24" ht="15">
      <c r="A31" s="1" t="s">
        <v>13</v>
      </c>
      <c r="B31" s="11">
        <f t="shared" si="0"/>
        <v>30</v>
      </c>
      <c r="C31" s="11">
        <f t="shared" si="1"/>
        <v>12</v>
      </c>
      <c r="D31" s="11">
        <v>2022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</f>
        <v>0</v>
      </c>
      <c r="M31" s="18">
        <f>'FS Seychelles'!K32</f>
        <v>0</v>
      </c>
      <c r="N31" s="18">
        <f>'FS Seychelles'!L32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Seychelles'!Q32</f>
        <v>0</v>
      </c>
      <c r="S31" s="18">
        <f>'FS Seychelles'!S32</f>
        <v>0</v>
      </c>
      <c r="T31" s="18">
        <f>'FS Seychelles'!T32</f>
        <v>0</v>
      </c>
      <c r="U31" s="18">
        <f>'FS Seychelles'!U32</f>
        <v>0</v>
      </c>
      <c r="V31" s="18">
        <f>'FS Seychelles'!V32</f>
        <v>0</v>
      </c>
      <c r="W31" s="18">
        <f>'FS Seychelles'!W32</f>
        <v>0</v>
      </c>
      <c r="X31" s="18">
        <f>('FS Seychelles'!Z38+'FS Seychelles'!Z44)/30</f>
        <v>0</v>
      </c>
    </row>
    <row r="32" spans="1:24" ht="15">
      <c r="A32" s="1" t="s">
        <v>13</v>
      </c>
      <c r="B32" s="11">
        <v>31</v>
      </c>
      <c r="C32" s="11">
        <v>12</v>
      </c>
      <c r="D32" s="11">
        <v>2022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</row>
    <row r="33" ht="15"/>
    <row r="35" ht="1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6"/>
  <sheetViews>
    <sheetView showGridLines="0" tabSelected="1" zoomScaleNormal="100" workbookViewId="0">
      <pane xSplit="1" topLeftCell="B1" activePane="topRight" state="frozen"/>
      <selection pane="topRight" activeCell="C14" sqref="C14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6" width="9.140625" style="33"/>
    <col min="7" max="7" width="10.28515625" style="33" customWidth="1"/>
    <col min="8" max="8" width="9.140625" style="33"/>
    <col min="9" max="9" width="10.7109375" style="33" customWidth="1"/>
    <col min="10" max="10" width="13.42578125" style="19" customWidth="1"/>
    <col min="11" max="11" width="11.42578125" style="19" customWidth="1"/>
    <col min="12" max="12" width="11.7109375" style="19" customWidth="1"/>
    <col min="13" max="13" width="11.5703125" style="19" customWidth="1"/>
    <col min="14" max="14" width="11.7109375" style="19" customWidth="1"/>
    <col min="15" max="18" width="12" style="19" customWidth="1"/>
    <col min="19" max="23" width="11.28515625" style="19" customWidth="1"/>
    <col min="24" max="24" width="13.5703125" style="31" customWidth="1"/>
    <col min="25" max="26" width="9.140625" style="31"/>
    <col min="27" max="28" width="12.85546875" style="19" customWidth="1"/>
    <col min="29" max="29" width="29.85546875" style="19" customWidth="1"/>
    <col min="30" max="16384" width="9.140625" style="19"/>
  </cols>
  <sheetData>
    <row r="1" spans="1:30" ht="12.75">
      <c r="B1" s="122"/>
      <c r="D1" s="177"/>
      <c r="E1" s="177"/>
      <c r="F1" s="177"/>
      <c r="G1" s="177"/>
      <c r="H1" s="177"/>
      <c r="I1" s="177"/>
      <c r="T1" s="31"/>
    </row>
    <row r="2" spans="1:30" s="22" customFormat="1" ht="31.5" customHeight="1">
      <c r="A2" s="123" t="s">
        <v>33</v>
      </c>
      <c r="B2" s="124" t="s">
        <v>34</v>
      </c>
      <c r="C2" s="125" t="s">
        <v>35</v>
      </c>
      <c r="D2" s="126" t="s">
        <v>36</v>
      </c>
      <c r="E2" s="42" t="s">
        <v>37</v>
      </c>
      <c r="F2" s="42" t="s">
        <v>38</v>
      </c>
      <c r="G2" s="42" t="s">
        <v>39</v>
      </c>
      <c r="H2" s="42" t="s">
        <v>40</v>
      </c>
      <c r="I2" s="42" t="s">
        <v>41</v>
      </c>
      <c r="J2" s="43" t="s">
        <v>42</v>
      </c>
      <c r="K2" s="35" t="s">
        <v>43</v>
      </c>
      <c r="L2" s="35" t="s">
        <v>44</v>
      </c>
      <c r="M2" s="35" t="s">
        <v>45</v>
      </c>
      <c r="N2" s="35" t="s">
        <v>46</v>
      </c>
      <c r="O2" s="36" t="s">
        <v>47</v>
      </c>
      <c r="P2" s="36" t="s">
        <v>48</v>
      </c>
      <c r="Q2" s="36" t="s">
        <v>49</v>
      </c>
      <c r="R2" s="36" t="s">
        <v>50</v>
      </c>
      <c r="S2" s="34" t="s">
        <v>51</v>
      </c>
      <c r="T2" s="34" t="s">
        <v>52</v>
      </c>
      <c r="U2" s="34" t="s">
        <v>53</v>
      </c>
      <c r="V2" s="34" t="s">
        <v>54</v>
      </c>
      <c r="W2" s="47" t="s">
        <v>55</v>
      </c>
      <c r="X2" s="178" t="s">
        <v>6</v>
      </c>
      <c r="Y2" s="179"/>
      <c r="Z2" s="180"/>
      <c r="AA2" s="79" t="s">
        <v>56</v>
      </c>
      <c r="AB2" s="118" t="s">
        <v>57</v>
      </c>
      <c r="AC2" s="119" t="s">
        <v>58</v>
      </c>
    </row>
    <row r="3" spans="1:30" ht="15" customHeight="1">
      <c r="A3" s="127">
        <v>44896</v>
      </c>
      <c r="B3" s="128">
        <v>55.8</v>
      </c>
      <c r="C3" s="128">
        <v>345</v>
      </c>
      <c r="D3" s="150">
        <f>'EMS Gridvis'!B2</f>
        <v>3.07</v>
      </c>
      <c r="E3" s="150">
        <f>'EMS Gridvis'!C2</f>
        <v>4.4000000000000004</v>
      </c>
      <c r="F3" s="150">
        <f>'EMS Gridvis'!D2</f>
        <v>5.88</v>
      </c>
      <c r="G3" s="150">
        <f>'EMS Gridvis'!H2</f>
        <v>1.53</v>
      </c>
      <c r="H3" s="150">
        <f>'EMS Gridvis'!I2</f>
        <v>1.88</v>
      </c>
      <c r="I3" s="150">
        <f>'EMS Gridvis'!J2</f>
        <v>4.01</v>
      </c>
      <c r="J3" s="44">
        <f>Generator!D4</f>
        <v>12787</v>
      </c>
      <c r="K3" s="44">
        <f>Generator!H4</f>
        <v>10907</v>
      </c>
      <c r="L3" s="44">
        <f>Generator!L4</f>
        <v>5248</v>
      </c>
      <c r="M3" s="44">
        <f>Generator!P4</f>
        <v>0</v>
      </c>
      <c r="N3" s="44">
        <f>Generator!T4</f>
        <v>7520</v>
      </c>
      <c r="O3" s="21"/>
      <c r="P3" s="21">
        <f>23.84/13.49</f>
        <v>1.7672349888806522</v>
      </c>
      <c r="Q3" s="21"/>
      <c r="R3" s="21">
        <v>1.84</v>
      </c>
      <c r="S3" s="30">
        <f>'RO Plant'!B4</f>
        <v>60</v>
      </c>
      <c r="T3" s="30">
        <f>'RO Plant'!E4</f>
        <v>152</v>
      </c>
      <c r="U3" s="30">
        <f>'RO Plant'!F4</f>
        <v>71</v>
      </c>
      <c r="V3" s="30">
        <f>'RO Plant'!I4</f>
        <v>100</v>
      </c>
      <c r="W3" s="30">
        <f>'RO Plant'!G4</f>
        <v>0</v>
      </c>
      <c r="X3" s="181" t="s">
        <v>59</v>
      </c>
      <c r="Y3" s="182"/>
      <c r="Z3" s="183"/>
      <c r="AA3" s="46">
        <f>AB3-AC3</f>
        <v>103</v>
      </c>
      <c r="AB3" s="143">
        <v>54476</v>
      </c>
      <c r="AC3" s="46">
        <v>54373</v>
      </c>
      <c r="AD3" s="137">
        <v>44895</v>
      </c>
    </row>
    <row r="4" spans="1:30" ht="12.75" customHeight="1">
      <c r="A4" s="127">
        <v>44897</v>
      </c>
      <c r="B4" s="41">
        <v>59.7</v>
      </c>
      <c r="C4" s="41">
        <v>402</v>
      </c>
      <c r="D4" s="150">
        <f>'EMS Gridvis'!B3</f>
        <v>2.48</v>
      </c>
      <c r="E4" s="150">
        <f>'EMS Gridvis'!C3</f>
        <v>3.87</v>
      </c>
      <c r="F4" s="150">
        <f>'EMS Gridvis'!D3</f>
        <v>5.37</v>
      </c>
      <c r="G4" s="150">
        <f>'EMS Gridvis'!H3</f>
        <v>1.45</v>
      </c>
      <c r="H4" s="150">
        <f>'EMS Gridvis'!I3</f>
        <v>1.71</v>
      </c>
      <c r="I4" s="150">
        <f>'EMS Gridvis'!J3</f>
        <v>3.82</v>
      </c>
      <c r="J4" s="44">
        <f>Generator!D5</f>
        <v>5363</v>
      </c>
      <c r="K4" s="44">
        <f>Generator!H5</f>
        <v>10782</v>
      </c>
      <c r="L4" s="44">
        <f>Generator!L5</f>
        <v>5378</v>
      </c>
      <c r="M4" s="44">
        <f>Generator!P5</f>
        <v>0</v>
      </c>
      <c r="N4" s="44">
        <f>Generator!T5</f>
        <v>10802</v>
      </c>
      <c r="O4" s="21"/>
      <c r="P4" s="21">
        <f t="shared" ref="P4:P33" si="0">23.94/13.49</f>
        <v>1.7746478873239437</v>
      </c>
      <c r="Q4" s="21"/>
      <c r="R4" s="21">
        <v>1.84</v>
      </c>
      <c r="S4" s="30">
        <f>'RO Plant'!B5</f>
        <v>58</v>
      </c>
      <c r="T4" s="30">
        <f>'RO Plant'!E5</f>
        <v>97</v>
      </c>
      <c r="U4" s="30">
        <f>'RO Plant'!F5</f>
        <v>75</v>
      </c>
      <c r="V4" s="30">
        <f>'RO Plant'!I5</f>
        <v>100</v>
      </c>
      <c r="W4" s="30">
        <f>'RO Plant'!G5</f>
        <v>0</v>
      </c>
      <c r="X4" s="59" t="s">
        <v>60</v>
      </c>
      <c r="Y4" s="32" t="s">
        <v>61</v>
      </c>
      <c r="Z4" s="73" t="s">
        <v>62</v>
      </c>
      <c r="AA4" s="46">
        <f>AB4-AB3</f>
        <v>136</v>
      </c>
      <c r="AB4" s="144">
        <v>54612</v>
      </c>
      <c r="AC4" s="46"/>
    </row>
    <row r="5" spans="1:30" ht="12.75">
      <c r="A5" s="127">
        <v>44898</v>
      </c>
      <c r="B5" s="41">
        <v>57.1</v>
      </c>
      <c r="C5" s="41">
        <v>402</v>
      </c>
      <c r="D5" s="150">
        <f>'EMS Gridvis'!B4</f>
        <v>2.94</v>
      </c>
      <c r="E5" s="150">
        <f>'EMS Gridvis'!C4</f>
        <v>4.32</v>
      </c>
      <c r="F5" s="150">
        <f>'EMS Gridvis'!D4</f>
        <v>5.75</v>
      </c>
      <c r="G5" s="150">
        <f>'EMS Gridvis'!H4</f>
        <v>1.44</v>
      </c>
      <c r="H5" s="150">
        <f>'EMS Gridvis'!I4</f>
        <v>1.77</v>
      </c>
      <c r="I5" s="150">
        <f>'EMS Gridvis'!J4</f>
        <v>3.84</v>
      </c>
      <c r="J5" s="44">
        <f>Generator!D6</f>
        <v>8388</v>
      </c>
      <c r="K5" s="44">
        <f>Generator!H6</f>
        <v>6931</v>
      </c>
      <c r="L5" s="44">
        <f>Generator!L6</f>
        <v>11861</v>
      </c>
      <c r="M5" s="44">
        <f>Generator!P6</f>
        <v>0</v>
      </c>
      <c r="N5" s="44">
        <f>Generator!T6</f>
        <v>5766</v>
      </c>
      <c r="O5" s="21"/>
      <c r="P5" s="21">
        <f t="shared" si="0"/>
        <v>1.7746478873239437</v>
      </c>
      <c r="Q5" s="21"/>
      <c r="R5" s="21">
        <v>1.84</v>
      </c>
      <c r="S5" s="30">
        <f>'RO Plant'!B6</f>
        <v>57</v>
      </c>
      <c r="T5" s="30">
        <f>'RO Plant'!E6</f>
        <v>67</v>
      </c>
      <c r="U5" s="30">
        <f>'RO Plant'!F6</f>
        <v>87</v>
      </c>
      <c r="V5" s="30">
        <f>'RO Plant'!I6</f>
        <v>102</v>
      </c>
      <c r="W5" s="30">
        <f>'RO Plant'!G6</f>
        <v>0</v>
      </c>
      <c r="X5" s="60">
        <v>9</v>
      </c>
      <c r="Y5" s="75">
        <v>0</v>
      </c>
      <c r="Z5" s="68">
        <f>X5*Y5</f>
        <v>0</v>
      </c>
      <c r="AA5" s="46">
        <f>AB5-AB4</f>
        <v>109</v>
      </c>
      <c r="AB5" s="144">
        <v>54721</v>
      </c>
      <c r="AC5" s="46"/>
    </row>
    <row r="6" spans="1:30" ht="12.75">
      <c r="A6" s="127">
        <v>44899</v>
      </c>
      <c r="B6" s="41">
        <v>40.299999999999997</v>
      </c>
      <c r="C6" s="41">
        <v>315</v>
      </c>
      <c r="D6" s="150">
        <f>'EMS Gridvis'!B5</f>
        <v>3.08</v>
      </c>
      <c r="E6" s="150">
        <f>'EMS Gridvis'!C5</f>
        <v>4.45</v>
      </c>
      <c r="F6" s="150">
        <f>'EMS Gridvis'!D5</f>
        <v>5.48</v>
      </c>
      <c r="G6" s="150">
        <f>'EMS Gridvis'!H5</f>
        <v>1.23</v>
      </c>
      <c r="H6" s="150">
        <f>'EMS Gridvis'!I5</f>
        <v>1.69</v>
      </c>
      <c r="I6" s="150">
        <f>'EMS Gridvis'!J5</f>
        <v>3.63</v>
      </c>
      <c r="J6" s="44">
        <f>Generator!D7</f>
        <v>10905</v>
      </c>
      <c r="K6" s="44">
        <f>Generator!H7</f>
        <v>8754</v>
      </c>
      <c r="L6" s="44">
        <f>Generator!L7</f>
        <v>7905</v>
      </c>
      <c r="M6" s="44">
        <f>Generator!P7</f>
        <v>0</v>
      </c>
      <c r="N6" s="44">
        <f>Generator!T7</f>
        <v>8073</v>
      </c>
      <c r="O6" s="21"/>
      <c r="P6" s="21">
        <f t="shared" si="0"/>
        <v>1.7746478873239437</v>
      </c>
      <c r="Q6" s="21"/>
      <c r="R6" s="21">
        <v>1.84</v>
      </c>
      <c r="S6" s="30">
        <f>'RO Plant'!B7</f>
        <v>71</v>
      </c>
      <c r="T6" s="30">
        <f>'RO Plant'!E7</f>
        <v>145</v>
      </c>
      <c r="U6" s="30">
        <f>'RO Plant'!F7</f>
        <v>63</v>
      </c>
      <c r="V6" s="30">
        <f>'RO Plant'!I7</f>
        <v>98</v>
      </c>
      <c r="W6" s="30">
        <f>'RO Plant'!G7</f>
        <v>0</v>
      </c>
      <c r="X6" s="60">
        <v>10</v>
      </c>
      <c r="Y6" s="75">
        <v>0</v>
      </c>
      <c r="Z6" s="68">
        <f>X6*Y6</f>
        <v>0</v>
      </c>
      <c r="AA6" s="46">
        <f>AB6-AB5</f>
        <v>97</v>
      </c>
      <c r="AB6" s="144">
        <v>54818</v>
      </c>
      <c r="AC6" s="46"/>
    </row>
    <row r="7" spans="1:30" ht="12.75">
      <c r="A7" s="127">
        <v>44900</v>
      </c>
      <c r="B7" s="41">
        <v>39</v>
      </c>
      <c r="C7" s="41">
        <v>206</v>
      </c>
      <c r="D7" s="150">
        <f>'EMS Gridvis'!B6</f>
        <v>3.24</v>
      </c>
      <c r="E7" s="150">
        <f>'EMS Gridvis'!C6</f>
        <v>4.32</v>
      </c>
      <c r="F7" s="150">
        <f>'EMS Gridvis'!D6</f>
        <v>5.48</v>
      </c>
      <c r="G7" s="150">
        <f>'EMS Gridvis'!H6</f>
        <v>1.1399999999999999</v>
      </c>
      <c r="H7" s="150">
        <f>'EMS Gridvis'!I6</f>
        <v>1.74</v>
      </c>
      <c r="I7" s="150">
        <f>'EMS Gridvis'!J6</f>
        <v>3.77</v>
      </c>
      <c r="J7" s="44">
        <f>Generator!D8</f>
        <v>5104</v>
      </c>
      <c r="K7" s="44">
        <f>Generator!H8</f>
        <v>15185</v>
      </c>
      <c r="L7" s="44">
        <f>Generator!L8</f>
        <v>8249</v>
      </c>
      <c r="M7" s="44">
        <f>Generator!P8</f>
        <v>0</v>
      </c>
      <c r="N7" s="44">
        <f>Generator!T8</f>
        <v>4060</v>
      </c>
      <c r="O7" s="21"/>
      <c r="P7" s="21">
        <f t="shared" si="0"/>
        <v>1.7746478873239437</v>
      </c>
      <c r="Q7" s="21"/>
      <c r="R7" s="21">
        <v>1.84</v>
      </c>
      <c r="S7" s="30">
        <f>'RO Plant'!B8</f>
        <v>60</v>
      </c>
      <c r="T7" s="30">
        <f>'RO Plant'!E8</f>
        <v>155</v>
      </c>
      <c r="U7" s="30">
        <f>'RO Plant'!F8</f>
        <v>71</v>
      </c>
      <c r="V7" s="30">
        <f>'RO Plant'!I8</f>
        <v>101</v>
      </c>
      <c r="W7" s="30">
        <f>'RO Plant'!G8</f>
        <v>0</v>
      </c>
      <c r="X7" s="61">
        <v>12</v>
      </c>
      <c r="Y7" s="76">
        <v>0</v>
      </c>
      <c r="Z7" s="120">
        <f t="shared" ref="Z6:Z9" si="1">X7*Y7</f>
        <v>0</v>
      </c>
      <c r="AA7" s="46">
        <f>AB7-AB6</f>
        <v>58</v>
      </c>
      <c r="AB7" s="144">
        <v>54876</v>
      </c>
      <c r="AC7" s="46"/>
    </row>
    <row r="8" spans="1:30" ht="12.75">
      <c r="A8" s="127">
        <v>44901</v>
      </c>
      <c r="B8" s="41"/>
      <c r="C8" s="41"/>
      <c r="D8" s="150">
        <f>'EMS Gridvis'!B7</f>
        <v>0</v>
      </c>
      <c r="E8" s="150">
        <f>'EMS Gridvis'!C7</f>
        <v>0</v>
      </c>
      <c r="F8" s="150">
        <f>'EMS Gridvis'!D7</f>
        <v>0</v>
      </c>
      <c r="G8" s="150">
        <f>'EMS Gridvis'!H7</f>
        <v>0</v>
      </c>
      <c r="H8" s="150">
        <f>'EMS Gridvis'!I7</f>
        <v>0</v>
      </c>
      <c r="I8" s="150">
        <f>'EMS Gridvis'!J7</f>
        <v>0</v>
      </c>
      <c r="J8" s="44">
        <f>Generator!D9</f>
        <v>0</v>
      </c>
      <c r="K8" s="44">
        <f>Generator!H9</f>
        <v>0</v>
      </c>
      <c r="L8" s="44">
        <f>Generator!L9</f>
        <v>0</v>
      </c>
      <c r="M8" s="44">
        <f>Generator!P9</f>
        <v>0</v>
      </c>
      <c r="N8" s="44">
        <f>Generator!T9</f>
        <v>0</v>
      </c>
      <c r="O8" s="21"/>
      <c r="P8" s="21">
        <f t="shared" si="0"/>
        <v>1.7746478873239437</v>
      </c>
      <c r="Q8" s="21"/>
      <c r="R8" s="21">
        <v>1.84</v>
      </c>
      <c r="S8" s="30">
        <f>'RO Plant'!B9</f>
        <v>0</v>
      </c>
      <c r="T8" s="30">
        <f>'RO Plant'!E9</f>
        <v>0</v>
      </c>
      <c r="U8" s="30">
        <f>'RO Plant'!F9</f>
        <v>0</v>
      </c>
      <c r="V8" s="30">
        <f>'RO Plant'!I9</f>
        <v>0</v>
      </c>
      <c r="W8" s="30">
        <f>'RO Plant'!G9</f>
        <v>0</v>
      </c>
      <c r="X8" s="55">
        <v>20</v>
      </c>
      <c r="Y8" s="76">
        <v>0</v>
      </c>
      <c r="Z8" s="68">
        <f t="shared" si="1"/>
        <v>0</v>
      </c>
      <c r="AA8" s="46">
        <f>AB8-AB7</f>
        <v>56</v>
      </c>
      <c r="AB8" s="144">
        <v>54932</v>
      </c>
      <c r="AC8" s="46"/>
    </row>
    <row r="9" spans="1:30" ht="15" customHeight="1">
      <c r="A9" s="127">
        <v>44902</v>
      </c>
      <c r="B9" s="41"/>
      <c r="C9" s="41"/>
      <c r="D9" s="150">
        <f>'EMS Gridvis'!B8</f>
        <v>0</v>
      </c>
      <c r="E9" s="150">
        <f>'EMS Gridvis'!C8</f>
        <v>0</v>
      </c>
      <c r="F9" s="150">
        <f>'EMS Gridvis'!D8</f>
        <v>0</v>
      </c>
      <c r="G9" s="150">
        <f>'EMS Gridvis'!H8</f>
        <v>0</v>
      </c>
      <c r="H9" s="150">
        <f>'EMS Gridvis'!I8</f>
        <v>0</v>
      </c>
      <c r="I9" s="150">
        <f>'EMS Gridvis'!J8</f>
        <v>0</v>
      </c>
      <c r="J9" s="44">
        <f>Generator!D10</f>
        <v>0</v>
      </c>
      <c r="K9" s="44">
        <f>Generator!H10</f>
        <v>0</v>
      </c>
      <c r="L9" s="44">
        <f>Generator!L10</f>
        <v>0</v>
      </c>
      <c r="M9" s="44">
        <f>Generator!P10</f>
        <v>0</v>
      </c>
      <c r="N9" s="44">
        <f>Generator!T10</f>
        <v>0</v>
      </c>
      <c r="O9" s="21"/>
      <c r="P9" s="21">
        <f t="shared" si="0"/>
        <v>1.7746478873239437</v>
      </c>
      <c r="Q9" s="21"/>
      <c r="R9" s="21">
        <v>1.84</v>
      </c>
      <c r="S9" s="30">
        <f>'RO Plant'!B10</f>
        <v>0</v>
      </c>
      <c r="T9" s="30">
        <f>'RO Plant'!E10</f>
        <v>0</v>
      </c>
      <c r="U9" s="30">
        <f>'RO Plant'!F10</f>
        <v>0</v>
      </c>
      <c r="V9" s="30">
        <f>'RO Plant'!I10</f>
        <v>0</v>
      </c>
      <c r="W9" s="30">
        <f>'RO Plant'!G10</f>
        <v>0</v>
      </c>
      <c r="X9" s="55">
        <v>24</v>
      </c>
      <c r="Y9" s="76">
        <v>0</v>
      </c>
      <c r="Z9" s="68">
        <f t="shared" si="1"/>
        <v>0</v>
      </c>
      <c r="AA9" s="46">
        <f>AB9-AB8</f>
        <v>-54932</v>
      </c>
      <c r="AB9" s="144"/>
      <c r="AC9" s="46"/>
    </row>
    <row r="10" spans="1:30" ht="15.75" customHeight="1">
      <c r="A10" s="127">
        <v>44903</v>
      </c>
      <c r="B10" s="41"/>
      <c r="C10" s="41"/>
      <c r="D10" s="150">
        <f>'EMS Gridvis'!B9</f>
        <v>0</v>
      </c>
      <c r="E10" s="150">
        <f>'EMS Gridvis'!C9</f>
        <v>0</v>
      </c>
      <c r="F10" s="150">
        <f>'EMS Gridvis'!D9</f>
        <v>0</v>
      </c>
      <c r="G10" s="150">
        <f>'EMS Gridvis'!H9</f>
        <v>0</v>
      </c>
      <c r="H10" s="150">
        <f>'EMS Gridvis'!I9</f>
        <v>0</v>
      </c>
      <c r="I10" s="150">
        <f>'EMS Gridvis'!J9</f>
        <v>0</v>
      </c>
      <c r="J10" s="44">
        <f>Generator!D11</f>
        <v>0</v>
      </c>
      <c r="K10" s="44">
        <f>Generator!H11</f>
        <v>0</v>
      </c>
      <c r="L10" s="44">
        <f>Generator!L11</f>
        <v>0</v>
      </c>
      <c r="M10" s="44">
        <f>Generator!P11</f>
        <v>0</v>
      </c>
      <c r="N10" s="44">
        <f>Generator!T11</f>
        <v>0</v>
      </c>
      <c r="O10" s="21"/>
      <c r="P10" s="21">
        <f t="shared" si="0"/>
        <v>1.7746478873239437</v>
      </c>
      <c r="Q10" s="21"/>
      <c r="R10" s="21">
        <v>1.84</v>
      </c>
      <c r="S10" s="30">
        <f>'RO Plant'!B11</f>
        <v>0</v>
      </c>
      <c r="T10" s="30">
        <f>'RO Plant'!E11</f>
        <v>0</v>
      </c>
      <c r="U10" s="30">
        <f>'RO Plant'!F11</f>
        <v>0</v>
      </c>
      <c r="V10" s="30">
        <f>'RO Plant'!I11</f>
        <v>0</v>
      </c>
      <c r="W10" s="30">
        <f>'RO Plant'!G11</f>
        <v>0</v>
      </c>
      <c r="X10" s="62"/>
      <c r="Y10" s="54" t="s">
        <v>63</v>
      </c>
      <c r="Z10" s="55">
        <f>SUM(Z5:Z9)</f>
        <v>0</v>
      </c>
      <c r="AA10" s="46"/>
      <c r="AB10" s="144"/>
      <c r="AC10" s="46"/>
    </row>
    <row r="11" spans="1:30" ht="15" customHeight="1">
      <c r="A11" s="127">
        <v>44904</v>
      </c>
      <c r="B11" s="41"/>
      <c r="C11" s="41"/>
      <c r="D11" s="150">
        <f>'EMS Gridvis'!B10</f>
        <v>0</v>
      </c>
      <c r="E11" s="150">
        <f>'EMS Gridvis'!C10</f>
        <v>0</v>
      </c>
      <c r="F11" s="150">
        <f>'EMS Gridvis'!D10</f>
        <v>0</v>
      </c>
      <c r="G11" s="150">
        <f>'EMS Gridvis'!H10</f>
        <v>0</v>
      </c>
      <c r="H11" s="150">
        <f>'EMS Gridvis'!I10</f>
        <v>0</v>
      </c>
      <c r="I11" s="150">
        <f>'EMS Gridvis'!J10</f>
        <v>0</v>
      </c>
      <c r="J11" s="44">
        <f>Generator!D12</f>
        <v>0</v>
      </c>
      <c r="K11" s="44">
        <f>Generator!H12</f>
        <v>0</v>
      </c>
      <c r="L11" s="44">
        <f>Generator!L12</f>
        <v>0</v>
      </c>
      <c r="M11" s="44">
        <f>Generator!P12</f>
        <v>0</v>
      </c>
      <c r="N11" s="44">
        <f>Generator!T12</f>
        <v>0</v>
      </c>
      <c r="O11" s="21"/>
      <c r="P11" s="21">
        <f t="shared" si="0"/>
        <v>1.7746478873239437</v>
      </c>
      <c r="Q11" s="21"/>
      <c r="R11" s="21">
        <v>1.84</v>
      </c>
      <c r="S11" s="30">
        <f>'RO Plant'!B12</f>
        <v>0</v>
      </c>
      <c r="T11" s="30">
        <f>'RO Plant'!E12</f>
        <v>0</v>
      </c>
      <c r="U11" s="30">
        <f>'RO Plant'!F12</f>
        <v>0</v>
      </c>
      <c r="V11" s="30">
        <f>'RO Plant'!I12</f>
        <v>0</v>
      </c>
      <c r="W11" s="30">
        <f>'RO Plant'!G12</f>
        <v>0</v>
      </c>
      <c r="X11" s="184" t="s">
        <v>64</v>
      </c>
      <c r="Y11" s="185"/>
      <c r="Z11" s="186"/>
      <c r="AA11" s="46">
        <f>AB12+AB11</f>
        <v>0</v>
      </c>
      <c r="AB11" s="144"/>
      <c r="AC11" s="46"/>
    </row>
    <row r="12" spans="1:30" ht="15" customHeight="1">
      <c r="A12" s="127">
        <v>44905</v>
      </c>
      <c r="B12" s="41"/>
      <c r="C12" s="41"/>
      <c r="D12" s="150">
        <f>'EMS Gridvis'!B11</f>
        <v>0</v>
      </c>
      <c r="E12" s="150">
        <f>'EMS Gridvis'!C11</f>
        <v>0</v>
      </c>
      <c r="F12" s="150">
        <f>'EMS Gridvis'!D11</f>
        <v>0</v>
      </c>
      <c r="G12" s="150">
        <f>'EMS Gridvis'!H11</f>
        <v>0</v>
      </c>
      <c r="H12" s="150">
        <f>'EMS Gridvis'!I11</f>
        <v>0</v>
      </c>
      <c r="I12" s="150">
        <f>'EMS Gridvis'!J11</f>
        <v>0</v>
      </c>
      <c r="J12" s="44">
        <f>Generator!D13</f>
        <v>0</v>
      </c>
      <c r="K12" s="44">
        <f>Generator!H13</f>
        <v>0</v>
      </c>
      <c r="L12" s="44">
        <f>Generator!L13</f>
        <v>0</v>
      </c>
      <c r="M12" s="44">
        <f>Generator!P13</f>
        <v>0</v>
      </c>
      <c r="N12" s="44">
        <f>Generator!T13</f>
        <v>0</v>
      </c>
      <c r="O12" s="21"/>
      <c r="P12" s="21">
        <f t="shared" si="0"/>
        <v>1.7746478873239437</v>
      </c>
      <c r="Q12" s="21"/>
      <c r="R12" s="21">
        <v>1.84</v>
      </c>
      <c r="S12" s="30">
        <f>'RO Plant'!B13</f>
        <v>0</v>
      </c>
      <c r="T12" s="30">
        <f>'RO Plant'!E13</f>
        <v>0</v>
      </c>
      <c r="U12" s="30">
        <f>'RO Plant'!F13</f>
        <v>0</v>
      </c>
      <c r="V12" s="30">
        <f>'RO Plant'!I13</f>
        <v>0</v>
      </c>
      <c r="W12" s="30">
        <f>'RO Plant'!G13</f>
        <v>0</v>
      </c>
      <c r="X12" s="63"/>
      <c r="Y12" s="187" t="s">
        <v>65</v>
      </c>
      <c r="Z12" s="188"/>
      <c r="AA12" s="46">
        <f t="shared" ref="AA8:AA33" si="2">AB12-AB11</f>
        <v>0</v>
      </c>
      <c r="AB12" s="144"/>
      <c r="AC12" s="46"/>
    </row>
    <row r="13" spans="1:30" ht="15" customHeight="1">
      <c r="A13" s="127">
        <v>44906</v>
      </c>
      <c r="B13" s="41"/>
      <c r="C13" s="41"/>
      <c r="D13" s="150">
        <f>'EMS Gridvis'!B12</f>
        <v>0</v>
      </c>
      <c r="E13" s="150">
        <f>'EMS Gridvis'!C12</f>
        <v>0</v>
      </c>
      <c r="F13" s="150">
        <f>'EMS Gridvis'!D12</f>
        <v>0</v>
      </c>
      <c r="G13" s="150">
        <f>'EMS Gridvis'!H12</f>
        <v>0</v>
      </c>
      <c r="H13" s="150">
        <f>'EMS Gridvis'!I12</f>
        <v>0</v>
      </c>
      <c r="I13" s="150">
        <f>'EMS Gridvis'!J12</f>
        <v>0</v>
      </c>
      <c r="J13" s="44">
        <f>Generator!D14</f>
        <v>0</v>
      </c>
      <c r="K13" s="44">
        <f>Generator!H14</f>
        <v>0</v>
      </c>
      <c r="L13" s="44">
        <f>Generator!L14</f>
        <v>0</v>
      </c>
      <c r="M13" s="44">
        <f>Generator!P14</f>
        <v>0</v>
      </c>
      <c r="N13" s="44">
        <f>Generator!T14</f>
        <v>0</v>
      </c>
      <c r="O13" s="21"/>
      <c r="P13" s="21">
        <f t="shared" si="0"/>
        <v>1.7746478873239437</v>
      </c>
      <c r="Q13" s="21"/>
      <c r="R13" s="21">
        <v>1.84</v>
      </c>
      <c r="S13" s="30">
        <f>'RO Plant'!B14</f>
        <v>0</v>
      </c>
      <c r="T13" s="30">
        <f>'RO Plant'!E14</f>
        <v>0</v>
      </c>
      <c r="U13" s="30">
        <f>'RO Plant'!F14</f>
        <v>0</v>
      </c>
      <c r="V13" s="30">
        <f>'RO Plant'!I14</f>
        <v>0</v>
      </c>
      <c r="W13" s="30">
        <f>'RO Plant'!G14</f>
        <v>0</v>
      </c>
      <c r="X13" s="64" t="s">
        <v>66</v>
      </c>
      <c r="Y13" s="170">
        <v>0</v>
      </c>
      <c r="Z13" s="171"/>
      <c r="AA13" s="46">
        <f t="shared" si="2"/>
        <v>0</v>
      </c>
      <c r="AB13" s="144"/>
      <c r="AC13" s="46"/>
    </row>
    <row r="14" spans="1:30" ht="15" customHeight="1">
      <c r="A14" s="127">
        <v>44907</v>
      </c>
      <c r="B14" s="41"/>
      <c r="C14" s="41"/>
      <c r="D14" s="150">
        <f>'EMS Gridvis'!B13</f>
        <v>0</v>
      </c>
      <c r="E14" s="150">
        <f>'EMS Gridvis'!C13</f>
        <v>0</v>
      </c>
      <c r="F14" s="150">
        <f>'EMS Gridvis'!D13</f>
        <v>0</v>
      </c>
      <c r="G14" s="150">
        <f>'EMS Gridvis'!H13</f>
        <v>0</v>
      </c>
      <c r="H14" s="150">
        <f>'EMS Gridvis'!I13</f>
        <v>0</v>
      </c>
      <c r="I14" s="150">
        <f>'EMS Gridvis'!J13</f>
        <v>0</v>
      </c>
      <c r="J14" s="44">
        <f>Generator!D15</f>
        <v>0</v>
      </c>
      <c r="K14" s="44">
        <f>Generator!H15</f>
        <v>0</v>
      </c>
      <c r="L14" s="44">
        <f>Generator!L15</f>
        <v>0</v>
      </c>
      <c r="M14" s="44">
        <f>Generator!P15</f>
        <v>0</v>
      </c>
      <c r="N14" s="44">
        <f>Generator!T15</f>
        <v>0</v>
      </c>
      <c r="O14" s="21"/>
      <c r="P14" s="21">
        <f t="shared" si="0"/>
        <v>1.7746478873239437</v>
      </c>
      <c r="Q14" s="21"/>
      <c r="R14" s="21">
        <v>1.84</v>
      </c>
      <c r="S14" s="30">
        <f>'RO Plant'!B15</f>
        <v>0</v>
      </c>
      <c r="T14" s="30">
        <f>'RO Plant'!E15</f>
        <v>0</v>
      </c>
      <c r="U14" s="30">
        <f>'RO Plant'!F15</f>
        <v>0</v>
      </c>
      <c r="V14" s="30">
        <f>'RO Plant'!I15</f>
        <v>0</v>
      </c>
      <c r="W14" s="30">
        <f>'RO Plant'!G15</f>
        <v>0</v>
      </c>
      <c r="X14" s="64" t="s">
        <v>67</v>
      </c>
      <c r="Y14" s="172">
        <v>0</v>
      </c>
      <c r="Z14" s="173"/>
      <c r="AA14" s="46">
        <f t="shared" si="2"/>
        <v>0</v>
      </c>
      <c r="AB14" s="46"/>
      <c r="AC14" s="46"/>
    </row>
    <row r="15" spans="1:30" ht="15">
      <c r="A15" s="127">
        <v>44908</v>
      </c>
      <c r="B15" s="116"/>
      <c r="C15" s="116"/>
      <c r="D15" s="150">
        <f>'EMS Gridvis'!B14</f>
        <v>0</v>
      </c>
      <c r="E15" s="150">
        <f>'EMS Gridvis'!C14</f>
        <v>0</v>
      </c>
      <c r="F15" s="150">
        <f>'EMS Gridvis'!D14</f>
        <v>0</v>
      </c>
      <c r="G15" s="150">
        <f>'EMS Gridvis'!H14</f>
        <v>0</v>
      </c>
      <c r="H15" s="150">
        <f>'EMS Gridvis'!I14</f>
        <v>0</v>
      </c>
      <c r="I15" s="150">
        <f>'EMS Gridvis'!J14</f>
        <v>0</v>
      </c>
      <c r="J15" s="44">
        <f>Generator!D16</f>
        <v>0</v>
      </c>
      <c r="K15" s="44">
        <f>Generator!H16</f>
        <v>0</v>
      </c>
      <c r="L15" s="44">
        <f>Generator!L16</f>
        <v>0</v>
      </c>
      <c r="M15" s="44">
        <f>Generator!P16</f>
        <v>0</v>
      </c>
      <c r="N15" s="44">
        <f>Generator!T16</f>
        <v>0</v>
      </c>
      <c r="O15" s="113"/>
      <c r="P15" s="21">
        <f t="shared" si="0"/>
        <v>1.7746478873239437</v>
      </c>
      <c r="Q15" s="113"/>
      <c r="R15" s="21">
        <v>1.84</v>
      </c>
      <c r="S15" s="30">
        <f>'RO Plant'!B16</f>
        <v>0</v>
      </c>
      <c r="T15" s="30">
        <f>'RO Plant'!E16</f>
        <v>0</v>
      </c>
      <c r="U15" s="30">
        <f>'RO Plant'!F16</f>
        <v>0</v>
      </c>
      <c r="V15" s="30">
        <f>'RO Plant'!I16</f>
        <v>0</v>
      </c>
      <c r="W15" s="30">
        <f>'RO Plant'!G16</f>
        <v>0</v>
      </c>
      <c r="X15" s="71"/>
      <c r="Y15" s="72" t="s">
        <v>63</v>
      </c>
      <c r="Z15" s="74">
        <f>SUM(Y13:Z14)</f>
        <v>0</v>
      </c>
      <c r="AA15" s="46">
        <f t="shared" si="2"/>
        <v>0</v>
      </c>
      <c r="AB15" s="145"/>
      <c r="AC15" s="46"/>
    </row>
    <row r="16" spans="1:30" ht="15" customHeight="1">
      <c r="A16" s="127">
        <v>44909</v>
      </c>
      <c r="B16" s="38"/>
      <c r="C16" s="38"/>
      <c r="D16" s="150">
        <f>'EMS Gridvis'!B15</f>
        <v>0</v>
      </c>
      <c r="E16" s="150">
        <f>'EMS Gridvis'!C15</f>
        <v>0</v>
      </c>
      <c r="F16" s="150">
        <f>'EMS Gridvis'!D15</f>
        <v>0</v>
      </c>
      <c r="G16" s="150">
        <f>'EMS Gridvis'!H15</f>
        <v>0</v>
      </c>
      <c r="H16" s="150">
        <f>'EMS Gridvis'!I15</f>
        <v>0</v>
      </c>
      <c r="I16" s="150">
        <f>'EMS Gridvis'!J15</f>
        <v>0</v>
      </c>
      <c r="J16" s="44">
        <f>Generator!D17</f>
        <v>0</v>
      </c>
      <c r="K16" s="44">
        <f>Generator!H17</f>
        <v>0</v>
      </c>
      <c r="L16" s="44">
        <f>Generator!L17</f>
        <v>0</v>
      </c>
      <c r="M16" s="44">
        <f>Generator!P17</f>
        <v>0</v>
      </c>
      <c r="N16" s="44">
        <f>Generator!T17</f>
        <v>0</v>
      </c>
      <c r="O16" s="115"/>
      <c r="P16" s="21">
        <f t="shared" si="0"/>
        <v>1.7746478873239437</v>
      </c>
      <c r="Q16" s="115"/>
      <c r="R16" s="21">
        <v>1.84</v>
      </c>
      <c r="S16" s="30">
        <f>'RO Plant'!B17</f>
        <v>0</v>
      </c>
      <c r="T16" s="30">
        <f>'RO Plant'!E17</f>
        <v>0</v>
      </c>
      <c r="U16" s="30">
        <f>'RO Plant'!F17</f>
        <v>0</v>
      </c>
      <c r="V16" s="30">
        <f>'RO Plant'!I17</f>
        <v>0</v>
      </c>
      <c r="W16" s="30">
        <f>'RO Plant'!G17</f>
        <v>0</v>
      </c>
      <c r="X16" s="174"/>
      <c r="Y16" s="175"/>
      <c r="Z16" s="175"/>
      <c r="AA16" s="46">
        <f t="shared" si="2"/>
        <v>0</v>
      </c>
      <c r="AB16" s="144"/>
      <c r="AC16" s="46"/>
    </row>
    <row r="17" spans="1:29" ht="15" customHeight="1">
      <c r="A17" s="127">
        <v>44910</v>
      </c>
      <c r="B17" s="38"/>
      <c r="C17" s="38"/>
      <c r="D17" s="150">
        <f>'EMS Gridvis'!B16</f>
        <v>0</v>
      </c>
      <c r="E17" s="150">
        <f>'EMS Gridvis'!C16</f>
        <v>0</v>
      </c>
      <c r="F17" s="150">
        <f>'EMS Gridvis'!D16</f>
        <v>0</v>
      </c>
      <c r="G17" s="150">
        <f>'EMS Gridvis'!H16</f>
        <v>0</v>
      </c>
      <c r="H17" s="150">
        <f>'EMS Gridvis'!I16</f>
        <v>0</v>
      </c>
      <c r="I17" s="150">
        <f>'EMS Gridvis'!J16</f>
        <v>0</v>
      </c>
      <c r="J17" s="44">
        <f>Generator!D18</f>
        <v>0</v>
      </c>
      <c r="K17" s="44">
        <f>Generator!H18</f>
        <v>0</v>
      </c>
      <c r="L17" s="44">
        <f>Generator!L18</f>
        <v>0</v>
      </c>
      <c r="M17" s="44">
        <f>Generator!P18</f>
        <v>0</v>
      </c>
      <c r="N17" s="44">
        <f>Generator!T18</f>
        <v>0</v>
      </c>
      <c r="O17" s="115"/>
      <c r="P17" s="21">
        <f t="shared" si="0"/>
        <v>1.7746478873239437</v>
      </c>
      <c r="Q17" s="115"/>
      <c r="R17" s="21">
        <v>1.84</v>
      </c>
      <c r="S17" s="30">
        <f>'RO Plant'!B18</f>
        <v>0</v>
      </c>
      <c r="T17" s="30">
        <f>'RO Plant'!E18</f>
        <v>0</v>
      </c>
      <c r="U17" s="30">
        <f>'RO Plant'!F18</f>
        <v>0</v>
      </c>
      <c r="V17" s="30">
        <f>'RO Plant'!I18</f>
        <v>0</v>
      </c>
      <c r="W17" s="30">
        <f>'RO Plant'!G18</f>
        <v>0</v>
      </c>
      <c r="X17" s="176"/>
      <c r="Y17" s="177"/>
      <c r="Z17" s="177"/>
      <c r="AA17" s="46">
        <f t="shared" si="2"/>
        <v>0</v>
      </c>
      <c r="AB17" s="144"/>
      <c r="AC17" s="46"/>
    </row>
    <row r="18" spans="1:29" ht="15" customHeight="1">
      <c r="A18" s="127">
        <v>44911</v>
      </c>
      <c r="B18" s="38"/>
      <c r="C18" s="38"/>
      <c r="D18" s="150">
        <f>'EMS Gridvis'!B17</f>
        <v>0</v>
      </c>
      <c r="E18" s="150">
        <f>'EMS Gridvis'!C17</f>
        <v>0</v>
      </c>
      <c r="F18" s="150">
        <f>'EMS Gridvis'!D17</f>
        <v>0</v>
      </c>
      <c r="G18" s="150">
        <f>'EMS Gridvis'!H17</f>
        <v>0</v>
      </c>
      <c r="H18" s="150">
        <f>'EMS Gridvis'!I17</f>
        <v>0</v>
      </c>
      <c r="I18" s="150">
        <f>'EMS Gridvis'!J17</f>
        <v>0</v>
      </c>
      <c r="J18" s="44">
        <f>Generator!D19</f>
        <v>0</v>
      </c>
      <c r="K18" s="44">
        <f>Generator!H19</f>
        <v>0</v>
      </c>
      <c r="L18" s="44">
        <f>Generator!L19</f>
        <v>0</v>
      </c>
      <c r="M18" s="44">
        <f>Generator!P19</f>
        <v>0</v>
      </c>
      <c r="N18" s="44">
        <f>Generator!T19</f>
        <v>0</v>
      </c>
      <c r="O18" s="115"/>
      <c r="P18" s="21">
        <f t="shared" si="0"/>
        <v>1.7746478873239437</v>
      </c>
      <c r="Q18" s="115"/>
      <c r="R18" s="21">
        <v>1.84</v>
      </c>
      <c r="S18" s="30">
        <f>'RO Plant'!B19</f>
        <v>0</v>
      </c>
      <c r="T18" s="30">
        <f>'RO Plant'!E19</f>
        <v>0</v>
      </c>
      <c r="U18" s="30">
        <f>'RO Plant'!F19</f>
        <v>0</v>
      </c>
      <c r="V18" s="30">
        <f>'RO Plant'!I19</f>
        <v>0</v>
      </c>
      <c r="W18" s="30">
        <f>'RO Plant'!G19</f>
        <v>0</v>
      </c>
      <c r="X18" s="176"/>
      <c r="Y18" s="177"/>
      <c r="Z18" s="177"/>
      <c r="AA18" s="46">
        <f t="shared" si="2"/>
        <v>0</v>
      </c>
      <c r="AB18" s="144"/>
      <c r="AC18" s="46"/>
    </row>
    <row r="19" spans="1:29" ht="15" customHeight="1">
      <c r="A19" s="127">
        <v>44912</v>
      </c>
      <c r="B19" s="38"/>
      <c r="C19" s="38"/>
      <c r="D19" s="150">
        <f>'EMS Gridvis'!B18</f>
        <v>0</v>
      </c>
      <c r="E19" s="150">
        <f>'EMS Gridvis'!C18</f>
        <v>0</v>
      </c>
      <c r="F19" s="150">
        <f>'EMS Gridvis'!D18</f>
        <v>0</v>
      </c>
      <c r="G19" s="150">
        <f>'EMS Gridvis'!H18</f>
        <v>0</v>
      </c>
      <c r="H19" s="150">
        <f>'EMS Gridvis'!I18</f>
        <v>0</v>
      </c>
      <c r="I19" s="150">
        <f>'EMS Gridvis'!J18</f>
        <v>0</v>
      </c>
      <c r="J19" s="44">
        <f>Generator!D20</f>
        <v>0</v>
      </c>
      <c r="K19" s="44">
        <f>Generator!H20</f>
        <v>0</v>
      </c>
      <c r="L19" s="44">
        <f>Generator!L20</f>
        <v>0</v>
      </c>
      <c r="M19" s="44">
        <f>Generator!P20</f>
        <v>0</v>
      </c>
      <c r="N19" s="44">
        <f>Generator!T20</f>
        <v>0</v>
      </c>
      <c r="O19" s="115"/>
      <c r="P19" s="21">
        <f t="shared" si="0"/>
        <v>1.7746478873239437</v>
      </c>
      <c r="Q19" s="115"/>
      <c r="R19" s="21">
        <v>1.84</v>
      </c>
      <c r="S19" s="30">
        <f>'RO Plant'!B20</f>
        <v>0</v>
      </c>
      <c r="T19" s="30">
        <f>'RO Plant'!E20</f>
        <v>0</v>
      </c>
      <c r="U19" s="30">
        <f>'RO Plant'!F20</f>
        <v>0</v>
      </c>
      <c r="V19" s="30">
        <f>'RO Plant'!I20</f>
        <v>0</v>
      </c>
      <c r="W19" s="30">
        <f>'RO Plant'!G20</f>
        <v>0</v>
      </c>
      <c r="X19" s="176"/>
      <c r="Y19" s="177"/>
      <c r="Z19" s="177"/>
      <c r="AA19" s="46">
        <f t="shared" si="2"/>
        <v>0</v>
      </c>
      <c r="AB19" s="144"/>
      <c r="AC19" s="46"/>
    </row>
    <row r="20" spans="1:29" ht="15" customHeight="1">
      <c r="A20" s="127">
        <v>44913</v>
      </c>
      <c r="B20" s="38"/>
      <c r="C20" s="38"/>
      <c r="D20" s="150">
        <f>'EMS Gridvis'!B19</f>
        <v>0</v>
      </c>
      <c r="E20" s="150">
        <f>'EMS Gridvis'!C19</f>
        <v>0</v>
      </c>
      <c r="F20" s="150">
        <f>'EMS Gridvis'!D19</f>
        <v>0</v>
      </c>
      <c r="G20" s="150">
        <f>'EMS Gridvis'!H19</f>
        <v>0</v>
      </c>
      <c r="H20" s="150">
        <f>'EMS Gridvis'!I19</f>
        <v>0</v>
      </c>
      <c r="I20" s="150">
        <f>'EMS Gridvis'!J19</f>
        <v>0</v>
      </c>
      <c r="J20" s="44">
        <f>Generator!D21</f>
        <v>0</v>
      </c>
      <c r="K20" s="44">
        <f>Generator!H21</f>
        <v>0</v>
      </c>
      <c r="L20" s="44">
        <f>Generator!L21</f>
        <v>0</v>
      </c>
      <c r="M20" s="44">
        <f>Generator!P21</f>
        <v>0</v>
      </c>
      <c r="N20" s="44">
        <f>Generator!T21</f>
        <v>0</v>
      </c>
      <c r="O20" s="115"/>
      <c r="P20" s="21">
        <f t="shared" si="0"/>
        <v>1.7746478873239437</v>
      </c>
      <c r="Q20" s="115"/>
      <c r="R20" s="21">
        <v>1.84</v>
      </c>
      <c r="S20" s="30">
        <f>'RO Plant'!B21</f>
        <v>0</v>
      </c>
      <c r="T20" s="30">
        <f>'RO Plant'!E21</f>
        <v>0</v>
      </c>
      <c r="U20" s="30">
        <f>'RO Plant'!F21</f>
        <v>0</v>
      </c>
      <c r="V20" s="30">
        <f>'RO Plant'!I21</f>
        <v>0</v>
      </c>
      <c r="W20" s="30">
        <f>'RO Plant'!G21</f>
        <v>0</v>
      </c>
      <c r="X20" s="176"/>
      <c r="Y20" s="177"/>
      <c r="Z20" s="177"/>
      <c r="AA20" s="46">
        <f t="shared" si="2"/>
        <v>0</v>
      </c>
      <c r="AB20" s="144"/>
      <c r="AC20" s="46"/>
    </row>
    <row r="21" spans="1:29" ht="15" customHeight="1">
      <c r="A21" s="127">
        <v>44914</v>
      </c>
      <c r="B21" s="38"/>
      <c r="C21" s="38"/>
      <c r="D21" s="150">
        <f>'EMS Gridvis'!B20</f>
        <v>0</v>
      </c>
      <c r="E21" s="150">
        <f>'EMS Gridvis'!C20</f>
        <v>0</v>
      </c>
      <c r="F21" s="150">
        <f>'EMS Gridvis'!D20</f>
        <v>0</v>
      </c>
      <c r="G21" s="150">
        <f>'EMS Gridvis'!H20</f>
        <v>0</v>
      </c>
      <c r="H21" s="150">
        <f>'EMS Gridvis'!I20</f>
        <v>0</v>
      </c>
      <c r="I21" s="150">
        <f>'EMS Gridvis'!J20</f>
        <v>0</v>
      </c>
      <c r="J21" s="44">
        <f>Generator!D22</f>
        <v>0</v>
      </c>
      <c r="K21" s="44">
        <f>Generator!H22</f>
        <v>0</v>
      </c>
      <c r="L21" s="44">
        <f>Generator!L22</f>
        <v>0</v>
      </c>
      <c r="M21" s="44">
        <f>Generator!P22</f>
        <v>0</v>
      </c>
      <c r="N21" s="44">
        <f>Generator!T22</f>
        <v>0</v>
      </c>
      <c r="O21" s="115"/>
      <c r="P21" s="21">
        <f t="shared" si="0"/>
        <v>1.7746478873239437</v>
      </c>
      <c r="Q21" s="115"/>
      <c r="R21" s="21">
        <v>1.84</v>
      </c>
      <c r="S21" s="30">
        <f>'RO Plant'!B22</f>
        <v>0</v>
      </c>
      <c r="T21" s="30">
        <f>'RO Plant'!E22</f>
        <v>0</v>
      </c>
      <c r="U21" s="30">
        <f>'RO Plant'!F22</f>
        <v>0</v>
      </c>
      <c r="V21" s="30">
        <f>'RO Plant'!I22</f>
        <v>0</v>
      </c>
      <c r="W21" s="30">
        <f>'RO Plant'!G22</f>
        <v>0</v>
      </c>
      <c r="X21" s="176"/>
      <c r="Y21" s="177"/>
      <c r="Z21" s="177"/>
      <c r="AA21" s="46">
        <f t="shared" si="2"/>
        <v>0</v>
      </c>
      <c r="AB21" s="144"/>
      <c r="AC21" s="46"/>
    </row>
    <row r="22" spans="1:29" ht="15" customHeight="1">
      <c r="A22" s="127">
        <v>44915</v>
      </c>
      <c r="B22" s="38"/>
      <c r="C22" s="38"/>
      <c r="D22" s="150">
        <f>'EMS Gridvis'!B21</f>
        <v>0</v>
      </c>
      <c r="E22" s="150">
        <f>'EMS Gridvis'!C21</f>
        <v>0</v>
      </c>
      <c r="F22" s="150">
        <f>'EMS Gridvis'!D21</f>
        <v>0</v>
      </c>
      <c r="G22" s="150">
        <f>'EMS Gridvis'!H21</f>
        <v>0</v>
      </c>
      <c r="H22" s="150">
        <f>'EMS Gridvis'!I21</f>
        <v>0</v>
      </c>
      <c r="I22" s="150">
        <f>'EMS Gridvis'!J21</f>
        <v>0</v>
      </c>
      <c r="J22" s="44">
        <f>Generator!D23</f>
        <v>0</v>
      </c>
      <c r="K22" s="44">
        <f>Generator!H23</f>
        <v>0</v>
      </c>
      <c r="L22" s="44">
        <f>Generator!L23</f>
        <v>0</v>
      </c>
      <c r="M22" s="44">
        <f>Generator!P23</f>
        <v>0</v>
      </c>
      <c r="N22" s="44">
        <f>Generator!T23</f>
        <v>0</v>
      </c>
      <c r="O22" s="115"/>
      <c r="P22" s="21">
        <f t="shared" si="0"/>
        <v>1.7746478873239437</v>
      </c>
      <c r="Q22" s="115"/>
      <c r="R22" s="21">
        <v>1.84</v>
      </c>
      <c r="S22" s="30">
        <f>'RO Plant'!B23</f>
        <v>0</v>
      </c>
      <c r="T22" s="30">
        <f>'RO Plant'!E23</f>
        <v>0</v>
      </c>
      <c r="U22" s="30">
        <f>'RO Plant'!F23</f>
        <v>0</v>
      </c>
      <c r="V22" s="30">
        <f>'RO Plant'!I23</f>
        <v>0</v>
      </c>
      <c r="W22" s="30">
        <f>'RO Plant'!G23</f>
        <v>0</v>
      </c>
      <c r="X22" s="176"/>
      <c r="Y22" s="177"/>
      <c r="Z22" s="177"/>
      <c r="AA22" s="46">
        <f t="shared" si="2"/>
        <v>0</v>
      </c>
      <c r="AB22" s="144"/>
      <c r="AC22" s="114"/>
    </row>
    <row r="23" spans="1:29" ht="15" customHeight="1">
      <c r="A23" s="127">
        <v>44916</v>
      </c>
      <c r="B23" s="38"/>
      <c r="C23" s="38"/>
      <c r="D23" s="150">
        <f>'EMS Gridvis'!B22</f>
        <v>0</v>
      </c>
      <c r="E23" s="150">
        <f>'EMS Gridvis'!C22</f>
        <v>0</v>
      </c>
      <c r="F23" s="150">
        <f>'EMS Gridvis'!D22</f>
        <v>0</v>
      </c>
      <c r="G23" s="150">
        <f>'EMS Gridvis'!H22</f>
        <v>0</v>
      </c>
      <c r="H23" s="150">
        <f>'EMS Gridvis'!I22</f>
        <v>0</v>
      </c>
      <c r="I23" s="150">
        <f>'EMS Gridvis'!J22</f>
        <v>0</v>
      </c>
      <c r="J23" s="44">
        <f>Generator!D24</f>
        <v>0</v>
      </c>
      <c r="K23" s="44">
        <f>Generator!H24</f>
        <v>0</v>
      </c>
      <c r="L23" s="44">
        <f>Generator!L24</f>
        <v>0</v>
      </c>
      <c r="M23" s="44">
        <f>Generator!P24</f>
        <v>0</v>
      </c>
      <c r="N23" s="44">
        <f>Generator!T24</f>
        <v>0</v>
      </c>
      <c r="O23" s="115"/>
      <c r="P23" s="21">
        <f t="shared" si="0"/>
        <v>1.7746478873239437</v>
      </c>
      <c r="Q23" s="115"/>
      <c r="R23" s="21">
        <v>1.84</v>
      </c>
      <c r="S23" s="30">
        <f>'RO Plant'!B24</f>
        <v>0</v>
      </c>
      <c r="T23" s="30">
        <f>'RO Plant'!E24</f>
        <v>0</v>
      </c>
      <c r="U23" s="30">
        <f>'RO Plant'!F24</f>
        <v>0</v>
      </c>
      <c r="V23" s="30">
        <f>'RO Plant'!I24</f>
        <v>0</v>
      </c>
      <c r="W23" s="30">
        <f>'RO Plant'!G24</f>
        <v>0</v>
      </c>
      <c r="X23" s="176"/>
      <c r="Y23" s="177"/>
      <c r="Z23" s="177"/>
      <c r="AA23" s="46">
        <f t="shared" si="2"/>
        <v>0</v>
      </c>
      <c r="AB23" s="144"/>
      <c r="AC23" s="168"/>
    </row>
    <row r="24" spans="1:29" ht="15" customHeight="1">
      <c r="A24" s="127">
        <v>44917</v>
      </c>
      <c r="B24" s="38"/>
      <c r="C24" s="38"/>
      <c r="D24" s="150">
        <f>'EMS Gridvis'!B23</f>
        <v>0</v>
      </c>
      <c r="E24" s="150">
        <f>'EMS Gridvis'!C23</f>
        <v>0</v>
      </c>
      <c r="F24" s="150">
        <f>'EMS Gridvis'!D23</f>
        <v>0</v>
      </c>
      <c r="G24" s="150">
        <f>'EMS Gridvis'!H23</f>
        <v>0</v>
      </c>
      <c r="H24" s="150">
        <f>'EMS Gridvis'!I23</f>
        <v>0</v>
      </c>
      <c r="I24" s="150">
        <f>'EMS Gridvis'!J23</f>
        <v>0</v>
      </c>
      <c r="J24" s="44">
        <f>Generator!D25</f>
        <v>0</v>
      </c>
      <c r="K24" s="44">
        <f>Generator!H25</f>
        <v>0</v>
      </c>
      <c r="L24" s="44">
        <f>Generator!L25</f>
        <v>0</v>
      </c>
      <c r="M24" s="44">
        <f>Generator!P25</f>
        <v>0</v>
      </c>
      <c r="N24" s="44">
        <f>Generator!T25</f>
        <v>0</v>
      </c>
      <c r="O24" s="115"/>
      <c r="P24" s="21">
        <f t="shared" si="0"/>
        <v>1.7746478873239437</v>
      </c>
      <c r="Q24" s="115"/>
      <c r="R24" s="21">
        <v>1.84</v>
      </c>
      <c r="S24" s="30">
        <f>'RO Plant'!B25</f>
        <v>0</v>
      </c>
      <c r="T24" s="30">
        <f>'RO Plant'!E25</f>
        <v>0</v>
      </c>
      <c r="U24" s="30">
        <f>'RO Plant'!F25</f>
        <v>0</v>
      </c>
      <c r="V24" s="30">
        <f>'RO Plant'!I25</f>
        <v>0</v>
      </c>
      <c r="W24" s="30">
        <f>'RO Plant'!G25</f>
        <v>0</v>
      </c>
      <c r="X24" s="176"/>
      <c r="Y24" s="177"/>
      <c r="Z24" s="177"/>
      <c r="AA24" s="46">
        <f t="shared" si="2"/>
        <v>0</v>
      </c>
      <c r="AB24" s="144"/>
      <c r="AC24" s="80"/>
    </row>
    <row r="25" spans="1:29" ht="15" customHeight="1">
      <c r="A25" s="127">
        <v>44918</v>
      </c>
      <c r="B25" s="38"/>
      <c r="C25" s="38"/>
      <c r="D25" s="150">
        <f>'EMS Gridvis'!B24</f>
        <v>0</v>
      </c>
      <c r="E25" s="150">
        <f>'EMS Gridvis'!C24</f>
        <v>0</v>
      </c>
      <c r="F25" s="150">
        <f>'EMS Gridvis'!D24</f>
        <v>0</v>
      </c>
      <c r="G25" s="150">
        <f>'EMS Gridvis'!H24</f>
        <v>0</v>
      </c>
      <c r="H25" s="150">
        <f>'EMS Gridvis'!I24</f>
        <v>0</v>
      </c>
      <c r="I25" s="150">
        <f>'EMS Gridvis'!J24</f>
        <v>0</v>
      </c>
      <c r="J25" s="44">
        <f>Generator!D26</f>
        <v>0</v>
      </c>
      <c r="K25" s="44">
        <f>Generator!H26</f>
        <v>0</v>
      </c>
      <c r="L25" s="44">
        <f>Generator!L26</f>
        <v>0</v>
      </c>
      <c r="M25" s="44">
        <f>Generator!P26</f>
        <v>0</v>
      </c>
      <c r="N25" s="44">
        <f>Generator!T26</f>
        <v>0</v>
      </c>
      <c r="O25" s="115"/>
      <c r="P25" s="21">
        <f t="shared" si="0"/>
        <v>1.7746478873239437</v>
      </c>
      <c r="Q25" s="115"/>
      <c r="R25" s="21">
        <v>1.84</v>
      </c>
      <c r="S25" s="30">
        <f>'RO Plant'!B26</f>
        <v>0</v>
      </c>
      <c r="T25" s="30">
        <f>'RO Plant'!E26</f>
        <v>0</v>
      </c>
      <c r="U25" s="30">
        <f>'RO Plant'!F26</f>
        <v>0</v>
      </c>
      <c r="V25" s="30">
        <f>'RO Plant'!I26</f>
        <v>0</v>
      </c>
      <c r="W25" s="30">
        <f>'RO Plant'!G26</f>
        <v>0</v>
      </c>
      <c r="X25" s="176"/>
      <c r="Y25" s="177"/>
      <c r="Z25" s="177"/>
      <c r="AA25" s="46">
        <f t="shared" si="2"/>
        <v>0</v>
      </c>
      <c r="AB25" s="144"/>
      <c r="AC25" s="46"/>
    </row>
    <row r="26" spans="1:29" ht="15" customHeight="1">
      <c r="A26" s="127">
        <v>44919</v>
      </c>
      <c r="B26" s="38"/>
      <c r="C26" s="38"/>
      <c r="D26" s="150">
        <f>'EMS Gridvis'!B25</f>
        <v>0</v>
      </c>
      <c r="E26" s="150">
        <f>'EMS Gridvis'!C25</f>
        <v>0</v>
      </c>
      <c r="F26" s="150">
        <f>'EMS Gridvis'!D25</f>
        <v>0</v>
      </c>
      <c r="G26" s="150">
        <f>'EMS Gridvis'!H25</f>
        <v>0</v>
      </c>
      <c r="H26" s="150">
        <f>'EMS Gridvis'!I25</f>
        <v>0</v>
      </c>
      <c r="I26" s="150">
        <f>'EMS Gridvis'!J25</f>
        <v>0</v>
      </c>
      <c r="J26" s="44">
        <f>Generator!D27</f>
        <v>0</v>
      </c>
      <c r="K26" s="44">
        <f>Generator!H27</f>
        <v>0</v>
      </c>
      <c r="L26" s="44">
        <f>Generator!L27</f>
        <v>0</v>
      </c>
      <c r="M26" s="44">
        <f>Generator!P27</f>
        <v>0</v>
      </c>
      <c r="N26" s="44">
        <f>Generator!T27</f>
        <v>0</v>
      </c>
      <c r="O26" s="115"/>
      <c r="P26" s="21">
        <f t="shared" si="0"/>
        <v>1.7746478873239437</v>
      </c>
      <c r="Q26" s="115"/>
      <c r="R26" s="21">
        <v>1.84</v>
      </c>
      <c r="S26" s="30">
        <f>'RO Plant'!B27</f>
        <v>0</v>
      </c>
      <c r="T26" s="30">
        <f>'RO Plant'!E27</f>
        <v>0</v>
      </c>
      <c r="U26" s="30">
        <f>'RO Plant'!F27</f>
        <v>0</v>
      </c>
      <c r="V26" s="30">
        <f>'RO Plant'!I27</f>
        <v>0</v>
      </c>
      <c r="W26" s="30">
        <f>'RO Plant'!G27</f>
        <v>0</v>
      </c>
      <c r="X26" s="176"/>
      <c r="Y26" s="177"/>
      <c r="Z26" s="177"/>
      <c r="AA26" s="46">
        <f t="shared" si="2"/>
        <v>0</v>
      </c>
      <c r="AB26" s="144"/>
      <c r="AC26" s="46"/>
    </row>
    <row r="27" spans="1:29" ht="15" customHeight="1">
      <c r="A27" s="127">
        <v>44920</v>
      </c>
      <c r="B27" s="38"/>
      <c r="C27" s="38"/>
      <c r="D27" s="150">
        <f>'EMS Gridvis'!B26</f>
        <v>0</v>
      </c>
      <c r="E27" s="150">
        <f>'EMS Gridvis'!C26</f>
        <v>0</v>
      </c>
      <c r="F27" s="150">
        <f>'EMS Gridvis'!D26</f>
        <v>0</v>
      </c>
      <c r="G27" s="150">
        <f>'EMS Gridvis'!H26</f>
        <v>0</v>
      </c>
      <c r="H27" s="150">
        <f>'EMS Gridvis'!I26</f>
        <v>0</v>
      </c>
      <c r="I27" s="150">
        <f>'EMS Gridvis'!J26</f>
        <v>0</v>
      </c>
      <c r="J27" s="44">
        <f>Generator!D28</f>
        <v>0</v>
      </c>
      <c r="K27" s="44">
        <f>Generator!H28</f>
        <v>0</v>
      </c>
      <c r="L27" s="44">
        <f>Generator!L28</f>
        <v>0</v>
      </c>
      <c r="M27" s="44">
        <f>Generator!P28</f>
        <v>0</v>
      </c>
      <c r="N27" s="44">
        <f>Generator!T28</f>
        <v>0</v>
      </c>
      <c r="O27" s="115"/>
      <c r="P27" s="21">
        <f t="shared" si="0"/>
        <v>1.7746478873239437</v>
      </c>
      <c r="Q27" s="115"/>
      <c r="R27" s="21">
        <v>1.84</v>
      </c>
      <c r="S27" s="30">
        <f>'RO Plant'!B28</f>
        <v>0</v>
      </c>
      <c r="T27" s="30">
        <f>'RO Plant'!E28</f>
        <v>0</v>
      </c>
      <c r="U27" s="30">
        <f>'RO Plant'!F28</f>
        <v>0</v>
      </c>
      <c r="V27" s="30">
        <f>'RO Plant'!I28</f>
        <v>0</v>
      </c>
      <c r="W27" s="30">
        <f>'RO Plant'!G28</f>
        <v>0</v>
      </c>
      <c r="X27" s="176"/>
      <c r="Y27" s="177"/>
      <c r="Z27" s="177"/>
      <c r="AA27" s="46">
        <f t="shared" si="2"/>
        <v>0</v>
      </c>
      <c r="AB27" s="144"/>
      <c r="AC27" s="46"/>
    </row>
    <row r="28" spans="1:29" ht="15" customHeight="1">
      <c r="A28" s="127">
        <v>44921</v>
      </c>
      <c r="B28" s="38"/>
      <c r="C28" s="38"/>
      <c r="D28" s="150">
        <f>'EMS Gridvis'!B27</f>
        <v>0</v>
      </c>
      <c r="E28" s="150">
        <f>'EMS Gridvis'!C27</f>
        <v>0</v>
      </c>
      <c r="F28" s="150">
        <f>'EMS Gridvis'!D27</f>
        <v>0</v>
      </c>
      <c r="G28" s="150">
        <f>'EMS Gridvis'!H27</f>
        <v>0</v>
      </c>
      <c r="H28" s="150">
        <f>'EMS Gridvis'!I27</f>
        <v>0</v>
      </c>
      <c r="I28" s="150">
        <f>'EMS Gridvis'!J27</f>
        <v>0</v>
      </c>
      <c r="J28" s="44">
        <f>Generator!D29</f>
        <v>0</v>
      </c>
      <c r="K28" s="44">
        <f>Generator!H29</f>
        <v>0</v>
      </c>
      <c r="L28" s="44">
        <f>Generator!L29</f>
        <v>0</v>
      </c>
      <c r="M28" s="44">
        <f>Generator!P29</f>
        <v>0</v>
      </c>
      <c r="N28" s="44">
        <f>Generator!T29</f>
        <v>0</v>
      </c>
      <c r="O28" s="115"/>
      <c r="P28" s="21">
        <f t="shared" si="0"/>
        <v>1.7746478873239437</v>
      </c>
      <c r="Q28" s="115"/>
      <c r="R28" s="21">
        <v>1.84</v>
      </c>
      <c r="S28" s="30">
        <f>'RO Plant'!B29</f>
        <v>0</v>
      </c>
      <c r="T28" s="30">
        <f>'RO Plant'!E29</f>
        <v>0</v>
      </c>
      <c r="U28" s="30">
        <f>'RO Plant'!F29</f>
        <v>0</v>
      </c>
      <c r="V28" s="30">
        <f>'RO Plant'!I29</f>
        <v>0</v>
      </c>
      <c r="W28" s="30">
        <f>'RO Plant'!G29</f>
        <v>0</v>
      </c>
      <c r="X28" s="176"/>
      <c r="Y28" s="177"/>
      <c r="Z28" s="177"/>
      <c r="AA28" s="46">
        <f t="shared" si="2"/>
        <v>0</v>
      </c>
      <c r="AB28" s="144"/>
      <c r="AC28" s="46"/>
    </row>
    <row r="29" spans="1:29" ht="15" customHeight="1">
      <c r="A29" s="127">
        <v>44922</v>
      </c>
      <c r="B29" s="38"/>
      <c r="C29" s="38"/>
      <c r="D29" s="150">
        <f>'EMS Gridvis'!B28</f>
        <v>0</v>
      </c>
      <c r="E29" s="150">
        <f>'EMS Gridvis'!C28</f>
        <v>0</v>
      </c>
      <c r="F29" s="150">
        <f>'EMS Gridvis'!D28</f>
        <v>0</v>
      </c>
      <c r="G29" s="150">
        <f>'EMS Gridvis'!H28</f>
        <v>0</v>
      </c>
      <c r="H29" s="150">
        <f>'EMS Gridvis'!I28</f>
        <v>0</v>
      </c>
      <c r="I29" s="150">
        <f>'EMS Gridvis'!J28</f>
        <v>0</v>
      </c>
      <c r="J29" s="44">
        <f>Generator!D30</f>
        <v>0</v>
      </c>
      <c r="K29" s="44">
        <f>Generator!H30</f>
        <v>0</v>
      </c>
      <c r="L29" s="44">
        <f>Generator!L30</f>
        <v>0</v>
      </c>
      <c r="M29" s="44">
        <f>Generator!P30</f>
        <v>0</v>
      </c>
      <c r="N29" s="44">
        <f>Generator!T30</f>
        <v>0</v>
      </c>
      <c r="O29" s="115"/>
      <c r="P29" s="21">
        <f t="shared" si="0"/>
        <v>1.7746478873239437</v>
      </c>
      <c r="Q29" s="115"/>
      <c r="R29" s="21">
        <v>1.84</v>
      </c>
      <c r="S29" s="30">
        <f>'RO Plant'!B30</f>
        <v>0</v>
      </c>
      <c r="T29" s="30">
        <f>'RO Plant'!E30</f>
        <v>0</v>
      </c>
      <c r="U29" s="30">
        <f>'RO Plant'!F30</f>
        <v>0</v>
      </c>
      <c r="V29" s="30">
        <f>'RO Plant'!I30</f>
        <v>0</v>
      </c>
      <c r="W29" s="30">
        <f>'RO Plant'!G30</f>
        <v>0</v>
      </c>
      <c r="X29" s="176"/>
      <c r="Y29" s="177"/>
      <c r="Z29" s="177"/>
      <c r="AA29" s="46">
        <f t="shared" si="2"/>
        <v>0</v>
      </c>
      <c r="AB29" s="144"/>
      <c r="AC29" s="46"/>
    </row>
    <row r="30" spans="1:29" ht="15" customHeight="1">
      <c r="A30" s="127">
        <v>44923</v>
      </c>
      <c r="B30" s="38"/>
      <c r="C30" s="38"/>
      <c r="D30" s="150">
        <f>'EMS Gridvis'!B29</f>
        <v>0</v>
      </c>
      <c r="E30" s="150">
        <f>'EMS Gridvis'!C29</f>
        <v>0</v>
      </c>
      <c r="F30" s="150">
        <f>'EMS Gridvis'!D29</f>
        <v>0</v>
      </c>
      <c r="G30" s="150">
        <f>'EMS Gridvis'!H29</f>
        <v>0</v>
      </c>
      <c r="H30" s="150">
        <f>'EMS Gridvis'!I29</f>
        <v>0</v>
      </c>
      <c r="I30" s="150">
        <f>'EMS Gridvis'!J29</f>
        <v>0</v>
      </c>
      <c r="J30" s="44">
        <f>Generator!D31</f>
        <v>0</v>
      </c>
      <c r="K30" s="44">
        <f>Generator!H31</f>
        <v>0</v>
      </c>
      <c r="L30" s="44">
        <f>Generator!L31</f>
        <v>0</v>
      </c>
      <c r="M30" s="44">
        <f>Generator!P31</f>
        <v>0</v>
      </c>
      <c r="N30" s="44">
        <f>Generator!T31</f>
        <v>0</v>
      </c>
      <c r="O30" s="115"/>
      <c r="P30" s="21">
        <f t="shared" si="0"/>
        <v>1.7746478873239437</v>
      </c>
      <c r="Q30" s="115"/>
      <c r="R30" s="21">
        <v>1.84</v>
      </c>
      <c r="S30" s="30">
        <f>'RO Plant'!B31</f>
        <v>0</v>
      </c>
      <c r="T30" s="30">
        <f>'RO Plant'!E31</f>
        <v>0</v>
      </c>
      <c r="U30" s="30">
        <f>'RO Plant'!F31</f>
        <v>0</v>
      </c>
      <c r="V30" s="30">
        <f>'RO Plant'!I31</f>
        <v>0</v>
      </c>
      <c r="W30" s="30">
        <f>'RO Plant'!G31</f>
        <v>0</v>
      </c>
      <c r="X30" s="176"/>
      <c r="Y30" s="177"/>
      <c r="Z30" s="177"/>
      <c r="AA30" s="46">
        <f t="shared" si="2"/>
        <v>0</v>
      </c>
      <c r="AB30" s="144"/>
      <c r="AC30" s="46"/>
    </row>
    <row r="31" spans="1:29" ht="15" customHeight="1">
      <c r="A31" s="127">
        <v>44924</v>
      </c>
      <c r="B31" s="38"/>
      <c r="C31" s="38"/>
      <c r="D31" s="150">
        <f>'EMS Gridvis'!B30</f>
        <v>0</v>
      </c>
      <c r="E31" s="150">
        <f>'EMS Gridvis'!C30</f>
        <v>0</v>
      </c>
      <c r="F31" s="150">
        <f>'EMS Gridvis'!D30</f>
        <v>0</v>
      </c>
      <c r="G31" s="150">
        <f>'EMS Gridvis'!H30</f>
        <v>0</v>
      </c>
      <c r="H31" s="150">
        <f>'EMS Gridvis'!I30</f>
        <v>0</v>
      </c>
      <c r="I31" s="150">
        <f>'EMS Gridvis'!J30</f>
        <v>0</v>
      </c>
      <c r="J31" s="44">
        <f>Generator!D32</f>
        <v>0</v>
      </c>
      <c r="K31" s="44">
        <f>Generator!H32</f>
        <v>0</v>
      </c>
      <c r="L31" s="44">
        <f>Generator!L32</f>
        <v>0</v>
      </c>
      <c r="M31" s="44">
        <f>Generator!P32</f>
        <v>0</v>
      </c>
      <c r="N31" s="44">
        <f>Generator!T32</f>
        <v>0</v>
      </c>
      <c r="O31" s="115"/>
      <c r="P31" s="21">
        <f t="shared" si="0"/>
        <v>1.7746478873239437</v>
      </c>
      <c r="Q31" s="115"/>
      <c r="R31" s="21">
        <v>1.84</v>
      </c>
      <c r="S31" s="30">
        <f>'RO Plant'!B32</f>
        <v>0</v>
      </c>
      <c r="T31" s="30">
        <f>'RO Plant'!E32</f>
        <v>0</v>
      </c>
      <c r="U31" s="30">
        <f>'RO Plant'!F32</f>
        <v>0</v>
      </c>
      <c r="V31" s="30">
        <f>'RO Plant'!I32</f>
        <v>0</v>
      </c>
      <c r="W31" s="30">
        <f>'RO Plant'!G32</f>
        <v>0</v>
      </c>
      <c r="X31" s="176"/>
      <c r="Y31" s="177"/>
      <c r="Z31" s="177"/>
      <c r="AA31" s="46">
        <f t="shared" si="2"/>
        <v>0</v>
      </c>
      <c r="AB31" s="144"/>
      <c r="AC31" s="46"/>
    </row>
    <row r="32" spans="1:29" ht="15" customHeight="1">
      <c r="A32" s="127">
        <v>44925</v>
      </c>
      <c r="B32" s="112"/>
      <c r="C32" s="112"/>
      <c r="D32" s="150">
        <f>'EMS Gridvis'!B31</f>
        <v>0</v>
      </c>
      <c r="E32" s="150">
        <f>'EMS Gridvis'!C31</f>
        <v>0</v>
      </c>
      <c r="F32" s="150">
        <f>'EMS Gridvis'!D31</f>
        <v>0</v>
      </c>
      <c r="G32" s="150">
        <f>'EMS Gridvis'!H31</f>
        <v>0</v>
      </c>
      <c r="H32" s="150">
        <f>'EMS Gridvis'!I31</f>
        <v>0</v>
      </c>
      <c r="I32" s="150">
        <f>'EMS Gridvis'!J31</f>
        <v>0</v>
      </c>
      <c r="J32" s="44">
        <f>Generator!D33</f>
        <v>0</v>
      </c>
      <c r="K32" s="44">
        <f>Generator!H33</f>
        <v>0</v>
      </c>
      <c r="L32" s="44">
        <f>Generator!L33</f>
        <v>0</v>
      </c>
      <c r="M32" s="44">
        <f>Generator!P33</f>
        <v>0</v>
      </c>
      <c r="N32" s="44">
        <f>Generator!T33</f>
        <v>0</v>
      </c>
      <c r="O32" s="142"/>
      <c r="P32" s="21">
        <f t="shared" si="0"/>
        <v>1.7746478873239437</v>
      </c>
      <c r="Q32" s="142"/>
      <c r="R32" s="21">
        <v>1.84</v>
      </c>
      <c r="S32" s="30">
        <f>'RO Plant'!B33</f>
        <v>0</v>
      </c>
      <c r="T32" s="30">
        <f>'RO Plant'!E33</f>
        <v>0</v>
      </c>
      <c r="U32" s="30">
        <f>'RO Plant'!F33</f>
        <v>0</v>
      </c>
      <c r="V32" s="30">
        <f>'RO Plant'!I33</f>
        <v>0</v>
      </c>
      <c r="W32" s="30">
        <f>'RO Plant'!G33</f>
        <v>0</v>
      </c>
      <c r="X32" s="176"/>
      <c r="Y32" s="177"/>
      <c r="Z32" s="177"/>
      <c r="AA32" s="46">
        <f t="shared" si="2"/>
        <v>0</v>
      </c>
      <c r="AB32" s="145"/>
      <c r="AC32" s="114"/>
    </row>
    <row r="33" spans="1:29" ht="12.75">
      <c r="A33" s="127">
        <v>44926</v>
      </c>
      <c r="B33" s="46"/>
      <c r="C33" s="46"/>
      <c r="D33" s="150">
        <f>'EMS Gridvis'!B32</f>
        <v>0</v>
      </c>
      <c r="E33" s="150">
        <f>'EMS Gridvis'!C32</f>
        <v>0</v>
      </c>
      <c r="F33" s="150">
        <f>'EMS Gridvis'!D32</f>
        <v>0</v>
      </c>
      <c r="G33" s="150">
        <f>'EMS Gridvis'!H32</f>
        <v>0</v>
      </c>
      <c r="H33" s="150">
        <f>'EMS Gridvis'!I32</f>
        <v>0</v>
      </c>
      <c r="I33" s="150">
        <f>'EMS Gridvis'!J32</f>
        <v>0</v>
      </c>
      <c r="J33" s="44">
        <f>Generator!D34</f>
        <v>0</v>
      </c>
      <c r="K33" s="44">
        <f>Generator!H34</f>
        <v>0</v>
      </c>
      <c r="L33" s="44">
        <f>Generator!L34</f>
        <v>0</v>
      </c>
      <c r="M33" s="44">
        <f>Generator!P34</f>
        <v>0</v>
      </c>
      <c r="N33" s="44">
        <f>Generator!T34</f>
        <v>0</v>
      </c>
      <c r="O33" s="46"/>
      <c r="P33" s="21">
        <f t="shared" si="0"/>
        <v>1.7746478873239437</v>
      </c>
      <c r="Q33" s="46"/>
      <c r="R33" s="21">
        <v>1.84</v>
      </c>
      <c r="S33" s="30">
        <f>'RO Plant'!B34</f>
        <v>0</v>
      </c>
      <c r="T33" s="30">
        <f>'RO Plant'!E34</f>
        <v>0</v>
      </c>
      <c r="U33" s="30">
        <f>'RO Plant'!F34</f>
        <v>0</v>
      </c>
      <c r="V33" s="30">
        <f>'RO Plant'!I34</f>
        <v>0</v>
      </c>
      <c r="W33" s="30">
        <f>'RO Plant'!G34</f>
        <v>0</v>
      </c>
      <c r="AA33" s="46">
        <f t="shared" si="2"/>
        <v>0</v>
      </c>
      <c r="AB33" s="133"/>
      <c r="AC33" s="46"/>
    </row>
    <row r="34" spans="1:29" ht="14.45">
      <c r="M34" s="45"/>
    </row>
    <row r="35" spans="1:29" ht="12.75">
      <c r="D35" s="19">
        <f>SUM(D33:I33)</f>
        <v>0</v>
      </c>
      <c r="S35" s="169">
        <f>SUM(S33:W33)</f>
        <v>0</v>
      </c>
      <c r="Y35" s="31">
        <f>SUM(Z15,Z10)</f>
        <v>0</v>
      </c>
    </row>
    <row r="36" spans="1:29" ht="12.75">
      <c r="D36" s="19">
        <f>D35*1000</f>
        <v>0</v>
      </c>
    </row>
  </sheetData>
  <mergeCells count="8">
    <mergeCell ref="Y13:Z13"/>
    <mergeCell ref="Y14:Z14"/>
    <mergeCell ref="X16:Z32"/>
    <mergeCell ref="D1:I1"/>
    <mergeCell ref="X2:Z2"/>
    <mergeCell ref="X3:Z3"/>
    <mergeCell ref="X11:Z11"/>
    <mergeCell ref="Y12:Z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N44"/>
  <sheetViews>
    <sheetView workbookViewId="0">
      <pane ySplit="2" topLeftCell="J14" activePane="bottomLeft" state="frozen"/>
      <selection pane="bottomLeft" activeCell="J14" sqref="J14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7" width="11.140625" customWidth="1"/>
    <col min="8" max="8" width="10.5703125" customWidth="1"/>
    <col min="9" max="9" width="11.140625" customWidth="1"/>
    <col min="13" max="13" width="6" customWidth="1"/>
    <col min="14" max="14" width="28.7109375" customWidth="1"/>
    <col min="15" max="15" width="20" customWidth="1"/>
  </cols>
  <sheetData>
    <row r="1" spans="1:14" ht="33.75" customHeight="1">
      <c r="A1" s="109" t="s">
        <v>68</v>
      </c>
      <c r="B1" s="109" t="s">
        <v>69</v>
      </c>
      <c r="C1" s="109" t="s">
        <v>70</v>
      </c>
      <c r="D1" s="109" t="s">
        <v>71</v>
      </c>
      <c r="E1" s="109" t="s">
        <v>72</v>
      </c>
      <c r="F1" s="109" t="s">
        <v>73</v>
      </c>
      <c r="G1" s="109" t="s">
        <v>74</v>
      </c>
      <c r="H1" s="109" t="s">
        <v>75</v>
      </c>
      <c r="I1" s="109" t="s">
        <v>69</v>
      </c>
      <c r="J1" s="189" t="s">
        <v>76</v>
      </c>
      <c r="K1" s="190"/>
      <c r="L1" s="191"/>
      <c r="M1" s="134"/>
      <c r="N1" s="58" t="s">
        <v>77</v>
      </c>
    </row>
    <row r="2" spans="1:14" ht="51.75" customHeight="1">
      <c r="A2" s="161" t="s">
        <v>33</v>
      </c>
      <c r="B2" s="162" t="s">
        <v>51</v>
      </c>
      <c r="C2" s="162" t="s">
        <v>78</v>
      </c>
      <c r="D2" s="162" t="s">
        <v>79</v>
      </c>
      <c r="E2" s="162" t="s">
        <v>52</v>
      </c>
      <c r="F2" s="162" t="s">
        <v>53</v>
      </c>
      <c r="G2" s="162" t="s">
        <v>55</v>
      </c>
      <c r="H2" s="162" t="s">
        <v>80</v>
      </c>
      <c r="I2" s="162" t="s">
        <v>54</v>
      </c>
      <c r="J2" s="162" t="s">
        <v>81</v>
      </c>
      <c r="K2" s="162" t="s">
        <v>82</v>
      </c>
      <c r="L2" s="162" t="s">
        <v>83</v>
      </c>
      <c r="M2" s="163"/>
      <c r="N2" s="164" t="s">
        <v>84</v>
      </c>
    </row>
    <row r="3" spans="1:14" ht="21.75" customHeight="1">
      <c r="A3" s="159" t="s">
        <v>85</v>
      </c>
      <c r="B3" s="166">
        <v>60.633333333333333</v>
      </c>
      <c r="C3" s="166">
        <v>32.333333333333336</v>
      </c>
      <c r="D3" s="166">
        <v>133.03333333333333</v>
      </c>
      <c r="E3" s="166">
        <v>168.23333333333332</v>
      </c>
      <c r="F3" s="166">
        <v>76.666666666666671</v>
      </c>
      <c r="G3" s="166">
        <v>0</v>
      </c>
      <c r="H3" s="166">
        <v>13.166666666666666</v>
      </c>
      <c r="I3" s="166">
        <v>93.233333333333334</v>
      </c>
      <c r="J3" s="166">
        <v>12.566666666666666</v>
      </c>
      <c r="K3" s="166">
        <v>35.666666666666664</v>
      </c>
      <c r="L3" s="166">
        <v>24.733333333333334</v>
      </c>
      <c r="M3" s="167"/>
      <c r="N3" s="160"/>
    </row>
    <row r="4" spans="1:14">
      <c r="A4" s="165">
        <v>44896</v>
      </c>
      <c r="B4" s="39">
        <v>60</v>
      </c>
      <c r="C4" s="106">
        <v>24</v>
      </c>
      <c r="D4" s="106">
        <v>214</v>
      </c>
      <c r="E4" s="51">
        <v>152</v>
      </c>
      <c r="F4" s="51">
        <v>71</v>
      </c>
      <c r="G4" s="70">
        <v>0</v>
      </c>
      <c r="H4" s="106">
        <v>0</v>
      </c>
      <c r="I4" s="39">
        <v>100</v>
      </c>
      <c r="J4" s="80">
        <v>13</v>
      </c>
      <c r="K4" s="70">
        <v>32</v>
      </c>
      <c r="L4" s="110">
        <v>29</v>
      </c>
      <c r="M4" s="135"/>
      <c r="N4" s="106">
        <f>K4-(J4+L4)</f>
        <v>-10</v>
      </c>
    </row>
    <row r="5" spans="1:14">
      <c r="A5" s="165">
        <v>44897</v>
      </c>
      <c r="B5" s="30">
        <v>58</v>
      </c>
      <c r="C5" s="50">
        <v>14</v>
      </c>
      <c r="D5" s="50">
        <v>135</v>
      </c>
      <c r="E5" s="20">
        <v>97</v>
      </c>
      <c r="F5" s="20">
        <v>75</v>
      </c>
      <c r="G5" s="65">
        <v>0</v>
      </c>
      <c r="H5" s="50">
        <v>0</v>
      </c>
      <c r="I5" s="30">
        <v>100</v>
      </c>
      <c r="J5" s="46">
        <v>0</v>
      </c>
      <c r="K5" s="65">
        <v>28</v>
      </c>
      <c r="L5" s="81">
        <v>27</v>
      </c>
      <c r="M5" s="136"/>
      <c r="N5" s="106">
        <f t="shared" ref="N5:N34" si="0">K5-(J5+L5)</f>
        <v>1</v>
      </c>
    </row>
    <row r="6" spans="1:14">
      <c r="A6" s="165">
        <v>44898</v>
      </c>
      <c r="B6" s="30">
        <v>57</v>
      </c>
      <c r="C6" s="50">
        <v>31</v>
      </c>
      <c r="D6" s="50">
        <v>125</v>
      </c>
      <c r="E6" s="30">
        <v>67</v>
      </c>
      <c r="F6" s="30">
        <v>87</v>
      </c>
      <c r="G6" s="65">
        <v>0</v>
      </c>
      <c r="H6" s="50">
        <v>0</v>
      </c>
      <c r="I6" s="30">
        <v>102</v>
      </c>
      <c r="J6" s="46">
        <v>10</v>
      </c>
      <c r="K6" s="65">
        <v>38</v>
      </c>
      <c r="L6" s="81">
        <v>22</v>
      </c>
      <c r="M6" s="136"/>
      <c r="N6" s="106">
        <f t="shared" si="0"/>
        <v>6</v>
      </c>
    </row>
    <row r="7" spans="1:14">
      <c r="A7" s="165">
        <v>44899</v>
      </c>
      <c r="B7" s="30">
        <v>71</v>
      </c>
      <c r="C7" s="50">
        <v>22</v>
      </c>
      <c r="D7" s="50">
        <v>139</v>
      </c>
      <c r="E7" s="30">
        <v>145</v>
      </c>
      <c r="F7" s="30">
        <v>63</v>
      </c>
      <c r="G7" s="66">
        <v>0</v>
      </c>
      <c r="H7" s="50">
        <v>0</v>
      </c>
      <c r="I7" s="30">
        <v>98</v>
      </c>
      <c r="J7" s="46">
        <v>14</v>
      </c>
      <c r="K7" s="65">
        <v>34</v>
      </c>
      <c r="L7" s="81">
        <v>27</v>
      </c>
      <c r="M7" s="136"/>
      <c r="N7" s="106">
        <f t="shared" si="0"/>
        <v>-7</v>
      </c>
    </row>
    <row r="8" spans="1:14">
      <c r="A8" s="165">
        <v>44900</v>
      </c>
      <c r="B8" s="30">
        <v>60</v>
      </c>
      <c r="C8" s="50">
        <v>28</v>
      </c>
      <c r="D8" s="50">
        <v>141</v>
      </c>
      <c r="E8" s="30">
        <v>155</v>
      </c>
      <c r="F8" s="30">
        <v>71</v>
      </c>
      <c r="G8" s="50">
        <v>0</v>
      </c>
      <c r="H8" s="50">
        <v>0</v>
      </c>
      <c r="I8" s="30">
        <v>101</v>
      </c>
      <c r="J8" s="46">
        <v>19</v>
      </c>
      <c r="K8" s="65">
        <v>46</v>
      </c>
      <c r="L8" s="81">
        <v>51</v>
      </c>
      <c r="M8" s="136"/>
      <c r="N8" s="106">
        <f>K8-(J8+L8)</f>
        <v>-24</v>
      </c>
    </row>
    <row r="9" spans="1:14">
      <c r="A9" s="165">
        <v>44901</v>
      </c>
      <c r="B9" s="37"/>
      <c r="C9" s="50"/>
      <c r="D9" s="50"/>
      <c r="E9" s="37"/>
      <c r="F9" s="37"/>
      <c r="G9" s="50"/>
      <c r="H9" s="50"/>
      <c r="I9" s="37"/>
      <c r="J9" s="46"/>
      <c r="K9" s="65"/>
      <c r="L9" s="81"/>
      <c r="M9" s="136"/>
      <c r="N9" s="106">
        <f>K9-(J9+L9)</f>
        <v>0</v>
      </c>
    </row>
    <row r="10" spans="1:14">
      <c r="A10" s="165">
        <v>44902</v>
      </c>
      <c r="B10" s="30"/>
      <c r="C10" s="50"/>
      <c r="D10" s="50"/>
      <c r="E10" s="20"/>
      <c r="F10" s="20"/>
      <c r="G10" s="50"/>
      <c r="H10" s="50"/>
      <c r="I10" s="30"/>
      <c r="J10" s="46"/>
      <c r="K10" s="65"/>
      <c r="L10" s="81"/>
      <c r="M10" s="136"/>
      <c r="N10" s="106">
        <f>K10-(J10+L10)</f>
        <v>0</v>
      </c>
    </row>
    <row r="11" spans="1:14">
      <c r="A11" s="165">
        <v>44903</v>
      </c>
      <c r="B11" s="30"/>
      <c r="C11" s="50"/>
      <c r="D11" s="50"/>
      <c r="E11" s="30"/>
      <c r="F11" s="30"/>
      <c r="G11" s="50"/>
      <c r="H11" s="50"/>
      <c r="I11" s="30"/>
      <c r="J11" s="46"/>
      <c r="K11" s="65"/>
      <c r="L11" s="81"/>
      <c r="M11" s="136"/>
      <c r="N11" s="106">
        <f t="shared" si="0"/>
        <v>0</v>
      </c>
    </row>
    <row r="12" spans="1:14">
      <c r="A12" s="165">
        <v>44904</v>
      </c>
      <c r="B12" s="30"/>
      <c r="C12" s="50"/>
      <c r="D12" s="50"/>
      <c r="E12" s="20"/>
      <c r="F12" s="20"/>
      <c r="G12" s="50"/>
      <c r="H12" s="50"/>
      <c r="I12" s="30"/>
      <c r="J12" s="46"/>
      <c r="K12" s="65"/>
      <c r="L12" s="81"/>
      <c r="M12" s="136"/>
      <c r="N12" s="106">
        <f t="shared" si="0"/>
        <v>0</v>
      </c>
    </row>
    <row r="13" spans="1:14">
      <c r="A13" s="165">
        <v>44905</v>
      </c>
      <c r="B13" s="30"/>
      <c r="C13" s="50"/>
      <c r="D13" s="50"/>
      <c r="E13" s="30"/>
      <c r="F13" s="30"/>
      <c r="G13" s="50"/>
      <c r="H13" s="50"/>
      <c r="I13" s="30"/>
      <c r="J13" s="46"/>
      <c r="K13" s="65"/>
      <c r="L13" s="81"/>
      <c r="M13" s="136"/>
      <c r="N13" s="106">
        <f>K13-(J13+L13)</f>
        <v>0</v>
      </c>
    </row>
    <row r="14" spans="1:14">
      <c r="A14" s="165">
        <v>44906</v>
      </c>
      <c r="B14" s="30"/>
      <c r="C14" s="50"/>
      <c r="D14" s="50"/>
      <c r="E14" s="30"/>
      <c r="F14" s="30"/>
      <c r="G14" s="50"/>
      <c r="H14" s="50"/>
      <c r="I14" s="30"/>
      <c r="J14" s="46"/>
      <c r="K14" s="65"/>
      <c r="L14" s="81"/>
      <c r="M14" s="136"/>
      <c r="N14" s="106">
        <f t="shared" si="0"/>
        <v>0</v>
      </c>
    </row>
    <row r="15" spans="1:14">
      <c r="A15" s="165">
        <v>44907</v>
      </c>
      <c r="B15" s="30"/>
      <c r="C15" s="50"/>
      <c r="D15" s="50"/>
      <c r="E15" s="30"/>
      <c r="F15" s="30"/>
      <c r="G15" s="50"/>
      <c r="H15" s="50"/>
      <c r="I15" s="30"/>
      <c r="J15" s="46"/>
      <c r="K15" s="65"/>
      <c r="L15" s="81"/>
      <c r="M15" s="136"/>
      <c r="N15" s="106">
        <f t="shared" si="0"/>
        <v>0</v>
      </c>
    </row>
    <row r="16" spans="1:14">
      <c r="A16" s="165">
        <v>44908</v>
      </c>
      <c r="B16" s="30"/>
      <c r="C16" s="50"/>
      <c r="D16" s="50"/>
      <c r="E16" s="20"/>
      <c r="F16" s="20"/>
      <c r="G16" s="50"/>
      <c r="H16" s="50"/>
      <c r="I16" s="20"/>
      <c r="J16" s="46"/>
      <c r="K16" s="65"/>
      <c r="L16" s="81"/>
      <c r="M16" s="136"/>
      <c r="N16" s="106">
        <f t="shared" si="0"/>
        <v>0</v>
      </c>
    </row>
    <row r="17" spans="1:14">
      <c r="A17" s="165">
        <v>44909</v>
      </c>
      <c r="B17" s="30"/>
      <c r="C17" s="50"/>
      <c r="D17" s="50"/>
      <c r="E17" s="30"/>
      <c r="F17" s="30"/>
      <c r="G17" s="50"/>
      <c r="H17" s="50"/>
      <c r="I17" s="30"/>
      <c r="J17" s="46"/>
      <c r="K17" s="65"/>
      <c r="L17" s="81"/>
      <c r="M17" s="136"/>
      <c r="N17" s="106">
        <f t="shared" si="0"/>
        <v>0</v>
      </c>
    </row>
    <row r="18" spans="1:14">
      <c r="A18" s="165">
        <v>44910</v>
      </c>
      <c r="B18" s="30"/>
      <c r="C18" s="50"/>
      <c r="D18" s="50"/>
      <c r="E18" s="30"/>
      <c r="F18" s="30"/>
      <c r="G18" s="50"/>
      <c r="H18" s="50"/>
      <c r="I18" s="30"/>
      <c r="J18" s="46"/>
      <c r="K18" s="65"/>
      <c r="L18" s="81"/>
      <c r="M18" s="136"/>
      <c r="N18" s="106">
        <f t="shared" si="0"/>
        <v>0</v>
      </c>
    </row>
    <row r="19" spans="1:14">
      <c r="A19" s="165">
        <v>44911</v>
      </c>
      <c r="B19" s="39"/>
      <c r="C19" s="106"/>
      <c r="D19" s="106"/>
      <c r="E19" s="51"/>
      <c r="F19" s="51"/>
      <c r="G19" s="70"/>
      <c r="H19" s="106"/>
      <c r="I19" s="39"/>
      <c r="J19" s="80"/>
      <c r="K19" s="70"/>
      <c r="L19" s="110"/>
      <c r="M19" s="136"/>
      <c r="N19" s="106">
        <f t="shared" si="0"/>
        <v>0</v>
      </c>
    </row>
    <row r="20" spans="1:14">
      <c r="A20" s="165">
        <v>44912</v>
      </c>
      <c r="B20" s="30"/>
      <c r="C20" s="50"/>
      <c r="D20" s="50"/>
      <c r="E20" s="20"/>
      <c r="F20" s="20"/>
      <c r="G20" s="65"/>
      <c r="H20" s="50"/>
      <c r="I20" s="30"/>
      <c r="J20" s="46"/>
      <c r="K20" s="65"/>
      <c r="L20" s="81"/>
      <c r="M20" s="136"/>
      <c r="N20" s="106">
        <f t="shared" si="0"/>
        <v>0</v>
      </c>
    </row>
    <row r="21" spans="1:14">
      <c r="A21" s="165">
        <v>44913</v>
      </c>
      <c r="B21" s="30"/>
      <c r="C21" s="50"/>
      <c r="D21" s="50"/>
      <c r="E21" s="30"/>
      <c r="F21" s="30"/>
      <c r="G21" s="65"/>
      <c r="H21" s="50"/>
      <c r="I21" s="30"/>
      <c r="J21" s="46"/>
      <c r="K21" s="65"/>
      <c r="L21" s="81"/>
      <c r="M21" s="136"/>
      <c r="N21" s="106">
        <f t="shared" si="0"/>
        <v>0</v>
      </c>
    </row>
    <row r="22" spans="1:14">
      <c r="A22" s="165">
        <v>44914</v>
      </c>
      <c r="B22" s="30"/>
      <c r="C22" s="50"/>
      <c r="D22" s="50"/>
      <c r="E22" s="30"/>
      <c r="F22" s="30"/>
      <c r="G22" s="66"/>
      <c r="H22" s="50"/>
      <c r="I22" s="30"/>
      <c r="J22" s="46"/>
      <c r="K22" s="65"/>
      <c r="L22" s="81"/>
      <c r="M22" s="136"/>
      <c r="N22" s="106">
        <f>K22-(J22+L22)</f>
        <v>0</v>
      </c>
    </row>
    <row r="23" spans="1:14">
      <c r="A23" s="165">
        <v>44915</v>
      </c>
      <c r="B23" s="30"/>
      <c r="C23" s="50"/>
      <c r="D23" s="50"/>
      <c r="E23" s="30"/>
      <c r="F23" s="30"/>
      <c r="G23" s="50"/>
      <c r="H23" s="50"/>
      <c r="I23" s="30"/>
      <c r="J23" s="46"/>
      <c r="K23" s="65"/>
      <c r="L23" s="81"/>
      <c r="M23" s="136"/>
      <c r="N23" s="106">
        <f t="shared" si="0"/>
        <v>0</v>
      </c>
    </row>
    <row r="24" spans="1:14">
      <c r="A24" s="165">
        <v>44916</v>
      </c>
      <c r="B24" s="37"/>
      <c r="C24" s="50"/>
      <c r="D24" s="50"/>
      <c r="E24" s="37"/>
      <c r="F24" s="37"/>
      <c r="G24" s="50"/>
      <c r="H24" s="50"/>
      <c r="I24" s="37"/>
      <c r="J24" s="46"/>
      <c r="K24" s="65"/>
      <c r="L24" s="81"/>
      <c r="M24" s="136"/>
      <c r="N24" s="106">
        <f t="shared" si="0"/>
        <v>0</v>
      </c>
    </row>
    <row r="25" spans="1:14">
      <c r="A25" s="165">
        <v>44917</v>
      </c>
      <c r="B25" s="30"/>
      <c r="C25" s="50"/>
      <c r="D25" s="50"/>
      <c r="E25" s="20"/>
      <c r="F25" s="20"/>
      <c r="G25" s="50"/>
      <c r="H25" s="50"/>
      <c r="I25" s="30"/>
      <c r="J25" s="46"/>
      <c r="K25" s="65"/>
      <c r="L25" s="81"/>
      <c r="M25" s="136"/>
      <c r="N25" s="106">
        <f t="shared" si="0"/>
        <v>0</v>
      </c>
    </row>
    <row r="26" spans="1:14">
      <c r="A26" s="165">
        <v>44918</v>
      </c>
      <c r="B26" s="30"/>
      <c r="C26" s="50"/>
      <c r="D26" s="50"/>
      <c r="E26" s="30"/>
      <c r="F26" s="30"/>
      <c r="G26" s="50"/>
      <c r="H26" s="50"/>
      <c r="I26" s="30"/>
      <c r="J26" s="46"/>
      <c r="K26" s="65"/>
      <c r="L26" s="81"/>
      <c r="M26" s="136"/>
      <c r="N26" s="106">
        <f t="shared" si="0"/>
        <v>0</v>
      </c>
    </row>
    <row r="27" spans="1:14">
      <c r="A27" s="165">
        <v>44919</v>
      </c>
      <c r="B27" s="30"/>
      <c r="C27" s="50"/>
      <c r="D27" s="50"/>
      <c r="E27" s="20"/>
      <c r="F27" s="20"/>
      <c r="G27" s="50"/>
      <c r="H27" s="50"/>
      <c r="I27" s="30"/>
      <c r="J27" s="46"/>
      <c r="K27" s="65"/>
      <c r="L27" s="81"/>
      <c r="M27" s="136"/>
      <c r="N27" s="106">
        <v>0</v>
      </c>
    </row>
    <row r="28" spans="1:14">
      <c r="A28" s="165">
        <v>44920</v>
      </c>
      <c r="B28" s="30"/>
      <c r="C28" s="50"/>
      <c r="D28" s="50"/>
      <c r="E28" s="30"/>
      <c r="F28" s="30"/>
      <c r="G28" s="50"/>
      <c r="H28" s="50"/>
      <c r="I28" s="30"/>
      <c r="J28" s="46"/>
      <c r="K28" s="65"/>
      <c r="L28" s="81"/>
      <c r="M28" s="136"/>
      <c r="N28" s="106">
        <f t="shared" si="0"/>
        <v>0</v>
      </c>
    </row>
    <row r="29" spans="1:14">
      <c r="A29" s="165">
        <v>44921</v>
      </c>
      <c r="B29" s="30"/>
      <c r="C29" s="50"/>
      <c r="D29" s="50"/>
      <c r="E29" s="30"/>
      <c r="F29" s="30"/>
      <c r="G29" s="50"/>
      <c r="H29" s="50"/>
      <c r="I29" s="30"/>
      <c r="J29" s="46"/>
      <c r="K29" s="65"/>
      <c r="L29" s="81"/>
      <c r="M29" s="136"/>
      <c r="N29" s="106">
        <f t="shared" si="0"/>
        <v>0</v>
      </c>
    </row>
    <row r="30" spans="1:14">
      <c r="A30" s="165">
        <v>44922</v>
      </c>
      <c r="B30" s="30"/>
      <c r="C30" s="50"/>
      <c r="D30" s="50"/>
      <c r="E30" s="30"/>
      <c r="F30" s="30"/>
      <c r="G30" s="50"/>
      <c r="H30" s="50"/>
      <c r="I30" s="30"/>
      <c r="J30" s="46"/>
      <c r="K30" s="65"/>
      <c r="L30" s="81"/>
      <c r="M30" s="136"/>
      <c r="N30" s="106">
        <f t="shared" si="0"/>
        <v>0</v>
      </c>
    </row>
    <row r="31" spans="1:14">
      <c r="A31" s="165">
        <v>44923</v>
      </c>
      <c r="B31" s="30"/>
      <c r="C31" s="50"/>
      <c r="D31" s="50"/>
      <c r="E31" s="20"/>
      <c r="F31" s="20"/>
      <c r="G31" s="50"/>
      <c r="H31" s="50"/>
      <c r="I31" s="20"/>
      <c r="J31" s="46"/>
      <c r="K31" s="65"/>
      <c r="L31" s="81"/>
      <c r="M31" s="136"/>
      <c r="N31" s="106">
        <f t="shared" si="0"/>
        <v>0</v>
      </c>
    </row>
    <row r="32" spans="1:14">
      <c r="A32" s="165">
        <v>44924</v>
      </c>
      <c r="B32" s="30"/>
      <c r="C32" s="50"/>
      <c r="D32" s="50"/>
      <c r="E32" s="30"/>
      <c r="F32" s="30"/>
      <c r="G32" s="50"/>
      <c r="H32" s="50"/>
      <c r="I32" s="30"/>
      <c r="J32" s="46"/>
      <c r="K32" s="65"/>
      <c r="L32" s="81"/>
      <c r="M32" s="136"/>
      <c r="N32" s="106">
        <f t="shared" si="0"/>
        <v>0</v>
      </c>
    </row>
    <row r="33" spans="1:14">
      <c r="A33" s="165">
        <v>44925</v>
      </c>
      <c r="B33" s="30"/>
      <c r="C33" s="50"/>
      <c r="D33" s="50"/>
      <c r="E33" s="30"/>
      <c r="F33" s="30"/>
      <c r="G33" s="50"/>
      <c r="H33" s="50"/>
      <c r="I33" s="30"/>
      <c r="J33" s="46"/>
      <c r="K33" s="65"/>
      <c r="L33" s="81"/>
      <c r="M33" s="136"/>
      <c r="N33" s="106">
        <f t="shared" si="0"/>
        <v>0</v>
      </c>
    </row>
    <row r="34" spans="1:14">
      <c r="A34" s="165">
        <v>44926</v>
      </c>
      <c r="B34" s="50"/>
      <c r="C34" s="50"/>
      <c r="D34" s="50"/>
      <c r="E34" s="50"/>
      <c r="F34" s="46"/>
      <c r="G34" s="50"/>
      <c r="H34" s="50"/>
      <c r="I34" s="46"/>
      <c r="J34" s="46"/>
      <c r="K34" s="65"/>
      <c r="L34" s="81"/>
      <c r="M34" s="136"/>
      <c r="N34" s="106">
        <f t="shared" si="0"/>
        <v>0</v>
      </c>
    </row>
    <row r="35" spans="1:14" ht="45" customHeight="1">
      <c r="A35" s="108" t="s">
        <v>86</v>
      </c>
      <c r="B35" s="107">
        <f>SUM(B4:B34)</f>
        <v>306</v>
      </c>
      <c r="C35" s="107">
        <f t="shared" ref="C35:L35" si="1">SUM(C4:C34)</f>
        <v>119</v>
      </c>
      <c r="D35" s="107">
        <f t="shared" si="1"/>
        <v>754</v>
      </c>
      <c r="E35" s="107">
        <f t="shared" si="1"/>
        <v>616</v>
      </c>
      <c r="F35" s="107">
        <f t="shared" si="1"/>
        <v>367</v>
      </c>
      <c r="G35" s="107">
        <f t="shared" si="1"/>
        <v>0</v>
      </c>
      <c r="H35" s="107">
        <f t="shared" si="1"/>
        <v>0</v>
      </c>
      <c r="I35" s="107">
        <f t="shared" si="1"/>
        <v>501</v>
      </c>
      <c r="J35" s="107">
        <f t="shared" si="1"/>
        <v>56</v>
      </c>
      <c r="K35" s="111"/>
      <c r="L35" s="111">
        <f t="shared" si="1"/>
        <v>156</v>
      </c>
      <c r="M35" s="111"/>
      <c r="N35" s="107">
        <f>E35-J35-(L35+3)</f>
        <v>401</v>
      </c>
    </row>
    <row r="44" spans="1:14" hidden="1"/>
  </sheetData>
  <mergeCells count="1">
    <mergeCell ref="J1:L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C105"/>
  <sheetViews>
    <sheetView workbookViewId="0">
      <pane xSplit="1" topLeftCell="F1" activePane="topRight" state="frozen"/>
      <selection pane="topRight" activeCell="P8" sqref="P8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hidden="1" customWidth="1"/>
  </cols>
  <sheetData>
    <row r="1" spans="1:29"/>
    <row r="2" spans="1:29" ht="17.25" customHeight="1">
      <c r="A2" s="94"/>
      <c r="B2" s="195" t="s">
        <v>87</v>
      </c>
      <c r="C2" s="196"/>
      <c r="D2" s="196"/>
      <c r="E2" s="197"/>
      <c r="F2" s="195" t="s">
        <v>88</v>
      </c>
      <c r="G2" s="196"/>
      <c r="H2" s="196"/>
      <c r="I2" s="197"/>
      <c r="J2" s="198" t="s">
        <v>89</v>
      </c>
      <c r="K2" s="199"/>
      <c r="L2" s="199"/>
      <c r="M2" s="200"/>
      <c r="N2" s="198" t="s">
        <v>90</v>
      </c>
      <c r="O2" s="199"/>
      <c r="P2" s="199"/>
      <c r="Q2" s="200"/>
      <c r="R2" s="198" t="s">
        <v>91</v>
      </c>
      <c r="S2" s="199"/>
      <c r="T2" s="199"/>
      <c r="U2" s="199"/>
      <c r="V2" s="152"/>
      <c r="W2" s="152"/>
      <c r="X2" s="153"/>
      <c r="Y2" s="154"/>
      <c r="Z2" s="155"/>
      <c r="AA2" s="155"/>
      <c r="AB2" s="192" t="s">
        <v>92</v>
      </c>
      <c r="AC2" s="193"/>
    </row>
    <row r="3" spans="1:29" ht="70.5" customHeight="1">
      <c r="A3" s="52" t="s">
        <v>33</v>
      </c>
      <c r="B3" s="83" t="s">
        <v>93</v>
      </c>
      <c r="C3" s="83" t="s">
        <v>94</v>
      </c>
      <c r="D3" s="84" t="s">
        <v>95</v>
      </c>
      <c r="E3" s="95"/>
      <c r="F3" s="49" t="s">
        <v>93</v>
      </c>
      <c r="G3" s="49" t="s">
        <v>94</v>
      </c>
      <c r="H3" s="77" t="s">
        <v>95</v>
      </c>
      <c r="I3" s="97"/>
      <c r="J3" s="49" t="s">
        <v>93</v>
      </c>
      <c r="K3" s="49" t="s">
        <v>94</v>
      </c>
      <c r="L3" s="77" t="s">
        <v>95</v>
      </c>
      <c r="M3" s="96"/>
      <c r="N3" s="49" t="s">
        <v>93</v>
      </c>
      <c r="O3" s="49" t="s">
        <v>94</v>
      </c>
      <c r="P3" s="77" t="s">
        <v>95</v>
      </c>
      <c r="Q3" s="96"/>
      <c r="R3" s="49" t="s">
        <v>93</v>
      </c>
      <c r="S3" s="49" t="s">
        <v>94</v>
      </c>
      <c r="T3" s="77" t="s">
        <v>95</v>
      </c>
      <c r="U3" s="130"/>
      <c r="V3" s="109" t="s">
        <v>96</v>
      </c>
      <c r="W3" s="109" t="s">
        <v>97</v>
      </c>
      <c r="X3" s="103" t="s">
        <v>98</v>
      </c>
      <c r="Y3" s="129" t="s">
        <v>99</v>
      </c>
      <c r="Z3" s="129">
        <v>0</v>
      </c>
      <c r="AA3" s="129"/>
      <c r="AB3" s="109"/>
      <c r="AC3" s="109"/>
    </row>
    <row r="4" spans="1:29">
      <c r="A4" s="53">
        <v>44896</v>
      </c>
      <c r="B4" s="50">
        <v>21</v>
      </c>
      <c r="C4" s="50">
        <v>2761</v>
      </c>
      <c r="D4" s="65">
        <v>12787</v>
      </c>
      <c r="E4" s="96"/>
      <c r="F4" s="50">
        <v>15</v>
      </c>
      <c r="G4" s="50">
        <v>2359</v>
      </c>
      <c r="H4" s="81">
        <v>10907</v>
      </c>
      <c r="I4" s="98"/>
      <c r="J4" s="50">
        <v>10</v>
      </c>
      <c r="K4" s="50">
        <v>1135</v>
      </c>
      <c r="L4" s="81">
        <v>5248</v>
      </c>
      <c r="M4" s="96"/>
      <c r="N4" s="50">
        <v>0</v>
      </c>
      <c r="O4" s="50">
        <v>0</v>
      </c>
      <c r="P4" s="81">
        <v>0</v>
      </c>
      <c r="Q4" s="96"/>
      <c r="R4" s="50">
        <v>10</v>
      </c>
      <c r="S4" s="50">
        <v>1588</v>
      </c>
      <c r="T4" s="50">
        <v>7520</v>
      </c>
      <c r="U4" s="151"/>
      <c r="V4" s="38"/>
      <c r="W4" s="50">
        <f>SUM(B4,F4,J4,N4,R4)</f>
        <v>56</v>
      </c>
      <c r="X4" s="50">
        <f>SUM(C4,G4,K4,O4,S4)</f>
        <v>7843</v>
      </c>
      <c r="Y4" s="50">
        <f>SUM(D4,H4,L4,P4,T4)</f>
        <v>36462</v>
      </c>
      <c r="Z4" s="65"/>
      <c r="AA4" s="65"/>
      <c r="AB4" s="46"/>
      <c r="AC4" s="46"/>
    </row>
    <row r="5" spans="1:29">
      <c r="A5" s="53">
        <v>44897</v>
      </c>
      <c r="B5" s="50">
        <v>9</v>
      </c>
      <c r="C5" s="50">
        <v>1191</v>
      </c>
      <c r="D5" s="65">
        <v>5363</v>
      </c>
      <c r="E5" s="96"/>
      <c r="F5" s="50">
        <v>15</v>
      </c>
      <c r="G5" s="50">
        <v>2333</v>
      </c>
      <c r="H5" s="81">
        <v>10782</v>
      </c>
      <c r="I5" s="98"/>
      <c r="J5" s="50">
        <v>9</v>
      </c>
      <c r="K5" s="50">
        <v>1082</v>
      </c>
      <c r="L5" s="81">
        <v>5378</v>
      </c>
      <c r="M5" s="96"/>
      <c r="N5" s="50">
        <v>0</v>
      </c>
      <c r="O5" s="50">
        <v>0</v>
      </c>
      <c r="P5" s="81">
        <v>0</v>
      </c>
      <c r="Q5" s="96"/>
      <c r="R5" s="50">
        <v>15</v>
      </c>
      <c r="S5" s="50">
        <v>2436</v>
      </c>
      <c r="T5" s="50">
        <v>10802</v>
      </c>
      <c r="U5" s="130" t="s">
        <v>100</v>
      </c>
      <c r="V5" s="38"/>
      <c r="W5" s="50">
        <f>SUM(B5,F5,J5,N5,R5)</f>
        <v>48</v>
      </c>
      <c r="X5" s="50">
        <f t="shared" ref="X5:X34" si="0">SUM(C5,G5,K5,O5,S5)</f>
        <v>7042</v>
      </c>
      <c r="Y5" s="50">
        <f t="shared" ref="Y5:Y34" si="1">SUM(D5,H5,L5,P5,T5)</f>
        <v>32325</v>
      </c>
      <c r="Z5" s="81"/>
      <c r="AA5" s="65"/>
      <c r="AB5" s="46"/>
      <c r="AC5" s="46"/>
    </row>
    <row r="6" spans="1:29">
      <c r="A6" s="53">
        <v>44898</v>
      </c>
      <c r="B6" s="50">
        <v>14</v>
      </c>
      <c r="C6" s="50">
        <v>1752</v>
      </c>
      <c r="D6" s="65">
        <v>8388</v>
      </c>
      <c r="E6" s="96"/>
      <c r="F6" s="50">
        <v>11</v>
      </c>
      <c r="G6" s="50">
        <v>1517</v>
      </c>
      <c r="H6" s="81">
        <v>6931</v>
      </c>
      <c r="I6" s="98"/>
      <c r="J6" s="50">
        <v>20</v>
      </c>
      <c r="K6" s="50">
        <v>2421</v>
      </c>
      <c r="L6" s="81">
        <v>11861</v>
      </c>
      <c r="M6" s="96"/>
      <c r="N6" s="50">
        <v>0</v>
      </c>
      <c r="O6" s="50">
        <v>0</v>
      </c>
      <c r="P6" s="81">
        <v>0</v>
      </c>
      <c r="Q6" s="96"/>
      <c r="R6" s="50">
        <v>9</v>
      </c>
      <c r="S6" s="50">
        <v>1261</v>
      </c>
      <c r="T6" s="50">
        <v>5766</v>
      </c>
      <c r="U6" s="130"/>
      <c r="V6" s="38"/>
      <c r="W6" s="50">
        <f t="shared" ref="W6:W34" si="2">SUM(B6,F6,J6,N6,R6)</f>
        <v>54</v>
      </c>
      <c r="X6" s="50">
        <f t="shared" si="0"/>
        <v>6951</v>
      </c>
      <c r="Y6" s="50">
        <f t="shared" si="1"/>
        <v>32946</v>
      </c>
      <c r="Z6" s="81"/>
      <c r="AA6" s="65"/>
      <c r="AB6" s="46"/>
      <c r="AC6" s="46"/>
    </row>
    <row r="7" spans="1:29">
      <c r="A7" s="53">
        <v>44899</v>
      </c>
      <c r="B7" s="50">
        <v>18</v>
      </c>
      <c r="C7" s="50">
        <v>2262</v>
      </c>
      <c r="D7" s="65">
        <v>10905</v>
      </c>
      <c r="E7" s="96"/>
      <c r="F7" s="50">
        <v>14</v>
      </c>
      <c r="G7" s="50">
        <v>1963</v>
      </c>
      <c r="H7" s="81">
        <v>8754</v>
      </c>
      <c r="I7" s="98"/>
      <c r="J7" s="50">
        <v>13</v>
      </c>
      <c r="K7" s="50">
        <v>1619</v>
      </c>
      <c r="L7" s="81">
        <v>7905</v>
      </c>
      <c r="M7" s="96"/>
      <c r="N7" s="50">
        <v>0</v>
      </c>
      <c r="O7" s="50">
        <v>0</v>
      </c>
      <c r="P7" s="81">
        <v>0</v>
      </c>
      <c r="Q7" s="96"/>
      <c r="R7" s="50">
        <v>13</v>
      </c>
      <c r="S7" s="50">
        <v>1894</v>
      </c>
      <c r="T7" s="50">
        <v>8073</v>
      </c>
      <c r="U7" s="130"/>
      <c r="V7" s="38"/>
      <c r="W7" s="50">
        <f t="shared" si="2"/>
        <v>58</v>
      </c>
      <c r="X7" s="50">
        <f t="shared" si="0"/>
        <v>7738</v>
      </c>
      <c r="Y7" s="50">
        <f t="shared" si="1"/>
        <v>35637</v>
      </c>
      <c r="Z7" s="81"/>
      <c r="AA7" s="65"/>
      <c r="AB7" s="46"/>
      <c r="AC7" s="46"/>
    </row>
    <row r="8" spans="1:29">
      <c r="A8" s="53">
        <v>44900</v>
      </c>
      <c r="B8" s="50">
        <v>9</v>
      </c>
      <c r="C8" s="50">
        <v>1132</v>
      </c>
      <c r="D8" s="65">
        <v>5104</v>
      </c>
      <c r="E8" s="96"/>
      <c r="F8" s="50">
        <v>24</v>
      </c>
      <c r="G8" s="50">
        <v>3332</v>
      </c>
      <c r="H8" s="81">
        <v>15185</v>
      </c>
      <c r="I8" s="98"/>
      <c r="J8" s="50">
        <v>13</v>
      </c>
      <c r="K8" s="50">
        <v>1667</v>
      </c>
      <c r="L8" s="81">
        <v>8249</v>
      </c>
      <c r="M8" s="96"/>
      <c r="N8" s="50">
        <v>0</v>
      </c>
      <c r="O8" s="50">
        <v>0</v>
      </c>
      <c r="P8" s="81">
        <v>0</v>
      </c>
      <c r="Q8" s="96"/>
      <c r="R8" s="50">
        <v>7</v>
      </c>
      <c r="S8" s="50">
        <v>922</v>
      </c>
      <c r="T8" s="50">
        <v>4060</v>
      </c>
      <c r="U8" s="130"/>
      <c r="V8" s="38"/>
      <c r="W8" s="50">
        <f t="shared" si="2"/>
        <v>53</v>
      </c>
      <c r="X8" s="50">
        <f t="shared" si="0"/>
        <v>7053</v>
      </c>
      <c r="Y8" s="50">
        <f t="shared" si="1"/>
        <v>32598</v>
      </c>
      <c r="Z8" s="81"/>
      <c r="AA8" s="65"/>
      <c r="AB8" s="46"/>
      <c r="AC8" s="46"/>
    </row>
    <row r="9" spans="1:29">
      <c r="A9" s="53">
        <v>44901</v>
      </c>
      <c r="B9" s="50"/>
      <c r="C9" s="50"/>
      <c r="D9" s="65"/>
      <c r="E9" s="96"/>
      <c r="F9" s="50"/>
      <c r="G9" s="50"/>
      <c r="H9" s="81"/>
      <c r="I9" s="98"/>
      <c r="J9" s="50"/>
      <c r="K9" s="50"/>
      <c r="L9" s="81"/>
      <c r="M9" s="96"/>
      <c r="N9" s="50"/>
      <c r="O9" s="50"/>
      <c r="P9" s="81"/>
      <c r="Q9" s="96"/>
      <c r="R9" s="50"/>
      <c r="S9" s="50"/>
      <c r="T9" s="50"/>
      <c r="U9" s="130"/>
      <c r="V9" s="38"/>
      <c r="W9" s="50">
        <f t="shared" si="2"/>
        <v>0</v>
      </c>
      <c r="X9" s="50">
        <f t="shared" si="0"/>
        <v>0</v>
      </c>
      <c r="Y9" s="50">
        <f t="shared" si="1"/>
        <v>0</v>
      </c>
      <c r="Z9" s="81"/>
      <c r="AA9" s="65"/>
      <c r="AB9" s="46"/>
      <c r="AC9" s="46"/>
    </row>
    <row r="10" spans="1:29">
      <c r="A10" s="53">
        <v>44902</v>
      </c>
      <c r="B10" s="50"/>
      <c r="C10" s="50"/>
      <c r="D10" s="65"/>
      <c r="E10" s="96"/>
      <c r="F10" s="50"/>
      <c r="G10" s="50"/>
      <c r="H10" s="81"/>
      <c r="I10" s="98"/>
      <c r="J10" s="50"/>
      <c r="K10" s="50"/>
      <c r="L10" s="81"/>
      <c r="M10" s="96"/>
      <c r="N10" s="50"/>
      <c r="O10" s="50"/>
      <c r="P10" s="81"/>
      <c r="Q10" s="96"/>
      <c r="R10" s="50"/>
      <c r="S10" s="50"/>
      <c r="T10" s="50"/>
      <c r="U10" s="130"/>
      <c r="V10" s="38"/>
      <c r="W10" s="50">
        <f t="shared" si="2"/>
        <v>0</v>
      </c>
      <c r="X10" s="50">
        <f t="shared" si="0"/>
        <v>0</v>
      </c>
      <c r="Y10" s="50">
        <f t="shared" si="1"/>
        <v>0</v>
      </c>
      <c r="Z10" s="81"/>
      <c r="AA10" s="65"/>
      <c r="AB10" s="46"/>
      <c r="AC10" s="46"/>
    </row>
    <row r="11" spans="1:29">
      <c r="A11" s="53">
        <v>44903</v>
      </c>
      <c r="B11" s="50"/>
      <c r="C11" s="50"/>
      <c r="D11" s="65"/>
      <c r="E11" s="96"/>
      <c r="F11" s="50"/>
      <c r="G11" s="50"/>
      <c r="H11" s="81"/>
      <c r="I11" s="98"/>
      <c r="J11" s="50"/>
      <c r="K11" s="50"/>
      <c r="L11" s="81"/>
      <c r="M11" s="96"/>
      <c r="N11" s="50"/>
      <c r="O11" s="50"/>
      <c r="P11" s="81"/>
      <c r="Q11" s="96"/>
      <c r="R11" s="50"/>
      <c r="S11" s="50"/>
      <c r="T11" s="50"/>
      <c r="U11" s="130"/>
      <c r="V11" s="38"/>
      <c r="W11" s="50">
        <f t="shared" si="2"/>
        <v>0</v>
      </c>
      <c r="X11" s="50">
        <f>SUM(C11,G11,K11,O11,S11)</f>
        <v>0</v>
      </c>
      <c r="Y11" s="50">
        <f t="shared" si="1"/>
        <v>0</v>
      </c>
      <c r="Z11" s="81"/>
      <c r="AA11" s="65"/>
      <c r="AB11" s="46"/>
      <c r="AC11" s="46"/>
    </row>
    <row r="12" spans="1:29">
      <c r="A12" s="53">
        <v>44904</v>
      </c>
      <c r="B12" s="50"/>
      <c r="C12" s="50"/>
      <c r="D12" s="65"/>
      <c r="E12" s="96"/>
      <c r="F12" s="50"/>
      <c r="G12" s="50"/>
      <c r="H12" s="81"/>
      <c r="I12" s="98"/>
      <c r="J12" s="50"/>
      <c r="K12" s="50"/>
      <c r="L12" s="81"/>
      <c r="M12" s="96"/>
      <c r="N12" s="50"/>
      <c r="O12" s="50"/>
      <c r="P12" s="81"/>
      <c r="Q12" s="96"/>
      <c r="R12" s="50"/>
      <c r="S12" s="50"/>
      <c r="T12" s="50"/>
      <c r="U12" s="130"/>
      <c r="V12" s="38"/>
      <c r="W12" s="50">
        <f t="shared" si="2"/>
        <v>0</v>
      </c>
      <c r="X12" s="50">
        <f t="shared" si="0"/>
        <v>0</v>
      </c>
      <c r="Y12" s="50">
        <f t="shared" si="1"/>
        <v>0</v>
      </c>
      <c r="Z12" s="81"/>
      <c r="AA12" s="65"/>
      <c r="AB12" s="46"/>
      <c r="AC12" s="46"/>
    </row>
    <row r="13" spans="1:29">
      <c r="A13" s="53">
        <v>44905</v>
      </c>
      <c r="B13" s="50"/>
      <c r="C13" s="50"/>
      <c r="D13" s="65"/>
      <c r="E13" s="96"/>
      <c r="F13" s="50"/>
      <c r="G13" s="50"/>
      <c r="H13" s="81"/>
      <c r="I13" s="98"/>
      <c r="J13" s="50"/>
      <c r="K13" s="50"/>
      <c r="L13" s="81"/>
      <c r="M13" s="96"/>
      <c r="N13" s="50"/>
      <c r="O13" s="50"/>
      <c r="P13" s="81"/>
      <c r="Q13" s="96"/>
      <c r="R13" s="50"/>
      <c r="S13" s="50"/>
      <c r="T13" s="50"/>
      <c r="U13" s="130"/>
      <c r="V13" s="38"/>
      <c r="W13" s="50">
        <f t="shared" si="2"/>
        <v>0</v>
      </c>
      <c r="X13" s="50">
        <f t="shared" si="0"/>
        <v>0</v>
      </c>
      <c r="Y13" s="50">
        <f t="shared" si="1"/>
        <v>0</v>
      </c>
      <c r="Z13" s="81"/>
      <c r="AA13" s="65"/>
      <c r="AB13" s="46"/>
      <c r="AC13" s="46"/>
    </row>
    <row r="14" spans="1:29">
      <c r="A14" s="53">
        <v>44906</v>
      </c>
      <c r="B14" s="50"/>
      <c r="C14" s="50"/>
      <c r="D14" s="65"/>
      <c r="E14" s="96"/>
      <c r="F14" s="50"/>
      <c r="G14" s="50"/>
      <c r="H14" s="81"/>
      <c r="I14" s="98"/>
      <c r="J14" s="50"/>
      <c r="K14" s="50"/>
      <c r="L14" s="81"/>
      <c r="M14" s="96"/>
      <c r="N14" s="50"/>
      <c r="O14" s="50"/>
      <c r="P14" s="81"/>
      <c r="Q14" s="96"/>
      <c r="R14" s="50"/>
      <c r="S14" s="50"/>
      <c r="T14" s="50"/>
      <c r="U14" s="130"/>
      <c r="V14" s="38"/>
      <c r="W14" s="50">
        <f t="shared" si="2"/>
        <v>0</v>
      </c>
      <c r="X14" s="50">
        <f t="shared" si="0"/>
        <v>0</v>
      </c>
      <c r="Y14" s="50">
        <f t="shared" si="1"/>
        <v>0</v>
      </c>
      <c r="Z14" s="81"/>
      <c r="AA14" s="65"/>
      <c r="AB14" s="46"/>
      <c r="AC14" s="46"/>
    </row>
    <row r="15" spans="1:29">
      <c r="A15" s="53">
        <v>44907</v>
      </c>
      <c r="B15" s="50"/>
      <c r="C15" s="50"/>
      <c r="D15" s="65"/>
      <c r="E15" s="96"/>
      <c r="F15" s="50"/>
      <c r="G15" s="50"/>
      <c r="H15" s="81"/>
      <c r="I15" s="98"/>
      <c r="J15" s="50"/>
      <c r="K15" s="50"/>
      <c r="L15" s="81"/>
      <c r="M15" s="96"/>
      <c r="N15" s="50"/>
      <c r="O15" s="50"/>
      <c r="P15" s="81"/>
      <c r="Q15" s="96"/>
      <c r="R15" s="50"/>
      <c r="S15" s="50"/>
      <c r="T15" s="50"/>
      <c r="U15" s="130"/>
      <c r="V15" s="38"/>
      <c r="W15" s="50">
        <f t="shared" si="2"/>
        <v>0</v>
      </c>
      <c r="X15" s="50">
        <f t="shared" si="0"/>
        <v>0</v>
      </c>
      <c r="Y15" s="50">
        <f t="shared" si="1"/>
        <v>0</v>
      </c>
      <c r="Z15" s="81"/>
      <c r="AA15" s="65"/>
      <c r="AB15" s="46"/>
      <c r="AC15" s="46"/>
    </row>
    <row r="16" spans="1:29">
      <c r="A16" s="53">
        <v>44908</v>
      </c>
      <c r="B16" s="50"/>
      <c r="C16" s="50"/>
      <c r="D16" s="65"/>
      <c r="E16" s="96"/>
      <c r="F16" s="50"/>
      <c r="G16" s="50"/>
      <c r="H16" s="81"/>
      <c r="I16" s="98"/>
      <c r="J16" s="50"/>
      <c r="K16" s="50"/>
      <c r="L16" s="81"/>
      <c r="M16" s="96"/>
      <c r="N16" s="50"/>
      <c r="O16" s="50"/>
      <c r="P16" s="81"/>
      <c r="Q16" s="96"/>
      <c r="R16" s="50"/>
      <c r="S16" s="50"/>
      <c r="T16" s="50"/>
      <c r="U16" s="130"/>
      <c r="V16" s="38"/>
      <c r="W16" s="50">
        <f t="shared" si="2"/>
        <v>0</v>
      </c>
      <c r="X16" s="50">
        <f t="shared" si="0"/>
        <v>0</v>
      </c>
      <c r="Y16" s="50">
        <f t="shared" si="1"/>
        <v>0</v>
      </c>
      <c r="Z16" s="81"/>
      <c r="AA16" s="65"/>
      <c r="AB16" s="46"/>
      <c r="AC16" s="46"/>
    </row>
    <row r="17" spans="1:29">
      <c r="A17" s="53">
        <v>44909</v>
      </c>
      <c r="B17" s="50"/>
      <c r="C17" s="50"/>
      <c r="D17" s="65"/>
      <c r="E17" s="96"/>
      <c r="F17" s="50"/>
      <c r="G17" s="50"/>
      <c r="H17" s="81"/>
      <c r="I17" s="98"/>
      <c r="J17" s="50"/>
      <c r="K17" s="50"/>
      <c r="L17" s="81"/>
      <c r="M17" s="96"/>
      <c r="N17" s="50"/>
      <c r="O17" s="50"/>
      <c r="P17" s="81"/>
      <c r="Q17" s="96"/>
      <c r="R17" s="50"/>
      <c r="S17" s="50"/>
      <c r="T17" s="50"/>
      <c r="U17" s="130"/>
      <c r="V17" s="38"/>
      <c r="W17" s="50">
        <f t="shared" si="2"/>
        <v>0</v>
      </c>
      <c r="X17" s="50">
        <f t="shared" si="0"/>
        <v>0</v>
      </c>
      <c r="Y17" s="50">
        <f t="shared" si="1"/>
        <v>0</v>
      </c>
      <c r="Z17" s="81">
        <f t="shared" ref="Z7:Z34" si="3">AA17-AA16</f>
        <v>0</v>
      </c>
      <c r="AA17" s="65">
        <f t="shared" ref="AA5:AA34" si="4">SUM(AB17,AC17)</f>
        <v>0</v>
      </c>
      <c r="AB17" s="46"/>
      <c r="AC17" s="46"/>
    </row>
    <row r="18" spans="1:29">
      <c r="A18" s="53">
        <v>44910</v>
      </c>
      <c r="B18" s="50"/>
      <c r="C18" s="50"/>
      <c r="D18" s="65"/>
      <c r="E18" s="96"/>
      <c r="F18" s="50"/>
      <c r="G18" s="50"/>
      <c r="H18" s="81"/>
      <c r="I18" s="98"/>
      <c r="J18" s="50"/>
      <c r="K18" s="50"/>
      <c r="L18" s="81"/>
      <c r="M18" s="96"/>
      <c r="N18" s="50"/>
      <c r="O18" s="50"/>
      <c r="P18" s="81"/>
      <c r="Q18" s="96"/>
      <c r="R18" s="50"/>
      <c r="S18" s="50"/>
      <c r="T18" s="50"/>
      <c r="U18" s="130"/>
      <c r="V18" s="38"/>
      <c r="W18" s="50">
        <f t="shared" si="2"/>
        <v>0</v>
      </c>
      <c r="X18" s="50">
        <f t="shared" si="0"/>
        <v>0</v>
      </c>
      <c r="Y18" s="50">
        <f t="shared" si="1"/>
        <v>0</v>
      </c>
      <c r="Z18" s="81">
        <f t="shared" si="3"/>
        <v>0</v>
      </c>
      <c r="AA18" s="65">
        <f t="shared" si="4"/>
        <v>0</v>
      </c>
      <c r="AB18" s="46"/>
      <c r="AC18" s="46"/>
    </row>
    <row r="19" spans="1:29">
      <c r="A19" s="53">
        <v>44911</v>
      </c>
      <c r="B19" s="50"/>
      <c r="C19" s="50"/>
      <c r="D19" s="65"/>
      <c r="E19" s="96"/>
      <c r="F19" s="50"/>
      <c r="G19" s="50"/>
      <c r="H19" s="81"/>
      <c r="I19" s="98"/>
      <c r="J19" s="50"/>
      <c r="K19" s="50"/>
      <c r="L19" s="81"/>
      <c r="M19" s="96"/>
      <c r="N19" s="50"/>
      <c r="O19" s="50"/>
      <c r="P19" s="81"/>
      <c r="Q19" s="96"/>
      <c r="R19" s="50"/>
      <c r="S19" s="50"/>
      <c r="T19" s="50"/>
      <c r="U19" s="130"/>
      <c r="V19" s="38"/>
      <c r="W19" s="50">
        <f t="shared" si="2"/>
        <v>0</v>
      </c>
      <c r="X19" s="50">
        <f t="shared" si="0"/>
        <v>0</v>
      </c>
      <c r="Y19" s="50">
        <f t="shared" si="1"/>
        <v>0</v>
      </c>
      <c r="Z19" s="81">
        <f t="shared" si="3"/>
        <v>0</v>
      </c>
      <c r="AA19" s="65">
        <f t="shared" si="4"/>
        <v>0</v>
      </c>
      <c r="AB19" s="46"/>
      <c r="AC19" s="46"/>
    </row>
    <row r="20" spans="1:29">
      <c r="A20" s="53">
        <v>44912</v>
      </c>
      <c r="B20" s="50"/>
      <c r="C20" s="50"/>
      <c r="D20" s="65"/>
      <c r="E20" s="96"/>
      <c r="F20" s="50"/>
      <c r="G20" s="50"/>
      <c r="H20" s="81"/>
      <c r="I20" s="98"/>
      <c r="J20" s="50"/>
      <c r="K20" s="50"/>
      <c r="L20" s="81"/>
      <c r="M20" s="96"/>
      <c r="N20" s="50"/>
      <c r="O20" s="50"/>
      <c r="P20" s="81"/>
      <c r="Q20" s="96"/>
      <c r="R20" s="50"/>
      <c r="S20" s="50"/>
      <c r="T20" s="50"/>
      <c r="U20" s="130"/>
      <c r="V20" s="38"/>
      <c r="W20" s="50">
        <f t="shared" si="2"/>
        <v>0</v>
      </c>
      <c r="X20" s="50">
        <f t="shared" si="0"/>
        <v>0</v>
      </c>
      <c r="Y20" s="50">
        <f t="shared" si="1"/>
        <v>0</v>
      </c>
      <c r="Z20" s="81">
        <f t="shared" si="3"/>
        <v>0</v>
      </c>
      <c r="AA20" s="65">
        <f t="shared" si="4"/>
        <v>0</v>
      </c>
      <c r="AB20" s="46"/>
      <c r="AC20" s="46"/>
    </row>
    <row r="21" spans="1:29">
      <c r="A21" s="53">
        <v>44913</v>
      </c>
      <c r="B21" s="50"/>
      <c r="C21" s="50"/>
      <c r="D21" s="65"/>
      <c r="E21" s="96"/>
      <c r="F21" s="50"/>
      <c r="G21" s="50"/>
      <c r="H21" s="81"/>
      <c r="I21" s="98"/>
      <c r="J21" s="50"/>
      <c r="K21" s="50"/>
      <c r="L21" s="81"/>
      <c r="M21" s="96"/>
      <c r="N21" s="50"/>
      <c r="O21" s="50"/>
      <c r="P21" s="81"/>
      <c r="Q21" s="96"/>
      <c r="R21" s="50"/>
      <c r="S21" s="50"/>
      <c r="T21" s="50"/>
      <c r="U21" s="130"/>
      <c r="V21" s="38"/>
      <c r="W21" s="50">
        <f t="shared" si="2"/>
        <v>0</v>
      </c>
      <c r="X21" s="50">
        <f t="shared" si="0"/>
        <v>0</v>
      </c>
      <c r="Y21" s="50">
        <f t="shared" si="1"/>
        <v>0</v>
      </c>
      <c r="Z21" s="81">
        <f t="shared" si="3"/>
        <v>0</v>
      </c>
      <c r="AA21" s="65">
        <f t="shared" si="4"/>
        <v>0</v>
      </c>
      <c r="AB21" s="46"/>
      <c r="AC21" s="46"/>
    </row>
    <row r="22" spans="1:29">
      <c r="A22" s="53">
        <v>44914</v>
      </c>
      <c r="B22" s="50"/>
      <c r="C22" s="50"/>
      <c r="D22" s="65"/>
      <c r="E22" s="96"/>
      <c r="F22" s="50"/>
      <c r="G22" s="50"/>
      <c r="H22" s="81"/>
      <c r="I22" s="98"/>
      <c r="J22" s="50"/>
      <c r="K22" s="50"/>
      <c r="L22" s="81"/>
      <c r="M22" s="96"/>
      <c r="N22" s="50"/>
      <c r="O22" s="50"/>
      <c r="P22" s="81"/>
      <c r="Q22" s="96"/>
      <c r="R22" s="50"/>
      <c r="S22" s="50"/>
      <c r="T22" s="50"/>
      <c r="U22" s="130"/>
      <c r="V22" s="38"/>
      <c r="W22" s="50">
        <f t="shared" si="2"/>
        <v>0</v>
      </c>
      <c r="X22" s="50">
        <f t="shared" si="0"/>
        <v>0</v>
      </c>
      <c r="Y22" s="50">
        <f t="shared" si="1"/>
        <v>0</v>
      </c>
      <c r="Z22" s="81">
        <f t="shared" si="3"/>
        <v>0</v>
      </c>
      <c r="AA22" s="65">
        <f t="shared" si="4"/>
        <v>0</v>
      </c>
      <c r="AB22" s="46"/>
      <c r="AC22" s="46"/>
    </row>
    <row r="23" spans="1:29">
      <c r="A23" s="53">
        <v>44915</v>
      </c>
      <c r="B23" s="50"/>
      <c r="C23" s="50"/>
      <c r="D23" s="65"/>
      <c r="E23" s="96"/>
      <c r="F23" s="50"/>
      <c r="G23" s="50"/>
      <c r="H23" s="81"/>
      <c r="I23" s="98"/>
      <c r="J23" s="50"/>
      <c r="K23" s="50"/>
      <c r="L23" s="81"/>
      <c r="M23" s="96"/>
      <c r="N23" s="50"/>
      <c r="O23" s="50"/>
      <c r="P23" s="81"/>
      <c r="Q23" s="96"/>
      <c r="R23" s="50"/>
      <c r="S23" s="50"/>
      <c r="T23" s="50"/>
      <c r="U23" s="130"/>
      <c r="V23" s="38"/>
      <c r="W23" s="50">
        <f t="shared" si="2"/>
        <v>0</v>
      </c>
      <c r="X23" s="50">
        <f t="shared" si="0"/>
        <v>0</v>
      </c>
      <c r="Y23" s="50">
        <f t="shared" si="1"/>
        <v>0</v>
      </c>
      <c r="Z23" s="81">
        <f t="shared" si="3"/>
        <v>0</v>
      </c>
      <c r="AA23" s="65">
        <f t="shared" si="4"/>
        <v>0</v>
      </c>
      <c r="AB23" s="46"/>
      <c r="AC23" s="46"/>
    </row>
    <row r="24" spans="1:29">
      <c r="A24" s="53">
        <v>44916</v>
      </c>
      <c r="B24" s="50"/>
      <c r="C24" s="50"/>
      <c r="D24" s="65"/>
      <c r="E24" s="96"/>
      <c r="F24" s="50"/>
      <c r="G24" s="50"/>
      <c r="H24" s="81"/>
      <c r="I24" s="98"/>
      <c r="J24" s="50"/>
      <c r="K24" s="50"/>
      <c r="L24" s="81"/>
      <c r="M24" s="96"/>
      <c r="N24" s="50"/>
      <c r="O24" s="50"/>
      <c r="P24" s="81"/>
      <c r="Q24" s="96"/>
      <c r="R24" s="50"/>
      <c r="S24" s="50"/>
      <c r="T24" s="50"/>
      <c r="U24" s="130"/>
      <c r="V24" s="38"/>
      <c r="W24" s="50">
        <f t="shared" si="2"/>
        <v>0</v>
      </c>
      <c r="X24" s="50">
        <f t="shared" si="0"/>
        <v>0</v>
      </c>
      <c r="Y24" s="50">
        <f t="shared" si="1"/>
        <v>0</v>
      </c>
      <c r="Z24" s="81">
        <f t="shared" si="3"/>
        <v>0</v>
      </c>
      <c r="AA24" s="65">
        <f t="shared" si="4"/>
        <v>0</v>
      </c>
      <c r="AB24" s="46"/>
      <c r="AC24" s="46"/>
    </row>
    <row r="25" spans="1:29">
      <c r="A25" s="53">
        <v>44917</v>
      </c>
      <c r="B25" s="50"/>
      <c r="C25" s="50"/>
      <c r="D25" s="65"/>
      <c r="E25" s="96"/>
      <c r="F25" s="50"/>
      <c r="G25" s="50"/>
      <c r="H25" s="81"/>
      <c r="I25" s="98"/>
      <c r="J25" s="50"/>
      <c r="K25" s="50"/>
      <c r="L25" s="81"/>
      <c r="M25" s="96"/>
      <c r="N25" s="50"/>
      <c r="O25" s="50"/>
      <c r="P25" s="81"/>
      <c r="Q25" s="96"/>
      <c r="R25" s="50"/>
      <c r="S25" s="50"/>
      <c r="T25" s="50"/>
      <c r="U25" s="130"/>
      <c r="V25" s="38"/>
      <c r="W25" s="50">
        <f t="shared" si="2"/>
        <v>0</v>
      </c>
      <c r="X25" s="50">
        <f t="shared" si="0"/>
        <v>0</v>
      </c>
      <c r="Y25" s="50">
        <f t="shared" si="1"/>
        <v>0</v>
      </c>
      <c r="Z25" s="81">
        <f t="shared" si="3"/>
        <v>0</v>
      </c>
      <c r="AA25" s="65">
        <f t="shared" si="4"/>
        <v>0</v>
      </c>
      <c r="AB25" s="46"/>
      <c r="AC25" s="46"/>
    </row>
    <row r="26" spans="1:29">
      <c r="A26" s="53">
        <v>44918</v>
      </c>
      <c r="B26" s="50"/>
      <c r="C26" s="50"/>
      <c r="D26" s="65"/>
      <c r="E26" s="96"/>
      <c r="F26" s="50"/>
      <c r="G26" s="50"/>
      <c r="H26" s="81"/>
      <c r="I26" s="98"/>
      <c r="J26" s="50"/>
      <c r="K26" s="50"/>
      <c r="L26" s="81"/>
      <c r="M26" s="96"/>
      <c r="N26" s="50"/>
      <c r="O26" s="50"/>
      <c r="P26" s="81"/>
      <c r="Q26" s="96"/>
      <c r="R26" s="50"/>
      <c r="S26" s="50"/>
      <c r="T26" s="50"/>
      <c r="U26" s="130"/>
      <c r="V26" s="38"/>
      <c r="W26" s="50">
        <f t="shared" si="2"/>
        <v>0</v>
      </c>
      <c r="X26" s="50">
        <f t="shared" si="0"/>
        <v>0</v>
      </c>
      <c r="Y26" s="50">
        <f t="shared" si="1"/>
        <v>0</v>
      </c>
      <c r="Z26" s="81">
        <f t="shared" si="3"/>
        <v>0</v>
      </c>
      <c r="AA26" s="65">
        <f t="shared" si="4"/>
        <v>0</v>
      </c>
      <c r="AB26" s="46"/>
      <c r="AC26" s="46"/>
    </row>
    <row r="27" spans="1:29">
      <c r="A27" s="53">
        <v>44919</v>
      </c>
      <c r="B27" s="50"/>
      <c r="C27" s="50"/>
      <c r="D27" s="65"/>
      <c r="E27" s="96"/>
      <c r="F27" s="50"/>
      <c r="G27" s="50"/>
      <c r="H27" s="81"/>
      <c r="I27" s="98"/>
      <c r="J27" s="50"/>
      <c r="K27" s="50"/>
      <c r="L27" s="81"/>
      <c r="M27" s="96"/>
      <c r="N27" s="50"/>
      <c r="O27" s="50"/>
      <c r="P27" s="81"/>
      <c r="Q27" s="96"/>
      <c r="R27" s="50"/>
      <c r="S27" s="50"/>
      <c r="T27" s="50"/>
      <c r="U27" s="130"/>
      <c r="V27" s="38"/>
      <c r="W27" s="50">
        <f t="shared" si="2"/>
        <v>0</v>
      </c>
      <c r="X27" s="50">
        <f t="shared" si="0"/>
        <v>0</v>
      </c>
      <c r="Y27" s="50">
        <f t="shared" si="1"/>
        <v>0</v>
      </c>
      <c r="Z27" s="81">
        <f t="shared" si="3"/>
        <v>0</v>
      </c>
      <c r="AA27" s="65">
        <f t="shared" si="4"/>
        <v>0</v>
      </c>
      <c r="AB27" s="46"/>
      <c r="AC27" s="46"/>
    </row>
    <row r="28" spans="1:29">
      <c r="A28" s="53">
        <v>44920</v>
      </c>
      <c r="B28" s="50"/>
      <c r="C28" s="50"/>
      <c r="D28" s="65"/>
      <c r="E28" s="96"/>
      <c r="F28" s="50"/>
      <c r="G28" s="50"/>
      <c r="H28" s="81"/>
      <c r="I28" s="98"/>
      <c r="J28" s="50"/>
      <c r="K28" s="50"/>
      <c r="L28" s="81"/>
      <c r="M28" s="96"/>
      <c r="N28" s="50"/>
      <c r="O28" s="50"/>
      <c r="P28" s="81"/>
      <c r="Q28" s="96"/>
      <c r="R28" s="50"/>
      <c r="S28" s="50"/>
      <c r="T28" s="50"/>
      <c r="U28" s="130"/>
      <c r="V28" s="38"/>
      <c r="W28" s="50">
        <f t="shared" si="2"/>
        <v>0</v>
      </c>
      <c r="X28" s="50">
        <f t="shared" si="0"/>
        <v>0</v>
      </c>
      <c r="Y28" s="50">
        <f t="shared" si="1"/>
        <v>0</v>
      </c>
      <c r="Z28" s="81">
        <f t="shared" si="3"/>
        <v>0</v>
      </c>
      <c r="AA28" s="65">
        <f t="shared" si="4"/>
        <v>0</v>
      </c>
      <c r="AB28" s="46"/>
      <c r="AC28" s="46"/>
    </row>
    <row r="29" spans="1:29">
      <c r="A29" s="53">
        <v>44921</v>
      </c>
      <c r="B29" s="50"/>
      <c r="C29" s="50"/>
      <c r="D29" s="65"/>
      <c r="E29" s="96"/>
      <c r="F29" s="50"/>
      <c r="G29" s="50"/>
      <c r="H29" s="81"/>
      <c r="I29" s="98"/>
      <c r="J29" s="50"/>
      <c r="K29" s="50"/>
      <c r="L29" s="81"/>
      <c r="M29" s="96"/>
      <c r="N29" s="50"/>
      <c r="O29" s="50"/>
      <c r="P29" s="81"/>
      <c r="Q29" s="96"/>
      <c r="R29" s="50"/>
      <c r="S29" s="50"/>
      <c r="T29" s="50"/>
      <c r="U29" s="130"/>
      <c r="V29" s="38"/>
      <c r="W29" s="50">
        <f t="shared" si="2"/>
        <v>0</v>
      </c>
      <c r="X29" s="50">
        <f t="shared" si="0"/>
        <v>0</v>
      </c>
      <c r="Y29" s="50">
        <f t="shared" si="1"/>
        <v>0</v>
      </c>
      <c r="Z29" s="81">
        <f t="shared" si="3"/>
        <v>0</v>
      </c>
      <c r="AA29" s="65">
        <f t="shared" si="4"/>
        <v>0</v>
      </c>
      <c r="AB29" s="46"/>
      <c r="AC29" s="46"/>
    </row>
    <row r="30" spans="1:29">
      <c r="A30" s="53">
        <v>44922</v>
      </c>
      <c r="B30" s="50"/>
      <c r="C30" s="50"/>
      <c r="D30" s="65"/>
      <c r="E30" s="96"/>
      <c r="F30" s="50"/>
      <c r="G30" s="50"/>
      <c r="H30" s="81"/>
      <c r="I30" s="98"/>
      <c r="J30" s="50"/>
      <c r="K30" s="50"/>
      <c r="L30" s="81"/>
      <c r="M30" s="96"/>
      <c r="N30" s="50"/>
      <c r="O30" s="50"/>
      <c r="P30" s="81"/>
      <c r="Q30" s="96"/>
      <c r="R30" s="50"/>
      <c r="S30" s="50"/>
      <c r="T30" s="50"/>
      <c r="U30" s="130"/>
      <c r="V30" s="38"/>
      <c r="W30" s="50">
        <f t="shared" si="2"/>
        <v>0</v>
      </c>
      <c r="X30" s="50">
        <f t="shared" si="0"/>
        <v>0</v>
      </c>
      <c r="Y30" s="50">
        <f t="shared" si="1"/>
        <v>0</v>
      </c>
      <c r="Z30" s="81">
        <f t="shared" si="3"/>
        <v>0</v>
      </c>
      <c r="AA30" s="65">
        <f t="shared" si="4"/>
        <v>0</v>
      </c>
      <c r="AB30" s="46"/>
      <c r="AC30" s="46"/>
    </row>
    <row r="31" spans="1:29">
      <c r="A31" s="53">
        <v>44923</v>
      </c>
      <c r="B31" s="117"/>
      <c r="C31" s="117"/>
      <c r="D31" s="69"/>
      <c r="E31" s="139"/>
      <c r="F31" s="117"/>
      <c r="G31" s="117"/>
      <c r="H31" s="86"/>
      <c r="I31" s="99"/>
      <c r="J31" s="117"/>
      <c r="K31" s="117"/>
      <c r="L31" s="86"/>
      <c r="M31" s="139"/>
      <c r="N31" s="117"/>
      <c r="O31" s="117"/>
      <c r="P31" s="86"/>
      <c r="Q31" s="139"/>
      <c r="R31" s="117"/>
      <c r="S31" s="117"/>
      <c r="T31" s="117"/>
      <c r="U31" s="130"/>
      <c r="V31" s="38"/>
      <c r="W31" s="50">
        <f t="shared" si="2"/>
        <v>0</v>
      </c>
      <c r="X31" s="50">
        <f t="shared" si="0"/>
        <v>0</v>
      </c>
      <c r="Y31" s="50">
        <f t="shared" si="1"/>
        <v>0</v>
      </c>
      <c r="Z31" s="81">
        <f t="shared" si="3"/>
        <v>0</v>
      </c>
      <c r="AA31" s="65">
        <f t="shared" si="4"/>
        <v>0</v>
      </c>
      <c r="AB31" s="46"/>
      <c r="AC31" s="46"/>
    </row>
    <row r="32" spans="1:29">
      <c r="A32" s="53">
        <v>44924</v>
      </c>
      <c r="B32" s="50"/>
      <c r="C32" s="50"/>
      <c r="D32" s="46"/>
      <c r="E32" s="96"/>
      <c r="F32" s="50"/>
      <c r="G32" s="50"/>
      <c r="H32" s="50"/>
      <c r="I32" s="98"/>
      <c r="J32" s="50"/>
      <c r="K32" s="50"/>
      <c r="L32" s="50"/>
      <c r="M32" s="96"/>
      <c r="N32" s="50"/>
      <c r="O32" s="50"/>
      <c r="P32" s="50"/>
      <c r="Q32" s="96"/>
      <c r="R32" s="50"/>
      <c r="S32" s="50"/>
      <c r="T32" s="50"/>
      <c r="U32" s="131"/>
      <c r="V32" s="38"/>
      <c r="W32" s="50">
        <f t="shared" si="2"/>
        <v>0</v>
      </c>
      <c r="X32" s="50">
        <f t="shared" si="0"/>
        <v>0</v>
      </c>
      <c r="Y32" s="50">
        <f t="shared" si="1"/>
        <v>0</v>
      </c>
      <c r="Z32" s="81">
        <f t="shared" si="3"/>
        <v>0</v>
      </c>
      <c r="AA32" s="65">
        <f t="shared" si="4"/>
        <v>0</v>
      </c>
      <c r="AB32" s="46"/>
      <c r="AC32" s="46"/>
    </row>
    <row r="33" spans="1:29">
      <c r="A33" s="53">
        <v>44925</v>
      </c>
      <c r="B33" s="50"/>
      <c r="C33" s="50"/>
      <c r="D33" s="46"/>
      <c r="E33" s="96"/>
      <c r="F33" s="50"/>
      <c r="G33" s="50"/>
      <c r="H33" s="50"/>
      <c r="I33" s="98"/>
      <c r="J33" s="50"/>
      <c r="K33" s="50"/>
      <c r="L33" s="50"/>
      <c r="M33" s="96"/>
      <c r="N33" s="50"/>
      <c r="O33" s="50"/>
      <c r="P33" s="50"/>
      <c r="Q33" s="96"/>
      <c r="R33" s="50"/>
      <c r="S33" s="50"/>
      <c r="T33" s="50"/>
      <c r="U33" s="131"/>
      <c r="V33" s="38"/>
      <c r="W33" s="50">
        <f t="shared" si="2"/>
        <v>0</v>
      </c>
      <c r="X33" s="50">
        <f t="shared" si="0"/>
        <v>0</v>
      </c>
      <c r="Y33" s="50">
        <f t="shared" si="1"/>
        <v>0</v>
      </c>
      <c r="Z33" s="81">
        <f t="shared" si="3"/>
        <v>0</v>
      </c>
      <c r="AA33" s="65">
        <f t="shared" si="4"/>
        <v>0</v>
      </c>
      <c r="AB33" s="46"/>
      <c r="AC33" s="46"/>
    </row>
    <row r="34" spans="1:29">
      <c r="A34" s="53">
        <v>44926</v>
      </c>
      <c r="B34" s="50"/>
      <c r="C34" s="50"/>
      <c r="D34" s="46"/>
      <c r="E34" s="138"/>
      <c r="F34" s="50"/>
      <c r="G34" s="50"/>
      <c r="H34" s="50"/>
      <c r="I34" s="98"/>
      <c r="J34" s="50"/>
      <c r="K34" s="50"/>
      <c r="L34" s="50"/>
      <c r="M34" s="138"/>
      <c r="N34" s="50"/>
      <c r="O34" s="50"/>
      <c r="P34" s="50"/>
      <c r="Q34" s="138"/>
      <c r="R34" s="50"/>
      <c r="S34" s="50"/>
      <c r="T34" s="50"/>
      <c r="U34" s="131"/>
      <c r="V34" s="38"/>
      <c r="W34" s="50">
        <f t="shared" si="2"/>
        <v>0</v>
      </c>
      <c r="X34" s="50">
        <f t="shared" si="0"/>
        <v>0</v>
      </c>
      <c r="Y34" s="50">
        <f t="shared" si="1"/>
        <v>0</v>
      </c>
      <c r="Z34" s="81">
        <f t="shared" si="3"/>
        <v>0</v>
      </c>
      <c r="AA34" s="65">
        <f t="shared" si="4"/>
        <v>0</v>
      </c>
      <c r="AB34" s="46"/>
      <c r="AC34" s="46"/>
    </row>
    <row r="35" spans="1:29" ht="27">
      <c r="A35" s="140" t="s">
        <v>33</v>
      </c>
      <c r="B35" s="83" t="s">
        <v>93</v>
      </c>
      <c r="C35" s="83" t="s">
        <v>94</v>
      </c>
      <c r="D35" s="84" t="s">
        <v>95</v>
      </c>
      <c r="E35" s="95"/>
      <c r="F35" s="83" t="s">
        <v>93</v>
      </c>
      <c r="G35" s="83" t="s">
        <v>94</v>
      </c>
      <c r="H35" s="84" t="s">
        <v>95</v>
      </c>
      <c r="I35" s="141"/>
      <c r="J35" s="83" t="s">
        <v>93</v>
      </c>
      <c r="K35" s="83" t="s">
        <v>94</v>
      </c>
      <c r="L35" s="84" t="s">
        <v>95</v>
      </c>
      <c r="M35" s="95"/>
      <c r="N35" s="83" t="s">
        <v>93</v>
      </c>
      <c r="O35" s="83" t="s">
        <v>94</v>
      </c>
      <c r="P35" s="84" t="s">
        <v>95</v>
      </c>
      <c r="Q35" s="95"/>
      <c r="R35" s="83" t="s">
        <v>93</v>
      </c>
      <c r="S35" s="83" t="s">
        <v>94</v>
      </c>
      <c r="T35" s="84" t="s">
        <v>95</v>
      </c>
      <c r="U35" s="130"/>
      <c r="V35" s="48"/>
      <c r="W35" s="115">
        <f>SUM(W4:W34)</f>
        <v>269</v>
      </c>
      <c r="X35" s="115">
        <f>SUM(X4:X34)</f>
        <v>36627</v>
      </c>
      <c r="Y35" s="115">
        <f>SUM(Y4:Y34)</f>
        <v>169968</v>
      </c>
      <c r="Z35" s="65"/>
      <c r="AA35" s="65"/>
      <c r="AB35" s="46"/>
      <c r="AC35" s="46"/>
    </row>
    <row r="36" spans="1:29" ht="27" customHeight="1">
      <c r="A36" s="87" t="s">
        <v>86</v>
      </c>
      <c r="B36" s="85">
        <f>SUM(B4:B34)</f>
        <v>71</v>
      </c>
      <c r="C36" s="85">
        <f>SUM(C4:C34)</f>
        <v>9098</v>
      </c>
      <c r="D36" s="85">
        <f>SUM(D4:D34)</f>
        <v>42547</v>
      </c>
      <c r="E36" s="96"/>
      <c r="F36" s="85">
        <f>SUM(F4:F34)</f>
        <v>79</v>
      </c>
      <c r="G36" s="85">
        <f>SUM(G4:G34)</f>
        <v>11504</v>
      </c>
      <c r="H36" s="85">
        <f>SUM(H4:H34)</f>
        <v>52559</v>
      </c>
      <c r="I36" s="100"/>
      <c r="J36" s="85">
        <f>SUM(J4:J34)</f>
        <v>65</v>
      </c>
      <c r="K36" s="85">
        <f t="shared" ref="K36:L36" si="5">SUM(K4:K34)</f>
        <v>7924</v>
      </c>
      <c r="L36" s="85">
        <f t="shared" si="5"/>
        <v>38641</v>
      </c>
      <c r="M36" s="96"/>
      <c r="N36" s="85">
        <f>SUM(N4:N34)</f>
        <v>0</v>
      </c>
      <c r="O36" s="85">
        <f>SUM(O4:O34)</f>
        <v>0</v>
      </c>
      <c r="P36" s="85">
        <f>SUM(P4:P34)</f>
        <v>0</v>
      </c>
      <c r="Q36" s="96"/>
      <c r="R36" s="85">
        <f>SUM(R4:R34)</f>
        <v>54</v>
      </c>
      <c r="S36" s="85">
        <f>SUM(S4:S34)</f>
        <v>8101</v>
      </c>
      <c r="T36" s="85">
        <f>SUM(T4:T34)</f>
        <v>36221</v>
      </c>
      <c r="U36" s="96"/>
    </row>
    <row r="37" spans="1:29">
      <c r="A37" s="101"/>
      <c r="B37" s="195" t="s">
        <v>87</v>
      </c>
      <c r="C37" s="196"/>
      <c r="D37" s="196"/>
      <c r="E37" s="197"/>
      <c r="F37" s="195" t="s">
        <v>88</v>
      </c>
      <c r="G37" s="196"/>
      <c r="H37" s="196"/>
      <c r="I37" s="197"/>
      <c r="J37" s="198" t="s">
        <v>89</v>
      </c>
      <c r="K37" s="199"/>
      <c r="L37" s="199"/>
      <c r="M37" s="200"/>
      <c r="N37" s="198" t="s">
        <v>90</v>
      </c>
      <c r="O37" s="199"/>
      <c r="P37" s="199"/>
      <c r="Q37" s="200"/>
      <c r="R37" s="198" t="s">
        <v>91</v>
      </c>
      <c r="S37" s="199"/>
      <c r="T37" s="199"/>
      <c r="U37" s="200"/>
    </row>
    <row r="38" spans="1:29" ht="40.5">
      <c r="A38" s="90" t="s">
        <v>33</v>
      </c>
      <c r="B38" s="49" t="s">
        <v>101</v>
      </c>
      <c r="C38" s="49" t="s">
        <v>102</v>
      </c>
      <c r="D38" s="49" t="s">
        <v>103</v>
      </c>
      <c r="E38" s="49" t="s">
        <v>104</v>
      </c>
      <c r="F38" s="49" t="s">
        <v>101</v>
      </c>
      <c r="G38" s="49" t="s">
        <v>102</v>
      </c>
      <c r="H38" s="77" t="s">
        <v>103</v>
      </c>
      <c r="I38" s="49" t="s">
        <v>104</v>
      </c>
      <c r="J38" s="49" t="s">
        <v>101</v>
      </c>
      <c r="K38" s="49" t="s">
        <v>102</v>
      </c>
      <c r="L38" s="49" t="s">
        <v>103</v>
      </c>
      <c r="M38" s="49" t="s">
        <v>104</v>
      </c>
      <c r="N38" s="49" t="s">
        <v>101</v>
      </c>
      <c r="O38" s="49" t="s">
        <v>102</v>
      </c>
      <c r="P38" s="49" t="s">
        <v>103</v>
      </c>
      <c r="Q38" s="49" t="s">
        <v>104</v>
      </c>
      <c r="R38" s="49" t="s">
        <v>101</v>
      </c>
      <c r="S38" s="49" t="s">
        <v>102</v>
      </c>
      <c r="T38" s="49" t="s">
        <v>103</v>
      </c>
      <c r="U38" s="49" t="s">
        <v>104</v>
      </c>
    </row>
    <row r="39" spans="1:29">
      <c r="A39" s="88">
        <f>A4</f>
        <v>44896</v>
      </c>
      <c r="B39" s="89">
        <f>C4/B4</f>
        <v>131.47619047619048</v>
      </c>
      <c r="C39" s="56">
        <f>D4/B4</f>
        <v>608.90476190476193</v>
      </c>
      <c r="D39" s="67">
        <f>C39/B39</f>
        <v>4.6312930097790659</v>
      </c>
      <c r="E39" s="78">
        <f>(C39/1120)*100</f>
        <v>54.366496598639458</v>
      </c>
      <c r="F39" s="56">
        <f>G4/F4</f>
        <v>157.26666666666668</v>
      </c>
      <c r="G39" s="56">
        <f>H4/F4</f>
        <v>727.13333333333333</v>
      </c>
      <c r="H39" s="105">
        <f>G39/F39</f>
        <v>4.6235693090292491</v>
      </c>
      <c r="I39" s="67">
        <f>(G39/1120)*100</f>
        <v>64.922619047619051</v>
      </c>
      <c r="J39" s="56">
        <f>K4/J4</f>
        <v>113.5</v>
      </c>
      <c r="K39" s="56">
        <f>L4/J4</f>
        <v>524.79999999999995</v>
      </c>
      <c r="L39" s="67">
        <f>K39/J39</f>
        <v>4.6237885462555059</v>
      </c>
      <c r="M39" s="78">
        <f>(K39/1120)*100</f>
        <v>46.857142857142854</v>
      </c>
      <c r="N39" s="56" t="e">
        <f>O4/N4</f>
        <v>#DIV/0!</v>
      </c>
      <c r="O39" s="56" t="e">
        <f>P4/N4</f>
        <v>#DIV/0!</v>
      </c>
      <c r="P39" s="67" t="e">
        <f>O39/N39</f>
        <v>#DIV/0!</v>
      </c>
      <c r="Q39" s="78" t="e">
        <f>(O39/1120)*100</f>
        <v>#DIV/0!</v>
      </c>
      <c r="R39" s="56">
        <f>S4/R4</f>
        <v>158.80000000000001</v>
      </c>
      <c r="S39" s="56">
        <f>T4/R4</f>
        <v>752</v>
      </c>
      <c r="T39" s="67">
        <f>S39/R39</f>
        <v>4.7355163727959697</v>
      </c>
      <c r="U39" s="78">
        <f>(S39/1120)*100</f>
        <v>67.142857142857139</v>
      </c>
    </row>
    <row r="40" spans="1:29">
      <c r="A40" s="88">
        <f t="shared" ref="A40:A69" si="6">A5</f>
        <v>44897</v>
      </c>
      <c r="B40" s="89">
        <f>C5/B5</f>
        <v>132.33333333333334</v>
      </c>
      <c r="C40" s="56">
        <f>D5/B5</f>
        <v>595.88888888888891</v>
      </c>
      <c r="D40" s="67">
        <f>C40/B40</f>
        <v>4.5029387069689335</v>
      </c>
      <c r="E40" s="78">
        <f>(C40/1120)*100</f>
        <v>53.204365079365076</v>
      </c>
      <c r="F40" s="56">
        <f>G5/F5</f>
        <v>155.53333333333333</v>
      </c>
      <c r="G40" s="56">
        <f>H5/F5</f>
        <v>718.8</v>
      </c>
      <c r="H40" s="105">
        <f>G40/F40</f>
        <v>4.6215173596228034</v>
      </c>
      <c r="I40" s="67">
        <f t="shared" ref="I40:I69" si="7">(G40/1120)*100</f>
        <v>64.178571428571431</v>
      </c>
      <c r="J40" s="56">
        <f>K5/J5</f>
        <v>120.22222222222223</v>
      </c>
      <c r="K40" s="56">
        <f>L5/J5</f>
        <v>597.55555555555554</v>
      </c>
      <c r="L40" s="67">
        <f>K40/J40</f>
        <v>4.9704251386321623</v>
      </c>
      <c r="M40" s="78">
        <f t="shared" ref="M40:M69" si="8">(K40/1120)*100</f>
        <v>53.353174603174601</v>
      </c>
      <c r="N40" s="56" t="e">
        <f>O5/N5</f>
        <v>#DIV/0!</v>
      </c>
      <c r="O40" s="56" t="e">
        <f>P5/N5</f>
        <v>#DIV/0!</v>
      </c>
      <c r="P40" s="67" t="e">
        <f>O40/N40</f>
        <v>#DIV/0!</v>
      </c>
      <c r="Q40" s="78" t="e">
        <f t="shared" ref="Q40:Q69" si="9">(O40/1120)*100</f>
        <v>#DIV/0!</v>
      </c>
      <c r="R40" s="56">
        <f>S5/R5</f>
        <v>162.4</v>
      </c>
      <c r="S40" s="56">
        <f>T5/R5</f>
        <v>720.13333333333333</v>
      </c>
      <c r="T40" s="67">
        <f>S40/R40</f>
        <v>4.4343185550082103</v>
      </c>
      <c r="U40" s="78">
        <f t="shared" ref="U40:U69" si="10">(S40/1120)*100</f>
        <v>64.297619047619051</v>
      </c>
    </row>
    <row r="41" spans="1:29">
      <c r="A41" s="88">
        <f t="shared" si="6"/>
        <v>44898</v>
      </c>
      <c r="B41" s="89">
        <f>C6/B6</f>
        <v>125.14285714285714</v>
      </c>
      <c r="C41" s="56">
        <f>D6/B6</f>
        <v>599.14285714285711</v>
      </c>
      <c r="D41" s="67">
        <f>C41/B41</f>
        <v>4.7876712328767121</v>
      </c>
      <c r="E41" s="78">
        <f>(C41/1120)*100</f>
        <v>53.494897959183675</v>
      </c>
      <c r="F41" s="56">
        <f>G6/F6</f>
        <v>137.90909090909091</v>
      </c>
      <c r="G41" s="56">
        <f>H6/F6</f>
        <v>630.09090909090912</v>
      </c>
      <c r="H41" s="105">
        <f>G41/F41</f>
        <v>4.5688859591298616</v>
      </c>
      <c r="I41" s="67">
        <f t="shared" si="7"/>
        <v>56.258116883116884</v>
      </c>
      <c r="J41" s="56">
        <f>K6/J6</f>
        <v>121.05</v>
      </c>
      <c r="K41" s="56">
        <f>L6/J6</f>
        <v>593.04999999999995</v>
      </c>
      <c r="L41" s="67">
        <f>K41/J41</f>
        <v>4.8992152003304419</v>
      </c>
      <c r="M41" s="78">
        <f t="shared" si="8"/>
        <v>52.950892857142847</v>
      </c>
      <c r="N41" s="56" t="e">
        <f>O6/N6</f>
        <v>#DIV/0!</v>
      </c>
      <c r="O41" s="56" t="e">
        <f>P6/N6</f>
        <v>#DIV/0!</v>
      </c>
      <c r="P41" s="67" t="e">
        <f>O41/N41</f>
        <v>#DIV/0!</v>
      </c>
      <c r="Q41" s="78" t="e">
        <f t="shared" si="9"/>
        <v>#DIV/0!</v>
      </c>
      <c r="R41" s="56">
        <f>S6/R6</f>
        <v>140.11111111111111</v>
      </c>
      <c r="S41" s="56">
        <f>T6/R6</f>
        <v>640.66666666666663</v>
      </c>
      <c r="T41" s="67">
        <f>S41/R41</f>
        <v>4.572561459159397</v>
      </c>
      <c r="U41" s="78">
        <f t="shared" si="10"/>
        <v>57.202380952380949</v>
      </c>
    </row>
    <row r="42" spans="1:29">
      <c r="A42" s="88">
        <f t="shared" si="6"/>
        <v>44899</v>
      </c>
      <c r="B42" s="89">
        <f>C7/B7</f>
        <v>125.66666666666667</v>
      </c>
      <c r="C42" s="56">
        <f>D7/B7</f>
        <v>605.83333333333337</v>
      </c>
      <c r="D42" s="67">
        <f>C42/B42</f>
        <v>4.8209549071618039</v>
      </c>
      <c r="E42" s="78">
        <f>(C42/1120)*100</f>
        <v>54.092261904761905</v>
      </c>
      <c r="F42" s="56">
        <f>G7/F7</f>
        <v>140.21428571428572</v>
      </c>
      <c r="G42" s="56">
        <f>H7/F7</f>
        <v>625.28571428571433</v>
      </c>
      <c r="H42" s="105">
        <f>G42/F42</f>
        <v>4.4595007641365259</v>
      </c>
      <c r="I42" s="67">
        <f t="shared" si="7"/>
        <v>55.829081632653065</v>
      </c>
      <c r="J42" s="56">
        <f>K7/J7</f>
        <v>124.53846153846153</v>
      </c>
      <c r="K42" s="56">
        <f>L7/J7</f>
        <v>608.07692307692309</v>
      </c>
      <c r="L42" s="67">
        <f>K42/J42</f>
        <v>4.8826436071649173</v>
      </c>
      <c r="M42" s="78">
        <f t="shared" si="8"/>
        <v>54.292582417582423</v>
      </c>
      <c r="N42" s="56" t="e">
        <f>O7/N7</f>
        <v>#DIV/0!</v>
      </c>
      <c r="O42" s="56" t="e">
        <f>P7/N7</f>
        <v>#DIV/0!</v>
      </c>
      <c r="P42" s="67" t="e">
        <f>O42/N42</f>
        <v>#DIV/0!</v>
      </c>
      <c r="Q42" s="78" t="e">
        <f t="shared" si="9"/>
        <v>#DIV/0!</v>
      </c>
      <c r="R42" s="56">
        <f>S7/R7</f>
        <v>145.69230769230768</v>
      </c>
      <c r="S42" s="56">
        <f>T7/R7</f>
        <v>621</v>
      </c>
      <c r="T42" s="67">
        <f>S42/R42</f>
        <v>4.2624076029567055</v>
      </c>
      <c r="U42" s="78">
        <f t="shared" si="10"/>
        <v>55.446428571428577</v>
      </c>
    </row>
    <row r="43" spans="1:29">
      <c r="A43" s="88">
        <f t="shared" si="6"/>
        <v>44900</v>
      </c>
      <c r="B43" s="89">
        <f>C8/B8</f>
        <v>125.77777777777777</v>
      </c>
      <c r="C43" s="56">
        <f>D8/B8</f>
        <v>567.11111111111109</v>
      </c>
      <c r="D43" s="67">
        <f>C43/B43</f>
        <v>4.5088339222614842</v>
      </c>
      <c r="E43" s="78">
        <f>(C43/1120)*100</f>
        <v>50.634920634920633</v>
      </c>
      <c r="F43" s="56">
        <f>G8/F8</f>
        <v>138.83333333333334</v>
      </c>
      <c r="G43" s="56">
        <f>H8/F8</f>
        <v>632.70833333333337</v>
      </c>
      <c r="H43" s="105">
        <f>G43/F43</f>
        <v>4.5573229291716686</v>
      </c>
      <c r="I43" s="67">
        <f t="shared" si="7"/>
        <v>56.491815476190474</v>
      </c>
      <c r="J43" s="56">
        <f>K8/J8</f>
        <v>128.23076923076923</v>
      </c>
      <c r="K43" s="56">
        <f>L8/J8</f>
        <v>634.53846153846155</v>
      </c>
      <c r="L43" s="67">
        <f>K43/J43</f>
        <v>4.9484103179364132</v>
      </c>
      <c r="M43" s="78">
        <f t="shared" si="8"/>
        <v>56.655219780219781</v>
      </c>
      <c r="N43" s="56" t="e">
        <f>O8/N8</f>
        <v>#DIV/0!</v>
      </c>
      <c r="O43" s="56" t="e">
        <f>P8/N8</f>
        <v>#DIV/0!</v>
      </c>
      <c r="P43" s="67" t="e">
        <f>O43/N43</f>
        <v>#DIV/0!</v>
      </c>
      <c r="Q43" s="78" t="e">
        <f t="shared" si="9"/>
        <v>#DIV/0!</v>
      </c>
      <c r="R43" s="56">
        <f>S8/R8</f>
        <v>131.71428571428572</v>
      </c>
      <c r="S43" s="56">
        <f>T8/R8</f>
        <v>580</v>
      </c>
      <c r="T43" s="67">
        <f>S43/R43</f>
        <v>4.4034707158351409</v>
      </c>
      <c r="U43" s="78">
        <f t="shared" si="10"/>
        <v>51.785714285714292</v>
      </c>
    </row>
    <row r="44" spans="1:29">
      <c r="A44" s="88">
        <f t="shared" si="6"/>
        <v>44901</v>
      </c>
      <c r="B44" s="89" t="e">
        <f>C9/B9</f>
        <v>#DIV/0!</v>
      </c>
      <c r="C44" s="56" t="e">
        <f>D9/B9</f>
        <v>#DIV/0!</v>
      </c>
      <c r="D44" s="67" t="e">
        <f>C44/B44</f>
        <v>#DIV/0!</v>
      </c>
      <c r="E44" s="78" t="e">
        <f>(C44/1120)*100</f>
        <v>#DIV/0!</v>
      </c>
      <c r="F44" s="56" t="e">
        <f>G9/F9</f>
        <v>#DIV/0!</v>
      </c>
      <c r="G44" s="56" t="e">
        <f>H9/F9</f>
        <v>#DIV/0!</v>
      </c>
      <c r="H44" s="105" t="e">
        <f>G44/F44</f>
        <v>#DIV/0!</v>
      </c>
      <c r="I44" s="67" t="e">
        <f t="shared" si="7"/>
        <v>#DIV/0!</v>
      </c>
      <c r="J44" s="56" t="e">
        <f>K9/J9</f>
        <v>#DIV/0!</v>
      </c>
      <c r="K44" s="56" t="e">
        <f>L9/J9</f>
        <v>#DIV/0!</v>
      </c>
      <c r="L44" s="67" t="e">
        <f>K44/J44</f>
        <v>#DIV/0!</v>
      </c>
      <c r="M44" s="78" t="e">
        <f t="shared" si="8"/>
        <v>#DIV/0!</v>
      </c>
      <c r="N44" s="56" t="e">
        <f>O9/N9</f>
        <v>#DIV/0!</v>
      </c>
      <c r="O44" s="56" t="e">
        <f>P9/N9</f>
        <v>#DIV/0!</v>
      </c>
      <c r="P44" s="67" t="e">
        <f>O44/N44</f>
        <v>#DIV/0!</v>
      </c>
      <c r="Q44" s="78" t="e">
        <f t="shared" si="9"/>
        <v>#DIV/0!</v>
      </c>
      <c r="R44" s="56" t="e">
        <f>S9/R9</f>
        <v>#DIV/0!</v>
      </c>
      <c r="S44" s="56" t="e">
        <f>T9/R9</f>
        <v>#DIV/0!</v>
      </c>
      <c r="T44" s="67" t="e">
        <f>S44/R44</f>
        <v>#DIV/0!</v>
      </c>
      <c r="U44" s="78" t="e">
        <f t="shared" si="10"/>
        <v>#DIV/0!</v>
      </c>
    </row>
    <row r="45" spans="1:29">
      <c r="A45" s="88">
        <f t="shared" si="6"/>
        <v>44902</v>
      </c>
      <c r="B45" s="89" t="e">
        <f>C10/B10</f>
        <v>#DIV/0!</v>
      </c>
      <c r="C45" s="56" t="e">
        <f>D10/B10</f>
        <v>#DIV/0!</v>
      </c>
      <c r="D45" s="67" t="e">
        <f>C45/B45</f>
        <v>#DIV/0!</v>
      </c>
      <c r="E45" s="78" t="e">
        <f>(C45/1120)*100</f>
        <v>#DIV/0!</v>
      </c>
      <c r="F45" s="56" t="e">
        <f>G10/F10</f>
        <v>#DIV/0!</v>
      </c>
      <c r="G45" s="56" t="e">
        <f>H10/F10</f>
        <v>#DIV/0!</v>
      </c>
      <c r="H45" s="105" t="e">
        <f>G45/F45</f>
        <v>#DIV/0!</v>
      </c>
      <c r="I45" s="67" t="e">
        <f t="shared" si="7"/>
        <v>#DIV/0!</v>
      </c>
      <c r="J45" s="56" t="e">
        <f>K10/J10</f>
        <v>#DIV/0!</v>
      </c>
      <c r="K45" s="56" t="e">
        <f>L10/J10</f>
        <v>#DIV/0!</v>
      </c>
      <c r="L45" s="67" t="e">
        <f>K45/J45</f>
        <v>#DIV/0!</v>
      </c>
      <c r="M45" s="78" t="e">
        <f t="shared" si="8"/>
        <v>#DIV/0!</v>
      </c>
      <c r="N45" s="56" t="e">
        <f>O10/N10</f>
        <v>#DIV/0!</v>
      </c>
      <c r="O45" s="56" t="e">
        <f>P10/N10</f>
        <v>#DIV/0!</v>
      </c>
      <c r="P45" s="67" t="e">
        <f>O45/N45</f>
        <v>#DIV/0!</v>
      </c>
      <c r="Q45" s="78" t="e">
        <f t="shared" si="9"/>
        <v>#DIV/0!</v>
      </c>
      <c r="R45" s="56" t="e">
        <f>S10/R10</f>
        <v>#DIV/0!</v>
      </c>
      <c r="S45" s="56" t="e">
        <f>T10/R10</f>
        <v>#DIV/0!</v>
      </c>
      <c r="T45" s="67" t="e">
        <f>S45/R45</f>
        <v>#DIV/0!</v>
      </c>
      <c r="U45" s="78" t="e">
        <f t="shared" si="10"/>
        <v>#DIV/0!</v>
      </c>
    </row>
    <row r="46" spans="1:29">
      <c r="A46" s="88">
        <f t="shared" si="6"/>
        <v>44903</v>
      </c>
      <c r="B46" s="89" t="e">
        <f>C11/B11</f>
        <v>#DIV/0!</v>
      </c>
      <c r="C46" s="56" t="e">
        <f>D11/B11</f>
        <v>#DIV/0!</v>
      </c>
      <c r="D46" s="67" t="e">
        <f>C46/B46</f>
        <v>#DIV/0!</v>
      </c>
      <c r="E46" s="78" t="e">
        <f>(C46/1120)*100</f>
        <v>#DIV/0!</v>
      </c>
      <c r="F46" s="56" t="e">
        <f>G11/F11</f>
        <v>#DIV/0!</v>
      </c>
      <c r="G46" s="56" t="e">
        <f>H11/F11</f>
        <v>#DIV/0!</v>
      </c>
      <c r="H46" s="105" t="e">
        <f>G46/F46</f>
        <v>#DIV/0!</v>
      </c>
      <c r="I46" s="67" t="e">
        <f t="shared" si="7"/>
        <v>#DIV/0!</v>
      </c>
      <c r="J46" s="56" t="e">
        <f>K11/J11</f>
        <v>#DIV/0!</v>
      </c>
      <c r="K46" s="56" t="e">
        <f>L11/J11</f>
        <v>#DIV/0!</v>
      </c>
      <c r="L46" s="67" t="e">
        <f>K46/J46</f>
        <v>#DIV/0!</v>
      </c>
      <c r="M46" s="78" t="e">
        <f t="shared" si="8"/>
        <v>#DIV/0!</v>
      </c>
      <c r="N46" s="56" t="e">
        <f>O11/N11</f>
        <v>#DIV/0!</v>
      </c>
      <c r="O46" s="56" t="e">
        <f>P11/N11</f>
        <v>#DIV/0!</v>
      </c>
      <c r="P46" s="67" t="e">
        <f>O46/N46</f>
        <v>#DIV/0!</v>
      </c>
      <c r="Q46" s="78" t="e">
        <f t="shared" si="9"/>
        <v>#DIV/0!</v>
      </c>
      <c r="R46" s="56" t="e">
        <f>S11/R11</f>
        <v>#DIV/0!</v>
      </c>
      <c r="S46" s="56" t="e">
        <f>T11/R11</f>
        <v>#DIV/0!</v>
      </c>
      <c r="T46" s="67" t="e">
        <f>S46/R46</f>
        <v>#DIV/0!</v>
      </c>
      <c r="U46" s="78" t="e">
        <f t="shared" si="10"/>
        <v>#DIV/0!</v>
      </c>
    </row>
    <row r="47" spans="1:29">
      <c r="A47" s="88">
        <f t="shared" si="6"/>
        <v>44904</v>
      </c>
      <c r="B47" s="89" t="e">
        <f>C12/B12</f>
        <v>#DIV/0!</v>
      </c>
      <c r="C47" s="56" t="e">
        <f>D12/B12</f>
        <v>#DIV/0!</v>
      </c>
      <c r="D47" s="67" t="e">
        <f>C47/B47</f>
        <v>#DIV/0!</v>
      </c>
      <c r="E47" s="78" t="e">
        <f>(C47/1120)*100</f>
        <v>#DIV/0!</v>
      </c>
      <c r="F47" s="56" t="e">
        <f>G12/F12</f>
        <v>#DIV/0!</v>
      </c>
      <c r="G47" s="56" t="e">
        <f>H12/F12</f>
        <v>#DIV/0!</v>
      </c>
      <c r="H47" s="105" t="e">
        <f>G47/F47</f>
        <v>#DIV/0!</v>
      </c>
      <c r="I47" s="67" t="e">
        <f t="shared" si="7"/>
        <v>#DIV/0!</v>
      </c>
      <c r="J47" s="56" t="e">
        <f>K12/J12</f>
        <v>#DIV/0!</v>
      </c>
      <c r="K47" s="56" t="e">
        <f>L12/J12</f>
        <v>#DIV/0!</v>
      </c>
      <c r="L47" s="67" t="e">
        <f>K47/J47</f>
        <v>#DIV/0!</v>
      </c>
      <c r="M47" s="78" t="e">
        <f t="shared" si="8"/>
        <v>#DIV/0!</v>
      </c>
      <c r="N47" s="56" t="e">
        <f>O12/N12</f>
        <v>#DIV/0!</v>
      </c>
      <c r="O47" s="56" t="e">
        <f>P12/N12</f>
        <v>#DIV/0!</v>
      </c>
      <c r="P47" s="67" t="e">
        <f>O47/N47</f>
        <v>#DIV/0!</v>
      </c>
      <c r="Q47" s="78" t="e">
        <f t="shared" si="9"/>
        <v>#DIV/0!</v>
      </c>
      <c r="R47" s="56" t="e">
        <f>S12/R12</f>
        <v>#DIV/0!</v>
      </c>
      <c r="S47" s="56" t="e">
        <f>T12/R12</f>
        <v>#DIV/0!</v>
      </c>
      <c r="T47" s="67" t="e">
        <f>S47/R47</f>
        <v>#DIV/0!</v>
      </c>
      <c r="U47" s="78" t="e">
        <f t="shared" si="10"/>
        <v>#DIV/0!</v>
      </c>
    </row>
    <row r="48" spans="1:29">
      <c r="A48" s="88">
        <f t="shared" si="6"/>
        <v>44905</v>
      </c>
      <c r="B48" s="89" t="e">
        <f>C13/B13</f>
        <v>#DIV/0!</v>
      </c>
      <c r="C48" s="56" t="e">
        <f>D13/B13</f>
        <v>#DIV/0!</v>
      </c>
      <c r="D48" s="67" t="e">
        <f>C48/B48</f>
        <v>#DIV/0!</v>
      </c>
      <c r="E48" s="78" t="e">
        <f>(C48/1120)*100</f>
        <v>#DIV/0!</v>
      </c>
      <c r="F48" s="56" t="e">
        <f>G13/F13</f>
        <v>#DIV/0!</v>
      </c>
      <c r="G48" s="56" t="e">
        <f>H13/F13</f>
        <v>#DIV/0!</v>
      </c>
      <c r="H48" s="105" t="e">
        <f>G48/F48</f>
        <v>#DIV/0!</v>
      </c>
      <c r="I48" s="67" t="e">
        <f t="shared" si="7"/>
        <v>#DIV/0!</v>
      </c>
      <c r="J48" s="56" t="e">
        <f>K13/J13</f>
        <v>#DIV/0!</v>
      </c>
      <c r="K48" s="56" t="e">
        <f>L13/J13</f>
        <v>#DIV/0!</v>
      </c>
      <c r="L48" s="67" t="e">
        <f>K48/J48</f>
        <v>#DIV/0!</v>
      </c>
      <c r="M48" s="78" t="e">
        <f t="shared" si="8"/>
        <v>#DIV/0!</v>
      </c>
      <c r="N48" s="56" t="e">
        <f>O13/N13</f>
        <v>#DIV/0!</v>
      </c>
      <c r="O48" s="56" t="e">
        <f>P13/N13</f>
        <v>#DIV/0!</v>
      </c>
      <c r="P48" s="67" t="e">
        <f>O48/N48</f>
        <v>#DIV/0!</v>
      </c>
      <c r="Q48" s="78" t="e">
        <f t="shared" si="9"/>
        <v>#DIV/0!</v>
      </c>
      <c r="R48" s="56" t="e">
        <f>S13/R13</f>
        <v>#DIV/0!</v>
      </c>
      <c r="S48" s="56" t="e">
        <f>T13/R13</f>
        <v>#DIV/0!</v>
      </c>
      <c r="T48" s="67" t="e">
        <f>S48/R48</f>
        <v>#DIV/0!</v>
      </c>
      <c r="U48" s="78" t="e">
        <f t="shared" si="10"/>
        <v>#DIV/0!</v>
      </c>
    </row>
    <row r="49" spans="1:21">
      <c r="A49" s="88">
        <f t="shared" si="6"/>
        <v>44906</v>
      </c>
      <c r="B49" s="89" t="e">
        <f>C14/B14</f>
        <v>#DIV/0!</v>
      </c>
      <c r="C49" s="56" t="e">
        <f>D14/B14</f>
        <v>#DIV/0!</v>
      </c>
      <c r="D49" s="67" t="e">
        <f>C49/B49</f>
        <v>#DIV/0!</v>
      </c>
      <c r="E49" s="78" t="e">
        <f>(C49/1120)*100</f>
        <v>#DIV/0!</v>
      </c>
      <c r="F49" s="56" t="e">
        <f>G14/F14</f>
        <v>#DIV/0!</v>
      </c>
      <c r="G49" s="56" t="e">
        <f>H14/F14</f>
        <v>#DIV/0!</v>
      </c>
      <c r="H49" s="105" t="e">
        <f>G49/F49</f>
        <v>#DIV/0!</v>
      </c>
      <c r="I49" s="67" t="e">
        <f t="shared" si="7"/>
        <v>#DIV/0!</v>
      </c>
      <c r="J49" s="56" t="e">
        <f>K14/J14</f>
        <v>#DIV/0!</v>
      </c>
      <c r="K49" s="56" t="e">
        <f>L14/J14</f>
        <v>#DIV/0!</v>
      </c>
      <c r="L49" s="67" t="e">
        <f>K49/J49</f>
        <v>#DIV/0!</v>
      </c>
      <c r="M49" s="78" t="e">
        <f t="shared" si="8"/>
        <v>#DIV/0!</v>
      </c>
      <c r="N49" s="56" t="e">
        <f>O14/N14</f>
        <v>#DIV/0!</v>
      </c>
      <c r="O49" s="56" t="e">
        <f>P14/N14</f>
        <v>#DIV/0!</v>
      </c>
      <c r="P49" s="67" t="e">
        <f>O49/N49</f>
        <v>#DIV/0!</v>
      </c>
      <c r="Q49" s="78" t="e">
        <f t="shared" si="9"/>
        <v>#DIV/0!</v>
      </c>
      <c r="R49" s="56" t="e">
        <f>S14/R14</f>
        <v>#DIV/0!</v>
      </c>
      <c r="S49" s="56" t="e">
        <f>T14/R14</f>
        <v>#DIV/0!</v>
      </c>
      <c r="T49" s="67" t="e">
        <f>S49/R49</f>
        <v>#DIV/0!</v>
      </c>
      <c r="U49" s="78" t="e">
        <f t="shared" si="10"/>
        <v>#DIV/0!</v>
      </c>
    </row>
    <row r="50" spans="1:21">
      <c r="A50" s="88">
        <f t="shared" si="6"/>
        <v>44907</v>
      </c>
      <c r="B50" s="89" t="e">
        <f>C15/B15</f>
        <v>#DIV/0!</v>
      </c>
      <c r="C50" s="56" t="e">
        <f>D15/B15</f>
        <v>#DIV/0!</v>
      </c>
      <c r="D50" s="67" t="e">
        <f>C50/B50</f>
        <v>#DIV/0!</v>
      </c>
      <c r="E50" s="78" t="e">
        <f>(C50/1120)*100</f>
        <v>#DIV/0!</v>
      </c>
      <c r="F50" s="56" t="e">
        <f>G15/F15</f>
        <v>#DIV/0!</v>
      </c>
      <c r="G50" s="56" t="e">
        <f>H15/F15</f>
        <v>#DIV/0!</v>
      </c>
      <c r="H50" s="105" t="e">
        <f>G50/F50</f>
        <v>#DIV/0!</v>
      </c>
      <c r="I50" s="67" t="e">
        <f t="shared" si="7"/>
        <v>#DIV/0!</v>
      </c>
      <c r="J50" s="56" t="e">
        <f>K15/J15</f>
        <v>#DIV/0!</v>
      </c>
      <c r="K50" s="56" t="e">
        <f>L15/J15</f>
        <v>#DIV/0!</v>
      </c>
      <c r="L50" s="67" t="e">
        <f>K50/J50</f>
        <v>#DIV/0!</v>
      </c>
      <c r="M50" s="78" t="e">
        <f t="shared" si="8"/>
        <v>#DIV/0!</v>
      </c>
      <c r="N50" s="56" t="e">
        <f>O15/N15</f>
        <v>#DIV/0!</v>
      </c>
      <c r="O50" s="56" t="e">
        <f>P15/N15</f>
        <v>#DIV/0!</v>
      </c>
      <c r="P50" s="67" t="e">
        <f>O50/N50</f>
        <v>#DIV/0!</v>
      </c>
      <c r="Q50" s="78" t="e">
        <f t="shared" si="9"/>
        <v>#DIV/0!</v>
      </c>
      <c r="R50" s="56" t="e">
        <f>S15/R15</f>
        <v>#DIV/0!</v>
      </c>
      <c r="S50" s="56" t="e">
        <f>T15/R15</f>
        <v>#DIV/0!</v>
      </c>
      <c r="T50" s="67" t="e">
        <f>S50/R50</f>
        <v>#DIV/0!</v>
      </c>
      <c r="U50" s="78" t="e">
        <f t="shared" si="10"/>
        <v>#DIV/0!</v>
      </c>
    </row>
    <row r="51" spans="1:21">
      <c r="A51" s="88">
        <f t="shared" si="6"/>
        <v>44908</v>
      </c>
      <c r="B51" s="89" t="e">
        <f>C16/B16</f>
        <v>#DIV/0!</v>
      </c>
      <c r="C51" s="56" t="e">
        <f>D16/B16</f>
        <v>#DIV/0!</v>
      </c>
      <c r="D51" s="67" t="e">
        <f>C51/B51</f>
        <v>#DIV/0!</v>
      </c>
      <c r="E51" s="78" t="e">
        <f>(C51/1120)*100</f>
        <v>#DIV/0!</v>
      </c>
      <c r="F51" s="56" t="e">
        <f>G16/F16</f>
        <v>#DIV/0!</v>
      </c>
      <c r="G51" s="56" t="e">
        <f>H16/F16</f>
        <v>#DIV/0!</v>
      </c>
      <c r="H51" s="105" t="e">
        <f>G51/F51</f>
        <v>#DIV/0!</v>
      </c>
      <c r="I51" s="67" t="e">
        <f t="shared" si="7"/>
        <v>#DIV/0!</v>
      </c>
      <c r="J51" s="56" t="e">
        <f>K16/J16</f>
        <v>#DIV/0!</v>
      </c>
      <c r="K51" s="56" t="e">
        <f>L16/J16</f>
        <v>#DIV/0!</v>
      </c>
      <c r="L51" s="67" t="e">
        <f>K51/J51</f>
        <v>#DIV/0!</v>
      </c>
      <c r="M51" s="78" t="e">
        <f t="shared" si="8"/>
        <v>#DIV/0!</v>
      </c>
      <c r="N51" s="56" t="e">
        <f>O16/N16</f>
        <v>#DIV/0!</v>
      </c>
      <c r="O51" s="56" t="e">
        <f>P16/N16</f>
        <v>#DIV/0!</v>
      </c>
      <c r="P51" s="67" t="e">
        <f>O51/N51</f>
        <v>#DIV/0!</v>
      </c>
      <c r="Q51" s="78" t="e">
        <f t="shared" si="9"/>
        <v>#DIV/0!</v>
      </c>
      <c r="R51" s="56" t="e">
        <f>S16/R16</f>
        <v>#DIV/0!</v>
      </c>
      <c r="S51" s="56" t="e">
        <f>T16/R16</f>
        <v>#DIV/0!</v>
      </c>
      <c r="T51" s="67" t="e">
        <f>S51/R51</f>
        <v>#DIV/0!</v>
      </c>
      <c r="U51" s="78" t="e">
        <f t="shared" si="10"/>
        <v>#DIV/0!</v>
      </c>
    </row>
    <row r="52" spans="1:21">
      <c r="A52" s="88">
        <f t="shared" si="6"/>
        <v>44909</v>
      </c>
      <c r="B52" s="89" t="e">
        <f>C17/B17</f>
        <v>#DIV/0!</v>
      </c>
      <c r="C52" s="56" t="e">
        <f>D17/B17</f>
        <v>#DIV/0!</v>
      </c>
      <c r="D52" s="67" t="e">
        <f>C52/B52</f>
        <v>#DIV/0!</v>
      </c>
      <c r="E52" s="78" t="e">
        <f>(C52/1120)*100</f>
        <v>#DIV/0!</v>
      </c>
      <c r="F52" s="56" t="e">
        <f>G17/F17</f>
        <v>#DIV/0!</v>
      </c>
      <c r="G52" s="56" t="e">
        <f>H17/F17</f>
        <v>#DIV/0!</v>
      </c>
      <c r="H52" s="105" t="e">
        <f>G52/F52</f>
        <v>#DIV/0!</v>
      </c>
      <c r="I52" s="67" t="e">
        <f t="shared" si="7"/>
        <v>#DIV/0!</v>
      </c>
      <c r="J52" s="56" t="e">
        <f>K17/J17</f>
        <v>#DIV/0!</v>
      </c>
      <c r="K52" s="56" t="e">
        <f>L17/J17</f>
        <v>#DIV/0!</v>
      </c>
      <c r="L52" s="67" t="e">
        <f>K52/J52</f>
        <v>#DIV/0!</v>
      </c>
      <c r="M52" s="78" t="e">
        <f t="shared" si="8"/>
        <v>#DIV/0!</v>
      </c>
      <c r="N52" s="56" t="e">
        <f>O17/N17</f>
        <v>#DIV/0!</v>
      </c>
      <c r="O52" s="56" t="e">
        <f>P17/N17</f>
        <v>#DIV/0!</v>
      </c>
      <c r="P52" s="67" t="e">
        <f>O52/N52</f>
        <v>#DIV/0!</v>
      </c>
      <c r="Q52" s="78" t="e">
        <f t="shared" si="9"/>
        <v>#DIV/0!</v>
      </c>
      <c r="R52" s="56" t="e">
        <f>S17/R17</f>
        <v>#DIV/0!</v>
      </c>
      <c r="S52" s="56" t="e">
        <f>T17/R17</f>
        <v>#DIV/0!</v>
      </c>
      <c r="T52" s="67" t="e">
        <f>S52/R52</f>
        <v>#DIV/0!</v>
      </c>
      <c r="U52" s="78" t="e">
        <f t="shared" si="10"/>
        <v>#DIV/0!</v>
      </c>
    </row>
    <row r="53" spans="1:21">
      <c r="A53" s="88">
        <f t="shared" si="6"/>
        <v>44910</v>
      </c>
      <c r="B53" s="89" t="e">
        <f>C18/B18</f>
        <v>#DIV/0!</v>
      </c>
      <c r="C53" s="56" t="e">
        <f>D18/B18</f>
        <v>#DIV/0!</v>
      </c>
      <c r="D53" s="67" t="e">
        <f>C53/B53</f>
        <v>#DIV/0!</v>
      </c>
      <c r="E53" s="78" t="e">
        <f>(C53/1120)*100</f>
        <v>#DIV/0!</v>
      </c>
      <c r="F53" s="56" t="e">
        <f>G18/F18</f>
        <v>#DIV/0!</v>
      </c>
      <c r="G53" s="56" t="e">
        <f>H18/F18</f>
        <v>#DIV/0!</v>
      </c>
      <c r="H53" s="105" t="e">
        <f>G53/F53</f>
        <v>#DIV/0!</v>
      </c>
      <c r="I53" s="67" t="e">
        <f t="shared" si="7"/>
        <v>#DIV/0!</v>
      </c>
      <c r="J53" s="56" t="e">
        <f>K18/J18</f>
        <v>#DIV/0!</v>
      </c>
      <c r="K53" s="56" t="e">
        <f>L18/J18</f>
        <v>#DIV/0!</v>
      </c>
      <c r="L53" s="67" t="e">
        <f>K53/J53</f>
        <v>#DIV/0!</v>
      </c>
      <c r="M53" s="78" t="e">
        <f t="shared" si="8"/>
        <v>#DIV/0!</v>
      </c>
      <c r="N53" s="56" t="e">
        <f>O18/N18</f>
        <v>#DIV/0!</v>
      </c>
      <c r="O53" s="56" t="e">
        <f>P18/N18</f>
        <v>#DIV/0!</v>
      </c>
      <c r="P53" s="67" t="e">
        <f>O53/N53</f>
        <v>#DIV/0!</v>
      </c>
      <c r="Q53" s="78" t="e">
        <f t="shared" si="9"/>
        <v>#DIV/0!</v>
      </c>
      <c r="R53" s="56" t="e">
        <f>S18/R18</f>
        <v>#DIV/0!</v>
      </c>
      <c r="S53" s="56" t="e">
        <f>T18/R18</f>
        <v>#DIV/0!</v>
      </c>
      <c r="T53" s="67" t="e">
        <f>S53/R53</f>
        <v>#DIV/0!</v>
      </c>
      <c r="U53" s="78" t="e">
        <f t="shared" si="10"/>
        <v>#DIV/0!</v>
      </c>
    </row>
    <row r="54" spans="1:21">
      <c r="A54" s="88">
        <f t="shared" si="6"/>
        <v>44911</v>
      </c>
      <c r="B54" s="89" t="e">
        <f>C19/B19</f>
        <v>#DIV/0!</v>
      </c>
      <c r="C54" s="56" t="e">
        <f>D19/B19</f>
        <v>#DIV/0!</v>
      </c>
      <c r="D54" s="67" t="e">
        <f>C54/B54</f>
        <v>#DIV/0!</v>
      </c>
      <c r="E54" s="78" t="e">
        <f>(C54/1120)*100</f>
        <v>#DIV/0!</v>
      </c>
      <c r="F54" s="56" t="e">
        <f>G19/F19</f>
        <v>#DIV/0!</v>
      </c>
      <c r="G54" s="56" t="e">
        <f>H19/F19</f>
        <v>#DIV/0!</v>
      </c>
      <c r="H54" s="105" t="e">
        <f>G54/F54</f>
        <v>#DIV/0!</v>
      </c>
      <c r="I54" s="67" t="e">
        <f t="shared" si="7"/>
        <v>#DIV/0!</v>
      </c>
      <c r="J54" s="56" t="e">
        <f>K19/J19</f>
        <v>#DIV/0!</v>
      </c>
      <c r="K54" s="56" t="e">
        <f>L19/J19</f>
        <v>#DIV/0!</v>
      </c>
      <c r="L54" s="67" t="e">
        <f>K54/J54</f>
        <v>#DIV/0!</v>
      </c>
      <c r="M54" s="78" t="e">
        <f t="shared" si="8"/>
        <v>#DIV/0!</v>
      </c>
      <c r="N54" s="56" t="e">
        <f>O19/N19</f>
        <v>#DIV/0!</v>
      </c>
      <c r="O54" s="56" t="e">
        <f>P19/N19</f>
        <v>#DIV/0!</v>
      </c>
      <c r="P54" s="67" t="e">
        <f>O54/N54</f>
        <v>#DIV/0!</v>
      </c>
      <c r="Q54" s="78" t="e">
        <f t="shared" si="9"/>
        <v>#DIV/0!</v>
      </c>
      <c r="R54" s="56" t="e">
        <f>S19/R19</f>
        <v>#DIV/0!</v>
      </c>
      <c r="S54" s="56" t="e">
        <f>T19/R19</f>
        <v>#DIV/0!</v>
      </c>
      <c r="T54" s="67" t="e">
        <f>S54/R54</f>
        <v>#DIV/0!</v>
      </c>
      <c r="U54" s="78" t="e">
        <f t="shared" si="10"/>
        <v>#DIV/0!</v>
      </c>
    </row>
    <row r="55" spans="1:21">
      <c r="A55" s="88">
        <f t="shared" si="6"/>
        <v>44912</v>
      </c>
      <c r="B55" s="89" t="e">
        <f>C20/B20</f>
        <v>#DIV/0!</v>
      </c>
      <c r="C55" s="56" t="e">
        <f>D20/B20</f>
        <v>#DIV/0!</v>
      </c>
      <c r="D55" s="67" t="e">
        <f>C55/B55</f>
        <v>#DIV/0!</v>
      </c>
      <c r="E55" s="78" t="e">
        <f>(C55/1120)*100</f>
        <v>#DIV/0!</v>
      </c>
      <c r="F55" s="56" t="e">
        <f>G20/F20</f>
        <v>#DIV/0!</v>
      </c>
      <c r="G55" s="56" t="e">
        <f>H20/F20</f>
        <v>#DIV/0!</v>
      </c>
      <c r="H55" s="105" t="e">
        <f>G55/F55</f>
        <v>#DIV/0!</v>
      </c>
      <c r="I55" s="67" t="e">
        <f t="shared" si="7"/>
        <v>#DIV/0!</v>
      </c>
      <c r="J55" s="56" t="e">
        <f>K20/J20</f>
        <v>#DIV/0!</v>
      </c>
      <c r="K55" s="56" t="e">
        <f>L20/J20</f>
        <v>#DIV/0!</v>
      </c>
      <c r="L55" s="67" t="e">
        <f>K55/J55</f>
        <v>#DIV/0!</v>
      </c>
      <c r="M55" s="78" t="e">
        <f t="shared" si="8"/>
        <v>#DIV/0!</v>
      </c>
      <c r="N55" s="56" t="e">
        <f>O20/N20</f>
        <v>#DIV/0!</v>
      </c>
      <c r="O55" s="56" t="e">
        <f>P20/N20</f>
        <v>#DIV/0!</v>
      </c>
      <c r="P55" s="67" t="e">
        <f>O55/N55</f>
        <v>#DIV/0!</v>
      </c>
      <c r="Q55" s="78" t="e">
        <f t="shared" si="9"/>
        <v>#DIV/0!</v>
      </c>
      <c r="R55" s="56" t="e">
        <f>S20/R20</f>
        <v>#DIV/0!</v>
      </c>
      <c r="S55" s="56" t="e">
        <f>T20/R20</f>
        <v>#DIV/0!</v>
      </c>
      <c r="T55" s="67" t="e">
        <f>S55/R55</f>
        <v>#DIV/0!</v>
      </c>
      <c r="U55" s="78" t="e">
        <f t="shared" si="10"/>
        <v>#DIV/0!</v>
      </c>
    </row>
    <row r="56" spans="1:21">
      <c r="A56" s="88">
        <f t="shared" si="6"/>
        <v>44913</v>
      </c>
      <c r="B56" s="89" t="e">
        <f>C21/B21</f>
        <v>#DIV/0!</v>
      </c>
      <c r="C56" s="56" t="e">
        <f>D21/B21</f>
        <v>#DIV/0!</v>
      </c>
      <c r="D56" s="67" t="e">
        <f>C56/B56</f>
        <v>#DIV/0!</v>
      </c>
      <c r="E56" s="78" t="e">
        <f>(C56/1120)*100</f>
        <v>#DIV/0!</v>
      </c>
      <c r="F56" s="56" t="e">
        <f>G21/F21</f>
        <v>#DIV/0!</v>
      </c>
      <c r="G56" s="56" t="e">
        <f>H21/F21</f>
        <v>#DIV/0!</v>
      </c>
      <c r="H56" s="105" t="e">
        <f>G56/F56</f>
        <v>#DIV/0!</v>
      </c>
      <c r="I56" s="67" t="e">
        <f t="shared" si="7"/>
        <v>#DIV/0!</v>
      </c>
      <c r="J56" s="56" t="e">
        <f>K21/J21</f>
        <v>#DIV/0!</v>
      </c>
      <c r="K56" s="56" t="e">
        <f>L21/J21</f>
        <v>#DIV/0!</v>
      </c>
      <c r="L56" s="67" t="e">
        <f>K56/J56</f>
        <v>#DIV/0!</v>
      </c>
      <c r="M56" s="78" t="e">
        <f t="shared" si="8"/>
        <v>#DIV/0!</v>
      </c>
      <c r="N56" s="56" t="e">
        <f>O21/N21</f>
        <v>#DIV/0!</v>
      </c>
      <c r="O56" s="56" t="e">
        <f>P21/N21</f>
        <v>#DIV/0!</v>
      </c>
      <c r="P56" s="67" t="e">
        <f>O56/N56</f>
        <v>#DIV/0!</v>
      </c>
      <c r="Q56" s="78" t="e">
        <f t="shared" si="9"/>
        <v>#DIV/0!</v>
      </c>
      <c r="R56" s="56" t="e">
        <f>S21/R21</f>
        <v>#DIV/0!</v>
      </c>
      <c r="S56" s="56" t="e">
        <f>T21/R21</f>
        <v>#DIV/0!</v>
      </c>
      <c r="T56" s="67" t="e">
        <f>S56/R56</f>
        <v>#DIV/0!</v>
      </c>
      <c r="U56" s="78" t="e">
        <f t="shared" si="10"/>
        <v>#DIV/0!</v>
      </c>
    </row>
    <row r="57" spans="1:21">
      <c r="A57" s="88">
        <f t="shared" si="6"/>
        <v>44914</v>
      </c>
      <c r="B57" s="89" t="e">
        <f>C22/B22</f>
        <v>#DIV/0!</v>
      </c>
      <c r="C57" s="56" t="e">
        <f>D22/B22</f>
        <v>#DIV/0!</v>
      </c>
      <c r="D57" s="67" t="e">
        <f>C57/B57</f>
        <v>#DIV/0!</v>
      </c>
      <c r="E57" s="78" t="e">
        <f>(C57/1120)*100</f>
        <v>#DIV/0!</v>
      </c>
      <c r="F57" s="56" t="e">
        <f>G22/F22</f>
        <v>#DIV/0!</v>
      </c>
      <c r="G57" s="56" t="e">
        <f>H22/F22</f>
        <v>#DIV/0!</v>
      </c>
      <c r="H57" s="105" t="e">
        <f>G57/F57</f>
        <v>#DIV/0!</v>
      </c>
      <c r="I57" s="67" t="e">
        <f t="shared" si="7"/>
        <v>#DIV/0!</v>
      </c>
      <c r="J57" s="56" t="e">
        <f>K22/J22</f>
        <v>#DIV/0!</v>
      </c>
      <c r="K57" s="56" t="e">
        <f>L22/J22</f>
        <v>#DIV/0!</v>
      </c>
      <c r="L57" s="67" t="e">
        <f>K57/J57</f>
        <v>#DIV/0!</v>
      </c>
      <c r="M57" s="78" t="e">
        <f t="shared" si="8"/>
        <v>#DIV/0!</v>
      </c>
      <c r="N57" s="56" t="e">
        <f>O22/N22</f>
        <v>#DIV/0!</v>
      </c>
      <c r="O57" s="56" t="e">
        <f>P22/N22</f>
        <v>#DIV/0!</v>
      </c>
      <c r="P57" s="67" t="e">
        <f>O57/N57</f>
        <v>#DIV/0!</v>
      </c>
      <c r="Q57" s="78" t="e">
        <f t="shared" si="9"/>
        <v>#DIV/0!</v>
      </c>
      <c r="R57" s="56" t="e">
        <f>S22/R22</f>
        <v>#DIV/0!</v>
      </c>
      <c r="S57" s="56" t="e">
        <f>T22/R22</f>
        <v>#DIV/0!</v>
      </c>
      <c r="T57" s="67" t="e">
        <f>S57/R57</f>
        <v>#DIV/0!</v>
      </c>
      <c r="U57" s="78" t="e">
        <f t="shared" si="10"/>
        <v>#DIV/0!</v>
      </c>
    </row>
    <row r="58" spans="1:21">
      <c r="A58" s="88">
        <f t="shared" si="6"/>
        <v>44915</v>
      </c>
      <c r="B58" s="89" t="e">
        <f>C23/B23</f>
        <v>#DIV/0!</v>
      </c>
      <c r="C58" s="56" t="e">
        <f>D23/B23</f>
        <v>#DIV/0!</v>
      </c>
      <c r="D58" s="67" t="e">
        <f>C58/B58</f>
        <v>#DIV/0!</v>
      </c>
      <c r="E58" s="78" t="e">
        <f>(C58/1120)*100</f>
        <v>#DIV/0!</v>
      </c>
      <c r="F58" s="56" t="e">
        <f>G23/F23</f>
        <v>#DIV/0!</v>
      </c>
      <c r="G58" s="56" t="e">
        <f>H23/F23</f>
        <v>#DIV/0!</v>
      </c>
      <c r="H58" s="105" t="e">
        <f>G58/F58</f>
        <v>#DIV/0!</v>
      </c>
      <c r="I58" s="67" t="e">
        <f t="shared" si="7"/>
        <v>#DIV/0!</v>
      </c>
      <c r="J58" s="56" t="e">
        <f>K23/J23</f>
        <v>#DIV/0!</v>
      </c>
      <c r="K58" s="56" t="e">
        <f>L23/J23</f>
        <v>#DIV/0!</v>
      </c>
      <c r="L58" s="67" t="e">
        <f>K58/J58</f>
        <v>#DIV/0!</v>
      </c>
      <c r="M58" s="78" t="e">
        <f t="shared" si="8"/>
        <v>#DIV/0!</v>
      </c>
      <c r="N58" s="56" t="e">
        <f>O23/N23</f>
        <v>#DIV/0!</v>
      </c>
      <c r="O58" s="56" t="e">
        <f>P23/N23</f>
        <v>#DIV/0!</v>
      </c>
      <c r="P58" s="67" t="e">
        <f>O58/N58</f>
        <v>#DIV/0!</v>
      </c>
      <c r="Q58" s="78" t="e">
        <f t="shared" si="9"/>
        <v>#DIV/0!</v>
      </c>
      <c r="R58" s="56" t="e">
        <f>S23/R23</f>
        <v>#DIV/0!</v>
      </c>
      <c r="S58" s="56" t="e">
        <f>T23/R23</f>
        <v>#DIV/0!</v>
      </c>
      <c r="T58" s="67" t="e">
        <f>S58/R58</f>
        <v>#DIV/0!</v>
      </c>
      <c r="U58" s="78" t="e">
        <f t="shared" si="10"/>
        <v>#DIV/0!</v>
      </c>
    </row>
    <row r="59" spans="1:21">
      <c r="A59" s="88">
        <f t="shared" si="6"/>
        <v>44916</v>
      </c>
      <c r="B59" s="89" t="e">
        <f>C24/B24</f>
        <v>#DIV/0!</v>
      </c>
      <c r="C59" s="56" t="e">
        <f>D24/B24</f>
        <v>#DIV/0!</v>
      </c>
      <c r="D59" s="67" t="e">
        <f>C59/B59</f>
        <v>#DIV/0!</v>
      </c>
      <c r="E59" s="78" t="e">
        <f>(C59/1120)*100</f>
        <v>#DIV/0!</v>
      </c>
      <c r="F59" s="56" t="e">
        <f>G24/F24</f>
        <v>#DIV/0!</v>
      </c>
      <c r="G59" s="56" t="e">
        <f>H24/F24</f>
        <v>#DIV/0!</v>
      </c>
      <c r="H59" s="105" t="e">
        <f>G59/F59</f>
        <v>#DIV/0!</v>
      </c>
      <c r="I59" s="67" t="e">
        <f t="shared" si="7"/>
        <v>#DIV/0!</v>
      </c>
      <c r="J59" s="56" t="e">
        <f>K24/J24</f>
        <v>#DIV/0!</v>
      </c>
      <c r="K59" s="56" t="e">
        <f>L24/J24</f>
        <v>#DIV/0!</v>
      </c>
      <c r="L59" s="67" t="e">
        <f>K59/J59</f>
        <v>#DIV/0!</v>
      </c>
      <c r="M59" s="78" t="e">
        <f t="shared" si="8"/>
        <v>#DIV/0!</v>
      </c>
      <c r="N59" s="56" t="e">
        <f>O24/N24</f>
        <v>#DIV/0!</v>
      </c>
      <c r="O59" s="56" t="e">
        <f>P24/N24</f>
        <v>#DIV/0!</v>
      </c>
      <c r="P59" s="67" t="e">
        <f>O59/N59</f>
        <v>#DIV/0!</v>
      </c>
      <c r="Q59" s="78" t="e">
        <f t="shared" si="9"/>
        <v>#DIV/0!</v>
      </c>
      <c r="R59" s="56" t="e">
        <f>S24/R24</f>
        <v>#DIV/0!</v>
      </c>
      <c r="S59" s="56" t="e">
        <f>T24/R24</f>
        <v>#DIV/0!</v>
      </c>
      <c r="T59" s="67" t="e">
        <f>S59/R59</f>
        <v>#DIV/0!</v>
      </c>
      <c r="U59" s="78" t="e">
        <f t="shared" si="10"/>
        <v>#DIV/0!</v>
      </c>
    </row>
    <row r="60" spans="1:21">
      <c r="A60" s="88">
        <f t="shared" si="6"/>
        <v>44917</v>
      </c>
      <c r="B60" s="89" t="e">
        <f>C25/B25</f>
        <v>#DIV/0!</v>
      </c>
      <c r="C60" s="56" t="e">
        <f>D25/B25</f>
        <v>#DIV/0!</v>
      </c>
      <c r="D60" s="67" t="e">
        <f>C60/B60</f>
        <v>#DIV/0!</v>
      </c>
      <c r="E60" s="78" t="e">
        <f>(C60/1120)*100</f>
        <v>#DIV/0!</v>
      </c>
      <c r="F60" s="56" t="e">
        <f>G25/F25</f>
        <v>#DIV/0!</v>
      </c>
      <c r="G60" s="56" t="e">
        <f>H25/F25</f>
        <v>#DIV/0!</v>
      </c>
      <c r="H60" s="105" t="e">
        <f>G60/F60</f>
        <v>#DIV/0!</v>
      </c>
      <c r="I60" s="67" t="e">
        <f t="shared" si="7"/>
        <v>#DIV/0!</v>
      </c>
      <c r="J60" s="56" t="e">
        <f>K25/J25</f>
        <v>#DIV/0!</v>
      </c>
      <c r="K60" s="56" t="e">
        <f>L25/J25</f>
        <v>#DIV/0!</v>
      </c>
      <c r="L60" s="67" t="e">
        <f>K60/J60</f>
        <v>#DIV/0!</v>
      </c>
      <c r="M60" s="78" t="e">
        <f t="shared" si="8"/>
        <v>#DIV/0!</v>
      </c>
      <c r="N60" s="56" t="e">
        <f>O25/N25</f>
        <v>#DIV/0!</v>
      </c>
      <c r="O60" s="56" t="e">
        <f>P25/N25</f>
        <v>#DIV/0!</v>
      </c>
      <c r="P60" s="67" t="e">
        <f>O60/N60</f>
        <v>#DIV/0!</v>
      </c>
      <c r="Q60" s="78" t="e">
        <f t="shared" si="9"/>
        <v>#DIV/0!</v>
      </c>
      <c r="R60" s="56" t="e">
        <f>S25/R25</f>
        <v>#DIV/0!</v>
      </c>
      <c r="S60" s="56" t="e">
        <f>T25/R25</f>
        <v>#DIV/0!</v>
      </c>
      <c r="T60" s="67" t="e">
        <f>S60/R60</f>
        <v>#DIV/0!</v>
      </c>
      <c r="U60" s="78" t="e">
        <f t="shared" si="10"/>
        <v>#DIV/0!</v>
      </c>
    </row>
    <row r="61" spans="1:21">
      <c r="A61" s="88">
        <f t="shared" si="6"/>
        <v>44918</v>
      </c>
      <c r="B61" s="89" t="e">
        <f>C26/B26</f>
        <v>#DIV/0!</v>
      </c>
      <c r="C61" s="56" t="e">
        <f>D26/B26</f>
        <v>#DIV/0!</v>
      </c>
      <c r="D61" s="67" t="e">
        <f>C61/B61</f>
        <v>#DIV/0!</v>
      </c>
      <c r="E61" s="78" t="e">
        <f>(C61/1120)*100</f>
        <v>#DIV/0!</v>
      </c>
      <c r="F61" s="56" t="e">
        <f>G26/F26</f>
        <v>#DIV/0!</v>
      </c>
      <c r="G61" s="56" t="e">
        <f>H26/F26</f>
        <v>#DIV/0!</v>
      </c>
      <c r="H61" s="105" t="e">
        <f>G61/F61</f>
        <v>#DIV/0!</v>
      </c>
      <c r="I61" s="67" t="e">
        <f t="shared" si="7"/>
        <v>#DIV/0!</v>
      </c>
      <c r="J61" s="56" t="e">
        <f>K26/J26</f>
        <v>#DIV/0!</v>
      </c>
      <c r="K61" s="56" t="e">
        <f>L26/J26</f>
        <v>#DIV/0!</v>
      </c>
      <c r="L61" s="67" t="e">
        <f>K61/J61</f>
        <v>#DIV/0!</v>
      </c>
      <c r="M61" s="78" t="e">
        <f t="shared" si="8"/>
        <v>#DIV/0!</v>
      </c>
      <c r="N61" s="56" t="e">
        <f>O26/N26</f>
        <v>#DIV/0!</v>
      </c>
      <c r="O61" s="56" t="e">
        <f>P26/N26</f>
        <v>#DIV/0!</v>
      </c>
      <c r="P61" s="67" t="e">
        <f>O61/N61</f>
        <v>#DIV/0!</v>
      </c>
      <c r="Q61" s="78" t="e">
        <f t="shared" si="9"/>
        <v>#DIV/0!</v>
      </c>
      <c r="R61" s="56" t="e">
        <f>S26/R26</f>
        <v>#DIV/0!</v>
      </c>
      <c r="S61" s="56" t="e">
        <f>T26/R26</f>
        <v>#DIV/0!</v>
      </c>
      <c r="T61" s="67" t="e">
        <f>S61/R61</f>
        <v>#DIV/0!</v>
      </c>
      <c r="U61" s="78" t="e">
        <f t="shared" si="10"/>
        <v>#DIV/0!</v>
      </c>
    </row>
    <row r="62" spans="1:21">
      <c r="A62" s="88">
        <f t="shared" si="6"/>
        <v>44919</v>
      </c>
      <c r="B62" s="89" t="e">
        <f>C27/B27</f>
        <v>#DIV/0!</v>
      </c>
      <c r="C62" s="56" t="e">
        <f>D27/B27</f>
        <v>#DIV/0!</v>
      </c>
      <c r="D62" s="67" t="e">
        <f>C62/B62</f>
        <v>#DIV/0!</v>
      </c>
      <c r="E62" s="78" t="e">
        <f>(C62/1120)*100</f>
        <v>#DIV/0!</v>
      </c>
      <c r="F62" s="56" t="e">
        <f>G27/F27</f>
        <v>#DIV/0!</v>
      </c>
      <c r="G62" s="56" t="e">
        <f>H27/F27</f>
        <v>#DIV/0!</v>
      </c>
      <c r="H62" s="105" t="e">
        <f>G62/F62</f>
        <v>#DIV/0!</v>
      </c>
      <c r="I62" s="67" t="e">
        <f t="shared" si="7"/>
        <v>#DIV/0!</v>
      </c>
      <c r="J62" s="56" t="e">
        <f>K27/J27</f>
        <v>#DIV/0!</v>
      </c>
      <c r="K62" s="56" t="e">
        <f>L27/J27</f>
        <v>#DIV/0!</v>
      </c>
      <c r="L62" s="67" t="e">
        <f>K62/J62</f>
        <v>#DIV/0!</v>
      </c>
      <c r="M62" s="78" t="e">
        <f t="shared" si="8"/>
        <v>#DIV/0!</v>
      </c>
      <c r="N62" s="56" t="e">
        <f>O27/N27</f>
        <v>#DIV/0!</v>
      </c>
      <c r="O62" s="56" t="e">
        <f>P27/N27</f>
        <v>#DIV/0!</v>
      </c>
      <c r="P62" s="67" t="e">
        <f>O62/N62</f>
        <v>#DIV/0!</v>
      </c>
      <c r="Q62" s="78" t="e">
        <f t="shared" si="9"/>
        <v>#DIV/0!</v>
      </c>
      <c r="R62" s="56" t="e">
        <f>S27/R27</f>
        <v>#DIV/0!</v>
      </c>
      <c r="S62" s="56" t="e">
        <f>T27/R27</f>
        <v>#DIV/0!</v>
      </c>
      <c r="T62" s="67" t="e">
        <f>S62/R62</f>
        <v>#DIV/0!</v>
      </c>
      <c r="U62" s="78" t="e">
        <f t="shared" si="10"/>
        <v>#DIV/0!</v>
      </c>
    </row>
    <row r="63" spans="1:21">
      <c r="A63" s="88">
        <f t="shared" si="6"/>
        <v>44920</v>
      </c>
      <c r="B63" s="89" t="e">
        <f>C28/B28</f>
        <v>#DIV/0!</v>
      </c>
      <c r="C63" s="56" t="e">
        <f>D28/B28</f>
        <v>#DIV/0!</v>
      </c>
      <c r="D63" s="67" t="e">
        <f>C63/B63</f>
        <v>#DIV/0!</v>
      </c>
      <c r="E63" s="78" t="e">
        <f>(C63/1120)*100</f>
        <v>#DIV/0!</v>
      </c>
      <c r="F63" s="56" t="e">
        <f>G28/F28</f>
        <v>#DIV/0!</v>
      </c>
      <c r="G63" s="56" t="e">
        <f>H28/F28</f>
        <v>#DIV/0!</v>
      </c>
      <c r="H63" s="105" t="e">
        <f>G63/F63</f>
        <v>#DIV/0!</v>
      </c>
      <c r="I63" s="67" t="e">
        <f t="shared" si="7"/>
        <v>#DIV/0!</v>
      </c>
      <c r="J63" s="56" t="e">
        <f>K28/J28</f>
        <v>#DIV/0!</v>
      </c>
      <c r="K63" s="56" t="e">
        <f>L28/J28</f>
        <v>#DIV/0!</v>
      </c>
      <c r="L63" s="67" t="e">
        <f>K63/J63</f>
        <v>#DIV/0!</v>
      </c>
      <c r="M63" s="78" t="e">
        <f t="shared" si="8"/>
        <v>#DIV/0!</v>
      </c>
      <c r="N63" s="56" t="e">
        <f>O28/N28</f>
        <v>#DIV/0!</v>
      </c>
      <c r="O63" s="56" t="e">
        <f>P28/N28</f>
        <v>#DIV/0!</v>
      </c>
      <c r="P63" s="67" t="e">
        <f>O63/N63</f>
        <v>#DIV/0!</v>
      </c>
      <c r="Q63" s="78" t="e">
        <f t="shared" si="9"/>
        <v>#DIV/0!</v>
      </c>
      <c r="R63" s="56" t="e">
        <f>S28/R28</f>
        <v>#DIV/0!</v>
      </c>
      <c r="S63" s="56" t="e">
        <f>T28/R28</f>
        <v>#DIV/0!</v>
      </c>
      <c r="T63" s="67" t="e">
        <f>S63/R63</f>
        <v>#DIV/0!</v>
      </c>
      <c r="U63" s="78" t="e">
        <f t="shared" si="10"/>
        <v>#DIV/0!</v>
      </c>
    </row>
    <row r="64" spans="1:21">
      <c r="A64" s="88">
        <f t="shared" si="6"/>
        <v>44921</v>
      </c>
      <c r="B64" s="89" t="e">
        <f>C29/B29</f>
        <v>#DIV/0!</v>
      </c>
      <c r="C64" s="56" t="e">
        <f>D29/B29</f>
        <v>#DIV/0!</v>
      </c>
      <c r="D64" s="67" t="e">
        <f>C64/B64</f>
        <v>#DIV/0!</v>
      </c>
      <c r="E64" s="78" t="e">
        <f>(C64/1120)*100</f>
        <v>#DIV/0!</v>
      </c>
      <c r="F64" s="56" t="e">
        <f>G29/F29</f>
        <v>#DIV/0!</v>
      </c>
      <c r="G64" s="56" t="e">
        <f>H29/F29</f>
        <v>#DIV/0!</v>
      </c>
      <c r="H64" s="105" t="e">
        <f>G64/F64</f>
        <v>#DIV/0!</v>
      </c>
      <c r="I64" s="67" t="e">
        <f t="shared" si="7"/>
        <v>#DIV/0!</v>
      </c>
      <c r="J64" s="56" t="e">
        <f>K29/J29</f>
        <v>#DIV/0!</v>
      </c>
      <c r="K64" s="56" t="e">
        <f>L29/J29</f>
        <v>#DIV/0!</v>
      </c>
      <c r="L64" s="67" t="e">
        <f>K64/J64</f>
        <v>#DIV/0!</v>
      </c>
      <c r="M64" s="78" t="e">
        <f t="shared" si="8"/>
        <v>#DIV/0!</v>
      </c>
      <c r="N64" s="56" t="e">
        <f>O29/N29</f>
        <v>#DIV/0!</v>
      </c>
      <c r="O64" s="56" t="e">
        <f>P29/N29</f>
        <v>#DIV/0!</v>
      </c>
      <c r="P64" s="67" t="e">
        <f>O64/N64</f>
        <v>#DIV/0!</v>
      </c>
      <c r="Q64" s="78" t="e">
        <f t="shared" si="9"/>
        <v>#DIV/0!</v>
      </c>
      <c r="R64" s="56" t="e">
        <f>S29/R29</f>
        <v>#DIV/0!</v>
      </c>
      <c r="S64" s="56" t="e">
        <f>T29/R29</f>
        <v>#DIV/0!</v>
      </c>
      <c r="T64" s="67" t="e">
        <f>S64/R64</f>
        <v>#DIV/0!</v>
      </c>
      <c r="U64" s="78" t="e">
        <f t="shared" si="10"/>
        <v>#DIV/0!</v>
      </c>
    </row>
    <row r="65" spans="1:21">
      <c r="A65" s="88">
        <f t="shared" si="6"/>
        <v>44922</v>
      </c>
      <c r="B65" s="89" t="e">
        <f>C30/B30</f>
        <v>#DIV/0!</v>
      </c>
      <c r="C65" s="56" t="e">
        <f>D30/B30</f>
        <v>#DIV/0!</v>
      </c>
      <c r="D65" s="67" t="e">
        <f>C65/B65</f>
        <v>#DIV/0!</v>
      </c>
      <c r="E65" s="78" t="e">
        <f>(C65/1120)*100</f>
        <v>#DIV/0!</v>
      </c>
      <c r="F65" s="56" t="e">
        <f>G30/F30</f>
        <v>#DIV/0!</v>
      </c>
      <c r="G65" s="56" t="e">
        <f>H30/F30</f>
        <v>#DIV/0!</v>
      </c>
      <c r="H65" s="105" t="e">
        <f>G65/F65</f>
        <v>#DIV/0!</v>
      </c>
      <c r="I65" s="67" t="e">
        <f t="shared" si="7"/>
        <v>#DIV/0!</v>
      </c>
      <c r="J65" s="56" t="e">
        <f>K30/J30</f>
        <v>#DIV/0!</v>
      </c>
      <c r="K65" s="56" t="e">
        <f>L30/J30</f>
        <v>#DIV/0!</v>
      </c>
      <c r="L65" s="67" t="e">
        <f>K65/J65</f>
        <v>#DIV/0!</v>
      </c>
      <c r="M65" s="78" t="e">
        <f t="shared" si="8"/>
        <v>#DIV/0!</v>
      </c>
      <c r="N65" s="56" t="e">
        <f>O30/N30</f>
        <v>#DIV/0!</v>
      </c>
      <c r="O65" s="56" t="e">
        <f>P30/N30</f>
        <v>#DIV/0!</v>
      </c>
      <c r="P65" s="67" t="e">
        <f>O65/N65</f>
        <v>#DIV/0!</v>
      </c>
      <c r="Q65" s="78" t="e">
        <f t="shared" si="9"/>
        <v>#DIV/0!</v>
      </c>
      <c r="R65" s="56" t="e">
        <f>S30/R30</f>
        <v>#DIV/0!</v>
      </c>
      <c r="S65" s="56" t="e">
        <f>T30/R30</f>
        <v>#DIV/0!</v>
      </c>
      <c r="T65" s="67" t="e">
        <f>S65/R65</f>
        <v>#DIV/0!</v>
      </c>
      <c r="U65" s="78" t="e">
        <f t="shared" si="10"/>
        <v>#DIV/0!</v>
      </c>
    </row>
    <row r="66" spans="1:21">
      <c r="A66" s="88">
        <f t="shared" si="6"/>
        <v>44923</v>
      </c>
      <c r="B66" s="89" t="e">
        <f>C31/B31</f>
        <v>#DIV/0!</v>
      </c>
      <c r="C66" s="56" t="e">
        <f>D31/B31</f>
        <v>#DIV/0!</v>
      </c>
      <c r="D66" s="67" t="e">
        <f>C66/B66</f>
        <v>#DIV/0!</v>
      </c>
      <c r="E66" s="78" t="e">
        <f>(C66/1120)*100</f>
        <v>#DIV/0!</v>
      </c>
      <c r="F66" s="56" t="e">
        <f>G31/F31</f>
        <v>#DIV/0!</v>
      </c>
      <c r="G66" s="56" t="e">
        <f>H31/F31</f>
        <v>#DIV/0!</v>
      </c>
      <c r="H66" s="105" t="e">
        <f>G66/F66</f>
        <v>#DIV/0!</v>
      </c>
      <c r="I66" s="67" t="e">
        <f t="shared" si="7"/>
        <v>#DIV/0!</v>
      </c>
      <c r="J66" s="56" t="e">
        <f>K31/J31</f>
        <v>#DIV/0!</v>
      </c>
      <c r="K66" s="56" t="e">
        <f>L31/J31</f>
        <v>#DIV/0!</v>
      </c>
      <c r="L66" s="67" t="e">
        <f>K66/J66</f>
        <v>#DIV/0!</v>
      </c>
      <c r="M66" s="78" t="e">
        <f t="shared" si="8"/>
        <v>#DIV/0!</v>
      </c>
      <c r="N66" s="56" t="e">
        <f>O31/N31</f>
        <v>#DIV/0!</v>
      </c>
      <c r="O66" s="56" t="e">
        <f>P31/N31</f>
        <v>#DIV/0!</v>
      </c>
      <c r="P66" s="67" t="e">
        <f>O66/N66</f>
        <v>#DIV/0!</v>
      </c>
      <c r="Q66" s="78" t="e">
        <f t="shared" si="9"/>
        <v>#DIV/0!</v>
      </c>
      <c r="R66" s="56" t="e">
        <f>S31/R31</f>
        <v>#DIV/0!</v>
      </c>
      <c r="S66" s="56" t="e">
        <f>T31/R31</f>
        <v>#DIV/0!</v>
      </c>
      <c r="T66" s="67" t="e">
        <f>S66/R66</f>
        <v>#DIV/0!</v>
      </c>
      <c r="U66" s="78" t="e">
        <f t="shared" si="10"/>
        <v>#DIV/0!</v>
      </c>
    </row>
    <row r="67" spans="1:21">
      <c r="A67" s="88">
        <f t="shared" si="6"/>
        <v>44924</v>
      </c>
      <c r="B67" s="89" t="e">
        <f>C32/B32</f>
        <v>#DIV/0!</v>
      </c>
      <c r="C67" s="56" t="e">
        <f>D32/B32</f>
        <v>#DIV/0!</v>
      </c>
      <c r="D67" s="67" t="e">
        <f>C67/B67</f>
        <v>#DIV/0!</v>
      </c>
      <c r="E67" s="78" t="e">
        <f>(C67/1120)*100</f>
        <v>#DIV/0!</v>
      </c>
      <c r="F67" s="56" t="e">
        <f>G32/F32</f>
        <v>#DIV/0!</v>
      </c>
      <c r="G67" s="56" t="e">
        <f>H32/F32</f>
        <v>#DIV/0!</v>
      </c>
      <c r="H67" s="105" t="e">
        <f>G67/F67</f>
        <v>#DIV/0!</v>
      </c>
      <c r="I67" s="67" t="e">
        <f t="shared" si="7"/>
        <v>#DIV/0!</v>
      </c>
      <c r="J67" s="56" t="e">
        <f>K32/J32</f>
        <v>#DIV/0!</v>
      </c>
      <c r="K67" s="56" t="e">
        <f>L32/J32</f>
        <v>#DIV/0!</v>
      </c>
      <c r="L67" s="67" t="e">
        <f>K67/J67</f>
        <v>#DIV/0!</v>
      </c>
      <c r="M67" s="78" t="e">
        <f t="shared" si="8"/>
        <v>#DIV/0!</v>
      </c>
      <c r="N67" s="56" t="e">
        <f>O32/N32</f>
        <v>#DIV/0!</v>
      </c>
      <c r="O67" s="56" t="e">
        <f>P32/N32</f>
        <v>#DIV/0!</v>
      </c>
      <c r="P67" s="67" t="e">
        <f>O67/N67</f>
        <v>#DIV/0!</v>
      </c>
      <c r="Q67" s="78" t="e">
        <f t="shared" si="9"/>
        <v>#DIV/0!</v>
      </c>
      <c r="R67" s="56" t="e">
        <f>S32/R32</f>
        <v>#DIV/0!</v>
      </c>
      <c r="S67" s="56" t="e">
        <f>T32/R32</f>
        <v>#DIV/0!</v>
      </c>
      <c r="T67" s="67" t="e">
        <f>S67/R67</f>
        <v>#DIV/0!</v>
      </c>
      <c r="U67" s="78" t="e">
        <f t="shared" si="10"/>
        <v>#DIV/0!</v>
      </c>
    </row>
    <row r="68" spans="1:21">
      <c r="A68" s="88">
        <f t="shared" si="6"/>
        <v>44925</v>
      </c>
      <c r="B68" s="89" t="e">
        <f>C33/B33</f>
        <v>#DIV/0!</v>
      </c>
      <c r="C68" s="56" t="e">
        <f>D33/B33</f>
        <v>#DIV/0!</v>
      </c>
      <c r="D68" s="67" t="e">
        <f>C68/B68</f>
        <v>#DIV/0!</v>
      </c>
      <c r="E68" s="78" t="e">
        <f>(C68/1120)*100</f>
        <v>#DIV/0!</v>
      </c>
      <c r="F68" s="56" t="e">
        <f>G33/F33</f>
        <v>#DIV/0!</v>
      </c>
      <c r="G68" s="56" t="e">
        <f>H33/F33</f>
        <v>#DIV/0!</v>
      </c>
      <c r="H68" s="105" t="e">
        <f>G68/F68</f>
        <v>#DIV/0!</v>
      </c>
      <c r="I68" s="67" t="e">
        <f t="shared" si="7"/>
        <v>#DIV/0!</v>
      </c>
      <c r="J68" s="56" t="e">
        <f>K33/J33</f>
        <v>#DIV/0!</v>
      </c>
      <c r="K68" s="56" t="e">
        <f>L33/J33</f>
        <v>#DIV/0!</v>
      </c>
      <c r="L68" s="67" t="e">
        <f>K68/J68</f>
        <v>#DIV/0!</v>
      </c>
      <c r="M68" s="78" t="e">
        <f t="shared" si="8"/>
        <v>#DIV/0!</v>
      </c>
      <c r="N68" s="56" t="e">
        <f>O33/N33</f>
        <v>#DIV/0!</v>
      </c>
      <c r="O68" s="56" t="e">
        <f>P33/N33</f>
        <v>#DIV/0!</v>
      </c>
      <c r="P68" s="67" t="e">
        <f>O68/N68</f>
        <v>#DIV/0!</v>
      </c>
      <c r="Q68" s="78" t="e">
        <f t="shared" si="9"/>
        <v>#DIV/0!</v>
      </c>
      <c r="R68" s="56" t="e">
        <f>S33/R33</f>
        <v>#DIV/0!</v>
      </c>
      <c r="S68" s="56" t="e">
        <f>T33/R33</f>
        <v>#DIV/0!</v>
      </c>
      <c r="T68" s="67" t="e">
        <f>S68/R68</f>
        <v>#DIV/0!</v>
      </c>
      <c r="U68" s="78" t="e">
        <f t="shared" si="10"/>
        <v>#DIV/0!</v>
      </c>
    </row>
    <row r="69" spans="1:21">
      <c r="A69" s="102"/>
      <c r="B69" s="93" t="e">
        <f>C34/B34</f>
        <v>#DIV/0!</v>
      </c>
      <c r="C69" s="91" t="e">
        <f>D34/B34</f>
        <v>#DIV/0!</v>
      </c>
      <c r="D69" s="104" t="e">
        <f>C69/B69</f>
        <v>#DIV/0!</v>
      </c>
      <c r="E69" s="92" t="e">
        <f>(C69/1120)*100</f>
        <v>#DIV/0!</v>
      </c>
      <c r="F69" s="91" t="e">
        <f>G34/F34</f>
        <v>#DIV/0!</v>
      </c>
      <c r="G69" s="56" t="e">
        <f>H34/F34</f>
        <v>#DIV/0!</v>
      </c>
      <c r="H69" s="105" t="e">
        <f>G69/F69</f>
        <v>#DIV/0!</v>
      </c>
      <c r="I69" s="67" t="e">
        <f t="shared" si="7"/>
        <v>#DIV/0!</v>
      </c>
      <c r="J69" s="56" t="e">
        <f>K34/J34</f>
        <v>#DIV/0!</v>
      </c>
      <c r="K69" s="56" t="e">
        <f>L34/J34</f>
        <v>#DIV/0!</v>
      </c>
      <c r="L69" s="67" t="e">
        <f>K69/J69</f>
        <v>#DIV/0!</v>
      </c>
      <c r="M69" s="78" t="e">
        <f t="shared" si="8"/>
        <v>#DIV/0!</v>
      </c>
      <c r="N69" s="56" t="e">
        <f>O34/N34</f>
        <v>#DIV/0!</v>
      </c>
      <c r="O69" s="56" t="e">
        <f>P34/N34</f>
        <v>#DIV/0!</v>
      </c>
      <c r="P69" s="67" t="e">
        <f>O69/N69</f>
        <v>#DIV/0!</v>
      </c>
      <c r="Q69" s="78" t="e">
        <f t="shared" si="9"/>
        <v>#DIV/0!</v>
      </c>
      <c r="R69" s="56" t="e">
        <f>S34/R34</f>
        <v>#DIV/0!</v>
      </c>
      <c r="S69" s="56" t="e">
        <f>T34/R34</f>
        <v>#DIV/0!</v>
      </c>
      <c r="T69" s="67" t="e">
        <f>S69/R69</f>
        <v>#DIV/0!</v>
      </c>
      <c r="U69" s="78" t="e">
        <f t="shared" si="10"/>
        <v>#DIV/0!</v>
      </c>
    </row>
    <row r="70" spans="1:21">
      <c r="A70" s="130"/>
      <c r="B70" s="131"/>
      <c r="C70" s="131"/>
      <c r="D70" s="131"/>
      <c r="E70" s="131"/>
      <c r="F70" s="132"/>
    </row>
    <row r="71" spans="1:21" ht="59.25" customHeight="1">
      <c r="A71" s="57"/>
      <c r="B71" s="103" t="s">
        <v>96</v>
      </c>
      <c r="C71" s="103" t="s">
        <v>98</v>
      </c>
      <c r="D71" s="129" t="s">
        <v>99</v>
      </c>
      <c r="E71" s="201" t="s">
        <v>105</v>
      </c>
      <c r="F71" s="201"/>
    </row>
    <row r="72" spans="1:21">
      <c r="A72" s="88">
        <f>A4</f>
        <v>44896</v>
      </c>
      <c r="B72" s="38">
        <f>'FS Seychelles'!B3</f>
        <v>55.8</v>
      </c>
      <c r="D72" s="81">
        <f>D5+H5+L5+P5+T5</f>
        <v>32325</v>
      </c>
      <c r="E72" s="202">
        <f>D72/10000</f>
        <v>3.2324999999999999</v>
      </c>
      <c r="F72" s="202"/>
    </row>
    <row r="73" spans="1:21">
      <c r="A73" s="88">
        <f>A5</f>
        <v>44897</v>
      </c>
      <c r="B73" s="38">
        <f>'FS Seychelles'!B4</f>
        <v>59.7</v>
      </c>
      <c r="D73" s="81">
        <f>D6+H6+L6+P6+T6</f>
        <v>32946</v>
      </c>
      <c r="E73" s="202">
        <f t="shared" ref="E73:E102" si="11">D73/10000</f>
        <v>3.2946</v>
      </c>
      <c r="F73" s="202"/>
    </row>
    <row r="74" spans="1:21">
      <c r="A74" s="88">
        <f>A6</f>
        <v>44898</v>
      </c>
      <c r="B74" s="38">
        <f>'FS Seychelles'!B5</f>
        <v>57.1</v>
      </c>
      <c r="D74" s="81">
        <f>D7+H7+L7+P7+T7</f>
        <v>35637</v>
      </c>
      <c r="E74" s="202">
        <f t="shared" si="11"/>
        <v>3.5636999999999999</v>
      </c>
      <c r="F74" s="202"/>
    </row>
    <row r="75" spans="1:21">
      <c r="A75" s="88">
        <f>A7</f>
        <v>44899</v>
      </c>
      <c r="B75" s="38">
        <f>'FS Seychelles'!B6</f>
        <v>40.299999999999997</v>
      </c>
      <c r="D75" s="81">
        <f>D8+H8+L8+P8+T8</f>
        <v>32598</v>
      </c>
      <c r="E75" s="202">
        <f t="shared" si="11"/>
        <v>3.2597999999999998</v>
      </c>
      <c r="F75" s="202"/>
    </row>
    <row r="76" spans="1:21">
      <c r="A76" s="88">
        <f>A8</f>
        <v>44900</v>
      </c>
      <c r="B76" s="38">
        <f>'FS Seychelles'!B7</f>
        <v>39</v>
      </c>
      <c r="D76" s="81">
        <f>D9+H9+L9+P9+T9</f>
        <v>0</v>
      </c>
      <c r="E76" s="202">
        <f t="shared" si="11"/>
        <v>0</v>
      </c>
      <c r="F76" s="202"/>
    </row>
    <row r="77" spans="1:21">
      <c r="A77" s="88">
        <f>A9</f>
        <v>44901</v>
      </c>
      <c r="B77" s="38">
        <f>'FS Seychelles'!B8</f>
        <v>0</v>
      </c>
      <c r="D77" s="81">
        <f>D10+H10+L10+P10+T10</f>
        <v>0</v>
      </c>
      <c r="E77" s="202">
        <f t="shared" si="11"/>
        <v>0</v>
      </c>
      <c r="F77" s="202"/>
    </row>
    <row r="78" spans="1:21">
      <c r="A78" s="88">
        <f>A10</f>
        <v>44902</v>
      </c>
      <c r="B78" s="38">
        <f>'FS Seychelles'!B9</f>
        <v>0</v>
      </c>
      <c r="D78" s="81">
        <f>D11+H11+L11+P11+T11</f>
        <v>0</v>
      </c>
      <c r="E78" s="202">
        <f t="shared" si="11"/>
        <v>0</v>
      </c>
      <c r="F78" s="202"/>
    </row>
    <row r="79" spans="1:21">
      <c r="A79" s="88">
        <f>A11</f>
        <v>44903</v>
      </c>
      <c r="B79" s="38">
        <f>'FS Seychelles'!B10</f>
        <v>0</v>
      </c>
      <c r="D79" s="81">
        <f>D12+H12+L12+P12+T12</f>
        <v>0</v>
      </c>
      <c r="E79" s="202">
        <f t="shared" si="11"/>
        <v>0</v>
      </c>
      <c r="F79" s="202"/>
    </row>
    <row r="80" spans="1:21">
      <c r="A80" s="88">
        <f>A12</f>
        <v>44904</v>
      </c>
      <c r="B80" s="38">
        <f>'FS Seychelles'!B11</f>
        <v>0</v>
      </c>
      <c r="D80" s="81">
        <f>D13+H13+L13+P13+T13</f>
        <v>0</v>
      </c>
      <c r="E80" s="202">
        <f t="shared" si="11"/>
        <v>0</v>
      </c>
      <c r="F80" s="202"/>
    </row>
    <row r="81" spans="1:6">
      <c r="A81" s="88">
        <f>A13</f>
        <v>44905</v>
      </c>
      <c r="B81" s="38">
        <f>'FS Seychelles'!B12</f>
        <v>0</v>
      </c>
      <c r="D81" s="81">
        <f>D14+H14+L14+P14+T14</f>
        <v>0</v>
      </c>
      <c r="E81" s="202">
        <f t="shared" si="11"/>
        <v>0</v>
      </c>
      <c r="F81" s="202"/>
    </row>
    <row r="82" spans="1:6">
      <c r="A82" s="88">
        <f>A14</f>
        <v>44906</v>
      </c>
      <c r="B82" s="38">
        <f>'FS Seychelles'!B13</f>
        <v>0</v>
      </c>
      <c r="D82" s="81">
        <f>D15+H15+L15+P15+T15</f>
        <v>0</v>
      </c>
      <c r="E82" s="202">
        <f t="shared" si="11"/>
        <v>0</v>
      </c>
      <c r="F82" s="202"/>
    </row>
    <row r="83" spans="1:6">
      <c r="A83" s="88">
        <f>A15</f>
        <v>44907</v>
      </c>
      <c r="B83" s="38">
        <f>'FS Seychelles'!B14</f>
        <v>0</v>
      </c>
      <c r="D83" s="81">
        <f>D16+H16+L16+P16+T16</f>
        <v>0</v>
      </c>
      <c r="E83" s="202">
        <f t="shared" si="11"/>
        <v>0</v>
      </c>
      <c r="F83" s="202"/>
    </row>
    <row r="84" spans="1:6">
      <c r="A84" s="88">
        <f>A16</f>
        <v>44908</v>
      </c>
      <c r="B84" s="38">
        <f>'FS Seychelles'!B15</f>
        <v>0</v>
      </c>
      <c r="D84" s="81">
        <f>D17+H17+L17+P17+T17</f>
        <v>0</v>
      </c>
      <c r="E84" s="202">
        <f t="shared" si="11"/>
        <v>0</v>
      </c>
      <c r="F84" s="202"/>
    </row>
    <row r="85" spans="1:6">
      <c r="A85" s="88">
        <f>A17</f>
        <v>44909</v>
      </c>
      <c r="B85" s="38">
        <f>'FS Seychelles'!B16</f>
        <v>0</v>
      </c>
      <c r="D85" s="81">
        <f>D18+H18+L18+P18+T18</f>
        <v>0</v>
      </c>
      <c r="E85" s="202">
        <f t="shared" si="11"/>
        <v>0</v>
      </c>
      <c r="F85" s="202"/>
    </row>
    <row r="86" spans="1:6">
      <c r="A86" s="88">
        <f>A18</f>
        <v>44910</v>
      </c>
      <c r="B86" s="38">
        <f>'FS Seychelles'!B17</f>
        <v>0</v>
      </c>
      <c r="D86" s="81">
        <f>D19+H19+L19+P19+T19</f>
        <v>0</v>
      </c>
      <c r="E86" s="202">
        <f t="shared" si="11"/>
        <v>0</v>
      </c>
      <c r="F86" s="202"/>
    </row>
    <row r="87" spans="1:6">
      <c r="A87" s="88">
        <f>A19</f>
        <v>44911</v>
      </c>
      <c r="B87" s="38">
        <f>'FS Seychelles'!B18</f>
        <v>0</v>
      </c>
      <c r="D87" s="81">
        <f>D20+H20+L20+P20+T20</f>
        <v>0</v>
      </c>
      <c r="E87" s="202">
        <f t="shared" si="11"/>
        <v>0</v>
      </c>
      <c r="F87" s="202"/>
    </row>
    <row r="88" spans="1:6">
      <c r="A88" s="88">
        <f>A20</f>
        <v>44912</v>
      </c>
      <c r="B88" s="38">
        <f>'FS Seychelles'!B19</f>
        <v>0</v>
      </c>
      <c r="D88" s="81">
        <f>D21+H21+L21+P21+T21</f>
        <v>0</v>
      </c>
      <c r="E88" s="202">
        <f t="shared" si="11"/>
        <v>0</v>
      </c>
      <c r="F88" s="202"/>
    </row>
    <row r="89" spans="1:6">
      <c r="A89" s="88">
        <f>A21</f>
        <v>44913</v>
      </c>
      <c r="B89" s="38">
        <f>'FS Seychelles'!B20</f>
        <v>0</v>
      </c>
      <c r="D89" s="81">
        <f>D22+H22+L22+P22+T22</f>
        <v>0</v>
      </c>
      <c r="E89" s="202">
        <f t="shared" si="11"/>
        <v>0</v>
      </c>
      <c r="F89" s="202"/>
    </row>
    <row r="90" spans="1:6">
      <c r="A90" s="88">
        <f>A22</f>
        <v>44914</v>
      </c>
      <c r="B90" s="38">
        <f>'FS Seychelles'!B21</f>
        <v>0</v>
      </c>
      <c r="D90" s="81">
        <f>D23+H23+L23+P23+T23</f>
        <v>0</v>
      </c>
      <c r="E90" s="202">
        <f t="shared" si="11"/>
        <v>0</v>
      </c>
      <c r="F90" s="202"/>
    </row>
    <row r="91" spans="1:6">
      <c r="A91" s="88">
        <f>A23</f>
        <v>44915</v>
      </c>
      <c r="B91" s="38">
        <f>'FS Seychelles'!B22</f>
        <v>0</v>
      </c>
      <c r="D91" s="81">
        <f>D24+H24+L24+P24+T24</f>
        <v>0</v>
      </c>
      <c r="E91" s="202">
        <f t="shared" si="11"/>
        <v>0</v>
      </c>
      <c r="F91" s="202"/>
    </row>
    <row r="92" spans="1:6">
      <c r="A92" s="88">
        <f>A24</f>
        <v>44916</v>
      </c>
      <c r="B92" s="38">
        <f>'FS Seychelles'!B23</f>
        <v>0</v>
      </c>
      <c r="D92" s="81">
        <f>D25+H25+L25+P25+T25</f>
        <v>0</v>
      </c>
      <c r="E92" s="202">
        <f t="shared" si="11"/>
        <v>0</v>
      </c>
      <c r="F92" s="202"/>
    </row>
    <row r="93" spans="1:6">
      <c r="A93" s="88">
        <f>A25</f>
        <v>44917</v>
      </c>
      <c r="B93" s="38">
        <f>'FS Seychelles'!B24</f>
        <v>0</v>
      </c>
      <c r="D93" s="81">
        <f>D26+H26+L26+P26+T26</f>
        <v>0</v>
      </c>
      <c r="E93" s="202">
        <f t="shared" si="11"/>
        <v>0</v>
      </c>
      <c r="F93" s="202"/>
    </row>
    <row r="94" spans="1:6">
      <c r="A94" s="88">
        <f>A26</f>
        <v>44918</v>
      </c>
      <c r="B94" s="38">
        <f>'FS Seychelles'!B25</f>
        <v>0</v>
      </c>
      <c r="D94" s="81">
        <f>D27+H27+L27+P27+T27</f>
        <v>0</v>
      </c>
      <c r="E94" s="202">
        <f t="shared" si="11"/>
        <v>0</v>
      </c>
      <c r="F94" s="202"/>
    </row>
    <row r="95" spans="1:6">
      <c r="A95" s="88">
        <f>A27</f>
        <v>44919</v>
      </c>
      <c r="B95" s="38">
        <f>'FS Seychelles'!B26</f>
        <v>0</v>
      </c>
      <c r="D95" s="81">
        <f>D28+H28+L28+P28+T28</f>
        <v>0</v>
      </c>
      <c r="E95" s="202">
        <f t="shared" si="11"/>
        <v>0</v>
      </c>
      <c r="F95" s="202"/>
    </row>
    <row r="96" spans="1:6">
      <c r="A96" s="88">
        <f>A28</f>
        <v>44920</v>
      </c>
      <c r="B96" s="38">
        <f>'FS Seychelles'!B27</f>
        <v>0</v>
      </c>
      <c r="D96" s="81">
        <f>D29+H29+L29+P29+T29</f>
        <v>0</v>
      </c>
      <c r="E96" s="202">
        <f t="shared" si="11"/>
        <v>0</v>
      </c>
      <c r="F96" s="202"/>
    </row>
    <row r="97" spans="1:6">
      <c r="A97" s="88">
        <f>A29</f>
        <v>44921</v>
      </c>
      <c r="B97" s="38">
        <f>'FS Seychelles'!B28</f>
        <v>0</v>
      </c>
      <c r="D97" s="81">
        <f>D30+H30+L30+P30+T30</f>
        <v>0</v>
      </c>
      <c r="E97" s="202">
        <f t="shared" si="11"/>
        <v>0</v>
      </c>
      <c r="F97" s="202"/>
    </row>
    <row r="98" spans="1:6">
      <c r="A98" s="88">
        <f>A30</f>
        <v>44922</v>
      </c>
      <c r="B98" s="38">
        <f>'FS Seychelles'!B29</f>
        <v>0</v>
      </c>
      <c r="D98" s="81">
        <f>D31+H31+L31+P31+T31</f>
        <v>0</v>
      </c>
      <c r="E98" s="202">
        <f t="shared" si="11"/>
        <v>0</v>
      </c>
      <c r="F98" s="202"/>
    </row>
    <row r="99" spans="1:6">
      <c r="A99" s="88">
        <f>A31</f>
        <v>44923</v>
      </c>
      <c r="B99" s="38">
        <f>'FS Seychelles'!B30</f>
        <v>0</v>
      </c>
      <c r="D99" s="81">
        <f>D32+H32+L32+P32+T32</f>
        <v>0</v>
      </c>
      <c r="E99" s="202">
        <f t="shared" si="11"/>
        <v>0</v>
      </c>
      <c r="F99" s="202"/>
    </row>
    <row r="100" spans="1:6">
      <c r="A100" s="88">
        <f>A32</f>
        <v>44924</v>
      </c>
      <c r="B100" s="38">
        <f>'FS Seychelles'!B31</f>
        <v>0</v>
      </c>
      <c r="D100" s="81">
        <f>D33+H33+L33+P33+T33</f>
        <v>0</v>
      </c>
      <c r="E100" s="202">
        <f t="shared" si="11"/>
        <v>0</v>
      </c>
      <c r="F100" s="202"/>
    </row>
    <row r="101" spans="1:6">
      <c r="A101" s="88">
        <f>A33</f>
        <v>44925</v>
      </c>
      <c r="B101" s="38">
        <f>'FS Seychelles'!B32</f>
        <v>0</v>
      </c>
      <c r="D101" s="81">
        <f>D34+H34+L34+P34+T34</f>
        <v>0</v>
      </c>
      <c r="E101" s="202">
        <f t="shared" si="11"/>
        <v>0</v>
      </c>
      <c r="F101" s="202"/>
    </row>
    <row r="102" spans="1:6">
      <c r="A102" s="102">
        <f>A34</f>
        <v>44926</v>
      </c>
      <c r="B102" s="112" t="e">
        <f>'FS Seychelles'!#REF!</f>
        <v>#REF!</v>
      </c>
      <c r="D102" s="86">
        <f>D34+H34+L34+P34+T34</f>
        <v>0</v>
      </c>
      <c r="E102" s="203">
        <f t="shared" si="11"/>
        <v>0</v>
      </c>
      <c r="F102" s="203"/>
    </row>
    <row r="103" spans="1:6">
      <c r="A103" s="88"/>
      <c r="B103" s="38" t="e">
        <f>SUM(B72:B102)</f>
        <v>#REF!</v>
      </c>
      <c r="D103" s="115">
        <f t="shared" ref="D103:E103" si="12">SUM(D72:D102)</f>
        <v>133506</v>
      </c>
      <c r="E103" s="194">
        <f t="shared" si="12"/>
        <v>13.3506</v>
      </c>
      <c r="F103" s="194"/>
    </row>
    <row r="104" spans="1:6">
      <c r="A104" s="82"/>
    </row>
    <row r="105" spans="1:6"/>
  </sheetData>
  <mergeCells count="44">
    <mergeCell ref="AB2:AC2"/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101:F101"/>
    <mergeCell ref="E102:F102"/>
    <mergeCell ref="E96:F96"/>
    <mergeCell ref="E97:F97"/>
    <mergeCell ref="E98:F98"/>
    <mergeCell ref="E99:F99"/>
    <mergeCell ref="E100:F100"/>
  </mergeCells>
  <conditionalFormatting sqref="D39:D69 H39:H69 L39:L69 P39:P69 T39:T69">
    <cfRule type="cellIs" dxfId="1" priority="2" operator="greaterThan">
      <formula>5</formula>
    </cfRule>
  </conditionalFormatting>
  <conditionalFormatting sqref="D39:D69 H39:H69 L39:L69 P39:P69 T39:T69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3"/>
  <sheetViews>
    <sheetView workbookViewId="0">
      <pane ySplit="1" topLeftCell="C2" activePane="bottomLeft" state="frozen"/>
      <selection pane="bottomLeft" activeCell="C2" sqref="C2"/>
    </sheetView>
  </sheetViews>
  <sheetFormatPr defaultRowHeight="15"/>
  <cols>
    <col min="8" max="8" width="10.5703125" customWidth="1"/>
  </cols>
  <sheetData>
    <row r="1" spans="1:11">
      <c r="A1" s="121" t="s">
        <v>106</v>
      </c>
      <c r="B1" s="121" t="s">
        <v>107</v>
      </c>
      <c r="C1" s="121" t="s">
        <v>108</v>
      </c>
      <c r="D1" s="121" t="s">
        <v>109</v>
      </c>
      <c r="E1" s="121" t="s">
        <v>110</v>
      </c>
      <c r="F1" s="121" t="s">
        <v>111</v>
      </c>
      <c r="G1" s="121" t="s">
        <v>112</v>
      </c>
      <c r="H1" s="121" t="s">
        <v>113</v>
      </c>
      <c r="I1" s="121" t="s">
        <v>114</v>
      </c>
      <c r="J1" s="121" t="s">
        <v>69</v>
      </c>
      <c r="K1" s="121" t="s">
        <v>115</v>
      </c>
    </row>
    <row r="2" spans="1:11">
      <c r="A2" s="121">
        <v>1</v>
      </c>
      <c r="B2" s="156">
        <v>3.07</v>
      </c>
      <c r="C2" s="157">
        <v>4.4000000000000004</v>
      </c>
      <c r="D2" s="157">
        <v>5.88</v>
      </c>
      <c r="E2" s="157">
        <v>1.75</v>
      </c>
      <c r="F2" s="157">
        <v>2.48</v>
      </c>
      <c r="G2" s="157">
        <v>2.93</v>
      </c>
      <c r="H2" s="157">
        <v>1.53</v>
      </c>
      <c r="I2" s="157">
        <v>1.88</v>
      </c>
      <c r="J2" s="157">
        <v>4.01</v>
      </c>
      <c r="K2" s="157">
        <v>0</v>
      </c>
    </row>
    <row r="3" spans="1:11">
      <c r="A3" s="121">
        <v>2</v>
      </c>
      <c r="B3" s="158">
        <v>2.48</v>
      </c>
      <c r="C3" s="146">
        <v>3.87</v>
      </c>
      <c r="D3" s="146">
        <v>5.37</v>
      </c>
      <c r="E3" s="146">
        <v>1.42</v>
      </c>
      <c r="F3" s="146">
        <v>2.09</v>
      </c>
      <c r="G3" s="146">
        <v>2.4500000000000002</v>
      </c>
      <c r="H3" s="146">
        <v>1.45</v>
      </c>
      <c r="I3" s="146">
        <v>1.71</v>
      </c>
      <c r="J3" s="146">
        <v>3.82</v>
      </c>
      <c r="K3" s="146">
        <v>0</v>
      </c>
    </row>
    <row r="4" spans="1:11">
      <c r="A4" s="121">
        <v>3</v>
      </c>
      <c r="B4" s="158">
        <v>2.94</v>
      </c>
      <c r="C4" s="146">
        <v>4.32</v>
      </c>
      <c r="D4" s="146">
        <v>5.75</v>
      </c>
      <c r="E4" s="146">
        <v>1.54</v>
      </c>
      <c r="F4" s="146">
        <v>2.2599999999999998</v>
      </c>
      <c r="G4" s="146">
        <v>2.68</v>
      </c>
      <c r="H4" s="146">
        <v>1.44</v>
      </c>
      <c r="I4" s="146">
        <v>1.77</v>
      </c>
      <c r="J4" s="146">
        <v>3.84</v>
      </c>
      <c r="K4" s="146">
        <v>0</v>
      </c>
    </row>
    <row r="5" spans="1:11">
      <c r="A5" s="121">
        <v>4</v>
      </c>
      <c r="B5" s="158">
        <v>3.08</v>
      </c>
      <c r="C5" s="146">
        <v>4.45</v>
      </c>
      <c r="D5" s="146">
        <v>5.48</v>
      </c>
      <c r="E5" s="146">
        <v>1.66</v>
      </c>
      <c r="F5" s="146">
        <v>2.33</v>
      </c>
      <c r="G5" s="146">
        <v>2.77</v>
      </c>
      <c r="H5" s="146">
        <v>1.23</v>
      </c>
      <c r="I5" s="146">
        <v>1.69</v>
      </c>
      <c r="J5" s="146">
        <v>3.63</v>
      </c>
      <c r="K5" s="146">
        <v>0</v>
      </c>
    </row>
    <row r="6" spans="1:11">
      <c r="A6" s="121">
        <v>5</v>
      </c>
      <c r="B6" s="158">
        <v>3.24</v>
      </c>
      <c r="C6" s="146">
        <v>4.32</v>
      </c>
      <c r="D6" s="146">
        <v>5.48</v>
      </c>
      <c r="E6" s="146">
        <v>1.9</v>
      </c>
      <c r="F6" s="146">
        <v>2.56</v>
      </c>
      <c r="G6" s="146">
        <v>2.62</v>
      </c>
      <c r="H6" s="146">
        <v>1.1399999999999999</v>
      </c>
      <c r="I6" s="146">
        <v>1.74</v>
      </c>
      <c r="J6" s="146">
        <v>3.77</v>
      </c>
      <c r="K6" s="146">
        <v>0</v>
      </c>
    </row>
    <row r="7" spans="1:11">
      <c r="A7" s="121">
        <v>6</v>
      </c>
      <c r="B7" s="158"/>
      <c r="C7" s="146"/>
      <c r="D7" s="146"/>
      <c r="E7" s="146"/>
      <c r="F7" s="146"/>
      <c r="G7" s="146"/>
      <c r="H7" s="146"/>
      <c r="I7" s="146"/>
      <c r="J7" s="146"/>
      <c r="K7" s="146">
        <v>0</v>
      </c>
    </row>
    <row r="8" spans="1:11">
      <c r="A8" s="121">
        <v>7</v>
      </c>
      <c r="B8" s="158"/>
      <c r="C8" s="146"/>
      <c r="D8" s="146"/>
      <c r="E8" s="146"/>
      <c r="F8" s="146"/>
      <c r="G8" s="146"/>
      <c r="H8" s="146"/>
      <c r="I8" s="146"/>
      <c r="J8" s="146"/>
      <c r="K8" s="146">
        <v>0</v>
      </c>
    </row>
    <row r="9" spans="1:11">
      <c r="A9" s="121">
        <v>8</v>
      </c>
      <c r="B9" s="158"/>
      <c r="C9" s="146"/>
      <c r="D9" s="146"/>
      <c r="E9" s="146"/>
      <c r="F9" s="146"/>
      <c r="G9" s="146"/>
      <c r="H9" s="146"/>
      <c r="I9" s="146"/>
      <c r="J9" s="146"/>
      <c r="K9" s="146">
        <v>0</v>
      </c>
    </row>
    <row r="10" spans="1:11">
      <c r="A10" s="121">
        <v>9</v>
      </c>
      <c r="B10" s="158"/>
      <c r="C10" s="146"/>
      <c r="D10" s="146"/>
      <c r="E10" s="146"/>
      <c r="F10" s="146"/>
      <c r="G10" s="146"/>
      <c r="H10" s="146"/>
      <c r="I10" s="146"/>
      <c r="J10" s="146"/>
      <c r="K10" s="146">
        <v>0</v>
      </c>
    </row>
    <row r="11" spans="1:11">
      <c r="A11" s="121">
        <v>10</v>
      </c>
      <c r="B11" s="158"/>
      <c r="C11" s="146"/>
      <c r="D11" s="146"/>
      <c r="E11" s="146"/>
      <c r="F11" s="146"/>
      <c r="G11" s="146"/>
      <c r="H11" s="146"/>
      <c r="I11" s="146"/>
      <c r="J11" s="146"/>
      <c r="K11" s="146">
        <v>0</v>
      </c>
    </row>
    <row r="12" spans="1:11">
      <c r="A12" s="121">
        <v>11</v>
      </c>
      <c r="B12" s="158"/>
      <c r="C12" s="146"/>
      <c r="D12" s="146"/>
      <c r="E12" s="146"/>
      <c r="F12" s="146"/>
      <c r="G12" s="146"/>
      <c r="H12" s="146"/>
      <c r="I12" s="146"/>
      <c r="J12" s="146"/>
      <c r="K12" s="146">
        <v>0</v>
      </c>
    </row>
    <row r="13" spans="1:11">
      <c r="A13" s="121">
        <v>12</v>
      </c>
      <c r="B13" s="158"/>
      <c r="C13" s="146"/>
      <c r="D13" s="146"/>
      <c r="E13" s="146"/>
      <c r="F13" s="146"/>
      <c r="G13" s="146"/>
      <c r="H13" s="146"/>
      <c r="I13" s="146"/>
      <c r="J13" s="146"/>
      <c r="K13" s="146">
        <v>0</v>
      </c>
    </row>
    <row r="14" spans="1:11">
      <c r="A14" s="121">
        <v>13</v>
      </c>
      <c r="B14" s="158"/>
      <c r="C14" s="146"/>
      <c r="D14" s="146"/>
      <c r="E14" s="146"/>
      <c r="F14" s="146"/>
      <c r="G14" s="146"/>
      <c r="H14" s="146"/>
      <c r="I14" s="146"/>
      <c r="J14" s="146"/>
      <c r="K14" s="146">
        <v>0</v>
      </c>
    </row>
    <row r="15" spans="1:11">
      <c r="A15" s="121">
        <v>14</v>
      </c>
      <c r="B15" s="158"/>
      <c r="C15" s="146"/>
      <c r="D15" s="146"/>
      <c r="E15" s="146"/>
      <c r="F15" s="146"/>
      <c r="G15" s="146"/>
      <c r="H15" s="146"/>
      <c r="I15" s="146"/>
      <c r="J15" s="146"/>
      <c r="K15" s="146">
        <v>0</v>
      </c>
    </row>
    <row r="16" spans="1:11">
      <c r="A16" s="121">
        <v>15</v>
      </c>
      <c r="B16" s="158"/>
      <c r="C16" s="146"/>
      <c r="D16" s="146"/>
      <c r="E16" s="146"/>
      <c r="F16" s="146"/>
      <c r="G16" s="146"/>
      <c r="H16" s="146"/>
      <c r="I16" s="146"/>
      <c r="J16" s="146"/>
      <c r="K16" s="146">
        <v>0</v>
      </c>
    </row>
    <row r="17" spans="1:11">
      <c r="A17" s="121">
        <v>16</v>
      </c>
      <c r="B17" s="158"/>
      <c r="C17" s="146"/>
      <c r="D17" s="146"/>
      <c r="E17" s="146"/>
      <c r="F17" s="146"/>
      <c r="G17" s="146"/>
      <c r="H17" s="146"/>
      <c r="I17" s="146"/>
      <c r="J17" s="146"/>
      <c r="K17" s="146">
        <v>0</v>
      </c>
    </row>
    <row r="18" spans="1:11">
      <c r="A18" s="121">
        <v>17</v>
      </c>
      <c r="B18" s="158"/>
      <c r="C18" s="146"/>
      <c r="D18" s="146"/>
      <c r="E18" s="146"/>
      <c r="F18" s="146"/>
      <c r="G18" s="146"/>
      <c r="H18" s="146"/>
      <c r="I18" s="146"/>
      <c r="J18" s="146"/>
      <c r="K18" s="146">
        <v>0</v>
      </c>
    </row>
    <row r="19" spans="1:11">
      <c r="A19" s="121">
        <v>18</v>
      </c>
      <c r="B19" s="158"/>
      <c r="C19" s="146"/>
      <c r="D19" s="146"/>
      <c r="E19" s="146"/>
      <c r="F19" s="146"/>
      <c r="G19" s="146"/>
      <c r="H19" s="146"/>
      <c r="I19" s="146"/>
      <c r="J19" s="146"/>
      <c r="K19" s="146">
        <v>0</v>
      </c>
    </row>
    <row r="20" spans="1:11">
      <c r="A20" s="121">
        <v>19</v>
      </c>
      <c r="B20" s="158"/>
      <c r="C20" s="146"/>
      <c r="D20" s="146"/>
      <c r="E20" s="146"/>
      <c r="F20" s="146"/>
      <c r="G20" s="146"/>
      <c r="H20" s="146"/>
      <c r="I20" s="146"/>
      <c r="J20" s="146"/>
      <c r="K20" s="146">
        <v>0</v>
      </c>
    </row>
    <row r="21" spans="1:11">
      <c r="A21" s="121">
        <v>20</v>
      </c>
      <c r="B21" s="149"/>
      <c r="C21" s="148"/>
      <c r="D21" s="146"/>
      <c r="E21" s="146"/>
      <c r="F21" s="146"/>
      <c r="G21" s="146"/>
      <c r="H21" s="146"/>
      <c r="I21" s="146"/>
      <c r="J21" s="146"/>
      <c r="K21" s="146">
        <v>0</v>
      </c>
    </row>
    <row r="22" spans="1:11">
      <c r="A22" s="121">
        <v>21</v>
      </c>
      <c r="B22" s="149"/>
      <c r="C22" s="148"/>
      <c r="D22" s="146"/>
      <c r="E22" s="146"/>
      <c r="F22" s="146"/>
      <c r="G22" s="146"/>
      <c r="H22" s="146"/>
      <c r="I22" s="146"/>
      <c r="J22" s="146"/>
      <c r="K22" s="146">
        <v>0</v>
      </c>
    </row>
    <row r="23" spans="1:11">
      <c r="A23" s="121">
        <v>22</v>
      </c>
      <c r="B23" s="149"/>
      <c r="C23" s="148"/>
      <c r="D23" s="146"/>
      <c r="E23" s="146"/>
      <c r="F23" s="146"/>
      <c r="G23" s="146"/>
      <c r="H23" s="146"/>
      <c r="I23" s="146"/>
      <c r="J23" s="146"/>
      <c r="K23" s="146">
        <v>0</v>
      </c>
    </row>
    <row r="24" spans="1:11">
      <c r="A24" s="121">
        <v>23</v>
      </c>
      <c r="B24" s="149"/>
      <c r="C24" s="148"/>
      <c r="D24" s="146"/>
      <c r="E24" s="146"/>
      <c r="F24" s="146"/>
      <c r="G24" s="146"/>
      <c r="H24" s="146"/>
      <c r="I24" s="146"/>
      <c r="J24" s="146"/>
      <c r="K24" s="146">
        <v>0</v>
      </c>
    </row>
    <row r="25" spans="1:11">
      <c r="A25" s="121">
        <v>24</v>
      </c>
      <c r="B25" s="149"/>
      <c r="C25" s="148"/>
      <c r="D25" s="146"/>
      <c r="E25" s="146"/>
      <c r="F25" s="146"/>
      <c r="G25" s="146"/>
      <c r="H25" s="146"/>
      <c r="I25" s="146"/>
      <c r="J25" s="146"/>
      <c r="K25" s="146">
        <v>0</v>
      </c>
    </row>
    <row r="26" spans="1:11">
      <c r="A26" s="121">
        <v>25</v>
      </c>
      <c r="B26" s="149"/>
      <c r="C26" s="148"/>
      <c r="D26" s="146"/>
      <c r="E26" s="146"/>
      <c r="F26" s="146"/>
      <c r="G26" s="146"/>
      <c r="H26" s="146"/>
      <c r="I26" s="146"/>
      <c r="J26" s="146"/>
      <c r="K26" s="146">
        <v>0</v>
      </c>
    </row>
    <row r="27" spans="1:11">
      <c r="A27" s="121">
        <v>26</v>
      </c>
      <c r="B27" s="149"/>
      <c r="C27" s="148"/>
      <c r="D27" s="146"/>
      <c r="E27" s="146"/>
      <c r="F27" s="146"/>
      <c r="G27" s="146"/>
      <c r="H27" s="146"/>
      <c r="I27" s="146"/>
      <c r="J27" s="146"/>
      <c r="K27" s="146">
        <v>0</v>
      </c>
    </row>
    <row r="28" spans="1:11">
      <c r="A28" s="121">
        <v>27</v>
      </c>
      <c r="B28" s="149"/>
      <c r="C28" s="148"/>
      <c r="D28" s="146"/>
      <c r="E28" s="146"/>
      <c r="F28" s="146"/>
      <c r="G28" s="146"/>
      <c r="H28" s="146"/>
      <c r="I28" s="146"/>
      <c r="J28" s="146"/>
      <c r="K28" s="146">
        <v>0</v>
      </c>
    </row>
    <row r="29" spans="1:11">
      <c r="A29" s="121">
        <v>28</v>
      </c>
      <c r="B29" s="149"/>
      <c r="C29" s="148"/>
      <c r="D29" s="146"/>
      <c r="E29" s="146"/>
      <c r="F29" s="146"/>
      <c r="G29" s="146"/>
      <c r="H29" s="146"/>
      <c r="I29" s="146"/>
      <c r="J29" s="146"/>
      <c r="K29" s="146">
        <v>0</v>
      </c>
    </row>
    <row r="30" spans="1:11">
      <c r="A30" s="121">
        <v>29</v>
      </c>
      <c r="B30" s="149"/>
      <c r="C30" s="148"/>
      <c r="D30" s="146"/>
      <c r="E30" s="146"/>
      <c r="F30" s="146"/>
      <c r="G30" s="146"/>
      <c r="H30" s="146"/>
      <c r="I30" s="146"/>
      <c r="J30" s="146"/>
      <c r="K30" s="146">
        <v>0</v>
      </c>
    </row>
    <row r="31" spans="1:11">
      <c r="A31" s="121">
        <v>30</v>
      </c>
      <c r="B31" s="149"/>
      <c r="C31" s="148"/>
      <c r="D31" s="146"/>
      <c r="E31" s="146"/>
      <c r="F31" s="146"/>
      <c r="G31" s="146"/>
      <c r="H31" s="146"/>
      <c r="I31" s="146"/>
      <c r="J31" s="146"/>
      <c r="K31" s="146">
        <v>0</v>
      </c>
    </row>
    <row r="32" spans="1:11">
      <c r="A32" s="121">
        <v>31</v>
      </c>
      <c r="B32" s="149"/>
      <c r="C32" s="148"/>
      <c r="D32" s="146"/>
      <c r="E32" s="146"/>
      <c r="F32" s="146"/>
      <c r="G32" s="146"/>
      <c r="H32" s="146"/>
      <c r="I32" s="146"/>
      <c r="J32" s="146"/>
      <c r="K32" s="146">
        <v>0</v>
      </c>
    </row>
    <row r="33" spans="1:11">
      <c r="A33" s="121"/>
      <c r="B33" s="147"/>
      <c r="C33" s="146"/>
      <c r="D33" s="146"/>
      <c r="E33" s="146"/>
      <c r="F33" s="146"/>
      <c r="G33" s="146"/>
      <c r="H33" s="146"/>
      <c r="I33" s="146"/>
      <c r="J33" s="146"/>
      <c r="K33" s="14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</documentManagement>
</p:properties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46B07FFC-E76F-4295-9BE5-01FF20F6BE93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2022-12-06T07:55:51Z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