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403" documentId="8_{5B502D95-7A37-4D5A-8B6B-374537CC2F26}" xr6:coauthVersionLast="47" xr6:coauthVersionMax="47" xr10:uidLastSave="{D786F140-64B4-4803-B62E-27F3404A206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3" i="2" l="1"/>
  <c r="V24" i="2"/>
  <c r="V25" i="2"/>
  <c r="N24" i="2"/>
  <c r="N25" i="2"/>
  <c r="N26" i="2"/>
  <c r="M24" i="2"/>
  <c r="M25" i="2"/>
  <c r="M26" i="2"/>
  <c r="L24" i="2"/>
  <c r="L25" i="2"/>
  <c r="L26" i="2"/>
  <c r="F24" i="2"/>
  <c r="F25" i="2"/>
  <c r="F26" i="2"/>
  <c r="K24" i="6"/>
  <c r="K25" i="6"/>
  <c r="I24" i="6"/>
  <c r="I25" i="6"/>
  <c r="G24" i="6"/>
  <c r="G25" i="6"/>
  <c r="E24" i="6"/>
  <c r="E25" i="6"/>
  <c r="C24" i="6"/>
  <c r="C25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V19" i="2"/>
  <c r="N20" i="2"/>
  <c r="M20" i="2"/>
  <c r="L20" i="2"/>
  <c r="F20" i="2"/>
  <c r="K19" i="6"/>
  <c r="I19" i="6"/>
  <c r="G19" i="6"/>
  <c r="E19" i="6"/>
  <c r="C19" i="6"/>
  <c r="V17" i="2"/>
  <c r="V18" i="2"/>
  <c r="N18" i="2"/>
  <c r="N19" i="2"/>
  <c r="M18" i="2"/>
  <c r="M19" i="2"/>
  <c r="L18" i="2"/>
  <c r="L19" i="2"/>
  <c r="F18" i="2"/>
  <c r="F19" i="2"/>
  <c r="K18" i="6"/>
  <c r="I18" i="6"/>
  <c r="G18" i="6"/>
  <c r="E18" i="6"/>
  <c r="C18" i="6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1" i="2"/>
  <c r="V12" i="2"/>
  <c r="V13" i="2"/>
  <c r="V14" i="2"/>
  <c r="V15" i="2"/>
  <c r="V10" i="2"/>
  <c r="N11" i="2"/>
  <c r="N12" i="2"/>
  <c r="N13" i="2"/>
  <c r="N14" i="2"/>
  <c r="N15" i="2"/>
  <c r="N16" i="2"/>
  <c r="M11" i="2"/>
  <c r="M12" i="2"/>
  <c r="M13" i="2"/>
  <c r="M14" i="2"/>
  <c r="M15" i="2"/>
  <c r="M16" i="2"/>
  <c r="L11" i="2"/>
  <c r="L12" i="2"/>
  <c r="L13" i="2"/>
  <c r="L14" i="2"/>
  <c r="L15" i="2"/>
  <c r="L16" i="2"/>
  <c r="N10" i="2"/>
  <c r="M10" i="2"/>
  <c r="L10" i="2"/>
  <c r="F11" i="2"/>
  <c r="F12" i="2"/>
  <c r="F13" i="2"/>
  <c r="F14" i="2"/>
  <c r="F15" i="2"/>
  <c r="F16" i="2"/>
  <c r="F10" i="2"/>
  <c r="P5" i="4"/>
  <c r="P6" i="4"/>
  <c r="P7" i="4"/>
  <c r="P8" i="4"/>
  <c r="P9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4" i="4"/>
  <c r="E4" i="4"/>
  <c r="C4" i="4"/>
  <c r="G22" i="4"/>
  <c r="E22" i="4"/>
  <c r="C22" i="4"/>
  <c r="G21" i="4"/>
  <c r="E21" i="4"/>
  <c r="C21" i="4"/>
  <c r="M4" i="4"/>
  <c r="M5" i="4"/>
  <c r="M6" i="4"/>
  <c r="M7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O39" i="2"/>
  <c r="Q39" i="2"/>
  <c r="H39" i="2"/>
  <c r="G30" i="22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G13" i="4" l="1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<sst xmlns="http://schemas.openxmlformats.org/spreadsheetml/2006/main" count="484" uniqueCount="187">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</sst>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8.7999999999883585</c:v>
                </c:pt>
                <c:pt idx="1">
                  <c:v>35</c:v>
                </c:pt>
                <c:pt idx="2">
                  <c:v>53</c:v>
                </c:pt>
                <c:pt idx="3">
                  <c:v>42.899999999994179</c:v>
                </c:pt>
                <c:pt idx="4">
                  <c:v>48.399999999994179</c:v>
                </c:pt>
                <c:pt idx="5">
                  <c:v>49.900000000023283</c:v>
                </c:pt>
                <c:pt idx="6">
                  <c:v>39.799999999988358</c:v>
                </c:pt>
                <c:pt idx="7">
                  <c:v>41</c:v>
                </c:pt>
                <c:pt idx="8">
                  <c:v>49</c:v>
                </c:pt>
                <c:pt idx="9">
                  <c:v>43</c:v>
                </c:pt>
                <c:pt idx="10">
                  <c:v>45.299999999988358</c:v>
                </c:pt>
                <c:pt idx="11">
                  <c:v>39.600000000005821</c:v>
                </c:pt>
                <c:pt idx="12">
                  <c:v>43.5</c:v>
                </c:pt>
                <c:pt idx="13">
                  <c:v>42.200000000011642</c:v>
                </c:pt>
                <c:pt idx="14">
                  <c:v>46.899999999994179</c:v>
                </c:pt>
                <c:pt idx="15">
                  <c:v>49.5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2484</c:v>
                </c:pt>
                <c:pt idx="1">
                  <c:v>2452</c:v>
                </c:pt>
                <c:pt idx="2">
                  <c:v>2448</c:v>
                </c:pt>
                <c:pt idx="3">
                  <c:v>2417</c:v>
                </c:pt>
                <c:pt idx="4">
                  <c:v>2492</c:v>
                </c:pt>
                <c:pt idx="5">
                  <c:v>2531</c:v>
                </c:pt>
                <c:pt idx="6">
                  <c:v>2418</c:v>
                </c:pt>
                <c:pt idx="7">
                  <c:v>2490</c:v>
                </c:pt>
                <c:pt idx="8">
                  <c:v>2321</c:v>
                </c:pt>
                <c:pt idx="9">
                  <c:v>2371</c:v>
                </c:pt>
                <c:pt idx="10">
                  <c:v>2166</c:v>
                </c:pt>
                <c:pt idx="11">
                  <c:v>2319</c:v>
                </c:pt>
                <c:pt idx="12">
                  <c:v>2428</c:v>
                </c:pt>
                <c:pt idx="13">
                  <c:v>2101</c:v>
                </c:pt>
                <c:pt idx="14">
                  <c:v>2318</c:v>
                </c:pt>
                <c:pt idx="15">
                  <c:v>2113</c:v>
                </c:pt>
                <c:pt idx="16">
                  <c:v>2139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3362</c:v>
                </c:pt>
                <c:pt idx="1">
                  <c:v>3357</c:v>
                </c:pt>
                <c:pt idx="2">
                  <c:v>3259</c:v>
                </c:pt>
                <c:pt idx="3">
                  <c:v>3239</c:v>
                </c:pt>
                <c:pt idx="4">
                  <c:v>3356</c:v>
                </c:pt>
                <c:pt idx="5">
                  <c:v>3310</c:v>
                </c:pt>
                <c:pt idx="6">
                  <c:v>3206</c:v>
                </c:pt>
                <c:pt idx="7">
                  <c:v>3204</c:v>
                </c:pt>
                <c:pt idx="8">
                  <c:v>3066</c:v>
                </c:pt>
                <c:pt idx="9">
                  <c:v>3040</c:v>
                </c:pt>
                <c:pt idx="10">
                  <c:v>2940</c:v>
                </c:pt>
                <c:pt idx="11">
                  <c:v>2916</c:v>
                </c:pt>
                <c:pt idx="12">
                  <c:v>3035</c:v>
                </c:pt>
                <c:pt idx="13">
                  <c:v>3085</c:v>
                </c:pt>
                <c:pt idx="14">
                  <c:v>2909</c:v>
                </c:pt>
                <c:pt idx="15">
                  <c:v>2753</c:v>
                </c:pt>
                <c:pt idx="16">
                  <c:v>2720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1521</c:v>
                </c:pt>
                <c:pt idx="1">
                  <c:v>1493</c:v>
                </c:pt>
                <c:pt idx="2">
                  <c:v>1482</c:v>
                </c:pt>
                <c:pt idx="3">
                  <c:v>503</c:v>
                </c:pt>
                <c:pt idx="4">
                  <c:v>2529</c:v>
                </c:pt>
                <c:pt idx="5">
                  <c:v>1454</c:v>
                </c:pt>
                <c:pt idx="6">
                  <c:v>1462</c:v>
                </c:pt>
                <c:pt idx="7">
                  <c:v>1522</c:v>
                </c:pt>
                <c:pt idx="8">
                  <c:v>1463</c:v>
                </c:pt>
                <c:pt idx="9">
                  <c:v>1420</c:v>
                </c:pt>
                <c:pt idx="10">
                  <c:v>1415</c:v>
                </c:pt>
                <c:pt idx="11">
                  <c:v>1376</c:v>
                </c:pt>
                <c:pt idx="12">
                  <c:v>1442</c:v>
                </c:pt>
                <c:pt idx="13">
                  <c:v>1391</c:v>
                </c:pt>
                <c:pt idx="14">
                  <c:v>1386</c:v>
                </c:pt>
                <c:pt idx="15">
                  <c:v>1337</c:v>
                </c:pt>
                <c:pt idx="16">
                  <c:v>1293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191.99526</c:v>
                </c:pt>
                <c:pt idx="1">
                  <c:v>191.99526</c:v>
                </c:pt>
                <c:pt idx="2">
                  <c:v>351.99131</c:v>
                </c:pt>
                <c:pt idx="3">
                  <c:v>384.71640000000002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191.99526</c:v>
                </c:pt>
                <c:pt idx="7">
                  <c:v>287.99288999999999</c:v>
                </c:pt>
                <c:pt idx="8">
                  <c:v>383.99052</c:v>
                </c:pt>
                <c:pt idx="9">
                  <c:v>159.99605</c:v>
                </c:pt>
                <c:pt idx="10">
                  <c:v>127.99684000000001</c:v>
                </c:pt>
                <c:pt idx="11">
                  <c:v>159.99605</c:v>
                </c:pt>
                <c:pt idx="12">
                  <c:v>127.99684000000001</c:v>
                </c:pt>
                <c:pt idx="13">
                  <c:v>255.99368000000001</c:v>
                </c:pt>
                <c:pt idx="14">
                  <c:v>319.99209999999999</c:v>
                </c:pt>
                <c:pt idx="15">
                  <c:v>191.99526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24"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</v>
      </c>
      <c r="D2" s="141">
        <v>2022</v>
      </c>
      <c r="E2" s="137">
        <f>submetering!E2+submetering!F2+submetering!G2</f>
        <v>7367</v>
      </c>
      <c r="F2" s="134">
        <v>1.05</v>
      </c>
      <c r="G2" s="134">
        <f>'Consommation mensuel énergie'!V10</f>
        <v>191.99526</v>
      </c>
      <c r="H2" s="134">
        <v>9.9649999999999999</v>
      </c>
      <c r="I2" s="134">
        <f>'Consommation mensuel énergie'!F10</f>
        <v>8.7999999999883585</v>
      </c>
      <c r="J2" s="134">
        <v>11.4</v>
      </c>
      <c r="K2" s="137">
        <f>'Consommation mensuel énergie'!D10</f>
        <v>21</v>
      </c>
      <c r="L2" s="137">
        <f>'Consommation mensuel énergie'!E10</f>
        <v>40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submetering!E3+submetering!F3+submetering!G3</f>
        <v>8338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35</v>
      </c>
      <c r="J3" s="134">
        <v>11.4</v>
      </c>
      <c r="K3" s="137">
        <f>'Consommation mensuel énergie'!D11</f>
        <v>16</v>
      </c>
      <c r="L3" s="137">
        <f>'Consommation mensuel énergie'!E11</f>
        <v>36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submetering!E4+submetering!F4+submetering!G4</f>
        <v>7189</v>
      </c>
      <c r="F4" s="134">
        <v>1.05</v>
      </c>
      <c r="G4" s="134">
        <f>'Consommation mensuel énergie'!V12</f>
        <v>351.99131</v>
      </c>
      <c r="H4" s="134">
        <v>9.9649999999999999</v>
      </c>
      <c r="I4" s="134">
        <f>'Consommation mensuel énergie'!F12</f>
        <v>53</v>
      </c>
      <c r="J4" s="134">
        <v>11.4</v>
      </c>
      <c r="K4" s="137">
        <f>'Consommation mensuel énergie'!D12</f>
        <v>10</v>
      </c>
      <c r="L4" s="137">
        <f>'Consommation mensuel énergie'!E12</f>
        <v>19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submetering!E5+submetering!F5+submetering!G5</f>
        <v>6159</v>
      </c>
      <c r="F5" s="134">
        <v>1.05</v>
      </c>
      <c r="G5" s="134">
        <f>'Consommation mensuel énergie'!V13</f>
        <v>384.71640000000002</v>
      </c>
      <c r="H5" s="134">
        <v>9.9649999999999999</v>
      </c>
      <c r="I5" s="134">
        <f>'Consommation mensuel énergie'!F13</f>
        <v>42.899999999994179</v>
      </c>
      <c r="J5" s="134">
        <v>11.4</v>
      </c>
      <c r="K5" s="137">
        <f>'Consommation mensuel énergie'!D13</f>
        <v>10</v>
      </c>
      <c r="L5" s="137">
        <f>'Consommation mensuel énergie'!E13</f>
        <v>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submetering!E6+submetering!F6+submetering!G6</f>
        <v>8377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48.399999999994179</v>
      </c>
      <c r="J6" s="134">
        <v>11.4</v>
      </c>
      <c r="K6" s="137">
        <f>'Consommation mensuel énergie'!D14</f>
        <v>10</v>
      </c>
      <c r="L6" s="137">
        <f>'Consommation mensuel énergie'!E14</f>
        <v>15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submetering!E7+submetering!F7+submetering!G7</f>
        <v>7295</v>
      </c>
      <c r="F7" s="134">
        <v>1.05</v>
      </c>
      <c r="G7" s="134">
        <f>'Consommation mensuel énergie'!V15</f>
        <v>127.99684000000001</v>
      </c>
      <c r="H7" s="134">
        <v>9.9649999999999999</v>
      </c>
      <c r="I7" s="134">
        <f>'Consommation mensuel énergie'!F15</f>
        <v>49.900000000023283</v>
      </c>
      <c r="J7" s="134">
        <v>11.4</v>
      </c>
      <c r="K7" s="137">
        <f>'Consommation mensuel énergie'!D15</f>
        <v>9</v>
      </c>
      <c r="L7" s="137">
        <f>'Consommation mensuel énergie'!E15</f>
        <v>15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submetering!E8+submetering!F8+submetering!G8</f>
        <v>7086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39.799999999988358</v>
      </c>
      <c r="J8" s="134">
        <v>11.4</v>
      </c>
      <c r="K8" s="137">
        <f>'Consommation mensuel énergie'!D16</f>
        <v>15</v>
      </c>
      <c r="L8" s="137">
        <f>'Consommation mensuel énergie'!E16</f>
        <v>30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submetering!E9+submetering!F9+submetering!G9</f>
        <v>7216</v>
      </c>
      <c r="F9" s="134">
        <v>1.05</v>
      </c>
      <c r="G9" s="134">
        <f>'Consommation mensuel énergie'!V17</f>
        <v>287.99288999999999</v>
      </c>
      <c r="H9" s="134">
        <v>9.9649999999999999</v>
      </c>
      <c r="I9" s="134">
        <f>'Consommation mensuel énergie'!F17</f>
        <v>41</v>
      </c>
      <c r="J9" s="134">
        <v>11.4</v>
      </c>
      <c r="K9" s="137">
        <f>'Consommation mensuel énergie'!D17</f>
        <v>18</v>
      </c>
      <c r="L9" s="137">
        <f>'Consommation mensuel énergie'!E17</f>
        <v>28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submetering!E10+submetering!F10+submetering!G10</f>
        <v>6850</v>
      </c>
      <c r="F10" s="134">
        <v>1.05</v>
      </c>
      <c r="G10" s="134">
        <f>'Consommation mensuel énergie'!V19</f>
        <v>159.99605</v>
      </c>
      <c r="H10" s="134">
        <v>9.9649999999999999</v>
      </c>
      <c r="I10" s="134">
        <f>'Consommation mensuel énergie'!F18</f>
        <v>49</v>
      </c>
      <c r="J10" s="134">
        <v>11.4</v>
      </c>
      <c r="K10" s="137">
        <f>'Consommation mensuel énergie'!D18</f>
        <v>13</v>
      </c>
      <c r="L10" s="137">
        <f>'Consommation mensuel énergie'!E18</f>
        <v>22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submetering!E11+submetering!F11+submetering!G11</f>
        <v>6831</v>
      </c>
      <c r="F11" s="134">
        <v>1.05</v>
      </c>
      <c r="G11" s="134">
        <f>'Consommation mensuel énergie'!V20</f>
        <v>127.99684000000001</v>
      </c>
      <c r="H11" s="134">
        <v>9.9649999999999999</v>
      </c>
      <c r="I11" s="134">
        <f>'Consommation mensuel énergie'!F19</f>
        <v>43</v>
      </c>
      <c r="J11" s="134">
        <v>11.4</v>
      </c>
      <c r="K11" s="137">
        <f>'Consommation mensuel énergie'!D19</f>
        <v>13</v>
      </c>
      <c r="L11" s="137">
        <f>'Consommation mensuel énergie'!E19</f>
        <v>21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submetering!E12+submetering!F12+submetering!G12</f>
        <v>6521</v>
      </c>
      <c r="F12" s="134">
        <v>1.05</v>
      </c>
      <c r="G12" s="134">
        <f>'Consommation mensuel énergie'!V21</f>
        <v>159.99605</v>
      </c>
      <c r="H12" s="134">
        <v>9.9649999999999999</v>
      </c>
      <c r="I12" s="134">
        <f>'Consommation mensuel énergie'!F20</f>
        <v>45.299999999988358</v>
      </c>
      <c r="J12" s="134">
        <v>11.4</v>
      </c>
      <c r="K12" s="137">
        <f>'Consommation mensuel énergie'!D20</f>
        <v>13</v>
      </c>
      <c r="L12" s="137">
        <f>'Consommation mensuel énergie'!E20</f>
        <v>19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submetering!E13+submetering!F13+submetering!G13</f>
        <v>6611</v>
      </c>
      <c r="F13" s="134">
        <v>1.05</v>
      </c>
      <c r="G13" s="134">
        <f>'Consommation mensuel énergie'!V22</f>
        <v>127.99684000000001</v>
      </c>
      <c r="H13" s="134">
        <v>9.9649999999999999</v>
      </c>
      <c r="I13" s="134">
        <f>'Consommation mensuel énergie'!F21</f>
        <v>39.600000000005821</v>
      </c>
      <c r="J13" s="134">
        <v>11.4</v>
      </c>
      <c r="K13" s="137">
        <f>'Consommation mensuel énergie'!D21</f>
        <v>13</v>
      </c>
      <c r="L13" s="137">
        <f>'Consommation mensuel énergie'!E21</f>
        <v>17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submetering!E14+submetering!F14+submetering!G14</f>
        <v>6905</v>
      </c>
      <c r="F14" s="134">
        <v>1.05</v>
      </c>
      <c r="G14" s="134">
        <f>'Consommation mensuel énergie'!V23</f>
        <v>255.99368000000001</v>
      </c>
      <c r="H14" s="134">
        <v>9.9649999999999999</v>
      </c>
      <c r="I14" s="134">
        <f>'Consommation mensuel énergie'!F22</f>
        <v>43.5</v>
      </c>
      <c r="J14" s="134">
        <v>11.4</v>
      </c>
      <c r="K14" s="137">
        <f>'Consommation mensuel énergie'!D22</f>
        <v>11</v>
      </c>
      <c r="L14" s="137">
        <f>'Consommation mensuel énergie'!E22</f>
        <v>16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submetering!E15+submetering!F15+submetering!G15</f>
        <v>6577</v>
      </c>
      <c r="F15" s="134">
        <v>1.05</v>
      </c>
      <c r="G15" s="134">
        <f>'Consommation mensuel énergie'!V24</f>
        <v>319.99209999999999</v>
      </c>
      <c r="H15" s="134">
        <v>9.9649999999999999</v>
      </c>
      <c r="I15" s="134">
        <f>'Consommation mensuel énergie'!F23</f>
        <v>42.200000000011642</v>
      </c>
      <c r="J15" s="134">
        <v>11.4</v>
      </c>
      <c r="K15" s="137">
        <f>'Consommation mensuel énergie'!D23</f>
        <v>18</v>
      </c>
      <c r="L15" s="137">
        <f>'Consommation mensuel énergie'!E23</f>
        <v>26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submetering!E16+submetering!F16+submetering!G16</f>
        <v>6613</v>
      </c>
      <c r="F16" s="134">
        <v>1.05</v>
      </c>
      <c r="G16" s="134">
        <f>'Consommation mensuel énergie'!V25</f>
        <v>191.99526</v>
      </c>
      <c r="H16" s="134">
        <v>9.9649999999999999</v>
      </c>
      <c r="I16" s="134">
        <f>'Consommation mensuel énergie'!F24</f>
        <v>46.899999999994179</v>
      </c>
      <c r="J16" s="134">
        <v>11.4</v>
      </c>
      <c r="K16" s="137">
        <f>'Consommation mensuel énergie'!D24</f>
        <v>20</v>
      </c>
      <c r="L16" s="137">
        <f>'Consommation mensuel énergie'!E24</f>
        <v>27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submetering!E17+submetering!F17+submetering!G17</f>
        <v>6203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49.5</v>
      </c>
      <c r="J17" s="134">
        <v>11.4</v>
      </c>
      <c r="K17" s="137">
        <f>'Consommation mensuel énergie'!D25</f>
        <v>13</v>
      </c>
      <c r="L17" s="137">
        <f>'Consommation mensuel énergie'!E25</f>
        <v>18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submetering!E18+submetering!F18+submetering!G18</f>
        <v>6152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36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énergie'!V41</f>
        <v>3744.6334499999998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</v>
      </c>
      <c r="D2" s="141">
        <v>2022</v>
      </c>
      <c r="E2" s="137">
        <f>'Consommation mensuel énergie'!L10</f>
        <v>2484</v>
      </c>
      <c r="F2" s="137">
        <f>'Consommation mensuel énergie'!M10</f>
        <v>3362</v>
      </c>
      <c r="G2" s="137">
        <f>'Consommation mensuel énergie'!N10</f>
        <v>1521</v>
      </c>
      <c r="H2" s="137">
        <f>'Consommation mensuel énergie'!D10</f>
        <v>21</v>
      </c>
      <c r="I2" s="137">
        <f>'Consommation mensuel énergie'!E10</f>
        <v>40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'Consommation mensuel énergie'!L11</f>
        <v>2452</v>
      </c>
      <c r="F3" s="137">
        <f>'Consommation mensuel énergie'!M11</f>
        <v>3357</v>
      </c>
      <c r="G3" s="137">
        <f>'Consommation mensuel énergie'!N14</f>
        <v>2529</v>
      </c>
      <c r="H3" s="137">
        <f>'Consommation mensuel énergie'!D11</f>
        <v>16</v>
      </c>
      <c r="I3" s="137">
        <f>'Consommation mensuel énergie'!E11</f>
        <v>36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'Consommation mensuel énergie'!L12</f>
        <v>2448</v>
      </c>
      <c r="F4" s="137">
        <f>'Consommation mensuel énergie'!M12</f>
        <v>3259</v>
      </c>
      <c r="G4" s="137">
        <f>'Consommation mensuel énergie'!N12</f>
        <v>1482</v>
      </c>
      <c r="H4" s="137">
        <f>'Consommation mensuel énergie'!D12</f>
        <v>10</v>
      </c>
      <c r="I4" s="137">
        <f>'Consommation mensuel énergie'!E12</f>
        <v>19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'Consommation mensuel énergie'!L13</f>
        <v>2417</v>
      </c>
      <c r="F5" s="137">
        <f>'Consommation mensuel énergie'!M13</f>
        <v>3239</v>
      </c>
      <c r="G5" s="137">
        <f>'Consommation mensuel énergie'!N13</f>
        <v>503</v>
      </c>
      <c r="H5" s="137">
        <f>'Consommation mensuel énergie'!D13</f>
        <v>10</v>
      </c>
      <c r="I5" s="137">
        <f>'Consommation mensuel énergie'!E13</f>
        <v>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'Consommation mensuel énergie'!L14</f>
        <v>2492</v>
      </c>
      <c r="F6" s="137">
        <f>'Consommation mensuel énergie'!M14</f>
        <v>3356</v>
      </c>
      <c r="G6" s="137">
        <f>'Consommation mensuel énergie'!N14</f>
        <v>2529</v>
      </c>
      <c r="H6" s="137">
        <f>'Consommation mensuel énergie'!D14</f>
        <v>10</v>
      </c>
      <c r="I6" s="137">
        <f>'Consommation mensuel énergie'!E14</f>
        <v>15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'Consommation mensuel énergie'!L15</f>
        <v>2531</v>
      </c>
      <c r="F7" s="137">
        <f>'Consommation mensuel énergie'!M15</f>
        <v>3310</v>
      </c>
      <c r="G7" s="137">
        <f>'Consommation mensuel énergie'!N15</f>
        <v>1454</v>
      </c>
      <c r="H7" s="137">
        <f>'Consommation mensuel énergie'!D15</f>
        <v>9</v>
      </c>
      <c r="I7" s="137">
        <f>'Consommation mensuel énergie'!E15</f>
        <v>15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'Consommation mensuel énergie'!L16</f>
        <v>2418</v>
      </c>
      <c r="F8" s="137">
        <f>'Consommation mensuel énergie'!M16</f>
        <v>3206</v>
      </c>
      <c r="G8" s="137">
        <f>'Consommation mensuel énergie'!N16</f>
        <v>1462</v>
      </c>
      <c r="H8" s="137">
        <f>'Consommation mensuel énergie'!D16</f>
        <v>15</v>
      </c>
      <c r="I8" s="137">
        <f>'Consommation mensuel énergie'!E16</f>
        <v>30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'Consommation mensuel énergie'!L17</f>
        <v>2490</v>
      </c>
      <c r="F9" s="137">
        <f>'Consommation mensuel énergie'!M17</f>
        <v>3204</v>
      </c>
      <c r="G9" s="137">
        <f>'Consommation mensuel énergie'!N17</f>
        <v>1522</v>
      </c>
      <c r="H9" s="137">
        <f>'Consommation mensuel énergie'!D17</f>
        <v>18</v>
      </c>
      <c r="I9" s="137">
        <f>'Consommation mensuel énergie'!E17</f>
        <v>28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'Consommation mensuel énergie'!L18</f>
        <v>2321</v>
      </c>
      <c r="F10" s="137">
        <f>'Consommation mensuel énergie'!M18</f>
        <v>3066</v>
      </c>
      <c r="G10" s="137">
        <f>'Consommation mensuel énergie'!N18</f>
        <v>1463</v>
      </c>
      <c r="H10" s="137">
        <f>'Consommation mensuel énergie'!D18</f>
        <v>13</v>
      </c>
      <c r="I10" s="137">
        <f>'Consommation mensuel énergie'!E18</f>
        <v>22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'Consommation mensuel énergie'!L19</f>
        <v>2371</v>
      </c>
      <c r="F11" s="137">
        <f>'Consommation mensuel énergie'!M19</f>
        <v>3040</v>
      </c>
      <c r="G11" s="137">
        <f>'Consommation mensuel énergie'!N19</f>
        <v>1420</v>
      </c>
      <c r="H11" s="137">
        <f>'Consommation mensuel énergie'!D19</f>
        <v>13</v>
      </c>
      <c r="I11" s="137">
        <f>'Consommation mensuel énergie'!E19</f>
        <v>21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'Consommation mensuel énergie'!L20</f>
        <v>2166</v>
      </c>
      <c r="F12" s="137">
        <f>'Consommation mensuel énergie'!M20</f>
        <v>2940</v>
      </c>
      <c r="G12" s="137">
        <f>'Consommation mensuel énergie'!N20</f>
        <v>1415</v>
      </c>
      <c r="H12" s="137">
        <f>'Consommation mensuel énergie'!D20</f>
        <v>13</v>
      </c>
      <c r="I12" s="137">
        <f>'Consommation mensuel énergie'!E20</f>
        <v>19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'Consommation mensuel énergie'!L21</f>
        <v>2319</v>
      </c>
      <c r="F13" s="137">
        <f>'Consommation mensuel énergie'!M21</f>
        <v>2916</v>
      </c>
      <c r="G13" s="137">
        <f>'Consommation mensuel énergie'!N21</f>
        <v>1376</v>
      </c>
      <c r="H13" s="137">
        <f>'Consommation mensuel énergie'!D21</f>
        <v>13</v>
      </c>
      <c r="I13" s="137">
        <f>'Consommation mensuel énergie'!E21</f>
        <v>17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'Consommation mensuel énergie'!L22</f>
        <v>2428</v>
      </c>
      <c r="F14" s="137">
        <f>'Consommation mensuel énergie'!M22</f>
        <v>3035</v>
      </c>
      <c r="G14" s="137">
        <f>'Consommation mensuel énergie'!N22</f>
        <v>1442</v>
      </c>
      <c r="H14" s="137">
        <f>'Consommation mensuel énergie'!D22</f>
        <v>11</v>
      </c>
      <c r="I14" s="137">
        <f>'Consommation mensuel énergie'!E22</f>
        <v>16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'Consommation mensuel énergie'!L23</f>
        <v>2101</v>
      </c>
      <c r="F15" s="137">
        <f>'Consommation mensuel énergie'!M23</f>
        <v>3085</v>
      </c>
      <c r="G15" s="137">
        <f>'Consommation mensuel énergie'!N23</f>
        <v>1391</v>
      </c>
      <c r="H15" s="137">
        <f>'Consommation mensuel énergie'!D23</f>
        <v>18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'Consommation mensuel énergie'!L24</f>
        <v>2318</v>
      </c>
      <c r="F16" s="137">
        <f>'Consommation mensuel énergie'!M24</f>
        <v>2909</v>
      </c>
      <c r="G16" s="137">
        <f>'Consommation mensuel énergie'!N24</f>
        <v>1386</v>
      </c>
      <c r="H16" s="137">
        <f>'Consommation mensuel énergie'!D24</f>
        <v>20</v>
      </c>
      <c r="I16" s="137">
        <f>'Consommation mensuel énergie'!E24</f>
        <v>27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'Consommation mensuel énergie'!L25</f>
        <v>2113</v>
      </c>
      <c r="F17" s="137">
        <f>'Consommation mensuel énergie'!M25</f>
        <v>2753</v>
      </c>
      <c r="G17" s="137">
        <f>'Consommation mensuel énergie'!N25</f>
        <v>1337</v>
      </c>
      <c r="H17" s="137">
        <f>'Consommation mensuel énergie'!D25</f>
        <v>13</v>
      </c>
      <c r="I17" s="137">
        <f>'Consommation mensuel énergie'!E25</f>
        <v>18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'Consommation mensuel énergie'!L26</f>
        <v>2139</v>
      </c>
      <c r="F18" s="137">
        <f>'Consommation mensuel énergie'!M26</f>
        <v>2720</v>
      </c>
      <c r="G18" s="137">
        <f>'Consommation mensuel énergie'!N26</f>
        <v>1293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9" activePane="bottomRight" state="frozen"/>
      <selection pane="bottomRight" activeCell="E26" sqref="E2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/>
    <row r="4" spans="1:24" ht="39" hidden="1" customHeight="1" thickBot="1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5" t="s">
        <v>30</v>
      </c>
      <c r="M9" s="155" t="s">
        <v>31</v>
      </c>
      <c r="N9" s="155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>
      <c r="A10" s="2"/>
      <c r="B10" s="6">
        <v>44562</v>
      </c>
      <c r="C10" s="7"/>
      <c r="D10" s="143">
        <v>21</v>
      </c>
      <c r="E10" s="143">
        <v>40</v>
      </c>
      <c r="F10" s="13">
        <f>'Suivi EAU-ELEC'!E9</f>
        <v>8.7999999999883585</v>
      </c>
      <c r="G10" s="11"/>
      <c r="H10" s="167">
        <f>F10*8.79</f>
        <v>77.351999999897657</v>
      </c>
      <c r="I10" s="168"/>
      <c r="J10" s="168"/>
      <c r="K10" s="60">
        <v>42278</v>
      </c>
      <c r="L10" s="90">
        <f>'Suivi EAU-ELEC'!G9</f>
        <v>2484</v>
      </c>
      <c r="M10" s="91">
        <f>'Suivi EAU-ELEC'!I9</f>
        <v>3362</v>
      </c>
      <c r="N10" s="91">
        <f>'Suivi EAU-ELEC'!K9</f>
        <v>1521</v>
      </c>
      <c r="O10" s="91">
        <f>L10+M10+N10</f>
        <v>7367</v>
      </c>
      <c r="P10" s="11"/>
      <c r="Q10" s="34">
        <f>L10*0.6985+M10*0.9514+N10*1.3304</f>
        <v>6957.2192000000005</v>
      </c>
      <c r="R10" s="11"/>
      <c r="S10" s="28"/>
      <c r="T10" s="11"/>
      <c r="U10" s="28"/>
      <c r="V10" s="146">
        <f>'Suvi Gaz'!O4</f>
        <v>191.99526</v>
      </c>
      <c r="W10" s="11"/>
      <c r="X10" s="34">
        <f>V10*11.565</f>
        <v>2220.4251819000001</v>
      </c>
    </row>
    <row r="11" spans="1:24" ht="32.25" customHeight="1">
      <c r="A11" s="2"/>
      <c r="B11" s="6">
        <v>44563</v>
      </c>
      <c r="C11" s="7"/>
      <c r="D11" s="143">
        <v>16</v>
      </c>
      <c r="E11" s="143">
        <v>36</v>
      </c>
      <c r="F11" s="13">
        <f>'Suivi EAU-ELEC'!E10</f>
        <v>35</v>
      </c>
      <c r="G11" s="11"/>
      <c r="H11" s="167">
        <f t="shared" ref="H11:H21" si="0">F11*8.79</f>
        <v>307.64999999999998</v>
      </c>
      <c r="I11" s="168"/>
      <c r="J11" s="168"/>
      <c r="K11" s="60">
        <v>42279</v>
      </c>
      <c r="L11" s="90">
        <f>'Suivi EAU-ELEC'!G10</f>
        <v>2452</v>
      </c>
      <c r="M11" s="91">
        <f>'Suivi EAU-ELEC'!I10</f>
        <v>3357</v>
      </c>
      <c r="N11" s="91">
        <f>'Suivi EAU-ELEC'!K10</f>
        <v>1493</v>
      </c>
      <c r="O11" s="91">
        <f>L11+M11+N11</f>
        <v>7302</v>
      </c>
      <c r="P11" s="11"/>
      <c r="Q11" s="34">
        <f>L11*0.6985+M11*0.9514+N14*1.3304</f>
        <v>8271.1533999999992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V11*11.565</f>
        <v>2220.4251819000001</v>
      </c>
    </row>
    <row r="12" spans="1:24" ht="32.25" customHeight="1">
      <c r="A12" s="2"/>
      <c r="B12" s="6">
        <v>44564</v>
      </c>
      <c r="C12" s="7"/>
      <c r="D12" s="143">
        <v>10</v>
      </c>
      <c r="E12" s="143">
        <v>19</v>
      </c>
      <c r="F12" s="13">
        <f>'Suivi EAU-ELEC'!E11</f>
        <v>53</v>
      </c>
      <c r="G12" s="11"/>
      <c r="H12" s="167">
        <f t="shared" si="0"/>
        <v>465.86999999999995</v>
      </c>
      <c r="I12" s="168"/>
      <c r="J12" s="168"/>
      <c r="K12" s="60">
        <v>42280</v>
      </c>
      <c r="L12" s="90">
        <f>'Suivi EAU-ELEC'!G11</f>
        <v>2448</v>
      </c>
      <c r="M12" s="91">
        <f>'Suivi EAU-ELEC'!I11</f>
        <v>3259</v>
      </c>
      <c r="N12" s="91">
        <f>'Suivi EAU-ELEC'!K11</f>
        <v>1482</v>
      </c>
      <c r="O12" s="91">
        <f>L12+M12+N12</f>
        <v>7189</v>
      </c>
      <c r="P12" s="11"/>
      <c r="Q12" s="34">
        <f>L12*0.6985+M12*0.9514+N12*1.3304</f>
        <v>6782.1934000000001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4070.7795001499999</v>
      </c>
    </row>
    <row r="13" spans="1:24" ht="32.25" customHeight="1">
      <c r="A13" s="2"/>
      <c r="B13" s="6">
        <v>44565</v>
      </c>
      <c r="C13" s="7"/>
      <c r="D13" s="143">
        <v>10</v>
      </c>
      <c r="E13" s="143">
        <v>15</v>
      </c>
      <c r="F13" s="13">
        <f>'Suivi EAU-ELEC'!E12</f>
        <v>42.899999999994179</v>
      </c>
      <c r="G13" s="11"/>
      <c r="H13" s="167">
        <f t="shared" si="0"/>
        <v>377.09099999994879</v>
      </c>
      <c r="I13" s="168"/>
      <c r="J13" s="168"/>
      <c r="K13" s="60">
        <v>42281</v>
      </c>
      <c r="L13" s="90">
        <f>'Suivi EAU-ELEC'!G12</f>
        <v>2417</v>
      </c>
      <c r="M13" s="91">
        <f>'Suivi EAU-ELEC'!I12</f>
        <v>3239</v>
      </c>
      <c r="N13" s="91">
        <f>'Suivi EAU-ELEC'!K12</f>
        <v>503</v>
      </c>
      <c r="O13" s="91">
        <f t="shared" ref="O13:O40" si="2">L13+M13+N13</f>
        <v>6159</v>
      </c>
      <c r="P13" s="11"/>
      <c r="Q13" s="34">
        <f t="shared" ref="Q13:Q40" si="3">L13*0.6985+M13*0.9514+N13*1.3304</f>
        <v>5439.0502999999999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4449.2451659999997</v>
      </c>
    </row>
    <row r="14" spans="1:24" ht="32.25" customHeight="1">
      <c r="A14" s="2"/>
      <c r="B14" s="6">
        <v>44566</v>
      </c>
      <c r="C14" s="7"/>
      <c r="D14" s="143">
        <v>10</v>
      </c>
      <c r="E14" s="143">
        <v>15</v>
      </c>
      <c r="F14" s="13">
        <f>'Suivi EAU-ELEC'!E13</f>
        <v>48.399999999994179</v>
      </c>
      <c r="G14" s="12"/>
      <c r="H14" s="167">
        <f t="shared" si="0"/>
        <v>425.43599999994882</v>
      </c>
      <c r="I14" s="168"/>
      <c r="J14" s="168"/>
      <c r="K14" s="60">
        <v>42282</v>
      </c>
      <c r="L14" s="90">
        <f>'Suivi EAU-ELEC'!G13</f>
        <v>2492</v>
      </c>
      <c r="M14" s="91">
        <f>'Suivi EAU-ELEC'!I13</f>
        <v>3356</v>
      </c>
      <c r="N14" s="91">
        <f>'Suivi EAU-ELEC'!K13</f>
        <v>2529</v>
      </c>
      <c r="O14" s="91">
        <f t="shared" si="2"/>
        <v>8377</v>
      </c>
      <c r="P14" s="12"/>
      <c r="Q14" s="34">
        <f t="shared" si="3"/>
        <v>8298.1419999999998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3330.6377728499997</v>
      </c>
    </row>
    <row r="15" spans="1:24" ht="32.25" customHeight="1">
      <c r="A15" s="5"/>
      <c r="B15" s="6">
        <v>44567</v>
      </c>
      <c r="C15" s="7"/>
      <c r="D15" s="143">
        <v>9</v>
      </c>
      <c r="E15" s="143">
        <v>15</v>
      </c>
      <c r="F15" s="13">
        <f>'Suivi EAU-ELEC'!E14</f>
        <v>49.900000000023283</v>
      </c>
      <c r="G15" s="11"/>
      <c r="H15" s="167">
        <f t="shared" si="0"/>
        <v>438.62100000020462</v>
      </c>
      <c r="I15" s="168"/>
      <c r="J15" s="168"/>
      <c r="K15" s="60">
        <v>42283</v>
      </c>
      <c r="L15" s="90">
        <f>'Suivi EAU-ELEC'!G14</f>
        <v>2531</v>
      </c>
      <c r="M15" s="91">
        <f>'Suivi EAU-ELEC'!I14</f>
        <v>3310</v>
      </c>
      <c r="N15" s="91">
        <f>'Suivi EAU-ELEC'!K14</f>
        <v>1454</v>
      </c>
      <c r="O15" s="91">
        <f t="shared" si="2"/>
        <v>7295</v>
      </c>
      <c r="P15" s="12"/>
      <c r="Q15" s="34">
        <f>L15*0.6985+M15*0.9514+N15*1.3304</f>
        <v>6851.4391000000005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 t="shared" si="1"/>
        <v>1480.2834545999999</v>
      </c>
    </row>
    <row r="16" spans="1:24" ht="32.25" customHeight="1">
      <c r="A16" s="5"/>
      <c r="B16" s="6">
        <v>44568</v>
      </c>
      <c r="C16" s="7"/>
      <c r="D16" s="143">
        <v>15</v>
      </c>
      <c r="E16" s="143">
        <v>30</v>
      </c>
      <c r="F16" s="13">
        <f>'Suivi EAU-ELEC'!E15</f>
        <v>39.799999999988358</v>
      </c>
      <c r="G16" s="11"/>
      <c r="H16" s="167">
        <f t="shared" si="0"/>
        <v>349.84199999989761</v>
      </c>
      <c r="I16" s="168"/>
      <c r="J16" s="168"/>
      <c r="K16" s="60">
        <v>42284</v>
      </c>
      <c r="L16" s="90">
        <f>'Suivi EAU-ELEC'!G15</f>
        <v>2418</v>
      </c>
      <c r="M16" s="91">
        <f>'Suivi EAU-ELEC'!I15</f>
        <v>3206</v>
      </c>
      <c r="N16" s="91">
        <f>'Suivi EAU-ELEC'!K15</f>
        <v>1462</v>
      </c>
      <c r="O16" s="91">
        <f t="shared" si="2"/>
        <v>7086</v>
      </c>
      <c r="P16" s="11"/>
      <c r="Q16" s="34">
        <f t="shared" si="3"/>
        <v>6684.2062000000005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2220.4251819000001</v>
      </c>
    </row>
    <row r="17" spans="1:24" s="5" customFormat="1" ht="32.25" customHeight="1">
      <c r="A17" s="2"/>
      <c r="B17" s="6">
        <v>44569</v>
      </c>
      <c r="C17" s="7"/>
      <c r="D17" s="143">
        <v>18</v>
      </c>
      <c r="E17" s="143">
        <v>28</v>
      </c>
      <c r="F17" s="13">
        <f>'Suivi EAU-ELEC'!E16</f>
        <v>41</v>
      </c>
      <c r="G17" s="11"/>
      <c r="H17" s="167">
        <f t="shared" si="0"/>
        <v>360.39</v>
      </c>
      <c r="I17" s="168"/>
      <c r="J17" s="168"/>
      <c r="K17" s="60">
        <v>42285</v>
      </c>
      <c r="L17" s="90">
        <f>'Suivi EAU-ELEC'!G16</f>
        <v>2490</v>
      </c>
      <c r="M17" s="91">
        <f>'Suivi EAU-ELEC'!I16</f>
        <v>3204</v>
      </c>
      <c r="N17" s="91">
        <f>'Suivi EAU-ELEC'!K16</f>
        <v>1522</v>
      </c>
      <c r="O17" s="91">
        <f t="shared" si="2"/>
        <v>7216</v>
      </c>
      <c r="P17" s="12"/>
      <c r="Q17" s="34">
        <f t="shared" si="3"/>
        <v>6812.4194000000007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3330.6377728499997</v>
      </c>
    </row>
    <row r="18" spans="1:24" ht="32.25" customHeight="1">
      <c r="A18" s="2"/>
      <c r="B18" s="6">
        <v>44570</v>
      </c>
      <c r="C18" s="7"/>
      <c r="D18" s="143">
        <v>13</v>
      </c>
      <c r="E18" s="143">
        <v>22</v>
      </c>
      <c r="F18" s="13">
        <f>'Suivi EAU-ELEC'!E17</f>
        <v>49</v>
      </c>
      <c r="G18" s="11"/>
      <c r="H18" s="167">
        <f t="shared" si="0"/>
        <v>430.71</v>
      </c>
      <c r="I18" s="168"/>
      <c r="J18" s="168"/>
      <c r="K18" s="60">
        <v>42286</v>
      </c>
      <c r="L18" s="90">
        <f>'Suivi EAU-ELEC'!G17</f>
        <v>2321</v>
      </c>
      <c r="M18" s="91">
        <f>'Suivi EAU-ELEC'!I17</f>
        <v>3066</v>
      </c>
      <c r="N18" s="91">
        <f>'Suivi EAU-ELEC'!K17</f>
        <v>1463</v>
      </c>
      <c r="O18" s="91">
        <f t="shared" si="2"/>
        <v>6850</v>
      </c>
      <c r="P18" s="12"/>
      <c r="Q18" s="34">
        <f t="shared" si="3"/>
        <v>6484.5861000000004</v>
      </c>
      <c r="R18" s="12"/>
      <c r="S18" s="28"/>
      <c r="T18" s="12"/>
      <c r="U18" s="28"/>
      <c r="V18" s="146">
        <f>'Suvi Gaz'!O12</f>
        <v>383.99052</v>
      </c>
      <c r="W18" s="11"/>
      <c r="X18" s="34">
        <f t="shared" si="1"/>
        <v>4440.8503638000002</v>
      </c>
    </row>
    <row r="19" spans="1:24" ht="32.25" customHeight="1">
      <c r="A19" s="2"/>
      <c r="B19" s="6">
        <v>44571</v>
      </c>
      <c r="C19" s="7"/>
      <c r="D19" s="143">
        <v>13</v>
      </c>
      <c r="E19" s="143">
        <v>21</v>
      </c>
      <c r="F19" s="13">
        <f>'Suivi EAU-ELEC'!E18</f>
        <v>43</v>
      </c>
      <c r="G19" s="12"/>
      <c r="H19" s="167">
        <f t="shared" si="0"/>
        <v>377.96999999999997</v>
      </c>
      <c r="I19" s="168"/>
      <c r="J19" s="168"/>
      <c r="K19" s="60">
        <v>42287</v>
      </c>
      <c r="L19" s="90">
        <f>'Suivi EAU-ELEC'!G18</f>
        <v>2371</v>
      </c>
      <c r="M19" s="91">
        <f>'Suivi EAU-ELEC'!I18</f>
        <v>3040</v>
      </c>
      <c r="N19" s="91">
        <f>'Suivi EAU-ELEC'!K18</f>
        <v>1420</v>
      </c>
      <c r="O19" s="91">
        <f t="shared" si="2"/>
        <v>6831</v>
      </c>
      <c r="P19" s="12"/>
      <c r="Q19" s="34">
        <f t="shared" si="3"/>
        <v>6437.5674999999992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1850.3543182499998</v>
      </c>
    </row>
    <row r="20" spans="1:24" ht="32.25" customHeight="1">
      <c r="A20" s="2"/>
      <c r="B20" s="6">
        <v>44572</v>
      </c>
      <c r="C20" s="7"/>
      <c r="D20" s="143">
        <v>13</v>
      </c>
      <c r="E20" s="143">
        <v>19</v>
      </c>
      <c r="F20" s="13">
        <f>'Suivi EAU-ELEC'!E19</f>
        <v>45.299999999988358</v>
      </c>
      <c r="G20" s="12"/>
      <c r="H20" s="167">
        <f t="shared" si="0"/>
        <v>398.18699999989764</v>
      </c>
      <c r="I20" s="168"/>
      <c r="J20" s="168"/>
      <c r="K20" s="60">
        <v>42288</v>
      </c>
      <c r="L20" s="90">
        <f>'Suivi EAU-ELEC'!G19</f>
        <v>2166</v>
      </c>
      <c r="M20" s="91">
        <f>'Suivi EAU-ELEC'!I19</f>
        <v>2940</v>
      </c>
      <c r="N20" s="91">
        <f>'Suivi EAU-ELEC'!K19</f>
        <v>1415</v>
      </c>
      <c r="O20" s="91">
        <f t="shared" si="2"/>
        <v>6521</v>
      </c>
      <c r="P20" s="12"/>
      <c r="Q20" s="34">
        <f t="shared" si="3"/>
        <v>6192.5830000000005</v>
      </c>
      <c r="R20" s="12"/>
      <c r="S20" s="28"/>
      <c r="T20" s="12"/>
      <c r="U20" s="28"/>
      <c r="V20" s="146">
        <f>'Suvi Gaz'!O14</f>
        <v>127.99684000000001</v>
      </c>
      <c r="W20" s="11"/>
      <c r="X20" s="34">
        <f t="shared" si="1"/>
        <v>1480.2834545999999</v>
      </c>
    </row>
    <row r="21" spans="1:24" ht="32.25" customHeight="1">
      <c r="A21" s="2"/>
      <c r="B21" s="6">
        <v>44573</v>
      </c>
      <c r="C21" s="7"/>
      <c r="D21" s="143">
        <v>13</v>
      </c>
      <c r="E21" s="143">
        <v>17</v>
      </c>
      <c r="F21" s="13">
        <f>'Suivi EAU-ELEC'!E20</f>
        <v>39.600000000005821</v>
      </c>
      <c r="G21" s="12"/>
      <c r="H21" s="167">
        <f t="shared" si="0"/>
        <v>348.08400000005111</v>
      </c>
      <c r="I21" s="168"/>
      <c r="J21" s="168"/>
      <c r="K21" s="60">
        <v>42289</v>
      </c>
      <c r="L21" s="90">
        <f>'Suivi EAU-ELEC'!G20</f>
        <v>2319</v>
      </c>
      <c r="M21" s="91">
        <f>'Suivi EAU-ELEC'!I20</f>
        <v>2916</v>
      </c>
      <c r="N21" s="91">
        <f>'Suivi EAU-ELEC'!K20</f>
        <v>1376</v>
      </c>
      <c r="O21" s="91">
        <f>L21+M21+N21</f>
        <v>6611</v>
      </c>
      <c r="P21" s="12"/>
      <c r="Q21" s="34">
        <f t="shared" si="3"/>
        <v>6224.7343000000001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1850.3543182499998</v>
      </c>
    </row>
    <row r="22" spans="1:24" ht="32.25" customHeight="1">
      <c r="A22" s="2"/>
      <c r="B22" s="6">
        <v>44574</v>
      </c>
      <c r="C22" s="7"/>
      <c r="D22" s="143">
        <v>11</v>
      </c>
      <c r="E22" s="143">
        <v>16</v>
      </c>
      <c r="F22" s="13">
        <f>'Suivi EAU-ELEC'!E21</f>
        <v>43.5</v>
      </c>
      <c r="G22" s="12"/>
      <c r="H22" s="167">
        <f t="shared" ref="H22:H35" si="4">F22*8.79</f>
        <v>382.36499999999995</v>
      </c>
      <c r="I22" s="168"/>
      <c r="J22" s="168"/>
      <c r="K22" s="60">
        <v>42290</v>
      </c>
      <c r="L22" s="90">
        <f>'Suivi EAU-ELEC'!G21</f>
        <v>2428</v>
      </c>
      <c r="M22" s="91">
        <f>'Suivi EAU-ELEC'!I21</f>
        <v>3035</v>
      </c>
      <c r="N22" s="91">
        <f>'Suivi EAU-ELEC'!K21</f>
        <v>1442</v>
      </c>
      <c r="O22" s="91">
        <f t="shared" si="2"/>
        <v>6905</v>
      </c>
      <c r="P22" s="12"/>
      <c r="Q22" s="34">
        <f t="shared" si="3"/>
        <v>6501.8937999999998</v>
      </c>
      <c r="R22" s="12"/>
      <c r="S22" s="28"/>
      <c r="T22" s="12"/>
      <c r="U22" s="28"/>
      <c r="V22" s="146">
        <f>'Suvi Gaz'!O16</f>
        <v>127.99684000000001</v>
      </c>
      <c r="W22" s="11"/>
      <c r="X22" s="34">
        <f t="shared" si="1"/>
        <v>1480.2834545999999</v>
      </c>
    </row>
    <row r="23" spans="1:24" ht="32.25" customHeight="1">
      <c r="A23" s="2"/>
      <c r="B23" s="6">
        <v>44575</v>
      </c>
      <c r="C23" s="7"/>
      <c r="D23" s="143">
        <v>18</v>
      </c>
      <c r="E23" s="143">
        <v>26</v>
      </c>
      <c r="F23" s="13">
        <f>'Suivi EAU-ELEC'!E22</f>
        <v>42.200000000011642</v>
      </c>
      <c r="G23" s="14"/>
      <c r="H23" s="167">
        <f t="shared" si="4"/>
        <v>370.93800000010231</v>
      </c>
      <c r="I23" s="168"/>
      <c r="J23" s="168"/>
      <c r="K23" s="60">
        <v>42291</v>
      </c>
      <c r="L23" s="90">
        <f>'Suivi EAU-ELEC'!G22</f>
        <v>2101</v>
      </c>
      <c r="M23" s="91">
        <f>'Suivi EAU-ELEC'!I22</f>
        <v>3085</v>
      </c>
      <c r="N23" s="91">
        <f>'Suivi EAU-ELEC'!K22</f>
        <v>1391</v>
      </c>
      <c r="O23" s="91">
        <f>L23+M23+N23</f>
        <v>6577</v>
      </c>
      <c r="P23" s="12"/>
      <c r="Q23" s="34">
        <f>L23*0.6985+M23*0.9514+N23*1.3304</f>
        <v>6253.2039000000004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2960.5669091999998</v>
      </c>
    </row>
    <row r="24" spans="1:24" ht="32.25" customHeight="1">
      <c r="A24" s="2"/>
      <c r="B24" s="6">
        <v>44576</v>
      </c>
      <c r="C24" s="7"/>
      <c r="D24" s="143">
        <v>20</v>
      </c>
      <c r="E24" s="143">
        <v>27</v>
      </c>
      <c r="F24" s="13">
        <f>'Suivi EAU-ELEC'!E23</f>
        <v>46.899999999994179</v>
      </c>
      <c r="G24" s="14"/>
      <c r="H24" s="167">
        <f t="shared" si="4"/>
        <v>412.25099999994882</v>
      </c>
      <c r="I24" s="168"/>
      <c r="J24" s="168"/>
      <c r="K24" s="60">
        <v>42292</v>
      </c>
      <c r="L24" s="90">
        <f>'Suivi EAU-ELEC'!G23</f>
        <v>2318</v>
      </c>
      <c r="M24" s="91">
        <f>'Suivi EAU-ELEC'!I23</f>
        <v>2909</v>
      </c>
      <c r="N24" s="91">
        <f>'Suivi EAU-ELEC'!K23</f>
        <v>1386</v>
      </c>
      <c r="O24" s="91">
        <f>L24+M24+N24</f>
        <v>6613</v>
      </c>
      <c r="P24" s="12"/>
      <c r="Q24" s="34">
        <f>L24*0.6985+M24*0.9514+N24*1.3304</f>
        <v>6230.68</v>
      </c>
      <c r="R24" s="12"/>
      <c r="S24" s="28"/>
      <c r="T24" s="14"/>
      <c r="U24" s="28"/>
      <c r="V24" s="146">
        <f>'Suvi Gaz'!O18</f>
        <v>319.99209999999999</v>
      </c>
      <c r="W24" s="11"/>
      <c r="X24" s="34">
        <f t="shared" si="1"/>
        <v>3700.7086364999996</v>
      </c>
    </row>
    <row r="25" spans="1:24" ht="32.25" customHeight="1">
      <c r="A25" s="2"/>
      <c r="B25" s="6">
        <v>44577</v>
      </c>
      <c r="C25" s="7"/>
      <c r="D25" s="143">
        <v>13</v>
      </c>
      <c r="E25" s="143">
        <v>18</v>
      </c>
      <c r="F25" s="13">
        <f>'Suivi EAU-ELEC'!E24</f>
        <v>49.5</v>
      </c>
      <c r="G25" s="14"/>
      <c r="H25" s="167">
        <f t="shared" si="4"/>
        <v>435.10499999999996</v>
      </c>
      <c r="I25" s="168"/>
      <c r="J25" s="168"/>
      <c r="K25" s="60">
        <v>42293</v>
      </c>
      <c r="L25" s="90">
        <f>'Suivi EAU-ELEC'!G24</f>
        <v>2113</v>
      </c>
      <c r="M25" s="91">
        <f>'Suivi EAU-ELEC'!I24</f>
        <v>2753</v>
      </c>
      <c r="N25" s="91">
        <f>'Suivi EAU-ELEC'!K24</f>
        <v>1337</v>
      </c>
      <c r="O25" s="91">
        <f>L25+M25+N25</f>
        <v>6203</v>
      </c>
      <c r="P25" s="12"/>
      <c r="Q25" s="34">
        <f>L25*0.6985+M25*0.9514+N25*1.3304</f>
        <v>5873.8795</v>
      </c>
      <c r="R25" s="12"/>
      <c r="S25" s="28"/>
      <c r="T25" s="14"/>
      <c r="U25" s="28"/>
      <c r="V25" s="146">
        <f>'Suvi Gaz'!O19</f>
        <v>191.99526</v>
      </c>
      <c r="W25" s="11"/>
      <c r="X25" s="34">
        <f t="shared" si="1"/>
        <v>2220.4251819000001</v>
      </c>
    </row>
    <row r="26" spans="1:24" ht="32.25" customHeight="1">
      <c r="A26" s="2"/>
      <c r="B26" s="6">
        <v>44578</v>
      </c>
      <c r="C26" s="7"/>
      <c r="D26" s="143"/>
      <c r="E26" s="143"/>
      <c r="F26" s="13">
        <f>'Suivi EAU-ELEC'!E25</f>
        <v>36</v>
      </c>
      <c r="G26" s="14"/>
      <c r="H26" s="167">
        <f t="shared" si="4"/>
        <v>316.43999999999994</v>
      </c>
      <c r="I26" s="168"/>
      <c r="J26" s="168"/>
      <c r="K26" s="60">
        <v>42294</v>
      </c>
      <c r="L26" s="90">
        <f>'Suivi EAU-ELEC'!G25</f>
        <v>2139</v>
      </c>
      <c r="M26" s="91">
        <f>'Suivi EAU-ELEC'!I25</f>
        <v>2720</v>
      </c>
      <c r="N26" s="91">
        <f>'Suivi EAU-ELEC'!K25</f>
        <v>1293</v>
      </c>
      <c r="O26" s="91">
        <f>L26+M26+N26</f>
        <v>6152</v>
      </c>
      <c r="P26" s="14"/>
      <c r="Q26" s="34">
        <f>L26*0.6985+M26*0.9514+N26*1.3304</f>
        <v>5802.1067000000003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44579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44580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44581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44582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44583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44584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44585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44586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44587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44588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44589</v>
      </c>
      <c r="C37" s="7"/>
      <c r="D37" s="143"/>
      <c r="E37" s="143"/>
      <c r="F37" s="13"/>
      <c r="G37" s="11"/>
      <c r="H37" s="167">
        <f t="shared" ref="H37:H38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44590</v>
      </c>
      <c r="C38" s="7"/>
      <c r="D38" s="143"/>
      <c r="E38" s="143"/>
      <c r="F38" s="13"/>
      <c r="G38" s="11"/>
      <c r="H38" s="167">
        <f t="shared" si="5"/>
        <v>0</v>
      </c>
      <c r="I38" s="168"/>
      <c r="J38" s="168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44591</v>
      </c>
      <c r="C39" s="7"/>
      <c r="D39" s="143"/>
      <c r="E39" s="143"/>
      <c r="F39" s="13"/>
      <c r="G39" s="11"/>
      <c r="H39" s="167">
        <f t="shared" ref="H39" si="6">F39*8.79</f>
        <v>0</v>
      </c>
      <c r="I39" s="168"/>
      <c r="J39" s="168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44592</v>
      </c>
      <c r="C40" s="7"/>
      <c r="D40" s="143"/>
      <c r="E40" s="143"/>
      <c r="F40" s="13"/>
      <c r="G40" s="11"/>
      <c r="H40" s="167">
        <f t="shared" ref="H40" si="7">F40*8.79</f>
        <v>0</v>
      </c>
      <c r="I40" s="168"/>
      <c r="J40" s="168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223</v>
      </c>
      <c r="E41" s="8">
        <f>SUM(E10:E40)</f>
        <v>364</v>
      </c>
      <c r="F41" s="152">
        <f>SUM(F10:F40)</f>
        <v>713.79999999998836</v>
      </c>
      <c r="G41" s="1"/>
      <c r="H41" s="205">
        <f>SUM(H10:H40)</f>
        <v>6274.3019999998951</v>
      </c>
      <c r="I41" s="206"/>
      <c r="J41" s="207"/>
      <c r="K41" s="1"/>
      <c r="L41" s="53">
        <f>SUM(L10:L40)</f>
        <v>40008</v>
      </c>
      <c r="M41" s="53">
        <f>SUM(M10:M40)</f>
        <v>52757</v>
      </c>
      <c r="N41" s="54">
        <f>SUM(N10:N40)</f>
        <v>24489</v>
      </c>
      <c r="O41" s="55">
        <f>SUM(O10:O40)</f>
        <v>117254</v>
      </c>
      <c r="P41" s="31"/>
      <c r="Q41" s="32">
        <f>SUM(Q10:Q40)</f>
        <v>112097.0578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3744.6334499999998</v>
      </c>
      <c r="W41" s="31"/>
      <c r="X41" s="32">
        <f>SUM(X10:X40)</f>
        <v>43306.685849250003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8" t="s">
        <v>36</v>
      </c>
      <c r="M43" s="229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>
      <c r="A44" s="222" t="s">
        <v>38</v>
      </c>
      <c r="B44" s="223"/>
      <c r="C44" s="22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9">
        <f>L41</f>
        <v>40008</v>
      </c>
      <c r="J44" s="220"/>
      <c r="K44" s="221"/>
      <c r="L44" s="203">
        <f>I44*H44</f>
        <v>27945.588</v>
      </c>
      <c r="M44" s="204"/>
      <c r="N44" s="176">
        <f>L44+L45+L46</f>
        <v>110718.7634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>
      <c r="A45" s="225"/>
      <c r="B45" s="226"/>
      <c r="C45" s="22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9">
        <f>M41</f>
        <v>52757</v>
      </c>
      <c r="J45" s="220"/>
      <c r="K45" s="221"/>
      <c r="L45" s="203">
        <f>I45*H45</f>
        <v>50193.0098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>
      <c r="A46" s="225"/>
      <c r="B46" s="226"/>
      <c r="C46" s="22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4">
        <f>N41</f>
        <v>24489</v>
      </c>
      <c r="J46" s="195"/>
      <c r="K46" s="196"/>
      <c r="L46" s="203">
        <f>I46*H46</f>
        <v>32580.1656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0">
        <f>N44*1.3</f>
        <v>143934.39241999999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713.79999999998836</v>
      </c>
      <c r="J48" s="215"/>
      <c r="K48" s="216"/>
      <c r="L48" s="217">
        <f>I48*H48</f>
        <v>6274.3019999998969</v>
      </c>
      <c r="M48" s="218"/>
      <c r="N48" s="173">
        <f>L48</f>
        <v>6274.3019999998969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>
      <c r="A49" s="188" t="s">
        <v>40</v>
      </c>
      <c r="B49" s="189"/>
      <c r="C49" s="189"/>
      <c r="D49" s="189"/>
      <c r="E49" s="189"/>
      <c r="F49" s="190"/>
      <c r="G49" s="24"/>
      <c r="H49" s="25">
        <v>11.565</v>
      </c>
      <c r="I49" s="191">
        <f>V41</f>
        <v>3744.6334499999998</v>
      </c>
      <c r="J49" s="192"/>
      <c r="K49" s="193"/>
      <c r="L49" s="191">
        <f>I49*H49</f>
        <v>43306.685849249996</v>
      </c>
      <c r="M49" s="193"/>
      <c r="N49" s="170">
        <f>L49</f>
        <v>43306.685849249996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1" activePane="bottomRight" state="frozen"/>
      <selection pane="bottomRight" activeCell="K23" sqref="K23:K2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44562</v>
      </c>
      <c r="B9" s="116">
        <v>2560</v>
      </c>
      <c r="C9" s="115">
        <v>0</v>
      </c>
      <c r="D9" s="57">
        <v>132699</v>
      </c>
      <c r="E9" s="50">
        <v>8.7999999999883585</v>
      </c>
      <c r="F9" s="51">
        <v>11364390</v>
      </c>
      <c r="G9" s="50">
        <v>2484</v>
      </c>
      <c r="H9" s="51">
        <v>19320037</v>
      </c>
      <c r="I9" s="50">
        <v>3362</v>
      </c>
      <c r="J9" s="51">
        <v>8481098</v>
      </c>
      <c r="K9" s="50">
        <v>1521</v>
      </c>
    </row>
    <row r="10" spans="1:12" ht="19.5">
      <c r="A10" s="59">
        <v>44563</v>
      </c>
      <c r="B10" s="116">
        <v>2560</v>
      </c>
      <c r="C10" s="115">
        <f>B10-B9</f>
        <v>0</v>
      </c>
      <c r="D10" s="57">
        <v>132734</v>
      </c>
      <c r="E10" s="50">
        <f>D10-D9</f>
        <v>35</v>
      </c>
      <c r="F10" s="51">
        <v>11366842</v>
      </c>
      <c r="G10" s="50">
        <f>F10-F9</f>
        <v>2452</v>
      </c>
      <c r="H10" s="51">
        <v>19323394</v>
      </c>
      <c r="I10" s="50">
        <f>H10-H9</f>
        <v>3357</v>
      </c>
      <c r="J10" s="51">
        <v>8482591</v>
      </c>
      <c r="K10" s="50">
        <f>J10-J9</f>
        <v>1493</v>
      </c>
    </row>
    <row r="11" spans="1:12" ht="19.5">
      <c r="A11" s="59">
        <v>44564</v>
      </c>
      <c r="B11" s="116">
        <v>2560</v>
      </c>
      <c r="C11" s="115">
        <f>B11-B10</f>
        <v>0</v>
      </c>
      <c r="D11" s="57">
        <v>132787</v>
      </c>
      <c r="E11" s="50">
        <f>D11-D10</f>
        <v>53</v>
      </c>
      <c r="F11" s="51">
        <v>11369290</v>
      </c>
      <c r="G11" s="50">
        <f>F11-F10</f>
        <v>2448</v>
      </c>
      <c r="H11" s="51">
        <v>19326653</v>
      </c>
      <c r="I11" s="50">
        <f>H11-H10</f>
        <v>3259</v>
      </c>
      <c r="J11" s="51">
        <v>8484073</v>
      </c>
      <c r="K11" s="50">
        <f>J11-J10</f>
        <v>1482</v>
      </c>
    </row>
    <row r="12" spans="1:12" ht="19.5">
      <c r="A12" s="59">
        <v>44565</v>
      </c>
      <c r="B12" s="116">
        <v>2560</v>
      </c>
      <c r="C12" s="115">
        <f>B12-B11</f>
        <v>0</v>
      </c>
      <c r="D12" s="57">
        <v>132829.9</v>
      </c>
      <c r="E12" s="50">
        <f>D12-D11</f>
        <v>42.899999999994179</v>
      </c>
      <c r="F12" s="51">
        <v>11371707</v>
      </c>
      <c r="G12" s="50">
        <f>F12-F11</f>
        <v>2417</v>
      </c>
      <c r="H12" s="51">
        <v>19329892</v>
      </c>
      <c r="I12" s="50">
        <f>H12-H11</f>
        <v>3239</v>
      </c>
      <c r="J12" s="51">
        <v>8484576</v>
      </c>
      <c r="K12" s="50">
        <f>J12-J11</f>
        <v>503</v>
      </c>
    </row>
    <row r="13" spans="1:12" ht="19.5">
      <c r="A13" s="59">
        <v>44566</v>
      </c>
      <c r="B13" s="116">
        <v>2560</v>
      </c>
      <c r="C13" s="115">
        <f>B13-B12</f>
        <v>0</v>
      </c>
      <c r="D13" s="57">
        <v>132878.29999999999</v>
      </c>
      <c r="E13" s="50">
        <f>D13-D12</f>
        <v>48.399999999994179</v>
      </c>
      <c r="F13" s="51">
        <v>11374199</v>
      </c>
      <c r="G13" s="50">
        <f>F13-F12</f>
        <v>2492</v>
      </c>
      <c r="H13" s="51">
        <v>19333248</v>
      </c>
      <c r="I13" s="50">
        <f>H13-H12</f>
        <v>3356</v>
      </c>
      <c r="J13" s="51">
        <v>8487105</v>
      </c>
      <c r="K13" s="50">
        <f>J13-J12</f>
        <v>2529</v>
      </c>
    </row>
    <row r="14" spans="1:12" ht="19.5">
      <c r="A14" s="59">
        <v>44567</v>
      </c>
      <c r="B14" s="116">
        <v>2560</v>
      </c>
      <c r="C14" s="115">
        <f>B14-B13</f>
        <v>0</v>
      </c>
      <c r="D14" s="57">
        <v>132928.20000000001</v>
      </c>
      <c r="E14" s="50">
        <f>D14-D13</f>
        <v>49.900000000023283</v>
      </c>
      <c r="F14" s="51">
        <v>11376730</v>
      </c>
      <c r="G14" s="50">
        <f>F14-F13</f>
        <v>2531</v>
      </c>
      <c r="H14" s="51">
        <v>19336558</v>
      </c>
      <c r="I14" s="50">
        <f>H14-H13</f>
        <v>3310</v>
      </c>
      <c r="J14" s="51">
        <v>8488559</v>
      </c>
      <c r="K14" s="50">
        <f>J14-J13</f>
        <v>1454</v>
      </c>
    </row>
    <row r="15" spans="1:12" ht="19.5">
      <c r="A15" s="59">
        <v>44568</v>
      </c>
      <c r="B15" s="116">
        <v>2560</v>
      </c>
      <c r="C15" s="115">
        <f>B15-B14</f>
        <v>0</v>
      </c>
      <c r="D15" s="57">
        <v>132968</v>
      </c>
      <c r="E15" s="50">
        <f>D15-D14</f>
        <v>39.799999999988358</v>
      </c>
      <c r="F15" s="51">
        <v>11379148</v>
      </c>
      <c r="G15" s="50">
        <f>F15-F14</f>
        <v>2418</v>
      </c>
      <c r="H15" s="51">
        <v>19339764</v>
      </c>
      <c r="I15" s="50">
        <f>H15-H14</f>
        <v>3206</v>
      </c>
      <c r="J15" s="51">
        <v>8490021</v>
      </c>
      <c r="K15" s="50">
        <f>J15-J14</f>
        <v>1462</v>
      </c>
    </row>
    <row r="16" spans="1:12" ht="19.5">
      <c r="A16" s="59">
        <v>44569</v>
      </c>
      <c r="B16" s="116">
        <v>2560</v>
      </c>
      <c r="C16" s="115">
        <f>B16-B15</f>
        <v>0</v>
      </c>
      <c r="D16" s="57">
        <v>133009</v>
      </c>
      <c r="E16" s="50">
        <f>D16-D15</f>
        <v>41</v>
      </c>
      <c r="F16" s="51">
        <v>11381638</v>
      </c>
      <c r="G16" s="50">
        <f>F16-F15</f>
        <v>2490</v>
      </c>
      <c r="H16" s="51">
        <v>19342968</v>
      </c>
      <c r="I16" s="50">
        <f>H16-H15</f>
        <v>3204</v>
      </c>
      <c r="J16" s="51">
        <v>8491543</v>
      </c>
      <c r="K16" s="50">
        <f>J16-J15</f>
        <v>1522</v>
      </c>
    </row>
    <row r="17" spans="1:29" ht="19.5">
      <c r="A17" s="59">
        <v>44570</v>
      </c>
      <c r="B17" s="116">
        <v>2560</v>
      </c>
      <c r="C17" s="115">
        <f>B17-B16</f>
        <v>0</v>
      </c>
      <c r="D17" s="57">
        <v>133058</v>
      </c>
      <c r="E17" s="50">
        <f>D17-D16</f>
        <v>49</v>
      </c>
      <c r="F17" s="51">
        <v>11383959</v>
      </c>
      <c r="G17" s="50">
        <f>F17-F16</f>
        <v>2321</v>
      </c>
      <c r="H17" s="51">
        <v>19346034</v>
      </c>
      <c r="I17" s="50">
        <f>H17-H16</f>
        <v>3066</v>
      </c>
      <c r="J17" s="51">
        <v>8493006</v>
      </c>
      <c r="K17" s="50">
        <f>J17-J16</f>
        <v>1463</v>
      </c>
    </row>
    <row r="18" spans="1:29" ht="19.5">
      <c r="A18" s="59">
        <v>44571</v>
      </c>
      <c r="B18" s="116">
        <v>2560</v>
      </c>
      <c r="C18" s="115">
        <f>B18-B17</f>
        <v>0</v>
      </c>
      <c r="D18" s="57">
        <v>133101</v>
      </c>
      <c r="E18" s="50">
        <f>D18-D17</f>
        <v>43</v>
      </c>
      <c r="F18" s="51">
        <v>11386330</v>
      </c>
      <c r="G18" s="50">
        <f>F18-F17</f>
        <v>2371</v>
      </c>
      <c r="H18" s="51">
        <v>19349074</v>
      </c>
      <c r="I18" s="50">
        <f>H18-H17</f>
        <v>3040</v>
      </c>
      <c r="J18" s="51">
        <v>8494426</v>
      </c>
      <c r="K18" s="50">
        <f>J18-J17</f>
        <v>1420</v>
      </c>
    </row>
    <row r="19" spans="1:29" ht="19.5">
      <c r="A19" s="59">
        <v>44572</v>
      </c>
      <c r="B19" s="116">
        <v>2560</v>
      </c>
      <c r="C19" s="115">
        <f>B19-B18</f>
        <v>0</v>
      </c>
      <c r="D19" s="57">
        <v>133146.29999999999</v>
      </c>
      <c r="E19" s="50">
        <f>D19-D18</f>
        <v>45.299999999988358</v>
      </c>
      <c r="F19" s="51">
        <v>11388496</v>
      </c>
      <c r="G19" s="50">
        <f>F19-F18</f>
        <v>2166</v>
      </c>
      <c r="H19" s="51">
        <v>19352014</v>
      </c>
      <c r="I19" s="50">
        <f>H19-H18</f>
        <v>2940</v>
      </c>
      <c r="J19" s="51">
        <v>8495841</v>
      </c>
      <c r="K19" s="50">
        <f>J19-J18</f>
        <v>1415</v>
      </c>
    </row>
    <row r="20" spans="1:29" ht="25.5">
      <c r="A20" s="59">
        <v>44573</v>
      </c>
      <c r="B20" s="116">
        <v>2560</v>
      </c>
      <c r="C20" s="115">
        <f>B20-B19</f>
        <v>0</v>
      </c>
      <c r="D20" s="57">
        <v>133185.9</v>
      </c>
      <c r="E20" s="50">
        <f>D20-D19</f>
        <v>39.600000000005821</v>
      </c>
      <c r="F20" s="51">
        <v>11390815</v>
      </c>
      <c r="G20" s="50">
        <f>F20-F19</f>
        <v>2319</v>
      </c>
      <c r="H20" s="51">
        <v>19354930</v>
      </c>
      <c r="I20" s="50">
        <f>H20-H19</f>
        <v>2916</v>
      </c>
      <c r="J20" s="51">
        <v>8497217</v>
      </c>
      <c r="K20" s="50">
        <f>J20-J19</f>
        <v>1376</v>
      </c>
      <c r="L20" s="117" t="s">
        <v>18</v>
      </c>
      <c r="AC20" t="s">
        <v>56</v>
      </c>
    </row>
    <row r="21" spans="1:29" ht="19.5">
      <c r="A21" s="59">
        <v>44574</v>
      </c>
      <c r="B21" s="116">
        <v>2560</v>
      </c>
      <c r="C21" s="115">
        <f>B21-B20</f>
        <v>0</v>
      </c>
      <c r="D21" s="57">
        <v>133229.4</v>
      </c>
      <c r="E21" s="50">
        <f>D21-D20</f>
        <v>43.5</v>
      </c>
      <c r="F21" s="51">
        <v>11393243</v>
      </c>
      <c r="G21" s="50">
        <f>F21-F20</f>
        <v>2428</v>
      </c>
      <c r="H21" s="51">
        <v>19357965</v>
      </c>
      <c r="I21" s="50">
        <f>H21-H20</f>
        <v>3035</v>
      </c>
      <c r="J21" s="51">
        <v>8498659</v>
      </c>
      <c r="K21" s="50">
        <f>J21-J20</f>
        <v>1442</v>
      </c>
    </row>
    <row r="22" spans="1:29" ht="19.5">
      <c r="A22" s="59">
        <v>44575</v>
      </c>
      <c r="B22" s="116">
        <v>2560</v>
      </c>
      <c r="C22" s="115">
        <f>B22-B21</f>
        <v>0</v>
      </c>
      <c r="D22" s="57">
        <v>133271.6</v>
      </c>
      <c r="E22" s="50">
        <f>D22-D21</f>
        <v>42.200000000011642</v>
      </c>
      <c r="F22" s="51">
        <v>11395344</v>
      </c>
      <c r="G22" s="50">
        <f>F22-F21</f>
        <v>2101</v>
      </c>
      <c r="H22" s="51">
        <v>19361050</v>
      </c>
      <c r="I22" s="50">
        <f>H22-H21</f>
        <v>3085</v>
      </c>
      <c r="J22" s="51">
        <v>8500050</v>
      </c>
      <c r="K22" s="50">
        <f>J22-J21</f>
        <v>1391</v>
      </c>
    </row>
    <row r="23" spans="1:29" ht="19.5">
      <c r="A23" s="59">
        <v>44576</v>
      </c>
      <c r="B23" s="116">
        <v>2560</v>
      </c>
      <c r="C23" s="115">
        <f>B23-B22</f>
        <v>0</v>
      </c>
      <c r="D23" s="57">
        <v>133318.5</v>
      </c>
      <c r="E23" s="50">
        <f>D23-D22</f>
        <v>46.899999999994179</v>
      </c>
      <c r="F23" s="51">
        <v>11397662</v>
      </c>
      <c r="G23" s="50">
        <f>F23-F22</f>
        <v>2318</v>
      </c>
      <c r="H23" s="51">
        <v>19363959</v>
      </c>
      <c r="I23" s="50">
        <f>H23-H22</f>
        <v>2909</v>
      </c>
      <c r="J23" s="51">
        <v>8501436</v>
      </c>
      <c r="K23" s="50">
        <f>J23-J22</f>
        <v>1386</v>
      </c>
    </row>
    <row r="24" spans="1:29" ht="19.5">
      <c r="A24" s="59">
        <v>44577</v>
      </c>
      <c r="B24" s="116">
        <v>2560</v>
      </c>
      <c r="C24" s="115">
        <f t="shared" ref="C24:C25" si="0">B24-B23</f>
        <v>0</v>
      </c>
      <c r="D24" s="57">
        <v>133368</v>
      </c>
      <c r="E24" s="50">
        <f t="shared" ref="E24:E25" si="1">D24-D23</f>
        <v>49.5</v>
      </c>
      <c r="F24" s="51">
        <v>11399775</v>
      </c>
      <c r="G24" s="50">
        <f t="shared" ref="G24:G25" si="2">F24-F23</f>
        <v>2113</v>
      </c>
      <c r="H24" s="51">
        <v>19366712</v>
      </c>
      <c r="I24" s="50">
        <f t="shared" ref="I24:I25" si="3">H24-H23</f>
        <v>2753</v>
      </c>
      <c r="J24" s="51">
        <v>8502773</v>
      </c>
      <c r="K24" s="50">
        <f t="shared" ref="K24:K25" si="4">J24-J23</f>
        <v>1337</v>
      </c>
    </row>
    <row r="25" spans="1:29" ht="19.5">
      <c r="A25" s="59">
        <v>44578</v>
      </c>
      <c r="B25" s="116">
        <v>2560</v>
      </c>
      <c r="C25" s="115">
        <f t="shared" si="0"/>
        <v>0</v>
      </c>
      <c r="D25" s="57">
        <v>133404</v>
      </c>
      <c r="E25" s="50">
        <f t="shared" si="1"/>
        <v>36</v>
      </c>
      <c r="F25" s="51">
        <v>11401914</v>
      </c>
      <c r="G25" s="50">
        <f t="shared" si="2"/>
        <v>2139</v>
      </c>
      <c r="H25" s="51">
        <v>19369432</v>
      </c>
      <c r="I25" s="50">
        <f t="shared" si="3"/>
        <v>2720</v>
      </c>
      <c r="J25" s="51">
        <v>8504066</v>
      </c>
      <c r="K25" s="50">
        <f t="shared" si="4"/>
        <v>1293</v>
      </c>
    </row>
    <row r="26" spans="1:29" ht="19.5">
      <c r="A26" s="59">
        <v>44579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44580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44581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44582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44583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44584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44585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44586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44587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44588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44589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44590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44591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44592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44593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5">
    <cfRule type="cellIs" dxfId="5" priority="6" stopIfTrue="1" operator="lessThanOrEqual">
      <formula>0</formula>
    </cfRule>
  </conditionalFormatting>
  <conditionalFormatting sqref="E10:E25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2" activePane="bottomRight" state="frozen"/>
      <selection pane="bottomRight" activeCell="H21" sqref="H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44562</v>
      </c>
      <c r="B4" s="41">
        <v>71</v>
      </c>
      <c r="C4" s="39">
        <f t="shared" ref="C4" si="0">IF(AC4&gt;0,((B4-R4)+(S4-B5)),IF(B5=0, ,(B4-B5)))</f>
        <v>1</v>
      </c>
      <c r="D4" s="41">
        <v>72</v>
      </c>
      <c r="E4" s="39">
        <f t="shared" ref="E4" si="1">IF(AC4&gt;0,((D4-U4)+(V4-D5)),IF(D5=0, ,(D4-D5)))</f>
        <v>2</v>
      </c>
      <c r="F4" s="41">
        <v>75</v>
      </c>
      <c r="G4" s="39">
        <f t="shared" ref="G4" si="2">IF(AC4&gt;0,((F4-X4)+(Y4-F5)),IF(F5=0, ,(F4-F5)))</f>
        <v>1</v>
      </c>
      <c r="H4" s="41">
        <v>73</v>
      </c>
      <c r="I4" s="39">
        <f>IF(AC4&gt;0,((H4-AA4)+(AB4-H5)),IF(H5=0, ,(H4-H5)))</f>
        <v>2</v>
      </c>
      <c r="J4" s="39">
        <f>B4+D4+F4+H4</f>
        <v>291</v>
      </c>
      <c r="K4" s="39">
        <f>J4/4</f>
        <v>72.75</v>
      </c>
      <c r="L4" s="39">
        <f>IF(AC4&gt;0,((K4-AD4)+(AE4-K5)),IF(K5=0, ,(K4-K5)))</f>
        <v>1.5</v>
      </c>
      <c r="M4" s="149">
        <f t="shared" ref="M4:M7" si="3">6049*4</f>
        <v>24196</v>
      </c>
      <c r="N4" s="39">
        <f>L4*M4/100</f>
        <v>362.94</v>
      </c>
      <c r="O4" s="39">
        <f>N4*0.529</f>
        <v>191.99526</v>
      </c>
      <c r="P4" s="42">
        <f>O4*11.565</f>
        <v>2220.4251819000001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44563</v>
      </c>
      <c r="B5" s="41">
        <v>70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2</v>
      </c>
      <c r="F5" s="41">
        <v>74</v>
      </c>
      <c r="G5" s="39">
        <f t="shared" ref="G4:G35" si="9">IF(AC5&gt;0,((F5-X5)+(Y5-F6)),IF(F6=0, ,(F5-F6)))</f>
        <v>1</v>
      </c>
      <c r="H5" s="41">
        <v>71</v>
      </c>
      <c r="I5" s="39">
        <f>IF(AC5&gt;0,((H5-AA5)+(AB5-H6)),IF(H6=0, ,(H5-H6)))</f>
        <v>2</v>
      </c>
      <c r="J5" s="39">
        <f>B5+D5+F5+H5</f>
        <v>285</v>
      </c>
      <c r="K5" s="39">
        <f>J5/4</f>
        <v>71.25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8" si="10">O5*11.565</f>
        <v>2220.4251819000001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44564</v>
      </c>
      <c r="B6" s="41">
        <v>69</v>
      </c>
      <c r="C6" s="39">
        <f t="shared" si="7"/>
        <v>4</v>
      </c>
      <c r="D6" s="41">
        <v>68</v>
      </c>
      <c r="E6" s="39">
        <f t="shared" si="8"/>
        <v>3</v>
      </c>
      <c r="F6" s="41">
        <v>73</v>
      </c>
      <c r="G6" s="39">
        <f t="shared" si="9"/>
        <v>3</v>
      </c>
      <c r="H6" s="41">
        <v>69</v>
      </c>
      <c r="I6" s="39">
        <f t="shared" ref="I6:I36" si="11">IF(AC6&gt;0,((H6-AA6)+(AB6-H7)),IF(H7=0, ,(H6-H7)))</f>
        <v>1</v>
      </c>
      <c r="J6" s="39">
        <f t="shared" ref="J6:J42" si="12">B6+D6+F6+H6</f>
        <v>279</v>
      </c>
      <c r="K6" s="39">
        <f t="shared" ref="K6:K42" si="13">J6/4</f>
        <v>69.75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4070.7795001499999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44565</v>
      </c>
      <c r="B7" s="41">
        <v>65</v>
      </c>
      <c r="C7" s="39">
        <f t="shared" si="7"/>
        <v>3</v>
      </c>
      <c r="D7" s="41">
        <v>65</v>
      </c>
      <c r="E7" s="39">
        <f t="shared" si="8"/>
        <v>1</v>
      </c>
      <c r="F7" s="41">
        <v>70</v>
      </c>
      <c r="G7" s="39">
        <f t="shared" si="9"/>
        <v>6</v>
      </c>
      <c r="H7" s="41">
        <v>68</v>
      </c>
      <c r="I7" s="39">
        <f t="shared" si="11"/>
        <v>2</v>
      </c>
      <c r="J7" s="39">
        <f t="shared" si="12"/>
        <v>268</v>
      </c>
      <c r="K7" s="39">
        <f t="shared" si="13"/>
        <v>67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4449.2451659999997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44566</v>
      </c>
      <c r="B8" s="41">
        <v>62</v>
      </c>
      <c r="C8" s="39">
        <f t="shared" si="7"/>
        <v>2</v>
      </c>
      <c r="D8" s="41">
        <v>64</v>
      </c>
      <c r="E8" s="39">
        <f t="shared" si="8"/>
        <v>4</v>
      </c>
      <c r="F8" s="41">
        <v>64</v>
      </c>
      <c r="G8" s="39">
        <f t="shared" si="9"/>
        <v>2</v>
      </c>
      <c r="H8" s="41">
        <v>66</v>
      </c>
      <c r="I8" s="39">
        <f t="shared" si="11"/>
        <v>1</v>
      </c>
      <c r="J8" s="39">
        <f t="shared" si="12"/>
        <v>256</v>
      </c>
      <c r="K8" s="39">
        <f t="shared" si="13"/>
        <v>64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3330.6377728499997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44567</v>
      </c>
      <c r="B9" s="41">
        <v>60</v>
      </c>
      <c r="C9" s="39">
        <f t="shared" si="7"/>
        <v>0</v>
      </c>
      <c r="D9" s="41">
        <v>60</v>
      </c>
      <c r="E9" s="39">
        <f t="shared" si="8"/>
        <v>1</v>
      </c>
      <c r="F9" s="41">
        <v>62</v>
      </c>
      <c r="G9" s="39">
        <f t="shared" si="9"/>
        <v>2</v>
      </c>
      <c r="H9" s="41">
        <v>65</v>
      </c>
      <c r="I9" s="39">
        <f t="shared" si="11"/>
        <v>1</v>
      </c>
      <c r="J9" s="39">
        <f t="shared" si="12"/>
        <v>247</v>
      </c>
      <c r="K9" s="39">
        <f t="shared" si="13"/>
        <v>61.75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1480.2834545999999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44568</v>
      </c>
      <c r="B10" s="41">
        <v>60</v>
      </c>
      <c r="C10" s="39">
        <f t="shared" si="7"/>
        <v>1</v>
      </c>
      <c r="D10" s="41">
        <v>59</v>
      </c>
      <c r="E10" s="39">
        <f t="shared" si="8"/>
        <v>1</v>
      </c>
      <c r="F10" s="41">
        <v>60</v>
      </c>
      <c r="G10" s="39">
        <f t="shared" si="9"/>
        <v>2</v>
      </c>
      <c r="H10" s="41">
        <v>64</v>
      </c>
      <c r="I10" s="39">
        <f t="shared" si="11"/>
        <v>2</v>
      </c>
      <c r="J10" s="39">
        <f t="shared" si="12"/>
        <v>243</v>
      </c>
      <c r="K10" s="39">
        <f t="shared" si="13"/>
        <v>60.75</v>
      </c>
      <c r="L10" s="39">
        <f t="shared" si="14"/>
        <v>1.5</v>
      </c>
      <c r="M10" s="149">
        <f t="shared" si="17"/>
        <v>24196</v>
      </c>
      <c r="N10" s="39">
        <f t="shared" si="15"/>
        <v>362.94</v>
      </c>
      <c r="O10" s="148">
        <f t="shared" si="16"/>
        <v>191.99526</v>
      </c>
      <c r="P10" s="42">
        <f t="shared" si="10"/>
        <v>2220.4251819000001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44569</v>
      </c>
      <c r="B11" s="41">
        <v>59</v>
      </c>
      <c r="C11" s="39">
        <f t="shared" si="7"/>
        <v>4</v>
      </c>
      <c r="D11" s="41">
        <v>58</v>
      </c>
      <c r="E11" s="39">
        <f t="shared" si="8"/>
        <v>3</v>
      </c>
      <c r="F11" s="41">
        <v>58</v>
      </c>
      <c r="G11" s="39">
        <f t="shared" si="9"/>
        <v>0</v>
      </c>
      <c r="H11" s="41">
        <v>62</v>
      </c>
      <c r="I11" s="39">
        <f t="shared" si="11"/>
        <v>2</v>
      </c>
      <c r="J11" s="39">
        <f t="shared" si="12"/>
        <v>237</v>
      </c>
      <c r="K11" s="39">
        <f t="shared" si="13"/>
        <v>59.25</v>
      </c>
      <c r="L11" s="39">
        <f t="shared" si="14"/>
        <v>2.25</v>
      </c>
      <c r="M11" s="149">
        <f t="shared" si="17"/>
        <v>24196</v>
      </c>
      <c r="N11" s="39">
        <f t="shared" si="15"/>
        <v>544.41</v>
      </c>
      <c r="O11" s="39">
        <f t="shared" si="16"/>
        <v>287.99288999999999</v>
      </c>
      <c r="P11" s="42">
        <f t="shared" si="10"/>
        <v>3330.6377728499997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44570</v>
      </c>
      <c r="B12" s="41">
        <v>55</v>
      </c>
      <c r="C12" s="39">
        <f t="shared" si="7"/>
        <v>3</v>
      </c>
      <c r="D12" s="41">
        <v>55</v>
      </c>
      <c r="E12" s="39">
        <f t="shared" si="8"/>
        <v>4</v>
      </c>
      <c r="F12" s="41">
        <v>58</v>
      </c>
      <c r="G12" s="39">
        <f t="shared" si="9"/>
        <v>2</v>
      </c>
      <c r="H12" s="41">
        <v>60</v>
      </c>
      <c r="I12" s="39">
        <f t="shared" si="11"/>
        <v>3</v>
      </c>
      <c r="J12" s="39">
        <f t="shared" si="12"/>
        <v>228</v>
      </c>
      <c r="K12" s="39">
        <f t="shared" si="13"/>
        <v>57</v>
      </c>
      <c r="L12" s="39">
        <f t="shared" si="14"/>
        <v>3</v>
      </c>
      <c r="M12" s="149">
        <f t="shared" si="17"/>
        <v>24196</v>
      </c>
      <c r="N12" s="39">
        <f t="shared" si="15"/>
        <v>725.88</v>
      </c>
      <c r="O12" s="39">
        <f t="shared" si="16"/>
        <v>383.99052</v>
      </c>
      <c r="P12" s="42">
        <f t="shared" si="10"/>
        <v>4440.8503638000002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44571</v>
      </c>
      <c r="B13" s="41">
        <v>52</v>
      </c>
      <c r="C13" s="39">
        <f t="shared" si="7"/>
        <v>3</v>
      </c>
      <c r="D13" s="41">
        <v>51</v>
      </c>
      <c r="E13" s="39">
        <f t="shared" si="8"/>
        <v>2</v>
      </c>
      <c r="F13" s="41">
        <v>56</v>
      </c>
      <c r="G13" s="39">
        <f t="shared" si="9"/>
        <v>0</v>
      </c>
      <c r="H13" s="41">
        <v>57</v>
      </c>
      <c r="I13" s="39">
        <f t="shared" si="11"/>
        <v>0</v>
      </c>
      <c r="J13" s="39">
        <f t="shared" si="12"/>
        <v>216</v>
      </c>
      <c r="K13" s="39">
        <f t="shared" si="13"/>
        <v>54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1850.3543182499998</v>
      </c>
      <c r="Q13" s="39">
        <v>2432</v>
      </c>
      <c r="R13" s="39">
        <v>50</v>
      </c>
      <c r="S13" s="39">
        <v>85</v>
      </c>
      <c r="T13" s="39">
        <v>2458</v>
      </c>
      <c r="U13" s="39">
        <v>50</v>
      </c>
      <c r="V13" s="39">
        <v>85</v>
      </c>
      <c r="W13" s="39">
        <v>2186</v>
      </c>
      <c r="X13" s="39">
        <v>56</v>
      </c>
      <c r="Y13" s="39">
        <v>85</v>
      </c>
      <c r="Z13" s="39">
        <v>2111</v>
      </c>
      <c r="AA13" s="39">
        <v>57</v>
      </c>
      <c r="AB13" s="39">
        <v>85</v>
      </c>
      <c r="AC13" s="39">
        <f t="shared" si="4"/>
        <v>9187</v>
      </c>
      <c r="AD13" s="38">
        <f t="shared" si="5"/>
        <v>53.25</v>
      </c>
      <c r="AE13" s="38">
        <f t="shared" si="6"/>
        <v>85</v>
      </c>
    </row>
    <row r="14" spans="1:31" ht="32.25" customHeight="1">
      <c r="A14" s="40">
        <v>44572</v>
      </c>
      <c r="B14" s="41">
        <v>84</v>
      </c>
      <c r="C14" s="39">
        <f t="shared" si="7"/>
        <v>1</v>
      </c>
      <c r="D14" s="41">
        <v>84</v>
      </c>
      <c r="E14" s="39">
        <f t="shared" si="8"/>
        <v>1</v>
      </c>
      <c r="F14" s="41">
        <v>85</v>
      </c>
      <c r="G14" s="39">
        <f t="shared" si="9"/>
        <v>1</v>
      </c>
      <c r="H14" s="41">
        <v>85</v>
      </c>
      <c r="I14" s="39">
        <f>IF(AC14&gt;0,((H14-AA14)+(AB14-H15)),IF(H15=0, ,(H14-H15)))</f>
        <v>1</v>
      </c>
      <c r="J14" s="39">
        <f t="shared" si="12"/>
        <v>338</v>
      </c>
      <c r="K14" s="39">
        <f t="shared" si="13"/>
        <v>84.5</v>
      </c>
      <c r="L14" s="39">
        <f t="shared" si="14"/>
        <v>1</v>
      </c>
      <c r="M14" s="149">
        <f t="shared" si="17"/>
        <v>24196</v>
      </c>
      <c r="N14" s="39">
        <f t="shared" si="15"/>
        <v>241.96</v>
      </c>
      <c r="O14" s="39">
        <f t="shared" si="16"/>
        <v>127.99684000000001</v>
      </c>
      <c r="P14" s="42">
        <f t="shared" si="10"/>
        <v>1480.2834545999999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44573</v>
      </c>
      <c r="B15" s="41">
        <v>83</v>
      </c>
      <c r="C15" s="39">
        <f t="shared" si="7"/>
        <v>0</v>
      </c>
      <c r="D15" s="41">
        <v>83</v>
      </c>
      <c r="E15" s="39">
        <f t="shared" si="8"/>
        <v>0</v>
      </c>
      <c r="F15" s="41">
        <v>84</v>
      </c>
      <c r="G15" s="39">
        <f t="shared" si="9"/>
        <v>2</v>
      </c>
      <c r="H15" s="41">
        <v>84</v>
      </c>
      <c r="I15" s="39">
        <f>IF(AC15&gt;0,((H15-AA15)+(AB15-H16)),IF(H16=0, ,(H15-H16)))</f>
        <v>3</v>
      </c>
      <c r="J15" s="39">
        <f t="shared" si="12"/>
        <v>334</v>
      </c>
      <c r="K15" s="39">
        <f t="shared" si="13"/>
        <v>83.5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1850.3543182499998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44574</v>
      </c>
      <c r="B16" s="41">
        <v>83</v>
      </c>
      <c r="C16" s="39">
        <f t="shared" si="7"/>
        <v>1</v>
      </c>
      <c r="D16" s="41">
        <v>83</v>
      </c>
      <c r="E16" s="39">
        <f t="shared" si="8"/>
        <v>0</v>
      </c>
      <c r="F16" s="41">
        <v>82</v>
      </c>
      <c r="G16" s="39">
        <f t="shared" si="9"/>
        <v>2</v>
      </c>
      <c r="H16" s="41">
        <v>81</v>
      </c>
      <c r="I16" s="39">
        <f t="shared" si="11"/>
        <v>1</v>
      </c>
      <c r="J16" s="39">
        <f t="shared" si="12"/>
        <v>329</v>
      </c>
      <c r="K16" s="39">
        <f t="shared" si="13"/>
        <v>82.25</v>
      </c>
      <c r="L16" s="39">
        <f t="shared" si="14"/>
        <v>1</v>
      </c>
      <c r="M16" s="149">
        <f t="shared" si="17"/>
        <v>24196</v>
      </c>
      <c r="N16" s="39">
        <f t="shared" si="15"/>
        <v>241.96</v>
      </c>
      <c r="O16" s="39">
        <f t="shared" si="16"/>
        <v>127.99684000000001</v>
      </c>
      <c r="P16" s="42">
        <f t="shared" si="10"/>
        <v>1480.2834545999999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44575</v>
      </c>
      <c r="B17" s="41">
        <v>82</v>
      </c>
      <c r="C17" s="39">
        <f t="shared" si="7"/>
        <v>4</v>
      </c>
      <c r="D17" s="41">
        <v>83</v>
      </c>
      <c r="E17" s="39">
        <f t="shared" si="8"/>
        <v>4</v>
      </c>
      <c r="F17" s="41">
        <v>80</v>
      </c>
      <c r="G17" s="39">
        <f t="shared" si="9"/>
        <v>0</v>
      </c>
      <c r="H17" s="41">
        <v>80</v>
      </c>
      <c r="I17" s="39">
        <f t="shared" si="11"/>
        <v>0</v>
      </c>
      <c r="J17" s="39">
        <f t="shared" si="12"/>
        <v>325</v>
      </c>
      <c r="K17" s="39">
        <f t="shared" si="13"/>
        <v>81.25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2960.5669091999998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44576</v>
      </c>
      <c r="B18" s="41">
        <v>78</v>
      </c>
      <c r="C18" s="39">
        <f t="shared" si="7"/>
        <v>2</v>
      </c>
      <c r="D18" s="41">
        <v>79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1"/>
        <v>3</v>
      </c>
      <c r="J18" s="39">
        <f t="shared" si="12"/>
        <v>317</v>
      </c>
      <c r="K18" s="39">
        <f t="shared" si="13"/>
        <v>79.25</v>
      </c>
      <c r="L18" s="39">
        <f t="shared" si="14"/>
        <v>2.5</v>
      </c>
      <c r="M18" s="149">
        <f t="shared" si="17"/>
        <v>24196</v>
      </c>
      <c r="N18" s="39">
        <f t="shared" si="15"/>
        <v>604.9</v>
      </c>
      <c r="O18" s="39">
        <f t="shared" si="16"/>
        <v>319.99209999999999</v>
      </c>
      <c r="P18" s="42">
        <f t="shared" si="10"/>
        <v>3700.7086364999996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44577</v>
      </c>
      <c r="B19" s="41">
        <v>76</v>
      </c>
      <c r="C19" s="39">
        <f t="shared" si="7"/>
        <v>1</v>
      </c>
      <c r="D19" s="41">
        <v>76</v>
      </c>
      <c r="E19" s="39">
        <f t="shared" si="8"/>
        <v>1</v>
      </c>
      <c r="F19" s="41">
        <v>78</v>
      </c>
      <c r="G19" s="39">
        <f t="shared" si="9"/>
        <v>2</v>
      </c>
      <c r="H19" s="41">
        <v>77</v>
      </c>
      <c r="I19" s="39">
        <f t="shared" si="11"/>
        <v>2</v>
      </c>
      <c r="J19" s="39">
        <f t="shared" si="12"/>
        <v>307</v>
      </c>
      <c r="K19" s="39">
        <f t="shared" si="13"/>
        <v>76.75</v>
      </c>
      <c r="L19" s="39">
        <f t="shared" si="14"/>
        <v>1.5</v>
      </c>
      <c r="M19" s="149">
        <f t="shared" si="17"/>
        <v>24196</v>
      </c>
      <c r="N19" s="39">
        <f t="shared" si="15"/>
        <v>362.94</v>
      </c>
      <c r="O19" s="39">
        <f t="shared" si="16"/>
        <v>191.99526</v>
      </c>
      <c r="P19" s="42">
        <f t="shared" si="10"/>
        <v>2220.4251819000001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44578</v>
      </c>
      <c r="B20" s="41">
        <v>75</v>
      </c>
      <c r="C20" s="39">
        <f t="shared" si="7"/>
        <v>0</v>
      </c>
      <c r="D20" s="41">
        <v>75</v>
      </c>
      <c r="E20" s="39">
        <f t="shared" si="8"/>
        <v>0</v>
      </c>
      <c r="F20" s="41">
        <v>76</v>
      </c>
      <c r="G20" s="39">
        <f t="shared" si="9"/>
        <v>0</v>
      </c>
      <c r="H20" s="41">
        <v>75</v>
      </c>
      <c r="I20" s="39">
        <f t="shared" si="11"/>
        <v>0</v>
      </c>
      <c r="J20" s="39">
        <f t="shared" si="12"/>
        <v>301</v>
      </c>
      <c r="K20" s="39">
        <f t="shared" si="13"/>
        <v>75.25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44579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44580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44581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44582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44583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44584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44585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44586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44587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44588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44589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44590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44591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44592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44593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7077.329999999999</v>
      </c>
      <c r="O43" s="39">
        <f>N43*0.529</f>
        <v>3743.9075699999999</v>
      </c>
      <c r="P43" s="42">
        <f>O43*11.565</f>
        <v>43298.291047049999</v>
      </c>
      <c r="Q43" s="285">
        <f>SUM(Q4:Q42)</f>
        <v>2432</v>
      </c>
      <c r="R43" s="286"/>
      <c r="S43" s="287"/>
      <c r="T43" s="288">
        <f>SUM(T4:T42)</f>
        <v>2458</v>
      </c>
      <c r="U43" s="286"/>
      <c r="V43" s="287"/>
      <c r="W43" s="288">
        <f>SUM(W4:W42)</f>
        <v>2186</v>
      </c>
      <c r="X43" s="286"/>
      <c r="Y43" s="287"/>
      <c r="Z43" s="288">
        <f>SUM(Z4:Z42)</f>
        <v>2111</v>
      </c>
      <c r="AA43" s="286"/>
      <c r="AB43" s="287"/>
      <c r="AC43" s="39">
        <f t="shared" si="20"/>
        <v>9187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9187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9187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7077.329999999999</v>
      </c>
      <c r="L47" s="46">
        <f>O43</f>
        <v>3743.9075699999999</v>
      </c>
      <c r="M47" s="46">
        <f>P43</f>
        <v>43298.291047049999</v>
      </c>
    </row>
    <row r="48" spans="1:31" ht="54.75" customHeight="1" thickBot="1">
      <c r="H48" s="281" t="s">
        <v>86</v>
      </c>
      <c r="I48" s="282"/>
      <c r="J48" s="283"/>
      <c r="K48" s="43">
        <f>AC44</f>
        <v>9187</v>
      </c>
      <c r="L48" s="44">
        <f>K48*0.529</f>
        <v>4859.9230000000007</v>
      </c>
      <c r="M48" s="44">
        <f>L48*11.565</f>
        <v>56205.009495000006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44528</v>
      </c>
      <c r="D8" s="351"/>
      <c r="E8" s="113">
        <v>44558</v>
      </c>
      <c r="F8" s="163" t="s">
        <v>97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688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19306429</v>
      </c>
      <c r="D17" s="66">
        <v>19189353</v>
      </c>
      <c r="E17" s="67">
        <f>MIN(C17-D17)</f>
        <v>117076</v>
      </c>
      <c r="F17" s="67">
        <f>+E17</f>
        <v>117076</v>
      </c>
      <c r="G17" s="337"/>
      <c r="H17" s="338"/>
      <c r="I17" s="337">
        <f>+E17</f>
        <v>117076</v>
      </c>
      <c r="J17" s="338"/>
    </row>
    <row r="18" spans="1:10">
      <c r="A18" s="335" t="s">
        <v>111</v>
      </c>
      <c r="B18" s="336"/>
      <c r="C18" s="66">
        <v>11353001</v>
      </c>
      <c r="D18" s="66">
        <v>11267897</v>
      </c>
      <c r="E18" s="67">
        <f>MIN(C18-D18)</f>
        <v>85104</v>
      </c>
      <c r="F18" s="67">
        <f>+E18</f>
        <v>85104</v>
      </c>
      <c r="G18" s="337"/>
      <c r="H18" s="338"/>
      <c r="I18" s="337">
        <f>+E18</f>
        <v>85104</v>
      </c>
      <c r="J18" s="338"/>
    </row>
    <row r="19" spans="1:10">
      <c r="A19" s="335" t="s">
        <v>112</v>
      </c>
      <c r="B19" s="336"/>
      <c r="C19" s="66">
        <v>8474753</v>
      </c>
      <c r="D19" s="66">
        <v>8420514</v>
      </c>
      <c r="E19" s="67">
        <f>AVERAGE(C19-D19)</f>
        <v>54239</v>
      </c>
      <c r="F19" s="67">
        <f>+E19</f>
        <v>54239</v>
      </c>
      <c r="G19" s="337"/>
      <c r="H19" s="338"/>
      <c r="I19" s="337">
        <f>+E19</f>
        <v>54239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256419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117076</v>
      </c>
      <c r="E25" s="72">
        <v>0.95140000000000002</v>
      </c>
      <c r="F25" s="73">
        <f>PRODUCT(D25*E25)</f>
        <v>111386.1064</v>
      </c>
      <c r="G25" s="151">
        <v>14</v>
      </c>
      <c r="H25" s="65">
        <f>PRODUCT(0.14,F25)</f>
        <v>15594.054896000001</v>
      </c>
      <c r="I25" s="303">
        <f>SUM(H25,F25)</f>
        <v>126980.16129600001</v>
      </c>
      <c r="J25" s="304"/>
    </row>
    <row r="26" spans="1:10" ht="15">
      <c r="A26" s="300" t="s">
        <v>124</v>
      </c>
      <c r="B26" s="301"/>
      <c r="C26" s="302"/>
      <c r="D26" s="67">
        <f>+E18</f>
        <v>85104</v>
      </c>
      <c r="E26" s="74">
        <v>0.69850000000000001</v>
      </c>
      <c r="F26" s="73">
        <f>PRODUCT(D26*E26)</f>
        <v>59445.144</v>
      </c>
      <c r="G26">
        <v>14</v>
      </c>
      <c r="H26" s="67">
        <f>PRODUCT(0.14,F26)</f>
        <v>8322.3201600000011</v>
      </c>
      <c r="I26" s="303">
        <f t="shared" ref="I26:I31" si="0">SUM(H26,F26)</f>
        <v>67767.464160000003</v>
      </c>
      <c r="J26" s="304"/>
    </row>
    <row r="27" spans="1:10" ht="15">
      <c r="A27" s="300" t="s">
        <v>125</v>
      </c>
      <c r="B27" s="301"/>
      <c r="C27" s="302"/>
      <c r="D27" s="67">
        <f>+E19</f>
        <v>54239</v>
      </c>
      <c r="E27" s="74">
        <v>1.3304</v>
      </c>
      <c r="F27" s="73">
        <f>PRODUCT(D27*E27)</f>
        <v>72159.565600000002</v>
      </c>
      <c r="G27">
        <v>14</v>
      </c>
      <c r="H27" s="67">
        <f>PRODUCT(0.14,F27)</f>
        <v>10102.339184</v>
      </c>
      <c r="I27" s="303">
        <f>SUM(H27,F27)</f>
        <v>82261.904783999998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289205.48600000003</v>
      </c>
      <c r="G32" s="85"/>
      <c r="H32" s="86"/>
      <c r="I32" s="312">
        <f>SUM(I25:J31)</f>
        <v>329640.27403999999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57" t="s">
        <v>131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44297</v>
      </c>
      <c r="D8" s="351"/>
      <c r="E8" s="113">
        <v>44327</v>
      </c>
      <c r="F8" s="163" t="s">
        <v>132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712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7"/>
      <c r="H17" s="338"/>
      <c r="I17" s="337">
        <f>+E17</f>
        <v>6887</v>
      </c>
      <c r="J17" s="338"/>
    </row>
    <row r="18" spans="1:10">
      <c r="A18" s="335" t="s">
        <v>111</v>
      </c>
      <c r="B18" s="336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7"/>
      <c r="H18" s="338"/>
      <c r="I18" s="337">
        <f>+E18</f>
        <v>3799</v>
      </c>
      <c r="J18" s="338"/>
    </row>
    <row r="19" spans="1:10">
      <c r="A19" s="335" t="s">
        <v>112</v>
      </c>
      <c r="B19" s="336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7"/>
      <c r="H19" s="338"/>
      <c r="I19" s="337">
        <f>+E19</f>
        <v>3073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13759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3">
        <f>SUM(H25,F25)</f>
        <v>7469.6126519999998</v>
      </c>
      <c r="J25" s="304"/>
    </row>
    <row r="26" spans="1:10" ht="15">
      <c r="A26" s="300" t="s">
        <v>124</v>
      </c>
      <c r="B26" s="301"/>
      <c r="C26" s="302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3">
        <f t="shared" ref="I26:I31" si="0">SUM(H26,F26)</f>
        <v>3025.1057100000003</v>
      </c>
      <c r="J26" s="304"/>
    </row>
    <row r="27" spans="1:10" ht="15">
      <c r="A27" s="300" t="s">
        <v>125</v>
      </c>
      <c r="B27" s="301"/>
      <c r="C27" s="302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3">
        <f>SUM(H27,F27)</f>
        <v>4660.6838879999996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59508.8825</v>
      </c>
      <c r="G32" s="85"/>
      <c r="H32" s="86"/>
      <c r="I32" s="312">
        <f>SUM(I25:J31)</f>
        <v>67786.146049999996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A12" sqref="A12:H1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130607.9</v>
      </c>
      <c r="D8" s="97">
        <v>44166</v>
      </c>
      <c r="E8" s="96">
        <v>132699</v>
      </c>
      <c r="F8" s="97">
        <v>44562</v>
      </c>
      <c r="G8" s="98">
        <f>E8-C8</f>
        <v>2091.1000000000058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2091.1000000000058</v>
      </c>
      <c r="C13" s="395"/>
      <c r="D13" s="395">
        <v>8.7899999999999991</v>
      </c>
      <c r="E13" s="395"/>
      <c r="F13" s="399">
        <f>PRODUCT(D13,B13)</f>
        <v>18380.769000000051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2091.1000000000058</v>
      </c>
      <c r="C19" s="395"/>
      <c r="D19" s="395">
        <v>2.61</v>
      </c>
      <c r="E19" s="395"/>
      <c r="F19" s="395">
        <f>PRODUCT(D19,B19)</f>
        <v>5457.7710000000152</v>
      </c>
      <c r="G19" s="395"/>
      <c r="H19" s="395"/>
    </row>
    <row r="20" spans="1:8" ht="18.75">
      <c r="A20" s="391" t="s">
        <v>149</v>
      </c>
      <c r="B20" s="392"/>
      <c r="C20" s="392"/>
      <c r="D20" s="392"/>
      <c r="E20" s="393"/>
      <c r="F20" s="394">
        <f>SUM(F11+F13+F16+F17+F18+F19)</f>
        <v>23861.540000000066</v>
      </c>
      <c r="G20" s="394"/>
      <c r="H20" s="394"/>
    </row>
    <row r="21" spans="1:8" ht="15">
      <c r="A21" s="380" t="s">
        <v>150</v>
      </c>
      <c r="B21" s="381"/>
      <c r="C21" s="381"/>
      <c r="D21" s="381"/>
      <c r="E21" s="382"/>
      <c r="F21" s="395">
        <f>PRODUCT(F20,0.07)</f>
        <v>1670.3078000000048</v>
      </c>
      <c r="G21" s="395"/>
      <c r="H21" s="395"/>
    </row>
    <row r="22" spans="1:8" ht="15">
      <c r="A22" s="433" t="s">
        <v>151</v>
      </c>
      <c r="B22" s="434"/>
      <c r="C22" s="434"/>
      <c r="D22" s="434"/>
      <c r="E22" s="435"/>
      <c r="F22" s="395">
        <v>208.26</v>
      </c>
      <c r="G22" s="395"/>
      <c r="H22" s="395"/>
    </row>
    <row r="23" spans="1:8" ht="15.75">
      <c r="A23" s="380" t="s">
        <v>152</v>
      </c>
      <c r="B23" s="381"/>
      <c r="C23" s="381"/>
      <c r="D23" s="381"/>
      <c r="E23" s="382"/>
      <c r="F23" s="383">
        <f>SUM(F21:H22)</f>
        <v>1878.5678000000048</v>
      </c>
      <c r="G23" s="383"/>
      <c r="H23" s="383"/>
    </row>
    <row r="24" spans="1:8">
      <c r="A24" s="384" t="s">
        <v>153</v>
      </c>
      <c r="B24" s="385"/>
      <c r="C24" s="385"/>
      <c r="D24" s="385"/>
      <c r="E24" s="386"/>
      <c r="F24" s="390">
        <f>SUM(F20,F23)</f>
        <v>25740.107800000071</v>
      </c>
      <c r="G24" s="390"/>
      <c r="H24" s="390"/>
    </row>
    <row r="25" spans="1:8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9">
        <f>PRODUCT(D13,B13)</f>
        <v>1018.3000000000247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391" t="s">
        <v>149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>
      <c r="A22" s="380" t="s">
        <v>150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>
      <c r="A23" s="433" t="s">
        <v>151</v>
      </c>
      <c r="B23" s="434"/>
      <c r="C23" s="434"/>
      <c r="D23" s="434"/>
      <c r="E23" s="435"/>
      <c r="F23" s="395">
        <v>208.26</v>
      </c>
      <c r="G23" s="395"/>
      <c r="H23" s="395"/>
    </row>
    <row r="24" spans="1:8" ht="15.75">
      <c r="A24" s="380" t="s">
        <v>152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>
      <c r="A25" s="384" t="s">
        <v>153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155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9">
        <f>PRODUCT(D13,B13)</f>
        <v>0</v>
      </c>
      <c r="G13" s="399"/>
      <c r="H13" s="399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6" t="s">
        <v>144</v>
      </c>
      <c r="B18" s="396"/>
      <c r="C18" s="396"/>
      <c r="D18" s="396"/>
      <c r="E18" s="396"/>
      <c r="F18" s="396"/>
      <c r="G18" s="396"/>
      <c r="H18" s="396"/>
    </row>
    <row r="19" spans="1:8">
      <c r="A19" s="397"/>
      <c r="B19" s="397"/>
      <c r="C19" s="397"/>
      <c r="D19" s="397"/>
      <c r="E19" s="397"/>
      <c r="F19" s="397"/>
      <c r="G19" s="397"/>
      <c r="H19" s="397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391" t="s">
        <v>149</v>
      </c>
      <c r="B25" s="392"/>
      <c r="C25" s="392"/>
      <c r="D25" s="392"/>
      <c r="E25" s="393"/>
      <c r="F25" s="418">
        <f>SUM(F11+F13+F20+F21+F22+F23)</f>
        <v>15</v>
      </c>
      <c r="G25" s="394"/>
      <c r="H25" s="394"/>
    </row>
    <row r="26" spans="1:8" ht="15">
      <c r="A26" s="380" t="s">
        <v>150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>
      <c r="A27" s="433" t="s">
        <v>151</v>
      </c>
      <c r="B27" s="434"/>
      <c r="C27" s="434"/>
      <c r="D27" s="434"/>
      <c r="E27" s="435"/>
      <c r="F27" s="395">
        <v>2.4300000000000002</v>
      </c>
      <c r="G27" s="395"/>
      <c r="H27" s="395"/>
    </row>
    <row r="28" spans="1:8" ht="15.75">
      <c r="A28" s="380" t="s">
        <v>152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>
      <c r="A29" s="384" t="s">
        <v>153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6" zoomScaleNormal="100" workbookViewId="0">
      <selection activeCell="E26" sqref="E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3" zoomScaleNormal="100" workbookViewId="0">
      <selection activeCell="C26" sqref="C26:N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B26" sqref="B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2022-01-17T08:35:42Z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