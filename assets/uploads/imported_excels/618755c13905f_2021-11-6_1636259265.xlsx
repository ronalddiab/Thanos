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 filterPrivacy="1" defaultThemeVersion="124226"/>
  <xr:revisionPtr revIDLastSave="0" documentId="13_ncr:1_{642F8593-493F-44A2-8C00-A2F14738C549}" xr6:coauthVersionLast="36" xr6:coauthVersionMax="36" xr10:uidLastSave="{00000000-0000-0000-0000-000000000000}"/>
  <bookViews>
    <workbookView xWindow="0" yWindow="0" windowWidth="19440" windowHeight="1222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4" i="8"/>
  <c r="Y6" i="8" l="1"/>
  <c r="Y7" i="8"/>
  <c r="Y8" i="8"/>
  <c r="Y5" i="8"/>
  <c r="K33" i="6" l="1"/>
  <c r="B16" i="2" l="1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 l="1"/>
  <c r="B32" i="2"/>
  <c r="B33" i="2"/>
  <c r="B34" i="2"/>
  <c r="B8" i="2" l="1"/>
  <c r="B9" i="2"/>
  <c r="B10" i="2"/>
  <c r="B11" i="2"/>
  <c r="B12" i="2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D32" i="8" s="1"/>
  <c r="U23" i="2"/>
  <c r="K22" i="4" s="1"/>
  <c r="T23" i="2"/>
  <c r="S23" i="2"/>
  <c r="J22" i="4" s="1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B9" i="8"/>
  <c r="D9" i="8" s="1"/>
  <c r="C17" i="2"/>
  <c r="C16" i="4" s="1"/>
  <c r="C18" i="2"/>
  <c r="C17" i="4" s="1"/>
  <c r="C19" i="2"/>
  <c r="B8" i="8"/>
  <c r="D8" i="8" s="1"/>
  <c r="B10" i="8"/>
  <c r="D10" i="8" s="1"/>
  <c r="S27" i="2"/>
  <c r="B20" i="4"/>
  <c r="B3" i="4"/>
  <c r="H21" i="2"/>
  <c r="C21" i="2"/>
  <c r="C20" i="4" s="1"/>
  <c r="C22" i="2"/>
  <c r="C24" i="2"/>
  <c r="C23" i="4" s="1"/>
  <c r="B5" i="8"/>
  <c r="D5" i="8" s="1"/>
  <c r="B6" i="8"/>
  <c r="D6" i="8" s="1"/>
  <c r="B7" i="8"/>
  <c r="D7" i="8" s="1"/>
  <c r="B11" i="8"/>
  <c r="D11" i="8" s="1"/>
  <c r="B12" i="8"/>
  <c r="D12" i="8" s="1"/>
  <c r="B13" i="8"/>
  <c r="D13" i="8" s="1"/>
  <c r="B14" i="8"/>
  <c r="D14" i="8" s="1"/>
  <c r="B15" i="8"/>
  <c r="D15" i="8" s="1"/>
  <c r="B16" i="8"/>
  <c r="D16" i="8" s="1"/>
  <c r="B17" i="8"/>
  <c r="D17" i="8" s="1"/>
  <c r="B18" i="8"/>
  <c r="D18" i="8" s="1"/>
  <c r="B19" i="8"/>
  <c r="D19" i="8" s="1"/>
  <c r="B20" i="8"/>
  <c r="D20" i="8" s="1"/>
  <c r="B21" i="8"/>
  <c r="D21" i="8" s="1"/>
  <c r="B22" i="8"/>
  <c r="D22" i="8" s="1"/>
  <c r="B23" i="8"/>
  <c r="D23" i="8" s="1"/>
  <c r="B24" i="8"/>
  <c r="D24" i="8" s="1"/>
  <c r="B25" i="8"/>
  <c r="D25" i="8" s="1"/>
  <c r="B26" i="8"/>
  <c r="D26" i="8" s="1"/>
  <c r="B27" i="8"/>
  <c r="D27" i="8" s="1"/>
  <c r="B28" i="8"/>
  <c r="D28" i="8" s="1"/>
  <c r="B29" i="8"/>
  <c r="D29" i="8" s="1"/>
  <c r="B30" i="8"/>
  <c r="D30" i="8" s="1"/>
  <c r="B31" i="8"/>
  <c r="D31" i="8" s="1"/>
  <c r="B33" i="8"/>
  <c r="D33" i="8" s="1"/>
  <c r="B34" i="8"/>
  <c r="D34" i="8" s="1"/>
  <c r="G33" i="6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13" i="2"/>
  <c r="B14" i="2"/>
  <c r="B15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A34" i="8"/>
  <c r="C33" i="4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S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J7" i="4" l="1"/>
  <c r="D16" i="3"/>
  <c r="D7" i="3"/>
  <c r="L10" i="3"/>
  <c r="D22" i="3"/>
  <c r="V4" i="8"/>
  <c r="G8" i="4"/>
  <c r="G7" i="4"/>
  <c r="L8" i="3"/>
  <c r="V25" i="2"/>
  <c r="M24" i="3" s="1"/>
  <c r="V34" i="2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L3" i="3"/>
  <c r="I21" i="4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E8" i="3"/>
  <c r="F8" i="4"/>
  <c r="J23" i="3"/>
  <c r="I31" i="4"/>
  <c r="L32" i="8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V32" i="8"/>
  <c r="Y32" i="8"/>
  <c r="Z32" i="8" s="1"/>
  <c r="H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<sst xmlns="http://schemas.openxmlformats.org/spreadsheetml/2006/main" count="203" uniqueCount="130">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</sst>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-477209.99999999994</c:v>
                </c:pt>
                <c:pt idx="1">
                  <c:v>-2682200</c:v>
                </c:pt>
                <c:pt idx="2">
                  <c:v>-259910.00000000003</c:v>
                </c:pt>
                <c:pt idx="3">
                  <c:v>-985210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-57642</c:v>
                </c:pt>
                <c:pt idx="1">
                  <c:v>0.16722221738714196</c:v>
                </c:pt>
                <c:pt idx="2" formatCode="_(* #,##0.00_);_(* \(#,##0.00\);_(* &quot;-&quot;??_);_(@_)">
                  <c:v>-219232</c:v>
                </c:pt>
                <c:pt idx="3">
                  <c:v>0.63600258773494867</c:v>
                </c:pt>
                <c:pt idx="4" formatCode="0.00">
                  <c:v>-28505</c:v>
                </c:pt>
                <c:pt idx="5">
                  <c:v>8.2694377478583006E-2</c:v>
                </c:pt>
                <c:pt idx="6" formatCode="0.00">
                  <c:v>-39115</c:v>
                </c:pt>
                <c:pt idx="7">
                  <c:v>0.11347449833624888</c:v>
                </c:pt>
                <c:pt idx="8" formatCode="0.00">
                  <c:v>-6919</c:v>
                </c:pt>
                <c:pt idx="9">
                  <c:v>2.0072352140828482E-2</c:v>
                </c:pt>
                <c:pt idx="10" formatCode="0.00">
                  <c:v>-1088</c:v>
                </c:pt>
                <c:pt idx="11">
                  <c:v>3.1563403857813826E-3</c:v>
                </c:pt>
                <c:pt idx="12" formatCode="0.00">
                  <c:v>-8025</c:v>
                </c:pt>
                <c:pt idx="13">
                  <c:v>2.3280911393286394E-2</c:v>
                </c:pt>
                <c:pt idx="14" formatCode="_(* #,##0.00_);_(* \(#,##0.00\);_(* &quot;-&quot;??_);_(@_)">
                  <c:v>-25946</c:v>
                </c:pt>
                <c:pt idx="15">
                  <c:v>7.5270595266069634E-2</c:v>
                </c:pt>
                <c:pt idx="16" formatCode="0.00">
                  <c:v>-1801</c:v>
                </c:pt>
                <c:pt idx="17">
                  <c:v>5.2247877158017189E-3</c:v>
                </c:pt>
                <c:pt idx="18" formatCode="0.00">
                  <c:v>-6919</c:v>
                </c:pt>
                <c:pt idx="19">
                  <c:v>2.0072352140828482E-2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1897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-344703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-395192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022592"/>
        <c:axId val="233024128"/>
      </c:barChart>
      <c:catAx>
        <c:axId val="233022592"/>
        <c:scaling>
          <c:orientation val="minMax"/>
        </c:scaling>
        <c:delete val="1"/>
        <c:axPos val="b"/>
        <c:majorTickMark val="none"/>
        <c:minorTickMark val="none"/>
        <c:tickLblPos val="nextTo"/>
        <c:crossAx val="233024128"/>
        <c:crosses val="autoZero"/>
        <c:auto val="1"/>
        <c:lblAlgn val="ctr"/>
        <c:lblOffset val="100"/>
        <c:noMultiLvlLbl val="0"/>
      </c:catAx>
      <c:valAx>
        <c:axId val="23302412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33022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I2" sqref="I2:I7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21" t="s">
        <v>4</v>
      </c>
      <c r="F1" s="115" t="s">
        <v>5</v>
      </c>
      <c r="G1" s="40" t="s">
        <v>129</v>
      </c>
      <c r="H1" s="116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11</v>
      </c>
      <c r="D2" s="119">
        <v>2021</v>
      </c>
      <c r="E2" s="104">
        <v>22899.999999999862</v>
      </c>
      <c r="F2" s="120">
        <v>0.18</v>
      </c>
      <c r="G2" s="104">
        <v>5856</v>
      </c>
      <c r="H2" s="117">
        <v>0.63500000000000001</v>
      </c>
      <c r="I2" s="63">
        <v>281</v>
      </c>
      <c r="J2" s="73">
        <v>1.8</v>
      </c>
      <c r="K2" s="101"/>
      <c r="L2" s="73">
        <v>0.9</v>
      </c>
      <c r="M2" s="69">
        <v>45</v>
      </c>
      <c r="N2" s="69">
        <v>117</v>
      </c>
      <c r="O2" s="69">
        <v>324</v>
      </c>
    </row>
    <row r="3" spans="1:15" ht="15" x14ac:dyDescent="0.25">
      <c r="A3" s="44" t="s">
        <v>9</v>
      </c>
      <c r="B3" s="45">
        <f>B2+1</f>
        <v>2</v>
      </c>
      <c r="C3" s="46">
        <v>11</v>
      </c>
      <c r="D3" s="119">
        <v>2021</v>
      </c>
      <c r="E3" s="104">
        <v>22119.999999998297</v>
      </c>
      <c r="F3" s="120">
        <v>0.18</v>
      </c>
      <c r="G3" s="104">
        <v>6334</v>
      </c>
      <c r="H3" s="117">
        <v>0.63500000000000001</v>
      </c>
      <c r="I3" s="63">
        <v>285</v>
      </c>
      <c r="J3" s="73">
        <v>1.8</v>
      </c>
      <c r="K3" s="101"/>
      <c r="L3" s="73">
        <v>0.9</v>
      </c>
      <c r="M3" s="69">
        <v>49</v>
      </c>
      <c r="N3" s="69">
        <v>125</v>
      </c>
      <c r="O3" s="69">
        <v>360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11</v>
      </c>
      <c r="D4" s="119">
        <v>2021</v>
      </c>
      <c r="E4" s="104">
        <v>17889.999999999643</v>
      </c>
      <c r="F4" s="120">
        <v>0.18</v>
      </c>
      <c r="G4" s="104">
        <v>4984</v>
      </c>
      <c r="H4" s="117">
        <v>0.63500000000000001</v>
      </c>
      <c r="I4" s="63">
        <v>270</v>
      </c>
      <c r="J4" s="73">
        <v>1.8</v>
      </c>
      <c r="K4" s="101"/>
      <c r="L4" s="73">
        <v>0.9</v>
      </c>
      <c r="M4" s="69">
        <v>51</v>
      </c>
      <c r="N4" s="69">
        <v>126</v>
      </c>
      <c r="O4" s="69">
        <v>330</v>
      </c>
    </row>
    <row r="5" spans="1:15" ht="15" x14ac:dyDescent="0.25">
      <c r="A5" s="44" t="s">
        <v>9</v>
      </c>
      <c r="B5" s="45">
        <f t="shared" si="0"/>
        <v>4</v>
      </c>
      <c r="C5" s="46">
        <v>11</v>
      </c>
      <c r="D5" s="119">
        <v>2021</v>
      </c>
      <c r="E5" s="104">
        <v>18870.000000001935</v>
      </c>
      <c r="F5" s="120">
        <v>0.18</v>
      </c>
      <c r="G5" s="104">
        <v>5030</v>
      </c>
      <c r="H5" s="117">
        <v>0.63500000000000001</v>
      </c>
      <c r="I5" s="63">
        <v>235</v>
      </c>
      <c r="J5" s="73">
        <v>1.8</v>
      </c>
      <c r="K5" s="101"/>
      <c r="L5" s="73">
        <v>0.9</v>
      </c>
      <c r="M5" s="69">
        <v>50</v>
      </c>
      <c r="N5" s="69">
        <v>127</v>
      </c>
      <c r="O5" s="69">
        <v>352</v>
      </c>
    </row>
    <row r="6" spans="1:15" ht="15" x14ac:dyDescent="0.25">
      <c r="A6" s="44" t="s">
        <v>9</v>
      </c>
      <c r="B6" s="45">
        <f t="shared" si="0"/>
        <v>5</v>
      </c>
      <c r="C6" s="46">
        <v>11</v>
      </c>
      <c r="D6" s="119">
        <v>2021</v>
      </c>
      <c r="E6" s="104">
        <v>20169.999999999389</v>
      </c>
      <c r="F6" s="120">
        <v>0.18</v>
      </c>
      <c r="G6" s="104">
        <v>5475</v>
      </c>
      <c r="H6" s="117">
        <v>0.63500000000000001</v>
      </c>
      <c r="I6" s="63">
        <v>330</v>
      </c>
      <c r="J6" s="73">
        <v>1.8</v>
      </c>
      <c r="K6" s="101"/>
      <c r="L6" s="73">
        <v>0.9</v>
      </c>
      <c r="M6" s="69">
        <v>52</v>
      </c>
      <c r="N6" s="69">
        <v>124</v>
      </c>
      <c r="O6" s="69">
        <v>372</v>
      </c>
    </row>
    <row r="7" spans="1:15" ht="15" x14ac:dyDescent="0.25">
      <c r="A7" s="44" t="s">
        <v>9</v>
      </c>
      <c r="B7" s="45">
        <f t="shared" si="0"/>
        <v>6</v>
      </c>
      <c r="C7" s="46">
        <v>11</v>
      </c>
      <c r="D7" s="119">
        <v>2021</v>
      </c>
      <c r="E7" s="104">
        <v>21860.000000001037</v>
      </c>
      <c r="F7" s="120">
        <v>0.18</v>
      </c>
      <c r="G7" s="104">
        <v>5959</v>
      </c>
      <c r="H7" s="117">
        <v>0.63500000000000001</v>
      </c>
      <c r="I7" s="63">
        <v>308</v>
      </c>
      <c r="J7" s="73">
        <v>1.8</v>
      </c>
      <c r="K7" s="101"/>
      <c r="L7" s="73">
        <v>0.9</v>
      </c>
      <c r="M7" s="69"/>
      <c r="N7" s="69"/>
      <c r="O7" s="69"/>
    </row>
    <row r="8" spans="1:15" ht="15" x14ac:dyDescent="0.25">
      <c r="A8" s="44" t="s">
        <v>9</v>
      </c>
      <c r="B8" s="45">
        <f t="shared" si="0"/>
        <v>7</v>
      </c>
      <c r="C8" s="46">
        <v>11</v>
      </c>
      <c r="D8" s="119">
        <v>2021</v>
      </c>
      <c r="E8" s="104"/>
      <c r="F8" s="120">
        <v>0.18</v>
      </c>
      <c r="G8" s="104"/>
      <c r="H8" s="117">
        <v>0.63500000000000001</v>
      </c>
      <c r="I8" s="63"/>
      <c r="J8" s="73">
        <v>1.8</v>
      </c>
      <c r="K8" s="101"/>
      <c r="L8" s="73">
        <v>0.9</v>
      </c>
      <c r="M8" s="69"/>
      <c r="N8" s="69"/>
      <c r="O8" s="69"/>
    </row>
    <row r="9" spans="1:15" ht="15" x14ac:dyDescent="0.25">
      <c r="A9" s="44" t="s">
        <v>9</v>
      </c>
      <c r="B9" s="45">
        <f t="shared" si="0"/>
        <v>8</v>
      </c>
      <c r="C9" s="46">
        <v>11</v>
      </c>
      <c r="D9" s="119">
        <v>2021</v>
      </c>
      <c r="E9" s="104"/>
      <c r="F9" s="120">
        <v>0.18</v>
      </c>
      <c r="G9" s="104"/>
      <c r="H9" s="117">
        <v>0.63500000000000001</v>
      </c>
      <c r="I9" s="63"/>
      <c r="J9" s="73">
        <v>1.8</v>
      </c>
      <c r="K9" s="101"/>
      <c r="L9" s="73">
        <v>0.9</v>
      </c>
      <c r="M9" s="69"/>
      <c r="N9" s="69"/>
      <c r="O9" s="69"/>
    </row>
    <row r="10" spans="1:15" ht="15" x14ac:dyDescent="0.25">
      <c r="A10" s="44" t="s">
        <v>9</v>
      </c>
      <c r="B10" s="45">
        <f t="shared" si="0"/>
        <v>9</v>
      </c>
      <c r="C10" s="46">
        <v>11</v>
      </c>
      <c r="D10" s="119">
        <v>2021</v>
      </c>
      <c r="E10" s="104"/>
      <c r="F10" s="120">
        <v>0.18</v>
      </c>
      <c r="G10" s="104"/>
      <c r="H10" s="117">
        <v>0.63500000000000001</v>
      </c>
      <c r="I10" s="63"/>
      <c r="J10" s="73">
        <v>1.8</v>
      </c>
      <c r="K10" s="101"/>
      <c r="L10" s="73">
        <v>0.9</v>
      </c>
      <c r="M10" s="69"/>
      <c r="N10" s="69"/>
      <c r="O10" s="69"/>
    </row>
    <row r="11" spans="1:15" ht="15" x14ac:dyDescent="0.25">
      <c r="A11" s="44" t="s">
        <v>9</v>
      </c>
      <c r="B11" s="45">
        <f t="shared" si="0"/>
        <v>10</v>
      </c>
      <c r="C11" s="46">
        <v>11</v>
      </c>
      <c r="D11" s="119">
        <v>2021</v>
      </c>
      <c r="E11" s="104"/>
      <c r="F11" s="120">
        <v>0.18</v>
      </c>
      <c r="G11" s="104"/>
      <c r="H11" s="117">
        <v>0.63500000000000001</v>
      </c>
      <c r="I11" s="63"/>
      <c r="J11" s="73">
        <v>1.8</v>
      </c>
      <c r="K11" s="101"/>
      <c r="L11" s="73">
        <v>0.9</v>
      </c>
      <c r="M11" s="69"/>
      <c r="N11" s="69"/>
      <c r="O11" s="69"/>
    </row>
    <row r="12" spans="1:15" ht="15" x14ac:dyDescent="0.25">
      <c r="A12" s="44" t="s">
        <v>9</v>
      </c>
      <c r="B12" s="45">
        <f t="shared" si="0"/>
        <v>11</v>
      </c>
      <c r="C12" s="46">
        <v>11</v>
      </c>
      <c r="D12" s="119">
        <v>2021</v>
      </c>
      <c r="E12" s="104"/>
      <c r="F12" s="120">
        <v>0.18</v>
      </c>
      <c r="G12" s="104"/>
      <c r="H12" s="117">
        <v>0.63500000000000001</v>
      </c>
      <c r="I12" s="63"/>
      <c r="J12" s="73">
        <v>1.8</v>
      </c>
      <c r="K12" s="101"/>
      <c r="L12" s="73">
        <v>0.9</v>
      </c>
      <c r="M12" s="69"/>
      <c r="N12" s="69"/>
      <c r="O12" s="69"/>
    </row>
    <row r="13" spans="1:15" ht="15" x14ac:dyDescent="0.25">
      <c r="A13" s="44" t="s">
        <v>9</v>
      </c>
      <c r="B13" s="45">
        <f t="shared" si="0"/>
        <v>12</v>
      </c>
      <c r="C13" s="46">
        <v>11</v>
      </c>
      <c r="D13" s="119">
        <v>2021</v>
      </c>
      <c r="E13" s="104"/>
      <c r="F13" s="120">
        <v>0.18</v>
      </c>
      <c r="G13" s="104"/>
      <c r="H13" s="117">
        <v>0.63500000000000001</v>
      </c>
      <c r="I13" s="63"/>
      <c r="J13" s="73">
        <v>1.8</v>
      </c>
      <c r="K13" s="101"/>
      <c r="L13" s="73">
        <v>0.9</v>
      </c>
      <c r="M13" s="69"/>
      <c r="N13" s="69"/>
      <c r="O13" s="69"/>
    </row>
    <row r="14" spans="1:15" ht="15" x14ac:dyDescent="0.25">
      <c r="A14" s="44" t="s">
        <v>9</v>
      </c>
      <c r="B14" s="45">
        <f t="shared" si="0"/>
        <v>13</v>
      </c>
      <c r="C14" s="46">
        <v>11</v>
      </c>
      <c r="D14" s="119">
        <v>2021</v>
      </c>
      <c r="E14" s="104"/>
      <c r="F14" s="120">
        <v>0.18</v>
      </c>
      <c r="G14" s="104"/>
      <c r="H14" s="117">
        <v>0.63500000000000001</v>
      </c>
      <c r="I14" s="63"/>
      <c r="J14" s="73">
        <v>1.8</v>
      </c>
      <c r="K14" s="101"/>
      <c r="L14" s="73">
        <v>0.9</v>
      </c>
      <c r="M14" s="69"/>
      <c r="N14" s="69"/>
      <c r="O14" s="69"/>
    </row>
    <row r="15" spans="1:15" ht="15" x14ac:dyDescent="0.25">
      <c r="A15" s="44" t="s">
        <v>9</v>
      </c>
      <c r="B15" s="45">
        <f t="shared" si="0"/>
        <v>14</v>
      </c>
      <c r="C15" s="46">
        <v>11</v>
      </c>
      <c r="D15" s="119">
        <v>2021</v>
      </c>
      <c r="E15" s="104"/>
      <c r="F15" s="120">
        <v>0.18</v>
      </c>
      <c r="G15" s="104"/>
      <c r="H15" s="117">
        <v>0.63500000000000001</v>
      </c>
      <c r="I15" s="63"/>
      <c r="J15" s="73">
        <v>1.8</v>
      </c>
      <c r="K15" s="101"/>
      <c r="L15" s="73">
        <v>0.9</v>
      </c>
      <c r="M15" s="69"/>
      <c r="N15" s="69"/>
      <c r="O15" s="69"/>
    </row>
    <row r="16" spans="1:15" ht="15" x14ac:dyDescent="0.25">
      <c r="A16" s="44" t="s">
        <v>9</v>
      </c>
      <c r="B16" s="45">
        <f t="shared" si="0"/>
        <v>15</v>
      </c>
      <c r="C16" s="46">
        <v>11</v>
      </c>
      <c r="D16" s="119">
        <v>2021</v>
      </c>
      <c r="E16" s="104"/>
      <c r="F16" s="120">
        <v>0.18</v>
      </c>
      <c r="G16" s="104"/>
      <c r="H16" s="117">
        <v>0.63500000000000001</v>
      </c>
      <c r="I16" s="63"/>
      <c r="J16" s="73">
        <v>1.8</v>
      </c>
      <c r="K16" s="101"/>
      <c r="L16" s="73">
        <v>0.9</v>
      </c>
      <c r="M16" s="69"/>
      <c r="N16" s="69"/>
      <c r="O16" s="69"/>
    </row>
    <row r="17" spans="1:15" ht="15" x14ac:dyDescent="0.25">
      <c r="A17" s="44" t="s">
        <v>9</v>
      </c>
      <c r="B17" s="45">
        <f t="shared" si="0"/>
        <v>16</v>
      </c>
      <c r="C17" s="46">
        <v>11</v>
      </c>
      <c r="D17" s="119">
        <v>2021</v>
      </c>
      <c r="E17" s="104"/>
      <c r="F17" s="120">
        <v>0.18</v>
      </c>
      <c r="G17" s="104"/>
      <c r="H17" s="117">
        <v>0.63500000000000001</v>
      </c>
      <c r="I17" s="63"/>
      <c r="J17" s="73">
        <v>1.8</v>
      </c>
      <c r="K17" s="101"/>
      <c r="L17" s="73">
        <v>0.9</v>
      </c>
      <c r="M17" s="69"/>
      <c r="N17" s="69"/>
      <c r="O17" s="69"/>
    </row>
    <row r="18" spans="1:15" ht="15" x14ac:dyDescent="0.25">
      <c r="A18" s="44" t="s">
        <v>9</v>
      </c>
      <c r="B18" s="45">
        <f t="shared" si="0"/>
        <v>17</v>
      </c>
      <c r="C18" s="46">
        <v>11</v>
      </c>
      <c r="D18" s="119">
        <v>2021</v>
      </c>
      <c r="E18" s="104"/>
      <c r="F18" s="120">
        <v>0.18</v>
      </c>
      <c r="G18" s="104"/>
      <c r="H18" s="117">
        <v>0.63500000000000001</v>
      </c>
      <c r="I18" s="63"/>
      <c r="J18" s="73">
        <v>1.8</v>
      </c>
      <c r="K18" s="101"/>
      <c r="L18" s="73">
        <v>0.9</v>
      </c>
      <c r="M18" s="69"/>
      <c r="N18" s="69"/>
      <c r="O18" s="69"/>
    </row>
    <row r="19" spans="1:15" ht="15" x14ac:dyDescent="0.25">
      <c r="A19" s="44" t="s">
        <v>9</v>
      </c>
      <c r="B19" s="45">
        <f t="shared" si="0"/>
        <v>18</v>
      </c>
      <c r="C19" s="46">
        <v>11</v>
      </c>
      <c r="D19" s="119">
        <v>2021</v>
      </c>
      <c r="E19" s="104"/>
      <c r="F19" s="120">
        <v>0.18</v>
      </c>
      <c r="G19" s="104"/>
      <c r="H19" s="117">
        <v>0.63500000000000001</v>
      </c>
      <c r="I19" s="63"/>
      <c r="J19" s="73">
        <v>1.8</v>
      </c>
      <c r="K19" s="101"/>
      <c r="L19" s="73">
        <v>0.9</v>
      </c>
      <c r="M19" s="69"/>
      <c r="N19" s="69"/>
      <c r="O19" s="69"/>
    </row>
    <row r="20" spans="1:15" ht="15" x14ac:dyDescent="0.25">
      <c r="A20" s="44" t="s">
        <v>9</v>
      </c>
      <c r="B20" s="45">
        <f t="shared" si="0"/>
        <v>19</v>
      </c>
      <c r="C20" s="46">
        <v>11</v>
      </c>
      <c r="D20" s="119">
        <v>2021</v>
      </c>
      <c r="E20" s="104"/>
      <c r="F20" s="120">
        <v>0.18</v>
      </c>
      <c r="G20" s="104"/>
      <c r="H20" s="117">
        <v>0.63500000000000001</v>
      </c>
      <c r="I20" s="63"/>
      <c r="J20" s="73">
        <v>1.8</v>
      </c>
      <c r="K20" s="101"/>
      <c r="L20" s="73">
        <v>0.9</v>
      </c>
      <c r="M20" s="69"/>
      <c r="N20" s="69"/>
      <c r="O20" s="69"/>
    </row>
    <row r="21" spans="1:15" ht="15" x14ac:dyDescent="0.25">
      <c r="A21" s="44" t="s">
        <v>9</v>
      </c>
      <c r="B21" s="45">
        <f t="shared" si="0"/>
        <v>20</v>
      </c>
      <c r="C21" s="46">
        <v>11</v>
      </c>
      <c r="D21" s="119">
        <v>2021</v>
      </c>
      <c r="E21" s="104"/>
      <c r="F21" s="120">
        <v>0.18</v>
      </c>
      <c r="G21" s="104"/>
      <c r="H21" s="117">
        <v>0.63500000000000001</v>
      </c>
      <c r="I21" s="63"/>
      <c r="J21" s="73">
        <v>1.8</v>
      </c>
      <c r="K21" s="101"/>
      <c r="L21" s="73">
        <v>0.9</v>
      </c>
      <c r="M21" s="69"/>
      <c r="N21" s="69"/>
      <c r="O21" s="69"/>
    </row>
    <row r="22" spans="1:15" ht="15" x14ac:dyDescent="0.25">
      <c r="A22" s="44" t="s">
        <v>9</v>
      </c>
      <c r="B22" s="45">
        <f t="shared" si="0"/>
        <v>21</v>
      </c>
      <c r="C22" s="46">
        <v>11</v>
      </c>
      <c r="D22" s="119">
        <v>2021</v>
      </c>
      <c r="E22" s="104"/>
      <c r="F22" s="120">
        <v>0.18</v>
      </c>
      <c r="G22" s="104"/>
      <c r="H22" s="117">
        <v>0.63500000000000001</v>
      </c>
      <c r="I22" s="63"/>
      <c r="J22" s="73">
        <v>1.8</v>
      </c>
      <c r="K22" s="101"/>
      <c r="L22" s="73">
        <v>0.9</v>
      </c>
      <c r="M22" s="69"/>
      <c r="N22" s="69"/>
      <c r="O22" s="69"/>
    </row>
    <row r="23" spans="1:15" ht="15" x14ac:dyDescent="0.25">
      <c r="A23" s="44" t="s">
        <v>9</v>
      </c>
      <c r="B23" s="45">
        <f t="shared" si="0"/>
        <v>22</v>
      </c>
      <c r="C23" s="46">
        <v>11</v>
      </c>
      <c r="D23" s="119">
        <v>2021</v>
      </c>
      <c r="E23" s="104"/>
      <c r="F23" s="120">
        <v>0.18</v>
      </c>
      <c r="G23" s="104"/>
      <c r="H23" s="117">
        <v>0.63500000000000001</v>
      </c>
      <c r="I23" s="63"/>
      <c r="J23" s="73">
        <v>1.8</v>
      </c>
      <c r="K23" s="101"/>
      <c r="L23" s="73">
        <v>0.9</v>
      </c>
      <c r="M23" s="69"/>
      <c r="N23" s="69"/>
      <c r="O23" s="69"/>
    </row>
    <row r="24" spans="1:15" ht="15" x14ac:dyDescent="0.25">
      <c r="A24" s="44" t="s">
        <v>9</v>
      </c>
      <c r="B24" s="45">
        <f t="shared" si="0"/>
        <v>23</v>
      </c>
      <c r="C24" s="46">
        <v>11</v>
      </c>
      <c r="D24" s="119">
        <v>2021</v>
      </c>
      <c r="E24" s="104"/>
      <c r="F24" s="120">
        <v>0.18</v>
      </c>
      <c r="G24" s="104"/>
      <c r="H24" s="117">
        <v>0.63500000000000001</v>
      </c>
      <c r="I24" s="63"/>
      <c r="J24" s="73">
        <v>1.8</v>
      </c>
      <c r="K24" s="101"/>
      <c r="L24" s="73">
        <v>0.9</v>
      </c>
      <c r="M24" s="69"/>
      <c r="N24" s="69"/>
      <c r="O24" s="69"/>
    </row>
    <row r="25" spans="1:15" ht="15" x14ac:dyDescent="0.25">
      <c r="A25" s="44" t="s">
        <v>9</v>
      </c>
      <c r="B25" s="45">
        <f t="shared" si="0"/>
        <v>24</v>
      </c>
      <c r="C25" s="46">
        <v>11</v>
      </c>
      <c r="D25" s="119">
        <v>2021</v>
      </c>
      <c r="E25" s="104"/>
      <c r="F25" s="120">
        <v>0.18</v>
      </c>
      <c r="G25" s="104"/>
      <c r="H25" s="117">
        <v>0.63500000000000001</v>
      </c>
      <c r="I25" s="63"/>
      <c r="J25" s="73">
        <v>1.8</v>
      </c>
      <c r="K25" s="101"/>
      <c r="L25" s="73">
        <v>0.9</v>
      </c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11</v>
      </c>
      <c r="D26" s="119">
        <v>2021</v>
      </c>
      <c r="E26" s="104"/>
      <c r="F26" s="120">
        <v>0.18</v>
      </c>
      <c r="G26" s="104"/>
      <c r="H26" s="117">
        <v>0.63500000000000001</v>
      </c>
      <c r="I26" s="63"/>
      <c r="J26" s="73">
        <v>1.8</v>
      </c>
      <c r="K26" s="101"/>
      <c r="L26" s="73">
        <v>0.9</v>
      </c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11</v>
      </c>
      <c r="D27" s="119">
        <v>2021</v>
      </c>
      <c r="E27" s="104"/>
      <c r="F27" s="120">
        <v>0.18</v>
      </c>
      <c r="G27" s="104"/>
      <c r="H27" s="117">
        <v>0.63500000000000001</v>
      </c>
      <c r="I27" s="63"/>
      <c r="J27" s="73">
        <v>1.8</v>
      </c>
      <c r="K27" s="101"/>
      <c r="L27" s="73">
        <v>0.9</v>
      </c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11</v>
      </c>
      <c r="D28" s="119">
        <v>2021</v>
      </c>
      <c r="E28" s="104"/>
      <c r="F28" s="120">
        <v>0.18</v>
      </c>
      <c r="G28" s="104"/>
      <c r="H28" s="117">
        <v>0.63500000000000001</v>
      </c>
      <c r="I28" s="63"/>
      <c r="J28" s="73">
        <v>1.8</v>
      </c>
      <c r="K28" s="101"/>
      <c r="L28" s="73">
        <v>0.9</v>
      </c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11</v>
      </c>
      <c r="D29" s="119">
        <v>2021</v>
      </c>
      <c r="E29" s="104"/>
      <c r="F29" s="120">
        <v>0.18</v>
      </c>
      <c r="G29" s="104"/>
      <c r="H29" s="117">
        <v>0.63500000000000001</v>
      </c>
      <c r="I29" s="63"/>
      <c r="J29" s="73">
        <v>1.8</v>
      </c>
      <c r="K29" s="101"/>
      <c r="L29" s="73">
        <v>0.9</v>
      </c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11</v>
      </c>
      <c r="D30" s="119">
        <v>2021</v>
      </c>
      <c r="E30" s="104"/>
      <c r="F30" s="120">
        <v>0.18</v>
      </c>
      <c r="G30" s="104"/>
      <c r="H30" s="117">
        <v>0.63500000000000001</v>
      </c>
      <c r="I30" s="63"/>
      <c r="J30" s="73">
        <v>1.8</v>
      </c>
      <c r="K30" s="101"/>
      <c r="L30" s="73">
        <v>0.9</v>
      </c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11</v>
      </c>
      <c r="D31" s="119">
        <v>2021</v>
      </c>
      <c r="E31" s="100"/>
      <c r="F31" s="120">
        <v>0.18</v>
      </c>
      <c r="G31" s="100"/>
      <c r="H31" s="117">
        <v>0.63500000000000001</v>
      </c>
      <c r="I31" s="63"/>
      <c r="J31" s="73">
        <v>1.8</v>
      </c>
      <c r="K31" s="101"/>
      <c r="L31" s="73">
        <v>0.9</v>
      </c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11</v>
      </c>
      <c r="D32" s="119">
        <v>2021</v>
      </c>
      <c r="E32" s="100"/>
      <c r="F32" s="120">
        <v>0.18</v>
      </c>
      <c r="G32" s="100"/>
      <c r="H32" s="117">
        <v>0.63500000000000001</v>
      </c>
      <c r="I32" s="63"/>
      <c r="J32" s="73">
        <v>1.8</v>
      </c>
      <c r="K32" s="101"/>
      <c r="L32" s="73">
        <v>0.9</v>
      </c>
      <c r="M32" s="69"/>
      <c r="N32" s="69"/>
      <c r="O32" s="69"/>
    </row>
    <row r="33" spans="1:15" ht="18.75" customHeight="1" x14ac:dyDescent="0.2">
      <c r="A33" s="123" t="s">
        <v>52</v>
      </c>
      <c r="B33" s="123"/>
      <c r="C33" s="123"/>
      <c r="D33" s="123"/>
      <c r="E33" s="118">
        <f>SUM(E2:E32)</f>
        <v>123810.00000000016</v>
      </c>
      <c r="F33" s="97">
        <v>0</v>
      </c>
      <c r="G33" s="118">
        <f>SUM(G2:G32)</f>
        <v>33638</v>
      </c>
      <c r="H33" s="95">
        <v>0</v>
      </c>
      <c r="I33" s="96">
        <f>SUM(I2:I32)</f>
        <v>1709</v>
      </c>
      <c r="J33" s="97">
        <v>0</v>
      </c>
      <c r="K33" s="98">
        <f>SUM(K2:K32)</f>
        <v>0</v>
      </c>
      <c r="L33" s="95">
        <v>0</v>
      </c>
      <c r="M33" s="99">
        <f t="shared" ref="M33:O33" si="1">SUM(M2:M32)</f>
        <v>247</v>
      </c>
      <c r="N33" s="99">
        <f t="shared" si="1"/>
        <v>619</v>
      </c>
      <c r="O33" s="99">
        <f t="shared" si="1"/>
        <v>1738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T10" sqref="T10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7" t="s">
        <v>10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74"/>
      <c r="V1" s="74"/>
    </row>
    <row r="2" spans="1:25" s="17" customFormat="1" ht="33" customHeight="1" x14ac:dyDescent="0.25">
      <c r="A2" s="28" t="s">
        <v>2</v>
      </c>
      <c r="B2" s="124" t="s">
        <v>126</v>
      </c>
      <c r="C2" s="124" t="s">
        <v>11</v>
      </c>
      <c r="D2" s="124" t="s">
        <v>12</v>
      </c>
      <c r="E2" s="124" t="s">
        <v>13</v>
      </c>
      <c r="F2" s="124" t="s">
        <v>14</v>
      </c>
      <c r="G2" s="129" t="s">
        <v>15</v>
      </c>
      <c r="H2" s="131" t="s">
        <v>16</v>
      </c>
      <c r="I2" s="124" t="s">
        <v>17</v>
      </c>
      <c r="J2" s="134" t="s">
        <v>18</v>
      </c>
      <c r="K2" s="135"/>
      <c r="L2" s="136"/>
      <c r="M2" s="129" t="s">
        <v>19</v>
      </c>
      <c r="N2" s="131" t="s">
        <v>20</v>
      </c>
      <c r="O2" s="132" t="s">
        <v>21</v>
      </c>
      <c r="P2" s="131" t="s">
        <v>22</v>
      </c>
      <c r="Q2" s="137" t="s">
        <v>23</v>
      </c>
      <c r="R2" s="124" t="s">
        <v>24</v>
      </c>
      <c r="S2" s="124" t="s">
        <v>25</v>
      </c>
      <c r="T2" s="124" t="s">
        <v>26</v>
      </c>
      <c r="V2" s="126" t="s">
        <v>6</v>
      </c>
      <c r="W2" s="126" t="s">
        <v>7</v>
      </c>
      <c r="X2" s="126" t="s">
        <v>8</v>
      </c>
    </row>
    <row r="3" spans="1:25" s="17" customFormat="1" ht="45" customHeight="1" x14ac:dyDescent="0.25">
      <c r="A3" s="29"/>
      <c r="B3" s="125"/>
      <c r="C3" s="125"/>
      <c r="D3" s="125"/>
      <c r="E3" s="125"/>
      <c r="F3" s="125"/>
      <c r="G3" s="130"/>
      <c r="H3" s="131"/>
      <c r="I3" s="125"/>
      <c r="J3" s="18" t="s">
        <v>27</v>
      </c>
      <c r="K3" s="18" t="s">
        <v>28</v>
      </c>
      <c r="L3" s="18" t="s">
        <v>29</v>
      </c>
      <c r="M3" s="130"/>
      <c r="N3" s="131"/>
      <c r="O3" s="133"/>
      <c r="P3" s="131"/>
      <c r="Q3" s="138"/>
      <c r="R3" s="125"/>
      <c r="S3" s="125"/>
      <c r="T3" s="125"/>
      <c r="V3" s="126"/>
      <c r="W3" s="126"/>
      <c r="X3" s="126"/>
    </row>
    <row r="4" spans="1:25" ht="21" customHeight="1" x14ac:dyDescent="0.25">
      <c r="A4" s="8">
        <v>44501</v>
      </c>
      <c r="B4" s="106">
        <v>1.1428</v>
      </c>
      <c r="C4" s="107">
        <v>259.91000000000003</v>
      </c>
      <c r="D4" s="107">
        <v>7761780.0300000003</v>
      </c>
      <c r="E4" s="107">
        <v>8551552.0500000007</v>
      </c>
      <c r="F4" s="107">
        <v>2.6821999999999999</v>
      </c>
      <c r="G4" s="107">
        <v>850.09</v>
      </c>
      <c r="H4" s="107">
        <v>697.49</v>
      </c>
      <c r="I4" s="107">
        <v>271.94</v>
      </c>
      <c r="J4" s="107">
        <v>350.57</v>
      </c>
      <c r="K4" s="107">
        <v>375.97</v>
      </c>
      <c r="L4" s="107">
        <v>258.67</v>
      </c>
      <c r="M4" s="107">
        <v>612.53</v>
      </c>
      <c r="N4" s="107">
        <v>565.23</v>
      </c>
      <c r="O4" s="107">
        <v>178.93</v>
      </c>
      <c r="P4" s="107">
        <v>738.09</v>
      </c>
      <c r="Q4" s="107">
        <v>545.91999999999996</v>
      </c>
      <c r="R4" s="107">
        <v>189.14</v>
      </c>
      <c r="S4" s="107">
        <v>129.93</v>
      </c>
      <c r="T4" s="107">
        <v>477.21</v>
      </c>
      <c r="V4" s="103">
        <v>45</v>
      </c>
      <c r="W4" s="103">
        <v>117</v>
      </c>
      <c r="X4" s="103">
        <v>324</v>
      </c>
      <c r="Y4" s="17"/>
    </row>
    <row r="5" spans="1:25" ht="21" customHeight="1" x14ac:dyDescent="0.25">
      <c r="A5" s="8">
        <v>44502</v>
      </c>
      <c r="B5" s="108">
        <v>1.1438999999999999</v>
      </c>
      <c r="C5" s="109">
        <v>260.19</v>
      </c>
      <c r="D5" s="109">
        <v>7763758.2199999997</v>
      </c>
      <c r="E5" s="109">
        <v>8554431.5199999996</v>
      </c>
      <c r="F5" s="109">
        <v>2.6850000000000001</v>
      </c>
      <c r="G5" s="109">
        <v>850.87</v>
      </c>
      <c r="H5" s="109">
        <v>698.18</v>
      </c>
      <c r="I5" s="109">
        <v>272.18</v>
      </c>
      <c r="J5" s="109">
        <v>351.09</v>
      </c>
      <c r="K5" s="109">
        <v>376.31</v>
      </c>
      <c r="L5" s="109">
        <v>258.93</v>
      </c>
      <c r="M5" s="109">
        <v>613.41</v>
      </c>
      <c r="N5" s="109">
        <v>566.01</v>
      </c>
      <c r="O5" s="109">
        <v>179.16</v>
      </c>
      <c r="P5" s="109">
        <v>739.17</v>
      </c>
      <c r="Q5" s="109">
        <v>546.73</v>
      </c>
      <c r="R5" s="109">
        <v>189.23</v>
      </c>
      <c r="S5" s="109">
        <v>130.07</v>
      </c>
      <c r="T5" s="109">
        <v>477.69</v>
      </c>
      <c r="V5" s="103">
        <v>49</v>
      </c>
      <c r="W5" s="103">
        <v>125</v>
      </c>
      <c r="X5" s="103">
        <v>360</v>
      </c>
      <c r="Y5" s="17"/>
    </row>
    <row r="6" spans="1:25" ht="21" customHeight="1" x14ac:dyDescent="0.25">
      <c r="A6" s="8">
        <v>44503</v>
      </c>
      <c r="B6" s="108">
        <v>1.145</v>
      </c>
      <c r="C6" s="109">
        <v>260.43</v>
      </c>
      <c r="D6" s="109">
        <v>7765747.6699999999</v>
      </c>
      <c r="E6" s="109">
        <v>8557237.2300000004</v>
      </c>
      <c r="F6" s="109">
        <v>2.6876000000000002</v>
      </c>
      <c r="G6" s="109">
        <v>851.59</v>
      </c>
      <c r="H6" s="109">
        <v>698.82</v>
      </c>
      <c r="I6" s="109">
        <v>272.38</v>
      </c>
      <c r="J6" s="109">
        <v>351.52</v>
      </c>
      <c r="K6" s="109">
        <v>376.62</v>
      </c>
      <c r="L6" s="109">
        <v>259.13</v>
      </c>
      <c r="M6" s="109">
        <v>614.17999999999995</v>
      </c>
      <c r="N6" s="109">
        <v>566.82000000000005</v>
      </c>
      <c r="O6" s="109">
        <v>179.31</v>
      </c>
      <c r="P6" s="109">
        <v>740.22</v>
      </c>
      <c r="Q6" s="109">
        <v>547.41999999999996</v>
      </c>
      <c r="R6" s="109">
        <v>189.45</v>
      </c>
      <c r="S6" s="109">
        <v>130.19999999999999</v>
      </c>
      <c r="T6" s="109">
        <v>478.27</v>
      </c>
      <c r="V6" s="103">
        <v>51</v>
      </c>
      <c r="W6" s="103">
        <v>126</v>
      </c>
      <c r="X6" s="103">
        <v>330</v>
      </c>
      <c r="Y6" s="17"/>
    </row>
    <row r="7" spans="1:25" ht="21" customHeight="1" x14ac:dyDescent="0.25">
      <c r="A7" s="8">
        <v>44504</v>
      </c>
      <c r="B7" s="108">
        <v>1.1459999999999999</v>
      </c>
      <c r="C7" s="109">
        <v>260.70999999999998</v>
      </c>
      <c r="D7" s="109">
        <v>7767251.8600000003</v>
      </c>
      <c r="E7" s="109">
        <v>8559521.8399999999</v>
      </c>
      <c r="F7" s="109">
        <v>2.6901999999999999</v>
      </c>
      <c r="G7" s="109">
        <v>852.28</v>
      </c>
      <c r="H7" s="109">
        <v>699.27</v>
      </c>
      <c r="I7" s="109">
        <v>272.55</v>
      </c>
      <c r="J7" s="109">
        <v>352.04</v>
      </c>
      <c r="K7" s="109">
        <v>376.94</v>
      </c>
      <c r="L7" s="109">
        <v>259.36</v>
      </c>
      <c r="M7" s="109">
        <v>614.82000000000005</v>
      </c>
      <c r="N7" s="109">
        <v>567.42999999999995</v>
      </c>
      <c r="O7" s="109">
        <v>179.47</v>
      </c>
      <c r="P7" s="109">
        <v>741.04</v>
      </c>
      <c r="Q7" s="109">
        <v>547.84</v>
      </c>
      <c r="R7" s="109">
        <v>189.69</v>
      </c>
      <c r="S7" s="109">
        <v>130.33000000000001</v>
      </c>
      <c r="T7" s="109">
        <v>478.7</v>
      </c>
      <c r="V7" s="103">
        <v>50</v>
      </c>
      <c r="W7" s="103">
        <v>127</v>
      </c>
      <c r="X7" s="103">
        <v>352</v>
      </c>
      <c r="Y7" s="17"/>
    </row>
    <row r="8" spans="1:25" ht="21" customHeight="1" x14ac:dyDescent="0.25">
      <c r="A8" s="8">
        <v>44505</v>
      </c>
      <c r="B8" s="108">
        <v>1.147</v>
      </c>
      <c r="C8" s="109">
        <v>260.97000000000003</v>
      </c>
      <c r="D8" s="109">
        <v>7768679.5899999999</v>
      </c>
      <c r="E8" s="109">
        <v>8561347.8499999996</v>
      </c>
      <c r="F8" s="109">
        <v>2.6928999999999998</v>
      </c>
      <c r="G8" s="109">
        <v>852.97</v>
      </c>
      <c r="H8" s="109">
        <v>699.78</v>
      </c>
      <c r="I8" s="109">
        <v>272.74</v>
      </c>
      <c r="J8" s="109">
        <v>352.5</v>
      </c>
      <c r="K8" s="109">
        <v>377.28</v>
      </c>
      <c r="L8" s="109">
        <v>259.60000000000002</v>
      </c>
      <c r="M8" s="109">
        <v>615.47</v>
      </c>
      <c r="N8" s="109">
        <v>568.07000000000005</v>
      </c>
      <c r="O8" s="109">
        <v>179.62</v>
      </c>
      <c r="P8" s="109">
        <v>741.85</v>
      </c>
      <c r="Q8" s="109">
        <v>548.36</v>
      </c>
      <c r="R8" s="109">
        <v>189.85</v>
      </c>
      <c r="S8" s="109">
        <v>130.44999999999999</v>
      </c>
      <c r="T8" s="109">
        <v>478.97</v>
      </c>
      <c r="V8" s="103">
        <v>52</v>
      </c>
      <c r="W8" s="103">
        <v>124</v>
      </c>
      <c r="X8" s="103">
        <v>372</v>
      </c>
      <c r="Y8" s="17"/>
    </row>
    <row r="9" spans="1:25" ht="21" customHeight="1" x14ac:dyDescent="0.25">
      <c r="A9" s="8">
        <v>44506</v>
      </c>
      <c r="B9" s="110">
        <v>1.1480999999999999</v>
      </c>
      <c r="C9" s="111">
        <v>261.22000000000003</v>
      </c>
      <c r="D9" s="110">
        <v>7770392.75</v>
      </c>
      <c r="E9" s="112">
        <v>8563716.2300000004</v>
      </c>
      <c r="F9" s="111">
        <v>2.6953999999999998</v>
      </c>
      <c r="G9" s="110">
        <v>853.71</v>
      </c>
      <c r="H9" s="112">
        <v>700.45</v>
      </c>
      <c r="I9" s="112">
        <v>272.91000000000003</v>
      </c>
      <c r="J9" s="109">
        <v>352.94</v>
      </c>
      <c r="K9" s="109">
        <v>377.6</v>
      </c>
      <c r="L9" s="109">
        <v>259.82</v>
      </c>
      <c r="M9" s="109">
        <v>616.15</v>
      </c>
      <c r="N9" s="109">
        <v>568.84</v>
      </c>
      <c r="O9" s="109">
        <v>179.77</v>
      </c>
      <c r="P9" s="109">
        <v>742.72</v>
      </c>
      <c r="Q9" s="109">
        <v>548.94000000000005</v>
      </c>
      <c r="R9" s="109">
        <v>189.95</v>
      </c>
      <c r="S9" s="109">
        <v>130.57</v>
      </c>
      <c r="T9" s="109">
        <v>479.46</v>
      </c>
      <c r="V9" s="103"/>
      <c r="W9" s="103"/>
      <c r="X9" s="103"/>
      <c r="Y9" s="17"/>
    </row>
    <row r="10" spans="1:25" ht="21" customHeight="1" x14ac:dyDescent="0.25">
      <c r="A10" s="8">
        <v>44507</v>
      </c>
      <c r="B10" s="106">
        <v>1.1491</v>
      </c>
      <c r="C10" s="107">
        <v>261.51</v>
      </c>
      <c r="D10" s="107">
        <v>7772120.6500000004</v>
      </c>
      <c r="E10" s="107">
        <v>8566582.2599999998</v>
      </c>
      <c r="F10" s="107">
        <v>2.6981999999999999</v>
      </c>
      <c r="G10" s="107">
        <v>854.5</v>
      </c>
      <c r="H10" s="107">
        <v>701.15</v>
      </c>
      <c r="I10" s="107">
        <v>273.13</v>
      </c>
      <c r="J10" s="109">
        <v>353.34</v>
      </c>
      <c r="K10" s="109">
        <v>377.97</v>
      </c>
      <c r="L10" s="109">
        <v>260.06</v>
      </c>
      <c r="M10" s="109">
        <v>616.97</v>
      </c>
      <c r="N10" s="109">
        <v>569.75</v>
      </c>
      <c r="O10" s="109">
        <v>179.89</v>
      </c>
      <c r="P10" s="109">
        <v>743.72</v>
      </c>
      <c r="Q10" s="109">
        <v>549.67999999999995</v>
      </c>
      <c r="R10" s="109">
        <v>190.05</v>
      </c>
      <c r="S10" s="109">
        <v>130.69</v>
      </c>
      <c r="T10" s="109">
        <v>479.98</v>
      </c>
      <c r="V10" s="103"/>
      <c r="W10" s="103"/>
      <c r="X10" s="103"/>
      <c r="Y10" s="17"/>
    </row>
    <row r="11" spans="1:25" ht="21" customHeight="1" x14ac:dyDescent="0.25">
      <c r="A11" s="8">
        <v>44508</v>
      </c>
      <c r="B11" s="108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V11" s="103"/>
      <c r="W11" s="103"/>
      <c r="X11" s="103"/>
      <c r="Y11" s="17"/>
    </row>
    <row r="12" spans="1:25" ht="21" customHeight="1" x14ac:dyDescent="0.25">
      <c r="A12" s="8">
        <v>44509</v>
      </c>
      <c r="B12" s="108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V12" s="103"/>
      <c r="W12" s="103"/>
      <c r="X12" s="103"/>
      <c r="Y12" s="17"/>
    </row>
    <row r="13" spans="1:25" ht="21" customHeight="1" x14ac:dyDescent="0.25">
      <c r="A13" s="8">
        <v>44510</v>
      </c>
      <c r="B13" s="108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V13" s="103"/>
      <c r="W13" s="103"/>
      <c r="X13" s="103"/>
      <c r="Y13" s="17"/>
    </row>
    <row r="14" spans="1:25" ht="21" customHeight="1" x14ac:dyDescent="0.25">
      <c r="A14" s="8">
        <v>44511</v>
      </c>
      <c r="B14" s="108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V14" s="103"/>
      <c r="W14" s="103"/>
      <c r="X14" s="103"/>
      <c r="Y14" s="17"/>
    </row>
    <row r="15" spans="1:25" ht="21" customHeight="1" x14ac:dyDescent="0.25">
      <c r="A15" s="8">
        <v>44512</v>
      </c>
      <c r="B15" s="108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V15" s="103"/>
      <c r="W15" s="103"/>
      <c r="X15" s="103"/>
      <c r="Y15" s="17"/>
    </row>
    <row r="16" spans="1:25" ht="21" customHeight="1" x14ac:dyDescent="0.25">
      <c r="A16" s="8">
        <v>44513</v>
      </c>
      <c r="B16" s="108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V16" s="103"/>
      <c r="W16" s="103"/>
      <c r="X16" s="103"/>
      <c r="Y16" s="17"/>
    </row>
    <row r="17" spans="1:25" ht="21" customHeight="1" x14ac:dyDescent="0.25">
      <c r="A17" s="8">
        <v>44514</v>
      </c>
      <c r="B17" s="108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V17" s="103"/>
      <c r="W17" s="103"/>
      <c r="X17" s="103"/>
      <c r="Y17" s="17"/>
    </row>
    <row r="18" spans="1:25" ht="21" customHeight="1" x14ac:dyDescent="0.25">
      <c r="A18" s="8">
        <v>44515</v>
      </c>
      <c r="B18" s="108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V18" s="103"/>
      <c r="W18" s="103"/>
      <c r="X18" s="103"/>
      <c r="Y18" s="17"/>
    </row>
    <row r="19" spans="1:25" ht="21" customHeight="1" x14ac:dyDescent="0.25">
      <c r="A19" s="8">
        <v>44516</v>
      </c>
      <c r="B19" s="108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V19" s="103"/>
      <c r="W19" s="103"/>
      <c r="X19" s="103"/>
      <c r="Y19" s="17"/>
    </row>
    <row r="20" spans="1:25" ht="21" customHeight="1" x14ac:dyDescent="0.25">
      <c r="A20" s="8">
        <v>44517</v>
      </c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V20" s="103"/>
      <c r="W20" s="103"/>
      <c r="X20" s="103"/>
      <c r="Y20" s="17"/>
    </row>
    <row r="21" spans="1:25" ht="21" customHeight="1" x14ac:dyDescent="0.25">
      <c r="A21" s="8">
        <v>44518</v>
      </c>
      <c r="B21" s="108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V21" s="103"/>
      <c r="W21" s="103"/>
      <c r="X21" s="103"/>
      <c r="Y21" s="17"/>
    </row>
    <row r="22" spans="1:25" ht="21" customHeight="1" x14ac:dyDescent="0.25">
      <c r="A22" s="8">
        <v>44519</v>
      </c>
      <c r="B22" s="108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13"/>
      <c r="S22" s="109"/>
      <c r="T22" s="109"/>
      <c r="V22" s="103"/>
      <c r="W22" s="103"/>
      <c r="X22" s="103"/>
      <c r="Y22" s="17"/>
    </row>
    <row r="23" spans="1:25" ht="21" customHeight="1" x14ac:dyDescent="0.25">
      <c r="A23" s="8">
        <v>44520</v>
      </c>
      <c r="B23" s="108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V23" s="103"/>
      <c r="W23" s="103"/>
      <c r="X23" s="103"/>
      <c r="Y23" s="17"/>
    </row>
    <row r="24" spans="1:25" ht="21" customHeight="1" x14ac:dyDescent="0.25">
      <c r="A24" s="8">
        <v>44521</v>
      </c>
      <c r="B24" s="108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V24" s="103"/>
      <c r="W24" s="103"/>
      <c r="X24" s="103"/>
      <c r="Y24" s="17"/>
    </row>
    <row r="25" spans="1:25" ht="21" customHeight="1" x14ac:dyDescent="0.25">
      <c r="A25" s="8">
        <v>44522</v>
      </c>
      <c r="B25" s="108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V25" s="103"/>
      <c r="W25" s="103"/>
      <c r="X25" s="103"/>
      <c r="Y25" s="17"/>
    </row>
    <row r="26" spans="1:25" ht="21" customHeight="1" x14ac:dyDescent="0.25">
      <c r="A26" s="8">
        <v>44523</v>
      </c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V26" s="103"/>
      <c r="W26" s="103"/>
      <c r="X26" s="103"/>
      <c r="Y26" s="17"/>
    </row>
    <row r="27" spans="1:25" ht="21" customHeight="1" x14ac:dyDescent="0.25">
      <c r="A27" s="8">
        <v>44524</v>
      </c>
      <c r="B27" s="108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V27" s="103"/>
      <c r="W27" s="103"/>
      <c r="X27" s="103"/>
      <c r="Y27" s="17"/>
    </row>
    <row r="28" spans="1:25" ht="21" customHeight="1" x14ac:dyDescent="0.25">
      <c r="A28" s="8">
        <v>44525</v>
      </c>
      <c r="B28" s="108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V28" s="103"/>
      <c r="W28" s="103"/>
      <c r="X28" s="103"/>
      <c r="Y28" s="17"/>
    </row>
    <row r="29" spans="1:25" ht="21" customHeight="1" x14ac:dyDescent="0.25">
      <c r="A29" s="8">
        <v>44526</v>
      </c>
      <c r="B29" s="108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V29" s="103"/>
      <c r="W29" s="103"/>
      <c r="X29" s="103"/>
      <c r="Y29" s="17"/>
    </row>
    <row r="30" spans="1:25" ht="21" customHeight="1" x14ac:dyDescent="0.25">
      <c r="A30" s="8">
        <v>44527</v>
      </c>
      <c r="B30" s="108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V30" s="103"/>
      <c r="W30" s="103"/>
      <c r="X30" s="103"/>
      <c r="Y30" s="17"/>
    </row>
    <row r="31" spans="1:25" ht="21" customHeight="1" x14ac:dyDescent="0.25">
      <c r="A31" s="8">
        <v>44528</v>
      </c>
      <c r="B31" s="108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V31" s="103"/>
      <c r="W31" s="103"/>
      <c r="X31" s="103"/>
      <c r="Y31" s="17"/>
    </row>
    <row r="32" spans="1:25" ht="21" customHeight="1" x14ac:dyDescent="0.25">
      <c r="A32" s="8">
        <v>44529</v>
      </c>
      <c r="B32" s="106"/>
      <c r="C32" s="106"/>
      <c r="D32" s="106"/>
      <c r="E32" s="114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14"/>
      <c r="T32" s="106"/>
      <c r="V32" s="103"/>
      <c r="W32" s="103"/>
      <c r="X32" s="103"/>
      <c r="Y32" s="17"/>
    </row>
    <row r="33" spans="1:25" ht="19.5" customHeight="1" x14ac:dyDescent="0.25">
      <c r="A33" s="8">
        <v>44530</v>
      </c>
      <c r="B33" s="106"/>
      <c r="C33" s="114"/>
      <c r="D33" s="106"/>
      <c r="E33" s="114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14"/>
      <c r="T33" s="106"/>
      <c r="V33" s="103"/>
      <c r="W33" s="103"/>
      <c r="X33" s="103"/>
      <c r="Y33" s="17"/>
    </row>
    <row r="34" spans="1:25" ht="19.5" customHeight="1" x14ac:dyDescent="0.25">
      <c r="A34" s="8">
        <v>44531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103"/>
      <c r="W34" s="103"/>
      <c r="X34" s="103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247</v>
      </c>
      <c r="W35" s="75">
        <f>SUM(W4:W34)</f>
        <v>619</v>
      </c>
      <c r="X35" s="75">
        <f>SUM(X4:X34)</f>
        <v>1738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40" sqref="E40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2" t="s">
        <v>31</v>
      </c>
      <c r="B2" s="124" t="s">
        <v>32</v>
      </c>
      <c r="C2" s="124" t="s">
        <v>33</v>
      </c>
      <c r="D2" s="124" t="s">
        <v>119</v>
      </c>
      <c r="E2" s="132" t="s">
        <v>34</v>
      </c>
      <c r="F2" s="139" t="s">
        <v>35</v>
      </c>
      <c r="G2" s="140"/>
      <c r="H2" s="141"/>
      <c r="I2" s="142" t="s">
        <v>36</v>
      </c>
      <c r="J2" s="142" t="s">
        <v>37</v>
      </c>
      <c r="K2" s="142" t="s">
        <v>38</v>
      </c>
      <c r="L2" s="142" t="s">
        <v>39</v>
      </c>
      <c r="M2" s="143" t="s">
        <v>40</v>
      </c>
      <c r="N2" s="143"/>
      <c r="O2" s="143"/>
      <c r="P2" s="143"/>
      <c r="Q2" s="143"/>
      <c r="R2" s="143"/>
      <c r="S2" s="142" t="s">
        <v>41</v>
      </c>
      <c r="T2" s="142"/>
      <c r="U2" s="144" t="s">
        <v>42</v>
      </c>
      <c r="V2" s="142" t="s">
        <v>43</v>
      </c>
    </row>
    <row r="3" spans="1:22" x14ac:dyDescent="0.25">
      <c r="A3" s="133"/>
      <c r="B3" s="125"/>
      <c r="C3" s="125"/>
      <c r="D3" s="125"/>
      <c r="E3" s="133"/>
      <c r="F3" s="6" t="s">
        <v>27</v>
      </c>
      <c r="G3" s="6" t="s">
        <v>28</v>
      </c>
      <c r="H3" s="6" t="s">
        <v>29</v>
      </c>
      <c r="I3" s="142"/>
      <c r="J3" s="142"/>
      <c r="K3" s="142"/>
      <c r="L3" s="142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4"/>
      <c r="V3" s="142"/>
    </row>
    <row r="4" spans="1:22" x14ac:dyDescent="0.25">
      <c r="A4" s="3">
        <f>'Kwh Reading'!A4</f>
        <v>44501</v>
      </c>
      <c r="B4" s="26">
        <v>25520</v>
      </c>
      <c r="C4" s="4">
        <f>('Kwh Reading'!T5-'Kwh Reading'!T4)*1000</f>
        <v>480.00000000001819</v>
      </c>
      <c r="D4" s="2">
        <f>('Kwh Reading'!F5-'Kwh Reading'!F4)*1000000</f>
        <v>2800.0000000001355</v>
      </c>
      <c r="E4" s="2">
        <f>('Kwh Reading'!C5-'Kwh Reading'!C4)*1000</f>
        <v>279.99999999997272</v>
      </c>
      <c r="F4" s="2">
        <f>('Kwh Reading'!J5-'Kwh Reading'!J4)*1000</f>
        <v>519.99999999998181</v>
      </c>
      <c r="G4" s="2">
        <f>('Kwh Reading'!K5-'Kwh Reading'!K4)*1000</f>
        <v>339.99999999997499</v>
      </c>
      <c r="H4" s="2">
        <f>('Kwh Reading'!L5-'Kwh Reading'!L4)*1000</f>
        <v>259.99999999999091</v>
      </c>
      <c r="I4" s="2">
        <f>('Kwh Reading'!R5-'Kwh Reading'!R4)*1000</f>
        <v>90.000000000003411</v>
      </c>
      <c r="J4" s="2">
        <f>('Kwh Reading'!S5-'Kwh Reading'!S4)*1000</f>
        <v>139.99999999998636</v>
      </c>
      <c r="K4" s="2">
        <f>('Kwh Reading'!I5-'Kwh Reading'!I4)*1000</f>
        <v>240.00000000000909</v>
      </c>
      <c r="L4" s="2">
        <f>('Kwh Reading'!B5-'Kwh Reading'!B4)*1000000</f>
        <v>1099.9999999998788</v>
      </c>
      <c r="M4" s="2">
        <f>('Kwh Reading'!M5-'Kwh Reading'!M4)*1000</f>
        <v>879.99999999999545</v>
      </c>
      <c r="N4" s="2">
        <f>('Kwh Reading'!H5-'Kwh Reading'!H4)*1000</f>
        <v>689.99999999994088</v>
      </c>
      <c r="O4" s="2">
        <f>('Kwh Reading'!P5-'Kwh Reading'!P4)*1000</f>
        <v>1079.9999999999272</v>
      </c>
      <c r="P4" s="2">
        <f>('Kwh Reading'!G5-'Kwh Reading'!G4)*1000</f>
        <v>779.99999999997272</v>
      </c>
      <c r="Q4" s="2">
        <f>('Kwh Reading'!Q5-'Kwh Reading'!Q4)*1000</f>
        <v>810.00000000005912</v>
      </c>
      <c r="R4" s="2">
        <f>('Kwh Reading'!N5-'Kwh Reading'!N4)*1000</f>
        <v>779.99999999997272</v>
      </c>
      <c r="S4" s="2">
        <f>'Kwh Reading'!E5-'Kwh Reading'!E4</f>
        <v>2879.4699999988079</v>
      </c>
      <c r="T4" s="2">
        <f>'Kwh Reading'!D5-'Kwh Reading'!D4</f>
        <v>1978.1899999994785</v>
      </c>
      <c r="U4" s="27">
        <f>('Kwh Reading'!O5-'Kwh Reading'!O4)*1000</f>
        <v>229.99999999998977</v>
      </c>
      <c r="V4" s="16">
        <f>B4-(SUM(C4:U4))</f>
        <v>9162.3400000019046</v>
      </c>
    </row>
    <row r="5" spans="1:22" x14ac:dyDescent="0.25">
      <c r="A5" s="3">
        <f>'Kwh Reading'!A5</f>
        <v>44502</v>
      </c>
      <c r="B5" s="26">
        <f>TOTAL!E3</f>
        <v>22119.999999998297</v>
      </c>
      <c r="C5" s="4">
        <f>('Kwh Reading'!T6-'Kwh Reading'!T5)*1000</f>
        <v>579.99999999998408</v>
      </c>
      <c r="D5" s="2">
        <f>('Kwh Reading'!F6-'Kwh Reading'!F5)*1000000</f>
        <v>2600.0000000001578</v>
      </c>
      <c r="E5" s="2">
        <f>('Kwh Reading'!C6-'Kwh Reading'!C5)*1000</f>
        <v>240.00000000000909</v>
      </c>
      <c r="F5" s="2">
        <f>('Kwh Reading'!J6-'Kwh Reading'!J5)*1000</f>
        <v>430.00000000000682</v>
      </c>
      <c r="G5" s="2">
        <f>('Kwh Reading'!K6-'Kwh Reading'!K5)*1000</f>
        <v>310.00000000000227</v>
      </c>
      <c r="H5" s="2">
        <f>('Kwh Reading'!L6-'Kwh Reading'!L5)*1000</f>
        <v>199.99999999998863</v>
      </c>
      <c r="I5" s="2">
        <f>('Kwh Reading'!R6-'Kwh Reading'!R5)*1000</f>
        <v>219.99999999999886</v>
      </c>
      <c r="J5" s="2">
        <f>('Kwh Reading'!S6-'Kwh Reading'!S5)*1000</f>
        <v>129.99999999999545</v>
      </c>
      <c r="K5" s="2">
        <f>('Kwh Reading'!I6-'Kwh Reading'!I5)*1000</f>
        <v>199.99999999998863</v>
      </c>
      <c r="L5" s="2">
        <f>('Kwh Reading'!B6-'Kwh Reading'!B5)*1000000</f>
        <v>1100.000000000101</v>
      </c>
      <c r="M5" s="2">
        <f>('Kwh Reading'!M6-'Kwh Reading'!M5)*1000</f>
        <v>769.99999999998181</v>
      </c>
      <c r="N5" s="2">
        <f>('Kwh Reading'!H6-'Kwh Reading'!H5)*1000</f>
        <v>640.00000000010004</v>
      </c>
      <c r="O5" s="2">
        <f>('Kwh Reading'!P6-'Kwh Reading'!P5)*1000</f>
        <v>1050.0000000000682</v>
      </c>
      <c r="P5" s="2">
        <f>('Kwh Reading'!G6-'Kwh Reading'!G5)*1000</f>
        <v>720.00000000002728</v>
      </c>
      <c r="Q5" s="2">
        <f>('Kwh Reading'!Q6-'Kwh Reading'!Q5)*1000</f>
        <v>689.99999999994088</v>
      </c>
      <c r="R5" s="2">
        <f>('Kwh Reading'!N6-'Kwh Reading'!N5)*1000</f>
        <v>810.00000000005912</v>
      </c>
      <c r="S5" s="2">
        <f>'Kwh Reading'!E6-'Kwh Reading'!E5</f>
        <v>2805.7100000008941</v>
      </c>
      <c r="T5" s="2">
        <f>'Kwh Reading'!D6-'Kwh Reading'!D5</f>
        <v>1989.4500000001863</v>
      </c>
      <c r="U5" s="27">
        <f>('Kwh Reading'!O6-'Kwh Reading'!O5)*1000</f>
        <v>150.00000000000568</v>
      </c>
      <c r="V5" s="16">
        <f t="shared" ref="V5:V11" si="0">B5-(SUM(C5:U5))</f>
        <v>6484.8399999968005</v>
      </c>
    </row>
    <row r="6" spans="1:22" x14ac:dyDescent="0.25">
      <c r="A6" s="3">
        <f>'Kwh Reading'!A6</f>
        <v>44503</v>
      </c>
      <c r="B6" s="26">
        <f>TOTAL!E4</f>
        <v>17889.999999999643</v>
      </c>
      <c r="C6" s="4">
        <f>('Kwh Reading'!T7-'Kwh Reading'!T6)*1000</f>
        <v>430.00000000000682</v>
      </c>
      <c r="D6" s="2">
        <f>('Kwh Reading'!F7-'Kwh Reading'!F6)*1000000</f>
        <v>2599.9999999997135</v>
      </c>
      <c r="E6" s="2">
        <f>('Kwh Reading'!C7-'Kwh Reading'!C6)*1000</f>
        <v>279.99999999997272</v>
      </c>
      <c r="F6" s="2">
        <f>('Kwh Reading'!J7-'Kwh Reading'!J6)*1000</f>
        <v>520.00000000003865</v>
      </c>
      <c r="G6" s="2">
        <f>('Kwh Reading'!K7-'Kwh Reading'!K6)*1000</f>
        <v>319.99999999999318</v>
      </c>
      <c r="H6" s="2">
        <f>('Kwh Reading'!L7-'Kwh Reading'!L6)*1000</f>
        <v>230.00000000001819</v>
      </c>
      <c r="I6" s="2">
        <f>('Kwh Reading'!R7-'Kwh Reading'!R6)*1000</f>
        <v>240.00000000000909</v>
      </c>
      <c r="J6" s="2">
        <f>('Kwh Reading'!S7-'Kwh Reading'!S6)*1000</f>
        <v>130.00000000002387</v>
      </c>
      <c r="K6" s="2">
        <f>('Kwh Reading'!I7-'Kwh Reading'!I6)*1000</f>
        <v>170.00000000001592</v>
      </c>
      <c r="L6" s="2">
        <f>('Kwh Reading'!B7-'Kwh Reading'!B6)*1000000</f>
        <v>999.99999999988984</v>
      </c>
      <c r="M6" s="2">
        <f>('Kwh Reading'!M7-'Kwh Reading'!M6)*1000</f>
        <v>640.00000000010004</v>
      </c>
      <c r="N6" s="2">
        <f>('Kwh Reading'!H7-'Kwh Reading'!H6)*1000</f>
        <v>449.99999999993179</v>
      </c>
      <c r="O6" s="2">
        <f>('Kwh Reading'!P7-'Kwh Reading'!P6)*1000</f>
        <v>819.99999999993634</v>
      </c>
      <c r="P6" s="2">
        <f>('Kwh Reading'!G7-'Kwh Reading'!G6)*1000</f>
        <v>689.99999999994088</v>
      </c>
      <c r="Q6" s="2">
        <f>('Kwh Reading'!Q7-'Kwh Reading'!Q6)*1000</f>
        <v>420.00000000007276</v>
      </c>
      <c r="R6" s="2">
        <f>('Kwh Reading'!N7-'Kwh Reading'!N6)*1000</f>
        <v>609.99999999989996</v>
      </c>
      <c r="S6" s="2">
        <f>'Kwh Reading'!E7-'Kwh Reading'!E6</f>
        <v>2284.609999999404</v>
      </c>
      <c r="T6" s="2">
        <f>'Kwh Reading'!D7-'Kwh Reading'!D6</f>
        <v>1504.1900000004098</v>
      </c>
      <c r="U6" s="27">
        <f>('Kwh Reading'!O7-'Kwh Reading'!O6)*1000</f>
        <v>159.99999999999659</v>
      </c>
      <c r="V6" s="16">
        <f t="shared" si="0"/>
        <v>4391.2000000002681</v>
      </c>
    </row>
    <row r="7" spans="1:22" x14ac:dyDescent="0.25">
      <c r="A7" s="3">
        <f>'Kwh Reading'!A7</f>
        <v>44504</v>
      </c>
      <c r="B7" s="26">
        <v>18870</v>
      </c>
      <c r="C7" s="4">
        <f>('Kwh Reading'!T8-'Kwh Reading'!T7)*1000</f>
        <v>270.00000000003865</v>
      </c>
      <c r="D7" s="2">
        <f>('Kwh Reading'!F8-'Kwh Reading'!F7)*1000000</f>
        <v>2699.9999999999245</v>
      </c>
      <c r="E7" s="2">
        <f>('Kwh Reading'!C8-'Kwh Reading'!C7)*1000</f>
        <v>260.00000000004775</v>
      </c>
      <c r="F7" s="2">
        <f>('Kwh Reading'!J8-'Kwh Reading'!J7)*1000</f>
        <v>459.99999999997954</v>
      </c>
      <c r="G7" s="2">
        <f>('Kwh Reading'!K8-'Kwh Reading'!K7)*1000</f>
        <v>339.99999999997499</v>
      </c>
      <c r="H7" s="2">
        <f>('Kwh Reading'!L8-'Kwh Reading'!L7)*1000</f>
        <v>240.00000000000909</v>
      </c>
      <c r="I7" s="2">
        <f>('Kwh Reading'!R8-'Kwh Reading'!R7)*1000</f>
        <v>159.99999999999659</v>
      </c>
      <c r="J7" s="2">
        <f>('Kwh Reading'!S8-'Kwh Reading'!S7)*1000</f>
        <v>119.99999999997613</v>
      </c>
      <c r="K7" s="2">
        <f>('Kwh Reading'!I8-'Kwh Reading'!I7)*1000</f>
        <v>189.99999999999773</v>
      </c>
      <c r="L7" s="2">
        <f>('Kwh Reading'!B8-'Kwh Reading'!B7)*1000000</f>
        <v>1000.0000000001119</v>
      </c>
      <c r="M7" s="2">
        <f>('Kwh Reading'!M8-'Kwh Reading'!M7)*1000</f>
        <v>649.99999999997726</v>
      </c>
      <c r="N7" s="2">
        <f>('Kwh Reading'!H8-'Kwh Reading'!H7)*1000</f>
        <v>509.99999999999091</v>
      </c>
      <c r="O7" s="2">
        <f>('Kwh Reading'!P8-'Kwh Reading'!P7)*1000</f>
        <v>810.00000000005912</v>
      </c>
      <c r="P7" s="2">
        <f>('Kwh Reading'!G8-'Kwh Reading'!G7)*1000</f>
        <v>690.00000000005457</v>
      </c>
      <c r="Q7" s="2">
        <f>('Kwh Reading'!Q8-'Kwh Reading'!Q7)*1000</f>
        <v>519.99999999998181</v>
      </c>
      <c r="R7" s="2">
        <f>('Kwh Reading'!N8-'Kwh Reading'!N7)*1000</f>
        <v>640.00000000010004</v>
      </c>
      <c r="S7" s="2">
        <f>'Kwh Reading'!E8-'Kwh Reading'!E7</f>
        <v>1826.0099999997765</v>
      </c>
      <c r="T7" s="2">
        <f>'Kwh Reading'!D8-'Kwh Reading'!D7</f>
        <v>1427.7299999995157</v>
      </c>
      <c r="U7" s="27">
        <f>('Kwh Reading'!O8-'Kwh Reading'!O7)*1000</f>
        <v>150.00000000000568</v>
      </c>
      <c r="V7" s="16">
        <f t="shared" si="0"/>
        <v>5906.2600000004823</v>
      </c>
    </row>
    <row r="8" spans="1:22" x14ac:dyDescent="0.25">
      <c r="A8" s="3">
        <f>'Kwh Reading'!A8</f>
        <v>44505</v>
      </c>
      <c r="B8" s="26">
        <f>TOTAL!E6</f>
        <v>20169.999999999389</v>
      </c>
      <c r="C8" s="4">
        <f>('Kwh Reading'!T9-'Kwh Reading'!T8)*1000</f>
        <v>489.99999999995225</v>
      </c>
      <c r="D8" s="2">
        <f>('Kwh Reading'!F9-'Kwh Reading'!F8)*1000000</f>
        <v>2499.9999999999468</v>
      </c>
      <c r="E8" s="2">
        <f>('Kwh Reading'!C9-'Kwh Reading'!C8)*1000</f>
        <v>250</v>
      </c>
      <c r="F8" s="2">
        <f>('Kwh Reading'!J9-'Kwh Reading'!J8)*1000</f>
        <v>439.99999999999773</v>
      </c>
      <c r="G8" s="2">
        <f>('Kwh Reading'!K9-'Kwh Reading'!K8)*1000</f>
        <v>320.00000000005002</v>
      </c>
      <c r="H8" s="2">
        <f>('Kwh Reading'!L9-'Kwh Reading'!L8)*1000</f>
        <v>219.99999999997044</v>
      </c>
      <c r="I8" s="2">
        <f>('Kwh Reading'!R9-'Kwh Reading'!R8)*1000</f>
        <v>99.999999999994316</v>
      </c>
      <c r="J8" s="2">
        <f>('Kwh Reading'!S9-'Kwh Reading'!S8)*1000</f>
        <v>120.00000000000455</v>
      </c>
      <c r="K8" s="2">
        <f>('Kwh Reading'!I9-'Kwh Reading'!I8)*1000</f>
        <v>170.00000000001592</v>
      </c>
      <c r="L8" s="2">
        <f>('Kwh Reading'!B9-'Kwh Reading'!B8)*1000000</f>
        <v>1099.9999999998788</v>
      </c>
      <c r="M8" s="2">
        <f>('Kwh Reading'!M9-'Kwh Reading'!M8)*1000</f>
        <v>679.99999999994998</v>
      </c>
      <c r="N8" s="2">
        <f>('Kwh Reading'!H9-'Kwh Reading'!H8)*1000</f>
        <v>670.00000000007276</v>
      </c>
      <c r="O8" s="2">
        <f>('Kwh Reading'!P9-'Kwh Reading'!P8)*1000</f>
        <v>870.00000000000455</v>
      </c>
      <c r="P8" s="2">
        <f>('Kwh Reading'!G9-'Kwh Reading'!G8)*1000</f>
        <v>740.00000000000909</v>
      </c>
      <c r="Q8" s="2">
        <f>('Kwh Reading'!Q9-'Kwh Reading'!Q8)*1000</f>
        <v>580.00000000004093</v>
      </c>
      <c r="R8" s="2">
        <f>('Kwh Reading'!N9-'Kwh Reading'!N8)*1000</f>
        <v>769.99999999998181</v>
      </c>
      <c r="S8" s="2">
        <f>'Kwh Reading'!E9-'Kwh Reading'!E8</f>
        <v>2368.3800000008196</v>
      </c>
      <c r="T8" s="2">
        <f>'Kwh Reading'!D9-'Kwh Reading'!D8</f>
        <v>1713.160000000149</v>
      </c>
      <c r="U8" s="27">
        <f>('Kwh Reading'!O9-'Kwh Reading'!O8)*1000</f>
        <v>150.00000000000568</v>
      </c>
      <c r="V8" s="16">
        <f t="shared" si="0"/>
        <v>5918.4599999985458</v>
      </c>
    </row>
    <row r="9" spans="1:22" x14ac:dyDescent="0.25">
      <c r="A9" s="3">
        <f>'Kwh Reading'!A9</f>
        <v>44506</v>
      </c>
      <c r="B9" s="26">
        <f>TOTAL!E7</f>
        <v>21860.000000001037</v>
      </c>
      <c r="C9" s="4">
        <f>('Kwh Reading'!T10-'Kwh Reading'!T9)*1000</f>
        <v>520.00000000003865</v>
      </c>
      <c r="D9" s="2">
        <f>('Kwh Reading'!F10-'Kwh Reading'!F9)*1000000</f>
        <v>2800.0000000001355</v>
      </c>
      <c r="E9" s="2">
        <f>('Kwh Reading'!C10-'Kwh Reading'!C9)*1000</f>
        <v>289.99999999996362</v>
      </c>
      <c r="F9" s="2">
        <f>('Kwh Reading'!J10-'Kwh Reading'!J9)*1000</f>
        <v>399.99999999997726</v>
      </c>
      <c r="G9" s="2">
        <f>('Kwh Reading'!K10-'Kwh Reading'!K9)*1000</f>
        <v>370.00000000000455</v>
      </c>
      <c r="H9" s="2">
        <f>('Kwh Reading'!L10-'Kwh Reading'!L9)*1000</f>
        <v>240.00000000000909</v>
      </c>
      <c r="I9" s="2">
        <f>('Kwh Reading'!R10-'Kwh Reading'!R9)*1000</f>
        <v>100.00000000002274</v>
      </c>
      <c r="J9" s="2">
        <f>('Kwh Reading'!S10-'Kwh Reading'!S9)*1000</f>
        <v>120.00000000000455</v>
      </c>
      <c r="K9" s="2">
        <f>('Kwh Reading'!I10-'Kwh Reading'!I9)*1000</f>
        <v>219.99999999997044</v>
      </c>
      <c r="L9" s="2">
        <f>('Kwh Reading'!B10-'Kwh Reading'!B9)*1000000</f>
        <v>1000.0000000001119</v>
      </c>
      <c r="M9" s="2">
        <f>('Kwh Reading'!M10-'Kwh Reading'!M9)*1000</f>
        <v>820.00000000005002</v>
      </c>
      <c r="N9" s="2">
        <f>('Kwh Reading'!H10-'Kwh Reading'!H9)*1000</f>
        <v>699.99999999993179</v>
      </c>
      <c r="O9" s="2">
        <f>('Kwh Reading'!P10-'Kwh Reading'!P9)*1000</f>
        <v>1000</v>
      </c>
      <c r="P9" s="2">
        <f>('Kwh Reading'!G10-'Kwh Reading'!G9)*1000</f>
        <v>789.99999999996362</v>
      </c>
      <c r="Q9" s="2">
        <f>('Kwh Reading'!Q10-'Kwh Reading'!Q9)*1000</f>
        <v>739.99999999989541</v>
      </c>
      <c r="R9" s="2">
        <f>('Kwh Reading'!N10-'Kwh Reading'!N9)*1000</f>
        <v>909.99999999996817</v>
      </c>
      <c r="S9" s="2">
        <f>'Kwh Reading'!E10-'Kwh Reading'!E9</f>
        <v>2866.0299999993294</v>
      </c>
      <c r="T9" s="2">
        <f>'Kwh Reading'!D10-'Kwh Reading'!D9</f>
        <v>1727.9000000003725</v>
      </c>
      <c r="U9" s="27">
        <f>('Kwh Reading'!O10-'Kwh Reading'!O9)*1000</f>
        <v>119.99999999997613</v>
      </c>
      <c r="V9" s="16">
        <f t="shared" si="0"/>
        <v>6126.0700000013112</v>
      </c>
    </row>
    <row r="10" spans="1:22" x14ac:dyDescent="0.25">
      <c r="A10" s="3">
        <f>'Kwh Reading'!A10</f>
        <v>44507</v>
      </c>
      <c r="B10" s="26">
        <f>TOTAL!E8</f>
        <v>0</v>
      </c>
      <c r="C10" s="4">
        <f>('Kwh Reading'!T11-'Kwh Reading'!T10)*1000</f>
        <v>-479980</v>
      </c>
      <c r="D10" s="2">
        <f>('Kwh Reading'!F11-'Kwh Reading'!F10)*1000000</f>
        <v>-2698200</v>
      </c>
      <c r="E10" s="2">
        <f>('Kwh Reading'!C11-'Kwh Reading'!C10)*1000</f>
        <v>-261510</v>
      </c>
      <c r="F10" s="2">
        <f>('Kwh Reading'!J11-'Kwh Reading'!J10)*1000</f>
        <v>-353340</v>
      </c>
      <c r="G10" s="2">
        <f>('Kwh Reading'!K11-'Kwh Reading'!K10)*1000</f>
        <v>-377970</v>
      </c>
      <c r="H10" s="2">
        <f>('Kwh Reading'!L11-'Kwh Reading'!L10)*1000</f>
        <v>-260060</v>
      </c>
      <c r="I10" s="2">
        <f>('Kwh Reading'!R11-'Kwh Reading'!R10)*1000</f>
        <v>-190050</v>
      </c>
      <c r="J10" s="2">
        <f>('Kwh Reading'!S11-'Kwh Reading'!S10)*1000</f>
        <v>-130690</v>
      </c>
      <c r="K10" s="2">
        <f>('Kwh Reading'!I11-'Kwh Reading'!I10)*1000</f>
        <v>-273130</v>
      </c>
      <c r="L10" s="2">
        <f>('Kwh Reading'!B11-'Kwh Reading'!B10)*1000000</f>
        <v>-1149100</v>
      </c>
      <c r="M10" s="2">
        <f>('Kwh Reading'!M11-'Kwh Reading'!M10)*1000</f>
        <v>-616970</v>
      </c>
      <c r="N10" s="2">
        <f>('Kwh Reading'!H11-'Kwh Reading'!H10)*1000</f>
        <v>-701150</v>
      </c>
      <c r="O10" s="2">
        <f>('Kwh Reading'!P11-'Kwh Reading'!P10)*1000</f>
        <v>-743720</v>
      </c>
      <c r="P10" s="2">
        <f>('Kwh Reading'!G11-'Kwh Reading'!G10)*1000</f>
        <v>-854500</v>
      </c>
      <c r="Q10" s="2">
        <f>('Kwh Reading'!Q11-'Kwh Reading'!Q10)*1000</f>
        <v>-549680</v>
      </c>
      <c r="R10" s="2">
        <f>('Kwh Reading'!N11-'Kwh Reading'!N10)*1000</f>
        <v>-569750</v>
      </c>
      <c r="S10" s="33">
        <f>'Kwh Reading'!E11-'Kwh Reading'!E10</f>
        <v>-8566582.2599999998</v>
      </c>
      <c r="T10" s="33">
        <f>'Kwh Reading'!D11-'Kwh Reading'!D10</f>
        <v>-7772120.6500000004</v>
      </c>
      <c r="U10" s="27">
        <f>('Kwh Reading'!O11-'Kwh Reading'!O10)*1000</f>
        <v>-179890</v>
      </c>
      <c r="V10" s="16">
        <f t="shared" si="0"/>
        <v>26728392.909999996</v>
      </c>
    </row>
    <row r="11" spans="1:22" x14ac:dyDescent="0.25">
      <c r="A11" s="3">
        <f>'Kwh Reading'!A11</f>
        <v>44508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3">
        <f>'Kwh Reading'!E12-'Kwh Reading'!E11</f>
        <v>0</v>
      </c>
      <c r="T11" s="33">
        <f>'Kwh Reading'!D12-'Kwh Reading'!D11</f>
        <v>0</v>
      </c>
      <c r="U11" s="27">
        <f>('Kwh Reading'!O12-'Kwh Reading'!O11)*1000</f>
        <v>0</v>
      </c>
      <c r="V11" s="16">
        <f t="shared" si="0"/>
        <v>0</v>
      </c>
    </row>
    <row r="12" spans="1:22" x14ac:dyDescent="0.25">
      <c r="A12" s="3">
        <f>'Kwh Reading'!A12</f>
        <v>44509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3">
        <f>'Kwh Reading'!E13-'Kwh Reading'!E12</f>
        <v>0</v>
      </c>
      <c r="T12" s="33">
        <f>'Kwh Reading'!D13-'Kwh Reading'!D12</f>
        <v>0</v>
      </c>
      <c r="U12" s="27">
        <f>('Kwh Reading'!O13-'Kwh Reading'!O12)*1000</f>
        <v>0</v>
      </c>
      <c r="V12" s="16">
        <f t="shared" ref="V12:V34" si="1">B12-(SUM(C12:U12))</f>
        <v>0</v>
      </c>
    </row>
    <row r="13" spans="1:22" x14ac:dyDescent="0.25">
      <c r="A13" s="3">
        <f>'Kwh Reading'!A13</f>
        <v>44510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3">
        <f>'Kwh Reading'!E14-'Kwh Reading'!E13</f>
        <v>0</v>
      </c>
      <c r="T13" s="33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44511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3">
        <f>'Kwh Reading'!E15-'Kwh Reading'!E14</f>
        <v>0</v>
      </c>
      <c r="T14" s="33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44512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3">
        <f>'Kwh Reading'!E16-'Kwh Reading'!E15</f>
        <v>0</v>
      </c>
      <c r="T15" s="33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44513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3">
        <f>'Kwh Reading'!E17-'Kwh Reading'!E16</f>
        <v>0</v>
      </c>
      <c r="T16" s="33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44514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3">
        <f>'Kwh Reading'!E18-'Kwh Reading'!E17</f>
        <v>0</v>
      </c>
      <c r="T17" s="33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44515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3">
        <f>'Kwh Reading'!E19-'Kwh Reading'!E18</f>
        <v>0</v>
      </c>
      <c r="T18" s="33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44516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3">
        <f>'Kwh Reading'!E20-'Kwh Reading'!E19</f>
        <v>0</v>
      </c>
      <c r="T19" s="33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44517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3">
        <f>'Kwh Reading'!E21-'Kwh Reading'!E20</f>
        <v>0</v>
      </c>
      <c r="T20" s="33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44518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3">
        <f>'Kwh Reading'!E22-'Kwh Reading'!E21</f>
        <v>0</v>
      </c>
      <c r="T21" s="33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44519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3">
        <f>'Kwh Reading'!E23-'Kwh Reading'!E22</f>
        <v>0</v>
      </c>
      <c r="T22" s="33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44520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3">
        <f>'Kwh Reading'!E24-'Kwh Reading'!E23</f>
        <v>0</v>
      </c>
      <c r="T23" s="33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44521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44522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44523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44524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44525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44526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44527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44528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44529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44530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44531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126429.99999999836</v>
      </c>
      <c r="C35" s="72">
        <f t="shared" ref="C35" si="2">SUM(C4:C34)</f>
        <v>-477209.99999999994</v>
      </c>
      <c r="D35" s="72">
        <f t="shared" ref="D35" si="3">SUM(D4:D34)</f>
        <v>-2682200</v>
      </c>
      <c r="E35" s="72">
        <f t="shared" ref="E35" si="4">SUM(E4:E34)</f>
        <v>-259910.00000000003</v>
      </c>
      <c r="F35" s="72">
        <f t="shared" ref="F35" si="5">SUM(F4:F34)</f>
        <v>-350570</v>
      </c>
      <c r="G35" s="72">
        <f t="shared" ref="G35:U35" si="6">SUM(G4:G34)</f>
        <v>-375970</v>
      </c>
      <c r="H35" s="72">
        <f t="shared" si="6"/>
        <v>-258670</v>
      </c>
      <c r="I35" s="72">
        <f t="shared" si="6"/>
        <v>-189139.99999999997</v>
      </c>
      <c r="J35" s="72">
        <f t="shared" si="6"/>
        <v>-129930.00000000001</v>
      </c>
      <c r="K35" s="72">
        <f t="shared" si="6"/>
        <v>-271940</v>
      </c>
      <c r="L35" s="72">
        <f t="shared" si="6"/>
        <v>-1142800</v>
      </c>
      <c r="M35" s="72">
        <f t="shared" si="6"/>
        <v>-612530</v>
      </c>
      <c r="N35" s="72">
        <f t="shared" si="6"/>
        <v>-697490</v>
      </c>
      <c r="O35" s="72">
        <f t="shared" si="6"/>
        <v>-738090</v>
      </c>
      <c r="P35" s="72">
        <f t="shared" si="6"/>
        <v>-850090</v>
      </c>
      <c r="Q35" s="72">
        <f t="shared" si="6"/>
        <v>-545920</v>
      </c>
      <c r="R35" s="72">
        <f t="shared" si="6"/>
        <v>-565230</v>
      </c>
      <c r="S35" s="72">
        <f t="shared" si="6"/>
        <v>-8551552.0500000007</v>
      </c>
      <c r="T35" s="72">
        <f t="shared" si="6"/>
        <v>-7761780.0300000003</v>
      </c>
      <c r="U35" s="72">
        <f t="shared" si="6"/>
        <v>-178930.00000000003</v>
      </c>
      <c r="V35" s="72">
        <f>SUM(V4:V34)</f>
        <v>26766382.079999994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44501</v>
      </c>
      <c r="B3" s="80">
        <f>TOTAL!E2</f>
        <v>22899.999999999862</v>
      </c>
      <c r="C3" s="1">
        <f>'Kwh Consumption'!C4</f>
        <v>480.00000000001819</v>
      </c>
      <c r="D3" s="1">
        <f>'Kwh Consumption'!D4</f>
        <v>2800.0000000001355</v>
      </c>
      <c r="E3" s="1">
        <f>'Kwh Consumption'!E4</f>
        <v>279.99999999997272</v>
      </c>
      <c r="F3" s="1">
        <f>('Kwh Consumption'!F4+'Kwh Consumption'!G4+'Kwh Consumption'!H4)</f>
        <v>1119.9999999999477</v>
      </c>
      <c r="G3" s="16">
        <f>('Kwh Consumption'!I4+'Kwh Consumption'!J4)</f>
        <v>229.99999999998977</v>
      </c>
      <c r="H3" s="1">
        <f>('Kwh Consumption'!K4+'Kwh Consumption'!L4)</f>
        <v>1339.9999999998879</v>
      </c>
      <c r="I3" s="1">
        <f>('Kwh Consumption'!M4+'Kwh Consumption'!N4+'Kwh Consumption'!O4+'Kwh Consumption'!P4+'Kwh Consumption'!Q4+'Kwh Consumption'!R4)</f>
        <v>5019.9999999998681</v>
      </c>
      <c r="J3" s="1">
        <f>('Kwh Consumption'!S4+'Kwh Consumption'!T4)</f>
        <v>4857.6599999982864</v>
      </c>
      <c r="K3" s="1">
        <f>'Kwh Consumption'!U4</f>
        <v>229.99999999998977</v>
      </c>
      <c r="L3" s="31">
        <f t="shared" ref="L3:L33" si="0">B3-C3-D3-E3-F3-G3-H3-I3-J3-K3</f>
        <v>6542.3400000017673</v>
      </c>
    </row>
    <row r="4" spans="1:12" x14ac:dyDescent="0.25">
      <c r="A4" s="14">
        <f>'Kwh Reading'!A5</f>
        <v>44502</v>
      </c>
      <c r="B4" s="80">
        <f>TOTAL!E3</f>
        <v>22119.999999998297</v>
      </c>
      <c r="C4" s="1">
        <f>'Kwh Consumption'!C5</f>
        <v>579.99999999998408</v>
      </c>
      <c r="D4" s="1">
        <f>'Kwh Consumption'!D5</f>
        <v>2600.0000000001578</v>
      </c>
      <c r="E4" s="1">
        <f>'Kwh Consumption'!E5</f>
        <v>240.00000000000909</v>
      </c>
      <c r="F4" s="1">
        <f>('Kwh Consumption'!F5+'Kwh Consumption'!G5+'Kwh Consumption'!H5)</f>
        <v>939.99999999999773</v>
      </c>
      <c r="G4" s="16">
        <f>('Kwh Consumption'!I5+'Kwh Consumption'!J5)</f>
        <v>349.99999999999432</v>
      </c>
      <c r="H4" s="1">
        <f>('Kwh Consumption'!K5+'Kwh Consumption'!L5)</f>
        <v>1300.0000000000896</v>
      </c>
      <c r="I4" s="1">
        <f>('Kwh Consumption'!M5+'Kwh Consumption'!N5+'Kwh Consumption'!O5+'Kwh Consumption'!P5+'Kwh Consumption'!Q5+'Kwh Consumption'!R5)</f>
        <v>4680.0000000001774</v>
      </c>
      <c r="J4" s="1">
        <f>('Kwh Consumption'!S5+'Kwh Consumption'!T5)</f>
        <v>4795.1600000010803</v>
      </c>
      <c r="K4" s="1">
        <f>'Kwh Consumption'!U5</f>
        <v>150.00000000000568</v>
      </c>
      <c r="L4" s="31">
        <f t="shared" si="0"/>
        <v>6484.8399999968042</v>
      </c>
    </row>
    <row r="5" spans="1:12" x14ac:dyDescent="0.25">
      <c r="A5" s="14">
        <f>'Kwh Reading'!A6</f>
        <v>44503</v>
      </c>
      <c r="B5" s="80">
        <f>TOTAL!E4</f>
        <v>17889.999999999643</v>
      </c>
      <c r="C5" s="1">
        <f>'Kwh Consumption'!C6</f>
        <v>430.00000000000682</v>
      </c>
      <c r="D5" s="1">
        <f>'Kwh Consumption'!D6</f>
        <v>2599.9999999997135</v>
      </c>
      <c r="E5" s="1">
        <f>'Kwh Consumption'!E6</f>
        <v>279.99999999997272</v>
      </c>
      <c r="F5" s="1">
        <f>('Kwh Consumption'!F6+'Kwh Consumption'!G6+'Kwh Consumption'!H6)</f>
        <v>1070.00000000005</v>
      </c>
      <c r="G5" s="16">
        <f>('Kwh Consumption'!I6+'Kwh Consumption'!J6)</f>
        <v>370.00000000003297</v>
      </c>
      <c r="H5" s="1">
        <f>('Kwh Consumption'!K6+'Kwh Consumption'!L6)</f>
        <v>1169.9999999999059</v>
      </c>
      <c r="I5" s="1">
        <f>('Kwh Consumption'!M6+'Kwh Consumption'!N6+'Kwh Consumption'!O6+'Kwh Consumption'!P6+'Kwh Consumption'!Q6+'Kwh Consumption'!R6)</f>
        <v>3629.9999999998818</v>
      </c>
      <c r="J5" s="1">
        <f>('Kwh Consumption'!S6+'Kwh Consumption'!T6)</f>
        <v>3788.7999999998137</v>
      </c>
      <c r="K5" s="1">
        <f>'Kwh Consumption'!U6</f>
        <v>159.99999999999659</v>
      </c>
      <c r="L5" s="31">
        <f t="shared" si="0"/>
        <v>4391.2000000002718</v>
      </c>
    </row>
    <row r="6" spans="1:12" x14ac:dyDescent="0.25">
      <c r="A6" s="14">
        <f>'Kwh Reading'!A7</f>
        <v>44504</v>
      </c>
      <c r="B6" s="80">
        <f>TOTAL!E5</f>
        <v>18870.000000001935</v>
      </c>
      <c r="C6" s="1">
        <f>'Kwh Consumption'!C7</f>
        <v>270.00000000003865</v>
      </c>
      <c r="D6" s="1">
        <f>'Kwh Consumption'!D7</f>
        <v>2699.9999999999245</v>
      </c>
      <c r="E6" s="1">
        <f>'Kwh Consumption'!E7</f>
        <v>260.00000000004775</v>
      </c>
      <c r="F6" s="1">
        <f>('Kwh Consumption'!F7+'Kwh Consumption'!G7+'Kwh Consumption'!H7)</f>
        <v>1039.9999999999636</v>
      </c>
      <c r="G6" s="16">
        <f>('Kwh Consumption'!I7+'Kwh Consumption'!J7)</f>
        <v>279.99999999997272</v>
      </c>
      <c r="H6" s="1">
        <f>('Kwh Consumption'!K7+'Kwh Consumption'!L7)</f>
        <v>1190.0000000001096</v>
      </c>
      <c r="I6" s="1">
        <f>('Kwh Consumption'!M7+'Kwh Consumption'!N7+'Kwh Consumption'!O7+'Kwh Consumption'!P7+'Kwh Consumption'!Q7+'Kwh Consumption'!R7)</f>
        <v>3820.0000000001637</v>
      </c>
      <c r="J6" s="1">
        <f>('Kwh Consumption'!S7+'Kwh Consumption'!T7)</f>
        <v>3253.7399999992922</v>
      </c>
      <c r="K6" s="1">
        <f>'Kwh Consumption'!U7</f>
        <v>150.00000000000568</v>
      </c>
      <c r="L6" s="31">
        <f t="shared" si="0"/>
        <v>5906.2600000024177</v>
      </c>
    </row>
    <row r="7" spans="1:12" x14ac:dyDescent="0.25">
      <c r="A7" s="14">
        <f>'Kwh Reading'!A8</f>
        <v>44505</v>
      </c>
      <c r="B7" s="80">
        <f>TOTAL!E6</f>
        <v>20169.999999999389</v>
      </c>
      <c r="C7" s="1">
        <f>'Kwh Consumption'!C8</f>
        <v>489.99999999995225</v>
      </c>
      <c r="D7" s="1">
        <f>'Kwh Consumption'!D8</f>
        <v>2499.9999999999468</v>
      </c>
      <c r="E7" s="1">
        <f>'Kwh Consumption'!E8</f>
        <v>250</v>
      </c>
      <c r="F7" s="1">
        <f>('Kwh Consumption'!F8+'Kwh Consumption'!G8+'Kwh Consumption'!H8)</f>
        <v>980.00000000001819</v>
      </c>
      <c r="G7" s="16">
        <f>('Kwh Consumption'!I8+'Kwh Consumption'!J8)</f>
        <v>219.99999999999886</v>
      </c>
      <c r="H7" s="1">
        <f>('Kwh Consumption'!K8+'Kwh Consumption'!L8)</f>
        <v>1269.9999999998947</v>
      </c>
      <c r="I7" s="1">
        <f>('Kwh Consumption'!M8+'Kwh Consumption'!N8+'Kwh Consumption'!O8+'Kwh Consumption'!P8+'Kwh Consumption'!Q8+'Kwh Consumption'!R8)</f>
        <v>4310.0000000000591</v>
      </c>
      <c r="J7" s="1">
        <f>('Kwh Consumption'!S8+'Kwh Consumption'!T8)</f>
        <v>4081.5400000009686</v>
      </c>
      <c r="K7" s="1">
        <f>'Kwh Consumption'!U8</f>
        <v>150.00000000000568</v>
      </c>
      <c r="L7" s="31">
        <f t="shared" si="0"/>
        <v>5918.4599999985458</v>
      </c>
    </row>
    <row r="8" spans="1:12" x14ac:dyDescent="0.25">
      <c r="A8" s="14">
        <f>'Kwh Reading'!A9</f>
        <v>44506</v>
      </c>
      <c r="B8" s="80">
        <f>TOTAL!E7</f>
        <v>21860.000000001037</v>
      </c>
      <c r="C8" s="1">
        <f>'Kwh Consumption'!C9</f>
        <v>520.00000000003865</v>
      </c>
      <c r="D8" s="1">
        <f>'Kwh Consumption'!D9</f>
        <v>2800.0000000001355</v>
      </c>
      <c r="E8" s="1">
        <f>'Kwh Consumption'!E9</f>
        <v>289.99999999996362</v>
      </c>
      <c r="F8" s="1">
        <f>('Kwh Consumption'!F9+'Kwh Consumption'!G9+'Kwh Consumption'!H9)</f>
        <v>1009.9999999999909</v>
      </c>
      <c r="G8" s="16">
        <f>('Kwh Consumption'!I9+'Kwh Consumption'!J9)</f>
        <v>220.00000000002728</v>
      </c>
      <c r="H8" s="1">
        <f>('Kwh Consumption'!K9+'Kwh Consumption'!L9)</f>
        <v>1220.0000000000823</v>
      </c>
      <c r="I8" s="1">
        <f>('Kwh Consumption'!M9+'Kwh Consumption'!N9+'Kwh Consumption'!O9+'Kwh Consumption'!P9+'Kwh Consumption'!Q9+'Kwh Consumption'!R9)</f>
        <v>4959.999999999809</v>
      </c>
      <c r="J8" s="1">
        <f>('Kwh Consumption'!S9+'Kwh Consumption'!T9)</f>
        <v>4593.929999999702</v>
      </c>
      <c r="K8" s="1">
        <f>'Kwh Consumption'!U9</f>
        <v>119.99999999997613</v>
      </c>
      <c r="L8" s="31">
        <f t="shared" si="0"/>
        <v>6126.0700000013112</v>
      </c>
    </row>
    <row r="9" spans="1:12" x14ac:dyDescent="0.25">
      <c r="A9" s="14">
        <f>'Kwh Reading'!A10</f>
        <v>44507</v>
      </c>
      <c r="B9" s="80">
        <f>TOTAL!E8</f>
        <v>0</v>
      </c>
      <c r="C9" s="1">
        <f>'Kwh Consumption'!C10</f>
        <v>-479980</v>
      </c>
      <c r="D9" s="1">
        <f>'Kwh Consumption'!D10</f>
        <v>-2698200</v>
      </c>
      <c r="E9" s="1">
        <f>'Kwh Consumption'!E10</f>
        <v>-261510</v>
      </c>
      <c r="F9" s="1">
        <f>('Kwh Consumption'!F10+'Kwh Consumption'!G10+'Kwh Consumption'!H10)</f>
        <v>-991370</v>
      </c>
      <c r="G9" s="16">
        <f>('Kwh Consumption'!I10+'Kwh Consumption'!J10)</f>
        <v>-320740</v>
      </c>
      <c r="H9" s="1">
        <f>('Kwh Consumption'!K10+'Kwh Consumption'!L10)</f>
        <v>-1422230</v>
      </c>
      <c r="I9" s="1">
        <f>('Kwh Consumption'!M10+'Kwh Consumption'!N10+'Kwh Consumption'!O10+'Kwh Consumption'!P10+'Kwh Consumption'!Q10+'Kwh Consumption'!R10)</f>
        <v>-4035770</v>
      </c>
      <c r="J9" s="1">
        <f>('Kwh Consumption'!S10+'Kwh Consumption'!T10)</f>
        <v>-16338702.91</v>
      </c>
      <c r="K9" s="1">
        <f>'Kwh Consumption'!U10</f>
        <v>-179890</v>
      </c>
      <c r="L9" s="31">
        <f t="shared" si="0"/>
        <v>26728392.91</v>
      </c>
    </row>
    <row r="10" spans="1:12" x14ac:dyDescent="0.25">
      <c r="A10" s="14">
        <f>'Kwh Reading'!A11</f>
        <v>44508</v>
      </c>
      <c r="B10" s="80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1">
        <f t="shared" si="0"/>
        <v>0</v>
      </c>
    </row>
    <row r="11" spans="1:12" x14ac:dyDescent="0.25">
      <c r="A11" s="14">
        <f>'Kwh Reading'!A12</f>
        <v>44509</v>
      </c>
      <c r="B11" s="80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1">
        <f t="shared" si="0"/>
        <v>0</v>
      </c>
    </row>
    <row r="12" spans="1:12" x14ac:dyDescent="0.25">
      <c r="A12" s="14">
        <f>'Kwh Reading'!A13</f>
        <v>44510</v>
      </c>
      <c r="B12" s="80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1">
        <f t="shared" si="0"/>
        <v>0</v>
      </c>
    </row>
    <row r="13" spans="1:12" x14ac:dyDescent="0.25">
      <c r="A13" s="14">
        <f>'Kwh Reading'!A14</f>
        <v>44511</v>
      </c>
      <c r="B13" s="80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1">
        <f t="shared" si="0"/>
        <v>0</v>
      </c>
    </row>
    <row r="14" spans="1:12" x14ac:dyDescent="0.25">
      <c r="A14" s="14">
        <f>'Kwh Reading'!A15</f>
        <v>44512</v>
      </c>
      <c r="B14" s="80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1">
        <f t="shared" si="0"/>
        <v>0</v>
      </c>
    </row>
    <row r="15" spans="1:12" x14ac:dyDescent="0.25">
      <c r="A15" s="14">
        <f>'Kwh Reading'!A16</f>
        <v>44513</v>
      </c>
      <c r="B15" s="80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1">
        <f t="shared" si="0"/>
        <v>0</v>
      </c>
    </row>
    <row r="16" spans="1:12" x14ac:dyDescent="0.25">
      <c r="A16" s="14">
        <f>'Kwh Reading'!A17</f>
        <v>44514</v>
      </c>
      <c r="B16" s="80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1">
        <f t="shared" si="0"/>
        <v>0</v>
      </c>
    </row>
    <row r="17" spans="1:12" x14ac:dyDescent="0.25">
      <c r="A17" s="14">
        <f>'Kwh Reading'!A18</f>
        <v>44515</v>
      </c>
      <c r="B17" s="80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0">
        <f>'Kwh Consumption'!U18</f>
        <v>0</v>
      </c>
      <c r="L17" s="31">
        <f t="shared" si="0"/>
        <v>0</v>
      </c>
    </row>
    <row r="18" spans="1:12" x14ac:dyDescent="0.25">
      <c r="A18" s="14">
        <f>'Kwh Reading'!A19</f>
        <v>44516</v>
      </c>
      <c r="B18" s="80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0">
        <f>'Kwh Consumption'!U19</f>
        <v>0</v>
      </c>
      <c r="L18" s="31">
        <f t="shared" si="0"/>
        <v>0</v>
      </c>
    </row>
    <row r="19" spans="1:12" x14ac:dyDescent="0.25">
      <c r="A19" s="14">
        <f>'Kwh Reading'!A20</f>
        <v>44517</v>
      </c>
      <c r="B19" s="80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1">
        <f t="shared" si="0"/>
        <v>0</v>
      </c>
    </row>
    <row r="20" spans="1:12" x14ac:dyDescent="0.25">
      <c r="A20" s="14">
        <f>'Kwh Reading'!A21</f>
        <v>44518</v>
      </c>
      <c r="B20" s="80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1">
        <f t="shared" si="0"/>
        <v>0</v>
      </c>
    </row>
    <row r="21" spans="1:12" x14ac:dyDescent="0.25">
      <c r="A21" s="14">
        <f>'Kwh Reading'!A22</f>
        <v>44519</v>
      </c>
      <c r="B21" s="80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1">
        <f t="shared" si="0"/>
        <v>0</v>
      </c>
    </row>
    <row r="22" spans="1:12" x14ac:dyDescent="0.25">
      <c r="A22" s="14">
        <f>'Kwh Reading'!A23</f>
        <v>44520</v>
      </c>
      <c r="B22" s="80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1">
        <f t="shared" si="0"/>
        <v>0</v>
      </c>
    </row>
    <row r="23" spans="1:12" x14ac:dyDescent="0.25">
      <c r="A23" s="14">
        <f>'Kwh Reading'!A24</f>
        <v>44521</v>
      </c>
      <c r="B23" s="80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1">
        <f t="shared" si="0"/>
        <v>0</v>
      </c>
    </row>
    <row r="24" spans="1:12" x14ac:dyDescent="0.25">
      <c r="A24" s="14">
        <f>'Kwh Reading'!A25</f>
        <v>44522</v>
      </c>
      <c r="B24" s="80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2" x14ac:dyDescent="0.25">
      <c r="A25" s="14">
        <f>'Kwh Reading'!A26</f>
        <v>44523</v>
      </c>
      <c r="B25" s="80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2" x14ac:dyDescent="0.25">
      <c r="A26" s="14">
        <f>'Kwh Reading'!A27</f>
        <v>44524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44525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44526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44527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44528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44529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44530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44531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123810.00000000016</v>
      </c>
      <c r="C34" s="72">
        <f>SUM(C3:C33)</f>
        <v>-477209.99999999994</v>
      </c>
      <c r="D34" s="72">
        <f t="shared" ref="D34:L34" si="1">SUM(D3:D33)</f>
        <v>-2682200</v>
      </c>
      <c r="E34" s="72">
        <f t="shared" si="1"/>
        <v>-259910.00000000003</v>
      </c>
      <c r="F34" s="72">
        <f t="shared" si="1"/>
        <v>-985210</v>
      </c>
      <c r="G34" s="72">
        <f t="shared" si="1"/>
        <v>-319070</v>
      </c>
      <c r="H34" s="72">
        <f t="shared" si="1"/>
        <v>-1414740</v>
      </c>
      <c r="I34" s="72">
        <f t="shared" si="1"/>
        <v>-4009350</v>
      </c>
      <c r="J34" s="72">
        <f t="shared" si="1"/>
        <v>-16313332.080000002</v>
      </c>
      <c r="K34" s="72">
        <f t="shared" si="1"/>
        <v>-178930.00000000003</v>
      </c>
      <c r="L34" s="72">
        <f t="shared" si="1"/>
        <v>26763762.080000002</v>
      </c>
      <c r="M34" s="81">
        <f>C34+D34+E34+F34+G34+H34+I34+J34+K34+L34</f>
        <v>123810</v>
      </c>
    </row>
    <row r="36" spans="1:13" ht="15.75" x14ac:dyDescent="0.25">
      <c r="A36" s="82" t="s">
        <v>63</v>
      </c>
      <c r="B36" s="83">
        <f>TOTAL!F2</f>
        <v>0.18</v>
      </c>
      <c r="C36" s="72">
        <f>C34*B36</f>
        <v>-85897.799999999988</v>
      </c>
      <c r="D36" s="72">
        <f>D34*B36</f>
        <v>-482796</v>
      </c>
      <c r="E36" s="72">
        <f>E34*B36</f>
        <v>-46783.8</v>
      </c>
      <c r="F36" s="72">
        <f>F34*B36</f>
        <v>-177337.8</v>
      </c>
      <c r="G36" s="72">
        <f>G34*B36</f>
        <v>-57432.6</v>
      </c>
      <c r="H36" s="72">
        <f>H34*B36</f>
        <v>-254653.19999999998</v>
      </c>
      <c r="I36" s="72">
        <f>I34*B36</f>
        <v>-721683</v>
      </c>
      <c r="J36" s="72">
        <f>J34*B36</f>
        <v>-2936399.7744000005</v>
      </c>
      <c r="K36" s="72">
        <f>K34*B36</f>
        <v>-32207.400000000005</v>
      </c>
      <c r="L36" s="72">
        <f>L34*B36</f>
        <v>4817477.1743999999</v>
      </c>
      <c r="M36" s="81">
        <f>C36+D36+E36+F36+G36+H36+I36+J36+K36+L36</f>
        <v>22285.799999998882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44501</v>
      </c>
      <c r="B3" s="11">
        <f>TOTAL!F2</f>
        <v>0.18</v>
      </c>
      <c r="C3" s="11">
        <f>'Kwh Consumption'!B4*' Kwh area wise $ '!B3</f>
        <v>4593.5999999999995</v>
      </c>
      <c r="D3" s="1">
        <f>'Kwh Consumption'!C4*' Kwh area wise $ '!B3</f>
        <v>86.400000000003274</v>
      </c>
      <c r="E3" s="1">
        <f>'Kwh Consumption'!D4*' Kwh area wise $ '!B3</f>
        <v>504.00000000002439</v>
      </c>
      <c r="F3" s="1">
        <f>'Kwh Consumption'!E4*' Kwh area wise $ '!B3</f>
        <v>50.399999999995089</v>
      </c>
      <c r="G3" s="1">
        <f>('Kwh Consumption'!F4+'Kwh Consumption'!G4+'Kwh Consumption'!H4)*' Kwh area wise $ '!B3</f>
        <v>201.59999999999059</v>
      </c>
      <c r="H3" s="16">
        <f>('Kwh Consumption'!I4+'Kwh Consumption'!J4)*' Kwh area wise $ '!B3</f>
        <v>41.399999999998158</v>
      </c>
      <c r="I3" s="1">
        <f>('Kwh Consumption'!K4+'Kwh Consumption'!L4)*' Kwh area wise $ '!B3</f>
        <v>241.19999999997981</v>
      </c>
      <c r="J3" s="1">
        <f>('Kwh Consumption'!M4+'Kwh Consumption'!N4+'Kwh Consumption'!O4+'Kwh Consumption'!P4+'Kwh Consumption'!Q4+'Kwh Consumption'!R4)*' Kwh area wise $ '!B3</f>
        <v>903.59999999997626</v>
      </c>
      <c r="K3" s="1">
        <f>('Kwh Consumption'!S4+'Kwh Consumption'!T4)*' Kwh area wise $ '!B3</f>
        <v>874.37879999969152</v>
      </c>
      <c r="L3" s="1">
        <f>'Kwh Consumption'!U4*' Kwh area wise $ '!B3</f>
        <v>41.399999999998158</v>
      </c>
      <c r="M3" s="1">
        <f>'Kwh Consumption'!V4*' Kwh area wise $ '!B3</f>
        <v>1649.2212000003428</v>
      </c>
    </row>
    <row r="4" spans="1:13" x14ac:dyDescent="0.25">
      <c r="A4" s="14">
        <f>'Kwh Reading'!A5</f>
        <v>44502</v>
      </c>
      <c r="B4" s="11">
        <f>TOTAL!F3</f>
        <v>0.18</v>
      </c>
      <c r="C4" s="11">
        <f>'Kwh Consumption'!B5*' Kwh area wise $ '!B4</f>
        <v>3981.5999999996934</v>
      </c>
      <c r="D4" s="1">
        <f>'Kwh Consumption'!C5*' Kwh area wise $ '!B4</f>
        <v>104.39999999999714</v>
      </c>
      <c r="E4" s="1">
        <f>'Kwh Consumption'!D5*' Kwh area wise $ '!B4</f>
        <v>468.00000000002836</v>
      </c>
      <c r="F4" s="1">
        <f>'Kwh Consumption'!E5*' Kwh area wise $ '!B4</f>
        <v>43.200000000001637</v>
      </c>
      <c r="G4" s="1">
        <f>('Kwh Consumption'!F5+'Kwh Consumption'!G5+'Kwh Consumption'!H5)*' Kwh area wise $ '!B4</f>
        <v>169.19999999999959</v>
      </c>
      <c r="H4" s="16">
        <f>('Kwh Consumption'!I5+'Kwh Consumption'!J5)*' Kwh area wise $ '!B4</f>
        <v>62.999999999998977</v>
      </c>
      <c r="I4" s="1">
        <f>('Kwh Consumption'!K5+'Kwh Consumption'!L5)*' Kwh area wise $ '!B4</f>
        <v>234.00000000001612</v>
      </c>
      <c r="J4" s="1">
        <f>('Kwh Consumption'!M5+'Kwh Consumption'!N5+'Kwh Consumption'!O5+'Kwh Consumption'!P5+'Kwh Consumption'!Q5+'Kwh Consumption'!R5)*' Kwh area wise $ '!B4</f>
        <v>842.40000000003192</v>
      </c>
      <c r="K4" s="1">
        <f>('Kwh Consumption'!S5+'Kwh Consumption'!T5)*' Kwh area wise $ '!B4</f>
        <v>863.12880000019447</v>
      </c>
      <c r="L4" s="1">
        <f>'Kwh Consumption'!U5*' Kwh area wise $ '!B4</f>
        <v>27.000000000001023</v>
      </c>
      <c r="M4" s="1">
        <f>'Kwh Consumption'!V5*' Kwh area wise $ '!B4</f>
        <v>1167.271199999424</v>
      </c>
    </row>
    <row r="5" spans="1:13" x14ac:dyDescent="0.25">
      <c r="A5" s="14">
        <f>'Kwh Reading'!A6</f>
        <v>44503</v>
      </c>
      <c r="B5" s="11">
        <f>TOTAL!F4</f>
        <v>0.18</v>
      </c>
      <c r="C5" s="11">
        <f>'Kwh Consumption'!B6*' Kwh area wise $ '!B5</f>
        <v>3220.1999999999357</v>
      </c>
      <c r="D5" s="1">
        <f>'Kwh Consumption'!C6*' Kwh area wise $ '!B5</f>
        <v>77.400000000001228</v>
      </c>
      <c r="E5" s="1">
        <f>'Kwh Consumption'!D6*' Kwh area wise $ '!B5</f>
        <v>467.99999999994839</v>
      </c>
      <c r="F5" s="1">
        <f>'Kwh Consumption'!E6*' Kwh area wise $ '!B5</f>
        <v>50.399999999995089</v>
      </c>
      <c r="G5" s="1">
        <f>('Kwh Consumption'!F6+'Kwh Consumption'!G6+'Kwh Consumption'!H6)*' Kwh area wise $ '!B5</f>
        <v>192.600000000009</v>
      </c>
      <c r="H5" s="16">
        <f>('Kwh Consumption'!I6+'Kwh Consumption'!J6)*' Kwh area wise $ '!B5</f>
        <v>66.600000000005934</v>
      </c>
      <c r="I5" s="1">
        <f>('Kwh Consumption'!K6+'Kwh Consumption'!L6)*' Kwh area wise $ '!B5</f>
        <v>210.59999999998305</v>
      </c>
      <c r="J5" s="1">
        <f>('Kwh Consumption'!M6+'Kwh Consumption'!N6+'Kwh Consumption'!O6+'Kwh Consumption'!P6+'Kwh Consumption'!Q6+'Kwh Consumption'!R6)*' Kwh area wise $ '!B5</f>
        <v>653.39999999997872</v>
      </c>
      <c r="K5" s="1">
        <f>('Kwh Consumption'!S6+'Kwh Consumption'!T6)*' Kwh area wise $ '!B5</f>
        <v>681.9839999999665</v>
      </c>
      <c r="L5" s="1">
        <f>'Kwh Consumption'!U6*' Kwh area wise $ '!B5</f>
        <v>28.799999999999386</v>
      </c>
      <c r="M5" s="1">
        <f>'Kwh Consumption'!V6*' Kwh area wise $ '!B5</f>
        <v>790.41600000004826</v>
      </c>
    </row>
    <row r="6" spans="1:13" x14ac:dyDescent="0.25">
      <c r="A6" s="14">
        <f>'Kwh Reading'!A7</f>
        <v>44504</v>
      </c>
      <c r="B6" s="11">
        <f>TOTAL!F5</f>
        <v>0.18</v>
      </c>
      <c r="C6" s="11">
        <f>'Kwh Consumption'!B7*' Kwh area wise $ '!B6</f>
        <v>3396.6</v>
      </c>
      <c r="D6" s="1">
        <f>'Kwh Consumption'!C7*' Kwh area wise $ '!B6</f>
        <v>48.600000000006958</v>
      </c>
      <c r="E6" s="1">
        <f>'Kwh Consumption'!D7*' Kwh area wise $ '!B6</f>
        <v>485.99999999998641</v>
      </c>
      <c r="F6" s="1">
        <f>'Kwh Consumption'!E7*' Kwh area wise $ '!B6</f>
        <v>46.800000000008595</v>
      </c>
      <c r="G6" s="1">
        <f>('Kwh Consumption'!F7+'Kwh Consumption'!G7+'Kwh Consumption'!H7)*' Kwh area wise $ '!B6</f>
        <v>187.19999999999345</v>
      </c>
      <c r="H6" s="16">
        <f>('Kwh Consumption'!I7+'Kwh Consumption'!J7)*' Kwh area wise $ '!B6</f>
        <v>50.399999999995089</v>
      </c>
      <c r="I6" s="1">
        <f>('Kwh Consumption'!K7+'Kwh Consumption'!L7)*' Kwh area wise $ '!B6</f>
        <v>214.20000000001971</v>
      </c>
      <c r="J6" s="1">
        <f>('Kwh Consumption'!M7+'Kwh Consumption'!N7+'Kwh Consumption'!O7+'Kwh Consumption'!P7+'Kwh Consumption'!Q7+'Kwh Consumption'!R7)*' Kwh area wise $ '!B6</f>
        <v>687.60000000002947</v>
      </c>
      <c r="K6" s="1">
        <f>('Kwh Consumption'!S7+'Kwh Consumption'!T7)*' Kwh area wise $ '!B6</f>
        <v>585.67319999987262</v>
      </c>
      <c r="L6" s="1">
        <f>'Kwh Consumption'!U7*' Kwh area wise $ '!B6</f>
        <v>27.000000000001023</v>
      </c>
      <c r="M6" s="1">
        <f>'Kwh Consumption'!V7*' Kwh area wise $ '!B6</f>
        <v>1063.1268000000869</v>
      </c>
    </row>
    <row r="7" spans="1:13" x14ac:dyDescent="0.25">
      <c r="A7" s="14">
        <f>'Kwh Reading'!A8</f>
        <v>44505</v>
      </c>
      <c r="B7" s="11">
        <f>TOTAL!F6</f>
        <v>0.18</v>
      </c>
      <c r="C7" s="11">
        <f>'Kwh Consumption'!B8*' Kwh area wise $ '!B7</f>
        <v>3630.5999999998899</v>
      </c>
      <c r="D7" s="1">
        <f>'Kwh Consumption'!C8*' Kwh area wise $ '!B7</f>
        <v>88.199999999991405</v>
      </c>
      <c r="E7" s="1">
        <f>'Kwh Consumption'!D8*' Kwh area wise $ '!B7</f>
        <v>449.99999999999039</v>
      </c>
      <c r="F7" s="1">
        <f>'Kwh Consumption'!E8*' Kwh area wise $ '!B7</f>
        <v>45</v>
      </c>
      <c r="G7" s="1">
        <f>('Kwh Consumption'!F8+'Kwh Consumption'!G8+'Kwh Consumption'!H8)*' Kwh area wise $ '!B7</f>
        <v>176.40000000000327</v>
      </c>
      <c r="H7" s="16">
        <f>('Kwh Consumption'!I8+'Kwh Consumption'!J8)*' Kwh area wise $ '!B7</f>
        <v>39.599999999999795</v>
      </c>
      <c r="I7" s="1">
        <f>('Kwh Consumption'!K8+'Kwh Consumption'!L8)*' Kwh area wise $ '!B7</f>
        <v>228.59999999998104</v>
      </c>
      <c r="J7" s="1">
        <f>('Kwh Consumption'!M8+'Kwh Consumption'!N8+'Kwh Consumption'!O8+'Kwh Consumption'!P8+'Kwh Consumption'!Q8+'Kwh Consumption'!R8)*' Kwh area wise $ '!B7</f>
        <v>775.80000000001064</v>
      </c>
      <c r="K7" s="1">
        <f>('Kwh Consumption'!S8+'Kwh Consumption'!T8)*' Kwh area wise $ '!B7</f>
        <v>734.67720000017437</v>
      </c>
      <c r="L7" s="1">
        <f>'Kwh Consumption'!U8*' Kwh area wise $ '!B7</f>
        <v>27.000000000001023</v>
      </c>
      <c r="M7" s="1">
        <f>'Kwh Consumption'!V8*' Kwh area wise $ '!B7</f>
        <v>1065.3227999997382</v>
      </c>
    </row>
    <row r="8" spans="1:13" x14ac:dyDescent="0.25">
      <c r="A8" s="14">
        <f>'Kwh Reading'!A9</f>
        <v>44506</v>
      </c>
      <c r="B8" s="11">
        <f>TOTAL!F7</f>
        <v>0.18</v>
      </c>
      <c r="C8" s="11">
        <f>'Kwh Consumption'!B9*' Kwh area wise $ '!B8</f>
        <v>3934.8000000001866</v>
      </c>
      <c r="D8" s="1">
        <f>'Kwh Consumption'!C9*' Kwh area wise $ '!B8</f>
        <v>93.600000000006958</v>
      </c>
      <c r="E8" s="1">
        <f>'Kwh Consumption'!D9*' Kwh area wise $ '!B8</f>
        <v>504.00000000002439</v>
      </c>
      <c r="F8" s="1">
        <f>'Kwh Consumption'!E9*' Kwh area wise $ '!B8</f>
        <v>52.199999999993452</v>
      </c>
      <c r="G8" s="1">
        <f>('Kwh Consumption'!F9+'Kwh Consumption'!G9+'Kwh Consumption'!H9)*' Kwh area wise $ '!B8</f>
        <v>181.79999999999836</v>
      </c>
      <c r="H8" s="16">
        <f>('Kwh Consumption'!I9+'Kwh Consumption'!J9)*' Kwh area wise $ '!B8</f>
        <v>39.600000000004911</v>
      </c>
      <c r="I8" s="1">
        <f>('Kwh Consumption'!K9+'Kwh Consumption'!L9)*' Kwh area wise $ '!B8</f>
        <v>219.6000000000148</v>
      </c>
      <c r="J8" s="1">
        <f>('Kwh Consumption'!M9+'Kwh Consumption'!N9+'Kwh Consumption'!O9+'Kwh Consumption'!P9+'Kwh Consumption'!Q9+'Kwh Consumption'!R9)*' Kwh area wise $ '!B8</f>
        <v>892.79999999996562</v>
      </c>
      <c r="K8" s="1">
        <f>('Kwh Consumption'!S9+'Kwh Consumption'!T9)*' Kwh area wise $ '!B8</f>
        <v>826.90739999994628</v>
      </c>
      <c r="L8" s="1">
        <f>'Kwh Consumption'!U9*' Kwh area wise $ '!B8</f>
        <v>21.599999999995703</v>
      </c>
      <c r="M8" s="1">
        <f>'Kwh Consumption'!V9*' Kwh area wise $ '!B8</f>
        <v>1102.6926000002359</v>
      </c>
    </row>
    <row r="9" spans="1:13" x14ac:dyDescent="0.25">
      <c r="A9" s="14">
        <f>'Kwh Reading'!A10</f>
        <v>44507</v>
      </c>
      <c r="B9" s="11">
        <f>TOTAL!F8</f>
        <v>0.18</v>
      </c>
      <c r="C9" s="11">
        <f>'Kwh Consumption'!B10*' Kwh area wise $ '!B9</f>
        <v>0</v>
      </c>
      <c r="D9" s="1">
        <f>'Kwh Consumption'!C10*' Kwh area wise $ '!B9</f>
        <v>-86396.4</v>
      </c>
      <c r="E9" s="1">
        <f>'Kwh Consumption'!D10*' Kwh area wise $ '!B9</f>
        <v>-485676</v>
      </c>
      <c r="F9" s="1">
        <f>'Kwh Consumption'!E10*' Kwh area wise $ '!B9</f>
        <v>-47071.799999999996</v>
      </c>
      <c r="G9" s="1">
        <f>('Kwh Consumption'!F10+'Kwh Consumption'!G10+'Kwh Consumption'!H10)*' Kwh area wise $ '!B9</f>
        <v>-178446.6</v>
      </c>
      <c r="H9" s="16">
        <f>('Kwh Consumption'!I10+'Kwh Consumption'!J10)*' Kwh area wise $ '!B9</f>
        <v>-57733.2</v>
      </c>
      <c r="I9" s="1">
        <f>('Kwh Consumption'!K10+'Kwh Consumption'!L10)*' Kwh area wise $ '!B9</f>
        <v>-256001.4</v>
      </c>
      <c r="J9" s="1">
        <f>('Kwh Consumption'!M10+'Kwh Consumption'!N10+'Kwh Consumption'!O10+'Kwh Consumption'!P10+'Kwh Consumption'!Q10+'Kwh Consumption'!R10)*' Kwh area wise $ '!B9</f>
        <v>-726438.6</v>
      </c>
      <c r="K9" s="1">
        <f>('Kwh Consumption'!S10+'Kwh Consumption'!T10)*' Kwh area wise $ '!B9</f>
        <v>-2940966.5238000001</v>
      </c>
      <c r="L9" s="1">
        <f>'Kwh Consumption'!U10*' Kwh area wise $ '!B9</f>
        <v>-32380.199999999997</v>
      </c>
      <c r="M9" s="1">
        <f>'Kwh Consumption'!V10*' Kwh area wise $ '!B9</f>
        <v>4811110.7237999989</v>
      </c>
    </row>
    <row r="10" spans="1:13" x14ac:dyDescent="0.25">
      <c r="A10" s="14">
        <f>'Kwh Reading'!A11</f>
        <v>44508</v>
      </c>
      <c r="B10" s="11">
        <f>TOTAL!F9</f>
        <v>0.18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44509</v>
      </c>
      <c r="B11" s="11">
        <f>TOTAL!F10</f>
        <v>0.18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44510</v>
      </c>
      <c r="B12" s="11">
        <f>TOTAL!F11</f>
        <v>0.18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44511</v>
      </c>
      <c r="B13" s="11">
        <f>TOTAL!F12</f>
        <v>0.18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44512</v>
      </c>
      <c r="B14" s="11">
        <f>TOTAL!F13</f>
        <v>0.18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44513</v>
      </c>
      <c r="B15" s="11">
        <f>TOTAL!F14</f>
        <v>0.18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44514</v>
      </c>
      <c r="B16" s="11">
        <f>TOTAL!F15</f>
        <v>0.18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44515</v>
      </c>
      <c r="B17" s="11">
        <f>TOTAL!F16</f>
        <v>0.18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44516</v>
      </c>
      <c r="B18" s="11">
        <f>TOTAL!F17</f>
        <v>0.18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44517</v>
      </c>
      <c r="B19" s="11">
        <f>TOTAL!F18</f>
        <v>0.18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44518</v>
      </c>
      <c r="B20" s="11">
        <f>TOTAL!F19</f>
        <v>0.18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44519</v>
      </c>
      <c r="B21" s="11">
        <f>TOTAL!F20</f>
        <v>0.18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44520</v>
      </c>
      <c r="B22" s="11">
        <f>TOTAL!F21</f>
        <v>0.18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44521</v>
      </c>
      <c r="B23" s="11">
        <f>TOTAL!F22</f>
        <v>0.18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44522</v>
      </c>
      <c r="B24" s="11">
        <f>TOTAL!F23</f>
        <v>0.18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44523</v>
      </c>
      <c r="B25" s="11">
        <f>TOTAL!F24</f>
        <v>0.18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44524</v>
      </c>
      <c r="B26" s="11">
        <f>TOTAL!F25</f>
        <v>0.18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44525</v>
      </c>
      <c r="B27" s="11">
        <f>TOTAL!F26</f>
        <v>0.18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44526</v>
      </c>
      <c r="B28" s="11">
        <f>TOTAL!F27</f>
        <v>0.18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44527</v>
      </c>
      <c r="B29" s="11">
        <f>TOTAL!F28</f>
        <v>0.18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44528</v>
      </c>
      <c r="B30" s="11">
        <f>TOTAL!F29</f>
        <v>0.18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44529</v>
      </c>
      <c r="B31" s="11">
        <f>TOTAL!F30</f>
        <v>0.18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44530</v>
      </c>
      <c r="B32" s="11">
        <f>TOTAL!F31</f>
        <v>0.18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44531</v>
      </c>
      <c r="B33" s="11">
        <f>TOTAL!F32</f>
        <v>0.18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5" t="s">
        <v>52</v>
      </c>
      <c r="B34" s="145"/>
      <c r="C34" s="72">
        <f t="shared" ref="C34:L34" si="0">SUM(C3:C33)</f>
        <v>22757.399999999703</v>
      </c>
      <c r="D34" s="72">
        <f t="shared" si="0"/>
        <v>-85897.799999999988</v>
      </c>
      <c r="E34" s="72">
        <f t="shared" si="0"/>
        <v>-482796</v>
      </c>
      <c r="F34" s="72">
        <f t="shared" si="0"/>
        <v>-46783.8</v>
      </c>
      <c r="G34" s="72">
        <f t="shared" si="0"/>
        <v>-177337.80000000002</v>
      </c>
      <c r="H34" s="72">
        <f t="shared" si="0"/>
        <v>-57432.599999999991</v>
      </c>
      <c r="I34" s="72">
        <f t="shared" si="0"/>
        <v>-254653.2</v>
      </c>
      <c r="J34" s="72">
        <f t="shared" si="0"/>
        <v>-721683</v>
      </c>
      <c r="K34" s="72">
        <f t="shared" si="0"/>
        <v>-2936399.7744000005</v>
      </c>
      <c r="L34" s="72">
        <f t="shared" si="0"/>
        <v>-32207.4</v>
      </c>
      <c r="M34" s="72">
        <f>SUM(M3:M33)</f>
        <v>4817948.7743999986</v>
      </c>
      <c r="N34" s="81">
        <f>D34+E34+F34+G34+H34+I34+J34+K34+L34+M34</f>
        <v>22757.399999997579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9" sqref="R9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22" t="s">
        <v>93</v>
      </c>
      <c r="E2" s="122" t="s">
        <v>94</v>
      </c>
      <c r="F2" s="122" t="s">
        <v>95</v>
      </c>
      <c r="G2" s="122" t="s">
        <v>96</v>
      </c>
      <c r="H2" s="122" t="s">
        <v>97</v>
      </c>
      <c r="I2" s="122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44501</v>
      </c>
      <c r="B3" s="32">
        <v>190269</v>
      </c>
      <c r="C3" s="32">
        <v>154434</v>
      </c>
      <c r="D3" s="32">
        <v>227239</v>
      </c>
      <c r="E3" s="32">
        <v>254920</v>
      </c>
      <c r="F3" s="32">
        <v>67013</v>
      </c>
      <c r="G3" s="32">
        <v>113887</v>
      </c>
      <c r="H3" s="32">
        <v>57642</v>
      </c>
      <c r="I3" s="32">
        <v>67620</v>
      </c>
      <c r="J3" s="32">
        <v>21563</v>
      </c>
      <c r="K3" s="54">
        <v>1024</v>
      </c>
      <c r="L3" s="104">
        <v>18117</v>
      </c>
      <c r="M3" s="104">
        <v>25946</v>
      </c>
      <c r="N3" s="104">
        <v>8025</v>
      </c>
      <c r="O3" s="104">
        <v>1801</v>
      </c>
      <c r="P3" s="104">
        <v>28505</v>
      </c>
      <c r="Q3" s="104">
        <v>1088</v>
      </c>
      <c r="R3" s="104">
        <v>6919</v>
      </c>
    </row>
    <row r="4" spans="1:21" x14ac:dyDescent="0.25">
      <c r="A4" s="52">
        <v>44502</v>
      </c>
      <c r="B4" s="32">
        <v>190418</v>
      </c>
      <c r="C4" s="32">
        <v>154575</v>
      </c>
      <c r="D4" s="32">
        <v>227394</v>
      </c>
      <c r="E4" s="32">
        <v>254989</v>
      </c>
      <c r="F4" s="32">
        <v>67014</v>
      </c>
      <c r="G4" s="32">
        <v>113920</v>
      </c>
      <c r="H4" s="32">
        <v>57662</v>
      </c>
      <c r="I4" s="32">
        <v>67661</v>
      </c>
      <c r="J4" s="54">
        <v>21577</v>
      </c>
      <c r="K4" s="54">
        <v>1024</v>
      </c>
      <c r="L4" s="104">
        <v>18123</v>
      </c>
      <c r="M4" s="104">
        <v>25957</v>
      </c>
      <c r="N4" s="104">
        <v>8028</v>
      </c>
      <c r="O4" s="104">
        <v>1802</v>
      </c>
      <c r="P4" s="104">
        <v>28512</v>
      </c>
      <c r="Q4" s="104">
        <v>1088</v>
      </c>
      <c r="R4" s="104">
        <v>6925</v>
      </c>
    </row>
    <row r="5" spans="1:21" x14ac:dyDescent="0.25">
      <c r="A5" s="52">
        <v>44503</v>
      </c>
      <c r="B5" s="32">
        <v>190522</v>
      </c>
      <c r="C5" s="32">
        <v>154647</v>
      </c>
      <c r="D5" s="32">
        <v>227512</v>
      </c>
      <c r="E5" s="32">
        <v>255039</v>
      </c>
      <c r="F5" s="32">
        <v>67014</v>
      </c>
      <c r="G5" s="32">
        <v>113936</v>
      </c>
      <c r="H5" s="32">
        <v>57708</v>
      </c>
      <c r="I5" s="32">
        <v>67684</v>
      </c>
      <c r="J5" s="53">
        <v>21577</v>
      </c>
      <c r="K5" s="32">
        <v>1024</v>
      </c>
      <c r="L5" s="104">
        <v>18128</v>
      </c>
      <c r="M5" s="104">
        <v>25968</v>
      </c>
      <c r="N5" s="104">
        <v>8029</v>
      </c>
      <c r="O5" s="104">
        <v>1802</v>
      </c>
      <c r="P5" s="104">
        <v>28514</v>
      </c>
      <c r="Q5" s="104">
        <v>1088</v>
      </c>
      <c r="R5" s="104">
        <v>6932</v>
      </c>
    </row>
    <row r="6" spans="1:21" x14ac:dyDescent="0.25">
      <c r="A6" s="52">
        <v>44504</v>
      </c>
      <c r="B6" s="32">
        <v>190645</v>
      </c>
      <c r="C6" s="32">
        <v>155145</v>
      </c>
      <c r="D6" s="32">
        <v>227634</v>
      </c>
      <c r="E6" s="32">
        <v>255103</v>
      </c>
      <c r="F6" s="32">
        <v>67015</v>
      </c>
      <c r="G6" s="32">
        <v>113963</v>
      </c>
      <c r="H6" s="32">
        <v>57742</v>
      </c>
      <c r="I6" s="32">
        <v>67712</v>
      </c>
      <c r="J6" s="54">
        <v>21584</v>
      </c>
      <c r="K6" s="54">
        <v>1024</v>
      </c>
      <c r="L6" s="104">
        <v>18133</v>
      </c>
      <c r="M6" s="104">
        <v>25981</v>
      </c>
      <c r="N6" s="104">
        <v>8031</v>
      </c>
      <c r="O6" s="104">
        <v>1805</v>
      </c>
      <c r="P6" s="104">
        <v>28514</v>
      </c>
      <c r="Q6" s="104">
        <v>1088</v>
      </c>
      <c r="R6" s="104">
        <v>6939</v>
      </c>
    </row>
    <row r="7" spans="1:21" x14ac:dyDescent="0.25">
      <c r="A7" s="52">
        <v>44505</v>
      </c>
      <c r="B7" s="54">
        <v>190759</v>
      </c>
      <c r="C7" s="32">
        <v>155246</v>
      </c>
      <c r="D7" s="104">
        <v>227737</v>
      </c>
      <c r="E7" s="104">
        <v>255160</v>
      </c>
      <c r="F7" s="104">
        <v>67016</v>
      </c>
      <c r="G7" s="104">
        <v>113984</v>
      </c>
      <c r="H7" s="104">
        <v>57775</v>
      </c>
      <c r="I7" s="104">
        <v>67758</v>
      </c>
      <c r="J7" s="104">
        <v>21590</v>
      </c>
      <c r="K7" s="104">
        <v>1024</v>
      </c>
      <c r="L7" s="104">
        <v>18137</v>
      </c>
      <c r="M7" s="104">
        <v>25995</v>
      </c>
      <c r="N7" s="104">
        <v>8033</v>
      </c>
      <c r="O7" s="104">
        <v>1806</v>
      </c>
      <c r="P7" s="104">
        <v>28514</v>
      </c>
      <c r="Q7" s="104">
        <v>1088</v>
      </c>
      <c r="R7" s="104">
        <v>6940</v>
      </c>
    </row>
    <row r="8" spans="1:21" x14ac:dyDescent="0.25">
      <c r="A8" s="52">
        <v>44506</v>
      </c>
      <c r="B8" s="32">
        <v>190895</v>
      </c>
      <c r="C8" s="54">
        <v>155353</v>
      </c>
      <c r="D8" s="104">
        <v>227853</v>
      </c>
      <c r="E8" s="104">
        <v>255261</v>
      </c>
      <c r="F8" s="104">
        <v>67616</v>
      </c>
      <c r="G8" s="104">
        <v>114009</v>
      </c>
      <c r="H8" s="104">
        <v>57801</v>
      </c>
      <c r="I8" s="104">
        <v>67785</v>
      </c>
      <c r="J8" s="104">
        <v>21596</v>
      </c>
      <c r="K8" s="104">
        <v>1024</v>
      </c>
      <c r="L8" s="104">
        <v>18141</v>
      </c>
      <c r="M8" s="104">
        <v>26006</v>
      </c>
      <c r="N8" s="104">
        <v>8034</v>
      </c>
      <c r="O8" s="104">
        <v>1806</v>
      </c>
      <c r="P8" s="104">
        <v>28514</v>
      </c>
      <c r="Q8" s="104">
        <v>1088</v>
      </c>
      <c r="R8" s="104">
        <v>6946</v>
      </c>
    </row>
    <row r="9" spans="1:21" x14ac:dyDescent="0.25">
      <c r="A9" s="52">
        <v>44507</v>
      </c>
      <c r="B9" s="54">
        <v>191018</v>
      </c>
      <c r="C9" s="32">
        <v>155451</v>
      </c>
      <c r="D9" s="104">
        <v>227976</v>
      </c>
      <c r="E9" s="104">
        <v>255318</v>
      </c>
      <c r="F9" s="104">
        <v>67017</v>
      </c>
      <c r="G9" s="104">
        <v>114035</v>
      </c>
      <c r="H9" s="104">
        <v>57842</v>
      </c>
      <c r="I9" s="104">
        <v>67818</v>
      </c>
      <c r="J9" s="104">
        <v>21603</v>
      </c>
      <c r="K9" s="104">
        <v>1024</v>
      </c>
      <c r="L9" s="104">
        <v>18143</v>
      </c>
      <c r="M9" s="104">
        <v>26013</v>
      </c>
      <c r="N9" s="104">
        <v>8044</v>
      </c>
      <c r="O9" s="104">
        <v>1809</v>
      </c>
      <c r="P9" s="104">
        <v>28521</v>
      </c>
      <c r="Q9" s="104">
        <v>1088</v>
      </c>
      <c r="R9" s="104">
        <v>6952</v>
      </c>
    </row>
    <row r="10" spans="1:21" x14ac:dyDescent="0.25">
      <c r="A10" s="52">
        <v>44508</v>
      </c>
      <c r="B10" s="32"/>
      <c r="C10" s="5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</row>
    <row r="11" spans="1:21" x14ac:dyDescent="0.25">
      <c r="A11" s="52">
        <v>44509</v>
      </c>
      <c r="B11" s="54"/>
      <c r="C11" s="32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</row>
    <row r="12" spans="1:21" x14ac:dyDescent="0.25">
      <c r="A12" s="52">
        <v>44510</v>
      </c>
      <c r="B12" s="32"/>
      <c r="C12" s="5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</row>
    <row r="13" spans="1:21" x14ac:dyDescent="0.25">
      <c r="A13" s="52">
        <v>44511</v>
      </c>
      <c r="B13" s="54"/>
      <c r="C13" s="32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</row>
    <row r="14" spans="1:21" x14ac:dyDescent="0.25">
      <c r="A14" s="52">
        <v>44512</v>
      </c>
      <c r="B14" s="32"/>
      <c r="C14" s="32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</row>
    <row r="15" spans="1:21" x14ac:dyDescent="0.25">
      <c r="A15" s="52">
        <v>44513</v>
      </c>
      <c r="B15" s="32"/>
      <c r="C15" s="32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T15" s="102"/>
      <c r="U15" s="102"/>
    </row>
    <row r="16" spans="1:21" x14ac:dyDescent="0.25">
      <c r="A16" s="52">
        <v>44514</v>
      </c>
      <c r="B16" s="32"/>
      <c r="C16" s="5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</row>
    <row r="17" spans="1:22" x14ac:dyDescent="0.25">
      <c r="A17" s="52">
        <v>44515</v>
      </c>
      <c r="B17" s="32"/>
      <c r="C17" s="32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</row>
    <row r="18" spans="1:22" x14ac:dyDescent="0.25">
      <c r="A18" s="52">
        <v>44516</v>
      </c>
      <c r="B18" s="32"/>
      <c r="C18" s="5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U18" s="102"/>
    </row>
    <row r="19" spans="1:22" x14ac:dyDescent="0.25">
      <c r="A19" s="52">
        <v>44517</v>
      </c>
      <c r="B19" s="32"/>
      <c r="C19" s="32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</row>
    <row r="20" spans="1:22" x14ac:dyDescent="0.25">
      <c r="A20" s="52">
        <v>44518</v>
      </c>
      <c r="B20" s="32"/>
      <c r="C20" s="54"/>
      <c r="D20" s="105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</row>
    <row r="21" spans="1:22" x14ac:dyDescent="0.25">
      <c r="A21" s="52">
        <v>44519</v>
      </c>
      <c r="B21" s="32"/>
      <c r="C21" s="32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</row>
    <row r="22" spans="1:22" x14ac:dyDescent="0.25">
      <c r="A22" s="52">
        <v>44520</v>
      </c>
      <c r="B22" s="32"/>
      <c r="C22" s="5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</row>
    <row r="23" spans="1:22" x14ac:dyDescent="0.25">
      <c r="A23" s="52">
        <v>44521</v>
      </c>
      <c r="B23" s="32"/>
      <c r="C23" s="32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" t="s">
        <v>127</v>
      </c>
    </row>
    <row r="24" spans="1:22" x14ac:dyDescent="0.25">
      <c r="A24" s="52">
        <v>44522</v>
      </c>
      <c r="B24" s="32"/>
      <c r="C24" s="5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</row>
    <row r="25" spans="1:22" x14ac:dyDescent="0.25">
      <c r="A25" s="52">
        <v>44523</v>
      </c>
      <c r="B25" s="32"/>
      <c r="C25" s="32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</row>
    <row r="26" spans="1:22" x14ac:dyDescent="0.25">
      <c r="A26" s="52">
        <v>44524</v>
      </c>
      <c r="B26" s="32"/>
      <c r="C26" s="5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</row>
    <row r="27" spans="1:22" x14ac:dyDescent="0.25">
      <c r="A27" s="52">
        <v>44525</v>
      </c>
      <c r="B27" s="32"/>
      <c r="C27" s="32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</row>
    <row r="28" spans="1:22" x14ac:dyDescent="0.25">
      <c r="A28" s="52">
        <v>44526</v>
      </c>
      <c r="B28" s="32"/>
      <c r="C28" s="5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</row>
    <row r="29" spans="1:22" x14ac:dyDescent="0.25">
      <c r="A29" s="52">
        <v>44527</v>
      </c>
      <c r="B29" s="32"/>
      <c r="C29" s="32"/>
      <c r="D29" s="104"/>
      <c r="E29" s="104"/>
      <c r="F29" s="104"/>
      <c r="G29" s="104"/>
      <c r="H29" s="104"/>
      <c r="I29" s="105"/>
      <c r="J29" s="104"/>
      <c r="K29" s="104"/>
      <c r="L29" s="104"/>
      <c r="M29" s="104"/>
      <c r="N29" s="104"/>
      <c r="O29" s="104"/>
      <c r="P29" s="104"/>
      <c r="Q29" s="104"/>
      <c r="R29" s="104"/>
    </row>
    <row r="30" spans="1:22" x14ac:dyDescent="0.25">
      <c r="A30" s="52">
        <v>44528</v>
      </c>
      <c r="B30" s="32"/>
      <c r="C30" s="5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</row>
    <row r="31" spans="1:22" x14ac:dyDescent="0.25">
      <c r="A31" s="52">
        <v>44529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44530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44531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/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2"/>
      <c r="C37" s="10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W4" sqref="W4:W3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0" t="s">
        <v>31</v>
      </c>
      <c r="B2" s="151" t="s">
        <v>108</v>
      </c>
      <c r="C2" s="151" t="s">
        <v>109</v>
      </c>
      <c r="D2" s="151"/>
      <c r="E2" s="152" t="s">
        <v>97</v>
      </c>
      <c r="F2" s="149"/>
      <c r="G2" s="146" t="s">
        <v>112</v>
      </c>
      <c r="H2" s="149"/>
      <c r="I2" s="146" t="s">
        <v>110</v>
      </c>
      <c r="J2" s="149"/>
      <c r="K2" s="146" t="s">
        <v>111</v>
      </c>
      <c r="L2" s="149"/>
      <c r="M2" s="146" t="s">
        <v>107</v>
      </c>
      <c r="N2" s="149"/>
      <c r="O2" s="146" t="s">
        <v>106</v>
      </c>
      <c r="P2" s="149"/>
      <c r="Q2" s="146" t="s">
        <v>113</v>
      </c>
      <c r="R2" s="149"/>
      <c r="S2" s="146" t="s">
        <v>114</v>
      </c>
      <c r="T2" s="149"/>
      <c r="U2" s="146" t="s">
        <v>115</v>
      </c>
      <c r="V2" s="149"/>
      <c r="W2" s="146" t="s">
        <v>99</v>
      </c>
      <c r="X2" s="147"/>
      <c r="Y2" s="148" t="s">
        <v>52</v>
      </c>
      <c r="Z2" s="148"/>
    </row>
    <row r="3" spans="1:26" ht="30" x14ac:dyDescent="0.35">
      <c r="A3" s="150"/>
      <c r="B3" s="151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44501</v>
      </c>
      <c r="B4" s="63">
        <v>469</v>
      </c>
      <c r="C4" s="64">
        <f>('Water Reading'!B4-'Water Reading'!B3)+('Water Reading'!C4-'Water Reading'!C3)</f>
        <v>290</v>
      </c>
      <c r="D4" s="65">
        <f>C4/B4</f>
        <v>0.61833688699360345</v>
      </c>
      <c r="E4" s="84">
        <f>'Water Reading'!H4-'Water Reading'!H3</f>
        <v>20</v>
      </c>
      <c r="F4" s="85">
        <f>E4/C4</f>
        <v>6.8965517241379309E-2</v>
      </c>
      <c r="G4" s="89">
        <f>('Water Reading'!D4-'Water Reading'!D3)-('Water Reading'!R4-'Water Reading'!R3)-('Water Reading'!Q4-'Water Reading'!Q3)</f>
        <v>149</v>
      </c>
      <c r="H4" s="85">
        <f>G4/C4</f>
        <v>0.51379310344827589</v>
      </c>
      <c r="I4" s="86">
        <f>'Water Reading'!P4-'Water Reading'!P3</f>
        <v>7</v>
      </c>
      <c r="J4" s="66">
        <f>I4/C4</f>
        <v>2.4137931034482758E-2</v>
      </c>
      <c r="K4" s="87">
        <f>('Water Reading'!I4-'Water Reading'!I3)-('Water Reading'!P4-'Water Reading'!P3)</f>
        <v>34</v>
      </c>
      <c r="L4" s="66">
        <f>K4/C4</f>
        <v>0.11724137931034483</v>
      </c>
      <c r="M4" s="86">
        <f>'Water Reading'!R4-'Water Reading'!R3</f>
        <v>6</v>
      </c>
      <c r="N4" s="88">
        <f>M4/C4</f>
        <v>2.0689655172413793E-2</v>
      </c>
      <c r="O4" s="86">
        <f>'Water Reading'!Q4-'Water Reading'!Q3</f>
        <v>0</v>
      </c>
      <c r="P4" s="93">
        <f>O4/C4</f>
        <v>0</v>
      </c>
      <c r="Q4" s="87">
        <f>'Water Reading'!N4-'Water Reading'!N3</f>
        <v>3</v>
      </c>
      <c r="R4" s="94">
        <f>Q4/C4</f>
        <v>1.0344827586206896E-2</v>
      </c>
      <c r="S4" s="86">
        <f>'Water Reading'!M4-'Water Reading'!M3</f>
        <v>11</v>
      </c>
      <c r="T4" s="94">
        <f>S4/C4</f>
        <v>3.793103448275862E-2</v>
      </c>
      <c r="U4" s="86">
        <f>'Water Reading'!O4-'Water Reading'!O3</f>
        <v>1</v>
      </c>
      <c r="V4" s="94">
        <f>U4/C4</f>
        <v>3.4482758620689655E-3</v>
      </c>
      <c r="W4" s="86">
        <f>'Water Reading'!R4-'Water Reading'!R3</f>
        <v>6</v>
      </c>
      <c r="X4" s="94">
        <f>W4/C4</f>
        <v>2.0689655172413793E-2</v>
      </c>
      <c r="Y4" s="64">
        <f t="shared" ref="Y4:Y34" si="0">E4+I4+K4+M4+O4+G4+Q4+S4+U4+W4</f>
        <v>237</v>
      </c>
      <c r="Z4" s="65">
        <f t="shared" ref="Z4:Z35" si="1">Y4/B4</f>
        <v>0.50533049040511724</v>
      </c>
    </row>
    <row r="5" spans="1:26" x14ac:dyDescent="0.25">
      <c r="A5" s="8">
        <f>'Water Reading'!A4</f>
        <v>44502</v>
      </c>
      <c r="B5" s="63">
        <f>TOTAL!I3</f>
        <v>285</v>
      </c>
      <c r="C5" s="64">
        <f>('Water Reading'!B5-'Water Reading'!B4)+('Water Reading'!C5-'Water Reading'!C4)</f>
        <v>176</v>
      </c>
      <c r="D5" s="65">
        <f t="shared" ref="D5:D34" si="2">C5/B5</f>
        <v>0.61754385964912284</v>
      </c>
      <c r="E5" s="84">
        <f>'Water Reading'!H5-'Water Reading'!H4</f>
        <v>46</v>
      </c>
      <c r="F5" s="85">
        <f t="shared" ref="F5:F34" si="3">E5/C5</f>
        <v>0.26136363636363635</v>
      </c>
      <c r="G5" s="89">
        <f>('Water Reading'!D5-'Water Reading'!D4)-('Water Reading'!R5-'Water Reading'!R4)-('Water Reading'!Q5-'Water Reading'!Q4)</f>
        <v>111</v>
      </c>
      <c r="H5" s="85">
        <f t="shared" ref="H5:H34" si="4">G5/C5</f>
        <v>0.63068181818181823</v>
      </c>
      <c r="I5" s="86">
        <f>'Water Reading'!P5-'Water Reading'!P4</f>
        <v>2</v>
      </c>
      <c r="J5" s="66">
        <f t="shared" ref="J5:J34" si="5">I5/C5</f>
        <v>1.1363636363636364E-2</v>
      </c>
      <c r="K5" s="87">
        <f>('Water Reading'!I5-'Water Reading'!I4)-('Water Reading'!P5-'Water Reading'!P4)</f>
        <v>21</v>
      </c>
      <c r="L5" s="66">
        <f t="shared" ref="L5:L34" si="6">K5/C5</f>
        <v>0.11931818181818182</v>
      </c>
      <c r="M5" s="86">
        <f>'Water Reading'!R5-'Water Reading'!R4</f>
        <v>7</v>
      </c>
      <c r="N5" s="88">
        <f t="shared" ref="N5:N34" si="7">M5/C5</f>
        <v>3.9772727272727272E-2</v>
      </c>
      <c r="O5" s="86">
        <f>'Water Reading'!Q5-'Water Reading'!Q4</f>
        <v>0</v>
      </c>
      <c r="P5" s="93">
        <f t="shared" ref="P5:P34" si="8">O5/C5</f>
        <v>0</v>
      </c>
      <c r="Q5" s="87">
        <f>'Water Reading'!N5-'Water Reading'!N4</f>
        <v>1</v>
      </c>
      <c r="R5" s="94">
        <f t="shared" ref="R5:R34" si="9">Q5/C5</f>
        <v>5.681818181818182E-3</v>
      </c>
      <c r="S5" s="86">
        <f>'Water Reading'!M5-'Water Reading'!M4</f>
        <v>11</v>
      </c>
      <c r="T5" s="94">
        <f t="shared" ref="T5:T34" si="10">S5/C5</f>
        <v>6.25E-2</v>
      </c>
      <c r="U5" s="86">
        <f>'Water Reading'!O5-'Water Reading'!O4</f>
        <v>0</v>
      </c>
      <c r="V5" s="94">
        <f t="shared" ref="V5:V34" si="11">U5/C5</f>
        <v>0</v>
      </c>
      <c r="W5" s="86">
        <f>'Water Reading'!R5-'Water Reading'!R4</f>
        <v>7</v>
      </c>
      <c r="X5" s="94">
        <f t="shared" ref="X5:X34" si="12">W5/C5</f>
        <v>3.9772727272727272E-2</v>
      </c>
      <c r="Y5" s="64">
        <f t="shared" si="0"/>
        <v>206</v>
      </c>
      <c r="Z5" s="65">
        <f t="shared" si="1"/>
        <v>0.72280701754385968</v>
      </c>
    </row>
    <row r="6" spans="1:26" x14ac:dyDescent="0.25">
      <c r="A6" s="8">
        <f>'Water Reading'!A5</f>
        <v>44503</v>
      </c>
      <c r="B6" s="63">
        <f>TOTAL!I4</f>
        <v>270</v>
      </c>
      <c r="C6" s="64">
        <f>('Water Reading'!B6-'Water Reading'!B5)+('Water Reading'!C6-'Water Reading'!C5)</f>
        <v>621</v>
      </c>
      <c r="D6" s="65">
        <f t="shared" si="2"/>
        <v>2.2999999999999998</v>
      </c>
      <c r="E6" s="84">
        <f>'Water Reading'!H6-'Water Reading'!H5</f>
        <v>34</v>
      </c>
      <c r="F6" s="85">
        <f t="shared" si="3"/>
        <v>5.4750402576489533E-2</v>
      </c>
      <c r="G6" s="89">
        <f>('Water Reading'!D6-'Water Reading'!D5)-('Water Reading'!R6-'Water Reading'!R5)-('Water Reading'!Q6-'Water Reading'!Q5)</f>
        <v>115</v>
      </c>
      <c r="H6" s="85">
        <f t="shared" si="4"/>
        <v>0.18518518518518517</v>
      </c>
      <c r="I6" s="86">
        <f>'Water Reading'!P6-'Water Reading'!P5</f>
        <v>0</v>
      </c>
      <c r="J6" s="66">
        <f t="shared" si="5"/>
        <v>0</v>
      </c>
      <c r="K6" s="87">
        <f>('Water Reading'!I6-'Water Reading'!I5)-('Water Reading'!P6-'Water Reading'!P5)</f>
        <v>28</v>
      </c>
      <c r="L6" s="66">
        <f t="shared" si="6"/>
        <v>4.5088566827697261E-2</v>
      </c>
      <c r="M6" s="86">
        <f>'Water Reading'!R6-'Water Reading'!R5</f>
        <v>7</v>
      </c>
      <c r="N6" s="88">
        <f t="shared" si="7"/>
        <v>1.1272141706924315E-2</v>
      </c>
      <c r="O6" s="86">
        <f>'Water Reading'!Q6-'Water Reading'!Q5</f>
        <v>0</v>
      </c>
      <c r="P6" s="93">
        <f t="shared" si="8"/>
        <v>0</v>
      </c>
      <c r="Q6" s="87">
        <f>'Water Reading'!N6-'Water Reading'!N5</f>
        <v>2</v>
      </c>
      <c r="R6" s="94">
        <f t="shared" si="9"/>
        <v>3.2206119162640902E-3</v>
      </c>
      <c r="S6" s="86">
        <f>'Water Reading'!M6-'Water Reading'!M5</f>
        <v>13</v>
      </c>
      <c r="T6" s="94">
        <f t="shared" si="10"/>
        <v>2.0933977455716585E-2</v>
      </c>
      <c r="U6" s="86">
        <f>'Water Reading'!O6-'Water Reading'!O5</f>
        <v>3</v>
      </c>
      <c r="V6" s="94">
        <f t="shared" si="11"/>
        <v>4.830917874396135E-3</v>
      </c>
      <c r="W6" s="86">
        <f>'Water Reading'!R6-'Water Reading'!R5</f>
        <v>7</v>
      </c>
      <c r="X6" s="94">
        <f t="shared" si="12"/>
        <v>1.1272141706924315E-2</v>
      </c>
      <c r="Y6" s="64">
        <f t="shared" si="0"/>
        <v>209</v>
      </c>
      <c r="Z6" s="65">
        <f t="shared" si="1"/>
        <v>0.77407407407407403</v>
      </c>
    </row>
    <row r="7" spans="1:26" x14ac:dyDescent="0.25">
      <c r="A7" s="8">
        <f>'Water Reading'!A6</f>
        <v>44504</v>
      </c>
      <c r="B7" s="63">
        <f>TOTAL!I5</f>
        <v>235</v>
      </c>
      <c r="C7" s="64">
        <f>('Water Reading'!B7-'Water Reading'!B6)+('Water Reading'!C7-'Water Reading'!C6)</f>
        <v>215</v>
      </c>
      <c r="D7" s="65">
        <f t="shared" si="2"/>
        <v>0.91489361702127658</v>
      </c>
      <c r="E7" s="84">
        <f>'Water Reading'!H7-'Water Reading'!H6</f>
        <v>33</v>
      </c>
      <c r="F7" s="85">
        <f t="shared" si="3"/>
        <v>0.15348837209302327</v>
      </c>
      <c r="G7" s="89">
        <f>('Water Reading'!D7-'Water Reading'!D6)-('Water Reading'!R7-'Water Reading'!R6)-('Water Reading'!Q7-'Water Reading'!Q6)</f>
        <v>102</v>
      </c>
      <c r="H7" s="85">
        <f t="shared" si="4"/>
        <v>0.47441860465116281</v>
      </c>
      <c r="I7" s="86">
        <f>'Water Reading'!P7-'Water Reading'!P6</f>
        <v>0</v>
      </c>
      <c r="J7" s="66">
        <f t="shared" si="5"/>
        <v>0</v>
      </c>
      <c r="K7" s="87">
        <f>('Water Reading'!I7-'Water Reading'!I6)-('Water Reading'!P7-'Water Reading'!P6)</f>
        <v>46</v>
      </c>
      <c r="L7" s="66">
        <f t="shared" si="6"/>
        <v>0.21395348837209302</v>
      </c>
      <c r="M7" s="86">
        <f>'Water Reading'!R7-'Water Reading'!R6</f>
        <v>1</v>
      </c>
      <c r="N7" s="88">
        <f t="shared" si="7"/>
        <v>4.6511627906976744E-3</v>
      </c>
      <c r="O7" s="86">
        <f>'Water Reading'!Q7-'Water Reading'!Q6</f>
        <v>0</v>
      </c>
      <c r="P7" s="93">
        <f t="shared" si="8"/>
        <v>0</v>
      </c>
      <c r="Q7" s="87">
        <f>'Water Reading'!N7-'Water Reading'!N6</f>
        <v>2</v>
      </c>
      <c r="R7" s="94">
        <f t="shared" si="9"/>
        <v>9.3023255813953487E-3</v>
      </c>
      <c r="S7" s="86">
        <f>'Water Reading'!M7-'Water Reading'!M6</f>
        <v>14</v>
      </c>
      <c r="T7" s="94">
        <f t="shared" si="10"/>
        <v>6.5116279069767441E-2</v>
      </c>
      <c r="U7" s="86">
        <f>'Water Reading'!O7-'Water Reading'!O6</f>
        <v>1</v>
      </c>
      <c r="V7" s="94">
        <f t="shared" si="11"/>
        <v>4.6511627906976744E-3</v>
      </c>
      <c r="W7" s="86">
        <f>'Water Reading'!R7-'Water Reading'!R6</f>
        <v>1</v>
      </c>
      <c r="X7" s="94">
        <f t="shared" si="12"/>
        <v>4.6511627906976744E-3</v>
      </c>
      <c r="Y7" s="64">
        <f t="shared" si="0"/>
        <v>200</v>
      </c>
      <c r="Z7" s="65">
        <f t="shared" si="1"/>
        <v>0.85106382978723405</v>
      </c>
    </row>
    <row r="8" spans="1:26" x14ac:dyDescent="0.25">
      <c r="A8" s="8">
        <f>'Water Reading'!A7</f>
        <v>44505</v>
      </c>
      <c r="B8" s="63">
        <f>TOTAL!I6</f>
        <v>330</v>
      </c>
      <c r="C8" s="64">
        <f>('Water Reading'!B8-'Water Reading'!B7)+('Water Reading'!C8-'Water Reading'!C7)</f>
        <v>243</v>
      </c>
      <c r="D8" s="65">
        <f t="shared" si="2"/>
        <v>0.73636363636363633</v>
      </c>
      <c r="E8" s="84">
        <f>'Water Reading'!H8-'Water Reading'!H7</f>
        <v>26</v>
      </c>
      <c r="F8" s="85">
        <f t="shared" si="3"/>
        <v>0.10699588477366255</v>
      </c>
      <c r="G8" s="89">
        <f>('Water Reading'!D8-'Water Reading'!D7)-('Water Reading'!R8-'Water Reading'!R7)-('Water Reading'!Q8-'Water Reading'!Q7)</f>
        <v>110</v>
      </c>
      <c r="H8" s="85">
        <f t="shared" si="4"/>
        <v>0.45267489711934156</v>
      </c>
      <c r="I8" s="86">
        <f>'Water Reading'!P8-'Water Reading'!P7</f>
        <v>0</v>
      </c>
      <c r="J8" s="66">
        <f t="shared" si="5"/>
        <v>0</v>
      </c>
      <c r="K8" s="87">
        <f>('Water Reading'!I8-'Water Reading'!I7)-('Water Reading'!P8-'Water Reading'!P7)</f>
        <v>27</v>
      </c>
      <c r="L8" s="66">
        <f t="shared" si="6"/>
        <v>0.1111111111111111</v>
      </c>
      <c r="M8" s="86">
        <f>'Water Reading'!R8-'Water Reading'!R7</f>
        <v>6</v>
      </c>
      <c r="N8" s="88">
        <f t="shared" si="7"/>
        <v>2.4691358024691357E-2</v>
      </c>
      <c r="O8" s="86">
        <f>'Water Reading'!Q8-'Water Reading'!Q7</f>
        <v>0</v>
      </c>
      <c r="P8" s="93">
        <f t="shared" si="8"/>
        <v>0</v>
      </c>
      <c r="Q8" s="87">
        <f>'Water Reading'!N8-'Water Reading'!N7</f>
        <v>1</v>
      </c>
      <c r="R8" s="94">
        <f t="shared" si="9"/>
        <v>4.11522633744856E-3</v>
      </c>
      <c r="S8" s="86">
        <f>'Water Reading'!M8-'Water Reading'!M7</f>
        <v>11</v>
      </c>
      <c r="T8" s="94">
        <f t="shared" si="10"/>
        <v>4.5267489711934158E-2</v>
      </c>
      <c r="U8" s="86">
        <f>'Water Reading'!O8-'Water Reading'!O7</f>
        <v>0</v>
      </c>
      <c r="V8" s="94">
        <f t="shared" si="11"/>
        <v>0</v>
      </c>
      <c r="W8" s="86">
        <f>'Water Reading'!R8-'Water Reading'!R7</f>
        <v>6</v>
      </c>
      <c r="X8" s="94">
        <f t="shared" si="12"/>
        <v>2.4691358024691357E-2</v>
      </c>
      <c r="Y8" s="64">
        <f t="shared" si="0"/>
        <v>187</v>
      </c>
      <c r="Z8" s="65">
        <f t="shared" si="1"/>
        <v>0.56666666666666665</v>
      </c>
    </row>
    <row r="9" spans="1:26" x14ac:dyDescent="0.25">
      <c r="A9" s="8">
        <f>'Water Reading'!A8</f>
        <v>44506</v>
      </c>
      <c r="B9" s="63">
        <f>TOTAL!I7</f>
        <v>308</v>
      </c>
      <c r="C9" s="64">
        <f>('Water Reading'!B9-'Water Reading'!B8)+('Water Reading'!C9-'Water Reading'!C8)</f>
        <v>221</v>
      </c>
      <c r="D9" s="65">
        <f t="shared" si="2"/>
        <v>0.71753246753246758</v>
      </c>
      <c r="E9" s="84">
        <f>'Water Reading'!H9-'Water Reading'!H8</f>
        <v>41</v>
      </c>
      <c r="F9" s="85">
        <f t="shared" si="3"/>
        <v>0.18552036199095023</v>
      </c>
      <c r="G9" s="89">
        <f>('Water Reading'!D9-'Water Reading'!D8)-('Water Reading'!R9-'Water Reading'!R8)-('Water Reading'!Q9-'Water Reading'!Q8)</f>
        <v>117</v>
      </c>
      <c r="H9" s="85">
        <f t="shared" si="4"/>
        <v>0.52941176470588236</v>
      </c>
      <c r="I9" s="86">
        <f>'Water Reading'!P9-'Water Reading'!P8</f>
        <v>7</v>
      </c>
      <c r="J9" s="66">
        <f t="shared" si="5"/>
        <v>3.1674208144796379E-2</v>
      </c>
      <c r="K9" s="87">
        <f>('Water Reading'!I9-'Water Reading'!I8)-('Water Reading'!P9-'Water Reading'!P8)</f>
        <v>26</v>
      </c>
      <c r="L9" s="66">
        <f t="shared" si="6"/>
        <v>0.11764705882352941</v>
      </c>
      <c r="M9" s="86">
        <f>'Water Reading'!R9-'Water Reading'!R8</f>
        <v>6</v>
      </c>
      <c r="N9" s="88">
        <f t="shared" si="7"/>
        <v>2.7149321266968326E-2</v>
      </c>
      <c r="O9" s="86">
        <f>'Water Reading'!Q9-'Water Reading'!Q8</f>
        <v>0</v>
      </c>
      <c r="P9" s="93">
        <f t="shared" si="8"/>
        <v>0</v>
      </c>
      <c r="Q9" s="87">
        <f>'Water Reading'!N9-'Water Reading'!N8</f>
        <v>10</v>
      </c>
      <c r="R9" s="94">
        <f t="shared" si="9"/>
        <v>4.5248868778280542E-2</v>
      </c>
      <c r="S9" s="86">
        <f>'Water Reading'!M9-'Water Reading'!M8</f>
        <v>7</v>
      </c>
      <c r="T9" s="94">
        <f t="shared" si="10"/>
        <v>3.1674208144796379E-2</v>
      </c>
      <c r="U9" s="86">
        <f>'Water Reading'!O9-'Water Reading'!O8</f>
        <v>3</v>
      </c>
      <c r="V9" s="94">
        <f t="shared" si="11"/>
        <v>1.3574660633484163E-2</v>
      </c>
      <c r="W9" s="86">
        <f>'Water Reading'!R9-'Water Reading'!R8</f>
        <v>6</v>
      </c>
      <c r="X9" s="94">
        <f t="shared" si="12"/>
        <v>2.7149321266968326E-2</v>
      </c>
      <c r="Y9" s="64">
        <f t="shared" si="0"/>
        <v>223</v>
      </c>
      <c r="Z9" s="65">
        <f t="shared" si="1"/>
        <v>0.72402597402597402</v>
      </c>
    </row>
    <row r="10" spans="1:26" x14ac:dyDescent="0.25">
      <c r="A10" s="8">
        <f>'Water Reading'!A9</f>
        <v>44507</v>
      </c>
      <c r="B10" s="63">
        <f>TOTAL!I8</f>
        <v>0</v>
      </c>
      <c r="C10" s="64">
        <f>('Water Reading'!B10-'Water Reading'!B9)+('Water Reading'!C10-'Water Reading'!C9)</f>
        <v>-346469</v>
      </c>
      <c r="D10" s="65" t="e">
        <f t="shared" si="2"/>
        <v>#DIV/0!</v>
      </c>
      <c r="E10" s="84">
        <f>'Water Reading'!H10-'Water Reading'!H9</f>
        <v>-57842</v>
      </c>
      <c r="F10" s="85">
        <f t="shared" si="3"/>
        <v>0.16694711503770901</v>
      </c>
      <c r="G10" s="89">
        <f>('Water Reading'!D10-'Water Reading'!D9)-('Water Reading'!R10-'Water Reading'!R9)-('Water Reading'!Q10-'Water Reading'!Q9)</f>
        <v>-219936</v>
      </c>
      <c r="H10" s="85">
        <f t="shared" si="4"/>
        <v>0.63479272315849322</v>
      </c>
      <c r="I10" s="86">
        <f>'Water Reading'!P10-'Water Reading'!P9</f>
        <v>-28521</v>
      </c>
      <c r="J10" s="66">
        <f t="shared" si="5"/>
        <v>8.231905307545552E-2</v>
      </c>
      <c r="K10" s="87">
        <f>('Water Reading'!I10-'Water Reading'!I9)-('Water Reading'!P10-'Water Reading'!P9)</f>
        <v>-39297</v>
      </c>
      <c r="L10" s="66">
        <f t="shared" si="6"/>
        <v>0.11342140278062396</v>
      </c>
      <c r="M10" s="86">
        <f>'Water Reading'!R10-'Water Reading'!R9</f>
        <v>-6952</v>
      </c>
      <c r="N10" s="88">
        <f t="shared" si="7"/>
        <v>2.0065287226274212E-2</v>
      </c>
      <c r="O10" s="86">
        <f>'Water Reading'!Q10-'Water Reading'!Q9</f>
        <v>-1088</v>
      </c>
      <c r="P10" s="93">
        <f t="shared" si="8"/>
        <v>3.1402520860452162E-3</v>
      </c>
      <c r="Q10" s="87">
        <f>'Water Reading'!N10-'Water Reading'!N9</f>
        <v>-8044</v>
      </c>
      <c r="R10" s="94">
        <f t="shared" si="9"/>
        <v>2.3217084356753417E-2</v>
      </c>
      <c r="S10" s="86">
        <f>'Water Reading'!M10-'Water Reading'!M9</f>
        <v>-26013</v>
      </c>
      <c r="T10" s="94">
        <f t="shared" si="10"/>
        <v>7.5080310215343934E-2</v>
      </c>
      <c r="U10" s="86">
        <f>'Water Reading'!O10-'Water Reading'!O9</f>
        <v>-1809</v>
      </c>
      <c r="V10" s="94">
        <f t="shared" si="11"/>
        <v>5.2212463452718716E-3</v>
      </c>
      <c r="W10" s="86">
        <f>'Water Reading'!R10-'Water Reading'!R9</f>
        <v>-6952</v>
      </c>
      <c r="X10" s="94">
        <f t="shared" si="12"/>
        <v>2.0065287226274212E-2</v>
      </c>
      <c r="Y10" s="64">
        <f t="shared" si="0"/>
        <v>-396454</v>
      </c>
      <c r="Z10" s="65" t="e">
        <f t="shared" si="1"/>
        <v>#DIV/0!</v>
      </c>
    </row>
    <row r="11" spans="1:26" x14ac:dyDescent="0.25">
      <c r="A11" s="8">
        <f>'Water Reading'!A10</f>
        <v>44508</v>
      </c>
      <c r="B11" s="63">
        <f>TOTAL!I9</f>
        <v>0</v>
      </c>
      <c r="C11" s="64">
        <f>('Water Reading'!B11-'Water Reading'!B10)+('Water Reading'!C11-'Water Reading'!C10)</f>
        <v>0</v>
      </c>
      <c r="D11" s="65" t="e">
        <f t="shared" si="2"/>
        <v>#DIV/0!</v>
      </c>
      <c r="E11" s="84">
        <f>'Water Reading'!H11-'Water Reading'!H10</f>
        <v>0</v>
      </c>
      <c r="F11" s="85" t="e">
        <f t="shared" si="3"/>
        <v>#DIV/0!</v>
      </c>
      <c r="G11" s="89">
        <f>('Water Reading'!D11-'Water Reading'!D10)-('Water Reading'!R11-'Water Reading'!R10)-('Water Reading'!Q11-'Water Reading'!Q10)</f>
        <v>0</v>
      </c>
      <c r="H11" s="85" t="e">
        <f t="shared" si="4"/>
        <v>#DIV/0!</v>
      </c>
      <c r="I11" s="86">
        <f>'Water Reading'!P11-'Water Reading'!P10</f>
        <v>0</v>
      </c>
      <c r="J11" s="66" t="e">
        <f t="shared" si="5"/>
        <v>#DIV/0!</v>
      </c>
      <c r="K11" s="87">
        <f>('Water Reading'!I11-'Water Reading'!I10)-('Water Reading'!P11-'Water Reading'!P10)</f>
        <v>0</v>
      </c>
      <c r="L11" s="66" t="e">
        <f t="shared" si="6"/>
        <v>#DIV/0!</v>
      </c>
      <c r="M11" s="86">
        <f>'Water Reading'!R11-'Water Reading'!R10</f>
        <v>0</v>
      </c>
      <c r="N11" s="88" t="e">
        <f t="shared" si="7"/>
        <v>#DIV/0!</v>
      </c>
      <c r="O11" s="86">
        <f>'Water Reading'!Q11-'Water Reading'!Q10</f>
        <v>0</v>
      </c>
      <c r="P11" s="93" t="e">
        <f t="shared" si="8"/>
        <v>#DIV/0!</v>
      </c>
      <c r="Q11" s="87">
        <f>'Water Reading'!N11-'Water Reading'!N10</f>
        <v>0</v>
      </c>
      <c r="R11" s="94" t="e">
        <f t="shared" si="9"/>
        <v>#DIV/0!</v>
      </c>
      <c r="S11" s="86">
        <f>'Water Reading'!M11-'Water Reading'!M10</f>
        <v>0</v>
      </c>
      <c r="T11" s="94" t="e">
        <f t="shared" si="10"/>
        <v>#DIV/0!</v>
      </c>
      <c r="U11" s="86">
        <f>'Water Reading'!O11-'Water Reading'!O10</f>
        <v>0</v>
      </c>
      <c r="V11" s="94" t="e">
        <f t="shared" si="11"/>
        <v>#DIV/0!</v>
      </c>
      <c r="W11" s="86">
        <f>'Water Reading'!R11-'Water Reading'!R10</f>
        <v>0</v>
      </c>
      <c r="X11" s="94" t="e">
        <f t="shared" si="12"/>
        <v>#DIV/0!</v>
      </c>
      <c r="Y11" s="64">
        <f t="shared" si="0"/>
        <v>0</v>
      </c>
      <c r="Z11" s="65" t="e">
        <f t="shared" si="1"/>
        <v>#DIV/0!</v>
      </c>
    </row>
    <row r="12" spans="1:26" x14ac:dyDescent="0.25">
      <c r="A12" s="8">
        <f>'Water Reading'!A11</f>
        <v>44509</v>
      </c>
      <c r="B12" s="63">
        <f>TOTAL!I10</f>
        <v>0</v>
      </c>
      <c r="C12" s="64">
        <f>('Water Reading'!B12-'Water Reading'!B11)+('Water Reading'!C12-'Water Reading'!C11)</f>
        <v>0</v>
      </c>
      <c r="D12" s="65" t="e">
        <f t="shared" si="2"/>
        <v>#DIV/0!</v>
      </c>
      <c r="E12" s="84">
        <f>'Water Reading'!H12-'Water Reading'!H11</f>
        <v>0</v>
      </c>
      <c r="F12" s="85" t="e">
        <f t="shared" si="3"/>
        <v>#DIV/0!</v>
      </c>
      <c r="G12" s="89">
        <f>('Water Reading'!D12-'Water Reading'!D11)-('Water Reading'!R12-'Water Reading'!R11)-('Water Reading'!Q12-'Water Reading'!Q11)</f>
        <v>0</v>
      </c>
      <c r="H12" s="85" t="e">
        <f t="shared" si="4"/>
        <v>#DIV/0!</v>
      </c>
      <c r="I12" s="86">
        <f>'Water Reading'!P12-'Water Reading'!P11</f>
        <v>0</v>
      </c>
      <c r="J12" s="66" t="e">
        <f t="shared" si="5"/>
        <v>#DIV/0!</v>
      </c>
      <c r="K12" s="87">
        <f>('Water Reading'!I12-'Water Reading'!I11)-('Water Reading'!P12-'Water Reading'!P11)</f>
        <v>0</v>
      </c>
      <c r="L12" s="66" t="e">
        <f t="shared" si="6"/>
        <v>#DIV/0!</v>
      </c>
      <c r="M12" s="86">
        <f>'Water Reading'!R12-'Water Reading'!R11</f>
        <v>0</v>
      </c>
      <c r="N12" s="88" t="e">
        <f t="shared" si="7"/>
        <v>#DIV/0!</v>
      </c>
      <c r="O12" s="86">
        <f>'Water Reading'!Q12-'Water Reading'!Q11</f>
        <v>0</v>
      </c>
      <c r="P12" s="93" t="e">
        <f t="shared" si="8"/>
        <v>#DIV/0!</v>
      </c>
      <c r="Q12" s="87">
        <f>'Water Reading'!N12-'Water Reading'!N11</f>
        <v>0</v>
      </c>
      <c r="R12" s="94" t="e">
        <f t="shared" si="9"/>
        <v>#DIV/0!</v>
      </c>
      <c r="S12" s="86">
        <f>'Water Reading'!M12-'Water Reading'!M11</f>
        <v>0</v>
      </c>
      <c r="T12" s="94" t="e">
        <f t="shared" si="10"/>
        <v>#DIV/0!</v>
      </c>
      <c r="U12" s="86">
        <f>'Water Reading'!O12-'Water Reading'!O11</f>
        <v>0</v>
      </c>
      <c r="V12" s="94" t="e">
        <f t="shared" si="11"/>
        <v>#DIV/0!</v>
      </c>
      <c r="W12" s="86">
        <f>'Water Reading'!R12-'Water Reading'!R11</f>
        <v>0</v>
      </c>
      <c r="X12" s="94" t="e">
        <f t="shared" si="12"/>
        <v>#DIV/0!</v>
      </c>
      <c r="Y12" s="64">
        <f t="shared" si="0"/>
        <v>0</v>
      </c>
      <c r="Z12" s="65" t="e">
        <f t="shared" si="1"/>
        <v>#DIV/0!</v>
      </c>
    </row>
    <row r="13" spans="1:26" x14ac:dyDescent="0.25">
      <c r="A13" s="8">
        <f>'Water Reading'!A12</f>
        <v>44510</v>
      </c>
      <c r="B13" s="63">
        <f>TOTAL!I11</f>
        <v>0</v>
      </c>
      <c r="C13" s="64">
        <f>('Water Reading'!B13-'Water Reading'!B12)+('Water Reading'!C13-'Water Reading'!C12)</f>
        <v>0</v>
      </c>
      <c r="D13" s="65" t="e">
        <f t="shared" si="2"/>
        <v>#DIV/0!</v>
      </c>
      <c r="E13" s="84">
        <f>'Water Reading'!H13-'Water Reading'!H12</f>
        <v>0</v>
      </c>
      <c r="F13" s="85" t="e">
        <f t="shared" si="3"/>
        <v>#DIV/0!</v>
      </c>
      <c r="G13" s="89">
        <f>('Water Reading'!D13-'Water Reading'!D12)-('Water Reading'!R13-'Water Reading'!R12)-('Water Reading'!Q13-'Water Reading'!Q12)</f>
        <v>0</v>
      </c>
      <c r="H13" s="85" t="e">
        <f t="shared" si="4"/>
        <v>#DIV/0!</v>
      </c>
      <c r="I13" s="86">
        <f>'Water Reading'!P13-'Water Reading'!P12</f>
        <v>0</v>
      </c>
      <c r="J13" s="66" t="e">
        <f t="shared" si="5"/>
        <v>#DIV/0!</v>
      </c>
      <c r="K13" s="87">
        <f>('Water Reading'!I13-'Water Reading'!I12)-('Water Reading'!P13-'Water Reading'!P12)</f>
        <v>0</v>
      </c>
      <c r="L13" s="66" t="e">
        <f t="shared" si="6"/>
        <v>#DIV/0!</v>
      </c>
      <c r="M13" s="86">
        <f>'Water Reading'!R13-'Water Reading'!R12</f>
        <v>0</v>
      </c>
      <c r="N13" s="88" t="e">
        <f t="shared" si="7"/>
        <v>#DIV/0!</v>
      </c>
      <c r="O13" s="86">
        <f>'Water Reading'!Q13-'Water Reading'!Q12</f>
        <v>0</v>
      </c>
      <c r="P13" s="93" t="e">
        <f t="shared" si="8"/>
        <v>#DIV/0!</v>
      </c>
      <c r="Q13" s="87">
        <f>'Water Reading'!N13-'Water Reading'!N12</f>
        <v>0</v>
      </c>
      <c r="R13" s="94" t="e">
        <f t="shared" si="9"/>
        <v>#DIV/0!</v>
      </c>
      <c r="S13" s="86">
        <f>'Water Reading'!M13-'Water Reading'!M12</f>
        <v>0</v>
      </c>
      <c r="T13" s="94" t="e">
        <f t="shared" si="10"/>
        <v>#DIV/0!</v>
      </c>
      <c r="U13" s="86">
        <f>'Water Reading'!O13-'Water Reading'!O12</f>
        <v>0</v>
      </c>
      <c r="V13" s="94" t="e">
        <f t="shared" si="11"/>
        <v>#DIV/0!</v>
      </c>
      <c r="W13" s="86">
        <f>'Water Reading'!R13-'Water Reading'!R12</f>
        <v>0</v>
      </c>
      <c r="X13" s="94" t="e">
        <f t="shared" si="12"/>
        <v>#DIV/0!</v>
      </c>
      <c r="Y13" s="64">
        <f t="shared" si="0"/>
        <v>0</v>
      </c>
      <c r="Z13" s="65" t="e">
        <f t="shared" si="1"/>
        <v>#DIV/0!</v>
      </c>
    </row>
    <row r="14" spans="1:26" x14ac:dyDescent="0.25">
      <c r="A14" s="8">
        <f>'Water Reading'!A13</f>
        <v>44511</v>
      </c>
      <c r="B14" s="63">
        <f>TOTAL!I12</f>
        <v>0</v>
      </c>
      <c r="C14" s="64">
        <f>('Water Reading'!B14-'Water Reading'!B13)+('Water Reading'!C14-'Water Reading'!C13)</f>
        <v>0</v>
      </c>
      <c r="D14" s="65" t="e">
        <f t="shared" si="2"/>
        <v>#DIV/0!</v>
      </c>
      <c r="E14" s="84">
        <f>'Water Reading'!H14-'Water Reading'!H13</f>
        <v>0</v>
      </c>
      <c r="F14" s="85" t="e">
        <f t="shared" si="3"/>
        <v>#DIV/0!</v>
      </c>
      <c r="G14" s="89">
        <f>('Water Reading'!D14-'Water Reading'!D13)-('Water Reading'!R14-'Water Reading'!R13)-('Water Reading'!Q14-'Water Reading'!Q13)</f>
        <v>0</v>
      </c>
      <c r="H14" s="85" t="e">
        <f t="shared" si="4"/>
        <v>#DIV/0!</v>
      </c>
      <c r="I14" s="86">
        <f>'Water Reading'!P14-'Water Reading'!P13</f>
        <v>0</v>
      </c>
      <c r="J14" s="66" t="e">
        <f t="shared" si="5"/>
        <v>#DIV/0!</v>
      </c>
      <c r="K14" s="87">
        <f>('Water Reading'!I14-'Water Reading'!I13)-('Water Reading'!P14-'Water Reading'!P13)</f>
        <v>0</v>
      </c>
      <c r="L14" s="66" t="e">
        <f t="shared" si="6"/>
        <v>#DIV/0!</v>
      </c>
      <c r="M14" s="86">
        <f>'Water Reading'!R14-'Water Reading'!R13</f>
        <v>0</v>
      </c>
      <c r="N14" s="88" t="e">
        <f t="shared" si="7"/>
        <v>#DIV/0!</v>
      </c>
      <c r="O14" s="86">
        <f>'Water Reading'!Q14-'Water Reading'!Q13</f>
        <v>0</v>
      </c>
      <c r="P14" s="93" t="e">
        <f t="shared" si="8"/>
        <v>#DIV/0!</v>
      </c>
      <c r="Q14" s="87">
        <f>'Water Reading'!N14-'Water Reading'!N13</f>
        <v>0</v>
      </c>
      <c r="R14" s="94" t="e">
        <f t="shared" si="9"/>
        <v>#DIV/0!</v>
      </c>
      <c r="S14" s="86">
        <f>'Water Reading'!M14-'Water Reading'!M13</f>
        <v>0</v>
      </c>
      <c r="T14" s="94" t="e">
        <f t="shared" si="10"/>
        <v>#DIV/0!</v>
      </c>
      <c r="U14" s="86">
        <f>'Water Reading'!O14-'Water Reading'!O13</f>
        <v>0</v>
      </c>
      <c r="V14" s="94" t="e">
        <f t="shared" si="11"/>
        <v>#DIV/0!</v>
      </c>
      <c r="W14" s="86">
        <f>'Water Reading'!R14-'Water Reading'!R13</f>
        <v>0</v>
      </c>
      <c r="X14" s="94" t="e">
        <f t="shared" si="12"/>
        <v>#DIV/0!</v>
      </c>
      <c r="Y14" s="64">
        <f t="shared" si="0"/>
        <v>0</v>
      </c>
      <c r="Z14" s="65" t="e">
        <f t="shared" si="1"/>
        <v>#DIV/0!</v>
      </c>
    </row>
    <row r="15" spans="1:26" x14ac:dyDescent="0.25">
      <c r="A15" s="8">
        <f>'Water Reading'!A14</f>
        <v>44512</v>
      </c>
      <c r="B15" s="63">
        <f>TOTAL!I13</f>
        <v>0</v>
      </c>
      <c r="C15" s="64">
        <f>('Water Reading'!B15-'Water Reading'!B14)+('Water Reading'!C15-'Water Reading'!C14)</f>
        <v>0</v>
      </c>
      <c r="D15" s="65" t="e">
        <f t="shared" si="2"/>
        <v>#DIV/0!</v>
      </c>
      <c r="E15" s="84">
        <f>'Water Reading'!H15-'Water Reading'!H14</f>
        <v>0</v>
      </c>
      <c r="F15" s="85" t="e">
        <f t="shared" si="3"/>
        <v>#DIV/0!</v>
      </c>
      <c r="G15" s="89">
        <f>('Water Reading'!D15-'Water Reading'!D14)-('Water Reading'!R15-'Water Reading'!R14)-('Water Reading'!Q15-'Water Reading'!Q14)</f>
        <v>0</v>
      </c>
      <c r="H15" s="85" t="e">
        <f t="shared" si="4"/>
        <v>#DIV/0!</v>
      </c>
      <c r="I15" s="86">
        <f>'Water Reading'!P15-'Water Reading'!P14</f>
        <v>0</v>
      </c>
      <c r="J15" s="66" t="e">
        <f t="shared" si="5"/>
        <v>#DIV/0!</v>
      </c>
      <c r="K15" s="87">
        <f>('Water Reading'!I15-'Water Reading'!I14)-('Water Reading'!P15-'Water Reading'!P14)</f>
        <v>0</v>
      </c>
      <c r="L15" s="66" t="e">
        <f t="shared" si="6"/>
        <v>#DIV/0!</v>
      </c>
      <c r="M15" s="86">
        <f>'Water Reading'!R15-'Water Reading'!R14</f>
        <v>0</v>
      </c>
      <c r="N15" s="88" t="e">
        <f t="shared" si="7"/>
        <v>#DIV/0!</v>
      </c>
      <c r="O15" s="86">
        <f>'Water Reading'!Q15-'Water Reading'!Q14</f>
        <v>0</v>
      </c>
      <c r="P15" s="93" t="e">
        <f t="shared" si="8"/>
        <v>#DIV/0!</v>
      </c>
      <c r="Q15" s="87">
        <f>'Water Reading'!N15-'Water Reading'!N14</f>
        <v>0</v>
      </c>
      <c r="R15" s="94" t="e">
        <f t="shared" si="9"/>
        <v>#DIV/0!</v>
      </c>
      <c r="S15" s="86">
        <f>'Water Reading'!M15-'Water Reading'!M14</f>
        <v>0</v>
      </c>
      <c r="T15" s="94" t="e">
        <f t="shared" si="10"/>
        <v>#DIV/0!</v>
      </c>
      <c r="U15" s="86">
        <f>'Water Reading'!O15-'Water Reading'!O14</f>
        <v>0</v>
      </c>
      <c r="V15" s="94" t="e">
        <f t="shared" si="11"/>
        <v>#DIV/0!</v>
      </c>
      <c r="W15" s="86">
        <f>'Water Reading'!R15-'Water Reading'!R14</f>
        <v>0</v>
      </c>
      <c r="X15" s="94" t="e">
        <f t="shared" si="12"/>
        <v>#DIV/0!</v>
      </c>
      <c r="Y15" s="64">
        <f t="shared" si="0"/>
        <v>0</v>
      </c>
      <c r="Z15" s="65" t="e">
        <f t="shared" si="1"/>
        <v>#DIV/0!</v>
      </c>
    </row>
    <row r="16" spans="1:26" x14ac:dyDescent="0.25">
      <c r="A16" s="8">
        <f>'Water Reading'!A15</f>
        <v>44513</v>
      </c>
      <c r="B16" s="63">
        <f>TOTAL!I14</f>
        <v>0</v>
      </c>
      <c r="C16" s="64">
        <f>('Water Reading'!B16-'Water Reading'!B15)+('Water Reading'!C16-'Water Reading'!C15)</f>
        <v>0</v>
      </c>
      <c r="D16" s="65" t="e">
        <f t="shared" si="2"/>
        <v>#DIV/0!</v>
      </c>
      <c r="E16" s="84">
        <f>'Water Reading'!H16-'Water Reading'!H15</f>
        <v>0</v>
      </c>
      <c r="F16" s="85" t="e">
        <f t="shared" si="3"/>
        <v>#DIV/0!</v>
      </c>
      <c r="G16" s="89">
        <f>('Water Reading'!D16-'Water Reading'!D15)-('Water Reading'!R16-'Water Reading'!R15)-('Water Reading'!Q16-'Water Reading'!Q15)</f>
        <v>0</v>
      </c>
      <c r="H16" s="85" t="e">
        <f t="shared" si="4"/>
        <v>#DIV/0!</v>
      </c>
      <c r="I16" s="86">
        <f>'Water Reading'!P16-'Water Reading'!P15</f>
        <v>0</v>
      </c>
      <c r="J16" s="66" t="e">
        <f t="shared" si="5"/>
        <v>#DIV/0!</v>
      </c>
      <c r="K16" s="87">
        <f>('Water Reading'!I16-'Water Reading'!I15)-('Water Reading'!P16-'Water Reading'!P15)</f>
        <v>0</v>
      </c>
      <c r="L16" s="66" t="e">
        <f t="shared" si="6"/>
        <v>#DIV/0!</v>
      </c>
      <c r="M16" s="86">
        <f>'Water Reading'!R16-'Water Reading'!R15</f>
        <v>0</v>
      </c>
      <c r="N16" s="88" t="e">
        <f t="shared" si="7"/>
        <v>#DIV/0!</v>
      </c>
      <c r="O16" s="86">
        <f>'Water Reading'!Q16-'Water Reading'!Q15</f>
        <v>0</v>
      </c>
      <c r="P16" s="93" t="e">
        <f t="shared" si="8"/>
        <v>#DIV/0!</v>
      </c>
      <c r="Q16" s="87">
        <f>'Water Reading'!N16-'Water Reading'!N15</f>
        <v>0</v>
      </c>
      <c r="R16" s="94" t="e">
        <f t="shared" si="9"/>
        <v>#DIV/0!</v>
      </c>
      <c r="S16" s="86">
        <f>'Water Reading'!M16-'Water Reading'!M15</f>
        <v>0</v>
      </c>
      <c r="T16" s="94" t="e">
        <f t="shared" si="10"/>
        <v>#DIV/0!</v>
      </c>
      <c r="U16" s="86">
        <f>'Water Reading'!O16-'Water Reading'!O15</f>
        <v>0</v>
      </c>
      <c r="V16" s="94" t="e">
        <f t="shared" si="11"/>
        <v>#DIV/0!</v>
      </c>
      <c r="W16" s="86">
        <f>'Water Reading'!R16-'Water Reading'!R15</f>
        <v>0</v>
      </c>
      <c r="X16" s="94" t="e">
        <f t="shared" si="12"/>
        <v>#DIV/0!</v>
      </c>
      <c r="Y16" s="64">
        <f t="shared" si="0"/>
        <v>0</v>
      </c>
      <c r="Z16" s="65" t="e">
        <f t="shared" si="1"/>
        <v>#DIV/0!</v>
      </c>
    </row>
    <row r="17" spans="1:26" x14ac:dyDescent="0.25">
      <c r="A17" s="8">
        <f>'Water Reading'!A16</f>
        <v>44514</v>
      </c>
      <c r="B17" s="63">
        <f>TOTAL!I15</f>
        <v>0</v>
      </c>
      <c r="C17" s="64">
        <f>('Water Reading'!B17-'Water Reading'!B16)+('Water Reading'!C17-'Water Reading'!C16)</f>
        <v>0</v>
      </c>
      <c r="D17" s="65" t="e">
        <f t="shared" si="2"/>
        <v>#DIV/0!</v>
      </c>
      <c r="E17" s="84">
        <f>'Water Reading'!H17-'Water Reading'!H16</f>
        <v>0</v>
      </c>
      <c r="F17" s="85" t="e">
        <f t="shared" si="3"/>
        <v>#DIV/0!</v>
      </c>
      <c r="G17" s="89">
        <f>('Water Reading'!D17-'Water Reading'!D16)-('Water Reading'!R17-'Water Reading'!R16)-('Water Reading'!Q17-'Water Reading'!Q16)</f>
        <v>0</v>
      </c>
      <c r="H17" s="85" t="e">
        <f t="shared" si="4"/>
        <v>#DIV/0!</v>
      </c>
      <c r="I17" s="86">
        <f>'Water Reading'!P17-'Water Reading'!P16</f>
        <v>0</v>
      </c>
      <c r="J17" s="66" t="e">
        <f t="shared" si="5"/>
        <v>#DIV/0!</v>
      </c>
      <c r="K17" s="87">
        <f>('Water Reading'!I17-'Water Reading'!I16)-('Water Reading'!P17-'Water Reading'!P16)</f>
        <v>0</v>
      </c>
      <c r="L17" s="66" t="e">
        <f t="shared" si="6"/>
        <v>#DIV/0!</v>
      </c>
      <c r="M17" s="86">
        <f>'Water Reading'!R17-'Water Reading'!R16</f>
        <v>0</v>
      </c>
      <c r="N17" s="88" t="e">
        <f t="shared" si="7"/>
        <v>#DIV/0!</v>
      </c>
      <c r="O17" s="86">
        <f>'Water Reading'!Q17-'Water Reading'!Q16</f>
        <v>0</v>
      </c>
      <c r="P17" s="93" t="e">
        <f t="shared" si="8"/>
        <v>#DIV/0!</v>
      </c>
      <c r="Q17" s="87">
        <f>'Water Reading'!N17-'Water Reading'!N16</f>
        <v>0</v>
      </c>
      <c r="R17" s="94" t="e">
        <f t="shared" si="9"/>
        <v>#DIV/0!</v>
      </c>
      <c r="S17" s="86">
        <f>'Water Reading'!M17-'Water Reading'!M16</f>
        <v>0</v>
      </c>
      <c r="T17" s="94" t="e">
        <f t="shared" si="10"/>
        <v>#DIV/0!</v>
      </c>
      <c r="U17" s="86">
        <f>'Water Reading'!O17-'Water Reading'!O16</f>
        <v>0</v>
      </c>
      <c r="V17" s="94" t="e">
        <f t="shared" si="11"/>
        <v>#DIV/0!</v>
      </c>
      <c r="W17" s="86">
        <f>'Water Reading'!R17-'Water Reading'!R16</f>
        <v>0</v>
      </c>
      <c r="X17" s="94" t="e">
        <f t="shared" si="12"/>
        <v>#DIV/0!</v>
      </c>
      <c r="Y17" s="64">
        <f t="shared" si="0"/>
        <v>0</v>
      </c>
      <c r="Z17" s="65" t="e">
        <f t="shared" si="1"/>
        <v>#DIV/0!</v>
      </c>
    </row>
    <row r="18" spans="1:26" x14ac:dyDescent="0.25">
      <c r="A18" s="8">
        <f>'Water Reading'!A17</f>
        <v>44515</v>
      </c>
      <c r="B18" s="63">
        <f>TOTAL!I16</f>
        <v>0</v>
      </c>
      <c r="C18" s="64">
        <f>('Water Reading'!B18-'Water Reading'!B17)+('Water Reading'!C18-'Water Reading'!C17)</f>
        <v>0</v>
      </c>
      <c r="D18" s="65" t="e">
        <f t="shared" si="2"/>
        <v>#DIV/0!</v>
      </c>
      <c r="E18" s="84">
        <f>'Water Reading'!H18-'Water Reading'!H17</f>
        <v>0</v>
      </c>
      <c r="F18" s="85" t="e">
        <f t="shared" si="3"/>
        <v>#DIV/0!</v>
      </c>
      <c r="G18" s="89">
        <f>('Water Reading'!D18-'Water Reading'!D17)-('Water Reading'!R18-'Water Reading'!R17)-('Water Reading'!Q18-'Water Reading'!Q17)</f>
        <v>0</v>
      </c>
      <c r="H18" s="85" t="e">
        <f t="shared" si="4"/>
        <v>#DIV/0!</v>
      </c>
      <c r="I18" s="86">
        <f>'Water Reading'!P18-'Water Reading'!P17</f>
        <v>0</v>
      </c>
      <c r="J18" s="66" t="e">
        <f t="shared" si="5"/>
        <v>#DIV/0!</v>
      </c>
      <c r="K18" s="87">
        <f>('Water Reading'!I18-'Water Reading'!I17)-('Water Reading'!P18-'Water Reading'!P17)</f>
        <v>0</v>
      </c>
      <c r="L18" s="66" t="e">
        <f t="shared" si="6"/>
        <v>#DIV/0!</v>
      </c>
      <c r="M18" s="86">
        <f>'Water Reading'!R18-'Water Reading'!R17</f>
        <v>0</v>
      </c>
      <c r="N18" s="88" t="e">
        <f t="shared" si="7"/>
        <v>#DIV/0!</v>
      </c>
      <c r="O18" s="86">
        <f>'Water Reading'!Q18-'Water Reading'!Q17</f>
        <v>0</v>
      </c>
      <c r="P18" s="93" t="e">
        <f t="shared" si="8"/>
        <v>#DIV/0!</v>
      </c>
      <c r="Q18" s="87">
        <f>'Water Reading'!N18-'Water Reading'!N17</f>
        <v>0</v>
      </c>
      <c r="R18" s="94" t="e">
        <f t="shared" si="9"/>
        <v>#DIV/0!</v>
      </c>
      <c r="S18" s="86">
        <f>'Water Reading'!M18-'Water Reading'!M17</f>
        <v>0</v>
      </c>
      <c r="T18" s="94" t="e">
        <f t="shared" si="10"/>
        <v>#DIV/0!</v>
      </c>
      <c r="U18" s="86">
        <f>'Water Reading'!O18-'Water Reading'!O17</f>
        <v>0</v>
      </c>
      <c r="V18" s="94" t="e">
        <f t="shared" si="11"/>
        <v>#DIV/0!</v>
      </c>
      <c r="W18" s="86">
        <f>'Water Reading'!R18-'Water Reading'!R17</f>
        <v>0</v>
      </c>
      <c r="X18" s="94" t="e">
        <f t="shared" si="12"/>
        <v>#DIV/0!</v>
      </c>
      <c r="Y18" s="64">
        <f t="shared" si="0"/>
        <v>0</v>
      </c>
      <c r="Z18" s="65" t="e">
        <f t="shared" si="1"/>
        <v>#DIV/0!</v>
      </c>
    </row>
    <row r="19" spans="1:26" x14ac:dyDescent="0.25">
      <c r="A19" s="8">
        <f>'Water Reading'!A18</f>
        <v>44516</v>
      </c>
      <c r="B19" s="63">
        <f>TOTAL!I17</f>
        <v>0</v>
      </c>
      <c r="C19" s="64">
        <f>('Water Reading'!B19-'Water Reading'!B18)+('Water Reading'!C19-'Water Reading'!C18)</f>
        <v>0</v>
      </c>
      <c r="D19" s="65" t="e">
        <f t="shared" si="2"/>
        <v>#DIV/0!</v>
      </c>
      <c r="E19" s="84">
        <f>'Water Reading'!H19-'Water Reading'!H18</f>
        <v>0</v>
      </c>
      <c r="F19" s="85" t="e">
        <f t="shared" si="3"/>
        <v>#DIV/0!</v>
      </c>
      <c r="G19" s="89">
        <f>('Water Reading'!D19-'Water Reading'!D18)-('Water Reading'!R19-'Water Reading'!R18)-('Water Reading'!Q19-'Water Reading'!Q18)</f>
        <v>0</v>
      </c>
      <c r="H19" s="85" t="e">
        <f t="shared" si="4"/>
        <v>#DIV/0!</v>
      </c>
      <c r="I19" s="86">
        <f>'Water Reading'!P19-'Water Reading'!P18</f>
        <v>0</v>
      </c>
      <c r="J19" s="66" t="e">
        <f t="shared" si="5"/>
        <v>#DIV/0!</v>
      </c>
      <c r="K19" s="87">
        <f>('Water Reading'!I19-'Water Reading'!I18)-('Water Reading'!P19-'Water Reading'!P18)</f>
        <v>0</v>
      </c>
      <c r="L19" s="66" t="e">
        <f t="shared" si="6"/>
        <v>#DIV/0!</v>
      </c>
      <c r="M19" s="86">
        <f>'Water Reading'!R19-'Water Reading'!R18</f>
        <v>0</v>
      </c>
      <c r="N19" s="88" t="e">
        <f t="shared" si="7"/>
        <v>#DIV/0!</v>
      </c>
      <c r="O19" s="86">
        <f>'Water Reading'!Q19-'Water Reading'!Q18</f>
        <v>0</v>
      </c>
      <c r="P19" s="93" t="e">
        <f t="shared" si="8"/>
        <v>#DIV/0!</v>
      </c>
      <c r="Q19" s="87">
        <f>'Water Reading'!N19-'Water Reading'!N18</f>
        <v>0</v>
      </c>
      <c r="R19" s="94" t="e">
        <f t="shared" si="9"/>
        <v>#DIV/0!</v>
      </c>
      <c r="S19" s="86">
        <f>'Water Reading'!M19-'Water Reading'!M18</f>
        <v>0</v>
      </c>
      <c r="T19" s="94" t="e">
        <f t="shared" si="10"/>
        <v>#DIV/0!</v>
      </c>
      <c r="U19" s="86">
        <f>'Water Reading'!O19-'Water Reading'!O18</f>
        <v>0</v>
      </c>
      <c r="V19" s="94" t="e">
        <f t="shared" si="11"/>
        <v>#DIV/0!</v>
      </c>
      <c r="W19" s="86">
        <f>'Water Reading'!R19-'Water Reading'!R18</f>
        <v>0</v>
      </c>
      <c r="X19" s="94" t="e">
        <f t="shared" si="12"/>
        <v>#DIV/0!</v>
      </c>
      <c r="Y19" s="64">
        <f t="shared" si="0"/>
        <v>0</v>
      </c>
      <c r="Z19" s="65" t="e">
        <f t="shared" si="1"/>
        <v>#DIV/0!</v>
      </c>
    </row>
    <row r="20" spans="1:26" x14ac:dyDescent="0.25">
      <c r="A20" s="8">
        <f>'Water Reading'!A19</f>
        <v>44517</v>
      </c>
      <c r="B20" s="63">
        <f>TOTAL!I18</f>
        <v>0</v>
      </c>
      <c r="C20" s="64">
        <f>('Water Reading'!B20-'Water Reading'!B19)+('Water Reading'!C20-'Water Reading'!C19)</f>
        <v>0</v>
      </c>
      <c r="D20" s="65" t="e">
        <f t="shared" si="2"/>
        <v>#DIV/0!</v>
      </c>
      <c r="E20" s="84">
        <f>'Water Reading'!H20-'Water Reading'!H19</f>
        <v>0</v>
      </c>
      <c r="F20" s="85" t="e">
        <f t="shared" si="3"/>
        <v>#DIV/0!</v>
      </c>
      <c r="G20" s="89">
        <f>('Water Reading'!D20-'Water Reading'!D19)-('Water Reading'!R20-'Water Reading'!R19)-('Water Reading'!Q20-'Water Reading'!Q19)</f>
        <v>0</v>
      </c>
      <c r="H20" s="85" t="e">
        <f t="shared" si="4"/>
        <v>#DIV/0!</v>
      </c>
      <c r="I20" s="86">
        <f>'Water Reading'!P20-'Water Reading'!P19</f>
        <v>0</v>
      </c>
      <c r="J20" s="66" t="e">
        <f t="shared" si="5"/>
        <v>#DIV/0!</v>
      </c>
      <c r="K20" s="87">
        <f>('Water Reading'!I20-'Water Reading'!I19)-('Water Reading'!P20-'Water Reading'!P19)</f>
        <v>0</v>
      </c>
      <c r="L20" s="66" t="e">
        <f t="shared" si="6"/>
        <v>#DIV/0!</v>
      </c>
      <c r="M20" s="86">
        <f>'Water Reading'!R20-'Water Reading'!R19</f>
        <v>0</v>
      </c>
      <c r="N20" s="88" t="e">
        <f t="shared" si="7"/>
        <v>#DIV/0!</v>
      </c>
      <c r="O20" s="86">
        <f>'Water Reading'!Q20-'Water Reading'!Q19</f>
        <v>0</v>
      </c>
      <c r="P20" s="93" t="e">
        <f t="shared" si="8"/>
        <v>#DIV/0!</v>
      </c>
      <c r="Q20" s="87">
        <f>'Water Reading'!N20-'Water Reading'!N19</f>
        <v>0</v>
      </c>
      <c r="R20" s="94" t="e">
        <f t="shared" si="9"/>
        <v>#DIV/0!</v>
      </c>
      <c r="S20" s="86">
        <f>'Water Reading'!M20-'Water Reading'!M19</f>
        <v>0</v>
      </c>
      <c r="T20" s="94" t="e">
        <f t="shared" si="10"/>
        <v>#DIV/0!</v>
      </c>
      <c r="U20" s="86">
        <f>'Water Reading'!O20-'Water Reading'!O19</f>
        <v>0</v>
      </c>
      <c r="V20" s="94" t="e">
        <f t="shared" si="11"/>
        <v>#DIV/0!</v>
      </c>
      <c r="W20" s="86">
        <f>'Water Reading'!R20-'Water Reading'!R19</f>
        <v>0</v>
      </c>
      <c r="X20" s="94" t="e">
        <f t="shared" si="12"/>
        <v>#DIV/0!</v>
      </c>
      <c r="Y20" s="64">
        <f t="shared" si="0"/>
        <v>0</v>
      </c>
      <c r="Z20" s="65" t="e">
        <f t="shared" si="1"/>
        <v>#DIV/0!</v>
      </c>
    </row>
    <row r="21" spans="1:26" x14ac:dyDescent="0.25">
      <c r="A21" s="8">
        <f>'Water Reading'!A20</f>
        <v>44518</v>
      </c>
      <c r="B21" s="63">
        <f>TOTAL!I19</f>
        <v>0</v>
      </c>
      <c r="C21" s="64">
        <f>('Water Reading'!B21-'Water Reading'!B20)+('Water Reading'!C21-'Water Reading'!C20)</f>
        <v>0</v>
      </c>
      <c r="D21" s="65" t="e">
        <f t="shared" si="2"/>
        <v>#DIV/0!</v>
      </c>
      <c r="E21" s="84">
        <f>'Water Reading'!H21-'Water Reading'!H20</f>
        <v>0</v>
      </c>
      <c r="F21" s="85" t="e">
        <f t="shared" si="3"/>
        <v>#DIV/0!</v>
      </c>
      <c r="G21" s="89">
        <f>('Water Reading'!D21-'Water Reading'!D20)-('Water Reading'!R21-'Water Reading'!R20)-('Water Reading'!Q21-'Water Reading'!Q20)</f>
        <v>0</v>
      </c>
      <c r="H21" s="85" t="e">
        <f t="shared" si="4"/>
        <v>#DIV/0!</v>
      </c>
      <c r="I21" s="86">
        <f>'Water Reading'!P21-'Water Reading'!P20</f>
        <v>0</v>
      </c>
      <c r="J21" s="66" t="e">
        <f t="shared" si="5"/>
        <v>#DIV/0!</v>
      </c>
      <c r="K21" s="87">
        <f>('Water Reading'!I21-'Water Reading'!I20)-('Water Reading'!P21-'Water Reading'!P20)</f>
        <v>0</v>
      </c>
      <c r="L21" s="66" t="e">
        <f t="shared" si="6"/>
        <v>#DIV/0!</v>
      </c>
      <c r="M21" s="86">
        <f>'Water Reading'!R21-'Water Reading'!R20</f>
        <v>0</v>
      </c>
      <c r="N21" s="88" t="e">
        <f t="shared" si="7"/>
        <v>#DIV/0!</v>
      </c>
      <c r="O21" s="86">
        <f>'Water Reading'!Q21-'Water Reading'!Q20</f>
        <v>0</v>
      </c>
      <c r="P21" s="93" t="e">
        <f t="shared" si="8"/>
        <v>#DIV/0!</v>
      </c>
      <c r="Q21" s="87">
        <f>'Water Reading'!N21-'Water Reading'!N20</f>
        <v>0</v>
      </c>
      <c r="R21" s="94" t="e">
        <f t="shared" si="9"/>
        <v>#DIV/0!</v>
      </c>
      <c r="S21" s="86">
        <f>'Water Reading'!M21-'Water Reading'!M20</f>
        <v>0</v>
      </c>
      <c r="T21" s="94" t="e">
        <f t="shared" si="10"/>
        <v>#DIV/0!</v>
      </c>
      <c r="U21" s="86">
        <f>'Water Reading'!O21-'Water Reading'!O20</f>
        <v>0</v>
      </c>
      <c r="V21" s="94" t="e">
        <f t="shared" si="11"/>
        <v>#DIV/0!</v>
      </c>
      <c r="W21" s="86">
        <f>'Water Reading'!R21-'Water Reading'!R20</f>
        <v>0</v>
      </c>
      <c r="X21" s="94" t="e">
        <f t="shared" si="12"/>
        <v>#DIV/0!</v>
      </c>
      <c r="Y21" s="64">
        <f t="shared" si="0"/>
        <v>0</v>
      </c>
      <c r="Z21" s="65" t="e">
        <f t="shared" si="1"/>
        <v>#DIV/0!</v>
      </c>
    </row>
    <row r="22" spans="1:26" x14ac:dyDescent="0.25">
      <c r="A22" s="8">
        <f>'Water Reading'!A21</f>
        <v>44519</v>
      </c>
      <c r="B22" s="63">
        <f>TOTAL!I20</f>
        <v>0</v>
      </c>
      <c r="C22" s="64">
        <f>('Water Reading'!B22-'Water Reading'!B21)+('Water Reading'!C22-'Water Reading'!C21)</f>
        <v>0</v>
      </c>
      <c r="D22" s="65" t="e">
        <f t="shared" si="2"/>
        <v>#DIV/0!</v>
      </c>
      <c r="E22" s="84">
        <f>'Water Reading'!H22-'Water Reading'!H21</f>
        <v>0</v>
      </c>
      <c r="F22" s="85" t="e">
        <f t="shared" si="3"/>
        <v>#DIV/0!</v>
      </c>
      <c r="G22" s="89">
        <f>('Water Reading'!D22-'Water Reading'!D21)-('Water Reading'!R22-'Water Reading'!R21)-('Water Reading'!Q22-'Water Reading'!Q21)</f>
        <v>0</v>
      </c>
      <c r="H22" s="85" t="e">
        <f t="shared" si="4"/>
        <v>#DIV/0!</v>
      </c>
      <c r="I22" s="86">
        <f>'Water Reading'!P22-'Water Reading'!P21</f>
        <v>0</v>
      </c>
      <c r="J22" s="66" t="e">
        <f t="shared" si="5"/>
        <v>#DIV/0!</v>
      </c>
      <c r="K22" s="87">
        <f>('Water Reading'!I22-'Water Reading'!I21)-('Water Reading'!P22-'Water Reading'!P21)</f>
        <v>0</v>
      </c>
      <c r="L22" s="66" t="e">
        <f t="shared" si="6"/>
        <v>#DIV/0!</v>
      </c>
      <c r="M22" s="86">
        <f>'Water Reading'!R22-'Water Reading'!R21</f>
        <v>0</v>
      </c>
      <c r="N22" s="88" t="e">
        <f t="shared" si="7"/>
        <v>#DIV/0!</v>
      </c>
      <c r="O22" s="86">
        <f>'Water Reading'!Q22-'Water Reading'!Q21</f>
        <v>0</v>
      </c>
      <c r="P22" s="93" t="e">
        <f t="shared" si="8"/>
        <v>#DIV/0!</v>
      </c>
      <c r="Q22" s="87">
        <f>'Water Reading'!N22-'Water Reading'!N21</f>
        <v>0</v>
      </c>
      <c r="R22" s="94" t="e">
        <f t="shared" si="9"/>
        <v>#DIV/0!</v>
      </c>
      <c r="S22" s="86">
        <f>'Water Reading'!M22-'Water Reading'!M21</f>
        <v>0</v>
      </c>
      <c r="T22" s="94" t="e">
        <f t="shared" si="10"/>
        <v>#DIV/0!</v>
      </c>
      <c r="U22" s="86">
        <f>'Water Reading'!O22-'Water Reading'!O21</f>
        <v>0</v>
      </c>
      <c r="V22" s="94" t="e">
        <f t="shared" si="11"/>
        <v>#DIV/0!</v>
      </c>
      <c r="W22" s="86">
        <f>'Water Reading'!R22-'Water Reading'!R21</f>
        <v>0</v>
      </c>
      <c r="X22" s="94" t="e">
        <f t="shared" si="12"/>
        <v>#DIV/0!</v>
      </c>
      <c r="Y22" s="64">
        <f t="shared" si="0"/>
        <v>0</v>
      </c>
      <c r="Z22" s="65" t="e">
        <f t="shared" si="1"/>
        <v>#DIV/0!</v>
      </c>
    </row>
    <row r="23" spans="1:26" x14ac:dyDescent="0.25">
      <c r="A23" s="8">
        <f>'Water Reading'!A22</f>
        <v>44520</v>
      </c>
      <c r="B23" s="63">
        <f>TOTAL!I21</f>
        <v>0</v>
      </c>
      <c r="C23" s="64">
        <f>('Water Reading'!B23-'Water Reading'!B22)+('Water Reading'!C23-'Water Reading'!C22)</f>
        <v>0</v>
      </c>
      <c r="D23" s="65" t="e">
        <f t="shared" si="2"/>
        <v>#DIV/0!</v>
      </c>
      <c r="E23" s="84">
        <f>'Water Reading'!H23-'Water Reading'!H22</f>
        <v>0</v>
      </c>
      <c r="F23" s="85" t="e">
        <f t="shared" si="3"/>
        <v>#DIV/0!</v>
      </c>
      <c r="G23" s="89">
        <f>('Water Reading'!D23-'Water Reading'!D22)-('Water Reading'!R23-'Water Reading'!R22)-('Water Reading'!Q23-'Water Reading'!Q22)</f>
        <v>0</v>
      </c>
      <c r="H23" s="85" t="e">
        <f t="shared" si="4"/>
        <v>#DIV/0!</v>
      </c>
      <c r="I23" s="86">
        <f>'Water Reading'!P23-'Water Reading'!P22</f>
        <v>0</v>
      </c>
      <c r="J23" s="66" t="e">
        <f t="shared" si="5"/>
        <v>#DIV/0!</v>
      </c>
      <c r="K23" s="87">
        <f>('Water Reading'!I23-'Water Reading'!I22)-('Water Reading'!P23-'Water Reading'!P22)</f>
        <v>0</v>
      </c>
      <c r="L23" s="66" t="e">
        <f t="shared" si="6"/>
        <v>#DIV/0!</v>
      </c>
      <c r="M23" s="86">
        <f>'Water Reading'!R23-'Water Reading'!R22</f>
        <v>0</v>
      </c>
      <c r="N23" s="88" t="e">
        <f t="shared" si="7"/>
        <v>#DIV/0!</v>
      </c>
      <c r="O23" s="86">
        <f>'Water Reading'!Q23-'Water Reading'!Q22</f>
        <v>0</v>
      </c>
      <c r="P23" s="93" t="e">
        <f t="shared" si="8"/>
        <v>#DIV/0!</v>
      </c>
      <c r="Q23" s="87">
        <f>'Water Reading'!N23-'Water Reading'!N22</f>
        <v>0</v>
      </c>
      <c r="R23" s="94" t="e">
        <f t="shared" si="9"/>
        <v>#DIV/0!</v>
      </c>
      <c r="S23" s="86">
        <f>'Water Reading'!M23-'Water Reading'!M22</f>
        <v>0</v>
      </c>
      <c r="T23" s="94" t="e">
        <f t="shared" si="10"/>
        <v>#DIV/0!</v>
      </c>
      <c r="U23" s="86">
        <f>'Water Reading'!O23-'Water Reading'!O22</f>
        <v>0</v>
      </c>
      <c r="V23" s="94" t="e">
        <f t="shared" si="11"/>
        <v>#DIV/0!</v>
      </c>
      <c r="W23" s="86">
        <f>'Water Reading'!R23-'Water Reading'!R22</f>
        <v>0</v>
      </c>
      <c r="X23" s="94" t="e">
        <f t="shared" si="12"/>
        <v>#DIV/0!</v>
      </c>
      <c r="Y23" s="64">
        <f t="shared" si="0"/>
        <v>0</v>
      </c>
      <c r="Z23" s="65" t="e">
        <f t="shared" si="1"/>
        <v>#DIV/0!</v>
      </c>
    </row>
    <row r="24" spans="1:26" x14ac:dyDescent="0.25">
      <c r="A24" s="8">
        <f>'Water Reading'!A23</f>
        <v>44521</v>
      </c>
      <c r="B24" s="63">
        <f>TOTAL!I22</f>
        <v>0</v>
      </c>
      <c r="C24" s="64">
        <f>('Water Reading'!B24-'Water Reading'!B23)+('Water Reading'!C24-'Water Reading'!C23)</f>
        <v>0</v>
      </c>
      <c r="D24" s="65" t="e">
        <f t="shared" si="2"/>
        <v>#DIV/0!</v>
      </c>
      <c r="E24" s="84">
        <f>'Water Reading'!H24-'Water Reading'!H23</f>
        <v>0</v>
      </c>
      <c r="F24" s="85" t="e">
        <f t="shared" si="3"/>
        <v>#DIV/0!</v>
      </c>
      <c r="G24" s="89">
        <f>('Water Reading'!D24-'Water Reading'!D23)-('Water Reading'!R24-'Water Reading'!R23)-('Water Reading'!Q24-'Water Reading'!Q23)</f>
        <v>0</v>
      </c>
      <c r="H24" s="85" t="e">
        <f t="shared" si="4"/>
        <v>#DIV/0!</v>
      </c>
      <c r="I24" s="86">
        <f>'Water Reading'!P24-'Water Reading'!P23</f>
        <v>0</v>
      </c>
      <c r="J24" s="66" t="e">
        <f t="shared" si="5"/>
        <v>#DIV/0!</v>
      </c>
      <c r="K24" s="87">
        <f>('Water Reading'!I24-'Water Reading'!I23)-('Water Reading'!P24-'Water Reading'!P23)</f>
        <v>0</v>
      </c>
      <c r="L24" s="66" t="e">
        <f t="shared" si="6"/>
        <v>#DIV/0!</v>
      </c>
      <c r="M24" s="86">
        <f>'Water Reading'!R24-'Water Reading'!R23</f>
        <v>0</v>
      </c>
      <c r="N24" s="88" t="e">
        <f t="shared" si="7"/>
        <v>#DIV/0!</v>
      </c>
      <c r="O24" s="86">
        <f>'Water Reading'!Q24-'Water Reading'!Q23</f>
        <v>0</v>
      </c>
      <c r="P24" s="93" t="e">
        <f t="shared" si="8"/>
        <v>#DIV/0!</v>
      </c>
      <c r="Q24" s="87">
        <f>'Water Reading'!N24-'Water Reading'!N23</f>
        <v>0</v>
      </c>
      <c r="R24" s="94" t="e">
        <f t="shared" si="9"/>
        <v>#DIV/0!</v>
      </c>
      <c r="S24" s="86">
        <f>'Water Reading'!M24-'Water Reading'!M23</f>
        <v>0</v>
      </c>
      <c r="T24" s="94" t="e">
        <f t="shared" si="10"/>
        <v>#DIV/0!</v>
      </c>
      <c r="U24" s="86">
        <f>'Water Reading'!O24-'Water Reading'!O23</f>
        <v>0</v>
      </c>
      <c r="V24" s="94" t="e">
        <f t="shared" si="11"/>
        <v>#DIV/0!</v>
      </c>
      <c r="W24" s="86">
        <f>'Water Reading'!R24-'Water Reading'!R23</f>
        <v>0</v>
      </c>
      <c r="X24" s="94" t="e">
        <f t="shared" si="12"/>
        <v>#DIV/0!</v>
      </c>
      <c r="Y24" s="64">
        <f t="shared" si="0"/>
        <v>0</v>
      </c>
      <c r="Z24" s="65" t="e">
        <f t="shared" si="1"/>
        <v>#DIV/0!</v>
      </c>
    </row>
    <row r="25" spans="1:26" x14ac:dyDescent="0.25">
      <c r="A25" s="8">
        <f>'Water Reading'!A24</f>
        <v>44522</v>
      </c>
      <c r="B25" s="63">
        <f>TOTAL!I23</f>
        <v>0</v>
      </c>
      <c r="C25" s="64">
        <f>('Water Reading'!B25-'Water Reading'!B24)+('Water Reading'!C25-'Water Reading'!C24)</f>
        <v>0</v>
      </c>
      <c r="D25" s="65" t="e">
        <f t="shared" si="2"/>
        <v>#DIV/0!</v>
      </c>
      <c r="E25" s="84">
        <f>'Water Reading'!H25-'Water Reading'!H24</f>
        <v>0</v>
      </c>
      <c r="F25" s="85" t="e">
        <f t="shared" si="3"/>
        <v>#DIV/0!</v>
      </c>
      <c r="G25" s="89">
        <f>('Water Reading'!D25-'Water Reading'!D24)-('Water Reading'!R25-'Water Reading'!R24)-('Water Reading'!Q25-'Water Reading'!Q24)</f>
        <v>0</v>
      </c>
      <c r="H25" s="85" t="e">
        <f t="shared" si="4"/>
        <v>#DIV/0!</v>
      </c>
      <c r="I25" s="86">
        <f>'Water Reading'!P25-'Water Reading'!P24</f>
        <v>0</v>
      </c>
      <c r="J25" s="66" t="e">
        <f t="shared" si="5"/>
        <v>#DIV/0!</v>
      </c>
      <c r="K25" s="87">
        <f>('Water Reading'!I25-'Water Reading'!I24)-('Water Reading'!P25-'Water Reading'!P24)</f>
        <v>0</v>
      </c>
      <c r="L25" s="66" t="e">
        <f t="shared" si="6"/>
        <v>#DIV/0!</v>
      </c>
      <c r="M25" s="86">
        <f>'Water Reading'!R25-'Water Reading'!R24</f>
        <v>0</v>
      </c>
      <c r="N25" s="88" t="e">
        <f t="shared" si="7"/>
        <v>#DIV/0!</v>
      </c>
      <c r="O25" s="86">
        <f>'Water Reading'!Q25-'Water Reading'!Q24</f>
        <v>0</v>
      </c>
      <c r="P25" s="93" t="e">
        <f t="shared" si="8"/>
        <v>#DIV/0!</v>
      </c>
      <c r="Q25" s="87">
        <f>'Water Reading'!N25-'Water Reading'!N24</f>
        <v>0</v>
      </c>
      <c r="R25" s="94" t="e">
        <f t="shared" si="9"/>
        <v>#DIV/0!</v>
      </c>
      <c r="S25" s="86">
        <f>'Water Reading'!M25-'Water Reading'!M24</f>
        <v>0</v>
      </c>
      <c r="T25" s="94" t="e">
        <f t="shared" si="10"/>
        <v>#DIV/0!</v>
      </c>
      <c r="U25" s="86">
        <f>'Water Reading'!O25-'Water Reading'!O24</f>
        <v>0</v>
      </c>
      <c r="V25" s="94" t="e">
        <f t="shared" si="11"/>
        <v>#DIV/0!</v>
      </c>
      <c r="W25" s="86">
        <f>'Water Reading'!R25-'Water Reading'!R24</f>
        <v>0</v>
      </c>
      <c r="X25" s="94" t="e">
        <f t="shared" si="12"/>
        <v>#DIV/0!</v>
      </c>
      <c r="Y25" s="64">
        <f t="shared" si="0"/>
        <v>0</v>
      </c>
      <c r="Z25" s="65" t="e">
        <f t="shared" si="1"/>
        <v>#DIV/0!</v>
      </c>
    </row>
    <row r="26" spans="1:26" x14ac:dyDescent="0.25">
      <c r="A26" s="8">
        <f>'Water Reading'!A25</f>
        <v>44523</v>
      </c>
      <c r="B26" s="63">
        <f>TOTAL!I24</f>
        <v>0</v>
      </c>
      <c r="C26" s="64">
        <f>('Water Reading'!B26-'Water Reading'!B25)+('Water Reading'!C26-'Water Reading'!C25)</f>
        <v>0</v>
      </c>
      <c r="D26" s="65" t="e">
        <f t="shared" si="2"/>
        <v>#DIV/0!</v>
      </c>
      <c r="E26" s="84">
        <f>'Water Reading'!H26-'Water Reading'!H25</f>
        <v>0</v>
      </c>
      <c r="F26" s="85" t="e">
        <f t="shared" si="3"/>
        <v>#DIV/0!</v>
      </c>
      <c r="G26" s="89">
        <f>('Water Reading'!D26-'Water Reading'!D25)-('Water Reading'!R26-'Water Reading'!R25)-('Water Reading'!Q26-'Water Reading'!Q25)</f>
        <v>0</v>
      </c>
      <c r="H26" s="85" t="e">
        <f t="shared" si="4"/>
        <v>#DIV/0!</v>
      </c>
      <c r="I26" s="86">
        <f>'Water Reading'!P26-'Water Reading'!P25</f>
        <v>0</v>
      </c>
      <c r="J26" s="66" t="e">
        <f t="shared" si="5"/>
        <v>#DIV/0!</v>
      </c>
      <c r="K26" s="87">
        <f>('Water Reading'!I26-'Water Reading'!I25)-('Water Reading'!P26-'Water Reading'!P25)</f>
        <v>0</v>
      </c>
      <c r="L26" s="66" t="e">
        <f t="shared" si="6"/>
        <v>#DIV/0!</v>
      </c>
      <c r="M26" s="86">
        <f>'Water Reading'!R26-'Water Reading'!R25</f>
        <v>0</v>
      </c>
      <c r="N26" s="88" t="e">
        <f t="shared" si="7"/>
        <v>#DIV/0!</v>
      </c>
      <c r="O26" s="86">
        <f>'Water Reading'!Q26-'Water Reading'!Q25</f>
        <v>0</v>
      </c>
      <c r="P26" s="93" t="e">
        <f t="shared" si="8"/>
        <v>#DIV/0!</v>
      </c>
      <c r="Q26" s="87">
        <f>'Water Reading'!N26-'Water Reading'!N25</f>
        <v>0</v>
      </c>
      <c r="R26" s="94" t="e">
        <f t="shared" si="9"/>
        <v>#DIV/0!</v>
      </c>
      <c r="S26" s="86">
        <f>'Water Reading'!M26-'Water Reading'!M25</f>
        <v>0</v>
      </c>
      <c r="T26" s="94" t="e">
        <f t="shared" si="10"/>
        <v>#DIV/0!</v>
      </c>
      <c r="U26" s="86">
        <f>'Water Reading'!O26-'Water Reading'!O25</f>
        <v>0</v>
      </c>
      <c r="V26" s="94" t="e">
        <f t="shared" si="11"/>
        <v>#DIV/0!</v>
      </c>
      <c r="W26" s="86">
        <f>'Water Reading'!R26-'Water Reading'!R25</f>
        <v>0</v>
      </c>
      <c r="X26" s="94" t="e">
        <f t="shared" si="12"/>
        <v>#DIV/0!</v>
      </c>
      <c r="Y26" s="64">
        <f t="shared" si="0"/>
        <v>0</v>
      </c>
      <c r="Z26" s="65" t="e">
        <f t="shared" si="1"/>
        <v>#DIV/0!</v>
      </c>
    </row>
    <row r="27" spans="1:26" x14ac:dyDescent="0.25">
      <c r="A27" s="8">
        <f>'Water Reading'!A26</f>
        <v>44524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4">
        <f>'Water Reading'!H27-'Water Reading'!H26</f>
        <v>0</v>
      </c>
      <c r="F27" s="85" t="e">
        <f t="shared" si="3"/>
        <v>#DIV/0!</v>
      </c>
      <c r="G27" s="89">
        <f>('Water Reading'!D27-'Water Reading'!D26)-('Water Reading'!R27-'Water Reading'!R26)-('Water Reading'!Q27-'Water Reading'!Q26)</f>
        <v>0</v>
      </c>
      <c r="H27" s="85" t="e">
        <f t="shared" si="4"/>
        <v>#DIV/0!</v>
      </c>
      <c r="I27" s="86">
        <f>'Water Reading'!P27-'Water Reading'!P26</f>
        <v>0</v>
      </c>
      <c r="J27" s="66" t="e">
        <f t="shared" si="5"/>
        <v>#DIV/0!</v>
      </c>
      <c r="K27" s="87">
        <f>('Water Reading'!I27-'Water Reading'!I26)-('Water Reading'!P27-'Water Reading'!P26)</f>
        <v>0</v>
      </c>
      <c r="L27" s="66" t="e">
        <f t="shared" si="6"/>
        <v>#DIV/0!</v>
      </c>
      <c r="M27" s="86">
        <f>'Water Reading'!R27-'Water Reading'!R26</f>
        <v>0</v>
      </c>
      <c r="N27" s="88" t="e">
        <f t="shared" si="7"/>
        <v>#DIV/0!</v>
      </c>
      <c r="O27" s="86">
        <f>'Water Reading'!Q27-'Water Reading'!Q26</f>
        <v>0</v>
      </c>
      <c r="P27" s="93" t="e">
        <f t="shared" si="8"/>
        <v>#DIV/0!</v>
      </c>
      <c r="Q27" s="87">
        <f>'Water Reading'!N27-'Water Reading'!N26</f>
        <v>0</v>
      </c>
      <c r="R27" s="94" t="e">
        <f t="shared" si="9"/>
        <v>#DIV/0!</v>
      </c>
      <c r="S27" s="86">
        <f>'Water Reading'!M27-'Water Reading'!M26</f>
        <v>0</v>
      </c>
      <c r="T27" s="94" t="e">
        <f t="shared" si="10"/>
        <v>#DIV/0!</v>
      </c>
      <c r="U27" s="86">
        <f>'Water Reading'!O27-'Water Reading'!O26</f>
        <v>0</v>
      </c>
      <c r="V27" s="94" t="e">
        <f t="shared" si="11"/>
        <v>#DIV/0!</v>
      </c>
      <c r="W27" s="86">
        <f>'Water Reading'!R27-'Water Reading'!R26</f>
        <v>0</v>
      </c>
      <c r="X27" s="94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44525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4">
        <f>'Water Reading'!H28-'Water Reading'!H27</f>
        <v>0</v>
      </c>
      <c r="F28" s="85" t="e">
        <f t="shared" si="3"/>
        <v>#DIV/0!</v>
      </c>
      <c r="G28" s="89">
        <f>('Water Reading'!D28-'Water Reading'!D27)-('Water Reading'!R28-'Water Reading'!R27)-('Water Reading'!Q28-'Water Reading'!Q27)</f>
        <v>0</v>
      </c>
      <c r="H28" s="85" t="e">
        <f t="shared" si="4"/>
        <v>#DIV/0!</v>
      </c>
      <c r="I28" s="86">
        <f>'Water Reading'!P28-'Water Reading'!P27</f>
        <v>0</v>
      </c>
      <c r="J28" s="66" t="e">
        <f t="shared" si="5"/>
        <v>#DIV/0!</v>
      </c>
      <c r="K28" s="87">
        <f>('Water Reading'!I28-'Water Reading'!I27)-('Water Reading'!P28-'Water Reading'!P27)</f>
        <v>0</v>
      </c>
      <c r="L28" s="66" t="e">
        <f t="shared" si="6"/>
        <v>#DIV/0!</v>
      </c>
      <c r="M28" s="86">
        <f>'Water Reading'!R28-'Water Reading'!R27</f>
        <v>0</v>
      </c>
      <c r="N28" s="88" t="e">
        <f t="shared" si="7"/>
        <v>#DIV/0!</v>
      </c>
      <c r="O28" s="86">
        <f>'Water Reading'!Q28-'Water Reading'!Q27</f>
        <v>0</v>
      </c>
      <c r="P28" s="93" t="e">
        <f t="shared" si="8"/>
        <v>#DIV/0!</v>
      </c>
      <c r="Q28" s="87">
        <f>'Water Reading'!N28-'Water Reading'!N27</f>
        <v>0</v>
      </c>
      <c r="R28" s="94" t="e">
        <f t="shared" si="9"/>
        <v>#DIV/0!</v>
      </c>
      <c r="S28" s="86">
        <f>'Water Reading'!M28-'Water Reading'!M27</f>
        <v>0</v>
      </c>
      <c r="T28" s="94" t="e">
        <f t="shared" si="10"/>
        <v>#DIV/0!</v>
      </c>
      <c r="U28" s="86">
        <f>'Water Reading'!O28-'Water Reading'!O27</f>
        <v>0</v>
      </c>
      <c r="V28" s="94" t="e">
        <f t="shared" si="11"/>
        <v>#DIV/0!</v>
      </c>
      <c r="W28" s="86">
        <f>'Water Reading'!R28-'Water Reading'!R27</f>
        <v>0</v>
      </c>
      <c r="X28" s="94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44526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4">
        <f>'Water Reading'!H29-'Water Reading'!H28</f>
        <v>0</v>
      </c>
      <c r="F29" s="85" t="e">
        <f t="shared" si="3"/>
        <v>#DIV/0!</v>
      </c>
      <c r="G29" s="89">
        <f>('Water Reading'!D29-'Water Reading'!D28)-('Water Reading'!R29-'Water Reading'!R28)-('Water Reading'!Q29-'Water Reading'!Q28)</f>
        <v>0</v>
      </c>
      <c r="H29" s="85" t="e">
        <f t="shared" si="4"/>
        <v>#DIV/0!</v>
      </c>
      <c r="I29" s="86">
        <f>'Water Reading'!P29-'Water Reading'!P28</f>
        <v>0</v>
      </c>
      <c r="J29" s="66" t="e">
        <f t="shared" si="5"/>
        <v>#DIV/0!</v>
      </c>
      <c r="K29" s="87">
        <f>('Water Reading'!I29-'Water Reading'!I28)-('Water Reading'!P29-'Water Reading'!P28)</f>
        <v>0</v>
      </c>
      <c r="L29" s="66" t="e">
        <f t="shared" si="6"/>
        <v>#DIV/0!</v>
      </c>
      <c r="M29" s="86">
        <f>'Water Reading'!R29-'Water Reading'!R28</f>
        <v>0</v>
      </c>
      <c r="N29" s="88" t="e">
        <f t="shared" si="7"/>
        <v>#DIV/0!</v>
      </c>
      <c r="O29" s="86">
        <f>'Water Reading'!Q29-'Water Reading'!Q28</f>
        <v>0</v>
      </c>
      <c r="P29" s="93" t="e">
        <f t="shared" si="8"/>
        <v>#DIV/0!</v>
      </c>
      <c r="Q29" s="87">
        <f>'Water Reading'!N29-'Water Reading'!N28</f>
        <v>0</v>
      </c>
      <c r="R29" s="94" t="e">
        <f t="shared" si="9"/>
        <v>#DIV/0!</v>
      </c>
      <c r="S29" s="86">
        <f>'Water Reading'!M29-'Water Reading'!M28</f>
        <v>0</v>
      </c>
      <c r="T29" s="94" t="e">
        <f t="shared" si="10"/>
        <v>#DIV/0!</v>
      </c>
      <c r="U29" s="86">
        <f>'Water Reading'!O29-'Water Reading'!O28</f>
        <v>0</v>
      </c>
      <c r="V29" s="94" t="e">
        <f t="shared" si="11"/>
        <v>#DIV/0!</v>
      </c>
      <c r="W29" s="86">
        <f>'Water Reading'!R29-'Water Reading'!R28</f>
        <v>0</v>
      </c>
      <c r="X29" s="94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44527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4">
        <f>'Water Reading'!H30-'Water Reading'!H29</f>
        <v>0</v>
      </c>
      <c r="F30" s="85" t="e">
        <f t="shared" si="3"/>
        <v>#DIV/0!</v>
      </c>
      <c r="G30" s="89">
        <f>('Water Reading'!D30-'Water Reading'!D29)-('Water Reading'!R30-'Water Reading'!R29)-('Water Reading'!Q30-'Water Reading'!Q29)</f>
        <v>0</v>
      </c>
      <c r="H30" s="85" t="e">
        <f t="shared" si="4"/>
        <v>#DIV/0!</v>
      </c>
      <c r="I30" s="86">
        <f>'Water Reading'!P30-'Water Reading'!P29</f>
        <v>0</v>
      </c>
      <c r="J30" s="66" t="e">
        <f t="shared" si="5"/>
        <v>#DIV/0!</v>
      </c>
      <c r="K30" s="87">
        <f>('Water Reading'!I30-'Water Reading'!I29)-('Water Reading'!P30-'Water Reading'!P29)</f>
        <v>0</v>
      </c>
      <c r="L30" s="66" t="e">
        <f t="shared" si="6"/>
        <v>#DIV/0!</v>
      </c>
      <c r="M30" s="86">
        <f>'Water Reading'!R30-'Water Reading'!R29</f>
        <v>0</v>
      </c>
      <c r="N30" s="88" t="e">
        <f t="shared" si="7"/>
        <v>#DIV/0!</v>
      </c>
      <c r="O30" s="86">
        <f>'Water Reading'!Q30-'Water Reading'!Q29</f>
        <v>0</v>
      </c>
      <c r="P30" s="93" t="e">
        <f t="shared" si="8"/>
        <v>#DIV/0!</v>
      </c>
      <c r="Q30" s="87">
        <f>'Water Reading'!N30-'Water Reading'!N29</f>
        <v>0</v>
      </c>
      <c r="R30" s="94" t="e">
        <f t="shared" si="9"/>
        <v>#DIV/0!</v>
      </c>
      <c r="S30" s="86">
        <f>'Water Reading'!M30-'Water Reading'!M29</f>
        <v>0</v>
      </c>
      <c r="T30" s="94" t="e">
        <f t="shared" si="10"/>
        <v>#DIV/0!</v>
      </c>
      <c r="U30" s="86">
        <f>'Water Reading'!O30-'Water Reading'!O29</f>
        <v>0</v>
      </c>
      <c r="V30" s="94" t="e">
        <f t="shared" si="11"/>
        <v>#DIV/0!</v>
      </c>
      <c r="W30" s="86">
        <f>'Water Reading'!R30-'Water Reading'!R29</f>
        <v>0</v>
      </c>
      <c r="X30" s="94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44528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4">
        <f>'Water Reading'!H31-'Water Reading'!H30</f>
        <v>0</v>
      </c>
      <c r="F31" s="85" t="e">
        <f t="shared" si="3"/>
        <v>#DIV/0!</v>
      </c>
      <c r="G31" s="89">
        <f>('Water Reading'!D31-'Water Reading'!D30)-('Water Reading'!R31-'Water Reading'!R30)-('Water Reading'!Q31-'Water Reading'!Q30)</f>
        <v>0</v>
      </c>
      <c r="H31" s="85" t="e">
        <f t="shared" si="4"/>
        <v>#DIV/0!</v>
      </c>
      <c r="I31" s="86">
        <f>'Water Reading'!P31-'Water Reading'!P30</f>
        <v>0</v>
      </c>
      <c r="J31" s="66" t="e">
        <f t="shared" si="5"/>
        <v>#DIV/0!</v>
      </c>
      <c r="K31" s="87">
        <f>('Water Reading'!I31-'Water Reading'!I30)-('Water Reading'!P31-'Water Reading'!P30)</f>
        <v>0</v>
      </c>
      <c r="L31" s="66" t="e">
        <f t="shared" si="6"/>
        <v>#DIV/0!</v>
      </c>
      <c r="M31" s="86">
        <f>'Water Reading'!R31-'Water Reading'!R30</f>
        <v>0</v>
      </c>
      <c r="N31" s="88" t="e">
        <f t="shared" si="7"/>
        <v>#DIV/0!</v>
      </c>
      <c r="O31" s="86">
        <f>'Water Reading'!Q31-'Water Reading'!Q30</f>
        <v>0</v>
      </c>
      <c r="P31" s="93" t="e">
        <f t="shared" si="8"/>
        <v>#DIV/0!</v>
      </c>
      <c r="Q31" s="87">
        <f>'Water Reading'!N31-'Water Reading'!N30</f>
        <v>0</v>
      </c>
      <c r="R31" s="94" t="e">
        <f t="shared" si="9"/>
        <v>#DIV/0!</v>
      </c>
      <c r="S31" s="86">
        <f>'Water Reading'!M31-'Water Reading'!M30</f>
        <v>0</v>
      </c>
      <c r="T31" s="94" t="e">
        <f t="shared" si="10"/>
        <v>#DIV/0!</v>
      </c>
      <c r="U31" s="86">
        <f>'Water Reading'!O31-'Water Reading'!O30</f>
        <v>0</v>
      </c>
      <c r="V31" s="94" t="e">
        <f t="shared" si="11"/>
        <v>#DIV/0!</v>
      </c>
      <c r="W31" s="86">
        <f>'Water Reading'!R31-'Water Reading'!R30</f>
        <v>0</v>
      </c>
      <c r="X31" s="94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44529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4">
        <f>'Water Reading'!H32-'Water Reading'!H31</f>
        <v>0</v>
      </c>
      <c r="F32" s="85" t="e">
        <f t="shared" si="3"/>
        <v>#DIV/0!</v>
      </c>
      <c r="G32" s="89">
        <f>('Water Reading'!D32-'Water Reading'!D31)-('Water Reading'!R32-'Water Reading'!R31)-('Water Reading'!Q32-'Water Reading'!Q31)</f>
        <v>0</v>
      </c>
      <c r="H32" s="85" t="e">
        <f t="shared" si="4"/>
        <v>#DIV/0!</v>
      </c>
      <c r="I32" s="86">
        <f>'Water Reading'!P32-'Water Reading'!P31</f>
        <v>0</v>
      </c>
      <c r="J32" s="66" t="e">
        <f t="shared" si="5"/>
        <v>#DIV/0!</v>
      </c>
      <c r="K32" s="87">
        <f>('Water Reading'!I32-'Water Reading'!I31)-('Water Reading'!P32-'Water Reading'!P31)</f>
        <v>0</v>
      </c>
      <c r="L32" s="66" t="e">
        <f t="shared" si="6"/>
        <v>#DIV/0!</v>
      </c>
      <c r="M32" s="86">
        <f>'Water Reading'!R32-'Water Reading'!R31</f>
        <v>0</v>
      </c>
      <c r="N32" s="88" t="e">
        <f t="shared" si="7"/>
        <v>#DIV/0!</v>
      </c>
      <c r="O32" s="86">
        <f>'Water Reading'!Q32-'Water Reading'!Q31</f>
        <v>0</v>
      </c>
      <c r="P32" s="93" t="e">
        <f t="shared" si="8"/>
        <v>#DIV/0!</v>
      </c>
      <c r="Q32" s="87">
        <f>'Water Reading'!N32-'Water Reading'!N31</f>
        <v>0</v>
      </c>
      <c r="R32" s="94" t="e">
        <f t="shared" si="9"/>
        <v>#DIV/0!</v>
      </c>
      <c r="S32" s="86">
        <f>'Water Reading'!M32-'Water Reading'!M31</f>
        <v>0</v>
      </c>
      <c r="T32" s="94" t="e">
        <f t="shared" si="10"/>
        <v>#DIV/0!</v>
      </c>
      <c r="U32" s="86">
        <f>'Water Reading'!O32-'Water Reading'!O31</f>
        <v>0</v>
      </c>
      <c r="V32" s="94" t="e">
        <f t="shared" si="11"/>
        <v>#DIV/0!</v>
      </c>
      <c r="W32" s="86">
        <f>'Water Reading'!R32-'Water Reading'!R31</f>
        <v>0</v>
      </c>
      <c r="X32" s="94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44530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4">
        <f>'Water Reading'!H33-'Water Reading'!H32</f>
        <v>0</v>
      </c>
      <c r="F33" s="85" t="e">
        <f t="shared" si="3"/>
        <v>#DIV/0!</v>
      </c>
      <c r="G33" s="89">
        <f>('Water Reading'!D33-'Water Reading'!D32)-('Water Reading'!R33-'Water Reading'!R32)-('Water Reading'!Q33-'Water Reading'!Q32)</f>
        <v>0</v>
      </c>
      <c r="H33" s="85" t="e">
        <f t="shared" si="4"/>
        <v>#DIV/0!</v>
      </c>
      <c r="I33" s="86">
        <f>'Water Reading'!P33-'Water Reading'!P32</f>
        <v>0</v>
      </c>
      <c r="J33" s="66" t="e">
        <f t="shared" si="5"/>
        <v>#DIV/0!</v>
      </c>
      <c r="K33" s="87">
        <f>('Water Reading'!I33-'Water Reading'!I32)-('Water Reading'!P33-'Water Reading'!P32)</f>
        <v>0</v>
      </c>
      <c r="L33" s="66" t="e">
        <f t="shared" si="6"/>
        <v>#DIV/0!</v>
      </c>
      <c r="M33" s="86">
        <f>'Water Reading'!R33-'Water Reading'!R32</f>
        <v>0</v>
      </c>
      <c r="N33" s="88" t="e">
        <f t="shared" si="7"/>
        <v>#DIV/0!</v>
      </c>
      <c r="O33" s="86">
        <f>'Water Reading'!Q33-'Water Reading'!Q32</f>
        <v>0</v>
      </c>
      <c r="P33" s="93" t="e">
        <f t="shared" si="8"/>
        <v>#DIV/0!</v>
      </c>
      <c r="Q33" s="87">
        <f>'Water Reading'!N33-'Water Reading'!N32</f>
        <v>0</v>
      </c>
      <c r="R33" s="94" t="e">
        <f t="shared" si="9"/>
        <v>#DIV/0!</v>
      </c>
      <c r="S33" s="86">
        <f>'Water Reading'!M33-'Water Reading'!M32</f>
        <v>0</v>
      </c>
      <c r="T33" s="94" t="e">
        <f t="shared" si="10"/>
        <v>#DIV/0!</v>
      </c>
      <c r="U33" s="86">
        <f>'Water Reading'!O33-'Water Reading'!O32</f>
        <v>0</v>
      </c>
      <c r="V33" s="94" t="e">
        <f t="shared" si="11"/>
        <v>#DIV/0!</v>
      </c>
      <c r="W33" s="86">
        <f>'Water Reading'!R33-'Water Reading'!R32</f>
        <v>0</v>
      </c>
      <c r="X33" s="94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44531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4">
        <f>'Water Reading'!H34-'Water Reading'!H33</f>
        <v>0</v>
      </c>
      <c r="F34" s="85" t="e">
        <f t="shared" si="3"/>
        <v>#DIV/0!</v>
      </c>
      <c r="G34" s="89">
        <f>('Water Reading'!D34-'Water Reading'!D33)-('Water Reading'!R34-'Water Reading'!R33)-('Water Reading'!Q34-'Water Reading'!Q33)</f>
        <v>0</v>
      </c>
      <c r="H34" s="85" t="e">
        <f t="shared" si="4"/>
        <v>#DIV/0!</v>
      </c>
      <c r="I34" s="86">
        <f>'Water Reading'!P34-'Water Reading'!P33</f>
        <v>0</v>
      </c>
      <c r="J34" s="66" t="e">
        <f t="shared" si="5"/>
        <v>#DIV/0!</v>
      </c>
      <c r="K34" s="87">
        <f>('Water Reading'!I34-'Water Reading'!I33)-('Water Reading'!P34-'Water Reading'!P33)</f>
        <v>0</v>
      </c>
      <c r="L34" s="66" t="e">
        <f t="shared" si="6"/>
        <v>#DIV/0!</v>
      </c>
      <c r="M34" s="86">
        <f>'Water Reading'!R34-'Water Reading'!R33</f>
        <v>0</v>
      </c>
      <c r="N34" s="88" t="e">
        <f t="shared" si="7"/>
        <v>#DIV/0!</v>
      </c>
      <c r="O34" s="86">
        <f>'Water Reading'!Q34-'Water Reading'!Q33</f>
        <v>0</v>
      </c>
      <c r="P34" s="93" t="e">
        <f t="shared" si="8"/>
        <v>#DIV/0!</v>
      </c>
      <c r="Q34" s="87">
        <f>'Water Reading'!N34-'Water Reading'!N33</f>
        <v>0</v>
      </c>
      <c r="R34" s="94" t="e">
        <f t="shared" si="9"/>
        <v>#DIV/0!</v>
      </c>
      <c r="S34" s="86">
        <f>'Water Reading'!M34-'Water Reading'!M33</f>
        <v>0</v>
      </c>
      <c r="T34" s="94" t="e">
        <f t="shared" si="10"/>
        <v>#DIV/0!</v>
      </c>
      <c r="U34" s="86">
        <f>'Water Reading'!O34-'Water Reading'!O33</f>
        <v>0</v>
      </c>
      <c r="V34" s="94" t="e">
        <f t="shared" si="11"/>
        <v>#DIV/0!</v>
      </c>
      <c r="W34" s="86">
        <f>'Water Reading'!R34-'Water Reading'!R33</f>
        <v>0</v>
      </c>
      <c r="X34" s="94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2">
        <f>SUM(B4:B34)</f>
        <v>1897</v>
      </c>
      <c r="C35" s="72">
        <f>SUM(C4:C34)</f>
        <v>-344703</v>
      </c>
      <c r="D35" s="91">
        <f>C35/B35</f>
        <v>-181.7095413811281</v>
      </c>
      <c r="E35" s="7">
        <f>SUM(E4:E34)</f>
        <v>-57642</v>
      </c>
      <c r="F35" s="90">
        <f>E35/C35</f>
        <v>0.16722221738714196</v>
      </c>
      <c r="G35" s="72">
        <f>SUM(G4:G34)</f>
        <v>-219232</v>
      </c>
      <c r="H35" s="90">
        <f>G35/C35</f>
        <v>0.63600258773494867</v>
      </c>
      <c r="I35" s="7">
        <f>SUM(I4:I34)</f>
        <v>-28505</v>
      </c>
      <c r="J35" s="90">
        <f>I35/C35</f>
        <v>8.2694377478583006E-2</v>
      </c>
      <c r="K35" s="7">
        <f>SUM(K4:K34)</f>
        <v>-39115</v>
      </c>
      <c r="L35" s="90">
        <f>K35/C35</f>
        <v>0.11347449833624888</v>
      </c>
      <c r="M35" s="7">
        <f>SUM(M4:M34)</f>
        <v>-6919</v>
      </c>
      <c r="N35" s="90">
        <f>M35/C35</f>
        <v>2.0072352140828482E-2</v>
      </c>
      <c r="O35" s="7">
        <f>SUM(O4:O34)</f>
        <v>-1088</v>
      </c>
      <c r="P35" s="90">
        <f>O35/C35</f>
        <v>3.1563403857813826E-3</v>
      </c>
      <c r="Q35" s="7">
        <f>SUM(Q4:Q34)</f>
        <v>-8025</v>
      </c>
      <c r="R35" s="90">
        <f>Q35/C35</f>
        <v>2.3280911393286394E-2</v>
      </c>
      <c r="S35" s="72">
        <f>SUM(S4:S34)</f>
        <v>-25946</v>
      </c>
      <c r="T35" s="90">
        <f>S35/C35</f>
        <v>7.5270595266069634E-2</v>
      </c>
      <c r="U35" s="7">
        <f>SUM(U4:U34)</f>
        <v>-1801</v>
      </c>
      <c r="V35" s="90">
        <f>U35/C35</f>
        <v>5.2247877158017189E-3</v>
      </c>
      <c r="W35" s="7">
        <f>SUM(W4:W34)</f>
        <v>-6919</v>
      </c>
      <c r="X35" s="90">
        <f>W35/C35</f>
        <v>2.0072352140828482E-2</v>
      </c>
      <c r="Y35" s="72">
        <f>SUM(Y4:Y34)</f>
        <v>-395192</v>
      </c>
      <c r="Z35" s="90">
        <f t="shared" si="1"/>
        <v>-208.32472324723247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2021-11-07T04:25:11Z</dcterms:modified>
  <cp:category/>
  <cp:contentStatus/>
</cp:coreProperties>
</file>