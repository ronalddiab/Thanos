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07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905" documentId="11_8AB6EB61C68DA4EDA4C8C276088D67A68B5EEB74" xr6:coauthVersionLast="47" xr6:coauthVersionMax="47" xr10:uidLastSave="{CB9EECD1-C8E0-459A-84A3-2FDDEF5DF3AD}"/>
  <bookViews>
    <workbookView xWindow="0" yWindow="0" windowWidth="28800" windowHeight="12435" firstSheet="2" activeTab="2" xr2:uid="{00000000-000D-0000-FFFF-FFFF00000000}"/>
  </bookViews>
  <sheets>
    <sheet name="TOTAL" sheetId="3" r:id="rId1"/>
    <sheet name="Submetering " sheetId="4" r:id="rId2"/>
    <sheet name="FS Seychelles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0" i="1" l="1"/>
  <c r="V10" i="1"/>
  <c r="W10" i="1"/>
  <c r="X10" i="1"/>
  <c r="Y10" i="1"/>
  <c r="T10" i="1"/>
  <c r="O11" i="1"/>
  <c r="P11" i="1"/>
  <c r="Q11" i="1"/>
  <c r="R11" i="1"/>
  <c r="N11" i="1"/>
  <c r="R10" i="1"/>
  <c r="R14" i="1"/>
  <c r="R13" i="1"/>
  <c r="R12" i="1"/>
  <c r="R9" i="1"/>
  <c r="R8" i="1"/>
  <c r="R7" i="1"/>
  <c r="R6" i="1"/>
  <c r="R5" i="1"/>
  <c r="R4" i="1"/>
  <c r="R3" i="1"/>
  <c r="AC15" i="1"/>
  <c r="AC10" i="1"/>
  <c r="AB21" i="4"/>
  <c r="G21" i="3" s="1"/>
  <c r="AB22" i="4"/>
  <c r="AB23" i="4"/>
  <c r="G23" i="3" s="1"/>
  <c r="AB24" i="4"/>
  <c r="AB25" i="4"/>
  <c r="AB26" i="4"/>
  <c r="AB27" i="4"/>
  <c r="G27" i="3" s="1"/>
  <c r="AB28" i="4"/>
  <c r="AB29" i="4"/>
  <c r="G29" i="3" s="1"/>
  <c r="AB30" i="4"/>
  <c r="AB31" i="4"/>
  <c r="G31" i="3" s="1"/>
  <c r="AB3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2" i="4"/>
  <c r="G22" i="3"/>
  <c r="G24" i="3"/>
  <c r="G25" i="3"/>
  <c r="G26" i="3"/>
  <c r="G28" i="3"/>
  <c r="G30" i="3"/>
  <c r="G32" i="3"/>
  <c r="AB4" i="4" l="1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" i="4"/>
  <c r="O3" i="4"/>
  <c r="P3" i="4"/>
  <c r="Q3" i="4"/>
  <c r="R3" i="4"/>
  <c r="S3" i="4"/>
  <c r="AB3" i="4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U31" i="4"/>
  <c r="V31" i="4"/>
  <c r="W31" i="4"/>
  <c r="X31" i="4"/>
  <c r="Y31" i="4"/>
  <c r="Z31" i="4"/>
  <c r="AA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U32" i="4"/>
  <c r="V32" i="4"/>
  <c r="W32" i="4"/>
  <c r="X32" i="4"/>
  <c r="Y32" i="4"/>
  <c r="Z32" i="4"/>
  <c r="K32" i="3" s="1"/>
  <c r="AA32" i="4"/>
  <c r="G5" i="3"/>
  <c r="G10" i="3"/>
  <c r="G12" i="3"/>
  <c r="G13" i="3"/>
  <c r="G16" i="3"/>
  <c r="G18" i="3"/>
  <c r="G2" i="3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K31" i="3"/>
  <c r="I2" i="3"/>
  <c r="B3" i="3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4" i="3" l="1"/>
  <c r="F4" i="3" s="1"/>
  <c r="E25" i="3"/>
  <c r="F25" i="3" s="1"/>
  <c r="Q33" i="4"/>
  <c r="P33" i="4"/>
  <c r="O33" i="4"/>
  <c r="R33" i="4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32" i="3"/>
  <c r="F3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E31" i="3"/>
  <c r="F31" i="3" s="1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  <c r="R35" i="4" l="1"/>
</calcChain>
</file>

<file path=xl/sharedStrings.xml><?xml version="1.0" encoding="utf-8"?>
<sst xmlns="http://schemas.openxmlformats.org/spreadsheetml/2006/main" count="140" uniqueCount="73">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</sst>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4" fontId="14" fillId="0" borderId="11" xfId="0" applyNumberFormat="1" applyFont="1" applyBorder="1" applyAlignment="1">
      <alignment horizontal="right"/>
    </xf>
    <xf numFmtId="4" fontId="12" fillId="0" borderId="11" xfId="0" applyNumberFormat="1" applyFont="1" applyBorder="1"/>
    <xf numFmtId="2" fontId="12" fillId="0" borderId="15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2" fillId="0" borderId="17" xfId="0" applyNumberFormat="1" applyFont="1" applyBorder="1"/>
    <xf numFmtId="0" fontId="13" fillId="4" borderId="11" xfId="0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right"/>
    </xf>
    <xf numFmtId="4" fontId="12" fillId="0" borderId="13" xfId="0" applyNumberFormat="1" applyFont="1" applyBorder="1" applyAlignment="1">
      <alignment horizontal="right" vertical="center"/>
    </xf>
    <xf numFmtId="0" fontId="13" fillId="9" borderId="2" xfId="0" applyFont="1" applyFill="1" applyBorder="1" applyAlignment="1">
      <alignment vertical="center"/>
    </xf>
    <xf numFmtId="4" fontId="12" fillId="0" borderId="11" xfId="0" applyNumberFormat="1" applyFont="1" applyBorder="1" applyAlignment="1">
      <alignment horizontal="right"/>
    </xf>
    <xf numFmtId="2" fontId="15" fillId="0" borderId="17" xfId="0" applyNumberFormat="1" applyFont="1" applyBorder="1" applyAlignment="1">
      <alignment horizontal="right" wrapText="1"/>
    </xf>
    <xf numFmtId="0" fontId="16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M1" workbookViewId="0">
      <selection activeCell="K26" sqref="K26"/>
    </sheetView>
  </sheetViews>
  <sheetFormatPr defaultColWidth="11.5703125" defaultRowHeight="1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7</v>
      </c>
      <c r="D2" s="1">
        <v>2021</v>
      </c>
      <c r="E2" s="12">
        <f>'Submetering '!O2+'Submetering '!P2+'Submetering '!Q2+'Submetering '!R2+'Submetering '!S2</f>
        <v>30047</v>
      </c>
      <c r="F2" s="11">
        <f>('FS Seychelles'!R3*'FS Seychelles'!S3)/TOTAL!E2</f>
        <v>0.28704030352447835</v>
      </c>
      <c r="G2" s="12">
        <f>'Submetering '!AB2</f>
        <v>0</v>
      </c>
      <c r="H2" s="11">
        <v>17.5</v>
      </c>
      <c r="I2" s="12">
        <f>'FS Seychelles'!T3+'FS Seychelles'!V3+'FS Seychelles'!W3+'FS Seychelles'!X3</f>
        <v>383</v>
      </c>
      <c r="J2" s="11">
        <v>0</v>
      </c>
      <c r="K2" s="29">
        <f>'Submetering '!Z2</f>
        <v>122</v>
      </c>
      <c r="L2" s="11">
        <v>0</v>
      </c>
      <c r="M2" s="58">
        <f>'FS Seychelles'!B3</f>
        <v>75</v>
      </c>
    </row>
    <row r="3" spans="1:13" s="15" customFormat="1">
      <c r="A3" s="1" t="s">
        <v>13</v>
      </c>
      <c r="B3" s="14">
        <f>B2+1</f>
        <v>2</v>
      </c>
      <c r="C3" s="11">
        <v>7</v>
      </c>
      <c r="D3" s="1">
        <v>2021</v>
      </c>
      <c r="E3" s="12">
        <f>'Submetering '!O3+'Submetering '!P3+'Submetering '!Q3+'Submetering '!R3+'Submetering '!S3</f>
        <v>25438</v>
      </c>
      <c r="F3" s="11">
        <f>('FS Seychelles'!R4*'FS Seychelles'!S4)/TOTAL!E3</f>
        <v>0.2673913043478261</v>
      </c>
      <c r="G3" s="12">
        <f>'Submetering '!AB3</f>
        <v>0</v>
      </c>
      <c r="H3" s="11">
        <f>H2</f>
        <v>17.5</v>
      </c>
      <c r="I3" s="12">
        <f>'FS Seychelles'!T4+'FS Seychelles'!V4+'FS Seychelles'!W4+'FS Seychelles'!X4</f>
        <v>439</v>
      </c>
      <c r="J3" s="11">
        <f>J2</f>
        <v>0</v>
      </c>
      <c r="K3" s="29">
        <f>'Submetering '!Z3</f>
        <v>111</v>
      </c>
      <c r="L3" s="11">
        <f>L2</f>
        <v>0</v>
      </c>
      <c r="M3" s="58">
        <f>'FS Seychelles'!B4</f>
        <v>70.13</v>
      </c>
    </row>
    <row r="4" spans="1:13" s="15" customFormat="1">
      <c r="A4" s="1" t="s">
        <v>13</v>
      </c>
      <c r="B4" s="14">
        <f t="shared" ref="B4:B32" si="0">B3+1</f>
        <v>3</v>
      </c>
      <c r="C4" s="11">
        <v>7</v>
      </c>
      <c r="D4" s="1">
        <v>2021</v>
      </c>
      <c r="E4" s="12">
        <f>'Submetering '!O4+'Submetering '!P4+'Submetering '!Q4+'Submetering '!R4+'Submetering '!S4</f>
        <v>27765</v>
      </c>
      <c r="F4" s="11">
        <f>('FS Seychelles'!R5*'FS Seychelles'!S5)/TOTAL!E4</f>
        <v>0.30987574284170721</v>
      </c>
      <c r="G4" s="12">
        <f>'Submetering '!AB4</f>
        <v>0</v>
      </c>
      <c r="H4" s="11">
        <f t="shared" ref="H4:H32" si="1">H3</f>
        <v>17.5</v>
      </c>
      <c r="I4" s="12">
        <f>'FS Seychelles'!T5+'FS Seychelles'!V5+'FS Seychelles'!W5+'FS Seychelles'!X5</f>
        <v>447</v>
      </c>
      <c r="J4" s="11">
        <f t="shared" ref="J4:L32" si="2">J3</f>
        <v>0</v>
      </c>
      <c r="K4" s="29">
        <f>'Submetering '!Z4</f>
        <v>122</v>
      </c>
      <c r="L4" s="11">
        <f t="shared" si="2"/>
        <v>0</v>
      </c>
      <c r="M4" s="58">
        <f>'FS Seychelles'!B5</f>
        <v>61.04</v>
      </c>
    </row>
    <row r="5" spans="1:13" s="15" customFormat="1">
      <c r="A5" s="1" t="s">
        <v>13</v>
      </c>
      <c r="B5" s="14">
        <f t="shared" si="0"/>
        <v>4</v>
      </c>
      <c r="C5" s="11">
        <v>7</v>
      </c>
      <c r="D5" s="1">
        <v>2021</v>
      </c>
      <c r="E5" s="12">
        <f>'Submetering '!O5+'Submetering '!P5+'Submetering '!Q5+'Submetering '!R5+'Submetering '!S5</f>
        <v>28003</v>
      </c>
      <c r="F5" s="11">
        <f>('FS Seychelles'!R6*'FS Seychelles'!S6)/TOTAL!E5</f>
        <v>0.27413312859336503</v>
      </c>
      <c r="G5" s="12">
        <f>'Submetering '!AB5</f>
        <v>0</v>
      </c>
      <c r="H5" s="11">
        <f t="shared" si="1"/>
        <v>17.5</v>
      </c>
      <c r="I5" s="12">
        <f>'FS Seychelles'!T6+'FS Seychelles'!V6+'FS Seychelles'!W6+'FS Seychelles'!X6</f>
        <v>385</v>
      </c>
      <c r="J5" s="11">
        <f t="shared" si="2"/>
        <v>0</v>
      </c>
      <c r="K5" s="29">
        <f>'Submetering '!Z5</f>
        <v>79</v>
      </c>
      <c r="L5" s="11">
        <f t="shared" si="2"/>
        <v>0</v>
      </c>
      <c r="M5" s="58">
        <f>'FS Seychelles'!B6</f>
        <v>51.94</v>
      </c>
    </row>
    <row r="6" spans="1:13" s="15" customFormat="1">
      <c r="A6" s="1" t="s">
        <v>13</v>
      </c>
      <c r="B6" s="14">
        <f t="shared" si="0"/>
        <v>5</v>
      </c>
      <c r="C6" s="11">
        <v>7</v>
      </c>
      <c r="D6" s="1">
        <v>2021</v>
      </c>
      <c r="E6" s="12">
        <f>'Submetering '!O6+'Submetering '!P6+'Submetering '!Q6+'Submetering '!R6+'Submetering '!S6</f>
        <v>27644</v>
      </c>
      <c r="F6" s="11">
        <f>('FS Seychelles'!R7*'FS Seychelles'!S7)/TOTAL!E6</f>
        <v>0.29030748082766605</v>
      </c>
      <c r="G6" s="12">
        <f>'Submetering '!AB6</f>
        <v>0</v>
      </c>
      <c r="H6" s="11">
        <f t="shared" si="1"/>
        <v>17.5</v>
      </c>
      <c r="I6" s="12">
        <f>'FS Seychelles'!T7+'FS Seychelles'!V7+'FS Seychelles'!W7+'FS Seychelles'!X7</f>
        <v>447</v>
      </c>
      <c r="J6" s="11">
        <f t="shared" si="2"/>
        <v>0</v>
      </c>
      <c r="K6" s="29">
        <f>'Submetering '!Z6</f>
        <v>83</v>
      </c>
      <c r="L6" s="11">
        <f t="shared" si="2"/>
        <v>0</v>
      </c>
      <c r="M6" s="58">
        <f>'FS Seychelles'!B7</f>
        <v>51.94</v>
      </c>
    </row>
    <row r="7" spans="1:13" s="15" customFormat="1">
      <c r="A7" s="1" t="s">
        <v>13</v>
      </c>
      <c r="B7" s="14">
        <f t="shared" si="0"/>
        <v>6</v>
      </c>
      <c r="C7" s="11">
        <v>7</v>
      </c>
      <c r="D7" s="1">
        <v>2021</v>
      </c>
      <c r="E7" s="12">
        <f>'Submetering '!O7+'Submetering '!P7+'Submetering '!Q7+'Submetering '!R7+'Submetering '!S7</f>
        <v>28661</v>
      </c>
      <c r="F7" s="11">
        <f>('FS Seychelles'!R8*'FS Seychelles'!S8)/TOTAL!E7</f>
        <v>0.29087959247758277</v>
      </c>
      <c r="G7" s="12">
        <f>'Submetering '!AB7</f>
        <v>0</v>
      </c>
      <c r="H7" s="11">
        <f t="shared" si="1"/>
        <v>17.5</v>
      </c>
      <c r="I7" s="12">
        <f>'FS Seychelles'!T8+'FS Seychelles'!V8+'FS Seychelles'!W8+'FS Seychelles'!X8</f>
        <v>447</v>
      </c>
      <c r="J7" s="11">
        <f t="shared" si="2"/>
        <v>0</v>
      </c>
      <c r="K7" s="29">
        <f>'Submetering '!Z7</f>
        <v>143</v>
      </c>
      <c r="L7" s="11">
        <f t="shared" si="2"/>
        <v>0</v>
      </c>
      <c r="M7" s="58">
        <f>'FS Seychelles'!B8</f>
        <v>51.95</v>
      </c>
    </row>
    <row r="8" spans="1:13" s="15" customFormat="1">
      <c r="A8" s="1" t="s">
        <v>13</v>
      </c>
      <c r="B8" s="14">
        <f t="shared" si="0"/>
        <v>7</v>
      </c>
      <c r="C8" s="11">
        <v>7</v>
      </c>
      <c r="D8" s="1">
        <v>2021</v>
      </c>
      <c r="E8" s="12">
        <f>'Submetering '!O8+'Submetering '!P8+'Submetering '!Q8+'Submetering '!R8+'Submetering '!S8</f>
        <v>26174</v>
      </c>
      <c r="F8" s="11">
        <f>('FS Seychelles'!R9*'FS Seychelles'!S9)/TOTAL!E8</f>
        <v>0.28320394284404371</v>
      </c>
      <c r="G8" s="12">
        <f>'Submetering '!AB8</f>
        <v>0</v>
      </c>
      <c r="H8" s="11">
        <f t="shared" si="1"/>
        <v>17.5</v>
      </c>
      <c r="I8" s="12">
        <f>'FS Seychelles'!T9+'FS Seychelles'!V9+'FS Seychelles'!W9+'FS Seychelles'!X9</f>
        <v>411</v>
      </c>
      <c r="J8" s="11">
        <f t="shared" si="2"/>
        <v>0</v>
      </c>
      <c r="K8" s="29">
        <f>'Submetering '!Z8</f>
        <v>100</v>
      </c>
      <c r="L8" s="11">
        <f t="shared" si="2"/>
        <v>0</v>
      </c>
      <c r="M8" s="58">
        <f>'FS Seychelles'!B9</f>
        <v>53.25</v>
      </c>
    </row>
    <row r="9" spans="1:13" s="15" customFormat="1">
      <c r="A9" s="1" t="s">
        <v>13</v>
      </c>
      <c r="B9" s="14">
        <f t="shared" si="0"/>
        <v>8</v>
      </c>
      <c r="C9" s="11">
        <v>7</v>
      </c>
      <c r="D9" s="1">
        <v>2021</v>
      </c>
      <c r="E9" s="12">
        <f>'Submetering '!O9+'Submetering '!P9+'Submetering '!Q9+'Submetering '!R9+'Submetering '!S9</f>
        <v>25952</v>
      </c>
      <c r="F9" s="11">
        <f>('FS Seychelles'!R10*'FS Seychelles'!S10)/TOTAL!E9</f>
        <v>0.29236590628853271</v>
      </c>
      <c r="G9" s="12">
        <f>'Submetering '!AB9</f>
        <v>0</v>
      </c>
      <c r="H9" s="11">
        <f t="shared" si="1"/>
        <v>17.5</v>
      </c>
      <c r="I9" s="12">
        <f>'FS Seychelles'!T10+'FS Seychelles'!V10+'FS Seychelles'!W10+'FS Seychelles'!X10</f>
        <v>422.71428571428567</v>
      </c>
      <c r="J9" s="11">
        <f t="shared" si="2"/>
        <v>0</v>
      </c>
      <c r="K9" s="29">
        <f>'Submetering '!Z9</f>
        <v>108.57142857142857</v>
      </c>
      <c r="L9" s="11">
        <f t="shared" si="2"/>
        <v>0</v>
      </c>
      <c r="M9" s="58">
        <f>'FS Seychelles'!B10</f>
        <v>50.65</v>
      </c>
    </row>
    <row r="10" spans="1:13" s="15" customFormat="1">
      <c r="A10" s="1" t="s">
        <v>13</v>
      </c>
      <c r="B10" s="14">
        <f t="shared" si="0"/>
        <v>9</v>
      </c>
      <c r="C10" s="11">
        <v>7</v>
      </c>
      <c r="D10" s="1">
        <v>2021</v>
      </c>
      <c r="E10" s="12">
        <f>'Submetering '!O10+'Submetering '!P10+'Submetering '!Q10+'Submetering '!R10+'Submetering '!S10</f>
        <v>27460.5</v>
      </c>
      <c r="F10" s="11">
        <f>('FS Seychelles'!R11*'FS Seychelles'!S11)/TOTAL!E10</f>
        <v>0.28846452176762988</v>
      </c>
      <c r="G10" s="12">
        <f>'Submetering '!AB10</f>
        <v>0</v>
      </c>
      <c r="H10" s="11">
        <f t="shared" si="1"/>
        <v>17.5</v>
      </c>
      <c r="I10" s="12">
        <f>'FS Seychelles'!T11+'FS Seychelles'!V11+'FS Seychelles'!W11+'FS Seychelles'!X11</f>
        <v>460</v>
      </c>
      <c r="J10" s="11">
        <f t="shared" si="2"/>
        <v>0</v>
      </c>
      <c r="K10" s="29">
        <f>'Submetering '!Z10</f>
        <v>124</v>
      </c>
      <c r="L10" s="11">
        <f t="shared" si="2"/>
        <v>0</v>
      </c>
      <c r="M10" s="58">
        <f>'FS Seychelles'!B11</f>
        <v>51.85</v>
      </c>
    </row>
    <row r="11" spans="1:13" s="15" customFormat="1">
      <c r="A11" s="1" t="s">
        <v>13</v>
      </c>
      <c r="B11" s="14">
        <f t="shared" si="0"/>
        <v>10</v>
      </c>
      <c r="C11" s="11">
        <v>7</v>
      </c>
      <c r="D11" s="1">
        <v>2021</v>
      </c>
      <c r="E11" s="12">
        <f>'Submetering '!O11+'Submetering '!P11+'Submetering '!Q11+'Submetering '!R11+'Submetering '!S11</f>
        <v>26790</v>
      </c>
      <c r="F11" s="11">
        <f>('FS Seychelles'!R12*'FS Seychelles'!S12)/TOTAL!E11</f>
        <v>0.29212318029115342</v>
      </c>
      <c r="G11" s="12">
        <f>'Submetering '!AB11</f>
        <v>0</v>
      </c>
      <c r="H11" s="11">
        <f t="shared" si="1"/>
        <v>17.5</v>
      </c>
      <c r="I11" s="12">
        <f>'FS Seychelles'!T12+'FS Seychelles'!V12+'FS Seychelles'!W12+'FS Seychelles'!X12</f>
        <v>389</v>
      </c>
      <c r="J11" s="11">
        <f t="shared" si="2"/>
        <v>0</v>
      </c>
      <c r="K11" s="29">
        <f>'Submetering '!Z11</f>
        <v>135</v>
      </c>
      <c r="L11" s="11">
        <f t="shared" si="2"/>
        <v>0</v>
      </c>
      <c r="M11" s="58">
        <f>'FS Seychelles'!B12</f>
        <v>43.9</v>
      </c>
    </row>
    <row r="12" spans="1:13" s="15" customFormat="1">
      <c r="A12" s="1" t="s">
        <v>13</v>
      </c>
      <c r="B12" s="14">
        <f t="shared" si="0"/>
        <v>11</v>
      </c>
      <c r="C12" s="11">
        <v>7</v>
      </c>
      <c r="D12" s="1">
        <v>2021</v>
      </c>
      <c r="E12" s="12">
        <f>'Submetering '!O12+'Submetering '!P12+'Submetering '!Q12+'Submetering '!R12+'Submetering '!S12</f>
        <v>27631</v>
      </c>
      <c r="F12" s="11">
        <f>('FS Seychelles'!R13*'FS Seychelles'!S13)/TOTAL!E12</f>
        <v>0.29055915457276249</v>
      </c>
      <c r="G12" s="12">
        <f>'Submetering '!AB12</f>
        <v>0</v>
      </c>
      <c r="H12" s="11">
        <f t="shared" si="1"/>
        <v>17.5</v>
      </c>
      <c r="I12" s="12">
        <f>'FS Seychelles'!T13+'FS Seychelles'!V13+'FS Seychelles'!W13+'FS Seychelles'!X13</f>
        <v>408</v>
      </c>
      <c r="J12" s="11">
        <f t="shared" si="2"/>
        <v>0</v>
      </c>
      <c r="K12" s="29">
        <f>'Submetering '!Z12</f>
        <v>129</v>
      </c>
      <c r="L12" s="11">
        <f t="shared" si="2"/>
        <v>0</v>
      </c>
      <c r="M12" s="58">
        <f>'FS Seychelles'!B13</f>
        <v>42.86</v>
      </c>
    </row>
    <row r="13" spans="1:13" s="15" customFormat="1">
      <c r="A13" s="1" t="s">
        <v>13</v>
      </c>
      <c r="B13" s="14">
        <f t="shared" si="0"/>
        <v>12</v>
      </c>
      <c r="C13" s="11">
        <v>7</v>
      </c>
      <c r="D13" s="1">
        <v>2021</v>
      </c>
      <c r="E13" s="12">
        <f>'Submetering '!O13+'Submetering '!P13+'Submetering '!Q13+'Submetering '!R13+'Submetering '!S13</f>
        <v>25604</v>
      </c>
      <c r="F13" s="11">
        <f>('FS Seychelles'!R14*'FS Seychelles'!S14)/TOTAL!E13</f>
        <v>0.28296438056553663</v>
      </c>
      <c r="G13" s="12">
        <f>'Submetering '!AB13</f>
        <v>0</v>
      </c>
      <c r="H13" s="11">
        <f t="shared" si="1"/>
        <v>17.5</v>
      </c>
      <c r="I13" s="12">
        <f>'FS Seychelles'!T14+'FS Seychelles'!V14+'FS Seychelles'!W14+'FS Seychelles'!X14</f>
        <v>0</v>
      </c>
      <c r="J13" s="11">
        <f t="shared" si="2"/>
        <v>0</v>
      </c>
      <c r="K13" s="29">
        <f>'Submetering '!Z13</f>
        <v>0</v>
      </c>
      <c r="L13" s="11">
        <f t="shared" si="2"/>
        <v>0</v>
      </c>
      <c r="M13" s="58">
        <f>'FS Seychelles'!B14</f>
        <v>48.78</v>
      </c>
    </row>
    <row r="14" spans="1:13" s="15" customFormat="1">
      <c r="A14" s="1" t="s">
        <v>13</v>
      </c>
      <c r="B14" s="14">
        <f t="shared" si="0"/>
        <v>13</v>
      </c>
      <c r="C14" s="11">
        <v>7</v>
      </c>
      <c r="D14" s="1">
        <v>2021</v>
      </c>
      <c r="E14" s="12">
        <f>'Submetering '!O14+'Submetering '!P14+'Submetering '!Q14+'Submetering '!R14+'Submetering '!S14</f>
        <v>0</v>
      </c>
      <c r="F14" s="11" t="e">
        <f>('FS Seychelles'!R15*'FS Seychelles'!S15)/TOTAL!E14</f>
        <v>#DIV/0!</v>
      </c>
      <c r="G14" s="12">
        <f>'Submetering '!AB14</f>
        <v>0</v>
      </c>
      <c r="H14" s="11">
        <f t="shared" si="1"/>
        <v>17.5</v>
      </c>
      <c r="I14" s="12">
        <f>'FS Seychelles'!T15+'FS Seychelles'!V15+'FS Seychelles'!W15+'FS Seychelles'!X15</f>
        <v>0</v>
      </c>
      <c r="J14" s="11">
        <f t="shared" si="2"/>
        <v>0</v>
      </c>
      <c r="K14" s="29">
        <f>'Submetering '!Z14</f>
        <v>0</v>
      </c>
      <c r="L14" s="11">
        <f t="shared" si="2"/>
        <v>0</v>
      </c>
      <c r="M14" s="58">
        <f>'FS Seychelles'!B15</f>
        <v>0</v>
      </c>
    </row>
    <row r="15" spans="1:13" s="15" customFormat="1">
      <c r="A15" s="1" t="s">
        <v>13</v>
      </c>
      <c r="B15" s="14">
        <f t="shared" si="0"/>
        <v>14</v>
      </c>
      <c r="C15" s="11">
        <v>7</v>
      </c>
      <c r="D15" s="1">
        <v>2021</v>
      </c>
      <c r="E15" s="12">
        <f>'Submetering '!O15+'Submetering '!P15+'Submetering '!Q15+'Submetering '!R15+'Submetering '!S15</f>
        <v>0</v>
      </c>
      <c r="F15" s="11" t="e">
        <f>('FS Seychelles'!R16*'FS Seychelles'!S16)/TOTAL!E15</f>
        <v>#DIV/0!</v>
      </c>
      <c r="G15" s="12">
        <f>'Submetering '!AB15</f>
        <v>0</v>
      </c>
      <c r="H15" s="11">
        <f t="shared" si="1"/>
        <v>17.5</v>
      </c>
      <c r="I15" s="12">
        <f>'FS Seychelles'!T16+'FS Seychelles'!V16+'FS Seychelles'!W16+'FS Seychelles'!X16</f>
        <v>0</v>
      </c>
      <c r="J15" s="11">
        <f t="shared" si="2"/>
        <v>0</v>
      </c>
      <c r="K15" s="29">
        <f>'Submetering '!Z15</f>
        <v>0</v>
      </c>
      <c r="L15" s="11">
        <f t="shared" si="2"/>
        <v>0</v>
      </c>
      <c r="M15" s="58">
        <f>'FS Seychelles'!B16</f>
        <v>0</v>
      </c>
    </row>
    <row r="16" spans="1:13" s="15" customFormat="1">
      <c r="A16" s="1" t="s">
        <v>13</v>
      </c>
      <c r="B16" s="14">
        <f t="shared" si="0"/>
        <v>15</v>
      </c>
      <c r="C16" s="11">
        <v>7</v>
      </c>
      <c r="D16" s="1">
        <v>2021</v>
      </c>
      <c r="E16" s="12">
        <f>'Submetering '!O16+'Submetering '!P16+'Submetering '!Q16+'Submetering '!R16+'Submetering '!S16</f>
        <v>0</v>
      </c>
      <c r="F16" s="11" t="e">
        <f>('FS Seychelles'!R17*'FS Seychelles'!S17)/TOTAL!E16</f>
        <v>#DIV/0!</v>
      </c>
      <c r="G16" s="12">
        <f>'Submetering '!AB16</f>
        <v>0</v>
      </c>
      <c r="H16" s="11">
        <f t="shared" si="1"/>
        <v>17.5</v>
      </c>
      <c r="I16" s="12">
        <f>'FS Seychelles'!T17+'FS Seychelles'!V17+'FS Seychelles'!W17+'FS Seychelles'!X17</f>
        <v>0</v>
      </c>
      <c r="J16" s="11">
        <f t="shared" si="2"/>
        <v>0</v>
      </c>
      <c r="K16" s="29">
        <f>'Submetering '!Z16</f>
        <v>0</v>
      </c>
      <c r="L16" s="11">
        <f t="shared" si="2"/>
        <v>0</v>
      </c>
      <c r="M16" s="58">
        <f>'FS Seychelles'!B17</f>
        <v>0</v>
      </c>
    </row>
    <row r="17" spans="1:13" s="15" customFormat="1">
      <c r="A17" s="1" t="s">
        <v>13</v>
      </c>
      <c r="B17" s="14">
        <f t="shared" si="0"/>
        <v>16</v>
      </c>
      <c r="C17" s="11">
        <v>7</v>
      </c>
      <c r="D17" s="1">
        <v>2021</v>
      </c>
      <c r="E17" s="12">
        <f>'Submetering '!O17+'Submetering '!P17+'Submetering '!Q17+'Submetering '!R17+'Submetering '!S17</f>
        <v>0</v>
      </c>
      <c r="F17" s="11" t="e">
        <f>('FS Seychelles'!R18*'FS Seychelles'!S18)/TOTAL!E17</f>
        <v>#DIV/0!</v>
      </c>
      <c r="G17" s="12">
        <f>'Submetering '!AB17</f>
        <v>0</v>
      </c>
      <c r="H17" s="11">
        <f t="shared" si="1"/>
        <v>17.5</v>
      </c>
      <c r="I17" s="12">
        <f>'FS Seychelles'!T18+'FS Seychelles'!V18+'FS Seychelles'!W18+'FS Seychelles'!X18</f>
        <v>0</v>
      </c>
      <c r="J17" s="11">
        <f t="shared" si="2"/>
        <v>0</v>
      </c>
      <c r="K17" s="29">
        <f>'Submetering '!Z17</f>
        <v>0</v>
      </c>
      <c r="L17" s="11">
        <f t="shared" si="2"/>
        <v>0</v>
      </c>
      <c r="M17" s="58">
        <f>'FS Seychelles'!B18</f>
        <v>0</v>
      </c>
    </row>
    <row r="18" spans="1:13" s="15" customFormat="1">
      <c r="A18" s="1" t="s">
        <v>13</v>
      </c>
      <c r="B18" s="14">
        <f t="shared" si="0"/>
        <v>17</v>
      </c>
      <c r="C18" s="11">
        <v>7</v>
      </c>
      <c r="D18" s="1">
        <v>2021</v>
      </c>
      <c r="E18" s="12">
        <f>'Submetering '!O18+'Submetering '!P18+'Submetering '!Q18+'Submetering '!R18+'Submetering '!S18</f>
        <v>0</v>
      </c>
      <c r="F18" s="11" t="e">
        <f>('FS Seychelles'!R19*'FS Seychelles'!S19)/TOTAL!E18</f>
        <v>#DIV/0!</v>
      </c>
      <c r="G18" s="12">
        <f>'Submetering '!AB18</f>
        <v>0</v>
      </c>
      <c r="H18" s="11">
        <f t="shared" si="1"/>
        <v>17.5</v>
      </c>
      <c r="I18" s="12">
        <f>'FS Seychelles'!T19+'FS Seychelles'!V19+'FS Seychelles'!W19+'FS Seychelles'!X19</f>
        <v>0</v>
      </c>
      <c r="J18" s="11">
        <f t="shared" si="2"/>
        <v>0</v>
      </c>
      <c r="K18" s="29">
        <f>'Submetering '!Z18</f>
        <v>0</v>
      </c>
      <c r="L18" s="11">
        <f t="shared" si="2"/>
        <v>0</v>
      </c>
      <c r="M18" s="58">
        <f>'FS Seychelles'!B19</f>
        <v>0</v>
      </c>
    </row>
    <row r="19" spans="1:13" s="15" customFormat="1">
      <c r="A19" s="1" t="s">
        <v>13</v>
      </c>
      <c r="B19" s="14">
        <f t="shared" si="0"/>
        <v>18</v>
      </c>
      <c r="C19" s="11">
        <v>7</v>
      </c>
      <c r="D19" s="1">
        <v>2021</v>
      </c>
      <c r="E19" s="12">
        <f>'Submetering '!O19+'Submetering '!P19+'Submetering '!Q19+'Submetering '!R19+'Submetering '!S19</f>
        <v>0</v>
      </c>
      <c r="F19" s="11" t="e">
        <f>('FS Seychelles'!R20*'FS Seychelles'!S20)/TOTAL!E19</f>
        <v>#DIV/0!</v>
      </c>
      <c r="G19" s="12">
        <f>'Submetering '!AB19</f>
        <v>0</v>
      </c>
      <c r="H19" s="11">
        <f t="shared" si="1"/>
        <v>17.5</v>
      </c>
      <c r="I19" s="12">
        <f>'FS Seychelles'!T20+'FS Seychelles'!V20+'FS Seychelles'!W20+'FS Seychelles'!X20</f>
        <v>0</v>
      </c>
      <c r="J19" s="11">
        <f t="shared" si="2"/>
        <v>0</v>
      </c>
      <c r="K19" s="29">
        <f>'Submetering '!Z19</f>
        <v>0</v>
      </c>
      <c r="L19" s="11">
        <f t="shared" si="2"/>
        <v>0</v>
      </c>
      <c r="M19" s="58">
        <f>'FS Seychelles'!B20</f>
        <v>0</v>
      </c>
    </row>
    <row r="20" spans="1:13" s="15" customFormat="1">
      <c r="A20" s="1" t="s">
        <v>13</v>
      </c>
      <c r="B20" s="14">
        <f t="shared" si="0"/>
        <v>19</v>
      </c>
      <c r="C20" s="11">
        <v>7</v>
      </c>
      <c r="D20" s="1">
        <v>2021</v>
      </c>
      <c r="E20" s="12">
        <f>'Submetering '!O20+'Submetering '!P20+'Submetering '!Q20+'Submetering '!R20+'Submetering '!S20</f>
        <v>0</v>
      </c>
      <c r="F20" s="11" t="e">
        <f>('FS Seychelles'!R21*'FS Seychelles'!S21)/TOTAL!E20</f>
        <v>#DIV/0!</v>
      </c>
      <c r="G20" s="12">
        <f>'Submetering '!AB20</f>
        <v>0</v>
      </c>
      <c r="H20" s="11">
        <f t="shared" si="1"/>
        <v>17.5</v>
      </c>
      <c r="I20" s="12">
        <f>'FS Seychelles'!T21+'FS Seychelles'!V21+'FS Seychelles'!W21+'FS Seychelles'!X21</f>
        <v>0</v>
      </c>
      <c r="J20" s="11">
        <f t="shared" si="2"/>
        <v>0</v>
      </c>
      <c r="K20" s="29">
        <f>'Submetering '!Z20</f>
        <v>0</v>
      </c>
      <c r="L20" s="11">
        <f t="shared" si="2"/>
        <v>0</v>
      </c>
      <c r="M20" s="58">
        <f>'FS Seychelles'!B21</f>
        <v>0</v>
      </c>
    </row>
    <row r="21" spans="1:13" s="15" customFormat="1">
      <c r="A21" s="1" t="s">
        <v>13</v>
      </c>
      <c r="B21" s="14">
        <f t="shared" si="0"/>
        <v>20</v>
      </c>
      <c r="C21" s="11">
        <v>7</v>
      </c>
      <c r="D21" s="1">
        <v>2021</v>
      </c>
      <c r="E21" s="12">
        <f>'Submetering '!O21+'Submetering '!P21+'Submetering '!Q21+'Submetering '!R21+'Submetering '!S21</f>
        <v>0</v>
      </c>
      <c r="F21" s="11" t="e">
        <f>('FS Seychelles'!R22*'FS Seychelles'!S22)/TOTAL!E21</f>
        <v>#DIV/0!</v>
      </c>
      <c r="G21" s="12">
        <f>'Submetering '!AB21</f>
        <v>0</v>
      </c>
      <c r="H21" s="11">
        <f t="shared" si="1"/>
        <v>17.5</v>
      </c>
      <c r="I21" s="12">
        <f>'FS Seychelles'!T22+'FS Seychelles'!V22+'FS Seychelles'!W22+'FS Seychelles'!X22</f>
        <v>0</v>
      </c>
      <c r="J21" s="11">
        <f t="shared" si="2"/>
        <v>0</v>
      </c>
      <c r="K21" s="29">
        <f>'Submetering '!Z21</f>
        <v>0</v>
      </c>
      <c r="L21" s="11">
        <f t="shared" si="2"/>
        <v>0</v>
      </c>
      <c r="M21" s="58">
        <f>'FS Seychelles'!B22</f>
        <v>0</v>
      </c>
    </row>
    <row r="22" spans="1:13" s="15" customFormat="1">
      <c r="A22" s="1" t="s">
        <v>13</v>
      </c>
      <c r="B22" s="14">
        <f t="shared" si="0"/>
        <v>21</v>
      </c>
      <c r="C22" s="11">
        <v>7</v>
      </c>
      <c r="D22" s="1">
        <v>2021</v>
      </c>
      <c r="E22" s="12">
        <f>'Submetering '!O22+'Submetering '!P22+'Submetering '!Q22+'Submetering '!R22+'Submetering '!S22</f>
        <v>0</v>
      </c>
      <c r="F22" s="11" t="e">
        <f>('FS Seychelles'!R23*'FS Seychelles'!S23)/TOTAL!E22</f>
        <v>#DIV/0!</v>
      </c>
      <c r="G22" s="12">
        <f>'Submetering '!AB22</f>
        <v>0</v>
      </c>
      <c r="H22" s="11">
        <f t="shared" si="1"/>
        <v>17.5</v>
      </c>
      <c r="I22" s="12">
        <f>'FS Seychelles'!T23+'FS Seychelles'!V23+'FS Seychelles'!W23+'FS Seychelles'!X23</f>
        <v>0</v>
      </c>
      <c r="J22" s="11">
        <f t="shared" si="2"/>
        <v>0</v>
      </c>
      <c r="K22" s="29">
        <f>'Submetering '!Z22</f>
        <v>0</v>
      </c>
      <c r="L22" s="11">
        <f t="shared" si="2"/>
        <v>0</v>
      </c>
      <c r="M22" s="58">
        <f>'FS Seychelles'!B23</f>
        <v>0</v>
      </c>
    </row>
    <row r="23" spans="1:13" s="15" customFormat="1">
      <c r="A23" s="1" t="s">
        <v>13</v>
      </c>
      <c r="B23" s="14">
        <f t="shared" si="0"/>
        <v>22</v>
      </c>
      <c r="C23" s="11">
        <v>7</v>
      </c>
      <c r="D23" s="1">
        <v>2021</v>
      </c>
      <c r="E23" s="12">
        <f>'Submetering '!O23+'Submetering '!P23+'Submetering '!Q23+'Submetering '!R23+'Submetering '!S23</f>
        <v>0</v>
      </c>
      <c r="F23" s="11" t="e">
        <f>('FS Seychelles'!R24*'FS Seychelles'!S24)/TOTAL!E23</f>
        <v>#DIV/0!</v>
      </c>
      <c r="G23" s="12">
        <f>'Submetering '!AB23</f>
        <v>0</v>
      </c>
      <c r="H23" s="11">
        <f t="shared" si="1"/>
        <v>17.5</v>
      </c>
      <c r="I23" s="12">
        <f>'FS Seychelles'!T24+'FS Seychelles'!V24+'FS Seychelles'!W24+'FS Seychelles'!X24</f>
        <v>0</v>
      </c>
      <c r="J23" s="11">
        <f t="shared" si="2"/>
        <v>0</v>
      </c>
      <c r="K23" s="29">
        <f>'Submetering '!Z23</f>
        <v>0</v>
      </c>
      <c r="L23" s="11">
        <f t="shared" si="2"/>
        <v>0</v>
      </c>
      <c r="M23" s="58">
        <f>'FS Seychelles'!B24</f>
        <v>0</v>
      </c>
    </row>
    <row r="24" spans="1:13" s="15" customFormat="1">
      <c r="A24" s="1" t="s">
        <v>13</v>
      </c>
      <c r="B24" s="14">
        <f t="shared" si="0"/>
        <v>23</v>
      </c>
      <c r="C24" s="11">
        <v>7</v>
      </c>
      <c r="D24" s="1">
        <v>2021</v>
      </c>
      <c r="E24" s="12">
        <f>'Submetering '!O24+'Submetering '!P24+'Submetering '!Q24+'Submetering '!R24+'Submetering '!S24</f>
        <v>0</v>
      </c>
      <c r="F24" s="11" t="e">
        <f>('FS Seychelles'!R25*'FS Seychelles'!S25)/TOTAL!E24</f>
        <v>#DIV/0!</v>
      </c>
      <c r="G24" s="12">
        <f>'Submetering '!AB24</f>
        <v>0</v>
      </c>
      <c r="H24" s="11">
        <f t="shared" si="1"/>
        <v>17.5</v>
      </c>
      <c r="I24" s="12">
        <f>'FS Seychelles'!T25+'FS Seychelles'!V25+'FS Seychelles'!W25+'FS Seychelles'!X25</f>
        <v>0</v>
      </c>
      <c r="J24" s="11">
        <f t="shared" si="2"/>
        <v>0</v>
      </c>
      <c r="K24" s="29">
        <f>'Submetering '!Z24</f>
        <v>0</v>
      </c>
      <c r="L24" s="11">
        <f t="shared" si="2"/>
        <v>0</v>
      </c>
      <c r="M24" s="58">
        <f>'FS Seychelles'!B25</f>
        <v>0</v>
      </c>
    </row>
    <row r="25" spans="1:13" s="15" customFormat="1">
      <c r="A25" s="1" t="s">
        <v>13</v>
      </c>
      <c r="B25" s="14">
        <f t="shared" si="0"/>
        <v>24</v>
      </c>
      <c r="C25" s="11">
        <v>7</v>
      </c>
      <c r="D25" s="1">
        <v>2021</v>
      </c>
      <c r="E25" s="12">
        <f>'Submetering '!O25+'Submetering '!P25+'Submetering '!Q25+'Submetering '!R25+'Submetering '!S25</f>
        <v>0</v>
      </c>
      <c r="F25" s="11" t="e">
        <f>('FS Seychelles'!R26*'FS Seychelles'!S26)/TOTAL!E25</f>
        <v>#DIV/0!</v>
      </c>
      <c r="G25" s="12">
        <f>'Submetering '!AB25</f>
        <v>0</v>
      </c>
      <c r="H25" s="11">
        <f t="shared" si="1"/>
        <v>17.5</v>
      </c>
      <c r="I25" s="12">
        <f>'FS Seychelles'!T26+'FS Seychelles'!V26+'FS Seychelles'!W26+'FS Seychelles'!X26</f>
        <v>0</v>
      </c>
      <c r="J25" s="11">
        <f t="shared" si="2"/>
        <v>0</v>
      </c>
      <c r="K25" s="29">
        <f>'Submetering '!Z25</f>
        <v>0</v>
      </c>
      <c r="L25" s="11">
        <f t="shared" si="2"/>
        <v>0</v>
      </c>
      <c r="M25" s="58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v>7</v>
      </c>
      <c r="D26" s="1">
        <v>2021</v>
      </c>
      <c r="E26" s="12">
        <f>'Submetering '!O26+'Submetering '!P26+'Submetering '!Q26+'Submetering '!R26+'Submetering '!S26</f>
        <v>0</v>
      </c>
      <c r="F26" s="11" t="e">
        <f>('FS Seychelles'!R27*'FS Seychelles'!S27)/TOTAL!E26</f>
        <v>#DIV/0!</v>
      </c>
      <c r="G26" s="12">
        <f>'Submetering '!AB26</f>
        <v>0</v>
      </c>
      <c r="H26" s="11">
        <f t="shared" si="1"/>
        <v>17.5</v>
      </c>
      <c r="I26" s="12">
        <f>'FS Seychelles'!T27+'FS Seychelles'!V27+'FS Seychelles'!W27+'FS Seychelles'!X27</f>
        <v>0</v>
      </c>
      <c r="J26" s="11">
        <f t="shared" si="2"/>
        <v>0</v>
      </c>
      <c r="K26" s="29">
        <f>'Submetering '!Z26</f>
        <v>0</v>
      </c>
      <c r="L26" s="11">
        <f t="shared" si="2"/>
        <v>0</v>
      </c>
      <c r="M26" s="58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v>7</v>
      </c>
      <c r="D27" s="1">
        <v>2021</v>
      </c>
      <c r="E27" s="12">
        <f>'Submetering '!O27+'Submetering '!P27+'Submetering '!Q27+'Submetering '!R27+'Submetering '!S27</f>
        <v>0</v>
      </c>
      <c r="F27" s="11" t="e">
        <f>('FS Seychelles'!R28*'FS Seychelles'!S28)/TOTAL!E27</f>
        <v>#DIV/0!</v>
      </c>
      <c r="G27" s="12">
        <f>'Submetering '!AB27</f>
        <v>0</v>
      </c>
      <c r="H27" s="11">
        <f t="shared" si="1"/>
        <v>17.5</v>
      </c>
      <c r="I27" s="12">
        <f>'FS Seychelles'!T28+'FS Seychelles'!V28+'FS Seychelles'!W28+'FS Seychelles'!X28</f>
        <v>0</v>
      </c>
      <c r="J27" s="11">
        <f t="shared" si="2"/>
        <v>0</v>
      </c>
      <c r="K27" s="29">
        <f>'Submetering '!Z27</f>
        <v>0</v>
      </c>
      <c r="L27" s="11">
        <f t="shared" si="2"/>
        <v>0</v>
      </c>
      <c r="M27" s="58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v>7</v>
      </c>
      <c r="D28" s="1">
        <v>2021</v>
      </c>
      <c r="E28" s="12">
        <f>'Submetering '!O28+'Submetering '!P28+'Submetering '!Q28+'Submetering '!R28+'Submetering '!S28</f>
        <v>0</v>
      </c>
      <c r="F28" s="11" t="e">
        <f>('FS Seychelles'!R29*'FS Seychelles'!S29)/TOTAL!E28</f>
        <v>#DIV/0!</v>
      </c>
      <c r="G28" s="12">
        <f>'Submetering '!AB28</f>
        <v>0</v>
      </c>
      <c r="H28" s="11">
        <f t="shared" si="1"/>
        <v>17.5</v>
      </c>
      <c r="I28" s="12">
        <f>'FS Seychelles'!T29+'FS Seychelles'!V29+'FS Seychelles'!W29+'FS Seychelles'!X29</f>
        <v>0</v>
      </c>
      <c r="J28" s="11">
        <f t="shared" si="2"/>
        <v>0</v>
      </c>
      <c r="K28" s="29">
        <f>'Submetering '!Z28</f>
        <v>0</v>
      </c>
      <c r="L28" s="11">
        <f t="shared" si="2"/>
        <v>0</v>
      </c>
      <c r="M28" s="58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v>7</v>
      </c>
      <c r="D29" s="1">
        <v>2021</v>
      </c>
      <c r="E29" s="12">
        <f>'Submetering '!O29+'Submetering '!P29+'Submetering '!Q29+'Submetering '!R29+'Submetering '!S29</f>
        <v>0</v>
      </c>
      <c r="F29" s="11" t="e">
        <f>('FS Seychelles'!R30*'FS Seychelles'!S30)/TOTAL!E29</f>
        <v>#DIV/0!</v>
      </c>
      <c r="G29" s="12">
        <f>'Submetering '!AB29</f>
        <v>0</v>
      </c>
      <c r="H29" s="11">
        <f t="shared" si="1"/>
        <v>17.5</v>
      </c>
      <c r="I29" s="12">
        <f>'FS Seychelles'!T30+'FS Seychelles'!V30+'FS Seychelles'!W30+'FS Seychelles'!X30</f>
        <v>0</v>
      </c>
      <c r="J29" s="11">
        <f t="shared" si="2"/>
        <v>0</v>
      </c>
      <c r="K29" s="29">
        <f>'Submetering '!Z29</f>
        <v>0</v>
      </c>
      <c r="L29" s="11">
        <f t="shared" si="2"/>
        <v>0</v>
      </c>
      <c r="M29" s="58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v>7</v>
      </c>
      <c r="D30" s="1">
        <v>2021</v>
      </c>
      <c r="E30" s="12">
        <f>'Submetering '!O30+'Submetering '!P30+'Submetering '!Q30+'Submetering '!R30+'Submetering '!S30</f>
        <v>0</v>
      </c>
      <c r="F30" s="11" t="e">
        <f>('FS Seychelles'!R31*'FS Seychelles'!S31)/TOTAL!E30</f>
        <v>#DIV/0!</v>
      </c>
      <c r="G30" s="12">
        <f>'Submetering '!AB30</f>
        <v>0</v>
      </c>
      <c r="H30" s="11">
        <f t="shared" si="1"/>
        <v>17.5</v>
      </c>
      <c r="I30" s="12">
        <f>'FS Seychelles'!T31+'FS Seychelles'!V31+'FS Seychelles'!W31+'FS Seychelles'!X31</f>
        <v>0</v>
      </c>
      <c r="J30" s="11">
        <f t="shared" si="2"/>
        <v>0</v>
      </c>
      <c r="K30" s="29">
        <f>'Submetering '!Z30</f>
        <v>0</v>
      </c>
      <c r="L30" s="11">
        <f t="shared" si="2"/>
        <v>0</v>
      </c>
      <c r="M30" s="58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v>7</v>
      </c>
      <c r="D31" s="1">
        <v>2021</v>
      </c>
      <c r="E31" s="12">
        <f>'Submetering '!O31+'Submetering '!P31+'Submetering '!Q31+'Submetering '!R31+'Submetering '!S31</f>
        <v>0</v>
      </c>
      <c r="F31" s="11" t="e">
        <f>('FS Seychelles'!R32*'FS Seychelles'!S32)/TOTAL!E31</f>
        <v>#DIV/0!</v>
      </c>
      <c r="G31" s="12">
        <f>'Submetering '!AB31</f>
        <v>0</v>
      </c>
      <c r="H31" s="11">
        <f t="shared" si="1"/>
        <v>17.5</v>
      </c>
      <c r="I31" s="12">
        <f>'FS Seychelles'!T32+'FS Seychelles'!V32+'FS Seychelles'!W32+'FS Seychelles'!X32</f>
        <v>0</v>
      </c>
      <c r="J31" s="11">
        <f t="shared" si="2"/>
        <v>0</v>
      </c>
      <c r="K31" s="29">
        <f>'Submetering '!Z31</f>
        <v>0</v>
      </c>
      <c r="L31" s="11">
        <f t="shared" si="2"/>
        <v>0</v>
      </c>
      <c r="M31" s="58">
        <f>'FS Seychelles'!B32</f>
        <v>0</v>
      </c>
    </row>
    <row r="32" spans="1:13">
      <c r="A32" s="1" t="s">
        <v>13</v>
      </c>
      <c r="B32" s="14">
        <v>31</v>
      </c>
      <c r="C32" s="11">
        <v>7</v>
      </c>
      <c r="D32" s="1">
        <v>2021</v>
      </c>
      <c r="E32" s="12">
        <f>'Submetering '!O32+'Submetering '!P32+'Submetering '!Q32+'Submetering '!R32+'Submetering '!S32</f>
        <v>0</v>
      </c>
      <c r="F32" s="11" t="e">
        <f>('FS Seychelles'!R33*'FS Seychelles'!S33)/TOTAL!E32</f>
        <v>#DIV/0!</v>
      </c>
      <c r="G32" s="12">
        <f>'Submetering '!AB32</f>
        <v>0</v>
      </c>
      <c r="H32" s="11">
        <f t="shared" si="1"/>
        <v>17.5</v>
      </c>
      <c r="I32" s="12">
        <f>'FS Seychelles'!T33+'FS Seychelles'!V33+'FS Seychelles'!W33+'FS Seychelles'!X33</f>
        <v>0</v>
      </c>
      <c r="J32" s="11">
        <f t="shared" si="2"/>
        <v>0</v>
      </c>
      <c r="K32" s="29">
        <f>'Submetering '!Z32</f>
        <v>0</v>
      </c>
      <c r="L32" s="11">
        <f t="shared" si="2"/>
        <v>0</v>
      </c>
      <c r="M32" s="58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workbookViewId="0">
      <selection activeCell="C32" sqref="C32"/>
    </sheetView>
  </sheetViews>
  <sheetFormatPr defaultColWidth="11.5703125" defaultRowHeight="1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>
      <c r="A1" s="27" t="s">
        <v>0</v>
      </c>
      <c r="B1" s="24" t="s">
        <v>1</v>
      </c>
      <c r="C1" s="24" t="s">
        <v>2</v>
      </c>
      <c r="D1" s="24" t="s">
        <v>3</v>
      </c>
      <c r="E1" s="25" t="s">
        <v>14</v>
      </c>
      <c r="F1" s="25" t="s">
        <v>15</v>
      </c>
      <c r="G1" s="25" t="s">
        <v>16</v>
      </c>
      <c r="H1" s="25" t="s">
        <v>17</v>
      </c>
      <c r="I1" s="25" t="s">
        <v>18</v>
      </c>
      <c r="J1" s="25" t="s">
        <v>19</v>
      </c>
      <c r="K1" s="25" t="s">
        <v>20</v>
      </c>
      <c r="L1" s="25" t="s">
        <v>21</v>
      </c>
      <c r="M1" s="25" t="s">
        <v>22</v>
      </c>
      <c r="N1" s="25" t="s">
        <v>23</v>
      </c>
      <c r="O1" s="25" t="s">
        <v>24</v>
      </c>
      <c r="P1" s="25" t="s">
        <v>25</v>
      </c>
      <c r="Q1" s="25" t="s">
        <v>26</v>
      </c>
      <c r="R1" s="25" t="s">
        <v>27</v>
      </c>
      <c r="S1" s="25" t="s">
        <v>28</v>
      </c>
      <c r="T1" s="25" t="s">
        <v>29</v>
      </c>
      <c r="U1" s="25" t="s">
        <v>30</v>
      </c>
      <c r="V1" s="25" t="s">
        <v>31</v>
      </c>
      <c r="W1" s="25" t="s">
        <v>32</v>
      </c>
      <c r="X1" s="25" t="s">
        <v>33</v>
      </c>
      <c r="Y1" s="25" t="s">
        <v>34</v>
      </c>
      <c r="Z1" s="25" t="s">
        <v>35</v>
      </c>
      <c r="AA1" s="25" t="s">
        <v>36</v>
      </c>
      <c r="AB1" s="25" t="s">
        <v>37</v>
      </c>
    </row>
    <row r="2" spans="1:28">
      <c r="A2" s="1" t="s">
        <v>13</v>
      </c>
      <c r="B2" s="11">
        <v>1</v>
      </c>
      <c r="C2" s="11">
        <v>7</v>
      </c>
      <c r="D2" s="11">
        <v>2021</v>
      </c>
      <c r="E2" s="18">
        <f>'FS Seychelles'!B3</f>
        <v>75</v>
      </c>
      <c r="F2" s="18">
        <f>'FS Seychelles'!D3*1000</f>
        <v>2442.752</v>
      </c>
      <c r="G2" s="18">
        <f>'FS Seychelles'!E3*1000</f>
        <v>4231.1680000000006</v>
      </c>
      <c r="H2" s="18">
        <f>'FS Seychelles'!F3*1000</f>
        <v>4696.576</v>
      </c>
      <c r="I2" s="18">
        <f>'FS Seychelles'!G3*1000</f>
        <v>2040.5760000000002</v>
      </c>
      <c r="J2" s="18">
        <f>'FS Seychelles'!H3*1000</f>
        <v>2257.4079999999999</v>
      </c>
      <c r="K2" s="18">
        <f>'FS Seychelles'!I3*1000</f>
        <v>3880.192</v>
      </c>
      <c r="L2" s="18">
        <f>'FS Seychelles'!J3*1000</f>
        <v>1458.3040000000001</v>
      </c>
      <c r="M2" s="18">
        <f>'FS Seychelles'!K3*1000</f>
        <v>1455.104</v>
      </c>
      <c r="N2" s="18">
        <f>'FS Seychelles'!L3*1000</f>
        <v>3738.1120000000001</v>
      </c>
      <c r="O2" s="18">
        <f>'FS Seychelles'!M3</f>
        <v>0</v>
      </c>
      <c r="P2" s="18">
        <f>'FS Seychelles'!N3</f>
        <v>6676</v>
      </c>
      <c r="Q2" s="18">
        <f>'FS Seychelles'!O3</f>
        <v>7570</v>
      </c>
      <c r="R2" s="18">
        <f>'FS Seychelles'!P3</f>
        <v>9355</v>
      </c>
      <c r="S2" s="18">
        <f>'FS Seychelles'!Q3</f>
        <v>6446</v>
      </c>
      <c r="T2" s="18">
        <f>'FS Seychelles'!R3</f>
        <v>8214</v>
      </c>
      <c r="U2" s="18">
        <f>'FS Seychelles'!T3</f>
        <v>64</v>
      </c>
      <c r="V2" s="18">
        <f>'FS Seychelles'!U3</f>
        <v>44</v>
      </c>
      <c r="W2" s="18">
        <f>'FS Seychelles'!V3</f>
        <v>57</v>
      </c>
      <c r="X2" s="18">
        <f>'FS Seychelles'!W3</f>
        <v>138</v>
      </c>
      <c r="Y2" s="18">
        <f>'FS Seychelles'!X3</f>
        <v>124</v>
      </c>
      <c r="Z2" s="18">
        <f>'FS Seychelles'!Y3</f>
        <v>122</v>
      </c>
      <c r="AA2" s="18">
        <f>'FS Seychelles'!Z3</f>
        <v>0</v>
      </c>
      <c r="AB2" s="18">
        <f>('FS Seychelles'!AC9+'FS Seychelles'!AC15)/30</f>
        <v>0</v>
      </c>
    </row>
    <row r="3" spans="1:28">
      <c r="A3" s="1" t="s">
        <v>13</v>
      </c>
      <c r="B3" s="11">
        <f>B2+1</f>
        <v>2</v>
      </c>
      <c r="C3" s="11">
        <v>7</v>
      </c>
      <c r="D3" s="11">
        <v>2021</v>
      </c>
      <c r="E3" s="18">
        <f>'FS Seychelles'!B4</f>
        <v>70.13</v>
      </c>
      <c r="F3" s="18">
        <f>'FS Seychelles'!D4*1000</f>
        <v>2252.0319999999997</v>
      </c>
      <c r="G3" s="18">
        <f>'FS Seychelles'!E4*1000</f>
        <v>4050.4319999999998</v>
      </c>
      <c r="H3" s="18">
        <f>'FS Seychelles'!F4*1000</f>
        <v>4657.6639999999998</v>
      </c>
      <c r="I3" s="18">
        <f>'FS Seychelles'!G4*1000</f>
        <v>1863.1679999999999</v>
      </c>
      <c r="J3" s="18">
        <f>'FS Seychelles'!H4*1000</f>
        <v>2020.096</v>
      </c>
      <c r="K3" s="18">
        <f>'FS Seychelles'!I4*1000</f>
        <v>3507.712</v>
      </c>
      <c r="L3" s="18">
        <f>'FS Seychelles'!J4*1000</f>
        <v>1422.9760000000001</v>
      </c>
      <c r="M3" s="18">
        <f>'FS Seychelles'!K4*1000</f>
        <v>1666.816</v>
      </c>
      <c r="N3" s="18">
        <f>'FS Seychelles'!L4*1000</f>
        <v>3777.5360000000001</v>
      </c>
      <c r="O3" s="18">
        <f>'FS Seychelles'!M4</f>
        <v>0</v>
      </c>
      <c r="P3" s="18">
        <f>'FS Seychelles'!N4</f>
        <v>8523</v>
      </c>
      <c r="Q3" s="18">
        <f>'FS Seychelles'!O4</f>
        <v>4447</v>
      </c>
      <c r="R3" s="18">
        <f>'FS Seychelles'!P4</f>
        <v>8566</v>
      </c>
      <c r="S3" s="18">
        <f>'FS Seychelles'!Q4</f>
        <v>3902</v>
      </c>
      <c r="T3" s="18">
        <f>'FS Seychelles'!R4</f>
        <v>6478</v>
      </c>
      <c r="U3" s="18">
        <f>'FS Seychelles'!T4</f>
        <v>67</v>
      </c>
      <c r="V3" s="18">
        <f>'FS Seychelles'!U4</f>
        <v>52</v>
      </c>
      <c r="W3" s="18">
        <f>'FS Seychelles'!V4</f>
        <v>61</v>
      </c>
      <c r="X3" s="18">
        <f>'FS Seychelles'!W4</f>
        <v>183</v>
      </c>
      <c r="Y3" s="18">
        <f>'FS Seychelles'!X4</f>
        <v>128</v>
      </c>
      <c r="Z3" s="18">
        <f>'FS Seychelles'!Y4</f>
        <v>111</v>
      </c>
      <c r="AA3" s="18">
        <f>'FS Seychelles'!Z4</f>
        <v>0</v>
      </c>
      <c r="AB3" s="18">
        <f>('FS Seychelles'!AC10+'FS Seychelles'!AC16)/30</f>
        <v>0</v>
      </c>
    </row>
    <row r="4" spans="1:28">
      <c r="A4" s="1" t="s">
        <v>13</v>
      </c>
      <c r="B4" s="11">
        <f t="shared" ref="B4:B32" si="0">B3+1</f>
        <v>3</v>
      </c>
      <c r="C4" s="11">
        <v>7</v>
      </c>
      <c r="D4" s="11">
        <v>2021</v>
      </c>
      <c r="E4" s="18">
        <f>'FS Seychelles'!B5</f>
        <v>61.04</v>
      </c>
      <c r="F4" s="18">
        <f>'FS Seychelles'!D5*1000</f>
        <v>2418.4320000000002</v>
      </c>
      <c r="G4" s="18">
        <f>'FS Seychelles'!E5*1000</f>
        <v>4304.384</v>
      </c>
      <c r="H4" s="18">
        <f>'FS Seychelles'!F5*1000</f>
        <v>4738.0479999999998</v>
      </c>
      <c r="I4" s="18">
        <f>'FS Seychelles'!G5*1000</f>
        <v>2004.9920000000002</v>
      </c>
      <c r="J4" s="18">
        <f>'FS Seychelles'!H5*1000</f>
        <v>1997.8240000000001</v>
      </c>
      <c r="K4" s="18">
        <f>'FS Seychelles'!I5*1000</f>
        <v>3581.1839999999997</v>
      </c>
      <c r="L4" s="18">
        <f>'FS Seychelles'!J5*1000</f>
        <v>1367.68</v>
      </c>
      <c r="M4" s="18">
        <f>'FS Seychelles'!K5*1000</f>
        <v>1635.0720000000001</v>
      </c>
      <c r="N4" s="18">
        <f>'FS Seychelles'!L5*1000</f>
        <v>3715.5840000000003</v>
      </c>
      <c r="O4" s="18">
        <f>'FS Seychelles'!M5</f>
        <v>0</v>
      </c>
      <c r="P4" s="18">
        <f>'FS Seychelles'!N5</f>
        <v>0</v>
      </c>
      <c r="Q4" s="18">
        <f>'FS Seychelles'!O5</f>
        <v>5206</v>
      </c>
      <c r="R4" s="18">
        <f>'FS Seychelles'!P5</f>
        <v>11182</v>
      </c>
      <c r="S4" s="18">
        <f>'FS Seychelles'!Q5</f>
        <v>11377</v>
      </c>
      <c r="T4" s="18">
        <f>'FS Seychelles'!R5</f>
        <v>8194</v>
      </c>
      <c r="U4" s="18">
        <f>'FS Seychelles'!T5</f>
        <v>66</v>
      </c>
      <c r="V4" s="18">
        <f>'FS Seychelles'!U5</f>
        <v>13</v>
      </c>
      <c r="W4" s="18">
        <f>'FS Seychelles'!V5</f>
        <v>66</v>
      </c>
      <c r="X4" s="18">
        <f>'FS Seychelles'!W5</f>
        <v>191</v>
      </c>
      <c r="Y4" s="18">
        <f>'FS Seychelles'!X5</f>
        <v>124</v>
      </c>
      <c r="Z4" s="18">
        <f>'FS Seychelles'!Y5</f>
        <v>122</v>
      </c>
      <c r="AA4" s="18">
        <f>'FS Seychelles'!Z5</f>
        <v>0</v>
      </c>
      <c r="AB4" s="18">
        <f>('FS Seychelles'!AC11+'FS Seychelles'!AC17)/30</f>
        <v>0</v>
      </c>
    </row>
    <row r="5" spans="1:28">
      <c r="A5" s="1" t="s">
        <v>13</v>
      </c>
      <c r="B5" s="11">
        <f t="shared" si="0"/>
        <v>4</v>
      </c>
      <c r="C5" s="11">
        <v>7</v>
      </c>
      <c r="D5" s="11">
        <v>2021</v>
      </c>
      <c r="E5" s="18">
        <f>'FS Seychelles'!B6</f>
        <v>51.94</v>
      </c>
      <c r="F5" s="18">
        <f>'FS Seychelles'!D6*1000</f>
        <v>2411.52</v>
      </c>
      <c r="G5" s="18">
        <f>'FS Seychelles'!E6*1000</f>
        <v>4717.5680000000002</v>
      </c>
      <c r="H5" s="18">
        <f>'FS Seychelles'!F6*1000</f>
        <v>4903.424</v>
      </c>
      <c r="I5" s="18">
        <f>'FS Seychelles'!G6*1000</f>
        <v>2028.8</v>
      </c>
      <c r="J5" s="18">
        <f>'FS Seychelles'!H6*1000</f>
        <v>2023.9359999999999</v>
      </c>
      <c r="K5" s="18">
        <f>'FS Seychelles'!I6*1000</f>
        <v>3601.152</v>
      </c>
      <c r="L5" s="18">
        <f>'FS Seychelles'!J6*1000</f>
        <v>1410.1760000000002</v>
      </c>
      <c r="M5" s="18">
        <f>'FS Seychelles'!K6*1000</f>
        <v>1640.704</v>
      </c>
      <c r="N5" s="18">
        <f>'FS Seychelles'!L6*1000</f>
        <v>3807.7440000000001</v>
      </c>
      <c r="O5" s="18">
        <f>'FS Seychelles'!M6</f>
        <v>0</v>
      </c>
      <c r="P5" s="18">
        <f>'FS Seychelles'!N6</f>
        <v>7314</v>
      </c>
      <c r="Q5" s="18">
        <f>'FS Seychelles'!O6</f>
        <v>7476</v>
      </c>
      <c r="R5" s="18">
        <f>'FS Seychelles'!P6</f>
        <v>9044</v>
      </c>
      <c r="S5" s="18">
        <f>'FS Seychelles'!Q6</f>
        <v>4169</v>
      </c>
      <c r="T5" s="18">
        <f>'FS Seychelles'!R6</f>
        <v>7311</v>
      </c>
      <c r="U5" s="18">
        <f>'FS Seychelles'!T6</f>
        <v>60</v>
      </c>
      <c r="V5" s="18">
        <f>'FS Seychelles'!U6</f>
        <v>43</v>
      </c>
      <c r="W5" s="18">
        <f>'FS Seychelles'!V6</f>
        <v>62</v>
      </c>
      <c r="X5" s="18">
        <f>'FS Seychelles'!W6</f>
        <v>143</v>
      </c>
      <c r="Y5" s="18">
        <f>'FS Seychelles'!X6</f>
        <v>120</v>
      </c>
      <c r="Z5" s="18">
        <f>'FS Seychelles'!Y6</f>
        <v>79</v>
      </c>
      <c r="AA5" s="18">
        <f>'FS Seychelles'!Z6</f>
        <v>0</v>
      </c>
      <c r="AB5" s="18">
        <f>('FS Seychelles'!AC12+'FS Seychelles'!AC18)/30</f>
        <v>0</v>
      </c>
    </row>
    <row r="6" spans="1:28">
      <c r="A6" s="1" t="s">
        <v>13</v>
      </c>
      <c r="B6" s="11">
        <f t="shared" si="0"/>
        <v>5</v>
      </c>
      <c r="C6" s="11">
        <v>7</v>
      </c>
      <c r="D6" s="11">
        <v>2021</v>
      </c>
      <c r="E6" s="18">
        <f>'FS Seychelles'!B7</f>
        <v>51.94</v>
      </c>
      <c r="F6" s="18">
        <f>'FS Seychelles'!D7*1000</f>
        <v>2382.0800000000004</v>
      </c>
      <c r="G6" s="18">
        <f>'FS Seychelles'!E7*1000</f>
        <v>4444.6719999999996</v>
      </c>
      <c r="H6" s="18">
        <f>'FS Seychelles'!F7*1000</f>
        <v>5062.1440000000002</v>
      </c>
      <c r="I6" s="18">
        <f>'FS Seychelles'!G7*1000</f>
        <v>2349.5680000000002</v>
      </c>
      <c r="J6" s="18">
        <f>'FS Seychelles'!H7*1000</f>
        <v>2072.8319999999999</v>
      </c>
      <c r="K6" s="18">
        <f>'FS Seychelles'!I7*1000</f>
        <v>3600.384</v>
      </c>
      <c r="L6" s="18">
        <f>'FS Seychelles'!J7*1000</f>
        <v>1376.5119999999999</v>
      </c>
      <c r="M6" s="18">
        <f>'FS Seychelles'!K7*1000</f>
        <v>1589.5040000000001</v>
      </c>
      <c r="N6" s="18">
        <f>'FS Seychelles'!L7*1000</f>
        <v>3859.9679999999998</v>
      </c>
      <c r="O6" s="18">
        <f>'FS Seychelles'!M7</f>
        <v>0</v>
      </c>
      <c r="P6" s="18">
        <f>'FS Seychelles'!N7</f>
        <v>6856</v>
      </c>
      <c r="Q6" s="18">
        <f>'FS Seychelles'!O7</f>
        <v>7271</v>
      </c>
      <c r="R6" s="18">
        <f>'FS Seychelles'!P7</f>
        <v>9435</v>
      </c>
      <c r="S6" s="18">
        <f>'FS Seychelles'!Q7</f>
        <v>4082</v>
      </c>
      <c r="T6" s="18">
        <f>'FS Seychelles'!R7</f>
        <v>7571</v>
      </c>
      <c r="U6" s="18">
        <f>'FS Seychelles'!T7</f>
        <v>69</v>
      </c>
      <c r="V6" s="18">
        <f>'FS Seychelles'!U7</f>
        <v>20</v>
      </c>
      <c r="W6" s="18">
        <f>'FS Seychelles'!V7</f>
        <v>81</v>
      </c>
      <c r="X6" s="18">
        <f>'FS Seychelles'!W7</f>
        <v>173</v>
      </c>
      <c r="Y6" s="18">
        <f>'FS Seychelles'!X7</f>
        <v>124</v>
      </c>
      <c r="Z6" s="18">
        <f>'FS Seychelles'!Y7</f>
        <v>83</v>
      </c>
      <c r="AA6" s="18">
        <f>'FS Seychelles'!Z7</f>
        <v>0</v>
      </c>
      <c r="AB6" s="18">
        <f>('FS Seychelles'!AC13+'FS Seychelles'!AC19)/30</f>
        <v>0</v>
      </c>
    </row>
    <row r="7" spans="1:28">
      <c r="A7" s="1" t="s">
        <v>13</v>
      </c>
      <c r="B7" s="11">
        <f t="shared" si="0"/>
        <v>6</v>
      </c>
      <c r="C7" s="11">
        <v>7</v>
      </c>
      <c r="D7" s="11">
        <v>2021</v>
      </c>
      <c r="E7" s="18">
        <f>'FS Seychelles'!B8</f>
        <v>51.95</v>
      </c>
      <c r="F7" s="18">
        <f>'FS Seychelles'!D8*1000</f>
        <v>2360.0639999999999</v>
      </c>
      <c r="G7" s="18">
        <f>'FS Seychelles'!E8*1000</f>
        <v>4418.0479999999998</v>
      </c>
      <c r="H7" s="18">
        <f>'FS Seychelles'!F8*1000</f>
        <v>4820.4799999999996</v>
      </c>
      <c r="I7" s="18">
        <f>'FS Seychelles'!G8*1000</f>
        <v>2176.5119999999997</v>
      </c>
      <c r="J7" s="18">
        <f>'FS Seychelles'!H8*1000</f>
        <v>2127.8719999999998</v>
      </c>
      <c r="K7" s="18">
        <f>'FS Seychelles'!I8*1000</f>
        <v>3587.5840000000003</v>
      </c>
      <c r="L7" s="18">
        <f>'FS Seychelles'!J8*1000</f>
        <v>1411.328</v>
      </c>
      <c r="M7" s="18">
        <f>'FS Seychelles'!K8*1000</f>
        <v>1540.864</v>
      </c>
      <c r="N7" s="18">
        <f>'FS Seychelles'!L8*1000</f>
        <v>3852.7999999999997</v>
      </c>
      <c r="O7" s="18">
        <f>'FS Seychelles'!M8</f>
        <v>0</v>
      </c>
      <c r="P7" s="18">
        <f>'FS Seychelles'!N8</f>
        <v>9350</v>
      </c>
      <c r="Q7" s="18">
        <f>'FS Seychelles'!O8</f>
        <v>5539</v>
      </c>
      <c r="R7" s="18">
        <f>'FS Seychelles'!P8</f>
        <v>9121</v>
      </c>
      <c r="S7" s="18">
        <f>'FS Seychelles'!Q8</f>
        <v>4651</v>
      </c>
      <c r="T7" s="18">
        <f>'FS Seychelles'!R8</f>
        <v>7865</v>
      </c>
      <c r="U7" s="18">
        <f>'FS Seychelles'!T8</f>
        <v>68</v>
      </c>
      <c r="V7" s="18">
        <f>'FS Seychelles'!U8</f>
        <v>60</v>
      </c>
      <c r="W7" s="18">
        <f>'FS Seychelles'!V8</f>
        <v>85</v>
      </c>
      <c r="X7" s="18">
        <f>'FS Seychelles'!W8</f>
        <v>147</v>
      </c>
      <c r="Y7" s="18">
        <f>'FS Seychelles'!X8</f>
        <v>147</v>
      </c>
      <c r="Z7" s="18">
        <f>'FS Seychelles'!Y8</f>
        <v>143</v>
      </c>
      <c r="AA7" s="18">
        <f>'FS Seychelles'!Z8</f>
        <v>0</v>
      </c>
      <c r="AB7" s="18">
        <f>('FS Seychelles'!AC14+'FS Seychelles'!AC20)/30</f>
        <v>0</v>
      </c>
    </row>
    <row r="8" spans="1:28">
      <c r="A8" s="1" t="s">
        <v>13</v>
      </c>
      <c r="B8" s="11">
        <f t="shared" si="0"/>
        <v>7</v>
      </c>
      <c r="C8" s="11">
        <v>7</v>
      </c>
      <c r="D8" s="11">
        <v>2021</v>
      </c>
      <c r="E8" s="18">
        <f>'FS Seychelles'!B9</f>
        <v>53.25</v>
      </c>
      <c r="F8" s="18">
        <f>'FS Seychelles'!D9*1000</f>
        <v>2238.7199999999998</v>
      </c>
      <c r="G8" s="18">
        <f>'FS Seychelles'!E9*1000</f>
        <v>4466.6880000000001</v>
      </c>
      <c r="H8" s="18">
        <f>'FS Seychelles'!F9*1000</f>
        <v>4858.88</v>
      </c>
      <c r="I8" s="18">
        <f>'FS Seychelles'!G9*1000</f>
        <v>2303.232</v>
      </c>
      <c r="J8" s="18">
        <f>'FS Seychelles'!H9*1000</f>
        <v>2286.3359999999998</v>
      </c>
      <c r="K8" s="18">
        <f>'FS Seychelles'!I9*1000</f>
        <v>3344.1280000000002</v>
      </c>
      <c r="L8" s="18">
        <f>'FS Seychelles'!J9*1000</f>
        <v>1368.704</v>
      </c>
      <c r="M8" s="18">
        <f>'FS Seychelles'!K9*1000</f>
        <v>1670.6559999999999</v>
      </c>
      <c r="N8" s="18">
        <f>'FS Seychelles'!L9*1000</f>
        <v>3763.712</v>
      </c>
      <c r="O8" s="18">
        <f>'FS Seychelles'!M9</f>
        <v>0</v>
      </c>
      <c r="P8" s="18">
        <f>'FS Seychelles'!N9</f>
        <v>9030</v>
      </c>
      <c r="Q8" s="18">
        <f>'FS Seychelles'!O9</f>
        <v>4418</v>
      </c>
      <c r="R8" s="18">
        <f>'FS Seychelles'!P9</f>
        <v>9053</v>
      </c>
      <c r="S8" s="18">
        <f>'FS Seychelles'!Q9</f>
        <v>3673</v>
      </c>
      <c r="T8" s="18">
        <f>'FS Seychelles'!R9</f>
        <v>6993</v>
      </c>
      <c r="U8" s="18">
        <f>'FS Seychelles'!T9</f>
        <v>67</v>
      </c>
      <c r="V8" s="18">
        <f>'FS Seychelles'!U9</f>
        <v>40</v>
      </c>
      <c r="W8" s="18">
        <f>'FS Seychelles'!V9</f>
        <v>81</v>
      </c>
      <c r="X8" s="18">
        <f>'FS Seychelles'!W9</f>
        <v>144</v>
      </c>
      <c r="Y8" s="18">
        <f>'FS Seychelles'!X9</f>
        <v>119</v>
      </c>
      <c r="Z8" s="18">
        <f>'FS Seychelles'!Y9</f>
        <v>100</v>
      </c>
      <c r="AA8" s="18">
        <f>'FS Seychelles'!Z9</f>
        <v>0</v>
      </c>
      <c r="AB8" s="18">
        <f>('FS Seychelles'!AC15+'FS Seychelles'!AC21)/30</f>
        <v>0</v>
      </c>
    </row>
    <row r="9" spans="1:28">
      <c r="A9" s="1" t="s">
        <v>13</v>
      </c>
      <c r="B9" s="11">
        <f t="shared" si="0"/>
        <v>8</v>
      </c>
      <c r="C9" s="11">
        <v>7</v>
      </c>
      <c r="D9" s="11">
        <v>2021</v>
      </c>
      <c r="E9" s="18">
        <f>'FS Seychelles'!B10</f>
        <v>50.65</v>
      </c>
      <c r="F9" s="18">
        <f>'FS Seychelles'!D10*1000</f>
        <v>2186.752</v>
      </c>
      <c r="G9" s="18">
        <f>'FS Seychelles'!E10*1000</f>
        <v>4404.7359999999999</v>
      </c>
      <c r="H9" s="18">
        <f>'FS Seychelles'!F10*1000</f>
        <v>4559.3599999999997</v>
      </c>
      <c r="I9" s="18">
        <f>'FS Seychelles'!G10*1000</f>
        <v>2533.12</v>
      </c>
      <c r="J9" s="18">
        <f>'FS Seychelles'!H10*1000</f>
        <v>2247.9360000000001</v>
      </c>
      <c r="K9" s="18">
        <f>'FS Seychelles'!I10*1000</f>
        <v>2773.5039999999999</v>
      </c>
      <c r="L9" s="18">
        <f>'FS Seychelles'!J10*1000</f>
        <v>1358.336</v>
      </c>
      <c r="M9" s="18">
        <f>'FS Seychelles'!K10*1000</f>
        <v>1549.568</v>
      </c>
      <c r="N9" s="18">
        <f>'FS Seychelles'!L10*1000</f>
        <v>3753.4719999999998</v>
      </c>
      <c r="O9" s="18">
        <f>'FS Seychelles'!M10</f>
        <v>0</v>
      </c>
      <c r="P9" s="18">
        <f>'FS Seychelles'!N10</f>
        <v>5438</v>
      </c>
      <c r="Q9" s="18">
        <f>'FS Seychelles'!O10</f>
        <v>7855</v>
      </c>
      <c r="R9" s="18">
        <f>'FS Seychelles'!P10</f>
        <v>8821</v>
      </c>
      <c r="S9" s="18">
        <f>'FS Seychelles'!Q10</f>
        <v>3838</v>
      </c>
      <c r="T9" s="18">
        <f>'FS Seychelles'!R10</f>
        <v>7158</v>
      </c>
      <c r="U9" s="18">
        <f>'FS Seychelles'!T10</f>
        <v>65.857142857142861</v>
      </c>
      <c r="V9" s="18">
        <f>'FS Seychelles'!U10</f>
        <v>38.857142857142854</v>
      </c>
      <c r="W9" s="18">
        <f>'FS Seychelles'!V10</f>
        <v>70.428571428571431</v>
      </c>
      <c r="X9" s="18">
        <f>'FS Seychelles'!W10</f>
        <v>159.85714285714286</v>
      </c>
      <c r="Y9" s="18">
        <f>'FS Seychelles'!X10</f>
        <v>126.57142857142857</v>
      </c>
      <c r="Z9" s="18">
        <f>'FS Seychelles'!Y10</f>
        <v>108.57142857142857</v>
      </c>
      <c r="AA9" s="18">
        <f>'FS Seychelles'!Z10</f>
        <v>0</v>
      </c>
      <c r="AB9" s="18">
        <f>('FS Seychelles'!AC16+'FS Seychelles'!AC22)/30</f>
        <v>0</v>
      </c>
    </row>
    <row r="10" spans="1:28">
      <c r="A10" s="1" t="s">
        <v>13</v>
      </c>
      <c r="B10" s="11">
        <f t="shared" si="0"/>
        <v>9</v>
      </c>
      <c r="C10" s="11">
        <v>7</v>
      </c>
      <c r="D10" s="11">
        <v>2021</v>
      </c>
      <c r="E10" s="18">
        <f>'FS Seychelles'!B11</f>
        <v>51.85</v>
      </c>
      <c r="F10" s="18">
        <f>'FS Seychelles'!D11*1000</f>
        <v>2283.2640000000001</v>
      </c>
      <c r="G10" s="18">
        <f>'FS Seychelles'!E11*1000</f>
        <v>4439.5519999999997</v>
      </c>
      <c r="H10" s="18">
        <f>'FS Seychelles'!F11*1000</f>
        <v>4635.1360000000004</v>
      </c>
      <c r="I10" s="18">
        <f>'FS Seychelles'!G11*1000</f>
        <v>2772.9919999999997</v>
      </c>
      <c r="J10" s="18">
        <f>'FS Seychelles'!H11*1000</f>
        <v>2157.056</v>
      </c>
      <c r="K10" s="18">
        <f>'FS Seychelles'!I11*1000</f>
        <v>2789.6320000000001</v>
      </c>
      <c r="L10" s="18">
        <f>'FS Seychelles'!J11*1000</f>
        <v>1286.0160000000001</v>
      </c>
      <c r="M10" s="18">
        <f>'FS Seychelles'!K11*1000</f>
        <v>1736.96</v>
      </c>
      <c r="N10" s="18">
        <f>'FS Seychelles'!L11*1000</f>
        <v>3712.5119999999997</v>
      </c>
      <c r="O10" s="18">
        <f>'FS Seychelles'!M11</f>
        <v>0</v>
      </c>
      <c r="P10" s="18">
        <f>'FS Seychelles'!N11</f>
        <v>6648.375</v>
      </c>
      <c r="Q10" s="18">
        <f>'FS Seychelles'!O11</f>
        <v>6222.75</v>
      </c>
      <c r="R10" s="18">
        <f>'FS Seychelles'!P11</f>
        <v>9322.125</v>
      </c>
      <c r="S10" s="18">
        <f>'FS Seychelles'!Q11</f>
        <v>5267.25</v>
      </c>
      <c r="T10" s="18">
        <f>'FS Seychelles'!R11</f>
        <v>7473</v>
      </c>
      <c r="U10" s="18">
        <f>'FS Seychelles'!T11</f>
        <v>57</v>
      </c>
      <c r="V10" s="18">
        <f>'FS Seychelles'!U11</f>
        <v>0</v>
      </c>
      <c r="W10" s="18">
        <f>'FS Seychelles'!V11</f>
        <v>113</v>
      </c>
      <c r="X10" s="18">
        <f>'FS Seychelles'!W11</f>
        <v>153</v>
      </c>
      <c r="Y10" s="18">
        <f>'FS Seychelles'!X11</f>
        <v>137</v>
      </c>
      <c r="Z10" s="18">
        <f>'FS Seychelles'!Y11</f>
        <v>124</v>
      </c>
      <c r="AA10" s="18">
        <f>'FS Seychelles'!Z11</f>
        <v>0</v>
      </c>
      <c r="AB10" s="18">
        <f>('FS Seychelles'!AC17+'FS Seychelles'!AC23)/30</f>
        <v>0</v>
      </c>
    </row>
    <row r="11" spans="1:28">
      <c r="A11" s="1" t="s">
        <v>13</v>
      </c>
      <c r="B11" s="11">
        <f t="shared" si="0"/>
        <v>10</v>
      </c>
      <c r="C11" s="11">
        <v>7</v>
      </c>
      <c r="D11" s="11">
        <v>2021</v>
      </c>
      <c r="E11" s="18">
        <f>'FS Seychelles'!B12</f>
        <v>43.9</v>
      </c>
      <c r="F11" s="18">
        <f>'FS Seychelles'!D12*1000</f>
        <v>2335.232</v>
      </c>
      <c r="G11" s="18">
        <f>'FS Seychelles'!E12*1000</f>
        <v>3999.7440000000001</v>
      </c>
      <c r="H11" s="18">
        <f>'FS Seychelles'!F12*1000</f>
        <v>4599.2960000000003</v>
      </c>
      <c r="I11" s="18">
        <f>'FS Seychelles'!G12*1000</f>
        <v>2646.0160000000001</v>
      </c>
      <c r="J11" s="18">
        <f>'FS Seychelles'!H12*1000</f>
        <v>2248.4479999999999</v>
      </c>
      <c r="K11" s="18">
        <f>'FS Seychelles'!I12*1000</f>
        <v>2838.7840000000001</v>
      </c>
      <c r="L11" s="18">
        <f>'FS Seychelles'!J12*1000</f>
        <v>1439.104</v>
      </c>
      <c r="M11" s="18">
        <f>'FS Seychelles'!K12*1000</f>
        <v>1776.64</v>
      </c>
      <c r="N11" s="18">
        <f>'FS Seychelles'!L12*1000</f>
        <v>3762.6879999999996</v>
      </c>
      <c r="O11" s="18">
        <f>'FS Seychelles'!M12</f>
        <v>0</v>
      </c>
      <c r="P11" s="18">
        <f>'FS Seychelles'!N12</f>
        <v>4697</v>
      </c>
      <c r="Q11" s="18">
        <f>'FS Seychelles'!O12</f>
        <v>9142</v>
      </c>
      <c r="R11" s="18">
        <f>'FS Seychelles'!P12</f>
        <v>8489</v>
      </c>
      <c r="S11" s="18">
        <f>'FS Seychelles'!Q12</f>
        <v>4462</v>
      </c>
      <c r="T11" s="18">
        <f>'FS Seychelles'!R12</f>
        <v>7383</v>
      </c>
      <c r="U11" s="18">
        <f>'FS Seychelles'!T12</f>
        <v>63</v>
      </c>
      <c r="V11" s="18">
        <f>'FS Seychelles'!U12</f>
        <v>43</v>
      </c>
      <c r="W11" s="18">
        <f>'FS Seychelles'!V12</f>
        <v>69</v>
      </c>
      <c r="X11" s="18">
        <f>'FS Seychelles'!W12</f>
        <v>151</v>
      </c>
      <c r="Y11" s="18">
        <f>'FS Seychelles'!X12</f>
        <v>106</v>
      </c>
      <c r="Z11" s="18">
        <f>'FS Seychelles'!Y12</f>
        <v>135</v>
      </c>
      <c r="AA11" s="18">
        <f>'FS Seychelles'!Z12</f>
        <v>0</v>
      </c>
      <c r="AB11" s="18">
        <f>('FS Seychelles'!AC18+'FS Seychelles'!AC24)/30</f>
        <v>0</v>
      </c>
    </row>
    <row r="12" spans="1:28">
      <c r="A12" s="1" t="s">
        <v>13</v>
      </c>
      <c r="B12" s="11">
        <f t="shared" si="0"/>
        <v>11</v>
      </c>
      <c r="C12" s="11">
        <v>7</v>
      </c>
      <c r="D12" s="11">
        <v>2021</v>
      </c>
      <c r="E12" s="18">
        <f>'FS Seychelles'!B13</f>
        <v>42.86</v>
      </c>
      <c r="F12" s="18">
        <f>'FS Seychelles'!D13*1000</f>
        <v>2202.3679999999999</v>
      </c>
      <c r="G12" s="18">
        <f>'FS Seychelles'!E13*1000</f>
        <v>3983.3599999999997</v>
      </c>
      <c r="H12" s="18">
        <f>'FS Seychelles'!F13*1000</f>
        <v>4714.4959999999992</v>
      </c>
      <c r="I12" s="18">
        <f>'FS Seychelles'!G13*1000</f>
        <v>2740.48</v>
      </c>
      <c r="J12" s="18">
        <f>'FS Seychelles'!H13*1000</f>
        <v>2696.7040000000002</v>
      </c>
      <c r="K12" s="18">
        <f>'FS Seychelles'!I13*1000</f>
        <v>3096.32</v>
      </c>
      <c r="L12" s="18">
        <f>'FS Seychelles'!J13*1000</f>
        <v>1382.4</v>
      </c>
      <c r="M12" s="18">
        <f>'FS Seychelles'!K13*1000</f>
        <v>1587.712</v>
      </c>
      <c r="N12" s="18">
        <f>'FS Seychelles'!L13*1000</f>
        <v>3664.384</v>
      </c>
      <c r="O12" s="18">
        <f>'FS Seychelles'!M13</f>
        <v>0</v>
      </c>
      <c r="P12" s="18">
        <f>'FS Seychelles'!N13</f>
        <v>0</v>
      </c>
      <c r="Q12" s="18">
        <f>'FS Seychelles'!O13</f>
        <v>7873</v>
      </c>
      <c r="R12" s="18">
        <f>'FS Seychelles'!P13</f>
        <v>10180</v>
      </c>
      <c r="S12" s="18">
        <f>'FS Seychelles'!Q13</f>
        <v>9578</v>
      </c>
      <c r="T12" s="18">
        <f>'FS Seychelles'!R13</f>
        <v>7574</v>
      </c>
      <c r="U12" s="18">
        <f>'FS Seychelles'!T13</f>
        <v>65</v>
      </c>
      <c r="V12" s="18">
        <f>'FS Seychelles'!U13</f>
        <v>47</v>
      </c>
      <c r="W12" s="18">
        <f>'FS Seychelles'!V13</f>
        <v>67</v>
      </c>
      <c r="X12" s="18">
        <f>'FS Seychelles'!W13</f>
        <v>150</v>
      </c>
      <c r="Y12" s="18">
        <f>'FS Seychelles'!X13</f>
        <v>126</v>
      </c>
      <c r="Z12" s="18">
        <f>'FS Seychelles'!Y13</f>
        <v>129</v>
      </c>
      <c r="AA12" s="18">
        <f>'FS Seychelles'!Z13</f>
        <v>0</v>
      </c>
      <c r="AB12" s="18">
        <f>('FS Seychelles'!AC19+'FS Seychelles'!AC25)/30</f>
        <v>0</v>
      </c>
    </row>
    <row r="13" spans="1:28">
      <c r="A13" s="1" t="s">
        <v>13</v>
      </c>
      <c r="B13" s="11">
        <f t="shared" si="0"/>
        <v>12</v>
      </c>
      <c r="C13" s="11">
        <v>7</v>
      </c>
      <c r="D13" s="11">
        <v>2021</v>
      </c>
      <c r="E13" s="18">
        <f>'FS Seychelles'!B14</f>
        <v>48.78</v>
      </c>
      <c r="F13" s="18">
        <f>'FS Seychelles'!D14*1000</f>
        <v>2010.1119999999999</v>
      </c>
      <c r="G13" s="18">
        <f>'FS Seychelles'!E14*1000</f>
        <v>3745.7919999999999</v>
      </c>
      <c r="H13" s="18">
        <f>'FS Seychelles'!F14*1000</f>
        <v>4452.3519999999999</v>
      </c>
      <c r="I13" s="18">
        <f>'FS Seychelles'!G14*1000</f>
        <v>2364.4159999999997</v>
      </c>
      <c r="J13" s="18">
        <f>'FS Seychelles'!H14*1000</f>
        <v>2518.0159999999996</v>
      </c>
      <c r="K13" s="18">
        <f>'FS Seychelles'!I14*1000</f>
        <v>2884.096</v>
      </c>
      <c r="L13" s="18">
        <f>'FS Seychelles'!J14*1000</f>
        <v>1411.9679999999998</v>
      </c>
      <c r="M13" s="18">
        <f>'FS Seychelles'!K14*1000</f>
        <v>1520.1279999999999</v>
      </c>
      <c r="N13" s="18">
        <f>'FS Seychelles'!L14*1000</f>
        <v>3789.3119999999999</v>
      </c>
      <c r="O13" s="18">
        <f>'FS Seychelles'!M14</f>
        <v>0</v>
      </c>
      <c r="P13" s="18">
        <f>'FS Seychelles'!N14</f>
        <v>0</v>
      </c>
      <c r="Q13" s="18">
        <f>'FS Seychelles'!O14</f>
        <v>4576</v>
      </c>
      <c r="R13" s="18">
        <f>'FS Seychelles'!P14</f>
        <v>11075</v>
      </c>
      <c r="S13" s="18">
        <f>'FS Seychelles'!Q14</f>
        <v>9953</v>
      </c>
      <c r="T13" s="18">
        <f>'FS Seychelles'!R14</f>
        <v>7034</v>
      </c>
      <c r="U13" s="18">
        <f>'FS Seychelles'!T14</f>
        <v>0</v>
      </c>
      <c r="V13" s="18">
        <f>'FS Seychelles'!U14</f>
        <v>0</v>
      </c>
      <c r="W13" s="18">
        <f>'FS Seychelles'!V14</f>
        <v>0</v>
      </c>
      <c r="X13" s="18">
        <f>'FS Seychelles'!W14</f>
        <v>0</v>
      </c>
      <c r="Y13" s="18">
        <f>'FS Seychelles'!X14</f>
        <v>0</v>
      </c>
      <c r="Z13" s="18">
        <f>'FS Seychelles'!Y14</f>
        <v>0</v>
      </c>
      <c r="AA13" s="18">
        <f>'FS Seychelles'!Z14</f>
        <v>0</v>
      </c>
      <c r="AB13" s="18">
        <f>('FS Seychelles'!AC20+'FS Seychelles'!AC26)/30</f>
        <v>0</v>
      </c>
    </row>
    <row r="14" spans="1:28">
      <c r="A14" s="1" t="s">
        <v>13</v>
      </c>
      <c r="B14" s="11">
        <f t="shared" si="0"/>
        <v>13</v>
      </c>
      <c r="C14" s="11">
        <v>7</v>
      </c>
      <c r="D14" s="11">
        <v>2021</v>
      </c>
      <c r="E14" s="18">
        <f>'FS Seychelles'!B15</f>
        <v>0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0</v>
      </c>
      <c r="P14" s="18">
        <f>'FS Seychelles'!N15</f>
        <v>0</v>
      </c>
      <c r="Q14" s="18">
        <f>'FS Seychelles'!O15</f>
        <v>0</v>
      </c>
      <c r="R14" s="18">
        <f>'FS Seychelles'!P15</f>
        <v>0</v>
      </c>
      <c r="S14" s="18">
        <f>'FS Seychelles'!Q15</f>
        <v>0</v>
      </c>
      <c r="T14" s="18">
        <f>'FS Seychelles'!R15</f>
        <v>0</v>
      </c>
      <c r="U14" s="18">
        <f>'FS Seychelles'!T15</f>
        <v>0</v>
      </c>
      <c r="V14" s="18">
        <f>'FS Seychelles'!U15</f>
        <v>0</v>
      </c>
      <c r="W14" s="18">
        <f>'FS Seychelles'!V15</f>
        <v>0</v>
      </c>
      <c r="X14" s="18">
        <f>'FS Seychelles'!W15</f>
        <v>0</v>
      </c>
      <c r="Y14" s="18">
        <f>'FS Seychelles'!X15</f>
        <v>0</v>
      </c>
      <c r="Z14" s="18">
        <f>'FS Seychelles'!Y15</f>
        <v>0</v>
      </c>
      <c r="AA14" s="18">
        <f>'FS Seychelles'!Z15</f>
        <v>0</v>
      </c>
      <c r="AB14" s="18">
        <f>('FS Seychelles'!AC21+'FS Seychelles'!AC27)/30</f>
        <v>0</v>
      </c>
    </row>
    <row r="15" spans="1:28">
      <c r="A15" s="1" t="s">
        <v>13</v>
      </c>
      <c r="B15" s="11">
        <f t="shared" si="0"/>
        <v>14</v>
      </c>
      <c r="C15" s="11">
        <v>7</v>
      </c>
      <c r="D15" s="11">
        <v>2021</v>
      </c>
      <c r="E15" s="18">
        <f>'FS Seychelles'!B16</f>
        <v>0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0</v>
      </c>
      <c r="P15" s="18">
        <f>'FS Seychelles'!N16</f>
        <v>0</v>
      </c>
      <c r="Q15" s="18">
        <f>'FS Seychelles'!O16</f>
        <v>0</v>
      </c>
      <c r="R15" s="18">
        <f>'FS Seychelles'!P16</f>
        <v>0</v>
      </c>
      <c r="S15" s="18">
        <f>'FS Seychelles'!Q16</f>
        <v>0</v>
      </c>
      <c r="T15" s="18">
        <f>'FS Seychelles'!R16</f>
        <v>0</v>
      </c>
      <c r="U15" s="18">
        <f>'FS Seychelles'!T16</f>
        <v>0</v>
      </c>
      <c r="V15" s="18">
        <f>'FS Seychelles'!U16</f>
        <v>0</v>
      </c>
      <c r="W15" s="18">
        <f>'FS Seychelles'!V16</f>
        <v>0</v>
      </c>
      <c r="X15" s="18">
        <f>'FS Seychelles'!W16</f>
        <v>0</v>
      </c>
      <c r="Y15" s="18">
        <f>'FS Seychelles'!X16</f>
        <v>0</v>
      </c>
      <c r="Z15" s="18">
        <f>'FS Seychelles'!Y16</f>
        <v>0</v>
      </c>
      <c r="AA15" s="18">
        <f>'FS Seychelles'!Z16</f>
        <v>0</v>
      </c>
      <c r="AB15" s="18">
        <f>('FS Seychelles'!AC22+'FS Seychelles'!AC28)/30</f>
        <v>0</v>
      </c>
    </row>
    <row r="16" spans="1:28">
      <c r="A16" s="1" t="s">
        <v>13</v>
      </c>
      <c r="B16" s="11">
        <f t="shared" si="0"/>
        <v>15</v>
      </c>
      <c r="C16" s="11">
        <v>7</v>
      </c>
      <c r="D16" s="11">
        <v>2021</v>
      </c>
      <c r="E16" s="18">
        <f>'FS Seychelles'!B17</f>
        <v>0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0</v>
      </c>
      <c r="P16" s="18">
        <f>'FS Seychelles'!N17</f>
        <v>0</v>
      </c>
      <c r="Q16" s="18">
        <f>'FS Seychelles'!O17</f>
        <v>0</v>
      </c>
      <c r="R16" s="18">
        <f>'FS Seychelles'!P17</f>
        <v>0</v>
      </c>
      <c r="S16" s="18">
        <f>'FS Seychelles'!Q17</f>
        <v>0</v>
      </c>
      <c r="T16" s="18">
        <f>'FS Seychelles'!R17</f>
        <v>0</v>
      </c>
      <c r="U16" s="18">
        <f>'FS Seychelles'!T17</f>
        <v>0</v>
      </c>
      <c r="V16" s="18">
        <f>'FS Seychelles'!U17</f>
        <v>0</v>
      </c>
      <c r="W16" s="18">
        <f>'FS Seychelles'!V17</f>
        <v>0</v>
      </c>
      <c r="X16" s="18">
        <f>'FS Seychelles'!W17</f>
        <v>0</v>
      </c>
      <c r="Y16" s="18">
        <f>'FS Seychelles'!X17</f>
        <v>0</v>
      </c>
      <c r="Z16" s="18">
        <f>'FS Seychelles'!Y17</f>
        <v>0</v>
      </c>
      <c r="AA16" s="18">
        <f>'FS Seychelles'!Z17</f>
        <v>0</v>
      </c>
      <c r="AB16" s="18">
        <f>('FS Seychelles'!AC23+'FS Seychelles'!AC29)/30</f>
        <v>0</v>
      </c>
    </row>
    <row r="17" spans="1:28">
      <c r="A17" s="1" t="s">
        <v>13</v>
      </c>
      <c r="B17" s="11">
        <f t="shared" si="0"/>
        <v>16</v>
      </c>
      <c r="C17" s="11">
        <v>7</v>
      </c>
      <c r="D17" s="11">
        <v>2021</v>
      </c>
      <c r="E17" s="18">
        <f>'FS Seychelles'!B18</f>
        <v>0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0</v>
      </c>
      <c r="P17" s="18">
        <f>'FS Seychelles'!N18</f>
        <v>0</v>
      </c>
      <c r="Q17" s="18">
        <f>'FS Seychelles'!O18</f>
        <v>0</v>
      </c>
      <c r="R17" s="18">
        <f>'FS Seychelles'!P18</f>
        <v>0</v>
      </c>
      <c r="S17" s="18">
        <f>'FS Seychelles'!Q18</f>
        <v>0</v>
      </c>
      <c r="T17" s="18">
        <f>'FS Seychelles'!R18</f>
        <v>0</v>
      </c>
      <c r="U17" s="18">
        <f>'FS Seychelles'!T18</f>
        <v>0</v>
      </c>
      <c r="V17" s="18">
        <f>'FS Seychelles'!U18</f>
        <v>0</v>
      </c>
      <c r="W17" s="18">
        <f>'FS Seychelles'!V18</f>
        <v>0</v>
      </c>
      <c r="X17" s="18">
        <f>'FS Seychelles'!W18</f>
        <v>0</v>
      </c>
      <c r="Y17" s="18">
        <f>'FS Seychelles'!X18</f>
        <v>0</v>
      </c>
      <c r="Z17" s="18">
        <f>'FS Seychelles'!Y18</f>
        <v>0</v>
      </c>
      <c r="AA17" s="18">
        <f>'FS Seychelles'!Z18</f>
        <v>0</v>
      </c>
      <c r="AB17" s="18">
        <f>('FS Seychelles'!AC24+'FS Seychelles'!AC30)/30</f>
        <v>0</v>
      </c>
    </row>
    <row r="18" spans="1:28">
      <c r="A18" s="1" t="s">
        <v>13</v>
      </c>
      <c r="B18" s="11">
        <f t="shared" si="0"/>
        <v>17</v>
      </c>
      <c r="C18" s="11">
        <v>7</v>
      </c>
      <c r="D18" s="11">
        <v>2021</v>
      </c>
      <c r="E18" s="18">
        <f>'FS Seychelles'!B19</f>
        <v>0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0</v>
      </c>
      <c r="P18" s="18">
        <f>'FS Seychelles'!N19</f>
        <v>0</v>
      </c>
      <c r="Q18" s="18">
        <f>'FS Seychelles'!O19</f>
        <v>0</v>
      </c>
      <c r="R18" s="18">
        <f>'FS Seychelles'!P19</f>
        <v>0</v>
      </c>
      <c r="S18" s="18">
        <f>'FS Seychelles'!Q19</f>
        <v>0</v>
      </c>
      <c r="T18" s="18">
        <f>'FS Seychelles'!R19</f>
        <v>0</v>
      </c>
      <c r="U18" s="18">
        <f>'FS Seychelles'!T19</f>
        <v>0</v>
      </c>
      <c r="V18" s="18">
        <f>'FS Seychelles'!U19</f>
        <v>0</v>
      </c>
      <c r="W18" s="18">
        <f>'FS Seychelles'!V19</f>
        <v>0</v>
      </c>
      <c r="X18" s="18">
        <f>'FS Seychelles'!W19</f>
        <v>0</v>
      </c>
      <c r="Y18" s="18">
        <f>'FS Seychelles'!X19</f>
        <v>0</v>
      </c>
      <c r="Z18" s="18">
        <f>'FS Seychelles'!Y19</f>
        <v>0</v>
      </c>
      <c r="AA18" s="18">
        <f>'FS Seychelles'!Z19</f>
        <v>0</v>
      </c>
      <c r="AB18" s="18">
        <f>('FS Seychelles'!AC25+'FS Seychelles'!AC31)/30</f>
        <v>0</v>
      </c>
    </row>
    <row r="19" spans="1:28">
      <c r="A19" s="1" t="s">
        <v>13</v>
      </c>
      <c r="B19" s="11">
        <f t="shared" si="0"/>
        <v>18</v>
      </c>
      <c r="C19" s="11">
        <v>7</v>
      </c>
      <c r="D19" s="11">
        <v>2021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0</v>
      </c>
      <c r="P19" s="18">
        <f>'FS Seychelles'!N20</f>
        <v>0</v>
      </c>
      <c r="Q19" s="18">
        <f>'FS Seychelles'!O20</f>
        <v>0</v>
      </c>
      <c r="R19" s="18">
        <f>'FS Seychelles'!P20</f>
        <v>0</v>
      </c>
      <c r="S19" s="18">
        <f>'FS Seychelles'!Q20</f>
        <v>0</v>
      </c>
      <c r="T19" s="18">
        <f>'FS Seychelles'!R20</f>
        <v>0</v>
      </c>
      <c r="U19" s="18">
        <f>'FS Seychelles'!T20</f>
        <v>0</v>
      </c>
      <c r="V19" s="18">
        <f>'FS Seychelles'!U20</f>
        <v>0</v>
      </c>
      <c r="W19" s="18">
        <f>'FS Seychelles'!V20</f>
        <v>0</v>
      </c>
      <c r="X19" s="18">
        <f>'FS Seychelles'!W20</f>
        <v>0</v>
      </c>
      <c r="Y19" s="18">
        <f>'FS Seychelles'!X20</f>
        <v>0</v>
      </c>
      <c r="Z19" s="18">
        <f>'FS Seychelles'!Y20</f>
        <v>0</v>
      </c>
      <c r="AA19" s="18">
        <f>'FS Seychelles'!Z20</f>
        <v>0</v>
      </c>
      <c r="AB19" s="18">
        <f>('FS Seychelles'!AC26+'FS Seychelles'!AC32)/30</f>
        <v>0</v>
      </c>
    </row>
    <row r="20" spans="1:28">
      <c r="A20" s="1" t="s">
        <v>13</v>
      </c>
      <c r="B20" s="11">
        <f t="shared" si="0"/>
        <v>19</v>
      </c>
      <c r="C20" s="11">
        <v>7</v>
      </c>
      <c r="D20" s="11">
        <v>2021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0</v>
      </c>
      <c r="P20" s="18">
        <f>'FS Seychelles'!N21</f>
        <v>0</v>
      </c>
      <c r="Q20" s="18">
        <f>'FS Seychelles'!O21</f>
        <v>0</v>
      </c>
      <c r="R20" s="18">
        <f>'FS Seychelles'!P21</f>
        <v>0</v>
      </c>
      <c r="S20" s="18">
        <f>'FS Seychelles'!Q21</f>
        <v>0</v>
      </c>
      <c r="T20" s="18">
        <f>'FS Seychelles'!R21</f>
        <v>0</v>
      </c>
      <c r="U20" s="18">
        <f>'FS Seychelles'!T21</f>
        <v>0</v>
      </c>
      <c r="V20" s="18">
        <f>'FS Seychelles'!U21</f>
        <v>0</v>
      </c>
      <c r="W20" s="18">
        <f>'FS Seychelles'!V21</f>
        <v>0</v>
      </c>
      <c r="X20" s="18">
        <f>'FS Seychelles'!W21</f>
        <v>0</v>
      </c>
      <c r="Y20" s="18">
        <f>'FS Seychelles'!X21</f>
        <v>0</v>
      </c>
      <c r="Z20" s="18">
        <f>'FS Seychelles'!Y21</f>
        <v>0</v>
      </c>
      <c r="AA20" s="18">
        <f>'FS Seychelles'!Z21</f>
        <v>0</v>
      </c>
      <c r="AB20" s="18">
        <f>('FS Seychelles'!AC27+'FS Seychelles'!AC33)/30</f>
        <v>0</v>
      </c>
    </row>
    <row r="21" spans="1:28">
      <c r="A21" s="1" t="s">
        <v>13</v>
      </c>
      <c r="B21" s="11">
        <f t="shared" si="0"/>
        <v>20</v>
      </c>
      <c r="C21" s="11">
        <v>7</v>
      </c>
      <c r="D21" s="11">
        <v>2021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0</v>
      </c>
      <c r="P21" s="18">
        <f>'FS Seychelles'!N22</f>
        <v>0</v>
      </c>
      <c r="Q21" s="18">
        <f>'FS Seychelles'!O22</f>
        <v>0</v>
      </c>
      <c r="R21" s="18">
        <f>'FS Seychelles'!P22</f>
        <v>0</v>
      </c>
      <c r="S21" s="18">
        <f>'FS Seychelles'!Q23</f>
        <v>0</v>
      </c>
      <c r="T21" s="18">
        <f>'FS Seychelles'!R22</f>
        <v>0</v>
      </c>
      <c r="U21" s="18">
        <f>'FS Seychelles'!T22</f>
        <v>0</v>
      </c>
      <c r="V21" s="18">
        <f>'FS Seychelles'!U22</f>
        <v>0</v>
      </c>
      <c r="W21" s="18">
        <f>'FS Seychelles'!V22</f>
        <v>0</v>
      </c>
      <c r="X21" s="18">
        <f>'FS Seychelles'!W22</f>
        <v>0</v>
      </c>
      <c r="Y21" s="18">
        <f>'FS Seychelles'!X22</f>
        <v>0</v>
      </c>
      <c r="Z21" s="18">
        <f>'FS Seychelles'!Y22</f>
        <v>0</v>
      </c>
      <c r="AA21" s="18">
        <f>'FS Seychelles'!Z22</f>
        <v>0</v>
      </c>
      <c r="AB21" s="18">
        <f>('FS Seychelles'!AC28+'FS Seychelles'!AC34)/30</f>
        <v>0</v>
      </c>
    </row>
    <row r="22" spans="1:28">
      <c r="A22" s="1" t="s">
        <v>13</v>
      </c>
      <c r="B22" s="11">
        <f t="shared" si="0"/>
        <v>21</v>
      </c>
      <c r="C22" s="11">
        <v>7</v>
      </c>
      <c r="D22" s="11">
        <v>2021</v>
      </c>
      <c r="E22" s="18">
        <f>'FS Seychelles'!B23</f>
        <v>0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0</v>
      </c>
      <c r="P22" s="18">
        <f>'FS Seychelles'!N23</f>
        <v>0</v>
      </c>
      <c r="Q22" s="18">
        <f>'FS Seychelles'!O23</f>
        <v>0</v>
      </c>
      <c r="R22" s="18">
        <f>'FS Seychelles'!P23</f>
        <v>0</v>
      </c>
      <c r="S22" s="18">
        <f>'FS Seychelles'!Q24</f>
        <v>0</v>
      </c>
      <c r="T22" s="18">
        <f>'FS Seychelles'!R23</f>
        <v>0</v>
      </c>
      <c r="U22" s="18">
        <f>'FS Seychelles'!T23</f>
        <v>0</v>
      </c>
      <c r="V22" s="18">
        <f>'FS Seychelles'!U23</f>
        <v>0</v>
      </c>
      <c r="W22" s="18">
        <f>'FS Seychelles'!V23</f>
        <v>0</v>
      </c>
      <c r="X22" s="18">
        <f>'FS Seychelles'!W23</f>
        <v>0</v>
      </c>
      <c r="Y22" s="18">
        <f>'FS Seychelles'!X23</f>
        <v>0</v>
      </c>
      <c r="Z22" s="18">
        <f>'FS Seychelles'!Y23</f>
        <v>0</v>
      </c>
      <c r="AA22" s="18">
        <f>'FS Seychelles'!Z23</f>
        <v>0</v>
      </c>
      <c r="AB22" s="18">
        <f>('FS Seychelles'!AC29+'FS Seychelles'!AC35)/30</f>
        <v>0</v>
      </c>
    </row>
    <row r="23" spans="1:28">
      <c r="A23" s="1" t="s">
        <v>13</v>
      </c>
      <c r="B23" s="11">
        <f t="shared" si="0"/>
        <v>22</v>
      </c>
      <c r="C23" s="11">
        <v>7</v>
      </c>
      <c r="D23" s="11">
        <v>2021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0</v>
      </c>
      <c r="P23" s="18">
        <f>'FS Seychelles'!N24</f>
        <v>0</v>
      </c>
      <c r="Q23" s="18">
        <f>'FS Seychelles'!O24</f>
        <v>0</v>
      </c>
      <c r="R23" s="18">
        <f>'FS Seychelles'!P24</f>
        <v>0</v>
      </c>
      <c r="S23" s="18">
        <f>'FS Seychelles'!Q25</f>
        <v>0</v>
      </c>
      <c r="T23" s="18">
        <f>'FS Seychelles'!R24</f>
        <v>0</v>
      </c>
      <c r="U23" s="18">
        <f>'FS Seychelles'!T24</f>
        <v>0</v>
      </c>
      <c r="V23" s="18">
        <f>'FS Seychelles'!U24</f>
        <v>0</v>
      </c>
      <c r="W23" s="18">
        <f>'FS Seychelles'!V24</f>
        <v>0</v>
      </c>
      <c r="X23" s="18">
        <f>'FS Seychelles'!W24</f>
        <v>0</v>
      </c>
      <c r="Y23" s="18">
        <f>'FS Seychelles'!X24</f>
        <v>0</v>
      </c>
      <c r="Z23" s="18">
        <f>'FS Seychelles'!Y24</f>
        <v>0</v>
      </c>
      <c r="AA23" s="18">
        <f>'FS Seychelles'!Z24</f>
        <v>0</v>
      </c>
      <c r="AB23" s="18">
        <f>('FS Seychelles'!AC30+'FS Seychelles'!AC36)/30</f>
        <v>0</v>
      </c>
    </row>
    <row r="24" spans="1:28">
      <c r="A24" s="1" t="s">
        <v>13</v>
      </c>
      <c r="B24" s="11">
        <f t="shared" si="0"/>
        <v>23</v>
      </c>
      <c r="C24" s="11">
        <v>7</v>
      </c>
      <c r="D24" s="11">
        <v>2021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0</v>
      </c>
      <c r="P24" s="18">
        <f>'FS Seychelles'!N25</f>
        <v>0</v>
      </c>
      <c r="Q24" s="18">
        <f>'FS Seychelles'!O25</f>
        <v>0</v>
      </c>
      <c r="R24" s="18">
        <f>'FS Seychelles'!P25</f>
        <v>0</v>
      </c>
      <c r="S24" s="18">
        <f>'FS Seychelles'!Q25</f>
        <v>0</v>
      </c>
      <c r="T24" s="18">
        <f>'FS Seychelles'!R25</f>
        <v>0</v>
      </c>
      <c r="U24" s="18">
        <f>'FS Seychelles'!T25</f>
        <v>0</v>
      </c>
      <c r="V24" s="18">
        <f>'FS Seychelles'!U25</f>
        <v>0</v>
      </c>
      <c r="W24" s="18">
        <f>'FS Seychelles'!V25</f>
        <v>0</v>
      </c>
      <c r="X24" s="18">
        <f>'FS Seychelles'!W25</f>
        <v>0</v>
      </c>
      <c r="Y24" s="18">
        <f>'FS Seychelles'!X25</f>
        <v>0</v>
      </c>
      <c r="Z24" s="18">
        <f>'FS Seychelles'!Y25</f>
        <v>0</v>
      </c>
      <c r="AA24" s="18">
        <f>'FS Seychelles'!Z25</f>
        <v>0</v>
      </c>
      <c r="AB24" s="18">
        <f>('FS Seychelles'!AC31+'FS Seychelles'!AC37)/30</f>
        <v>0</v>
      </c>
    </row>
    <row r="25" spans="1:28">
      <c r="A25" s="1" t="s">
        <v>13</v>
      </c>
      <c r="B25" s="11">
        <f t="shared" si="0"/>
        <v>24</v>
      </c>
      <c r="C25" s="11">
        <v>7</v>
      </c>
      <c r="D25" s="11">
        <v>2021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0</v>
      </c>
      <c r="P25" s="18">
        <f>'FS Seychelles'!N26</f>
        <v>0</v>
      </c>
      <c r="Q25" s="18">
        <f>'FS Seychelles'!O26</f>
        <v>0</v>
      </c>
      <c r="R25" s="18">
        <f>'FS Seychelles'!P26</f>
        <v>0</v>
      </c>
      <c r="S25" s="18">
        <f>'FS Seychelles'!Q26</f>
        <v>0</v>
      </c>
      <c r="T25" s="18">
        <f>'FS Seychelles'!R26</f>
        <v>0</v>
      </c>
      <c r="U25" s="18">
        <f>'FS Seychelles'!T26</f>
        <v>0</v>
      </c>
      <c r="V25" s="18">
        <f>'FS Seychelles'!U26</f>
        <v>0</v>
      </c>
      <c r="W25" s="18">
        <f>'FS Seychelles'!V26</f>
        <v>0</v>
      </c>
      <c r="X25" s="18">
        <f>'FS Seychelles'!W26</f>
        <v>0</v>
      </c>
      <c r="Y25" s="18">
        <f>'FS Seychelles'!X26</f>
        <v>0</v>
      </c>
      <c r="Z25" s="18">
        <f>'FS Seychelles'!Y26</f>
        <v>0</v>
      </c>
      <c r="AA25" s="18">
        <f>'FS Seychelles'!Z26</f>
        <v>0</v>
      </c>
      <c r="AB25" s="18">
        <f>('FS Seychelles'!AC32+'FS Seychelles'!AC38)/30</f>
        <v>0</v>
      </c>
    </row>
    <row r="26" spans="1:28">
      <c r="A26" s="1" t="s">
        <v>13</v>
      </c>
      <c r="B26" s="11">
        <f>B25+1</f>
        <v>25</v>
      </c>
      <c r="C26" s="11">
        <v>7</v>
      </c>
      <c r="D26" s="11">
        <v>2021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0</v>
      </c>
      <c r="P26" s="18">
        <f>'FS Seychelles'!N27</f>
        <v>0</v>
      </c>
      <c r="Q26" s="18">
        <f>'FS Seychelles'!O27</f>
        <v>0</v>
      </c>
      <c r="R26" s="18">
        <f>'FS Seychelles'!P27</f>
        <v>0</v>
      </c>
      <c r="S26" s="18">
        <f>'FS Seychelles'!Q27</f>
        <v>0</v>
      </c>
      <c r="T26" s="18">
        <f>'FS Seychelles'!R27</f>
        <v>0</v>
      </c>
      <c r="U26" s="18">
        <f>'FS Seychelles'!T27</f>
        <v>0</v>
      </c>
      <c r="V26" s="18">
        <f>'FS Seychelles'!U27</f>
        <v>0</v>
      </c>
      <c r="W26" s="18">
        <f>'FS Seychelles'!V27</f>
        <v>0</v>
      </c>
      <c r="X26" s="18">
        <f>'FS Seychelles'!W27</f>
        <v>0</v>
      </c>
      <c r="Y26" s="18">
        <f>'FS Seychelles'!X27</f>
        <v>0</v>
      </c>
      <c r="Z26" s="18">
        <f>'FS Seychelles'!Y27</f>
        <v>0</v>
      </c>
      <c r="AA26" s="18">
        <f>'FS Seychelles'!Z27</f>
        <v>0</v>
      </c>
      <c r="AB26" s="18">
        <f>('FS Seychelles'!AC33+'FS Seychelles'!AC39)/30</f>
        <v>0</v>
      </c>
    </row>
    <row r="27" spans="1:28">
      <c r="A27" s="1" t="s">
        <v>13</v>
      </c>
      <c r="B27" s="11">
        <f t="shared" si="0"/>
        <v>26</v>
      </c>
      <c r="C27" s="11">
        <v>7</v>
      </c>
      <c r="D27" s="11">
        <v>2021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>
        <f>'FS Seychelles'!R28</f>
        <v>0</v>
      </c>
      <c r="U27" s="18">
        <f>'FS Seychelles'!T28</f>
        <v>0</v>
      </c>
      <c r="V27" s="18">
        <f>'FS Seychelles'!U28</f>
        <v>0</v>
      </c>
      <c r="W27" s="18">
        <f>'FS Seychelles'!V28</f>
        <v>0</v>
      </c>
      <c r="X27" s="18">
        <f>'FS Seychelles'!W28</f>
        <v>0</v>
      </c>
      <c r="Y27" s="18">
        <f>'FS Seychelles'!X28</f>
        <v>0</v>
      </c>
      <c r="Z27" s="18">
        <f>'FS Seychelles'!Y28</f>
        <v>0</v>
      </c>
      <c r="AA27" s="18">
        <f>'FS Seychelles'!Z28</f>
        <v>0</v>
      </c>
      <c r="AB27" s="18">
        <f>('FS Seychelles'!AC34+'FS Seychelles'!AC40)/30</f>
        <v>0</v>
      </c>
    </row>
    <row r="28" spans="1:28">
      <c r="A28" s="1" t="s">
        <v>13</v>
      </c>
      <c r="B28" s="11">
        <f t="shared" si="0"/>
        <v>27</v>
      </c>
      <c r="C28" s="11">
        <v>7</v>
      </c>
      <c r="D28" s="11">
        <v>2021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>
        <f>'FS Seychelles'!R29</f>
        <v>0</v>
      </c>
      <c r="U28" s="18">
        <f>'FS Seychelles'!T29</f>
        <v>0</v>
      </c>
      <c r="V28" s="18">
        <f>'FS Seychelles'!U29</f>
        <v>0</v>
      </c>
      <c r="W28" s="18">
        <f>'FS Seychelles'!V29</f>
        <v>0</v>
      </c>
      <c r="X28" s="18">
        <f>'FS Seychelles'!W29</f>
        <v>0</v>
      </c>
      <c r="Y28" s="18">
        <f>'FS Seychelles'!X29</f>
        <v>0</v>
      </c>
      <c r="Z28" s="18">
        <f>'FS Seychelles'!Y29</f>
        <v>0</v>
      </c>
      <c r="AA28" s="18">
        <f>'FS Seychelles'!Z29</f>
        <v>0</v>
      </c>
      <c r="AB28" s="18">
        <f>('FS Seychelles'!AC35+'FS Seychelles'!AC41)/30</f>
        <v>0</v>
      </c>
    </row>
    <row r="29" spans="1:28">
      <c r="A29" s="1" t="s">
        <v>13</v>
      </c>
      <c r="B29" s="11">
        <f t="shared" si="0"/>
        <v>28</v>
      </c>
      <c r="C29" s="11">
        <v>7</v>
      </c>
      <c r="D29" s="11">
        <v>2021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>
        <f>'FS Seychelles'!R30</f>
        <v>0</v>
      </c>
      <c r="U29" s="18">
        <f>'FS Seychelles'!T30</f>
        <v>0</v>
      </c>
      <c r="V29" s="18">
        <f>'FS Seychelles'!U30</f>
        <v>0</v>
      </c>
      <c r="W29" s="18">
        <f>'FS Seychelles'!V30</f>
        <v>0</v>
      </c>
      <c r="X29" s="18">
        <f>'FS Seychelles'!W30</f>
        <v>0</v>
      </c>
      <c r="Y29" s="18">
        <f>'FS Seychelles'!X30</f>
        <v>0</v>
      </c>
      <c r="Z29" s="18">
        <f>'FS Seychelles'!Y30</f>
        <v>0</v>
      </c>
      <c r="AA29" s="18">
        <f>'FS Seychelles'!Z30</f>
        <v>0</v>
      </c>
      <c r="AB29" s="18">
        <f>('FS Seychelles'!AC36+'FS Seychelles'!AC42)/30</f>
        <v>0</v>
      </c>
    </row>
    <row r="30" spans="1:28">
      <c r="A30" s="1" t="s">
        <v>13</v>
      </c>
      <c r="B30" s="11">
        <f t="shared" si="0"/>
        <v>29</v>
      </c>
      <c r="C30" s="11">
        <v>7</v>
      </c>
      <c r="D30" s="11">
        <v>2021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>
        <f>'FS Seychelles'!R31</f>
        <v>0</v>
      </c>
      <c r="U30" s="18">
        <f>'FS Seychelles'!T31</f>
        <v>0</v>
      </c>
      <c r="V30" s="18">
        <f>'FS Seychelles'!U31</f>
        <v>0</v>
      </c>
      <c r="W30" s="18">
        <f>'FS Seychelles'!V31</f>
        <v>0</v>
      </c>
      <c r="X30" s="18">
        <f>'FS Seychelles'!W31</f>
        <v>0</v>
      </c>
      <c r="Y30" s="18">
        <f>'FS Seychelles'!X31</f>
        <v>0</v>
      </c>
      <c r="Z30" s="18">
        <f>'FS Seychelles'!Y31</f>
        <v>0</v>
      </c>
      <c r="AA30" s="18">
        <f>'FS Seychelles'!Z31</f>
        <v>0</v>
      </c>
      <c r="AB30" s="18">
        <f>('FS Seychelles'!AC37+'FS Seychelles'!AC43)/30</f>
        <v>0</v>
      </c>
    </row>
    <row r="31" spans="1:28">
      <c r="A31" s="1" t="s">
        <v>13</v>
      </c>
      <c r="B31" s="11">
        <f t="shared" si="0"/>
        <v>30</v>
      </c>
      <c r="C31" s="11">
        <v>7</v>
      </c>
      <c r="D31" s="11">
        <v>2021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>
        <f>'FS Seychelles'!R32</f>
        <v>0</v>
      </c>
      <c r="U31" s="18">
        <f>'FS Seychelles'!T32</f>
        <v>0</v>
      </c>
      <c r="V31" s="18">
        <f>'FS Seychelles'!U32</f>
        <v>0</v>
      </c>
      <c r="W31" s="18">
        <f>'FS Seychelles'!V32</f>
        <v>0</v>
      </c>
      <c r="X31" s="18">
        <f>'FS Seychelles'!W32</f>
        <v>0</v>
      </c>
      <c r="Y31" s="18">
        <f>'FS Seychelles'!X32</f>
        <v>0</v>
      </c>
      <c r="Z31" s="18">
        <f>'FS Seychelles'!Y32</f>
        <v>0</v>
      </c>
      <c r="AA31" s="18">
        <f>'FS Seychelles'!Z32</f>
        <v>0</v>
      </c>
      <c r="AB31" s="18">
        <f>('FS Seychelles'!AC38+'FS Seychelles'!AC44)/30</f>
        <v>0</v>
      </c>
    </row>
    <row r="32" spans="1:28">
      <c r="A32" s="1" t="s">
        <v>13</v>
      </c>
      <c r="B32" s="11">
        <v>31</v>
      </c>
      <c r="C32" s="11">
        <v>7</v>
      </c>
      <c r="D32" s="11">
        <v>2021</v>
      </c>
      <c r="E32" s="18">
        <f>'FS Seychelles'!B33</f>
        <v>0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0</v>
      </c>
      <c r="P32" s="18">
        <f>'FS Seychelles'!N33</f>
        <v>0</v>
      </c>
      <c r="Q32" s="18">
        <f>'FS Seychelles'!O33</f>
        <v>0</v>
      </c>
      <c r="R32" s="18">
        <f>'FS Seychelles'!P33</f>
        <v>0</v>
      </c>
      <c r="S32" s="18">
        <f>'FS Seychelles'!Q33</f>
        <v>0</v>
      </c>
      <c r="T32" s="18">
        <f>'FS Seychelles'!R33</f>
        <v>0</v>
      </c>
      <c r="U32" s="18">
        <f>'FS Seychelles'!T33</f>
        <v>0</v>
      </c>
      <c r="V32" s="18">
        <f>'FS Seychelles'!U33</f>
        <v>0</v>
      </c>
      <c r="W32" s="18">
        <f>'FS Seychelles'!V33</f>
        <v>0</v>
      </c>
      <c r="X32" s="18">
        <f>'FS Seychelles'!W33</f>
        <v>0</v>
      </c>
      <c r="Y32" s="18">
        <f>'FS Seychelles'!X33</f>
        <v>0</v>
      </c>
      <c r="Z32" s="18">
        <f>'FS Seychelles'!Y33</f>
        <v>0</v>
      </c>
      <c r="AA32" s="18">
        <f>'FS Seychelles'!Z33</f>
        <v>0</v>
      </c>
      <c r="AB32" s="18">
        <f>('FS Seychelles'!AC39+'FS Seychelles'!AC45)/30</f>
        <v>0</v>
      </c>
    </row>
    <row r="33" spans="15:18">
      <c r="O33" s="18">
        <f>SUM(O2:O32)</f>
        <v>0</v>
      </c>
      <c r="P33" s="18">
        <f>SUM(P2:P32)</f>
        <v>64532.375</v>
      </c>
      <c r="Q33" s="18">
        <f>SUM(Q2:Q32)</f>
        <v>77595.75</v>
      </c>
      <c r="R33" s="18">
        <f>SUM(R2:R32)</f>
        <v>113643.125</v>
      </c>
    </row>
    <row r="35" spans="15:18">
      <c r="R35" s="18">
        <f>SUM(O33:R33)</f>
        <v>255771.25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9"/>
  <sheetViews>
    <sheetView tabSelected="1" zoomScaleNormal="100" workbookViewId="0">
      <pane xSplit="1" topLeftCell="I1" activePane="topRight" state="frozen"/>
      <selection pane="topRight" activeCell="T10" sqref="T10:Y10"/>
    </sheetView>
  </sheetViews>
  <sheetFormatPr defaultRowHeight="12.75"/>
  <cols>
    <col min="1" max="1" width="10.5703125" style="19" bestFit="1" customWidth="1"/>
    <col min="2" max="3" width="12.7109375" style="19" customWidth="1"/>
    <col min="4" max="4" width="9.140625" style="19"/>
    <col min="5" max="9" width="9.140625" style="40"/>
    <col min="10" max="10" width="10.28515625" style="40" customWidth="1"/>
    <col min="11" max="11" width="9.140625" style="40"/>
    <col min="12" max="12" width="10.7109375" style="40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19" width="12" style="19" customWidth="1"/>
    <col min="20" max="21" width="10.7109375" style="19" customWidth="1"/>
    <col min="22" max="22" width="9.42578125" style="19" bestFit="1" customWidth="1"/>
    <col min="23" max="23" width="9.140625" style="19"/>
    <col min="24" max="24" width="8.140625" style="19" customWidth="1"/>
    <col min="25" max="25" width="9.140625" style="19"/>
    <col min="26" max="26" width="11.85546875" style="19" customWidth="1"/>
    <col min="27" max="27" width="13.5703125" style="36" customWidth="1"/>
    <col min="28" max="29" width="9.140625" style="36"/>
    <col min="30" max="16384" width="9.140625" style="19"/>
  </cols>
  <sheetData>
    <row r="1" spans="1:29">
      <c r="D1" s="87"/>
      <c r="E1" s="87"/>
      <c r="F1" s="87"/>
      <c r="G1" s="87"/>
      <c r="H1" s="87"/>
      <c r="I1" s="87"/>
      <c r="J1" s="87"/>
      <c r="K1" s="87"/>
      <c r="L1" s="87"/>
      <c r="AA1" s="84"/>
      <c r="AB1" s="84"/>
      <c r="AC1" s="84"/>
    </row>
    <row r="2" spans="1:29" s="23" customFormat="1" ht="31.5" customHeight="1">
      <c r="A2" s="79" t="s">
        <v>38</v>
      </c>
      <c r="B2" s="61" t="s">
        <v>39</v>
      </c>
      <c r="C2" s="75" t="s">
        <v>40</v>
      </c>
      <c r="D2" s="73" t="s">
        <v>41</v>
      </c>
      <c r="E2" s="74" t="s">
        <v>42</v>
      </c>
      <c r="F2" s="74" t="s">
        <v>43</v>
      </c>
      <c r="G2" s="74" t="s">
        <v>44</v>
      </c>
      <c r="H2" s="74" t="s">
        <v>45</v>
      </c>
      <c r="I2" s="74" t="s">
        <v>46</v>
      </c>
      <c r="J2" s="74" t="s">
        <v>47</v>
      </c>
      <c r="K2" s="74" t="s">
        <v>48</v>
      </c>
      <c r="L2" s="74" t="s">
        <v>49</v>
      </c>
      <c r="M2" s="76" t="s">
        <v>50</v>
      </c>
      <c r="N2" s="42" t="s">
        <v>51</v>
      </c>
      <c r="O2" s="42" t="s">
        <v>52</v>
      </c>
      <c r="P2" s="42" t="s">
        <v>53</v>
      </c>
      <c r="Q2" s="42" t="s">
        <v>54</v>
      </c>
      <c r="R2" s="43" t="s">
        <v>55</v>
      </c>
      <c r="S2" s="43" t="s">
        <v>56</v>
      </c>
      <c r="T2" s="41" t="s">
        <v>57</v>
      </c>
      <c r="U2" s="41" t="s">
        <v>58</v>
      </c>
      <c r="V2" s="41" t="s">
        <v>59</v>
      </c>
      <c r="W2" s="41" t="s">
        <v>60</v>
      </c>
      <c r="X2" s="41" t="s">
        <v>61</v>
      </c>
      <c r="Y2" s="41" t="s">
        <v>62</v>
      </c>
      <c r="Z2" s="44" t="s">
        <v>63</v>
      </c>
      <c r="AA2" s="95" t="s">
        <v>37</v>
      </c>
      <c r="AB2" s="95"/>
      <c r="AC2" s="95"/>
    </row>
    <row r="3" spans="1:29" ht="15" customHeight="1">
      <c r="A3" s="59">
        <v>44378</v>
      </c>
      <c r="B3" s="70">
        <v>75</v>
      </c>
      <c r="C3" s="70">
        <v>478</v>
      </c>
      <c r="D3" s="71">
        <v>2.442752</v>
      </c>
      <c r="E3" s="69">
        <v>4.2311680000000003</v>
      </c>
      <c r="F3" s="69">
        <v>4.6965760000000003</v>
      </c>
      <c r="G3" s="69">
        <v>2.0405760000000002</v>
      </c>
      <c r="H3" s="69">
        <v>2.2574079999999999</v>
      </c>
      <c r="I3" s="69">
        <v>3.8801920000000001</v>
      </c>
      <c r="J3" s="69">
        <v>1.458304</v>
      </c>
      <c r="K3" s="69">
        <v>1.455104</v>
      </c>
      <c r="L3" s="69">
        <v>3.7381120000000001</v>
      </c>
      <c r="M3" s="77">
        <v>0</v>
      </c>
      <c r="N3" s="60">
        <v>6676</v>
      </c>
      <c r="O3" s="32">
        <v>7570</v>
      </c>
      <c r="P3" s="32">
        <v>9355</v>
      </c>
      <c r="Q3" s="32">
        <v>6446</v>
      </c>
      <c r="R3" s="21">
        <f>1775+2045+2641+1753</f>
        <v>8214</v>
      </c>
      <c r="S3" s="21">
        <v>1.05</v>
      </c>
      <c r="T3" s="31">
        <v>64</v>
      </c>
      <c r="U3" s="20">
        <v>44</v>
      </c>
      <c r="V3" s="20">
        <v>57</v>
      </c>
      <c r="W3" s="20">
        <v>138</v>
      </c>
      <c r="X3" s="20">
        <v>124</v>
      </c>
      <c r="Y3" s="31">
        <v>122</v>
      </c>
      <c r="Z3" s="35">
        <v>0</v>
      </c>
      <c r="AA3" s="96" t="s">
        <v>64</v>
      </c>
      <c r="AB3" s="96"/>
      <c r="AC3" s="96"/>
    </row>
    <row r="4" spans="1:29" ht="16.5" customHeight="1">
      <c r="A4" s="59">
        <v>44379</v>
      </c>
      <c r="B4" s="70">
        <v>70.13</v>
      </c>
      <c r="C4" s="70">
        <v>364</v>
      </c>
      <c r="D4" s="71">
        <v>2.2520319999999998</v>
      </c>
      <c r="E4" s="69">
        <v>4.0504319999999998</v>
      </c>
      <c r="F4" s="69">
        <v>4.6576639999999996</v>
      </c>
      <c r="G4" s="69">
        <v>1.8631679999999999</v>
      </c>
      <c r="H4" s="69">
        <v>2.0200960000000001</v>
      </c>
      <c r="I4" s="69">
        <v>3.5077120000000002</v>
      </c>
      <c r="J4" s="69">
        <v>1.422976</v>
      </c>
      <c r="K4" s="69">
        <v>1.6668160000000001</v>
      </c>
      <c r="L4" s="69">
        <v>3.777536</v>
      </c>
      <c r="M4" s="78">
        <v>0</v>
      </c>
      <c r="N4" s="60">
        <v>8523</v>
      </c>
      <c r="O4" s="32">
        <v>4447</v>
      </c>
      <c r="P4" s="32">
        <v>8566</v>
      </c>
      <c r="Q4" s="32">
        <v>3902</v>
      </c>
      <c r="R4" s="21">
        <f>2438+934+2375+731</f>
        <v>6478</v>
      </c>
      <c r="S4" s="21">
        <v>1.05</v>
      </c>
      <c r="T4" s="31">
        <v>67</v>
      </c>
      <c r="U4" s="20">
        <v>52</v>
      </c>
      <c r="V4" s="20">
        <v>61</v>
      </c>
      <c r="W4" s="20">
        <v>183</v>
      </c>
      <c r="X4" s="20">
        <v>128</v>
      </c>
      <c r="Y4" s="31">
        <v>111</v>
      </c>
      <c r="Z4" s="35">
        <v>0</v>
      </c>
      <c r="AA4" s="33" t="s">
        <v>65</v>
      </c>
      <c r="AB4" s="39" t="s">
        <v>66</v>
      </c>
      <c r="AC4" s="33" t="s">
        <v>67</v>
      </c>
    </row>
    <row r="5" spans="1:29" ht="15">
      <c r="A5" s="59">
        <v>44380</v>
      </c>
      <c r="B5" s="70">
        <v>61.04</v>
      </c>
      <c r="C5" s="70">
        <v>1350</v>
      </c>
      <c r="D5" s="71">
        <v>2.4184320000000001</v>
      </c>
      <c r="E5" s="69">
        <v>4.3043839999999998</v>
      </c>
      <c r="F5" s="69">
        <v>4.738048</v>
      </c>
      <c r="G5" s="69">
        <v>2.0049920000000001</v>
      </c>
      <c r="H5" s="69">
        <v>1.997824</v>
      </c>
      <c r="I5" s="69">
        <v>3.5811839999999999</v>
      </c>
      <c r="J5" s="69">
        <v>1.36768</v>
      </c>
      <c r="K5" s="69">
        <v>1.6350720000000001</v>
      </c>
      <c r="L5" s="69">
        <v>3.7155840000000002</v>
      </c>
      <c r="M5" s="78">
        <v>0</v>
      </c>
      <c r="N5" s="48">
        <v>0</v>
      </c>
      <c r="O5" s="48">
        <v>5206</v>
      </c>
      <c r="P5" s="48">
        <v>11182</v>
      </c>
      <c r="Q5" s="48">
        <v>11377</v>
      </c>
      <c r="R5" s="48">
        <f>1647+3160+3387</f>
        <v>8194</v>
      </c>
      <c r="S5" s="21">
        <v>1.05</v>
      </c>
      <c r="T5" s="31">
        <v>66</v>
      </c>
      <c r="U5" s="31">
        <v>13</v>
      </c>
      <c r="V5" s="31">
        <v>66</v>
      </c>
      <c r="W5" s="31">
        <v>191</v>
      </c>
      <c r="X5" s="31">
        <v>124</v>
      </c>
      <c r="Y5" s="31">
        <v>122</v>
      </c>
      <c r="Z5" s="35">
        <v>0</v>
      </c>
      <c r="AA5" s="34"/>
      <c r="AB5" s="37"/>
      <c r="AC5" s="34"/>
    </row>
    <row r="6" spans="1:29" ht="15">
      <c r="A6" s="59">
        <v>44381</v>
      </c>
      <c r="B6" s="70">
        <v>51.94</v>
      </c>
      <c r="C6" s="70">
        <v>517</v>
      </c>
      <c r="D6" s="71">
        <v>2.4115199999999999</v>
      </c>
      <c r="E6" s="69">
        <v>4.717568</v>
      </c>
      <c r="F6" s="69">
        <v>4.9034240000000002</v>
      </c>
      <c r="G6" s="69">
        <v>2.0287999999999999</v>
      </c>
      <c r="H6" s="69">
        <v>2.023936</v>
      </c>
      <c r="I6" s="69">
        <v>3.6011519999999999</v>
      </c>
      <c r="J6" s="69">
        <v>1.4101760000000001</v>
      </c>
      <c r="K6" s="69">
        <v>1.6407039999999999</v>
      </c>
      <c r="L6" s="69">
        <v>3.807744</v>
      </c>
      <c r="M6" s="78">
        <v>0</v>
      </c>
      <c r="N6" s="48">
        <v>7314</v>
      </c>
      <c r="O6" s="48">
        <v>7476</v>
      </c>
      <c r="P6" s="48">
        <v>9044</v>
      </c>
      <c r="Q6" s="48">
        <v>4169</v>
      </c>
      <c r="R6" s="48">
        <f>1731+1997+2568+1015</f>
        <v>7311</v>
      </c>
      <c r="S6" s="21">
        <v>1.05</v>
      </c>
      <c r="T6" s="31">
        <v>60</v>
      </c>
      <c r="U6" s="31">
        <v>43</v>
      </c>
      <c r="V6" s="31">
        <v>62</v>
      </c>
      <c r="W6" s="31">
        <v>143</v>
      </c>
      <c r="X6" s="31">
        <v>120</v>
      </c>
      <c r="Y6" s="31">
        <v>79</v>
      </c>
      <c r="Z6" s="35">
        <v>0</v>
      </c>
      <c r="AA6" s="34"/>
      <c r="AB6" s="37"/>
      <c r="AC6" s="34"/>
    </row>
    <row r="7" spans="1:29" ht="15">
      <c r="A7" s="59">
        <v>44382</v>
      </c>
      <c r="B7" s="70">
        <v>51.94</v>
      </c>
      <c r="C7" s="70">
        <v>426</v>
      </c>
      <c r="D7" s="71">
        <v>2.3820800000000002</v>
      </c>
      <c r="E7" s="69">
        <v>4.4446719999999997</v>
      </c>
      <c r="F7" s="69">
        <v>5.062144</v>
      </c>
      <c r="G7" s="69">
        <v>2.3495680000000001</v>
      </c>
      <c r="H7" s="69">
        <v>2.072832</v>
      </c>
      <c r="I7" s="69">
        <v>3.600384</v>
      </c>
      <c r="J7" s="69">
        <v>1.376512</v>
      </c>
      <c r="K7" s="69">
        <v>1.589504</v>
      </c>
      <c r="L7" s="69">
        <v>3.8599679999999998</v>
      </c>
      <c r="M7" s="77">
        <v>0</v>
      </c>
      <c r="N7" s="60">
        <v>6856</v>
      </c>
      <c r="O7" s="32">
        <v>7271</v>
      </c>
      <c r="P7" s="32">
        <v>9435</v>
      </c>
      <c r="Q7" s="32">
        <v>4082</v>
      </c>
      <c r="R7" s="21">
        <f>1790+1944+2661+1176</f>
        <v>7571</v>
      </c>
      <c r="S7" s="21">
        <v>1.06</v>
      </c>
      <c r="T7" s="31">
        <v>69</v>
      </c>
      <c r="U7" s="31">
        <v>20</v>
      </c>
      <c r="V7" s="31">
        <v>81</v>
      </c>
      <c r="W7" s="31">
        <v>173</v>
      </c>
      <c r="X7" s="31">
        <v>124</v>
      </c>
      <c r="Y7" s="31">
        <v>83</v>
      </c>
      <c r="Z7" s="35">
        <v>0</v>
      </c>
      <c r="AA7" s="34"/>
      <c r="AB7" s="64"/>
      <c r="AC7" s="34"/>
    </row>
    <row r="8" spans="1:29" ht="15">
      <c r="A8" s="59">
        <v>44383</v>
      </c>
      <c r="B8" s="70">
        <v>51.95</v>
      </c>
      <c r="C8" s="70">
        <v>665</v>
      </c>
      <c r="D8" s="71">
        <v>2.3600639999999999</v>
      </c>
      <c r="E8" s="69">
        <v>4.4180479999999998</v>
      </c>
      <c r="F8" s="69">
        <v>4.8204799999999999</v>
      </c>
      <c r="G8" s="69">
        <v>2.1765119999999998</v>
      </c>
      <c r="H8" s="69">
        <v>2.127872</v>
      </c>
      <c r="I8" s="69">
        <v>3.5875840000000001</v>
      </c>
      <c r="J8" s="69">
        <v>1.4113279999999999</v>
      </c>
      <c r="K8" s="69">
        <v>1.540864</v>
      </c>
      <c r="L8" s="69">
        <v>3.8527999999999998</v>
      </c>
      <c r="M8" s="77">
        <v>0</v>
      </c>
      <c r="N8" s="60">
        <v>9350</v>
      </c>
      <c r="O8" s="32">
        <v>5539</v>
      </c>
      <c r="P8" s="32">
        <v>9121</v>
      </c>
      <c r="Q8" s="32">
        <v>4651</v>
      </c>
      <c r="R8" s="21">
        <f>2459+1539+2561+1306</f>
        <v>7865</v>
      </c>
      <c r="S8" s="21">
        <v>1.06</v>
      </c>
      <c r="T8" s="47">
        <v>68</v>
      </c>
      <c r="U8" s="47">
        <v>60</v>
      </c>
      <c r="V8" s="47">
        <v>85</v>
      </c>
      <c r="W8" s="47">
        <v>147</v>
      </c>
      <c r="X8" s="47">
        <v>147</v>
      </c>
      <c r="Y8" s="47">
        <v>143</v>
      </c>
      <c r="Z8" s="35">
        <v>0</v>
      </c>
      <c r="AA8" s="66">
        <v>20</v>
      </c>
      <c r="AB8" s="65"/>
      <c r="AC8" s="34"/>
    </row>
    <row r="9" spans="1:29" ht="15" customHeight="1">
      <c r="A9" s="59">
        <v>44384</v>
      </c>
      <c r="B9" s="70">
        <v>53.25</v>
      </c>
      <c r="C9" s="70">
        <v>423</v>
      </c>
      <c r="D9" s="71">
        <v>2.2387199999999998</v>
      </c>
      <c r="E9" s="69">
        <v>4.4666880000000004</v>
      </c>
      <c r="F9" s="69">
        <v>4.8588800000000001</v>
      </c>
      <c r="G9" s="69">
        <v>2.3032319999999999</v>
      </c>
      <c r="H9" s="69">
        <v>2.2863359999999999</v>
      </c>
      <c r="I9" s="69">
        <v>3.344128</v>
      </c>
      <c r="J9" s="69">
        <v>1.3687039999999999</v>
      </c>
      <c r="K9" s="69">
        <v>1.6706559999999999</v>
      </c>
      <c r="L9" s="69">
        <v>3.7637119999999999</v>
      </c>
      <c r="M9" s="77">
        <v>0</v>
      </c>
      <c r="N9" s="60">
        <v>9030</v>
      </c>
      <c r="O9" s="32">
        <v>4418</v>
      </c>
      <c r="P9" s="32">
        <v>9053</v>
      </c>
      <c r="Q9" s="32">
        <v>3673</v>
      </c>
      <c r="R9" s="21">
        <f>2296+1183+2495+1019</f>
        <v>6993</v>
      </c>
      <c r="S9" s="21">
        <v>1.06</v>
      </c>
      <c r="T9" s="31">
        <v>67</v>
      </c>
      <c r="U9" s="20">
        <v>40</v>
      </c>
      <c r="V9" s="20">
        <v>81</v>
      </c>
      <c r="W9" s="20">
        <v>144</v>
      </c>
      <c r="X9" s="20">
        <v>119</v>
      </c>
      <c r="Y9" s="31">
        <v>100</v>
      </c>
      <c r="Z9" s="35">
        <v>0</v>
      </c>
      <c r="AA9" s="67"/>
      <c r="AB9" s="65"/>
      <c r="AC9" s="34"/>
    </row>
    <row r="10" spans="1:29" ht="15.75" customHeight="1">
      <c r="A10" s="59">
        <v>44385</v>
      </c>
      <c r="B10" s="70">
        <v>50.65</v>
      </c>
      <c r="C10" s="70">
        <v>365</v>
      </c>
      <c r="D10" s="71">
        <v>2.1867519999999998</v>
      </c>
      <c r="E10" s="69">
        <v>4.4047359999999998</v>
      </c>
      <c r="F10" s="69">
        <v>4.5593599999999999</v>
      </c>
      <c r="G10" s="69">
        <v>2.5331199999999998</v>
      </c>
      <c r="H10" s="69">
        <v>2.2479360000000002</v>
      </c>
      <c r="I10" s="69">
        <v>2.773504</v>
      </c>
      <c r="J10" s="69">
        <v>1.358336</v>
      </c>
      <c r="K10" s="69">
        <v>1.5495680000000001</v>
      </c>
      <c r="L10" s="69">
        <v>3.7534719999999999</v>
      </c>
      <c r="M10" s="77">
        <v>0</v>
      </c>
      <c r="N10" s="60">
        <v>5438</v>
      </c>
      <c r="O10" s="32">
        <v>7855</v>
      </c>
      <c r="P10" s="32">
        <v>8821</v>
      </c>
      <c r="Q10" s="32">
        <v>3838</v>
      </c>
      <c r="R10" s="21">
        <f>1492+2126+2522+1018</f>
        <v>7158</v>
      </c>
      <c r="S10" s="21">
        <v>1.06</v>
      </c>
      <c r="T10" s="31">
        <f>AVERAGE(T3:T9)</f>
        <v>65.857142857142861</v>
      </c>
      <c r="U10" s="31">
        <f t="shared" ref="U10:Y10" si="0">AVERAGE(U3:U9)</f>
        <v>38.857142857142854</v>
      </c>
      <c r="V10" s="31">
        <f t="shared" si="0"/>
        <v>70.428571428571431</v>
      </c>
      <c r="W10" s="31">
        <f t="shared" si="0"/>
        <v>159.85714285714286</v>
      </c>
      <c r="X10" s="31">
        <f t="shared" si="0"/>
        <v>126.57142857142857</v>
      </c>
      <c r="Y10" s="31">
        <f t="shared" si="0"/>
        <v>108.57142857142857</v>
      </c>
      <c r="Z10" s="35">
        <v>0</v>
      </c>
      <c r="AA10" s="46"/>
      <c r="AB10" s="62" t="s">
        <v>68</v>
      </c>
      <c r="AC10" s="63">
        <f>SUM(AC6:AC9)</f>
        <v>0</v>
      </c>
    </row>
    <row r="11" spans="1:29" ht="15" customHeight="1">
      <c r="A11" s="59">
        <v>44386</v>
      </c>
      <c r="B11" s="70">
        <v>51.85</v>
      </c>
      <c r="C11" s="70">
        <v>399</v>
      </c>
      <c r="D11" s="71">
        <v>2.283264</v>
      </c>
      <c r="E11" s="69">
        <v>4.4395519999999999</v>
      </c>
      <c r="F11" s="69">
        <v>4.6351360000000001</v>
      </c>
      <c r="G11" s="69">
        <v>2.7729919999999999</v>
      </c>
      <c r="H11" s="69">
        <v>2.1570559999999999</v>
      </c>
      <c r="I11" s="69">
        <v>2.7896320000000001</v>
      </c>
      <c r="J11" s="69">
        <v>1.286016</v>
      </c>
      <c r="K11" s="69">
        <v>1.7369600000000001</v>
      </c>
      <c r="L11" s="69">
        <v>3.7125119999999998</v>
      </c>
      <c r="M11" s="77">
        <v>0</v>
      </c>
      <c r="N11" s="77">
        <f>AVERAGE(N3:N10)</f>
        <v>6648.375</v>
      </c>
      <c r="O11" s="77">
        <f t="shared" ref="O11:R11" si="1">AVERAGE(O3:O10)</f>
        <v>6222.75</v>
      </c>
      <c r="P11" s="77">
        <f t="shared" si="1"/>
        <v>9322.125</v>
      </c>
      <c r="Q11" s="77">
        <f t="shared" si="1"/>
        <v>5267.25</v>
      </c>
      <c r="R11" s="77">
        <f t="shared" si="1"/>
        <v>7473</v>
      </c>
      <c r="S11" s="21">
        <v>1.06</v>
      </c>
      <c r="T11" s="31">
        <v>57</v>
      </c>
      <c r="U11" s="20">
        <v>0</v>
      </c>
      <c r="V11" s="20">
        <v>113</v>
      </c>
      <c r="W11" s="20">
        <v>153</v>
      </c>
      <c r="X11" s="20">
        <v>137</v>
      </c>
      <c r="Y11" s="31">
        <v>124</v>
      </c>
      <c r="Z11" s="35">
        <v>0</v>
      </c>
      <c r="AA11" s="97" t="s">
        <v>69</v>
      </c>
      <c r="AB11" s="98"/>
      <c r="AC11" s="98"/>
    </row>
    <row r="12" spans="1:29" ht="15" customHeight="1">
      <c r="A12" s="59">
        <v>44387</v>
      </c>
      <c r="B12" s="70">
        <v>43.9</v>
      </c>
      <c r="C12" s="70">
        <v>349</v>
      </c>
      <c r="D12" s="71">
        <v>2.335232</v>
      </c>
      <c r="E12" s="69">
        <v>3.9997440000000002</v>
      </c>
      <c r="F12" s="69">
        <v>4.5992959999999998</v>
      </c>
      <c r="G12" s="69">
        <v>2.6460159999999999</v>
      </c>
      <c r="H12" s="69">
        <v>2.2484479999999998</v>
      </c>
      <c r="I12" s="69">
        <v>2.838784</v>
      </c>
      <c r="J12" s="69">
        <v>1.4391039999999999</v>
      </c>
      <c r="K12" s="69">
        <v>1.77664</v>
      </c>
      <c r="L12" s="69">
        <v>3.7626879999999998</v>
      </c>
      <c r="M12" s="77">
        <v>0</v>
      </c>
      <c r="N12" s="60">
        <v>4697</v>
      </c>
      <c r="O12" s="32">
        <v>9142</v>
      </c>
      <c r="P12" s="32">
        <v>8489</v>
      </c>
      <c r="Q12" s="32">
        <v>4462</v>
      </c>
      <c r="R12" s="21">
        <f>1236+2467+2506+1174</f>
        <v>7383</v>
      </c>
      <c r="S12" s="21">
        <v>1.06</v>
      </c>
      <c r="T12" s="31">
        <v>63</v>
      </c>
      <c r="U12" s="31">
        <v>43</v>
      </c>
      <c r="V12" s="31">
        <v>69</v>
      </c>
      <c r="W12" s="31">
        <v>151</v>
      </c>
      <c r="X12" s="31">
        <v>106</v>
      </c>
      <c r="Y12" s="31">
        <v>135</v>
      </c>
      <c r="Z12" s="35">
        <v>0</v>
      </c>
      <c r="AA12" s="85"/>
      <c r="AB12" s="99" t="s">
        <v>70</v>
      </c>
      <c r="AC12" s="100"/>
    </row>
    <row r="13" spans="1:29" ht="15" customHeight="1">
      <c r="A13" s="59">
        <v>44388</v>
      </c>
      <c r="B13" s="70">
        <v>42.86</v>
      </c>
      <c r="C13" s="70">
        <v>402</v>
      </c>
      <c r="D13" s="71">
        <v>2.2023679999999999</v>
      </c>
      <c r="E13" s="69">
        <v>3.9833599999999998</v>
      </c>
      <c r="F13" s="69">
        <v>4.7144959999999996</v>
      </c>
      <c r="G13" s="69">
        <v>2.7404799999999998</v>
      </c>
      <c r="H13" s="69">
        <v>2.696704</v>
      </c>
      <c r="I13" s="69">
        <v>3.09632</v>
      </c>
      <c r="J13" s="69">
        <v>1.3824000000000001</v>
      </c>
      <c r="K13" s="69">
        <v>1.587712</v>
      </c>
      <c r="L13" s="69">
        <v>3.6643840000000001</v>
      </c>
      <c r="M13" s="80">
        <v>0</v>
      </c>
      <c r="N13" s="60">
        <v>0</v>
      </c>
      <c r="O13" s="60">
        <v>7873</v>
      </c>
      <c r="P13" s="32">
        <v>10180</v>
      </c>
      <c r="Q13" s="32">
        <v>9578</v>
      </c>
      <c r="R13" s="21">
        <f>2133+2936+2505</f>
        <v>7574</v>
      </c>
      <c r="S13" s="21">
        <v>1.06</v>
      </c>
      <c r="T13" s="31">
        <v>65</v>
      </c>
      <c r="U13" s="31">
        <v>47</v>
      </c>
      <c r="V13" s="31">
        <v>67</v>
      </c>
      <c r="W13" s="31">
        <v>150</v>
      </c>
      <c r="X13" s="31">
        <v>126</v>
      </c>
      <c r="Y13" s="31">
        <v>129</v>
      </c>
      <c r="Z13" s="35">
        <v>0</v>
      </c>
      <c r="AA13" s="45" t="s">
        <v>71</v>
      </c>
      <c r="AB13" s="88"/>
      <c r="AC13" s="89"/>
    </row>
    <row r="14" spans="1:29" ht="15" customHeight="1">
      <c r="A14" s="59">
        <v>44389</v>
      </c>
      <c r="B14" s="70">
        <v>48.78</v>
      </c>
      <c r="C14" s="70">
        <v>337</v>
      </c>
      <c r="D14" s="71">
        <v>2.0101119999999999</v>
      </c>
      <c r="E14" s="69">
        <v>3.7457919999999998</v>
      </c>
      <c r="F14" s="69">
        <v>4.4523520000000003</v>
      </c>
      <c r="G14" s="69">
        <v>2.3644159999999999</v>
      </c>
      <c r="H14" s="69">
        <v>2.5180159999999998</v>
      </c>
      <c r="I14" s="69">
        <v>2.884096</v>
      </c>
      <c r="J14" s="69">
        <v>1.4119679999999999</v>
      </c>
      <c r="K14" s="69">
        <v>1.5201279999999999</v>
      </c>
      <c r="L14" s="69">
        <v>3.7893119999999998</v>
      </c>
      <c r="M14" s="68">
        <v>0</v>
      </c>
      <c r="N14" s="50">
        <v>0</v>
      </c>
      <c r="O14" s="48">
        <v>4576</v>
      </c>
      <c r="P14" s="48">
        <v>11075</v>
      </c>
      <c r="Q14" s="48">
        <v>9953</v>
      </c>
      <c r="R14" s="21">
        <f>1228+3118+2688</f>
        <v>7034</v>
      </c>
      <c r="S14" s="21">
        <v>1.03</v>
      </c>
      <c r="T14" s="31"/>
      <c r="U14" s="20"/>
      <c r="V14" s="20"/>
      <c r="W14" s="20"/>
      <c r="X14" s="20"/>
      <c r="Y14" s="20"/>
      <c r="Z14" s="35">
        <v>0</v>
      </c>
      <c r="AA14" s="45" t="s">
        <v>72</v>
      </c>
      <c r="AB14" s="88"/>
      <c r="AC14" s="89"/>
    </row>
    <row r="15" spans="1:29" ht="15">
      <c r="A15" s="59">
        <v>44390</v>
      </c>
      <c r="B15" s="70"/>
      <c r="C15" s="70"/>
      <c r="D15" s="71"/>
      <c r="E15" s="69"/>
      <c r="F15" s="69"/>
      <c r="G15" s="69"/>
      <c r="H15" s="69"/>
      <c r="I15" s="69"/>
      <c r="J15" s="69"/>
      <c r="K15" s="69"/>
      <c r="L15" s="69"/>
      <c r="M15" s="68"/>
      <c r="N15" s="50"/>
      <c r="O15" s="48"/>
      <c r="P15" s="48"/>
      <c r="Q15" s="48"/>
      <c r="R15" s="21"/>
      <c r="S15" s="21"/>
      <c r="T15" s="31"/>
      <c r="U15" s="31"/>
      <c r="V15" s="20"/>
      <c r="W15" s="20"/>
      <c r="X15" s="20"/>
      <c r="Y15" s="20"/>
      <c r="Z15" s="35">
        <v>0</v>
      </c>
      <c r="AA15" s="86"/>
      <c r="AB15" s="38" t="s">
        <v>68</v>
      </c>
      <c r="AC15" s="34">
        <f>SUM(AB13:AC14)</f>
        <v>0</v>
      </c>
    </row>
    <row r="16" spans="1:29" ht="15" customHeight="1">
      <c r="A16" s="59">
        <v>44391</v>
      </c>
      <c r="B16" s="70"/>
      <c r="C16" s="70"/>
      <c r="D16" s="71"/>
      <c r="E16" s="69"/>
      <c r="F16" s="69"/>
      <c r="G16" s="69"/>
      <c r="H16" s="69"/>
      <c r="I16" s="69"/>
      <c r="J16" s="69"/>
      <c r="K16" s="69"/>
      <c r="L16" s="69"/>
      <c r="M16" s="68"/>
      <c r="N16" s="48"/>
      <c r="O16" s="48"/>
      <c r="P16" s="48"/>
      <c r="Q16" s="48"/>
      <c r="R16" s="48"/>
      <c r="S16" s="21"/>
      <c r="T16" s="31"/>
      <c r="U16" s="31"/>
      <c r="V16" s="31"/>
      <c r="W16" s="31"/>
      <c r="X16" s="31"/>
      <c r="Y16" s="31"/>
      <c r="Z16" s="35">
        <v>0</v>
      </c>
      <c r="AA16" s="90"/>
      <c r="AB16" s="87"/>
      <c r="AC16" s="91"/>
    </row>
    <row r="17" spans="1:30" ht="15" customHeight="1">
      <c r="A17" s="59">
        <v>44392</v>
      </c>
      <c r="B17" s="70"/>
      <c r="C17" s="70"/>
      <c r="D17" s="71"/>
      <c r="E17" s="69"/>
      <c r="F17" s="69"/>
      <c r="G17" s="69"/>
      <c r="H17" s="69"/>
      <c r="I17" s="69"/>
      <c r="J17" s="69"/>
      <c r="K17" s="69"/>
      <c r="L17" s="69"/>
      <c r="M17" s="68"/>
      <c r="N17" s="50"/>
      <c r="O17" s="48"/>
      <c r="P17" s="48"/>
      <c r="Q17" s="48"/>
      <c r="R17" s="21"/>
      <c r="S17" s="21"/>
      <c r="T17" s="31"/>
      <c r="U17" s="31"/>
      <c r="V17" s="31"/>
      <c r="W17" s="31"/>
      <c r="X17" s="31"/>
      <c r="Y17" s="31"/>
      <c r="Z17" s="35">
        <v>0</v>
      </c>
      <c r="AA17" s="90"/>
      <c r="AB17" s="87"/>
      <c r="AC17" s="91"/>
    </row>
    <row r="18" spans="1:30" ht="15" customHeight="1">
      <c r="A18" s="59">
        <v>44393</v>
      </c>
      <c r="B18" s="70"/>
      <c r="C18" s="70"/>
      <c r="D18" s="71"/>
      <c r="E18" s="69"/>
      <c r="F18" s="69"/>
      <c r="G18" s="69"/>
      <c r="H18" s="69"/>
      <c r="I18" s="69"/>
      <c r="J18" s="69"/>
      <c r="K18" s="69"/>
      <c r="L18" s="69"/>
      <c r="M18" s="68"/>
      <c r="N18" s="48"/>
      <c r="O18" s="48"/>
      <c r="P18" s="48"/>
      <c r="Q18" s="48"/>
      <c r="R18" s="21"/>
      <c r="S18" s="21"/>
      <c r="T18" s="31"/>
      <c r="U18" s="31"/>
      <c r="V18" s="31"/>
      <c r="W18" s="31"/>
      <c r="X18" s="31"/>
      <c r="Y18" s="31"/>
      <c r="Z18" s="35">
        <v>0</v>
      </c>
      <c r="AA18" s="90"/>
      <c r="AB18" s="87"/>
      <c r="AC18" s="91"/>
    </row>
    <row r="19" spans="1:30" ht="15" customHeight="1">
      <c r="A19" s="59">
        <v>44394</v>
      </c>
      <c r="B19" s="70"/>
      <c r="C19" s="70"/>
      <c r="D19" s="71"/>
      <c r="E19" s="69"/>
      <c r="F19" s="69"/>
      <c r="G19" s="69"/>
      <c r="H19" s="69"/>
      <c r="I19" s="69"/>
      <c r="J19" s="69"/>
      <c r="K19" s="69"/>
      <c r="L19" s="69"/>
      <c r="M19" s="68"/>
      <c r="N19" s="48"/>
      <c r="O19" s="48"/>
      <c r="P19" s="48"/>
      <c r="Q19" s="48"/>
      <c r="R19" s="21"/>
      <c r="S19" s="21"/>
      <c r="T19" s="31"/>
      <c r="U19" s="31"/>
      <c r="V19" s="31"/>
      <c r="W19" s="31"/>
      <c r="X19" s="31"/>
      <c r="Y19" s="31"/>
      <c r="Z19" s="35">
        <v>0</v>
      </c>
      <c r="AA19" s="90"/>
      <c r="AB19" s="87"/>
      <c r="AC19" s="91"/>
    </row>
    <row r="20" spans="1:30" ht="15" customHeight="1">
      <c r="A20" s="59">
        <v>44395</v>
      </c>
      <c r="B20" s="70"/>
      <c r="C20" s="70"/>
      <c r="D20" s="71"/>
      <c r="E20" s="69"/>
      <c r="F20" s="69"/>
      <c r="G20" s="69"/>
      <c r="H20" s="69"/>
      <c r="I20" s="69"/>
      <c r="J20" s="69"/>
      <c r="K20" s="69"/>
      <c r="L20" s="69"/>
      <c r="M20" s="68"/>
      <c r="N20" s="48"/>
      <c r="O20" s="48"/>
      <c r="P20" s="48"/>
      <c r="Q20" s="48"/>
      <c r="R20" s="21"/>
      <c r="S20" s="21"/>
      <c r="T20" s="31"/>
      <c r="U20" s="31"/>
      <c r="V20" s="31"/>
      <c r="W20" s="31"/>
      <c r="X20" s="31"/>
      <c r="Y20" s="31"/>
      <c r="Z20" s="35">
        <v>0</v>
      </c>
      <c r="AA20" s="90"/>
      <c r="AB20" s="87"/>
      <c r="AC20" s="91"/>
    </row>
    <row r="21" spans="1:30" ht="15" customHeight="1">
      <c r="A21" s="59">
        <v>44396</v>
      </c>
      <c r="B21" s="70"/>
      <c r="C21" s="70"/>
      <c r="D21" s="71"/>
      <c r="E21" s="69"/>
      <c r="F21" s="69"/>
      <c r="G21" s="69"/>
      <c r="H21" s="69"/>
      <c r="I21" s="69"/>
      <c r="J21" s="69"/>
      <c r="K21" s="69"/>
      <c r="L21" s="69"/>
      <c r="M21" s="68"/>
      <c r="N21" s="48"/>
      <c r="O21" s="48"/>
      <c r="P21" s="48"/>
      <c r="Q21" s="48"/>
      <c r="R21" s="21"/>
      <c r="S21" s="21"/>
      <c r="T21" s="31"/>
      <c r="U21" s="31"/>
      <c r="V21" s="31"/>
      <c r="W21" s="31"/>
      <c r="X21" s="31"/>
      <c r="Y21" s="31"/>
      <c r="Z21" s="35">
        <v>0</v>
      </c>
      <c r="AA21" s="90"/>
      <c r="AB21" s="87"/>
      <c r="AC21" s="91"/>
      <c r="AD21" s="22"/>
    </row>
    <row r="22" spans="1:30" ht="15" customHeight="1">
      <c r="A22" s="59">
        <v>44397</v>
      </c>
      <c r="B22" s="70"/>
      <c r="C22" s="70"/>
      <c r="D22" s="71"/>
      <c r="E22" s="69"/>
      <c r="F22" s="69"/>
      <c r="G22" s="69"/>
      <c r="H22" s="69"/>
      <c r="I22" s="69"/>
      <c r="J22" s="69"/>
      <c r="K22" s="69"/>
      <c r="L22" s="69"/>
      <c r="M22" s="68"/>
      <c r="N22" s="50"/>
      <c r="O22" s="48"/>
      <c r="P22" s="48"/>
      <c r="Q22" s="48"/>
      <c r="R22" s="21"/>
      <c r="S22" s="21"/>
      <c r="T22" s="31"/>
      <c r="U22" s="31"/>
      <c r="V22" s="31"/>
      <c r="W22" s="31"/>
      <c r="X22" s="31"/>
      <c r="Y22" s="31"/>
      <c r="Z22" s="35">
        <v>0</v>
      </c>
      <c r="AA22" s="90"/>
      <c r="AB22" s="87"/>
      <c r="AC22" s="91"/>
      <c r="AD22" s="22"/>
    </row>
    <row r="23" spans="1:30" ht="15" customHeight="1">
      <c r="A23" s="59">
        <v>44398</v>
      </c>
      <c r="B23" s="70"/>
      <c r="C23" s="70"/>
      <c r="D23" s="71"/>
      <c r="E23" s="69"/>
      <c r="F23" s="69"/>
      <c r="G23" s="69"/>
      <c r="H23" s="69"/>
      <c r="I23" s="69"/>
      <c r="J23" s="69"/>
      <c r="K23" s="69"/>
      <c r="L23" s="69"/>
      <c r="M23" s="68"/>
      <c r="N23" s="50"/>
      <c r="O23" s="48"/>
      <c r="P23" s="48"/>
      <c r="Q23" s="48"/>
      <c r="R23" s="21"/>
      <c r="S23" s="21"/>
      <c r="T23" s="31"/>
      <c r="U23" s="31"/>
      <c r="V23" s="31"/>
      <c r="W23" s="31"/>
      <c r="X23" s="31"/>
      <c r="Y23" s="31"/>
      <c r="Z23" s="35">
        <v>0</v>
      </c>
      <c r="AA23" s="90"/>
      <c r="AB23" s="87"/>
      <c r="AC23" s="91"/>
      <c r="AD23" s="22"/>
    </row>
    <row r="24" spans="1:30" ht="15" customHeight="1">
      <c r="A24" s="59">
        <v>44399</v>
      </c>
      <c r="B24" s="70"/>
      <c r="C24" s="70"/>
      <c r="D24" s="71"/>
      <c r="E24" s="69"/>
      <c r="F24" s="69"/>
      <c r="G24" s="69"/>
      <c r="H24" s="69"/>
      <c r="I24" s="69"/>
      <c r="J24" s="69"/>
      <c r="K24" s="69"/>
      <c r="L24" s="69"/>
      <c r="M24" s="68"/>
      <c r="N24" s="50"/>
      <c r="O24" s="48"/>
      <c r="P24" s="48"/>
      <c r="Q24" s="48"/>
      <c r="R24" s="21"/>
      <c r="S24" s="21"/>
      <c r="T24" s="31"/>
      <c r="U24" s="31"/>
      <c r="V24" s="20"/>
      <c r="W24" s="20"/>
      <c r="X24" s="20"/>
      <c r="Y24" s="20"/>
      <c r="Z24" s="35">
        <v>0</v>
      </c>
      <c r="AA24" s="90"/>
      <c r="AB24" s="87"/>
      <c r="AC24" s="91"/>
      <c r="AD24" s="22"/>
    </row>
    <row r="25" spans="1:30" ht="15" customHeight="1">
      <c r="A25" s="59">
        <v>44400</v>
      </c>
      <c r="B25" s="70"/>
      <c r="C25" s="70"/>
      <c r="D25" s="71"/>
      <c r="E25" s="69"/>
      <c r="F25" s="69"/>
      <c r="G25" s="69"/>
      <c r="H25" s="69"/>
      <c r="I25" s="69"/>
      <c r="J25" s="69"/>
      <c r="K25" s="69"/>
      <c r="L25" s="69"/>
      <c r="M25" s="68"/>
      <c r="N25" s="50"/>
      <c r="O25" s="48"/>
      <c r="P25" s="48"/>
      <c r="Q25" s="48"/>
      <c r="R25" s="21"/>
      <c r="S25" s="21"/>
      <c r="T25" s="31"/>
      <c r="U25" s="31"/>
      <c r="V25" s="20"/>
      <c r="W25" s="20"/>
      <c r="X25" s="20"/>
      <c r="Y25" s="20"/>
      <c r="Z25" s="35">
        <v>0</v>
      </c>
      <c r="AA25" s="90"/>
      <c r="AB25" s="87"/>
      <c r="AC25" s="91"/>
      <c r="AD25" s="22"/>
    </row>
    <row r="26" spans="1:30" ht="15" customHeight="1">
      <c r="A26" s="59">
        <v>44401</v>
      </c>
      <c r="B26" s="70"/>
      <c r="C26" s="70"/>
      <c r="D26" s="71"/>
      <c r="E26" s="69"/>
      <c r="F26" s="69"/>
      <c r="G26" s="69"/>
      <c r="H26" s="69"/>
      <c r="I26" s="69"/>
      <c r="J26" s="69"/>
      <c r="K26" s="69"/>
      <c r="L26" s="69"/>
      <c r="M26" s="68"/>
      <c r="N26" s="50"/>
      <c r="O26" s="48"/>
      <c r="P26" s="48"/>
      <c r="Q26" s="48"/>
      <c r="R26" s="21"/>
      <c r="S26" s="21"/>
      <c r="T26" s="31"/>
      <c r="U26" s="31"/>
      <c r="V26" s="20"/>
      <c r="W26" s="20"/>
      <c r="X26" s="20"/>
      <c r="Y26" s="20"/>
      <c r="Z26" s="35">
        <v>0</v>
      </c>
      <c r="AA26" s="90"/>
      <c r="AB26" s="87"/>
      <c r="AC26" s="91"/>
      <c r="AD26" s="22"/>
    </row>
    <row r="27" spans="1:30" ht="15" customHeight="1">
      <c r="A27" s="59">
        <v>44402</v>
      </c>
      <c r="B27" s="70"/>
      <c r="C27" s="70"/>
      <c r="D27" s="71"/>
      <c r="E27" s="69"/>
      <c r="F27" s="69"/>
      <c r="G27" s="69"/>
      <c r="H27" s="69"/>
      <c r="I27" s="69"/>
      <c r="J27" s="69"/>
      <c r="K27" s="69"/>
      <c r="L27" s="69"/>
      <c r="M27" s="68"/>
      <c r="N27" s="50"/>
      <c r="O27" s="48"/>
      <c r="P27" s="48"/>
      <c r="Q27" s="48"/>
      <c r="R27" s="21"/>
      <c r="S27" s="21"/>
      <c r="T27" s="31"/>
      <c r="U27" s="31"/>
      <c r="V27" s="20"/>
      <c r="W27" s="20"/>
      <c r="X27" s="20"/>
      <c r="Y27" s="20"/>
      <c r="Z27" s="35">
        <v>0</v>
      </c>
      <c r="AA27" s="90"/>
      <c r="AB27" s="87"/>
      <c r="AC27" s="91"/>
      <c r="AD27" s="22"/>
    </row>
    <row r="28" spans="1:30" ht="15" customHeight="1">
      <c r="A28" s="59">
        <v>44403</v>
      </c>
      <c r="B28" s="70"/>
      <c r="C28" s="70"/>
      <c r="D28" s="71"/>
      <c r="E28" s="69"/>
      <c r="F28" s="69"/>
      <c r="G28" s="69"/>
      <c r="H28" s="69"/>
      <c r="I28" s="69"/>
      <c r="J28" s="69"/>
      <c r="K28" s="69"/>
      <c r="L28" s="69"/>
      <c r="M28" s="68"/>
      <c r="N28" s="50"/>
      <c r="O28" s="48"/>
      <c r="P28" s="48"/>
      <c r="Q28" s="48"/>
      <c r="R28" s="21"/>
      <c r="S28" s="21"/>
      <c r="T28" s="31"/>
      <c r="U28" s="31"/>
      <c r="V28" s="20"/>
      <c r="W28" s="20"/>
      <c r="X28" s="20"/>
      <c r="Y28" s="20"/>
      <c r="Z28" s="35">
        <v>0</v>
      </c>
      <c r="AA28" s="90"/>
      <c r="AB28" s="87"/>
      <c r="AC28" s="91"/>
      <c r="AD28" s="22"/>
    </row>
    <row r="29" spans="1:30" ht="15" customHeight="1">
      <c r="A29" s="59">
        <v>44404</v>
      </c>
      <c r="B29" s="70"/>
      <c r="C29" s="70"/>
      <c r="D29" s="71"/>
      <c r="E29" s="69"/>
      <c r="F29" s="69"/>
      <c r="G29" s="69"/>
      <c r="H29" s="69"/>
      <c r="I29" s="69"/>
      <c r="J29" s="69"/>
      <c r="K29" s="69"/>
      <c r="L29" s="69"/>
      <c r="M29" s="68"/>
      <c r="N29" s="50"/>
      <c r="O29" s="48"/>
      <c r="P29" s="48"/>
      <c r="Q29" s="48"/>
      <c r="R29" s="21"/>
      <c r="S29" s="21"/>
      <c r="T29" s="31"/>
      <c r="U29" s="31"/>
      <c r="V29" s="20"/>
      <c r="W29" s="20"/>
      <c r="X29" s="20"/>
      <c r="Y29" s="20"/>
      <c r="Z29" s="35">
        <v>0</v>
      </c>
      <c r="AA29" s="90"/>
      <c r="AB29" s="87"/>
      <c r="AC29" s="91"/>
      <c r="AD29" s="22"/>
    </row>
    <row r="30" spans="1:30" ht="15" customHeight="1">
      <c r="A30" s="59">
        <v>44405</v>
      </c>
      <c r="B30" s="70"/>
      <c r="C30" s="70"/>
      <c r="D30" s="71"/>
      <c r="E30" s="69"/>
      <c r="F30" s="69"/>
      <c r="G30" s="69"/>
      <c r="H30" s="69"/>
      <c r="I30" s="69"/>
      <c r="J30" s="69"/>
      <c r="K30" s="69"/>
      <c r="L30" s="69"/>
      <c r="M30" s="68"/>
      <c r="N30" s="50"/>
      <c r="O30" s="48"/>
      <c r="P30" s="48"/>
      <c r="Q30" s="48"/>
      <c r="R30" s="21"/>
      <c r="S30" s="21"/>
      <c r="T30" s="31"/>
      <c r="U30" s="31"/>
      <c r="V30" s="31"/>
      <c r="W30" s="31"/>
      <c r="X30" s="31"/>
      <c r="Y30" s="31"/>
      <c r="Z30" s="35">
        <v>0</v>
      </c>
      <c r="AA30" s="90"/>
      <c r="AB30" s="87"/>
      <c r="AC30" s="91"/>
      <c r="AD30" s="22"/>
    </row>
    <row r="31" spans="1:30" ht="15" customHeight="1">
      <c r="A31" s="59">
        <v>44406</v>
      </c>
      <c r="B31" s="70"/>
      <c r="C31" s="70"/>
      <c r="D31" s="71"/>
      <c r="E31" s="69"/>
      <c r="F31" s="69"/>
      <c r="G31" s="69"/>
      <c r="H31" s="69"/>
      <c r="I31" s="69"/>
      <c r="J31" s="69"/>
      <c r="K31" s="69"/>
      <c r="L31" s="69"/>
      <c r="M31" s="68"/>
      <c r="N31" s="51"/>
      <c r="O31" s="52"/>
      <c r="P31" s="48"/>
      <c r="Q31" s="48"/>
      <c r="R31" s="21"/>
      <c r="S31" s="21"/>
      <c r="T31" s="31"/>
      <c r="U31" s="31"/>
      <c r="V31" s="31"/>
      <c r="W31" s="31"/>
      <c r="X31" s="31"/>
      <c r="Y31" s="31"/>
      <c r="Z31" s="35">
        <v>0</v>
      </c>
      <c r="AA31" s="90"/>
      <c r="AB31" s="87"/>
      <c r="AC31" s="91"/>
      <c r="AD31" s="22"/>
    </row>
    <row r="32" spans="1:30" ht="15" customHeight="1">
      <c r="A32" s="59">
        <v>44407</v>
      </c>
      <c r="B32" s="70"/>
      <c r="C32" s="70"/>
      <c r="D32" s="71"/>
      <c r="E32" s="69"/>
      <c r="F32" s="69"/>
      <c r="G32" s="69"/>
      <c r="H32" s="69"/>
      <c r="I32" s="69"/>
      <c r="J32" s="69"/>
      <c r="K32" s="69"/>
      <c r="L32" s="69"/>
      <c r="M32" s="68"/>
      <c r="N32" s="53"/>
      <c r="O32" s="54"/>
      <c r="P32" s="54"/>
      <c r="Q32" s="54"/>
      <c r="R32" s="21"/>
      <c r="S32" s="21"/>
      <c r="T32" s="31"/>
      <c r="U32" s="31"/>
      <c r="V32" s="31"/>
      <c r="W32" s="31"/>
      <c r="X32" s="31"/>
      <c r="Y32" s="31"/>
      <c r="Z32" s="35">
        <v>0</v>
      </c>
      <c r="AA32" s="90"/>
      <c r="AB32" s="87"/>
      <c r="AC32" s="91"/>
      <c r="AD32" s="22"/>
    </row>
    <row r="33" spans="1:29" ht="12.75" customHeight="1">
      <c r="A33" s="59">
        <v>44408</v>
      </c>
      <c r="B33" s="49"/>
      <c r="C33" s="72"/>
      <c r="D33" s="81"/>
      <c r="E33" s="81"/>
      <c r="F33" s="81"/>
      <c r="G33" s="81"/>
      <c r="H33" s="81"/>
      <c r="I33" s="81"/>
      <c r="J33" s="81"/>
      <c r="K33" s="81"/>
      <c r="L33" s="81"/>
      <c r="M33" s="68"/>
      <c r="N33" s="54"/>
      <c r="O33" s="54"/>
      <c r="P33" s="55"/>
      <c r="Q33" s="56"/>
      <c r="R33" s="21"/>
      <c r="S33" s="21"/>
      <c r="T33" s="57"/>
      <c r="U33" s="57"/>
      <c r="V33" s="57"/>
      <c r="W33" s="57"/>
      <c r="X33" s="57"/>
      <c r="Y33" s="57"/>
      <c r="Z33" s="35"/>
      <c r="AA33" s="92"/>
      <c r="AB33" s="93"/>
      <c r="AC33" s="94"/>
    </row>
    <row r="34" spans="1:29">
      <c r="W34" s="83"/>
      <c r="X34" s="83"/>
      <c r="AA34" s="84"/>
      <c r="AB34" s="84"/>
      <c r="AC34" s="84"/>
    </row>
    <row r="35" spans="1:29">
      <c r="T35" s="87"/>
      <c r="U35" s="87"/>
      <c r="V35" s="87"/>
      <c r="AA35" s="84"/>
      <c r="AB35" s="84"/>
      <c r="AC35" s="84"/>
    </row>
    <row r="37" spans="1:29">
      <c r="AA37" s="84"/>
      <c r="AB37" s="84"/>
      <c r="AC37" s="84"/>
    </row>
    <row r="38" spans="1:29" ht="15">
      <c r="P38" s="82"/>
      <c r="AA38" s="84"/>
      <c r="AB38" s="84"/>
      <c r="AC38" s="84"/>
    </row>
    <row r="39" spans="1:29" ht="15">
      <c r="P39" s="82"/>
      <c r="AA39" s="84"/>
      <c r="AB39" s="84"/>
      <c r="AC39" s="84"/>
    </row>
  </sheetData>
  <mergeCells count="9">
    <mergeCell ref="T35:V35"/>
    <mergeCell ref="AB13:AC13"/>
    <mergeCell ref="AB14:AC14"/>
    <mergeCell ref="AA16:AC33"/>
    <mergeCell ref="D1:L1"/>
    <mergeCell ref="AA2:AC2"/>
    <mergeCell ref="AA3:AC3"/>
    <mergeCell ref="AA11:AC11"/>
    <mergeCell ref="AB12:AC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9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2" ma:contentTypeDescription="Create a new document." ma:contentTypeScope="" ma:versionID="0eaf907d2f6070ca37dafb69c50b4233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61189f769c577b9c04ae4f18061de57f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E99E6936-EF7E-451B-BDFB-80F884242F61}"/>
</file>

<file path=customXml/itemProps3.xml><?xml version="1.0" encoding="utf-8"?>
<ds:datastoreItem xmlns:ds="http://schemas.openxmlformats.org/officeDocument/2006/customXml" ds:itemID="{620F5833-E3D5-4465-B836-0DEADAE27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Bertrand Morel</cp:lastModifiedBy>
  <cp:revision/>
  <dcterms:created xsi:type="dcterms:W3CDTF">2019-08-14T08:16:24Z</dcterms:created>
  <dcterms:modified xsi:type="dcterms:W3CDTF">2021-07-13T08:10:05Z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