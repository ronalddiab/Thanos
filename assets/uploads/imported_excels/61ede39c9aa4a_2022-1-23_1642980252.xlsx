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1" i="1" s="1"/>
  <c r="AB23" i="1" s="1"/>
  <c r="AB24" i="1" s="1"/>
  <c r="AB26" i="1" s="1"/>
  <c r="AB27" i="1" s="1"/>
  <c r="AB28" i="1" s="1"/>
  <c r="AB29" i="1" s="1"/>
  <c r="AB30" i="1" s="1"/>
  <c r="AB31" i="1" s="1"/>
  <c r="AB32" i="1" s="1"/>
  <c r="AB33" i="1" s="1"/>
  <c r="AF18" i="1"/>
  <c r="AF23" i="1" s="1"/>
  <c r="AF25" i="1" s="1"/>
  <c r="AF27" i="1" s="1"/>
  <c r="AF28" i="1" s="1"/>
  <c r="AF29" i="1" s="1"/>
  <c r="AF30" i="1" s="1"/>
  <c r="AF31" i="1" s="1"/>
  <c r="AF32" i="1" s="1"/>
  <c r="AF33" i="1" s="1"/>
  <c r="AD8" i="1"/>
  <c r="AD26" i="1" s="1"/>
  <c r="AD27" i="1" s="1"/>
  <c r="AD28" i="1" s="1"/>
  <c r="AD29" i="1" s="1"/>
  <c r="AD30" i="1" s="1"/>
  <c r="AD31" i="1" s="1"/>
  <c r="AD32" i="1" s="1"/>
  <c r="AD33" i="1" s="1"/>
  <c r="Z26" i="1"/>
  <c r="Z27" i="1" s="1"/>
  <c r="Z28" i="1" s="1"/>
  <c r="Z29" i="1" s="1"/>
  <c r="Z30" i="1" s="1"/>
  <c r="Z31" i="1" s="1"/>
  <c r="Z32" i="1" s="1"/>
  <c r="Z33" i="1" s="1"/>
  <c r="X26" i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26" i="1"/>
  <c r="N27" i="1" s="1"/>
  <c r="N28" i="1" s="1"/>
  <c r="N29" i="1" s="1"/>
  <c r="N30" i="1" s="1"/>
  <c r="N31" i="1" s="1"/>
  <c r="N32" i="1" s="1"/>
  <c r="N33" i="1" s="1"/>
  <c r="K18" i="1"/>
  <c r="K25" i="1" s="1"/>
  <c r="K26" i="1" s="1"/>
  <c r="K27" i="1" s="1"/>
  <c r="K28" i="1" s="1"/>
  <c r="K29" i="1" s="1"/>
  <c r="K30" i="1" s="1"/>
  <c r="K31" i="1" s="1"/>
  <c r="K32" i="1" s="1"/>
  <c r="K33" i="1" s="1"/>
  <c r="H26" i="1"/>
  <c r="H27" i="1" s="1"/>
  <c r="H28" i="1" s="1"/>
  <c r="H29" i="1" s="1"/>
  <c r="H30" i="1" s="1"/>
  <c r="H31" i="1" s="1"/>
  <c r="H32" i="1" s="1"/>
  <c r="H33" i="1" s="1"/>
  <c r="E26" i="1"/>
  <c r="E27" i="1" s="1"/>
  <c r="E28" i="1" s="1"/>
  <c r="E29" i="1" s="1"/>
  <c r="E30" i="1" s="1"/>
  <c r="E31" i="1" s="1"/>
  <c r="E32" i="1" s="1"/>
  <c r="E33" i="1" s="1"/>
  <c r="B26" i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26" i="5"/>
  <c r="B27" i="5" s="1"/>
  <c r="B28" i="5" s="1"/>
  <c r="B29" i="5" s="1"/>
  <c r="B30" i="5" s="1"/>
  <c r="B31" i="5" s="1"/>
  <c r="B32" i="5" s="1"/>
  <c r="B33" i="5" s="1"/>
  <c r="H26" i="3"/>
  <c r="H27" i="3" s="1"/>
  <c r="H28" i="3" s="1"/>
  <c r="H29" i="3" s="1"/>
  <c r="H30" i="3" s="1"/>
  <c r="H31" i="3" s="1"/>
  <c r="H32" i="3" s="1"/>
  <c r="H33" i="3" s="1"/>
  <c r="F26" i="3"/>
  <c r="F27" i="3" s="1"/>
  <c r="F28" i="3" s="1"/>
  <c r="F29" i="3" s="1"/>
  <c r="F30" i="3" s="1"/>
  <c r="F31" i="3" s="1"/>
  <c r="F32" i="3" s="1"/>
  <c r="F33" i="3" s="1"/>
  <c r="D26" i="3"/>
  <c r="D27" i="3" s="1"/>
  <c r="D28" i="3" s="1"/>
  <c r="D29" i="3" s="1"/>
  <c r="D30" i="3" s="1"/>
  <c r="D31" i="3" s="1"/>
  <c r="D32" i="3" s="1"/>
  <c r="D33" i="3" s="1"/>
  <c r="J2" i="3"/>
  <c r="K2" i="3" s="1"/>
  <c r="T20" i="2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6" i="2" s="1"/>
  <c r="P27" i="2" s="1"/>
  <c r="P28" i="2" s="1"/>
  <c r="P29" i="2" s="1"/>
  <c r="P30" i="2" s="1"/>
  <c r="P31" i="2" s="1"/>
  <c r="P32" i="2" s="1"/>
  <c r="P33" i="2" s="1"/>
  <c r="N20" i="2"/>
  <c r="N26" i="2" s="1"/>
  <c r="N27" i="2" s="1"/>
  <c r="N28" i="2" s="1"/>
  <c r="N29" i="2" s="1"/>
  <c r="N30" i="2" s="1"/>
  <c r="N31" i="2" s="1"/>
  <c r="N32" i="2" s="1"/>
  <c r="N33" i="2" s="1"/>
  <c r="L20" i="2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8" i="2" s="1"/>
  <c r="J20" i="2" s="1"/>
  <c r="J24" i="2" s="1"/>
  <c r="J26" i="2" s="1"/>
  <c r="J27" i="2" s="1"/>
  <c r="J28" i="2" s="1"/>
  <c r="J29" i="2" s="1"/>
  <c r="J30" i="2" s="1"/>
  <c r="J31" i="2" s="1"/>
  <c r="J32" i="2" s="1"/>
  <c r="H20" i="2"/>
  <c r="H26" i="2" s="1"/>
  <c r="H27" i="2" s="1"/>
  <c r="H28" i="2" s="1"/>
  <c r="H29" i="2" s="1"/>
  <c r="H30" i="2" s="1"/>
  <c r="H31" i="2" s="1"/>
  <c r="H32" i="2" s="1"/>
  <c r="H33" i="2" s="1"/>
  <c r="F20" i="2"/>
  <c r="F26" i="2" s="1"/>
  <c r="F27" i="2" s="1"/>
  <c r="F28" i="2" s="1"/>
  <c r="F29" i="2" s="1"/>
  <c r="F30" i="2" s="1"/>
  <c r="F31" i="2" s="1"/>
  <c r="F32" i="2" s="1"/>
  <c r="F33" i="2" s="1"/>
  <c r="D20" i="2"/>
  <c r="D26" i="2" s="1"/>
  <c r="D27" i="2" s="1"/>
  <c r="D28" i="2" s="1"/>
  <c r="D29" i="2" s="1"/>
  <c r="D30" i="2" s="1"/>
  <c r="D31" i="2" s="1"/>
  <c r="D32" i="2" s="1"/>
  <c r="D33" i="2" s="1"/>
  <c r="B20" i="2"/>
  <c r="B26" i="2" s="1"/>
  <c r="B27" i="2" s="1"/>
  <c r="B28" i="2" s="1"/>
  <c r="B29" i="2" s="1"/>
  <c r="B30" i="2" s="1"/>
  <c r="B31" i="2" s="1"/>
  <c r="B32" i="2" s="1"/>
  <c r="B33" i="2" s="1"/>
  <c r="P2" i="2"/>
  <c r="V26" i="4"/>
  <c r="V27" i="4" s="1"/>
  <c r="V28" i="4" s="1"/>
  <c r="V29" i="4" s="1"/>
  <c r="V30" i="4" s="1"/>
  <c r="V31" i="4" s="1"/>
  <c r="V32" i="4" s="1"/>
  <c r="V33" i="4" s="1"/>
  <c r="R26" i="4"/>
  <c r="R27" i="4" s="1"/>
  <c r="R28" i="4" s="1"/>
  <c r="R29" i="4" s="1"/>
  <c r="R30" i="4" s="1"/>
  <c r="R31" i="4" s="1"/>
  <c r="R32" i="4" s="1"/>
  <c r="R33" i="4" s="1"/>
  <c r="P26" i="4"/>
  <c r="P27" i="4" s="1"/>
  <c r="P28" i="4" s="1"/>
  <c r="P29" i="4" s="1"/>
  <c r="P30" i="4" s="1"/>
  <c r="P31" i="4" s="1"/>
  <c r="P32" i="4" s="1"/>
  <c r="P33" i="4" s="1"/>
  <c r="N26" i="4"/>
  <c r="N27" i="4" s="1"/>
  <c r="N28" i="4" s="1"/>
  <c r="N29" i="4" s="1"/>
  <c r="N30" i="4" s="1"/>
  <c r="N31" i="4" s="1"/>
  <c r="N32" i="4" s="1"/>
  <c r="N33" i="4" s="1"/>
  <c r="B10" i="4"/>
  <c r="B22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<sst xmlns="http://schemas.openxmlformats.org/spreadsheetml/2006/main" count="443" uniqueCount="149">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</sst>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24" sqref="E24:L2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36892.545667999999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60774.928615999997</v>
      </c>
      <c r="F19" s="144">
        <v>1.27</v>
      </c>
      <c r="G19" s="41">
        <f>Gas!C20*0.9147</f>
        <v>2301.3851999999997</v>
      </c>
      <c r="H19" s="145">
        <v>3.65</v>
      </c>
      <c r="I19" s="147">
        <f>Submetering!H19+Submetering!AD19+Submetering!AE19</f>
        <v>536</v>
      </c>
      <c r="J19" s="147">
        <v>10.029999999999999</v>
      </c>
      <c r="K19" s="41">
        <f>ELECT.!B20</f>
        <v>205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41352.397108000005</v>
      </c>
      <c r="F20" s="144">
        <v>1.27</v>
      </c>
      <c r="G20" s="41">
        <f>Gas!C21*0.9147</f>
        <v>4718.0225999999993</v>
      </c>
      <c r="H20" s="145">
        <v>3.65</v>
      </c>
      <c r="I20" s="147">
        <f>Submetering!H20+Submetering!AD20+Submetering!AE20</f>
        <v>616</v>
      </c>
      <c r="J20" s="147">
        <v>10.029999999999999</v>
      </c>
      <c r="K20" s="41">
        <f>ELECT.!B21</f>
        <v>264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56256.802928000012</v>
      </c>
      <c r="F21" s="144">
        <v>1.27</v>
      </c>
      <c r="G21" s="41">
        <f>Gas!C22*0.9147</f>
        <v>3405.4280999999996</v>
      </c>
      <c r="H21" s="145">
        <v>3.65</v>
      </c>
      <c r="I21" s="147">
        <f>Submetering!H21+Submetering!AD21+Submetering!AE21</f>
        <v>616</v>
      </c>
      <c r="J21" s="147">
        <v>10.029999999999999</v>
      </c>
      <c r="K21" s="41">
        <f>ELECT.!B22</f>
        <v>264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43884.782759999995</v>
      </c>
      <c r="F22" s="144">
        <v>1.27</v>
      </c>
      <c r="G22" s="41">
        <f>Gas!C23*0.9147</f>
        <v>2579.4539999999997</v>
      </c>
      <c r="H22" s="145">
        <v>3.65</v>
      </c>
      <c r="I22" s="147">
        <f>Submetering!H22+Submetering!AD22+Submetering!AE22</f>
        <v>596.00000000000011</v>
      </c>
      <c r="J22" s="147">
        <v>10.029999999999999</v>
      </c>
      <c r="K22" s="41">
        <f>ELECT.!B23</f>
        <v>143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40430.859568000007</v>
      </c>
      <c r="F23" s="144">
        <v>1.27</v>
      </c>
      <c r="G23" s="41">
        <f>Gas!C24*0.9147</f>
        <v>3938.6981999999998</v>
      </c>
      <c r="H23" s="145">
        <v>3.65</v>
      </c>
      <c r="I23" s="147">
        <f>Submetering!H23+Submetering!AD23+Submetering!AE23</f>
        <v>606</v>
      </c>
      <c r="J23" s="147">
        <v>10.029999999999999</v>
      </c>
      <c r="K23" s="41">
        <f>ELECT.!B24</f>
        <v>209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53180.020064000004</v>
      </c>
      <c r="F24" s="144">
        <v>1.27</v>
      </c>
      <c r="G24" s="41">
        <f>Gas!C25*0.9147</f>
        <v>3485.0070000000001</v>
      </c>
      <c r="H24" s="145">
        <v>3.65</v>
      </c>
      <c r="I24" s="147">
        <f>Submetering!H24+Submetering!AD24+Submetering!AE24</f>
        <v>595.99999999999989</v>
      </c>
      <c r="J24" s="147">
        <v>10.029999999999999</v>
      </c>
      <c r="K24" s="41">
        <f>ELECT.!B25</f>
        <v>193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193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193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193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193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193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193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193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24" sqref="E24:V2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2409</v>
      </c>
      <c r="AA18">
        <f>'Mall, Citadel, Rotana'!K19+'Mall, Citadel, Rotana'!M19</f>
        <v>800</v>
      </c>
      <c r="AB18">
        <f>'Mall, Citadel, Rotana'!O19</f>
        <v>266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730</v>
      </c>
      <c r="F19" s="41">
        <f>Water!E20</f>
        <v>410</v>
      </c>
      <c r="G19" s="41">
        <f>Water!G20</f>
        <v>267.3</v>
      </c>
      <c r="H19" s="41">
        <f>Water!I20</f>
        <v>4.968</v>
      </c>
      <c r="I19" s="41">
        <f>ELECT.!F20</f>
        <v>8425</v>
      </c>
      <c r="J19" s="41">
        <f>ELECT.!H20</f>
        <v>52849</v>
      </c>
      <c r="K19" s="41">
        <f>ELECT.!K20</f>
        <v>11844</v>
      </c>
      <c r="L19" s="41">
        <f>ELECT.!M20</f>
        <v>6563</v>
      </c>
      <c r="M19" s="41">
        <f>ELECT.!O20</f>
        <v>1712</v>
      </c>
      <c r="N19" s="41">
        <f>ELECT.!Q20</f>
        <v>8497</v>
      </c>
      <c r="O19" s="41">
        <f>ELECT.!S20</f>
        <v>12372</v>
      </c>
      <c r="P19" s="41">
        <f>ELECT.!W20*2</f>
        <v>24702</v>
      </c>
      <c r="Q19" s="41">
        <f>ELECT.!D20</f>
        <v>160</v>
      </c>
      <c r="R19" s="42">
        <f>BTU!C20</f>
        <v>1.6039999999993597</v>
      </c>
      <c r="S19" s="42">
        <f>BTU!F20</f>
        <v>0.4839999999999236</v>
      </c>
      <c r="T19" s="42">
        <f>BTU!I20</f>
        <v>4</v>
      </c>
      <c r="U19" s="42">
        <f>BTU!O20</f>
        <v>1.0329999999999018</v>
      </c>
      <c r="V19" s="42">
        <f>BTU!L20</f>
        <v>0</v>
      </c>
      <c r="W19" s="42">
        <f>BTU!R20</f>
        <v>0</v>
      </c>
      <c r="X19" s="39">
        <f>ELECT.!B20</f>
        <v>205</v>
      </c>
      <c r="Y19" s="39">
        <f t="shared" si="0"/>
        <v>-4416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69.990017600000002</v>
      </c>
      <c r="AE19" s="39">
        <f t="shared" si="2"/>
        <v>461.04198240000005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810</v>
      </c>
      <c r="F20" s="41">
        <f>Water!E21</f>
        <v>430</v>
      </c>
      <c r="G20" s="41">
        <f>Water!G21</f>
        <v>283.5</v>
      </c>
      <c r="H20" s="41">
        <f>Water!I21</f>
        <v>5.0759999999999996</v>
      </c>
      <c r="I20" s="41">
        <f>ELECT.!F21</f>
        <v>5856</v>
      </c>
      <c r="J20" s="41">
        <f>ELECT.!H21</f>
        <v>37608</v>
      </c>
      <c r="K20" s="41">
        <f>ELECT.!K21</f>
        <v>8718</v>
      </c>
      <c r="L20" s="41">
        <f>ELECT.!M21</f>
        <v>4604</v>
      </c>
      <c r="M20" s="41">
        <f>ELECT.!O21</f>
        <v>1136</v>
      </c>
      <c r="N20" s="41">
        <f>ELECT.!Q21</f>
        <v>8604</v>
      </c>
      <c r="O20" s="41">
        <f>ELECT.!S21</f>
        <v>9063</v>
      </c>
      <c r="P20" s="41">
        <f>ELECT.!W21*2</f>
        <v>17724</v>
      </c>
      <c r="Q20" s="41">
        <f>ELECT.!D21</f>
        <v>320</v>
      </c>
      <c r="R20" s="42">
        <f>BTU!C21</f>
        <v>2.0060000000012224</v>
      </c>
      <c r="S20" s="42">
        <f>BTU!F21</f>
        <v>0.73000000000001819</v>
      </c>
      <c r="T20" s="42">
        <f>BTU!I21</f>
        <v>5</v>
      </c>
      <c r="U20" s="42">
        <f>BTU!O21</f>
        <v>1.2529999999997017</v>
      </c>
      <c r="V20" s="42">
        <f>BTU!L21</f>
        <v>0</v>
      </c>
      <c r="W20" s="42">
        <f>BTU!R21</f>
        <v>0</v>
      </c>
      <c r="X20" s="39">
        <f>ELECT.!B21</f>
        <v>264</v>
      </c>
      <c r="Y20" s="39">
        <f t="shared" si="0"/>
        <v>-6385</v>
      </c>
      <c r="Z20">
        <f>'Mall, Citadel, Rotana'!C21+'Mall, Citadel, Rotana'!E21+'Mall, Citadel, Rotana'!G21+'Mall, Citadel, Rotana'!I21</f>
        <v>1212</v>
      </c>
      <c r="AA20">
        <f>'Mall, Citadel, Rotana'!K21+'Mall, Citadel, Rotana'!M21</f>
        <v>480</v>
      </c>
      <c r="AB20">
        <f>'Mall, Citadel, Rotana'!O21</f>
        <v>117</v>
      </c>
      <c r="AC20">
        <f>'Mall, Citadel, Rotana'!Q21+'Mall, Citadel, Rotana'!S21</f>
        <v>0</v>
      </c>
      <c r="AD20" s="39">
        <f t="shared" si="1"/>
        <v>80.519783199999992</v>
      </c>
      <c r="AE20" s="39">
        <f t="shared" si="2"/>
        <v>530.40421679999997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810</v>
      </c>
      <c r="F21" s="41">
        <f>Water!E22</f>
        <v>430</v>
      </c>
      <c r="G21" s="41">
        <f>Water!G22</f>
        <v>283.5</v>
      </c>
      <c r="H21" s="41">
        <f>Water!I22</f>
        <v>5.0759999999999996</v>
      </c>
      <c r="I21" s="41">
        <f>ELECT.!F22</f>
        <v>7308</v>
      </c>
      <c r="J21" s="41">
        <f>ELECT.!H22</f>
        <v>51351</v>
      </c>
      <c r="K21" s="41">
        <f>ELECT.!K22</f>
        <v>10426</v>
      </c>
      <c r="L21" s="41">
        <f>ELECT.!M22</f>
        <v>5735</v>
      </c>
      <c r="M21" s="41">
        <f>ELECT.!O22</f>
        <v>1434</v>
      </c>
      <c r="N21" s="41">
        <f>ELECT.!Q22</f>
        <v>4230</v>
      </c>
      <c r="O21" s="41">
        <f>ELECT.!S22</f>
        <v>12052</v>
      </c>
      <c r="P21" s="41">
        <f>ELECT.!W22*2</f>
        <v>25640</v>
      </c>
      <c r="Q21" s="41">
        <f>ELECT.!D22</f>
        <v>480</v>
      </c>
      <c r="R21" s="42">
        <f>BTU!C22</f>
        <v>1.521999999997206</v>
      </c>
      <c r="S21" s="42">
        <f>BTU!F22</f>
        <v>0.36799999999993815</v>
      </c>
      <c r="T21" s="42">
        <f>BTU!I22</f>
        <v>4</v>
      </c>
      <c r="U21" s="42">
        <f>BTU!O22</f>
        <v>0.93600000000014916</v>
      </c>
      <c r="V21" s="42">
        <f>BTU!L22</f>
        <v>0</v>
      </c>
      <c r="W21" s="42">
        <f>BTU!R22</f>
        <v>0</v>
      </c>
      <c r="X21" s="39">
        <f>ELECT.!B22</f>
        <v>264</v>
      </c>
      <c r="Y21" s="39">
        <f t="shared" si="0"/>
        <v>-858</v>
      </c>
      <c r="Z21">
        <f>'Mall, Citadel, Rotana'!C22+'Mall, Citadel, Rotana'!E22+'Mall, Citadel, Rotana'!G22+'Mall, Citadel, Rotana'!I22</f>
        <v>1375</v>
      </c>
      <c r="AA21">
        <f>'Mall, Citadel, Rotana'!K22+'Mall, Citadel, Rotana'!M22</f>
        <v>480</v>
      </c>
      <c r="AB21">
        <f>'Mall, Citadel, Rotana'!O22</f>
        <v>123</v>
      </c>
      <c r="AC21">
        <f>'Mall, Citadel, Rotana'!Q22+'Mall, Citadel, Rotana'!S22</f>
        <v>0</v>
      </c>
      <c r="AD21" s="39">
        <f t="shared" si="1"/>
        <v>80.519783199999992</v>
      </c>
      <c r="AE21" s="39">
        <f t="shared" si="2"/>
        <v>530.40421679999997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790</v>
      </c>
      <c r="F22" s="41">
        <f>Water!E23</f>
        <v>490</v>
      </c>
      <c r="G22" s="41">
        <f>Water!G23</f>
        <v>270</v>
      </c>
      <c r="H22" s="41">
        <f>Water!I23</f>
        <v>4.05</v>
      </c>
      <c r="I22" s="41">
        <f>ELECT.!F23</f>
        <v>6197</v>
      </c>
      <c r="J22" s="41">
        <f>ELECT.!H23</f>
        <v>39998</v>
      </c>
      <c r="K22" s="41">
        <f>ELECT.!K23</f>
        <v>7272</v>
      </c>
      <c r="L22" s="41">
        <f>ELECT.!M23</f>
        <v>4644</v>
      </c>
      <c r="M22" s="41">
        <f>ELECT.!O23</f>
        <v>1416</v>
      </c>
      <c r="N22" s="41">
        <f>ELECT.!Q23</f>
        <v>5928</v>
      </c>
      <c r="O22" s="41">
        <f>ELECT.!S23</f>
        <v>9436</v>
      </c>
      <c r="P22" s="41">
        <f>ELECT.!W23*2</f>
        <v>19654</v>
      </c>
      <c r="Q22" s="41">
        <f>ELECT.!D23</f>
        <v>480</v>
      </c>
      <c r="R22" s="42">
        <f>BTU!C23</f>
        <v>1.5540000000000873</v>
      </c>
      <c r="S22" s="42">
        <f>BTU!F23</f>
        <v>0.28199999999969805</v>
      </c>
      <c r="T22" s="42">
        <f>BTU!I23</f>
        <v>4</v>
      </c>
      <c r="U22" s="42">
        <f>BTU!O23</f>
        <v>0.94200000000000728</v>
      </c>
      <c r="V22" s="42">
        <f>BTU!L23</f>
        <v>0</v>
      </c>
      <c r="W22" s="42">
        <f>BTU!R23</f>
        <v>0</v>
      </c>
      <c r="X22" s="39">
        <f>ELECT.!B23</f>
        <v>143</v>
      </c>
      <c r="Y22" s="39">
        <f t="shared" si="0"/>
        <v>-2155</v>
      </c>
      <c r="Z22">
        <f>'Mall, Citadel, Rotana'!C23+'Mall, Citadel, Rotana'!E23+'Mall, Citadel, Rotana'!G23+'Mall, Citadel, Rotana'!I23</f>
        <v>1558</v>
      </c>
      <c r="AA22">
        <f>'Mall, Citadel, Rotana'!K23+'Mall, Citadel, Rotana'!M23</f>
        <v>320</v>
      </c>
      <c r="AB22">
        <f>'Mall, Citadel, Rotana'!O23</f>
        <v>72</v>
      </c>
      <c r="AC22">
        <f>'Mall, Citadel, Rotana'!Q23+'Mall, Citadel, Rotana'!S23</f>
        <v>0</v>
      </c>
      <c r="AD22" s="39">
        <f t="shared" si="1"/>
        <v>78.019010000000009</v>
      </c>
      <c r="AE22" s="39">
        <f t="shared" si="2"/>
        <v>513.93099000000007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800</v>
      </c>
      <c r="F23" s="41">
        <f>Water!E24</f>
        <v>460</v>
      </c>
      <c r="G23" s="41">
        <f>Water!G24</f>
        <v>251.1</v>
      </c>
      <c r="H23" s="41">
        <f>Water!I24</f>
        <v>5.2110000000000003</v>
      </c>
      <c r="I23" s="41">
        <f>ELECT.!F24</f>
        <v>5543</v>
      </c>
      <c r="J23" s="41">
        <f>ELECT.!H24</f>
        <v>36662</v>
      </c>
      <c r="K23" s="41">
        <f>ELECT.!K24</f>
        <v>7414</v>
      </c>
      <c r="L23" s="41">
        <f>ELECT.!M24</f>
        <v>4241</v>
      </c>
      <c r="M23" s="41">
        <f>ELECT.!O24</f>
        <v>1266</v>
      </c>
      <c r="N23" s="41">
        <f>ELECT.!Q24</f>
        <v>5862</v>
      </c>
      <c r="O23" s="41">
        <f>ELECT.!S24</f>
        <v>8562</v>
      </c>
      <c r="P23" s="41">
        <f>ELECT.!W24*2</f>
        <v>17690</v>
      </c>
      <c r="Q23" s="41">
        <f>ELECT.!D24</f>
        <v>320</v>
      </c>
      <c r="R23" s="42">
        <f>BTU!C24</f>
        <v>2.1240000000034343</v>
      </c>
      <c r="S23" s="42">
        <f>BTU!F24</f>
        <v>0.31900000000041473</v>
      </c>
      <c r="T23" s="42">
        <f>BTU!I24</f>
        <v>5</v>
      </c>
      <c r="U23" s="42">
        <f>BTU!O24</f>
        <v>1.0489999999999782</v>
      </c>
      <c r="V23" s="42">
        <f>BTU!L24</f>
        <v>0</v>
      </c>
      <c r="W23" s="42">
        <f>BTU!R24</f>
        <v>0</v>
      </c>
      <c r="X23" s="39">
        <f>ELECT.!B24</f>
        <v>209</v>
      </c>
      <c r="Y23" s="39">
        <f t="shared" si="0"/>
        <v>-2830</v>
      </c>
      <c r="Z23">
        <f>'Mall, Citadel, Rotana'!C24+'Mall, Citadel, Rotana'!E24+'Mall, Citadel, Rotana'!G24+'Mall, Citadel, Rotana'!I24</f>
        <v>1032</v>
      </c>
      <c r="AA23">
        <f>'Mall, Citadel, Rotana'!K24+'Mall, Citadel, Rotana'!M24</f>
        <v>320</v>
      </c>
      <c r="AB23">
        <f>'Mall, Citadel, Rotana'!O24</f>
        <v>93</v>
      </c>
      <c r="AC23">
        <f>'Mall, Citadel, Rotana'!Q24+'Mall, Citadel, Rotana'!S24</f>
        <v>0</v>
      </c>
      <c r="AD23" s="39">
        <f t="shared" si="1"/>
        <v>79.183990199999997</v>
      </c>
      <c r="AE23" s="39">
        <f t="shared" si="2"/>
        <v>521.60500979999995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790</v>
      </c>
      <c r="F24" s="41">
        <f>Water!E25</f>
        <v>420</v>
      </c>
      <c r="G24" s="41">
        <f>Water!G25</f>
        <v>243</v>
      </c>
      <c r="H24" s="41">
        <f>Water!I25</f>
        <v>5.3730000000000002</v>
      </c>
      <c r="I24" s="41">
        <f>ELECT.!F25</f>
        <v>11097</v>
      </c>
      <c r="J24" s="41">
        <f>ELECT.!H25</f>
        <v>44518</v>
      </c>
      <c r="K24" s="41">
        <f>ELECT.!K25</f>
        <v>10488</v>
      </c>
      <c r="L24" s="41">
        <f>ELECT.!M25</f>
        <v>5696</v>
      </c>
      <c r="M24" s="41">
        <f>ELECT.!O25</f>
        <v>5190</v>
      </c>
      <c r="N24" s="41">
        <f>ELECT.!Q25</f>
        <v>3396</v>
      </c>
      <c r="O24" s="41">
        <f>ELECT.!S25</f>
        <v>11312</v>
      </c>
      <c r="P24" s="41">
        <f>ELECT.!W25*2</f>
        <v>23284</v>
      </c>
      <c r="Q24" s="41">
        <f>ELECT.!D25</f>
        <v>0</v>
      </c>
      <c r="R24" s="42">
        <f>BTU!C25</f>
        <v>2.5659999999988941</v>
      </c>
      <c r="S24" s="42">
        <f>BTU!F25</f>
        <v>0.58399999999937791</v>
      </c>
      <c r="T24" s="42">
        <f>BTU!I25</f>
        <v>5</v>
      </c>
      <c r="U24" s="42">
        <f>BTU!O25</f>
        <v>1.2100000000000364</v>
      </c>
      <c r="V24" s="42">
        <f>BTU!L25</f>
        <v>0</v>
      </c>
      <c r="W24" s="42">
        <f>BTU!R25</f>
        <v>0</v>
      </c>
      <c r="X24" s="39">
        <f>ELECT.!B25</f>
        <v>193</v>
      </c>
      <c r="Y24" s="39">
        <f t="shared" si="0"/>
        <v>-3751</v>
      </c>
      <c r="Z24">
        <f>'Mall, Citadel, Rotana'!C25+'Mall, Citadel, Rotana'!E25+'Mall, Citadel, Rotana'!G25+'Mall, Citadel, Rotana'!I25</f>
        <v>1373</v>
      </c>
      <c r="AA24">
        <f>'Mall, Citadel, Rotana'!K25+'Mall, Citadel, Rotana'!M25</f>
        <v>480</v>
      </c>
      <c r="AB24">
        <f>'Mall, Citadel, Rotana'!O25</f>
        <v>113</v>
      </c>
      <c r="AC24">
        <f>'Mall, Citadel, Rotana'!Q25+'Mall, Citadel, Rotana'!S25</f>
        <v>0</v>
      </c>
      <c r="AD24" s="39">
        <f t="shared" si="1"/>
        <v>77.844638599999996</v>
      </c>
      <c r="AE24" s="39">
        <f t="shared" si="2"/>
        <v>512.7823613999999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 t="str">
        <f>ELECT.!F26</f>
        <v>0</v>
      </c>
      <c r="J25" s="41" t="str">
        <f>ELECT.!H26</f>
        <v>0</v>
      </c>
      <c r="K25" s="41">
        <f>ELECT.!K26</f>
        <v>0</v>
      </c>
      <c r="L25" s="41" t="str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193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193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193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193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193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193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193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193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4" activePane="bottomLeft" state="frozen"/>
      <selection pane="bottomLeft" activeCell="T25" sqref="T25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46504</v>
      </c>
      <c r="C19" s="16">
        <f t="shared" si="1"/>
        <v>1440</v>
      </c>
      <c r="D19" s="36">
        <v>40217</v>
      </c>
      <c r="E19" s="16">
        <f t="shared" si="2"/>
        <v>800</v>
      </c>
      <c r="F19" s="36">
        <v>21227</v>
      </c>
      <c r="G19" s="16">
        <f t="shared" si="3"/>
        <v>140</v>
      </c>
      <c r="H19" s="36">
        <v>253382</v>
      </c>
      <c r="I19" s="16">
        <f t="shared" si="4"/>
        <v>29</v>
      </c>
      <c r="J19" s="36">
        <v>303517</v>
      </c>
      <c r="K19" s="16">
        <v>0</v>
      </c>
      <c r="L19" s="36">
        <v>25779</v>
      </c>
      <c r="M19" s="16">
        <f t="shared" si="5"/>
        <v>800</v>
      </c>
      <c r="N19" s="36">
        <v>220808</v>
      </c>
      <c r="O19" s="16">
        <f t="shared" si="6"/>
        <v>266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3907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44579</v>
      </c>
      <c r="B20" s="36">
        <f t="shared" ref="B20:B33" si="19">B19</f>
        <v>46504</v>
      </c>
      <c r="C20" s="16">
        <f t="shared" si="1"/>
        <v>0</v>
      </c>
      <c r="D20" s="36">
        <f t="shared" ref="D20:D33" si="20">D19</f>
        <v>40217</v>
      </c>
      <c r="E20" s="16">
        <f t="shared" si="2"/>
        <v>0</v>
      </c>
      <c r="F20" s="36">
        <f t="shared" ref="F20:F33" si="21">F19</f>
        <v>21227</v>
      </c>
      <c r="G20" s="16">
        <f t="shared" si="3"/>
        <v>0</v>
      </c>
      <c r="H20" s="36">
        <f t="shared" ref="H20:H33" si="22">H19</f>
        <v>253382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20:L33" si="23">L19</f>
        <v>25779</v>
      </c>
      <c r="M20" s="16">
        <f t="shared" si="5"/>
        <v>0</v>
      </c>
      <c r="N20" s="36">
        <f t="shared" ref="N20:N33" si="24">N19</f>
        <v>220808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20:T33" si="25">T19</f>
        <v>3907</v>
      </c>
      <c r="U20" s="16">
        <f t="shared" si="10"/>
        <v>0</v>
      </c>
    </row>
    <row r="21" spans="1:23" ht="13.5" thickBot="1" x14ac:dyDescent="0.25">
      <c r="A21" s="10">
        <v>44580</v>
      </c>
      <c r="B21" s="36">
        <v>46509</v>
      </c>
      <c r="C21" s="16">
        <f t="shared" si="1"/>
        <v>800</v>
      </c>
      <c r="D21" s="36">
        <v>40219</v>
      </c>
      <c r="E21" s="16">
        <f t="shared" si="2"/>
        <v>320</v>
      </c>
      <c r="F21" s="36">
        <v>21231</v>
      </c>
      <c r="G21" s="16">
        <f t="shared" si="3"/>
        <v>80</v>
      </c>
      <c r="H21" s="36">
        <v>253394</v>
      </c>
      <c r="I21" s="16">
        <f t="shared" si="4"/>
        <v>12</v>
      </c>
      <c r="J21" s="36">
        <v>303517</v>
      </c>
      <c r="K21" s="16">
        <v>0</v>
      </c>
      <c r="L21" s="36">
        <v>25782</v>
      </c>
      <c r="M21" s="16">
        <f t="shared" si="5"/>
        <v>480</v>
      </c>
      <c r="N21" s="36">
        <v>220925</v>
      </c>
      <c r="O21" s="16">
        <f t="shared" si="6"/>
        <v>117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v>3908</v>
      </c>
      <c r="U21" s="16">
        <f t="shared" si="10"/>
        <v>160</v>
      </c>
    </row>
    <row r="22" spans="1:23" ht="13.5" thickBot="1" x14ac:dyDescent="0.25">
      <c r="A22" s="10">
        <v>44581</v>
      </c>
      <c r="B22" s="36">
        <v>46514</v>
      </c>
      <c r="C22" s="16">
        <f t="shared" si="1"/>
        <v>800</v>
      </c>
      <c r="D22" s="36">
        <v>40222</v>
      </c>
      <c r="E22" s="16">
        <f t="shared" si="2"/>
        <v>480</v>
      </c>
      <c r="F22" s="36">
        <v>21235</v>
      </c>
      <c r="G22" s="16">
        <f t="shared" si="3"/>
        <v>80</v>
      </c>
      <c r="H22" s="36">
        <v>253409</v>
      </c>
      <c r="I22" s="16">
        <f t="shared" si="4"/>
        <v>15</v>
      </c>
      <c r="J22" s="36">
        <v>303517</v>
      </c>
      <c r="K22" s="16">
        <v>0</v>
      </c>
      <c r="L22" s="36">
        <v>25785</v>
      </c>
      <c r="M22" s="16">
        <f t="shared" si="5"/>
        <v>480</v>
      </c>
      <c r="N22" s="36">
        <v>221048</v>
      </c>
      <c r="O22" s="16">
        <f t="shared" si="6"/>
        <v>123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v>3909</v>
      </c>
      <c r="U22" s="16">
        <f t="shared" si="10"/>
        <v>160</v>
      </c>
    </row>
    <row r="23" spans="1:23" ht="13.5" thickBot="1" x14ac:dyDescent="0.25">
      <c r="A23" s="10">
        <v>44582</v>
      </c>
      <c r="B23" s="36">
        <v>46519</v>
      </c>
      <c r="C23" s="16">
        <f t="shared" si="1"/>
        <v>800</v>
      </c>
      <c r="D23" s="36">
        <v>40226</v>
      </c>
      <c r="E23" s="16">
        <f t="shared" si="2"/>
        <v>640</v>
      </c>
      <c r="F23" s="36">
        <v>21240</v>
      </c>
      <c r="G23" s="16">
        <f t="shared" si="3"/>
        <v>100</v>
      </c>
      <c r="H23" s="36">
        <v>253427</v>
      </c>
      <c r="I23" s="16">
        <f t="shared" si="4"/>
        <v>18</v>
      </c>
      <c r="J23" s="36">
        <v>303517</v>
      </c>
      <c r="K23" s="16">
        <v>0</v>
      </c>
      <c r="L23" s="36">
        <v>25787</v>
      </c>
      <c r="M23" s="16">
        <f t="shared" si="5"/>
        <v>320</v>
      </c>
      <c r="N23" s="36">
        <v>221120</v>
      </c>
      <c r="O23" s="16">
        <f t="shared" si="6"/>
        <v>72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v>3910</v>
      </c>
      <c r="U23" s="16">
        <f t="shared" si="10"/>
        <v>160</v>
      </c>
    </row>
    <row r="24" spans="1:23" s="136" customFormat="1" ht="13.5" thickBot="1" x14ac:dyDescent="0.25">
      <c r="A24" s="10">
        <v>44583</v>
      </c>
      <c r="B24" s="36">
        <v>46523</v>
      </c>
      <c r="C24" s="16">
        <f t="shared" si="1"/>
        <v>640</v>
      </c>
      <c r="D24" s="36">
        <v>40228</v>
      </c>
      <c r="E24" s="16">
        <f t="shared" si="2"/>
        <v>320</v>
      </c>
      <c r="F24" s="36">
        <v>21243</v>
      </c>
      <c r="G24" s="16">
        <f t="shared" si="3"/>
        <v>60</v>
      </c>
      <c r="H24" s="36">
        <v>253439</v>
      </c>
      <c r="I24" s="16">
        <f t="shared" si="4"/>
        <v>12</v>
      </c>
      <c r="J24" s="36">
        <f t="shared" si="12"/>
        <v>303517</v>
      </c>
      <c r="K24" s="16">
        <v>0</v>
      </c>
      <c r="L24" s="36">
        <v>25789</v>
      </c>
      <c r="M24" s="16">
        <f t="shared" si="5"/>
        <v>320</v>
      </c>
      <c r="N24" s="36">
        <v>221213</v>
      </c>
      <c r="O24" s="16">
        <f t="shared" si="6"/>
        <v>93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v>3911</v>
      </c>
      <c r="U24" s="16">
        <f t="shared" si="10"/>
        <v>160</v>
      </c>
    </row>
    <row r="25" spans="1:23" ht="13.5" thickBot="1" x14ac:dyDescent="0.25">
      <c r="A25" s="10">
        <v>44584</v>
      </c>
      <c r="B25" s="36">
        <v>46528</v>
      </c>
      <c r="C25" s="16">
        <f t="shared" si="1"/>
        <v>800</v>
      </c>
      <c r="D25" s="36">
        <v>40231</v>
      </c>
      <c r="E25" s="16">
        <f t="shared" si="2"/>
        <v>480</v>
      </c>
      <c r="F25" s="36">
        <v>21247</v>
      </c>
      <c r="G25" s="16">
        <f t="shared" si="3"/>
        <v>80</v>
      </c>
      <c r="H25" s="36">
        <v>253452</v>
      </c>
      <c r="I25" s="16">
        <f t="shared" si="4"/>
        <v>13</v>
      </c>
      <c r="J25" s="36">
        <v>303517</v>
      </c>
      <c r="K25" s="16">
        <v>0</v>
      </c>
      <c r="L25" s="36">
        <v>25792</v>
      </c>
      <c r="M25" s="16">
        <f t="shared" si="5"/>
        <v>480</v>
      </c>
      <c r="N25" s="36">
        <v>221326</v>
      </c>
      <c r="O25" s="16">
        <f t="shared" si="6"/>
        <v>113</v>
      </c>
      <c r="P25" s="36">
        <v>137479</v>
      </c>
      <c r="Q25" s="16">
        <f t="shared" si="7"/>
        <v>0</v>
      </c>
      <c r="R25" s="1">
        <v>55047</v>
      </c>
      <c r="S25" s="16">
        <f t="shared" si="9"/>
        <v>0</v>
      </c>
      <c r="T25" s="36">
        <v>3911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46528</v>
      </c>
      <c r="C26" s="16">
        <f t="shared" si="1"/>
        <v>0</v>
      </c>
      <c r="D26" s="36">
        <f t="shared" si="20"/>
        <v>40231</v>
      </c>
      <c r="E26" s="16">
        <f t="shared" si="2"/>
        <v>0</v>
      </c>
      <c r="F26" s="36">
        <f t="shared" si="21"/>
        <v>21247</v>
      </c>
      <c r="G26" s="16">
        <f t="shared" si="3"/>
        <v>0</v>
      </c>
      <c r="H26" s="36">
        <f t="shared" si="22"/>
        <v>253452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23"/>
        <v>25792</v>
      </c>
      <c r="M26" s="16">
        <f t="shared" si="5"/>
        <v>0</v>
      </c>
      <c r="N26" s="36">
        <f t="shared" si="24"/>
        <v>221326</v>
      </c>
      <c r="O26" s="16">
        <f t="shared" si="6"/>
        <v>0</v>
      </c>
      <c r="P26" s="36">
        <f t="shared" si="11"/>
        <v>137479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3911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46528</v>
      </c>
      <c r="C27" s="16">
        <f t="shared" si="1"/>
        <v>0</v>
      </c>
      <c r="D27" s="36">
        <f t="shared" si="20"/>
        <v>40231</v>
      </c>
      <c r="E27" s="16">
        <f t="shared" si="2"/>
        <v>0</v>
      </c>
      <c r="F27" s="36">
        <f t="shared" si="21"/>
        <v>21247</v>
      </c>
      <c r="G27" s="16">
        <f t="shared" si="3"/>
        <v>0</v>
      </c>
      <c r="H27" s="36">
        <f t="shared" si="22"/>
        <v>253452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25792</v>
      </c>
      <c r="M27" s="16">
        <f t="shared" si="5"/>
        <v>0</v>
      </c>
      <c r="N27" s="36">
        <f t="shared" si="24"/>
        <v>221326</v>
      </c>
      <c r="O27" s="16">
        <f t="shared" si="6"/>
        <v>0</v>
      </c>
      <c r="P27" s="36">
        <f t="shared" si="11"/>
        <v>137479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3911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46528</v>
      </c>
      <c r="C28" s="16">
        <f t="shared" si="1"/>
        <v>0</v>
      </c>
      <c r="D28" s="36">
        <f t="shared" si="20"/>
        <v>40231</v>
      </c>
      <c r="E28" s="16">
        <f t="shared" si="2"/>
        <v>0</v>
      </c>
      <c r="F28" s="36">
        <f t="shared" si="21"/>
        <v>21247</v>
      </c>
      <c r="G28" s="16">
        <f t="shared" si="3"/>
        <v>0</v>
      </c>
      <c r="H28" s="36">
        <f t="shared" si="22"/>
        <v>253452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25792</v>
      </c>
      <c r="M28" s="16">
        <f t="shared" si="5"/>
        <v>0</v>
      </c>
      <c r="N28" s="36">
        <f t="shared" si="24"/>
        <v>221326</v>
      </c>
      <c r="O28" s="16">
        <f t="shared" si="6"/>
        <v>0</v>
      </c>
      <c r="P28" s="36">
        <f t="shared" si="11"/>
        <v>137479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3911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46528</v>
      </c>
      <c r="C29" s="16">
        <f t="shared" si="1"/>
        <v>0</v>
      </c>
      <c r="D29" s="36">
        <f t="shared" si="20"/>
        <v>40231</v>
      </c>
      <c r="E29" s="16">
        <f t="shared" si="2"/>
        <v>0</v>
      </c>
      <c r="F29" s="36">
        <f t="shared" si="21"/>
        <v>21247</v>
      </c>
      <c r="G29" s="16">
        <f t="shared" si="3"/>
        <v>0</v>
      </c>
      <c r="H29" s="36">
        <f t="shared" si="22"/>
        <v>253452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25792</v>
      </c>
      <c r="M29" s="16">
        <f t="shared" si="5"/>
        <v>0</v>
      </c>
      <c r="N29" s="36">
        <f t="shared" si="24"/>
        <v>221326</v>
      </c>
      <c r="O29" s="16">
        <f t="shared" si="6"/>
        <v>0</v>
      </c>
      <c r="P29" s="36">
        <f t="shared" si="11"/>
        <v>137479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3911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46528</v>
      </c>
      <c r="C30" s="16">
        <f t="shared" si="1"/>
        <v>0</v>
      </c>
      <c r="D30" s="36">
        <f t="shared" si="20"/>
        <v>40231</v>
      </c>
      <c r="E30" s="16">
        <f t="shared" si="2"/>
        <v>0</v>
      </c>
      <c r="F30" s="36">
        <f t="shared" si="21"/>
        <v>21247</v>
      </c>
      <c r="G30" s="16">
        <f t="shared" si="3"/>
        <v>0</v>
      </c>
      <c r="H30" s="36">
        <f t="shared" si="22"/>
        <v>253452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25792</v>
      </c>
      <c r="M30" s="16">
        <f t="shared" si="5"/>
        <v>0</v>
      </c>
      <c r="N30" s="36">
        <f t="shared" si="24"/>
        <v>221326</v>
      </c>
      <c r="O30" s="16">
        <f t="shared" si="6"/>
        <v>0</v>
      </c>
      <c r="P30" s="36">
        <f t="shared" si="11"/>
        <v>137479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3911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46528</v>
      </c>
      <c r="C31" s="16">
        <f t="shared" si="1"/>
        <v>0</v>
      </c>
      <c r="D31" s="36">
        <f t="shared" si="20"/>
        <v>40231</v>
      </c>
      <c r="E31" s="16">
        <f t="shared" si="2"/>
        <v>0</v>
      </c>
      <c r="F31" s="36">
        <f t="shared" si="21"/>
        <v>21247</v>
      </c>
      <c r="G31" s="16">
        <f t="shared" si="3"/>
        <v>0</v>
      </c>
      <c r="H31" s="36">
        <f t="shared" si="22"/>
        <v>253452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25792</v>
      </c>
      <c r="M31" s="16">
        <f t="shared" si="5"/>
        <v>0</v>
      </c>
      <c r="N31" s="36">
        <f t="shared" si="24"/>
        <v>221326</v>
      </c>
      <c r="O31" s="16">
        <f t="shared" si="6"/>
        <v>0</v>
      </c>
      <c r="P31" s="36">
        <f t="shared" si="11"/>
        <v>137479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3911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46528</v>
      </c>
      <c r="C32" s="16">
        <f t="shared" si="1"/>
        <v>0</v>
      </c>
      <c r="D32" s="36">
        <f t="shared" si="20"/>
        <v>40231</v>
      </c>
      <c r="E32" s="16">
        <f t="shared" si="2"/>
        <v>0</v>
      </c>
      <c r="F32" s="36">
        <f t="shared" si="21"/>
        <v>21247</v>
      </c>
      <c r="G32" s="16">
        <f t="shared" si="3"/>
        <v>0</v>
      </c>
      <c r="H32" s="36">
        <f t="shared" si="22"/>
        <v>253452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25792</v>
      </c>
      <c r="M32" s="16">
        <f t="shared" si="5"/>
        <v>0</v>
      </c>
      <c r="N32" s="36">
        <f t="shared" si="24"/>
        <v>221326</v>
      </c>
      <c r="O32" s="16">
        <f t="shared" si="6"/>
        <v>0</v>
      </c>
      <c r="P32" s="36">
        <f t="shared" si="11"/>
        <v>137479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3911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46528</v>
      </c>
      <c r="C33" s="16">
        <f t="shared" si="1"/>
        <v>0</v>
      </c>
      <c r="D33" s="36">
        <f t="shared" si="20"/>
        <v>40231</v>
      </c>
      <c r="E33" s="16">
        <f t="shared" si="2"/>
        <v>0</v>
      </c>
      <c r="F33" s="36">
        <f t="shared" si="21"/>
        <v>21247</v>
      </c>
      <c r="G33" s="16">
        <f t="shared" si="3"/>
        <v>0</v>
      </c>
      <c r="H33" s="36">
        <f t="shared" si="22"/>
        <v>253452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25792</v>
      </c>
      <c r="M33" s="16">
        <f t="shared" si="5"/>
        <v>0</v>
      </c>
      <c r="N33" s="36">
        <f t="shared" si="24"/>
        <v>221326</v>
      </c>
      <c r="O33" s="16">
        <f t="shared" si="6"/>
        <v>0</v>
      </c>
      <c r="P33" s="36">
        <f t="shared" si="11"/>
        <v>137479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3911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16640</v>
      </c>
      <c r="D34" s="13"/>
      <c r="E34" s="11">
        <f>SUM(E4:E33)</f>
        <v>9600</v>
      </c>
      <c r="F34" s="13"/>
      <c r="G34" s="11">
        <f>SUM(G4:G33)</f>
        <v>1580</v>
      </c>
      <c r="H34" s="13"/>
      <c r="I34" s="11">
        <f>SUM(I4:I33)</f>
        <v>336</v>
      </c>
      <c r="J34" s="13"/>
      <c r="K34" s="11">
        <f>SUM(K4:K33)</f>
        <v>0</v>
      </c>
      <c r="L34" s="13"/>
      <c r="M34" s="11">
        <f>SUM(M4:M33)</f>
        <v>9920</v>
      </c>
      <c r="N34" s="37"/>
      <c r="O34" s="11">
        <f>SUM(O4:O33)</f>
        <v>2436</v>
      </c>
      <c r="P34" s="13"/>
      <c r="Q34" s="11">
        <f>SUM(Q4:Q33)</f>
        <v>1097</v>
      </c>
      <c r="R34" s="1"/>
      <c r="S34" s="11">
        <f>SUM(S4:S33)</f>
        <v>0</v>
      </c>
      <c r="T34" s="1"/>
      <c r="U34" s="11">
        <f>SUM(U4:U33)</f>
        <v>3360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26" sqref="B26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v>205</v>
      </c>
      <c r="C20" s="150">
        <v>19305</v>
      </c>
      <c r="D20" s="43">
        <f t="shared" si="2"/>
        <v>160</v>
      </c>
      <c r="E20" s="151">
        <v>29556814</v>
      </c>
      <c r="F20" s="43">
        <f t="shared" si="3"/>
        <v>8425</v>
      </c>
      <c r="G20" s="152">
        <v>94086434</v>
      </c>
      <c r="H20" s="43">
        <f t="shared" si="4"/>
        <v>52849</v>
      </c>
      <c r="I20" s="157">
        <f t="shared" si="5"/>
        <v>61274</v>
      </c>
      <c r="J20" s="151">
        <v>9323982</v>
      </c>
      <c r="K20" s="134">
        <f t="shared" si="13"/>
        <v>11844</v>
      </c>
      <c r="L20" s="154">
        <v>9336451</v>
      </c>
      <c r="M20" s="134">
        <f t="shared" si="6"/>
        <v>6563</v>
      </c>
      <c r="N20" s="151">
        <v>6265843</v>
      </c>
      <c r="O20" s="134">
        <f t="shared" si="14"/>
        <v>1712</v>
      </c>
      <c r="P20" s="154">
        <v>5813284</v>
      </c>
      <c r="Q20" s="134">
        <f t="shared" si="7"/>
        <v>8497</v>
      </c>
      <c r="R20" s="151">
        <v>19920221</v>
      </c>
      <c r="S20" s="134">
        <f t="shared" si="8"/>
        <v>12372</v>
      </c>
      <c r="T20" s="158">
        <v>0</v>
      </c>
      <c r="U20" s="155"/>
      <c r="V20" s="151">
        <v>7812026</v>
      </c>
      <c r="W20" s="134">
        <f t="shared" si="9"/>
        <v>12351</v>
      </c>
      <c r="X20" s="21">
        <f t="shared" si="10"/>
        <v>53339</v>
      </c>
      <c r="Y20" s="159">
        <f t="shared" si="11"/>
        <v>7935</v>
      </c>
      <c r="Z20" s="160">
        <f t="shared" si="12"/>
        <v>7478.584401600001</v>
      </c>
      <c r="AA20" s="3">
        <f t="shared" si="15"/>
        <v>23372.208704000001</v>
      </c>
    </row>
    <row r="21" spans="1:27" s="135" customFormat="1" ht="16.5" thickBot="1" x14ac:dyDescent="0.3">
      <c r="A21" s="10">
        <v>44580</v>
      </c>
      <c r="B21" s="43">
        <v>264</v>
      </c>
      <c r="C21" s="150">
        <v>19307</v>
      </c>
      <c r="D21" s="43">
        <f t="shared" si="2"/>
        <v>320</v>
      </c>
      <c r="E21" s="151">
        <v>29562670</v>
      </c>
      <c r="F21" s="43">
        <f t="shared" si="3"/>
        <v>5856</v>
      </c>
      <c r="G21" s="152">
        <v>94124042</v>
      </c>
      <c r="H21" s="43">
        <f t="shared" si="4"/>
        <v>37608</v>
      </c>
      <c r="I21" s="157">
        <f t="shared" si="5"/>
        <v>43464</v>
      </c>
      <c r="J21" s="151">
        <v>9328341</v>
      </c>
      <c r="K21" s="134">
        <f t="shared" si="13"/>
        <v>8718</v>
      </c>
      <c r="L21" s="154">
        <v>9341055</v>
      </c>
      <c r="M21" s="134">
        <f t="shared" si="6"/>
        <v>4604</v>
      </c>
      <c r="N21" s="151">
        <v>6266411</v>
      </c>
      <c r="O21" s="134">
        <f t="shared" si="14"/>
        <v>1136</v>
      </c>
      <c r="P21" s="154">
        <v>5821888</v>
      </c>
      <c r="Q21" s="134">
        <f t="shared" si="7"/>
        <v>8604</v>
      </c>
      <c r="R21" s="151">
        <v>19929284</v>
      </c>
      <c r="S21" s="134">
        <f t="shared" si="8"/>
        <v>9063</v>
      </c>
      <c r="T21" s="158">
        <v>0</v>
      </c>
      <c r="U21" s="155"/>
      <c r="V21" s="151">
        <v>7820888</v>
      </c>
      <c r="W21" s="134">
        <f t="shared" si="9"/>
        <v>8862</v>
      </c>
      <c r="X21" s="21">
        <f t="shared" si="10"/>
        <v>40987</v>
      </c>
      <c r="Y21" s="159">
        <f t="shared" si="11"/>
        <v>2477</v>
      </c>
      <c r="Z21" s="160">
        <f t="shared" si="12"/>
        <v>5760.7102800000002</v>
      </c>
      <c r="AA21" s="3">
        <f t="shared" si="15"/>
        <v>24357.786190400002</v>
      </c>
    </row>
    <row r="22" spans="1:27" ht="16.5" thickBot="1" x14ac:dyDescent="0.3">
      <c r="A22" s="10">
        <v>44581</v>
      </c>
      <c r="B22" s="43">
        <f t="shared" si="16"/>
        <v>264</v>
      </c>
      <c r="C22" s="150">
        <v>19310</v>
      </c>
      <c r="D22" s="43">
        <f t="shared" si="2"/>
        <v>480</v>
      </c>
      <c r="E22" s="151">
        <v>29569978</v>
      </c>
      <c r="F22" s="43">
        <f t="shared" si="3"/>
        <v>7308</v>
      </c>
      <c r="G22" s="152">
        <v>94175393</v>
      </c>
      <c r="H22" s="43">
        <f t="shared" si="4"/>
        <v>51351</v>
      </c>
      <c r="I22" s="153">
        <f t="shared" si="5"/>
        <v>58659</v>
      </c>
      <c r="J22" s="151">
        <v>9333554</v>
      </c>
      <c r="K22" s="43">
        <f t="shared" si="13"/>
        <v>10426</v>
      </c>
      <c r="L22" s="154">
        <v>9346790</v>
      </c>
      <c r="M22" s="43">
        <f t="shared" si="6"/>
        <v>5735</v>
      </c>
      <c r="N22" s="151">
        <v>6267128</v>
      </c>
      <c r="O22" s="43">
        <f t="shared" si="14"/>
        <v>1434</v>
      </c>
      <c r="P22" s="154">
        <v>5826118</v>
      </c>
      <c r="Q22" s="43">
        <f t="shared" si="7"/>
        <v>4230</v>
      </c>
      <c r="R22" s="151">
        <v>19941336</v>
      </c>
      <c r="S22" s="43">
        <f t="shared" si="8"/>
        <v>12052</v>
      </c>
      <c r="T22" s="151">
        <v>0</v>
      </c>
      <c r="U22" s="155"/>
      <c r="V22" s="151">
        <v>7833708</v>
      </c>
      <c r="W22" s="43">
        <f t="shared" si="9"/>
        <v>12820</v>
      </c>
      <c r="X22" s="21">
        <f t="shared" si="10"/>
        <v>46697</v>
      </c>
      <c r="Y22" s="156">
        <f t="shared" si="11"/>
        <v>11962</v>
      </c>
      <c r="Z22" s="3">
        <f t="shared" si="12"/>
        <v>6856.7784064000007</v>
      </c>
      <c r="AA22" s="3">
        <f t="shared" si="15"/>
        <v>25066.4619504</v>
      </c>
    </row>
    <row r="23" spans="1:27" ht="16.5" thickBot="1" x14ac:dyDescent="0.3">
      <c r="A23" s="10">
        <v>44582</v>
      </c>
      <c r="B23" s="43">
        <v>143</v>
      </c>
      <c r="C23" s="150">
        <v>19313</v>
      </c>
      <c r="D23" s="43">
        <f t="shared" si="2"/>
        <v>480</v>
      </c>
      <c r="E23" s="151">
        <v>29576175</v>
      </c>
      <c r="F23" s="43">
        <f t="shared" si="3"/>
        <v>6197</v>
      </c>
      <c r="G23" s="152">
        <v>94215391</v>
      </c>
      <c r="H23" s="43">
        <f t="shared" si="4"/>
        <v>39998</v>
      </c>
      <c r="I23" s="153">
        <f t="shared" si="5"/>
        <v>46195</v>
      </c>
      <c r="J23" s="151">
        <v>9337190</v>
      </c>
      <c r="K23" s="43">
        <f t="shared" si="13"/>
        <v>7272</v>
      </c>
      <c r="L23" s="154">
        <v>9351434</v>
      </c>
      <c r="M23" s="43">
        <f t="shared" si="6"/>
        <v>4644</v>
      </c>
      <c r="N23" s="151">
        <v>6267836</v>
      </c>
      <c r="O23" s="43">
        <f t="shared" si="14"/>
        <v>1416</v>
      </c>
      <c r="P23" s="154">
        <v>5832046</v>
      </c>
      <c r="Q23" s="43">
        <f t="shared" si="7"/>
        <v>5928</v>
      </c>
      <c r="R23" s="151">
        <v>19950772</v>
      </c>
      <c r="S23" s="43">
        <f t="shared" si="8"/>
        <v>9436</v>
      </c>
      <c r="T23" s="151">
        <v>0</v>
      </c>
      <c r="U23" s="155"/>
      <c r="V23" s="151">
        <v>7843535</v>
      </c>
      <c r="W23" s="43">
        <f t="shared" si="9"/>
        <v>9827</v>
      </c>
      <c r="X23" s="21">
        <f t="shared" si="10"/>
        <v>38523</v>
      </c>
      <c r="Y23" s="156">
        <f t="shared" si="11"/>
        <v>7672</v>
      </c>
      <c r="Z23" s="3">
        <f t="shared" si="12"/>
        <v>5738.5990895999994</v>
      </c>
      <c r="AA23" s="3">
        <f t="shared" si="15"/>
        <v>25834.672177600001</v>
      </c>
    </row>
    <row r="24" spans="1:27" ht="16.5" thickBot="1" x14ac:dyDescent="0.3">
      <c r="A24" s="10">
        <v>44583</v>
      </c>
      <c r="B24" s="43">
        <v>209</v>
      </c>
      <c r="C24" s="150">
        <v>19315</v>
      </c>
      <c r="D24" s="43">
        <f t="shared" si="2"/>
        <v>320</v>
      </c>
      <c r="E24" s="151">
        <v>29581718</v>
      </c>
      <c r="F24" s="43">
        <f t="shared" si="3"/>
        <v>5543</v>
      </c>
      <c r="G24" s="152">
        <v>94252053</v>
      </c>
      <c r="H24" s="43">
        <f t="shared" si="4"/>
        <v>36662</v>
      </c>
      <c r="I24" s="153">
        <f t="shared" si="5"/>
        <v>42205</v>
      </c>
      <c r="J24" s="151">
        <v>9340897</v>
      </c>
      <c r="K24" s="43">
        <f t="shared" si="13"/>
        <v>7414</v>
      </c>
      <c r="L24" s="154">
        <v>9355675</v>
      </c>
      <c r="M24" s="43">
        <f t="shared" si="6"/>
        <v>4241</v>
      </c>
      <c r="N24" s="151">
        <v>6268469</v>
      </c>
      <c r="O24" s="43">
        <f t="shared" si="14"/>
        <v>1266</v>
      </c>
      <c r="P24" s="154">
        <v>5837908</v>
      </c>
      <c r="Q24" s="43">
        <f t="shared" si="7"/>
        <v>5862</v>
      </c>
      <c r="R24" s="151">
        <v>19959334</v>
      </c>
      <c r="S24" s="43">
        <f t="shared" si="8"/>
        <v>8562</v>
      </c>
      <c r="T24" s="151">
        <v>0</v>
      </c>
      <c r="U24" s="155"/>
      <c r="V24" s="151">
        <v>7852380</v>
      </c>
      <c r="W24" s="43">
        <f t="shared" si="9"/>
        <v>8845</v>
      </c>
      <c r="X24" s="21">
        <f t="shared" si="10"/>
        <v>36190</v>
      </c>
      <c r="Y24" s="156">
        <f t="shared" si="11"/>
        <v>6015</v>
      </c>
      <c r="Z24" s="3">
        <f t="shared" si="12"/>
        <v>5256.8497903999996</v>
      </c>
      <c r="AA24" s="3">
        <f t="shared" si="15"/>
        <v>23612.9375664</v>
      </c>
    </row>
    <row r="25" spans="1:27" ht="16.5" thickBot="1" x14ac:dyDescent="0.3">
      <c r="A25" s="10">
        <v>44584</v>
      </c>
      <c r="B25" s="43">
        <v>193</v>
      </c>
      <c r="C25" s="150">
        <v>19315</v>
      </c>
      <c r="D25" s="43">
        <f t="shared" si="2"/>
        <v>0</v>
      </c>
      <c r="E25" s="151">
        <v>29592815</v>
      </c>
      <c r="F25" s="43">
        <f t="shared" si="3"/>
        <v>11097</v>
      </c>
      <c r="G25" s="152">
        <v>94296571</v>
      </c>
      <c r="H25" s="43">
        <f t="shared" si="4"/>
        <v>44518</v>
      </c>
      <c r="I25" s="153">
        <f t="shared" si="5"/>
        <v>55615</v>
      </c>
      <c r="J25" s="151">
        <v>9346141</v>
      </c>
      <c r="K25" s="43">
        <f t="shared" si="13"/>
        <v>10488</v>
      </c>
      <c r="L25" s="154">
        <v>9361371</v>
      </c>
      <c r="M25" s="43">
        <f t="shared" si="6"/>
        <v>5696</v>
      </c>
      <c r="N25" s="151">
        <v>6271064</v>
      </c>
      <c r="O25" s="43">
        <f t="shared" si="14"/>
        <v>5190</v>
      </c>
      <c r="P25" s="154">
        <v>5841304</v>
      </c>
      <c r="Q25" s="43">
        <f t="shared" si="7"/>
        <v>3396</v>
      </c>
      <c r="R25" s="151">
        <v>19970646</v>
      </c>
      <c r="S25" s="43">
        <f t="shared" si="8"/>
        <v>11312</v>
      </c>
      <c r="T25" s="151">
        <v>0</v>
      </c>
      <c r="U25" s="155"/>
      <c r="V25" s="151">
        <v>7864022</v>
      </c>
      <c r="W25" s="43">
        <f t="shared" si="9"/>
        <v>11642</v>
      </c>
      <c r="X25" s="21">
        <f t="shared" si="10"/>
        <v>47724</v>
      </c>
      <c r="Y25" s="156">
        <f t="shared" si="11"/>
        <v>7891</v>
      </c>
      <c r="Z25" s="3">
        <f t="shared" si="12"/>
        <v>6814.2627488000007</v>
      </c>
      <c r="AA25" s="3">
        <f t="shared" si="15"/>
        <v>24666.4900352</v>
      </c>
    </row>
    <row r="26" spans="1:27" ht="16.5" thickBot="1" x14ac:dyDescent="0.3">
      <c r="A26" s="10">
        <v>44585</v>
      </c>
      <c r="B26" s="43">
        <f t="shared" si="16"/>
        <v>193</v>
      </c>
      <c r="C26" s="150"/>
      <c r="D26" s="43">
        <f t="shared" si="2"/>
        <v>0</v>
      </c>
      <c r="E26" s="151"/>
      <c r="F26" s="43" t="str">
        <f t="shared" si="3"/>
        <v>0</v>
      </c>
      <c r="G26" s="152"/>
      <c r="H26" s="43" t="str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 t="str">
        <f t="shared" si="6"/>
        <v>0</v>
      </c>
      <c r="N26" s="151">
        <f t="shared" ref="N25:N33" si="30">N25</f>
        <v>6271064</v>
      </c>
      <c r="O26" s="43">
        <f t="shared" si="14"/>
        <v>0</v>
      </c>
      <c r="P26" s="154">
        <f t="shared" ref="P25:P33" si="31">P25</f>
        <v>5841304</v>
      </c>
      <c r="Q26" s="43">
        <f t="shared" si="7"/>
        <v>0</v>
      </c>
      <c r="R26" s="151">
        <f t="shared" ref="R25:R33" si="32">R25</f>
        <v>19970646</v>
      </c>
      <c r="S26" s="43">
        <f t="shared" si="8"/>
        <v>0</v>
      </c>
      <c r="T26" s="151">
        <v>0</v>
      </c>
      <c r="U26" s="155"/>
      <c r="V26" s="151">
        <f t="shared" ref="V25:V33" si="33">V25</f>
        <v>7864022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17809.7116288</v>
      </c>
    </row>
    <row r="27" spans="1:27" ht="16.5" thickBot="1" x14ac:dyDescent="0.3">
      <c r="A27" s="10">
        <v>44586</v>
      </c>
      <c r="B27" s="43">
        <f t="shared" si="16"/>
        <v>193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6271064</v>
      </c>
      <c r="O27" s="43">
        <f t="shared" si="14"/>
        <v>0</v>
      </c>
      <c r="P27" s="154">
        <f t="shared" si="31"/>
        <v>5841304</v>
      </c>
      <c r="Q27" s="43">
        <f t="shared" si="7"/>
        <v>0</v>
      </c>
      <c r="R27" s="151">
        <f t="shared" si="32"/>
        <v>19970646</v>
      </c>
      <c r="S27" s="43">
        <f t="shared" si="8"/>
        <v>0</v>
      </c>
      <c r="T27" s="151">
        <v>0</v>
      </c>
      <c r="U27" s="155"/>
      <c r="V27" s="151">
        <f t="shared" si="33"/>
        <v>7864022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12071.112539199999</v>
      </c>
    </row>
    <row r="28" spans="1:27" ht="16.5" thickBot="1" x14ac:dyDescent="0.3">
      <c r="A28" s="10">
        <v>44587</v>
      </c>
      <c r="B28" s="43">
        <f t="shared" si="16"/>
        <v>193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6271064</v>
      </c>
      <c r="O28" s="43">
        <f t="shared" si="14"/>
        <v>0</v>
      </c>
      <c r="P28" s="154">
        <f t="shared" si="31"/>
        <v>5841304</v>
      </c>
      <c r="Q28" s="43">
        <f t="shared" si="7"/>
        <v>0</v>
      </c>
      <c r="R28" s="151">
        <f t="shared" si="32"/>
        <v>19970646</v>
      </c>
      <c r="S28" s="43">
        <f t="shared" si="8"/>
        <v>0</v>
      </c>
      <c r="T28" s="151">
        <v>0</v>
      </c>
      <c r="U28" s="155"/>
      <c r="V28" s="151">
        <f t="shared" si="33"/>
        <v>7864022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6814.2627488000007</v>
      </c>
    </row>
    <row r="29" spans="1:27" ht="16.5" thickBot="1" x14ac:dyDescent="0.3">
      <c r="A29" s="10">
        <v>44588</v>
      </c>
      <c r="B29" s="43">
        <f t="shared" si="16"/>
        <v>193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6271064</v>
      </c>
      <c r="O29" s="43">
        <f t="shared" si="14"/>
        <v>0</v>
      </c>
      <c r="P29" s="154">
        <f t="shared" si="31"/>
        <v>5841304</v>
      </c>
      <c r="Q29" s="43">
        <f t="shared" si="7"/>
        <v>0</v>
      </c>
      <c r="R29" s="151">
        <f t="shared" si="32"/>
        <v>19970646</v>
      </c>
      <c r="S29" s="43">
        <f t="shared" si="8"/>
        <v>0</v>
      </c>
      <c r="T29" s="151">
        <v>0</v>
      </c>
      <c r="U29" s="155"/>
      <c r="V29" s="151">
        <f t="shared" si="33"/>
        <v>7864022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193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6271064</v>
      </c>
      <c r="O30" s="43">
        <f t="shared" si="14"/>
        <v>0</v>
      </c>
      <c r="P30" s="154">
        <f t="shared" si="31"/>
        <v>5841304</v>
      </c>
      <c r="Q30" s="43">
        <f t="shared" si="7"/>
        <v>0</v>
      </c>
      <c r="R30" s="151">
        <f t="shared" si="32"/>
        <v>19970646</v>
      </c>
      <c r="S30" s="43">
        <f t="shared" si="8"/>
        <v>0</v>
      </c>
      <c r="T30" s="151">
        <v>0</v>
      </c>
      <c r="U30" s="155"/>
      <c r="V30" s="151">
        <f t="shared" si="33"/>
        <v>7864022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193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6271064</v>
      </c>
      <c r="O31" s="43">
        <f t="shared" si="14"/>
        <v>0</v>
      </c>
      <c r="P31" s="154">
        <f t="shared" si="31"/>
        <v>5841304</v>
      </c>
      <c r="Q31" s="43">
        <f t="shared" si="7"/>
        <v>0</v>
      </c>
      <c r="R31" s="151">
        <f t="shared" si="32"/>
        <v>19970646</v>
      </c>
      <c r="S31" s="43">
        <f t="shared" si="8"/>
        <v>0</v>
      </c>
      <c r="T31" s="151">
        <v>0</v>
      </c>
      <c r="U31" s="11"/>
      <c r="V31" s="151">
        <f t="shared" si="33"/>
        <v>7864022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193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6271064</v>
      </c>
      <c r="O32" s="43">
        <f t="shared" si="14"/>
        <v>0</v>
      </c>
      <c r="P32" s="154">
        <f t="shared" si="31"/>
        <v>5841304</v>
      </c>
      <c r="Q32" s="43">
        <f t="shared" si="7"/>
        <v>0</v>
      </c>
      <c r="R32" s="151">
        <f t="shared" si="32"/>
        <v>19970646</v>
      </c>
      <c r="S32" s="43">
        <f t="shared" si="8"/>
        <v>0</v>
      </c>
      <c r="T32" s="151">
        <v>0</v>
      </c>
      <c r="U32" s="11"/>
      <c r="V32" s="151">
        <f t="shared" si="33"/>
        <v>7864022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193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6271064</v>
      </c>
      <c r="O33" s="43">
        <f t="shared" si="14"/>
        <v>0</v>
      </c>
      <c r="P33" s="154">
        <f t="shared" si="31"/>
        <v>5841304</v>
      </c>
      <c r="Q33" s="43">
        <f t="shared" si="7"/>
        <v>0</v>
      </c>
      <c r="R33" s="151">
        <f t="shared" si="32"/>
        <v>19970646</v>
      </c>
      <c r="S33" s="43">
        <f t="shared" si="8"/>
        <v>0</v>
      </c>
      <c r="T33" s="151">
        <v>0</v>
      </c>
      <c r="U33" s="11"/>
      <c r="V33" s="151">
        <f t="shared" si="33"/>
        <v>7864022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6067</v>
      </c>
      <c r="C34" s="142"/>
      <c r="D34" s="142">
        <f>SUM(D3:D33)</f>
        <v>8320</v>
      </c>
      <c r="E34" s="60">
        <v>0</v>
      </c>
      <c r="F34" s="60">
        <f>SUM(F3:F33)</f>
        <v>198489</v>
      </c>
      <c r="G34" s="60">
        <v>0</v>
      </c>
      <c r="H34" s="60">
        <f>SUM(H3:H33)</f>
        <v>920049</v>
      </c>
      <c r="I34" s="60">
        <f>SUM(I6:I33)</f>
        <v>968434</v>
      </c>
      <c r="J34" s="60">
        <v>0</v>
      </c>
      <c r="K34" s="60">
        <f>SUM(K3:K33)</f>
        <v>204062</v>
      </c>
      <c r="L34" s="60">
        <v>0</v>
      </c>
      <c r="M34" s="60">
        <f>SUM(M3:M33)</f>
        <v>119442</v>
      </c>
      <c r="N34" s="60">
        <v>0</v>
      </c>
      <c r="O34" s="60">
        <f>SUM(O3:O33)</f>
        <v>75980</v>
      </c>
      <c r="P34" s="60">
        <v>0</v>
      </c>
      <c r="Q34" s="60">
        <f>SUM(Q3:Q33)</f>
        <v>108153</v>
      </c>
      <c r="R34" s="60">
        <v>0</v>
      </c>
      <c r="S34" s="60">
        <f>SUM(S3:S33)</f>
        <v>224254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229945</v>
      </c>
      <c r="X34" s="60">
        <f>SUM(X6:X33)</f>
        <v>832779</v>
      </c>
      <c r="Y34" s="60">
        <f>SUM(Y3:Y33)</f>
        <v>156702</v>
      </c>
      <c r="Z34" s="60">
        <f>SUM(Z3:Z33)</f>
        <v>136897.56726880002</v>
      </c>
      <c r="AA34" s="60">
        <f>SUM(AA3:AA33)</f>
        <v>541659.27169120009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25" sqref="J2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v>437402</v>
      </c>
      <c r="C20" s="43">
        <f t="shared" si="8"/>
        <v>730</v>
      </c>
      <c r="D20" s="3">
        <v>2284</v>
      </c>
      <c r="E20" s="43">
        <f t="shared" si="3"/>
        <v>410</v>
      </c>
      <c r="F20" s="3">
        <v>7562100</v>
      </c>
      <c r="G20" s="43">
        <f t="shared" si="6"/>
        <v>267.3</v>
      </c>
      <c r="H20" s="3">
        <v>769414</v>
      </c>
      <c r="I20" s="48">
        <f t="shared" si="7"/>
        <v>4.968</v>
      </c>
      <c r="J20" s="21">
        <f t="shared" si="4"/>
        <v>1412.268</v>
      </c>
      <c r="K20" s="22">
        <f t="shared" si="5"/>
        <v>8275.89048</v>
      </c>
    </row>
    <row r="21" spans="1:25" ht="16.5" thickBot="1" x14ac:dyDescent="0.3">
      <c r="A21" s="10">
        <v>44580</v>
      </c>
      <c r="B21" s="3">
        <v>437483</v>
      </c>
      <c r="C21" s="43">
        <f t="shared" si="8"/>
        <v>810</v>
      </c>
      <c r="D21" s="3">
        <v>2327</v>
      </c>
      <c r="E21" s="43">
        <f t="shared" si="3"/>
        <v>430</v>
      </c>
      <c r="F21" s="3">
        <v>7572600</v>
      </c>
      <c r="G21" s="43">
        <f t="shared" si="6"/>
        <v>283.5</v>
      </c>
      <c r="H21" s="3">
        <v>769602</v>
      </c>
      <c r="I21" s="48">
        <f t="shared" si="7"/>
        <v>5.0759999999999996</v>
      </c>
      <c r="J21" s="21">
        <f t="shared" si="4"/>
        <v>1528.576</v>
      </c>
      <c r="K21" s="22">
        <f t="shared" si="5"/>
        <v>8957.4553599999999</v>
      </c>
    </row>
    <row r="22" spans="1:25" ht="16.5" thickBot="1" x14ac:dyDescent="0.3">
      <c r="A22" s="10">
        <v>44581</v>
      </c>
      <c r="B22" s="3">
        <v>437564</v>
      </c>
      <c r="C22" s="43">
        <f t="shared" si="8"/>
        <v>810</v>
      </c>
      <c r="D22" s="3">
        <v>2370</v>
      </c>
      <c r="E22" s="43">
        <f t="shared" si="3"/>
        <v>430</v>
      </c>
      <c r="F22" s="3">
        <v>7583100</v>
      </c>
      <c r="G22" s="43">
        <f t="shared" si="6"/>
        <v>283.5</v>
      </c>
      <c r="H22" s="3">
        <v>769790</v>
      </c>
      <c r="I22" s="48">
        <f t="shared" si="7"/>
        <v>5.0759999999999996</v>
      </c>
      <c r="J22" s="21">
        <f t="shared" si="4"/>
        <v>1528.576</v>
      </c>
      <c r="K22" s="22">
        <f t="shared" si="5"/>
        <v>8957.4553599999999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v>437643</v>
      </c>
      <c r="C23" s="43">
        <f t="shared" si="8"/>
        <v>790</v>
      </c>
      <c r="D23" s="3">
        <v>2419</v>
      </c>
      <c r="E23" s="43">
        <f t="shared" si="3"/>
        <v>490</v>
      </c>
      <c r="F23" s="3">
        <v>7593100</v>
      </c>
      <c r="G23" s="43">
        <f t="shared" si="6"/>
        <v>270</v>
      </c>
      <c r="H23" s="3">
        <v>769940</v>
      </c>
      <c r="I23" s="48">
        <f t="shared" si="7"/>
        <v>4.05</v>
      </c>
      <c r="J23" s="21">
        <f t="shared" si="4"/>
        <v>1554.05</v>
      </c>
      <c r="K23" s="22">
        <f t="shared" si="5"/>
        <v>9106.7330000000002</v>
      </c>
      <c r="Q23" t="s">
        <v>12</v>
      </c>
    </row>
    <row r="24" spans="1:25" ht="16.5" thickBot="1" x14ac:dyDescent="0.3">
      <c r="A24" s="10">
        <v>44583</v>
      </c>
      <c r="B24" s="3">
        <v>437723</v>
      </c>
      <c r="C24" s="43">
        <f t="shared" si="8"/>
        <v>800</v>
      </c>
      <c r="D24" s="3">
        <v>2465</v>
      </c>
      <c r="E24" s="43">
        <f t="shared" si="3"/>
        <v>460</v>
      </c>
      <c r="F24" s="3">
        <v>7602400</v>
      </c>
      <c r="G24" s="43">
        <f t="shared" si="6"/>
        <v>251.1</v>
      </c>
      <c r="H24" s="3">
        <v>770133</v>
      </c>
      <c r="I24" s="48">
        <f t="shared" si="7"/>
        <v>5.2110000000000003</v>
      </c>
      <c r="J24" s="21">
        <f t="shared" si="4"/>
        <v>1516.3109999999999</v>
      </c>
      <c r="K24" s="22">
        <f t="shared" si="5"/>
        <v>8885.5824599999996</v>
      </c>
    </row>
    <row r="25" spans="1:25" ht="17.25" customHeight="1" thickBot="1" x14ac:dyDescent="0.4">
      <c r="A25" s="10">
        <v>44584</v>
      </c>
      <c r="B25" s="3">
        <v>437802</v>
      </c>
      <c r="C25" s="43">
        <f t="shared" si="8"/>
        <v>790</v>
      </c>
      <c r="D25" s="3">
        <v>2507</v>
      </c>
      <c r="E25" s="43">
        <f t="shared" si="3"/>
        <v>420</v>
      </c>
      <c r="F25" s="3">
        <v>7611400</v>
      </c>
      <c r="G25" s="43">
        <f t="shared" si="6"/>
        <v>243</v>
      </c>
      <c r="H25" s="3">
        <v>770332</v>
      </c>
      <c r="I25" s="48">
        <f t="shared" si="7"/>
        <v>5.3730000000000002</v>
      </c>
      <c r="J25" s="21">
        <f t="shared" si="4"/>
        <v>1458.373</v>
      </c>
      <c r="K25" s="22">
        <f t="shared" si="5"/>
        <v>8546.0657800000008</v>
      </c>
      <c r="Y25" s="59"/>
    </row>
    <row r="26" spans="1:25" ht="16.5" thickBot="1" x14ac:dyDescent="0.3">
      <c r="A26" s="10">
        <v>44585</v>
      </c>
      <c r="B26" s="3">
        <f t="shared" ref="B25:B33" si="9">B25</f>
        <v>437802</v>
      </c>
      <c r="C26" s="43">
        <f t="shared" si="8"/>
        <v>0</v>
      </c>
      <c r="D26" s="3">
        <f t="shared" ref="D25:D33" si="10">D25</f>
        <v>2507</v>
      </c>
      <c r="E26" s="43">
        <f t="shared" si="3"/>
        <v>0</v>
      </c>
      <c r="F26" s="3">
        <f t="shared" ref="F25:F33" si="11">F25</f>
        <v>7611400</v>
      </c>
      <c r="G26" s="43">
        <f t="shared" si="6"/>
        <v>0</v>
      </c>
      <c r="H26" s="3">
        <f t="shared" ref="H25:H33" si="12">H25</f>
        <v>770332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437802</v>
      </c>
      <c r="C27" s="43">
        <f t="shared" si="8"/>
        <v>0</v>
      </c>
      <c r="D27" s="3">
        <f t="shared" si="10"/>
        <v>2507</v>
      </c>
      <c r="E27" s="43">
        <f t="shared" si="3"/>
        <v>0</v>
      </c>
      <c r="F27" s="3">
        <f t="shared" si="11"/>
        <v>7611400</v>
      </c>
      <c r="G27" s="43">
        <f t="shared" si="6"/>
        <v>0</v>
      </c>
      <c r="H27" s="3">
        <f t="shared" si="12"/>
        <v>770332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437802</v>
      </c>
      <c r="C28" s="43">
        <f t="shared" si="8"/>
        <v>0</v>
      </c>
      <c r="D28" s="3">
        <f t="shared" si="10"/>
        <v>2507</v>
      </c>
      <c r="E28" s="43">
        <f t="shared" si="3"/>
        <v>0</v>
      </c>
      <c r="F28" s="3">
        <f t="shared" si="11"/>
        <v>7611400</v>
      </c>
      <c r="G28" s="43">
        <f t="shared" si="6"/>
        <v>0</v>
      </c>
      <c r="H28" s="3">
        <f t="shared" si="12"/>
        <v>770332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437802</v>
      </c>
      <c r="C29" s="43">
        <f t="shared" si="8"/>
        <v>0</v>
      </c>
      <c r="D29" s="3">
        <f t="shared" si="10"/>
        <v>2507</v>
      </c>
      <c r="E29" s="43">
        <f t="shared" si="3"/>
        <v>0</v>
      </c>
      <c r="F29" s="3">
        <f t="shared" si="11"/>
        <v>7611400</v>
      </c>
      <c r="G29" s="43">
        <f t="shared" si="6"/>
        <v>0</v>
      </c>
      <c r="H29" s="3">
        <f t="shared" si="12"/>
        <v>770332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437802</v>
      </c>
      <c r="C30" s="43">
        <f t="shared" si="8"/>
        <v>0</v>
      </c>
      <c r="D30" s="3">
        <f t="shared" si="10"/>
        <v>2507</v>
      </c>
      <c r="E30" s="43">
        <f t="shared" si="3"/>
        <v>0</v>
      </c>
      <c r="F30" s="3">
        <f t="shared" si="11"/>
        <v>7611400</v>
      </c>
      <c r="G30" s="43">
        <f t="shared" si="6"/>
        <v>0</v>
      </c>
      <c r="H30" s="3">
        <f t="shared" si="12"/>
        <v>770332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437802</v>
      </c>
      <c r="C31" s="43">
        <f t="shared" si="8"/>
        <v>0</v>
      </c>
      <c r="D31" s="3">
        <f t="shared" si="10"/>
        <v>2507</v>
      </c>
      <c r="E31" s="43">
        <f t="shared" si="3"/>
        <v>0</v>
      </c>
      <c r="F31" s="3">
        <f t="shared" si="11"/>
        <v>7611400</v>
      </c>
      <c r="G31" s="43">
        <f t="shared" si="6"/>
        <v>0</v>
      </c>
      <c r="H31" s="3">
        <f t="shared" si="12"/>
        <v>770332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437802</v>
      </c>
      <c r="C32" s="43">
        <f t="shared" si="8"/>
        <v>0</v>
      </c>
      <c r="D32" s="3">
        <f t="shared" si="10"/>
        <v>2507</v>
      </c>
      <c r="E32" s="43">
        <f t="shared" si="3"/>
        <v>0</v>
      </c>
      <c r="F32" s="3">
        <f t="shared" si="11"/>
        <v>7611400</v>
      </c>
      <c r="G32" s="43">
        <f t="shared" si="6"/>
        <v>0</v>
      </c>
      <c r="H32" s="3">
        <f t="shared" si="12"/>
        <v>770332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437802</v>
      </c>
      <c r="C33" s="43">
        <f t="shared" si="8"/>
        <v>0</v>
      </c>
      <c r="D33" s="3">
        <f t="shared" si="10"/>
        <v>2507</v>
      </c>
      <c r="E33" s="43">
        <f t="shared" si="3"/>
        <v>0</v>
      </c>
      <c r="F33" s="3">
        <f t="shared" si="11"/>
        <v>7611400</v>
      </c>
      <c r="G33" s="43">
        <f t="shared" si="6"/>
        <v>0</v>
      </c>
      <c r="H33" s="3">
        <f t="shared" si="12"/>
        <v>770332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19300</v>
      </c>
      <c r="D34" s="3"/>
      <c r="E34" s="60">
        <f>SUM(E4:E33)</f>
        <v>11630</v>
      </c>
      <c r="F34" s="3"/>
      <c r="G34" s="60">
        <f>SUM(G4:G33)</f>
        <v>5907.6</v>
      </c>
      <c r="H34" s="3"/>
      <c r="I34" s="60">
        <f>SUM(I4:I33)</f>
        <v>108.24300000000001</v>
      </c>
      <c r="J34" s="60">
        <f>SUM(J4:J33)</f>
        <v>36945.843000000008</v>
      </c>
      <c r="K34" s="60">
        <f>SUM(K4:K33)</f>
        <v>216502.63998000001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25" sqref="C2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v>17925898</v>
      </c>
      <c r="C20" s="49">
        <f t="shared" si="0"/>
        <v>2516</v>
      </c>
    </row>
    <row r="21" spans="1:9" ht="24" thickBot="1" x14ac:dyDescent="0.4">
      <c r="A21" s="10">
        <v>44580</v>
      </c>
      <c r="B21" s="137">
        <v>17931056</v>
      </c>
      <c r="C21" s="49">
        <f t="shared" si="0"/>
        <v>5158</v>
      </c>
    </row>
    <row r="22" spans="1:9" ht="24" thickBot="1" x14ac:dyDescent="0.4">
      <c r="A22" s="10">
        <v>44581</v>
      </c>
      <c r="B22" s="137">
        <v>17934779</v>
      </c>
      <c r="C22" s="49">
        <f t="shared" si="0"/>
        <v>3723</v>
      </c>
    </row>
    <row r="23" spans="1:9" ht="24" thickBot="1" x14ac:dyDescent="0.4">
      <c r="A23" s="10">
        <v>44582</v>
      </c>
      <c r="B23" s="137">
        <v>17937599</v>
      </c>
      <c r="C23" s="49">
        <f t="shared" si="0"/>
        <v>2820</v>
      </c>
      <c r="F23" t="s">
        <v>12</v>
      </c>
    </row>
    <row r="24" spans="1:9" ht="24" thickBot="1" x14ac:dyDescent="0.4">
      <c r="A24" s="10">
        <v>44583</v>
      </c>
      <c r="B24" s="137">
        <v>17941905</v>
      </c>
      <c r="C24" s="49">
        <f t="shared" si="0"/>
        <v>4306</v>
      </c>
      <c r="E24" t="s">
        <v>12</v>
      </c>
    </row>
    <row r="25" spans="1:9" ht="24" thickBot="1" x14ac:dyDescent="0.4">
      <c r="A25" s="10">
        <v>44584</v>
      </c>
      <c r="B25" s="137">
        <v>17945715</v>
      </c>
      <c r="C25" s="49">
        <f t="shared" si="0"/>
        <v>3810</v>
      </c>
    </row>
    <row r="26" spans="1:9" ht="24" thickBot="1" x14ac:dyDescent="0.4">
      <c r="A26" s="10">
        <v>44585</v>
      </c>
      <c r="B26" s="137">
        <f t="shared" ref="B25:B33" si="1">B25</f>
        <v>17945715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17945715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17945715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17945715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17945715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17945715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17945715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17945715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72193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AF26" sqref="AF26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v>22823.999</v>
      </c>
      <c r="C20" s="48">
        <f t="shared" si="23"/>
        <v>1.6039999999993597</v>
      </c>
      <c r="D20" s="32">
        <f t="shared" si="24"/>
        <v>3047.5999999987835</v>
      </c>
      <c r="E20" s="1">
        <v>4093.8890000000001</v>
      </c>
      <c r="F20" s="48">
        <f t="shared" si="25"/>
        <v>0.4839999999999236</v>
      </c>
      <c r="G20" s="32">
        <f t="shared" si="26"/>
        <v>919.59999999985473</v>
      </c>
      <c r="H20" s="1">
        <v>4631</v>
      </c>
      <c r="I20" s="48">
        <f t="shared" si="27"/>
        <v>4</v>
      </c>
      <c r="J20" s="32">
        <f t="shared" si="28"/>
        <v>7600</v>
      </c>
      <c r="K20" s="7">
        <v>13889.7</v>
      </c>
      <c r="L20" s="48">
        <f t="shared" si="29"/>
        <v>0</v>
      </c>
      <c r="M20" s="32">
        <f t="shared" si="30"/>
        <v>0</v>
      </c>
      <c r="N20" s="7">
        <v>3389.2660000000001</v>
      </c>
      <c r="O20" s="48">
        <f t="shared" si="31"/>
        <v>1.0329999999999018</v>
      </c>
      <c r="P20" s="32">
        <f t="shared" si="32"/>
        <v>1962.6999999998134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7.1209999999991851</v>
      </c>
      <c r="U20" s="34">
        <f t="shared" si="35"/>
        <v>13529.89999999845</v>
      </c>
      <c r="W20" s="162">
        <v>44579</v>
      </c>
      <c r="X20" s="163">
        <v>163898</v>
      </c>
      <c r="Y20" s="169">
        <f t="shared" si="39"/>
        <v>80</v>
      </c>
      <c r="Z20" s="163">
        <v>8327</v>
      </c>
      <c r="AA20" s="169">
        <f t="shared" si="44"/>
        <v>9</v>
      </c>
      <c r="AB20" s="163">
        <v>19.420000000000002</v>
      </c>
      <c r="AC20" s="169">
        <f t="shared" si="46"/>
        <v>0</v>
      </c>
      <c r="AD20" s="163">
        <v>136</v>
      </c>
      <c r="AE20" s="169">
        <v>2</v>
      </c>
      <c r="AF20" s="163">
        <v>5451</v>
      </c>
      <c r="AG20" s="169">
        <f t="shared" si="38"/>
        <v>18</v>
      </c>
    </row>
    <row r="21" spans="1:33" ht="16.5" thickBot="1" x14ac:dyDescent="0.25">
      <c r="A21" s="10">
        <v>44580</v>
      </c>
      <c r="B21" s="165">
        <v>22826.005000000001</v>
      </c>
      <c r="C21" s="48">
        <f t="shared" si="23"/>
        <v>2.0060000000012224</v>
      </c>
      <c r="D21" s="32">
        <f t="shared" si="24"/>
        <v>3811.4000000023225</v>
      </c>
      <c r="E21" s="1">
        <v>4094.6190000000001</v>
      </c>
      <c r="F21" s="48">
        <f t="shared" si="25"/>
        <v>0.73000000000001819</v>
      </c>
      <c r="G21" s="32">
        <f t="shared" si="26"/>
        <v>1387.0000000000343</v>
      </c>
      <c r="H21" s="1">
        <v>4636</v>
      </c>
      <c r="I21" s="48">
        <f t="shared" si="27"/>
        <v>5</v>
      </c>
      <c r="J21" s="32">
        <f t="shared" si="28"/>
        <v>9500</v>
      </c>
      <c r="K21" s="7">
        <v>13889.7</v>
      </c>
      <c r="L21" s="48">
        <f t="shared" si="29"/>
        <v>0</v>
      </c>
      <c r="M21" s="32">
        <f t="shared" si="30"/>
        <v>0</v>
      </c>
      <c r="N21" s="7">
        <v>3390.5189999999998</v>
      </c>
      <c r="O21" s="48">
        <f t="shared" si="31"/>
        <v>1.2529999999997017</v>
      </c>
      <c r="P21" s="32">
        <f t="shared" si="32"/>
        <v>2380.6999999994327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8.9890000000009422</v>
      </c>
      <c r="U21" s="34">
        <f t="shared" si="35"/>
        <v>17079.100000001792</v>
      </c>
      <c r="W21" s="162">
        <v>44580</v>
      </c>
      <c r="X21" s="163">
        <v>163899</v>
      </c>
      <c r="Y21" s="169">
        <f t="shared" si="39"/>
        <v>1</v>
      </c>
      <c r="Z21" s="163">
        <v>8332</v>
      </c>
      <c r="AA21" s="169">
        <f t="shared" si="44"/>
        <v>5</v>
      </c>
      <c r="AB21" s="163">
        <f t="shared" si="43"/>
        <v>19.420000000000002</v>
      </c>
      <c r="AC21" s="169">
        <f t="shared" si="46"/>
        <v>0</v>
      </c>
      <c r="AD21" s="163">
        <v>140</v>
      </c>
      <c r="AE21" s="169">
        <f t="shared" si="37"/>
        <v>4</v>
      </c>
      <c r="AF21" s="163">
        <v>5469</v>
      </c>
      <c r="AG21" s="169">
        <f t="shared" si="38"/>
        <v>18</v>
      </c>
    </row>
    <row r="22" spans="1:33" ht="16.5" thickBot="1" x14ac:dyDescent="0.25">
      <c r="A22" s="10">
        <v>44581</v>
      </c>
      <c r="B22" s="165">
        <v>22827.526999999998</v>
      </c>
      <c r="C22" s="48">
        <f t="shared" si="23"/>
        <v>1.521999999997206</v>
      </c>
      <c r="D22" s="32">
        <f t="shared" si="24"/>
        <v>2891.7999999946915</v>
      </c>
      <c r="E22" s="1">
        <v>4094.9870000000001</v>
      </c>
      <c r="F22" s="48">
        <f t="shared" si="25"/>
        <v>0.36799999999993815</v>
      </c>
      <c r="G22" s="32">
        <f t="shared" si="26"/>
        <v>699.19999999988249</v>
      </c>
      <c r="H22" s="1">
        <v>4640</v>
      </c>
      <c r="I22" s="48">
        <f t="shared" si="27"/>
        <v>4</v>
      </c>
      <c r="J22" s="32">
        <f t="shared" si="28"/>
        <v>7600</v>
      </c>
      <c r="K22" s="7">
        <v>13889.7</v>
      </c>
      <c r="L22" s="48">
        <f t="shared" si="29"/>
        <v>0</v>
      </c>
      <c r="M22" s="32">
        <f t="shared" si="30"/>
        <v>0</v>
      </c>
      <c r="N22" s="7">
        <v>3391.4549999999999</v>
      </c>
      <c r="O22" s="48">
        <f t="shared" si="31"/>
        <v>0.93600000000014916</v>
      </c>
      <c r="P22" s="32">
        <f t="shared" si="32"/>
        <v>1778.4000000002834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6.8259999999972933</v>
      </c>
      <c r="U22" s="34">
        <f t="shared" si="35"/>
        <v>12969.399999994856</v>
      </c>
      <c r="W22" s="162">
        <v>44581</v>
      </c>
      <c r="X22" s="163">
        <v>163906</v>
      </c>
      <c r="Y22" s="169">
        <f t="shared" si="39"/>
        <v>7</v>
      </c>
      <c r="Z22" s="163">
        <v>8333</v>
      </c>
      <c r="AA22" s="169">
        <f t="shared" si="44"/>
        <v>1</v>
      </c>
      <c r="AB22" s="163">
        <v>19.54</v>
      </c>
      <c r="AC22" s="169">
        <f t="shared" si="46"/>
        <v>0.11999999999999744</v>
      </c>
      <c r="AD22" s="163">
        <v>143</v>
      </c>
      <c r="AE22" s="169">
        <f t="shared" si="37"/>
        <v>3</v>
      </c>
      <c r="AF22" s="163">
        <v>5481</v>
      </c>
      <c r="AG22" s="169">
        <f t="shared" si="38"/>
        <v>12</v>
      </c>
    </row>
    <row r="23" spans="1:33" ht="16.5" thickBot="1" x14ac:dyDescent="0.25">
      <c r="A23" s="10">
        <v>44582</v>
      </c>
      <c r="B23" s="165">
        <v>22829.080999999998</v>
      </c>
      <c r="C23" s="48">
        <f t="shared" si="23"/>
        <v>1.5540000000000873</v>
      </c>
      <c r="D23" s="32">
        <f t="shared" si="24"/>
        <v>2952.6000000001654</v>
      </c>
      <c r="E23" s="1">
        <v>4095.2689999999998</v>
      </c>
      <c r="F23" s="48">
        <f t="shared" si="25"/>
        <v>0.28199999999969805</v>
      </c>
      <c r="G23" s="32">
        <f t="shared" si="26"/>
        <v>535.79999999942629</v>
      </c>
      <c r="H23" s="1">
        <v>4644</v>
      </c>
      <c r="I23" s="48">
        <f t="shared" si="27"/>
        <v>4</v>
      </c>
      <c r="J23" s="32">
        <f t="shared" si="28"/>
        <v>7600</v>
      </c>
      <c r="K23" s="7">
        <v>13889.7</v>
      </c>
      <c r="L23" s="48">
        <f t="shared" si="29"/>
        <v>0</v>
      </c>
      <c r="M23" s="32">
        <f t="shared" si="30"/>
        <v>0</v>
      </c>
      <c r="N23" s="7">
        <v>3392.3969999999999</v>
      </c>
      <c r="O23" s="48">
        <f t="shared" si="31"/>
        <v>0.94200000000000728</v>
      </c>
      <c r="P23" s="32">
        <f t="shared" si="32"/>
        <v>1789.8000000000138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6.7779999999997926</v>
      </c>
      <c r="U23" s="34">
        <f t="shared" si="35"/>
        <v>12878.199999999606</v>
      </c>
      <c r="W23" s="162">
        <v>44582</v>
      </c>
      <c r="X23" s="163">
        <v>163920</v>
      </c>
      <c r="Y23" s="169">
        <f t="shared" si="39"/>
        <v>14</v>
      </c>
      <c r="Z23" s="163">
        <v>8336</v>
      </c>
      <c r="AA23" s="169">
        <f t="shared" si="44"/>
        <v>3</v>
      </c>
      <c r="AB23" s="163">
        <f t="shared" si="43"/>
        <v>19.54</v>
      </c>
      <c r="AC23" s="169">
        <f t="shared" si="46"/>
        <v>0</v>
      </c>
      <c r="AD23" s="163">
        <v>147</v>
      </c>
      <c r="AE23" s="169">
        <f t="shared" si="37"/>
        <v>4</v>
      </c>
      <c r="AF23" s="163">
        <f t="shared" si="64"/>
        <v>5481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v>22831.205000000002</v>
      </c>
      <c r="C24" s="48">
        <f t="shared" si="23"/>
        <v>2.1240000000034343</v>
      </c>
      <c r="D24" s="32">
        <f t="shared" si="24"/>
        <v>4035.6000000065251</v>
      </c>
      <c r="E24" s="1">
        <v>4095.5880000000002</v>
      </c>
      <c r="F24" s="48">
        <f t="shared" si="25"/>
        <v>0.31900000000041473</v>
      </c>
      <c r="G24" s="32">
        <f t="shared" si="26"/>
        <v>606.10000000078799</v>
      </c>
      <c r="H24" s="1">
        <v>4649</v>
      </c>
      <c r="I24" s="48">
        <f t="shared" si="27"/>
        <v>5</v>
      </c>
      <c r="J24" s="32">
        <f t="shared" si="28"/>
        <v>9500</v>
      </c>
      <c r="K24" s="7">
        <v>13889.7</v>
      </c>
      <c r="L24" s="48">
        <f t="shared" si="29"/>
        <v>0</v>
      </c>
      <c r="M24" s="32">
        <f t="shared" si="30"/>
        <v>0</v>
      </c>
      <c r="N24" s="7">
        <v>3393.4459999999999</v>
      </c>
      <c r="O24" s="48">
        <f t="shared" si="31"/>
        <v>1.0489999999999782</v>
      </c>
      <c r="P24" s="32">
        <f t="shared" si="32"/>
        <v>1993.0999999999583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8.4920000000038272</v>
      </c>
      <c r="U24" s="34">
        <f t="shared" si="35"/>
        <v>16134.800000007272</v>
      </c>
      <c r="W24" s="162">
        <v>44583</v>
      </c>
      <c r="X24" s="163">
        <v>163942</v>
      </c>
      <c r="Y24" s="169">
        <f t="shared" si="39"/>
        <v>22</v>
      </c>
      <c r="Z24" s="163">
        <v>8339</v>
      </c>
      <c r="AA24" s="169">
        <f t="shared" si="44"/>
        <v>3</v>
      </c>
      <c r="AB24" s="163">
        <f t="shared" si="43"/>
        <v>19.54</v>
      </c>
      <c r="AC24" s="169">
        <f t="shared" si="46"/>
        <v>0</v>
      </c>
      <c r="AD24" s="163">
        <v>149</v>
      </c>
      <c r="AE24" s="169">
        <f t="shared" si="37"/>
        <v>2</v>
      </c>
      <c r="AF24" s="163">
        <v>5519</v>
      </c>
      <c r="AG24" s="169">
        <f t="shared" si="38"/>
        <v>38</v>
      </c>
    </row>
    <row r="25" spans="1:33" ht="16.5" thickBot="1" x14ac:dyDescent="0.25">
      <c r="A25" s="10">
        <v>44584</v>
      </c>
      <c r="B25" s="165">
        <v>22833.771000000001</v>
      </c>
      <c r="C25" s="48">
        <f t="shared" si="23"/>
        <v>2.5659999999988941</v>
      </c>
      <c r="D25" s="32">
        <f t="shared" si="24"/>
        <v>4875.3999999978987</v>
      </c>
      <c r="E25" s="1">
        <v>4096.1719999999996</v>
      </c>
      <c r="F25" s="48">
        <f t="shared" si="25"/>
        <v>0.58399999999937791</v>
      </c>
      <c r="G25" s="32">
        <f t="shared" si="26"/>
        <v>1109.599999998818</v>
      </c>
      <c r="H25" s="1">
        <v>4654</v>
      </c>
      <c r="I25" s="48">
        <f t="shared" si="27"/>
        <v>5</v>
      </c>
      <c r="J25" s="32">
        <f t="shared" si="28"/>
        <v>9500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v>3394.6559999999999</v>
      </c>
      <c r="O25" s="48">
        <f t="shared" si="31"/>
        <v>1.2100000000000364</v>
      </c>
      <c r="P25" s="32">
        <f t="shared" si="32"/>
        <v>2299.0000000000691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9.3599999999983083</v>
      </c>
      <c r="U25" s="34">
        <f t="shared" si="35"/>
        <v>17783.999999996784</v>
      </c>
      <c r="W25" s="162">
        <v>44584</v>
      </c>
      <c r="X25" s="163">
        <v>163974</v>
      </c>
      <c r="Y25" s="169">
        <f t="shared" si="39"/>
        <v>32</v>
      </c>
      <c r="Z25" s="163">
        <v>8345</v>
      </c>
      <c r="AA25" s="169">
        <f t="shared" si="44"/>
        <v>6</v>
      </c>
      <c r="AB25" s="163">
        <v>19.54</v>
      </c>
      <c r="AC25" s="169">
        <f t="shared" si="46"/>
        <v>0</v>
      </c>
      <c r="AD25" s="163">
        <v>151</v>
      </c>
      <c r="AE25" s="169">
        <f t="shared" si="37"/>
        <v>2</v>
      </c>
      <c r="AF25" s="163">
        <f t="shared" si="64"/>
        <v>5519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ref="B25:B33" si="65">B25</f>
        <v>22833.771000000001</v>
      </c>
      <c r="C26" s="48">
        <f t="shared" si="23"/>
        <v>0</v>
      </c>
      <c r="D26" s="32">
        <f t="shared" si="24"/>
        <v>0</v>
      </c>
      <c r="E26" s="1">
        <f t="shared" ref="E25:E33" si="66">E25</f>
        <v>4096.1719999999996</v>
      </c>
      <c r="F26" s="48">
        <f t="shared" si="25"/>
        <v>0</v>
      </c>
      <c r="G26" s="32">
        <f t="shared" si="26"/>
        <v>0</v>
      </c>
      <c r="H26" s="1">
        <f t="shared" ref="H25:H33" si="67">H25</f>
        <v>4654</v>
      </c>
      <c r="I26" s="48">
        <f t="shared" si="27"/>
        <v>0</v>
      </c>
      <c r="J26" s="32">
        <f t="shared" si="28"/>
        <v>0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f t="shared" ref="N25:N33" si="68">N25</f>
        <v>3394.6559999999999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ref="X25:X33" si="69">X25</f>
        <v>163974</v>
      </c>
      <c r="Y26" s="169">
        <f t="shared" si="39"/>
        <v>0</v>
      </c>
      <c r="Z26" s="163">
        <f t="shared" ref="Z25:Z33" si="70">Z25</f>
        <v>8345</v>
      </c>
      <c r="AA26" s="169">
        <f t="shared" si="44"/>
        <v>0</v>
      </c>
      <c r="AB26" s="163">
        <f t="shared" si="43"/>
        <v>19.54</v>
      </c>
      <c r="AC26" s="169">
        <f t="shared" si="46"/>
        <v>0</v>
      </c>
      <c r="AD26" s="163">
        <f t="shared" si="45"/>
        <v>151</v>
      </c>
      <c r="AE26" s="169">
        <f t="shared" si="37"/>
        <v>0</v>
      </c>
      <c r="AF26" s="163">
        <v>5531</v>
      </c>
      <c r="AG26" s="169">
        <f t="shared" si="38"/>
        <v>12</v>
      </c>
    </row>
    <row r="27" spans="1:33" ht="16.5" thickBot="1" x14ac:dyDescent="0.25">
      <c r="A27" s="10">
        <v>44586</v>
      </c>
      <c r="B27" s="165">
        <f t="shared" si="65"/>
        <v>22833.771000000001</v>
      </c>
      <c r="C27" s="48">
        <f t="shared" si="23"/>
        <v>0</v>
      </c>
      <c r="D27" s="32">
        <f t="shared" si="24"/>
        <v>0</v>
      </c>
      <c r="E27" s="1">
        <f t="shared" si="66"/>
        <v>4096.1719999999996</v>
      </c>
      <c r="F27" s="48">
        <f t="shared" si="25"/>
        <v>0</v>
      </c>
      <c r="G27" s="32">
        <f t="shared" si="26"/>
        <v>0</v>
      </c>
      <c r="H27" s="1">
        <f t="shared" si="67"/>
        <v>4654</v>
      </c>
      <c r="I27" s="48">
        <f t="shared" si="27"/>
        <v>0</v>
      </c>
      <c r="J27" s="32">
        <f t="shared" si="28"/>
        <v>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f t="shared" si="68"/>
        <v>3394.6559999999999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9"/>
        <v>163974</v>
      </c>
      <c r="Y27" s="169">
        <f t="shared" si="39"/>
        <v>0</v>
      </c>
      <c r="Z27" s="163">
        <f t="shared" si="70"/>
        <v>8345</v>
      </c>
      <c r="AA27" s="169">
        <f t="shared" si="44"/>
        <v>0</v>
      </c>
      <c r="AB27" s="163">
        <f t="shared" si="43"/>
        <v>19.54</v>
      </c>
      <c r="AC27" s="169">
        <f t="shared" si="46"/>
        <v>0</v>
      </c>
      <c r="AD27" s="163">
        <f t="shared" si="45"/>
        <v>151</v>
      </c>
      <c r="AE27" s="169">
        <f t="shared" si="37"/>
        <v>0</v>
      </c>
      <c r="AF27" s="163">
        <f t="shared" si="64"/>
        <v>5531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5"/>
        <v>22833.771000000001</v>
      </c>
      <c r="C28" s="48">
        <f t="shared" si="23"/>
        <v>0</v>
      </c>
      <c r="D28" s="32">
        <f t="shared" si="24"/>
        <v>0</v>
      </c>
      <c r="E28" s="1">
        <f t="shared" si="66"/>
        <v>4096.1719999999996</v>
      </c>
      <c r="F28" s="48">
        <f t="shared" si="25"/>
        <v>0</v>
      </c>
      <c r="G28" s="32">
        <f t="shared" si="26"/>
        <v>0</v>
      </c>
      <c r="H28" s="1">
        <f t="shared" si="67"/>
        <v>4654</v>
      </c>
      <c r="I28" s="48">
        <f t="shared" si="27"/>
        <v>0</v>
      </c>
      <c r="J28" s="32">
        <f t="shared" si="28"/>
        <v>0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f t="shared" si="68"/>
        <v>3394.6559999999999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9"/>
        <v>163974</v>
      </c>
      <c r="Y28" s="169">
        <f t="shared" si="39"/>
        <v>0</v>
      </c>
      <c r="Z28" s="163">
        <f t="shared" si="70"/>
        <v>8345</v>
      </c>
      <c r="AA28" s="169">
        <f t="shared" si="44"/>
        <v>0</v>
      </c>
      <c r="AB28" s="163">
        <f t="shared" si="43"/>
        <v>19.54</v>
      </c>
      <c r="AC28" s="169">
        <f t="shared" si="46"/>
        <v>0</v>
      </c>
      <c r="AD28" s="163">
        <f t="shared" si="45"/>
        <v>151</v>
      </c>
      <c r="AE28" s="169">
        <f t="shared" si="37"/>
        <v>0</v>
      </c>
      <c r="AF28" s="163">
        <f t="shared" si="64"/>
        <v>5531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5"/>
        <v>22833.771000000001</v>
      </c>
      <c r="C29" s="48">
        <f t="shared" si="23"/>
        <v>0</v>
      </c>
      <c r="D29" s="32">
        <f t="shared" si="24"/>
        <v>0</v>
      </c>
      <c r="E29" s="1">
        <f t="shared" si="66"/>
        <v>4096.1719999999996</v>
      </c>
      <c r="F29" s="48">
        <f t="shared" si="25"/>
        <v>0</v>
      </c>
      <c r="G29" s="32">
        <f t="shared" si="26"/>
        <v>0</v>
      </c>
      <c r="H29" s="1">
        <f t="shared" si="67"/>
        <v>4654</v>
      </c>
      <c r="I29" s="48">
        <f t="shared" si="27"/>
        <v>0</v>
      </c>
      <c r="J29" s="32">
        <f t="shared" si="28"/>
        <v>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f t="shared" si="68"/>
        <v>3394.6559999999999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9"/>
        <v>163974</v>
      </c>
      <c r="Y29" s="169">
        <f t="shared" si="39"/>
        <v>0</v>
      </c>
      <c r="Z29" s="163">
        <f t="shared" si="70"/>
        <v>8345</v>
      </c>
      <c r="AA29" s="169">
        <f t="shared" si="44"/>
        <v>0</v>
      </c>
      <c r="AB29" s="163">
        <f t="shared" si="43"/>
        <v>19.54</v>
      </c>
      <c r="AC29" s="169">
        <f t="shared" si="46"/>
        <v>0</v>
      </c>
      <c r="AD29" s="163">
        <f t="shared" si="45"/>
        <v>151</v>
      </c>
      <c r="AE29" s="169">
        <f t="shared" si="37"/>
        <v>0</v>
      </c>
      <c r="AF29" s="163">
        <f t="shared" si="64"/>
        <v>5531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5"/>
        <v>22833.771000000001</v>
      </c>
      <c r="C30" s="48">
        <f t="shared" si="23"/>
        <v>0</v>
      </c>
      <c r="D30" s="32">
        <f t="shared" si="24"/>
        <v>0</v>
      </c>
      <c r="E30" s="1">
        <f t="shared" si="66"/>
        <v>4096.1719999999996</v>
      </c>
      <c r="F30" s="48">
        <f t="shared" si="25"/>
        <v>0</v>
      </c>
      <c r="G30" s="32">
        <f t="shared" si="26"/>
        <v>0</v>
      </c>
      <c r="H30" s="1">
        <f t="shared" si="67"/>
        <v>4654</v>
      </c>
      <c r="I30" s="48">
        <f t="shared" si="27"/>
        <v>0</v>
      </c>
      <c r="J30" s="32">
        <f t="shared" si="28"/>
        <v>0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f t="shared" si="68"/>
        <v>3394.6559999999999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9"/>
        <v>163974</v>
      </c>
      <c r="Y30" s="169">
        <f t="shared" si="39"/>
        <v>0</v>
      </c>
      <c r="Z30" s="163">
        <f t="shared" si="70"/>
        <v>8345</v>
      </c>
      <c r="AA30" s="169">
        <f>Z30-Z29</f>
        <v>0</v>
      </c>
      <c r="AB30" s="163">
        <f t="shared" si="43"/>
        <v>19.54</v>
      </c>
      <c r="AC30" s="169">
        <f t="shared" si="46"/>
        <v>0</v>
      </c>
      <c r="AD30" s="163">
        <f t="shared" si="45"/>
        <v>151</v>
      </c>
      <c r="AE30" s="169">
        <f t="shared" si="37"/>
        <v>0</v>
      </c>
      <c r="AF30" s="163">
        <f t="shared" si="64"/>
        <v>5531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5"/>
        <v>22833.771000000001</v>
      </c>
      <c r="C31" s="48">
        <f t="shared" si="23"/>
        <v>0</v>
      </c>
      <c r="D31" s="32">
        <f t="shared" si="24"/>
        <v>0</v>
      </c>
      <c r="E31" s="1">
        <f t="shared" si="66"/>
        <v>4096.1719999999996</v>
      </c>
      <c r="F31" s="48">
        <f t="shared" si="25"/>
        <v>0</v>
      </c>
      <c r="G31" s="32">
        <f t="shared" si="26"/>
        <v>0</v>
      </c>
      <c r="H31" s="1">
        <f t="shared" si="67"/>
        <v>4654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si="68"/>
        <v>3394.6559999999999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9"/>
        <v>163974</v>
      </c>
      <c r="Y31" s="169">
        <f t="shared" si="39"/>
        <v>0</v>
      </c>
      <c r="Z31" s="163">
        <f t="shared" si="70"/>
        <v>8345</v>
      </c>
      <c r="AA31" s="169">
        <f t="shared" si="44"/>
        <v>0</v>
      </c>
      <c r="AB31" s="163">
        <f t="shared" si="43"/>
        <v>19.54</v>
      </c>
      <c r="AC31" s="169">
        <f t="shared" si="46"/>
        <v>0</v>
      </c>
      <c r="AD31" s="163">
        <f t="shared" si="45"/>
        <v>151</v>
      </c>
      <c r="AE31" s="169">
        <f t="shared" si="37"/>
        <v>0</v>
      </c>
      <c r="AF31" s="163">
        <f t="shared" si="64"/>
        <v>5531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22833.771000000001</v>
      </c>
      <c r="C32" s="48">
        <f t="shared" si="23"/>
        <v>0</v>
      </c>
      <c r="D32" s="32">
        <f t="shared" si="24"/>
        <v>0</v>
      </c>
      <c r="E32" s="1">
        <f t="shared" si="66"/>
        <v>4096.1719999999996</v>
      </c>
      <c r="F32" s="48">
        <f t="shared" si="25"/>
        <v>0</v>
      </c>
      <c r="G32" s="32">
        <f t="shared" si="26"/>
        <v>0</v>
      </c>
      <c r="H32" s="1">
        <f t="shared" si="67"/>
        <v>4654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3394.6559999999999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163974</v>
      </c>
      <c r="Y32" s="169">
        <f t="shared" si="39"/>
        <v>0</v>
      </c>
      <c r="Z32" s="163">
        <f t="shared" si="70"/>
        <v>8345</v>
      </c>
      <c r="AA32" s="169">
        <f t="shared" si="44"/>
        <v>0</v>
      </c>
      <c r="AB32" s="163">
        <f t="shared" si="43"/>
        <v>19.54</v>
      </c>
      <c r="AC32" s="169">
        <v>0</v>
      </c>
      <c r="AD32" s="163">
        <f t="shared" si="45"/>
        <v>151</v>
      </c>
      <c r="AE32" s="169">
        <f t="shared" si="37"/>
        <v>0</v>
      </c>
      <c r="AF32" s="163">
        <f t="shared" si="64"/>
        <v>5531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22833.771000000001</v>
      </c>
      <c r="C33" s="48">
        <f t="shared" si="23"/>
        <v>0</v>
      </c>
      <c r="D33" s="32">
        <f t="shared" si="24"/>
        <v>0</v>
      </c>
      <c r="E33" s="1">
        <f t="shared" si="66"/>
        <v>4096.1719999999996</v>
      </c>
      <c r="F33" s="48">
        <f t="shared" si="25"/>
        <v>0</v>
      </c>
      <c r="G33" s="32">
        <f t="shared" si="26"/>
        <v>0</v>
      </c>
      <c r="H33" s="1">
        <f t="shared" si="67"/>
        <v>4654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3394.6559999999999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163974</v>
      </c>
      <c r="Y33" s="169">
        <f t="shared" si="39"/>
        <v>0</v>
      </c>
      <c r="Z33" s="163">
        <f t="shared" si="70"/>
        <v>8345</v>
      </c>
      <c r="AA33" s="169">
        <f t="shared" si="44"/>
        <v>0</v>
      </c>
      <c r="AB33" s="163">
        <f t="shared" si="43"/>
        <v>19.54</v>
      </c>
      <c r="AC33" s="169">
        <v>0</v>
      </c>
      <c r="AD33" s="163">
        <f t="shared" si="45"/>
        <v>151</v>
      </c>
      <c r="AE33" s="169">
        <f t="shared" si="37"/>
        <v>0</v>
      </c>
      <c r="AF33" s="163">
        <f t="shared" si="64"/>
        <v>5531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45.681000000000495</v>
      </c>
      <c r="D34" s="142">
        <f>SUM(D3:D33)</f>
        <v>90903.600000001825</v>
      </c>
      <c r="E34" s="142">
        <v>0</v>
      </c>
      <c r="F34" s="142">
        <f>SUM(F3:F33)</f>
        <v>12.27199999999948</v>
      </c>
      <c r="G34" s="142">
        <f>SUM(G3:G33)</f>
        <v>23316.799999999006</v>
      </c>
      <c r="H34" s="142"/>
      <c r="I34" s="142">
        <f>SUM(I3:I33)</f>
        <v>101</v>
      </c>
      <c r="J34" s="142">
        <f>SUM(J3:J33)</f>
        <v>191900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48746.399999999907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194.94200000000137</v>
      </c>
      <c r="U34" s="142">
        <f>SUM(U3:U33)</f>
        <v>370389.80000000255</v>
      </c>
      <c r="V34"/>
      <c r="W34" s="142" t="s">
        <v>143</v>
      </c>
      <c r="X34" s="142"/>
      <c r="Y34" s="142">
        <f>SUM(Y5:Y33)</f>
        <v>553</v>
      </c>
      <c r="Z34" s="142"/>
      <c r="AA34" s="142">
        <f>SUM(AA5:AA33)</f>
        <v>94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2022-01-23T23:08:59Z</dcterms:modified>
</cp:coreProperties>
</file>