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689" documentId="13_ncr:1_{76C55D63-F869-4AF5-AAA3-3D809A91432B}" xr6:coauthVersionLast="47" xr6:coauthVersionMax="47" xr10:uidLastSave="{79CAE12C-0244-4A0D-9E08-513C96225C93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1" i="27" l="1"/>
  <c r="J10" i="27"/>
  <c r="J9" i="27"/>
  <c r="J8" i="27"/>
  <c r="J7" i="27"/>
  <c r="J5" i="27"/>
  <c r="J6" i="27"/>
  <c r="L37" i="27"/>
  <c r="L36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<sst xmlns="http://schemas.openxmlformats.org/spreadsheetml/2006/main" count="72" uniqueCount="33">
  <si>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</si>
  <si>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</si>
  <si>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</si>
  <si>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</si>
  <si>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</si>
  <si>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</si>
  <si>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</si>
  <si>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</si>
  <si>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</si>
  <si>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</si>
  <si>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</si>
  <si>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</si>
  <si>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</si>
  <si>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</si>
  <si>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</si>
  <si>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July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</si>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</sst>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0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4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7</v>
      </c>
      <c r="D2" s="10">
        <v>2022</v>
      </c>
      <c r="E2" s="11">
        <f>IF(Electricity!F8&lt;0,0,Electricity!F8)</f>
        <v>23100.000000004002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1569</v>
      </c>
      <c r="J2" s="83">
        <v>0.21186441</v>
      </c>
      <c r="K2" s="11">
        <f>IF('Water, Gas, Diesel'!F6&lt;0,0,'Water, Gas, Diesel'!F6)</f>
        <v>282</v>
      </c>
      <c r="L2" s="83">
        <v>1.6949000000000001</v>
      </c>
      <c r="M2" s="11">
        <f>Electricity!H8</f>
        <v>141</v>
      </c>
      <c r="O2" s="107"/>
    </row>
    <row r="3" spans="1:15">
      <c r="A3" s="8" t="s">
        <v>13</v>
      </c>
      <c r="B3" s="9">
        <f>B2+1</f>
        <v>2</v>
      </c>
      <c r="C3" s="9">
        <v>7</v>
      </c>
      <c r="D3" s="10">
        <v>2022</v>
      </c>
      <c r="E3" s="11">
        <f>IF(Electricity!F9&lt;0,0,Electricity!F9)</f>
        <v>22249.999999999091</v>
      </c>
      <c r="F3" s="83">
        <v>9.3200000000000005E-2</v>
      </c>
      <c r="G3" s="11">
        <f>IF('Water, Gas, Diesel'!K7&lt;0,0,'Water, Gas, Diesel'!K7)</f>
        <v>210</v>
      </c>
      <c r="H3" s="83">
        <v>0.7</v>
      </c>
      <c r="I3" s="11">
        <f>IF('Water, Gas, Diesel'!C7&lt;0,0,'Water, Gas, Diesel'!C7)</f>
        <v>1549</v>
      </c>
      <c r="J3" s="83">
        <v>0.21186441</v>
      </c>
      <c r="K3" s="11">
        <f>IF('Water, Gas, Diesel'!F7&lt;0,0,'Water, Gas, Diesel'!F7)</f>
        <v>226</v>
      </c>
      <c r="L3" s="83">
        <v>1.6949000000000001</v>
      </c>
      <c r="M3" s="11">
        <f>Electricity!H9</f>
        <v>108</v>
      </c>
    </row>
    <row r="4" spans="1:15">
      <c r="A4" s="8" t="s">
        <v>13</v>
      </c>
      <c r="B4" s="9">
        <f t="shared" ref="B4:B32" si="0">B3+1</f>
        <v>3</v>
      </c>
      <c r="C4" s="9">
        <v>7</v>
      </c>
      <c r="D4" s="10">
        <v>2022</v>
      </c>
      <c r="E4" s="11">
        <f>IF(Electricity!F10&lt;0,0,Electricity!F10)</f>
        <v>22027.499999994689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1541</v>
      </c>
      <c r="J4" s="83">
        <v>0.21186441</v>
      </c>
      <c r="K4" s="11">
        <f>IF('Water, Gas, Diesel'!F8&lt;0,0,'Water, Gas, Diesel'!F8)</f>
        <v>209</v>
      </c>
      <c r="L4" s="83">
        <v>1.6949000000000001</v>
      </c>
      <c r="M4" s="11">
        <f>Electricity!H10</f>
        <v>82</v>
      </c>
    </row>
    <row r="5" spans="1:15">
      <c r="A5" s="8" t="s">
        <v>13</v>
      </c>
      <c r="B5" s="9">
        <f t="shared" si="0"/>
        <v>4</v>
      </c>
      <c r="C5" s="9">
        <v>7</v>
      </c>
      <c r="D5" s="10">
        <v>2022</v>
      </c>
      <c r="E5" s="11">
        <f>IF(Electricity!F11&lt;0,0,Electricity!F11)</f>
        <v>17885.000000001128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1316</v>
      </c>
      <c r="J5" s="83">
        <v>0.21186441</v>
      </c>
      <c r="K5" s="11">
        <f>IF('Water, Gas, Diesel'!F9&lt;0,0,'Water, Gas, Diesel'!F9)</f>
        <v>227</v>
      </c>
      <c r="L5" s="83">
        <v>1.6949000000000001</v>
      </c>
      <c r="M5" s="11">
        <f>Electricity!H11</f>
        <v>95</v>
      </c>
    </row>
    <row r="6" spans="1:15">
      <c r="A6" s="8" t="s">
        <v>13</v>
      </c>
      <c r="B6" s="9">
        <f t="shared" si="0"/>
        <v>5</v>
      </c>
      <c r="C6" s="9">
        <v>7</v>
      </c>
      <c r="D6" s="10">
        <v>2022</v>
      </c>
      <c r="E6" s="11">
        <f>IF(Electricity!F12&lt;0,0,Electricity!F12)</f>
        <v>26849.999999999454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1519</v>
      </c>
      <c r="J6" s="83">
        <v>0.21186441</v>
      </c>
      <c r="K6" s="11">
        <f>IF('Water, Gas, Diesel'!F10&lt;0,0,'Water, Gas, Diesel'!F10)</f>
        <v>213</v>
      </c>
      <c r="L6" s="83">
        <v>1.6949000000000001</v>
      </c>
      <c r="M6" s="11">
        <f>Electricity!H12</f>
        <v>98</v>
      </c>
    </row>
    <row r="7" spans="1:15">
      <c r="A7" s="8" t="s">
        <v>13</v>
      </c>
      <c r="B7" s="9">
        <f t="shared" si="0"/>
        <v>6</v>
      </c>
      <c r="C7" s="9">
        <v>7</v>
      </c>
      <c r="D7" s="10">
        <v>2022</v>
      </c>
      <c r="E7" s="11">
        <f>IF(Electricity!F13&lt;0,0,Electricity!F13)</f>
        <v>0</v>
      </c>
      <c r="F7" s="83">
        <v>9.3200000000000005E-2</v>
      </c>
      <c r="G7" s="11">
        <f>IF('Water, Gas, Diesel'!K11&lt;0,0,'Water, Gas, Diesel'!K11)</f>
        <v>11680</v>
      </c>
      <c r="H7" s="83">
        <v>0.7</v>
      </c>
      <c r="I7" s="11">
        <f>IF('Water, Gas, Diesel'!C11&lt;0,0,'Water, Gas, Diesel'!C11)</f>
        <v>0</v>
      </c>
      <c r="J7" s="83">
        <v>0.21186441</v>
      </c>
      <c r="K7" s="11">
        <f>IF('Water, Gas, Diesel'!F11&lt;0,0,'Water, Gas, Diesel'!F11)</f>
        <v>0</v>
      </c>
      <c r="L7" s="83">
        <v>1.6949000000000001</v>
      </c>
      <c r="M7" s="11">
        <f>Electricity!H13</f>
        <v>94</v>
      </c>
    </row>
    <row r="8" spans="1:15">
      <c r="A8" s="8" t="s">
        <v>13</v>
      </c>
      <c r="B8" s="9">
        <f t="shared" si="0"/>
        <v>7</v>
      </c>
      <c r="C8" s="9">
        <v>7</v>
      </c>
      <c r="D8" s="10">
        <v>2022</v>
      </c>
      <c r="E8" s="11">
        <f>IF(Electricity!F14&lt;0,0,Electricity!F14)</f>
        <v>0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0</v>
      </c>
      <c r="J8" s="83">
        <v>0.21186441</v>
      </c>
      <c r="K8" s="11">
        <f>IF('Water, Gas, Diesel'!F12&lt;0,0,'Water, Gas, Diesel'!F12)</f>
        <v>0</v>
      </c>
      <c r="L8" s="83">
        <v>1.6949000000000001</v>
      </c>
      <c r="M8" s="11">
        <f>Electricity!H14</f>
        <v>0</v>
      </c>
    </row>
    <row r="9" spans="1:15">
      <c r="A9" s="8" t="s">
        <v>13</v>
      </c>
      <c r="B9" s="9">
        <f t="shared" si="0"/>
        <v>8</v>
      </c>
      <c r="C9" s="9">
        <v>7</v>
      </c>
      <c r="D9" s="10">
        <v>2022</v>
      </c>
      <c r="E9" s="11">
        <f>IF(Electricity!F15&lt;0,0,Electricity!F15)</f>
        <v>0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0</v>
      </c>
      <c r="J9" s="83">
        <v>0.21186441</v>
      </c>
      <c r="K9" s="11">
        <f>IF('Water, Gas, Diesel'!F13&lt;0,0,'Water, Gas, Diesel'!F13)</f>
        <v>0</v>
      </c>
      <c r="L9" s="83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7</v>
      </c>
      <c r="D10" s="10">
        <v>2022</v>
      </c>
      <c r="E10" s="11">
        <f>IF(Electricity!F16&lt;0,0,Electricity!F16)</f>
        <v>0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0</v>
      </c>
      <c r="J10" s="83">
        <v>0.21186441</v>
      </c>
      <c r="K10" s="11">
        <f>IF('Water, Gas, Diesel'!F14&lt;0,0,'Water, Gas, Diesel'!F14)</f>
        <v>0</v>
      </c>
      <c r="L10" s="83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7</v>
      </c>
      <c r="D11" s="10">
        <v>2022</v>
      </c>
      <c r="E11" s="11">
        <f>IF(Electricity!F17&lt;0,0,Electricity!F17)</f>
        <v>0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0</v>
      </c>
      <c r="J11" s="83">
        <v>0.21186441</v>
      </c>
      <c r="K11" s="11">
        <f>IF('Water, Gas, Diesel'!F15&lt;0,0,'Water, Gas, Diesel'!F15)</f>
        <v>0</v>
      </c>
      <c r="L11" s="83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7</v>
      </c>
      <c r="D12" s="10">
        <v>2022</v>
      </c>
      <c r="E12" s="11">
        <f>IF(Electricity!F18&lt;0,0,Electricity!F18)</f>
        <v>0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0</v>
      </c>
      <c r="J12" s="83">
        <v>0.21186441</v>
      </c>
      <c r="K12" s="11">
        <f>IF('Water, Gas, Diesel'!F16&lt;0,0,'Water, Gas, Diesel'!F16)</f>
        <v>0</v>
      </c>
      <c r="L12" s="83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7</v>
      </c>
      <c r="D13" s="10">
        <v>2022</v>
      </c>
      <c r="E13" s="11">
        <f>IF(Electricity!F19&lt;0,0,Electricity!F19)</f>
        <v>0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0</v>
      </c>
      <c r="J13" s="83">
        <v>0.21186441</v>
      </c>
      <c r="K13" s="11">
        <f>IF('Water, Gas, Diesel'!F17&lt;0,0,'Water, Gas, Diesel'!F17)</f>
        <v>0</v>
      </c>
      <c r="L13" s="83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7</v>
      </c>
      <c r="D14" s="10">
        <v>2022</v>
      </c>
      <c r="E14" s="11">
        <f>IF(Electricity!F20&lt;0,0,Electricity!F20)</f>
        <v>0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0</v>
      </c>
      <c r="J14" s="83">
        <v>0.21186441</v>
      </c>
      <c r="K14" s="11">
        <f>IF('Water, Gas, Diesel'!F18&lt;0,0,'Water, Gas, Diesel'!F18)</f>
        <v>0</v>
      </c>
      <c r="L14" s="83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7</v>
      </c>
      <c r="D15" s="10">
        <v>2022</v>
      </c>
      <c r="E15" s="11">
        <f>IF(Electricity!F21&lt;0,0,Electricity!F21)</f>
        <v>0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0</v>
      </c>
      <c r="J15" s="83">
        <v>0.21186441</v>
      </c>
      <c r="K15" s="11">
        <f>IF('Water, Gas, Diesel'!F19&lt;0,0,'Water, Gas, Diesel'!F19)</f>
        <v>0</v>
      </c>
      <c r="L15" s="8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7</v>
      </c>
      <c r="D16" s="10">
        <v>2022</v>
      </c>
      <c r="E16" s="11">
        <f>IF(Electricity!F22&lt;0,0,Electricity!F22)</f>
        <v>0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0</v>
      </c>
      <c r="J16" s="83">
        <v>0.21186441</v>
      </c>
      <c r="K16" s="11">
        <f>IF('Water, Gas, Diesel'!F20&lt;0,0,'Water, Gas, Diesel'!F20)</f>
        <v>0</v>
      </c>
      <c r="L16" s="8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7</v>
      </c>
      <c r="D17" s="10">
        <v>2022</v>
      </c>
      <c r="E17" s="11">
        <f>IF(Electricity!F23&lt;0,0,Electricity!F23)</f>
        <v>0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0</v>
      </c>
      <c r="J17" s="83">
        <v>0.21186441</v>
      </c>
      <c r="K17" s="11">
        <f>IF('Water, Gas, Diesel'!F21&lt;0,0,'Water, Gas, Diesel'!F21)</f>
        <v>0</v>
      </c>
      <c r="L17" s="8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7</v>
      </c>
      <c r="D18" s="10">
        <v>2022</v>
      </c>
      <c r="E18" s="11">
        <f>IF(Electricity!F24&lt;0,0,Electricity!F24)</f>
        <v>0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0</v>
      </c>
      <c r="J18" s="83">
        <v>0.21186441</v>
      </c>
      <c r="K18" s="11">
        <f>IF('Water, Gas, Diesel'!F22&lt;0,0,'Water, Gas, Diesel'!F22)</f>
        <v>0</v>
      </c>
      <c r="L18" s="8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7</v>
      </c>
      <c r="D19" s="10">
        <v>2022</v>
      </c>
      <c r="E19" s="11">
        <f>IF(Electricity!F25&lt;0,0,Electricity!F25)</f>
        <v>0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0</v>
      </c>
      <c r="J19" s="83">
        <v>0.21186441</v>
      </c>
      <c r="K19" s="11">
        <f>IF('Water, Gas, Diesel'!F23&lt;0,0,'Water, Gas, Diesel'!F23)</f>
        <v>0</v>
      </c>
      <c r="L19" s="8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7</v>
      </c>
      <c r="D20" s="10">
        <v>2022</v>
      </c>
      <c r="E20" s="11">
        <f>IF(Electricity!F26&lt;0,0,Electricity!F26)</f>
        <v>0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0</v>
      </c>
      <c r="J20" s="83">
        <v>0.21186441</v>
      </c>
      <c r="K20" s="11">
        <f>IF('Water, Gas, Diesel'!F24&lt;0,0,'Water, Gas, Diesel'!F24)</f>
        <v>0</v>
      </c>
      <c r="L20" s="8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7</v>
      </c>
      <c r="D21" s="10">
        <v>2022</v>
      </c>
      <c r="E21" s="11">
        <f>IF(Electricity!F27&lt;0,0,Electricity!F27)</f>
        <v>0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0</v>
      </c>
      <c r="J21" s="83">
        <v>0.21186441</v>
      </c>
      <c r="K21" s="11">
        <f>IF('Water, Gas, Diesel'!F25&lt;0,0,'Water, Gas, Diesel'!F25)</f>
        <v>0</v>
      </c>
      <c r="L21" s="8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7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7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7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7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7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7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7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7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7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7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7</v>
      </c>
      <c r="D32" s="10">
        <v>2022</v>
      </c>
      <c r="E32" s="11">
        <f>IF(Electricity!F38&lt;0,0,Electricity!F38)</f>
        <v>0</v>
      </c>
      <c r="F32" s="83">
        <v>9.3200000000000005E-2</v>
      </c>
      <c r="G32" s="11">
        <f>IF('Water, Gas, Diesel'!K36&lt;0,0,'Water, Gas, Diesel'!K36)</f>
        <v>0</v>
      </c>
      <c r="H32" s="83">
        <v>0.7</v>
      </c>
      <c r="I32" s="11">
        <f>IF('Water, Gas, Diesel'!C36&lt;0,0,'Water, Gas, Diesel'!C36)</f>
        <v>0</v>
      </c>
      <c r="J32" s="83">
        <v>0.21186441</v>
      </c>
      <c r="K32" s="11">
        <f>IF('Water, Gas, Diesel'!F36&lt;0,0,'Water, Gas, Diesel'!F36)</f>
        <v>0</v>
      </c>
      <c r="L32" s="8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8" activePane="bottomLeft" state="frozen"/>
      <selection pane="bottomLeft" activeCell="H14" sqref="H14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42"/>
      <c r="C1" s="143"/>
      <c r="D1" s="143"/>
      <c r="E1" s="143"/>
      <c r="F1" s="143"/>
      <c r="G1" s="143"/>
      <c r="H1" s="144"/>
    </row>
    <row r="2" spans="1:8" ht="15.75" customHeight="1">
      <c r="A2" s="147" t="s">
        <v>15</v>
      </c>
      <c r="B2" s="150" t="s">
        <v>16</v>
      </c>
      <c r="C2" s="151"/>
      <c r="D2" s="151"/>
      <c r="E2" s="152"/>
      <c r="F2" s="153" t="s">
        <v>17</v>
      </c>
      <c r="G2" s="155" t="s">
        <v>18</v>
      </c>
      <c r="H2" s="145" t="s">
        <v>19</v>
      </c>
    </row>
    <row r="3" spans="1:8">
      <c r="A3" s="148"/>
      <c r="B3" s="157" t="s">
        <v>20</v>
      </c>
      <c r="C3" s="158"/>
      <c r="D3" s="157" t="s">
        <v>21</v>
      </c>
      <c r="E3" s="158"/>
      <c r="F3" s="153"/>
      <c r="G3" s="155"/>
      <c r="H3" s="145"/>
    </row>
    <row r="4" spans="1:8">
      <c r="A4" s="148"/>
      <c r="B4" s="159"/>
      <c r="C4" s="160"/>
      <c r="D4" s="159"/>
      <c r="E4" s="160"/>
      <c r="F4" s="153"/>
      <c r="G4" s="155"/>
      <c r="H4" s="145"/>
    </row>
    <row r="5" spans="1:8" ht="15.75" thickBot="1">
      <c r="A5" s="149"/>
      <c r="B5" s="17" t="s">
        <v>22</v>
      </c>
      <c r="C5" s="62" t="s">
        <v>23</v>
      </c>
      <c r="D5" s="63" t="s">
        <v>22</v>
      </c>
      <c r="E5" s="62" t="s">
        <v>23</v>
      </c>
      <c r="F5" s="154"/>
      <c r="G5" s="156"/>
      <c r="H5" s="146"/>
    </row>
    <row r="6" spans="1:8" ht="15.75" hidden="1">
      <c r="A6" s="97"/>
      <c r="B6" s="24"/>
      <c r="C6" s="64"/>
      <c r="D6" s="65"/>
      <c r="E6" s="64"/>
      <c r="F6" s="27"/>
      <c r="G6" s="66"/>
      <c r="H6" s="98"/>
    </row>
    <row r="7" spans="1:8" ht="27.75" hidden="1" customHeight="1">
      <c r="A7" s="99">
        <v>30</v>
      </c>
      <c r="B7" s="68">
        <v>15415.379000000001</v>
      </c>
      <c r="C7" s="69">
        <f t="shared" ref="C7:C24" si="0">(B8-B7)*2500</f>
        <v>10000</v>
      </c>
      <c r="D7" s="68">
        <v>15757.286</v>
      </c>
      <c r="E7" s="69">
        <f t="shared" ref="E7:E24" si="1">(D8-D7)*2500</f>
        <v>13002.499999997781</v>
      </c>
      <c r="F7" s="95">
        <f t="shared" ref="F7:F38" si="2">C7+E7</f>
        <v>23002.499999997781</v>
      </c>
      <c r="G7" s="67">
        <f>F7*0.0932</f>
        <v>2143.8329999997932</v>
      </c>
      <c r="H7" s="141">
        <v>141</v>
      </c>
    </row>
    <row r="8" spans="1:8" ht="30.95" customHeight="1">
      <c r="A8" s="100">
        <v>1</v>
      </c>
      <c r="B8" s="94">
        <v>15419.379000000001</v>
      </c>
      <c r="C8" s="70">
        <f t="shared" si="0"/>
        <v>10715.000000000146</v>
      </c>
      <c r="D8" s="71">
        <v>15762.486999999999</v>
      </c>
      <c r="E8" s="70">
        <f t="shared" si="1"/>
        <v>12385.000000003856</v>
      </c>
      <c r="F8" s="51">
        <f t="shared" si="2"/>
        <v>23100.000000004002</v>
      </c>
      <c r="G8" s="67">
        <f t="shared" ref="G8:G39" si="3">F8*0.0932</f>
        <v>2152.920000000373</v>
      </c>
      <c r="H8" s="101">
        <v>141</v>
      </c>
    </row>
    <row r="9" spans="1:8" ht="30.95" customHeight="1">
      <c r="A9" s="102">
        <v>2</v>
      </c>
      <c r="B9" s="72">
        <v>15423.665000000001</v>
      </c>
      <c r="C9" s="39">
        <f t="shared" si="0"/>
        <v>9814.9999999986903</v>
      </c>
      <c r="D9" s="71">
        <v>15767.441000000001</v>
      </c>
      <c r="E9" s="39">
        <f t="shared" si="1"/>
        <v>12435.0000000004</v>
      </c>
      <c r="F9" s="47">
        <f t="shared" si="2"/>
        <v>22249.999999999091</v>
      </c>
      <c r="G9" s="67">
        <f t="shared" si="3"/>
        <v>2073.6999999999152</v>
      </c>
      <c r="H9" s="103">
        <v>108</v>
      </c>
    </row>
    <row r="10" spans="1:8" ht="30.95" customHeight="1">
      <c r="A10" s="100">
        <v>3</v>
      </c>
      <c r="B10" s="73">
        <v>15427.591</v>
      </c>
      <c r="C10" s="70">
        <f t="shared" si="0"/>
        <v>9697.4999999974898</v>
      </c>
      <c r="D10" s="74">
        <v>15772.415000000001</v>
      </c>
      <c r="E10" s="70">
        <f t="shared" si="1"/>
        <v>12329.999999997199</v>
      </c>
      <c r="F10" s="51">
        <f t="shared" si="2"/>
        <v>22027.499999994689</v>
      </c>
      <c r="G10" s="67">
        <f t="shared" si="3"/>
        <v>2052.962999999505</v>
      </c>
      <c r="H10" s="103">
        <v>82</v>
      </c>
    </row>
    <row r="11" spans="1:8" ht="30.95" customHeight="1">
      <c r="A11" s="102">
        <v>4</v>
      </c>
      <c r="B11" s="75">
        <v>15431.47</v>
      </c>
      <c r="C11" s="39">
        <f t="shared" si="0"/>
        <v>6797.5000000024011</v>
      </c>
      <c r="D11" s="76">
        <v>15777.347</v>
      </c>
      <c r="E11" s="39">
        <f t="shared" si="1"/>
        <v>11087.499999998727</v>
      </c>
      <c r="F11" s="47">
        <f t="shared" si="2"/>
        <v>17885.000000001128</v>
      </c>
      <c r="G11" s="67">
        <f t="shared" si="3"/>
        <v>1666.8820000001051</v>
      </c>
      <c r="H11" s="103">
        <v>95</v>
      </c>
    </row>
    <row r="12" spans="1:8" ht="30.95" customHeight="1">
      <c r="A12" s="100">
        <v>5</v>
      </c>
      <c r="B12" s="77">
        <v>15434.189</v>
      </c>
      <c r="C12" s="70">
        <f t="shared" si="0"/>
        <v>12624.999999998181</v>
      </c>
      <c r="D12" s="74">
        <v>15781.781999999999</v>
      </c>
      <c r="E12" s="70">
        <f t="shared" si="1"/>
        <v>14225.000000001273</v>
      </c>
      <c r="F12" s="51">
        <f t="shared" si="2"/>
        <v>26849.999999999454</v>
      </c>
      <c r="G12" s="67">
        <f t="shared" si="3"/>
        <v>2502.4199999999491</v>
      </c>
      <c r="H12" s="103">
        <v>98</v>
      </c>
    </row>
    <row r="13" spans="1:8" ht="30.95" customHeight="1">
      <c r="A13" s="102">
        <v>6</v>
      </c>
      <c r="B13" s="75">
        <v>15439.239</v>
      </c>
      <c r="C13" s="39">
        <f t="shared" si="0"/>
        <v>-38598097.5</v>
      </c>
      <c r="D13" s="76">
        <v>15787.472</v>
      </c>
      <c r="E13" s="39">
        <f t="shared" si="1"/>
        <v>-39468680</v>
      </c>
      <c r="F13" s="47">
        <f t="shared" si="2"/>
        <v>-78066777.5</v>
      </c>
      <c r="G13" s="67">
        <f t="shared" si="3"/>
        <v>-7275823.6630000006</v>
      </c>
      <c r="H13" s="103">
        <v>94</v>
      </c>
    </row>
    <row r="14" spans="1:8" ht="30.95" customHeight="1">
      <c r="A14" s="100">
        <v>7</v>
      </c>
      <c r="B14" s="77"/>
      <c r="C14" s="70">
        <f t="shared" si="0"/>
        <v>0</v>
      </c>
      <c r="D14" s="104"/>
      <c r="E14" s="70">
        <f t="shared" si="1"/>
        <v>0</v>
      </c>
      <c r="F14" s="51">
        <f t="shared" si="2"/>
        <v>0</v>
      </c>
      <c r="G14" s="67">
        <f t="shared" si="3"/>
        <v>0</v>
      </c>
      <c r="H14" s="103"/>
    </row>
    <row r="15" spans="1:8" ht="30.95" customHeight="1">
      <c r="A15" s="102">
        <v>8</v>
      </c>
      <c r="B15" s="75"/>
      <c r="C15" s="39">
        <f t="shared" si="0"/>
        <v>0</v>
      </c>
      <c r="D15" s="78"/>
      <c r="E15" s="39">
        <f t="shared" si="1"/>
        <v>0</v>
      </c>
      <c r="F15" s="47">
        <f t="shared" si="2"/>
        <v>0</v>
      </c>
      <c r="G15" s="67">
        <f t="shared" si="3"/>
        <v>0</v>
      </c>
      <c r="H15" s="103"/>
    </row>
    <row r="16" spans="1:8" ht="30.95" customHeight="1">
      <c r="A16" s="100">
        <v>9</v>
      </c>
      <c r="B16" s="79"/>
      <c r="C16" s="70">
        <f t="shared" si="0"/>
        <v>0</v>
      </c>
      <c r="D16" s="80"/>
      <c r="E16" s="70">
        <f t="shared" si="1"/>
        <v>0</v>
      </c>
      <c r="F16" s="51">
        <f t="shared" si="2"/>
        <v>0</v>
      </c>
      <c r="G16" s="67">
        <f t="shared" si="3"/>
        <v>0</v>
      </c>
      <c r="H16" s="103"/>
    </row>
    <row r="17" spans="1:8" ht="30.95" customHeight="1">
      <c r="A17" s="102">
        <v>10</v>
      </c>
      <c r="B17" s="77"/>
      <c r="C17" s="39">
        <f t="shared" si="0"/>
        <v>0</v>
      </c>
      <c r="D17" s="104"/>
      <c r="E17" s="39">
        <f t="shared" si="1"/>
        <v>0</v>
      </c>
      <c r="F17" s="47">
        <f t="shared" si="2"/>
        <v>0</v>
      </c>
      <c r="G17" s="67">
        <f t="shared" si="3"/>
        <v>0</v>
      </c>
      <c r="H17" s="103"/>
    </row>
    <row r="18" spans="1:8" ht="30.95" customHeight="1">
      <c r="A18" s="100">
        <v>11</v>
      </c>
      <c r="B18" s="75"/>
      <c r="C18" s="70">
        <f t="shared" si="0"/>
        <v>0</v>
      </c>
      <c r="D18" s="78"/>
      <c r="E18" s="70">
        <f t="shared" si="1"/>
        <v>0</v>
      </c>
      <c r="F18" s="51">
        <f t="shared" si="2"/>
        <v>0</v>
      </c>
      <c r="G18" s="67">
        <f t="shared" si="3"/>
        <v>0</v>
      </c>
      <c r="H18" s="103"/>
    </row>
    <row r="19" spans="1:8" ht="30.95" customHeight="1">
      <c r="A19" s="102">
        <v>12</v>
      </c>
      <c r="B19" s="77"/>
      <c r="C19" s="39">
        <f t="shared" si="0"/>
        <v>0</v>
      </c>
      <c r="D19" s="104"/>
      <c r="E19" s="39">
        <f t="shared" si="1"/>
        <v>0</v>
      </c>
      <c r="F19" s="47">
        <f t="shared" si="2"/>
        <v>0</v>
      </c>
      <c r="G19" s="67">
        <f t="shared" si="3"/>
        <v>0</v>
      </c>
      <c r="H19" s="103"/>
    </row>
    <row r="20" spans="1:8" ht="30.95" customHeight="1">
      <c r="A20" s="100">
        <v>13</v>
      </c>
      <c r="B20" s="75"/>
      <c r="C20" s="70">
        <f t="shared" si="0"/>
        <v>0</v>
      </c>
      <c r="D20" s="81"/>
      <c r="E20" s="70">
        <f t="shared" si="1"/>
        <v>0</v>
      </c>
      <c r="F20" s="51">
        <f t="shared" si="2"/>
        <v>0</v>
      </c>
      <c r="G20" s="67">
        <f t="shared" si="3"/>
        <v>0</v>
      </c>
      <c r="H20" s="103"/>
    </row>
    <row r="21" spans="1:8" ht="30.95" customHeight="1">
      <c r="A21" s="102">
        <v>14</v>
      </c>
      <c r="B21" s="75"/>
      <c r="C21" s="39">
        <f t="shared" si="0"/>
        <v>0</v>
      </c>
      <c r="D21" s="78"/>
      <c r="E21" s="39">
        <f t="shared" si="1"/>
        <v>0</v>
      </c>
      <c r="F21" s="47">
        <f t="shared" si="2"/>
        <v>0</v>
      </c>
      <c r="G21" s="67">
        <f t="shared" si="3"/>
        <v>0</v>
      </c>
      <c r="H21" s="103"/>
    </row>
    <row r="22" spans="1:8" ht="30.95" customHeight="1">
      <c r="A22" s="100">
        <v>15</v>
      </c>
      <c r="B22" s="75"/>
      <c r="C22" s="70">
        <f t="shared" si="0"/>
        <v>0</v>
      </c>
      <c r="D22" s="57"/>
      <c r="E22" s="70">
        <f t="shared" si="1"/>
        <v>0</v>
      </c>
      <c r="F22" s="51">
        <f t="shared" si="2"/>
        <v>0</v>
      </c>
      <c r="G22" s="67">
        <f t="shared" si="3"/>
        <v>0</v>
      </c>
      <c r="H22" s="103"/>
    </row>
    <row r="23" spans="1:8" ht="30.95" customHeight="1">
      <c r="A23" s="102">
        <v>16</v>
      </c>
      <c r="B23" s="84"/>
      <c r="C23" s="39">
        <f t="shared" si="0"/>
        <v>0</v>
      </c>
      <c r="D23" s="85"/>
      <c r="E23" s="39">
        <f t="shared" si="1"/>
        <v>0</v>
      </c>
      <c r="F23" s="47">
        <f t="shared" si="2"/>
        <v>0</v>
      </c>
      <c r="G23" s="67">
        <f t="shared" si="3"/>
        <v>0</v>
      </c>
      <c r="H23" s="103"/>
    </row>
    <row r="24" spans="1:8" ht="30.95" customHeight="1">
      <c r="A24" s="100">
        <v>17</v>
      </c>
      <c r="B24" s="86"/>
      <c r="C24" s="70">
        <f t="shared" si="0"/>
        <v>0</v>
      </c>
      <c r="D24" s="104"/>
      <c r="E24" s="70">
        <f t="shared" si="1"/>
        <v>0</v>
      </c>
      <c r="F24" s="51">
        <f t="shared" si="2"/>
        <v>0</v>
      </c>
      <c r="G24" s="67">
        <f t="shared" si="3"/>
        <v>0</v>
      </c>
      <c r="H24" s="103"/>
    </row>
    <row r="25" spans="1:8" ht="30.95" customHeight="1">
      <c r="A25" s="102">
        <v>18</v>
      </c>
      <c r="B25" s="75"/>
      <c r="C25" s="39">
        <f>(B26-B25)*2500</f>
        <v>0</v>
      </c>
      <c r="D25" s="78"/>
      <c r="E25" s="39">
        <f>(D26-D25)*2500</f>
        <v>0</v>
      </c>
      <c r="F25" s="47">
        <f t="shared" si="2"/>
        <v>0</v>
      </c>
      <c r="G25" s="67">
        <f t="shared" si="3"/>
        <v>0</v>
      </c>
      <c r="H25" s="103"/>
    </row>
    <row r="26" spans="1:8" ht="30.95" customHeight="1">
      <c r="A26" s="100">
        <v>19</v>
      </c>
      <c r="B26" s="77"/>
      <c r="C26" s="70">
        <f t="shared" ref="C26:C38" si="4">(B27-B26)*2500</f>
        <v>0</v>
      </c>
      <c r="D26" s="104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03"/>
    </row>
    <row r="27" spans="1:8" ht="30.95" customHeight="1">
      <c r="A27" s="102">
        <v>20</v>
      </c>
      <c r="B27" s="75"/>
      <c r="C27" s="39">
        <f t="shared" si="4"/>
        <v>0</v>
      </c>
      <c r="D27" s="81"/>
      <c r="E27" s="39">
        <f t="shared" si="5"/>
        <v>0</v>
      </c>
      <c r="F27" s="51">
        <f t="shared" si="2"/>
        <v>0</v>
      </c>
      <c r="G27" s="67">
        <f t="shared" si="3"/>
        <v>0</v>
      </c>
      <c r="H27" s="103"/>
    </row>
    <row r="28" spans="1:8" ht="30.95" customHeight="1">
      <c r="A28" s="100">
        <v>21</v>
      </c>
      <c r="B28" s="77"/>
      <c r="C28" s="70">
        <f t="shared" si="4"/>
        <v>0</v>
      </c>
      <c r="D28" s="104"/>
      <c r="E28" s="70">
        <f t="shared" si="5"/>
        <v>0</v>
      </c>
      <c r="F28" s="47">
        <f t="shared" si="2"/>
        <v>0</v>
      </c>
      <c r="G28" s="67">
        <f t="shared" si="3"/>
        <v>0</v>
      </c>
      <c r="H28" s="103"/>
    </row>
    <row r="29" spans="1:8" ht="30.95" customHeight="1">
      <c r="A29" s="102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3"/>
    </row>
    <row r="30" spans="1:8" ht="30.95" customHeight="1">
      <c r="A30" s="100">
        <v>23</v>
      </c>
      <c r="B30" s="77"/>
      <c r="C30" s="70">
        <f t="shared" si="4"/>
        <v>0</v>
      </c>
      <c r="D30" s="104"/>
      <c r="E30" s="70">
        <f t="shared" si="5"/>
        <v>0</v>
      </c>
      <c r="F30" s="47">
        <f t="shared" si="2"/>
        <v>0</v>
      </c>
      <c r="G30" s="67">
        <f t="shared" si="3"/>
        <v>0</v>
      </c>
      <c r="H30" s="103"/>
    </row>
    <row r="31" spans="1:8" ht="30.95" customHeight="1">
      <c r="A31" s="102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3"/>
    </row>
    <row r="32" spans="1:8" ht="30.95" customHeight="1">
      <c r="A32" s="100">
        <v>25</v>
      </c>
      <c r="B32" s="77"/>
      <c r="C32" s="70">
        <f t="shared" si="4"/>
        <v>0</v>
      </c>
      <c r="D32" s="104"/>
      <c r="E32" s="70">
        <f t="shared" si="5"/>
        <v>0</v>
      </c>
      <c r="F32" s="47">
        <f t="shared" si="2"/>
        <v>0</v>
      </c>
      <c r="G32" s="67">
        <f t="shared" si="3"/>
        <v>0</v>
      </c>
      <c r="H32" s="103"/>
    </row>
    <row r="33" spans="1:8" ht="30.95" customHeight="1">
      <c r="A33" s="102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3"/>
    </row>
    <row r="34" spans="1:8" ht="30.95" customHeight="1">
      <c r="A34" s="100">
        <v>27</v>
      </c>
      <c r="B34" s="77"/>
      <c r="C34" s="70">
        <f t="shared" si="4"/>
        <v>0</v>
      </c>
      <c r="D34" s="104"/>
      <c r="E34" s="39">
        <f t="shared" si="5"/>
        <v>0</v>
      </c>
      <c r="F34" s="47">
        <f t="shared" si="2"/>
        <v>0</v>
      </c>
      <c r="G34" s="67">
        <f t="shared" si="3"/>
        <v>0</v>
      </c>
      <c r="H34" s="103"/>
    </row>
    <row r="35" spans="1:8" ht="30.95" customHeight="1">
      <c r="A35" s="102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3"/>
    </row>
    <row r="36" spans="1:8" ht="30.95" customHeight="1">
      <c r="A36" s="100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1"/>
    </row>
    <row r="37" spans="1:8" ht="30.95" customHeight="1">
      <c r="A37" s="108">
        <v>30</v>
      </c>
      <c r="B37" s="109"/>
      <c r="C37" s="110">
        <f>(B38-B37)*2500</f>
        <v>0</v>
      </c>
      <c r="D37" s="111"/>
      <c r="E37" s="110">
        <f>(D38-D37)*2500</f>
        <v>0</v>
      </c>
      <c r="F37" s="112">
        <f t="shared" si="2"/>
        <v>0</v>
      </c>
      <c r="G37" s="67">
        <f t="shared" si="3"/>
        <v>0</v>
      </c>
      <c r="H37" s="113"/>
    </row>
    <row r="38" spans="1:8" ht="30.95" customHeight="1">
      <c r="A38" s="100">
        <v>31</v>
      </c>
      <c r="B38" s="40"/>
      <c r="C38" s="70">
        <f t="shared" si="4"/>
        <v>0</v>
      </c>
      <c r="D38" s="104"/>
      <c r="E38" s="7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7" activePane="bottomLeft" state="frozen"/>
      <selection pane="bottomLeft" activeCell="O10" sqref="O10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7" t="s">
        <v>14</v>
      </c>
      <c r="B1" s="162" t="s">
        <v>24</v>
      </c>
      <c r="C1" s="163"/>
      <c r="D1" s="164"/>
      <c r="E1" s="165" t="s">
        <v>25</v>
      </c>
      <c r="F1" s="163"/>
      <c r="G1" s="163"/>
      <c r="H1" s="163"/>
      <c r="I1" s="164"/>
      <c r="J1" s="165" t="s">
        <v>26</v>
      </c>
      <c r="K1" s="163"/>
      <c r="L1" s="166"/>
    </row>
    <row r="2" spans="1:12" ht="27" customHeight="1">
      <c r="A2" s="161"/>
      <c r="B2" s="167"/>
      <c r="C2" s="168"/>
      <c r="D2" s="169"/>
      <c r="E2" s="167"/>
      <c r="F2" s="168"/>
      <c r="G2" s="168"/>
      <c r="H2" s="168"/>
      <c r="I2" s="169"/>
      <c r="J2" s="167"/>
      <c r="K2" s="168"/>
      <c r="L2" s="169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hidden="1" customHeight="1">
      <c r="A5" s="91">
        <v>30</v>
      </c>
      <c r="B5" s="91">
        <v>6917661</v>
      </c>
      <c r="C5" s="105">
        <f>B6-B5</f>
        <v>1773</v>
      </c>
      <c r="D5" s="34">
        <f>C5*0.21186441</f>
        <v>375.63559893000001</v>
      </c>
      <c r="E5" s="35">
        <v>541238</v>
      </c>
      <c r="F5" s="106">
        <f>E6-E5</f>
        <v>266</v>
      </c>
      <c r="G5" s="36">
        <f>F5*0.84746</f>
        <v>225.42436000000001</v>
      </c>
      <c r="H5" s="36">
        <f>F5*0.84746</f>
        <v>225.42436000000001</v>
      </c>
      <c r="I5" s="92">
        <f>G5+H5</f>
        <v>450.84872000000001</v>
      </c>
      <c r="J5" s="37">
        <f>5450+6440</f>
        <v>11890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91">
        <v>6919434</v>
      </c>
      <c r="C6" s="53">
        <f t="shared" ref="C6:C15" si="0">B7-B6</f>
        <v>1569</v>
      </c>
      <c r="D6" s="41">
        <f>C6*0.21186441</f>
        <v>332.41525928999999</v>
      </c>
      <c r="E6" s="42">
        <v>541504</v>
      </c>
      <c r="F6" s="54">
        <f t="shared" ref="F6:F15" si="1">E7-E6</f>
        <v>282</v>
      </c>
      <c r="G6" s="43">
        <f>F6*0.84746</f>
        <v>238.98372000000001</v>
      </c>
      <c r="H6" s="43">
        <f>F6*0.84746</f>
        <v>238.98372000000001</v>
      </c>
      <c r="I6" s="44">
        <f t="shared" ref="I6:I36" si="2">G6+H6</f>
        <v>477.96744000000001</v>
      </c>
      <c r="J6" s="37">
        <f>5450+6440</f>
        <v>11890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6921003</v>
      </c>
      <c r="C7" s="55">
        <f t="shared" si="0"/>
        <v>1549</v>
      </c>
      <c r="D7" s="46">
        <f>C7*0.21186441</f>
        <v>328.17797109000003</v>
      </c>
      <c r="E7" s="47">
        <v>541786</v>
      </c>
      <c r="F7" s="56">
        <f t="shared" si="1"/>
        <v>226</v>
      </c>
      <c r="G7" s="48">
        <f t="shared" ref="G7:G36" si="4">F7*0.84746</f>
        <v>191.52596</v>
      </c>
      <c r="H7" s="48">
        <f t="shared" ref="H7:H36" si="5">F7*0.84746</f>
        <v>191.52596</v>
      </c>
      <c r="I7" s="49">
        <f t="shared" si="2"/>
        <v>383.05192</v>
      </c>
      <c r="J7" s="37">
        <f>5450+6440</f>
        <v>11890</v>
      </c>
      <c r="K7" s="38">
        <f t="shared" si="3"/>
        <v>210</v>
      </c>
      <c r="L7" s="39">
        <f t="shared" ref="L7:L35" si="6">K7*0.7</f>
        <v>147</v>
      </c>
    </row>
    <row r="8" spans="1:12" ht="32.450000000000003" customHeight="1">
      <c r="A8" s="40">
        <v>3</v>
      </c>
      <c r="B8" s="40">
        <v>6922552</v>
      </c>
      <c r="C8" s="53">
        <f t="shared" si="0"/>
        <v>1541</v>
      </c>
      <c r="D8" s="46">
        <f t="shared" ref="D8:D36" si="7">C8*0.21186441</f>
        <v>326.48305581</v>
      </c>
      <c r="E8" s="47">
        <v>542012</v>
      </c>
      <c r="F8" s="54">
        <f t="shared" si="1"/>
        <v>209</v>
      </c>
      <c r="G8" s="43">
        <f t="shared" si="4"/>
        <v>177.11913999999999</v>
      </c>
      <c r="H8" s="43">
        <f t="shared" si="5"/>
        <v>177.11913999999999</v>
      </c>
      <c r="I8" s="49">
        <f t="shared" si="2"/>
        <v>354.23827999999997</v>
      </c>
      <c r="J8" s="37">
        <f>5250+6430</f>
        <v>11680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6924093</v>
      </c>
      <c r="C9" s="55">
        <f t="shared" si="0"/>
        <v>1316</v>
      </c>
      <c r="D9" s="46">
        <f t="shared" si="7"/>
        <v>278.81356355999998</v>
      </c>
      <c r="E9" s="47">
        <v>542221</v>
      </c>
      <c r="F9" s="56">
        <f t="shared" si="1"/>
        <v>227</v>
      </c>
      <c r="G9" s="48">
        <f t="shared" si="4"/>
        <v>192.37342000000001</v>
      </c>
      <c r="H9" s="48">
        <f t="shared" si="5"/>
        <v>192.37342000000001</v>
      </c>
      <c r="I9" s="49">
        <f t="shared" si="2"/>
        <v>384.74684000000002</v>
      </c>
      <c r="J9" s="37">
        <f>5250+6430</f>
        <v>11680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6925409</v>
      </c>
      <c r="C10" s="53">
        <f t="shared" si="0"/>
        <v>1519</v>
      </c>
      <c r="D10" s="46">
        <f t="shared" si="7"/>
        <v>321.82203879000002</v>
      </c>
      <c r="E10" s="47">
        <v>542448</v>
      </c>
      <c r="F10" s="54">
        <f t="shared" si="1"/>
        <v>213</v>
      </c>
      <c r="G10" s="43">
        <f t="shared" si="4"/>
        <v>180.50898000000001</v>
      </c>
      <c r="H10" s="43">
        <f t="shared" si="5"/>
        <v>180.50898000000001</v>
      </c>
      <c r="I10" s="49">
        <f t="shared" si="2"/>
        <v>361.01796000000002</v>
      </c>
      <c r="J10" s="37">
        <f>5250+6430</f>
        <v>11680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6926928</v>
      </c>
      <c r="C11" s="55">
        <f t="shared" si="0"/>
        <v>-6926928</v>
      </c>
      <c r="D11" s="46">
        <f t="shared" si="7"/>
        <v>-1467569.5138324799</v>
      </c>
      <c r="E11" s="47">
        <v>542661</v>
      </c>
      <c r="F11" s="56">
        <f t="shared" si="1"/>
        <v>-542661</v>
      </c>
      <c r="G11" s="48">
        <f t="shared" si="4"/>
        <v>-459883.49105999997</v>
      </c>
      <c r="H11" s="48">
        <f t="shared" si="5"/>
        <v>-459883.49105999997</v>
      </c>
      <c r="I11" s="49">
        <f t="shared" si="2"/>
        <v>-919766.98211999994</v>
      </c>
      <c r="J11" s="37">
        <f>5250+6430</f>
        <v>11680</v>
      </c>
      <c r="K11" s="38">
        <f t="shared" si="3"/>
        <v>11680</v>
      </c>
      <c r="L11" s="39">
        <f t="shared" si="6"/>
        <v>8175.9999999999991</v>
      </c>
    </row>
    <row r="12" spans="1:12" ht="32.450000000000003" customHeight="1">
      <c r="A12" s="40">
        <v>7</v>
      </c>
      <c r="B12" s="40"/>
      <c r="C12" s="53">
        <f t="shared" si="0"/>
        <v>0</v>
      </c>
      <c r="D12" s="46">
        <f t="shared" si="7"/>
        <v>0</v>
      </c>
      <c r="E12" s="47"/>
      <c r="F12" s="54">
        <f t="shared" si="1"/>
        <v>0</v>
      </c>
      <c r="G12" s="43">
        <f t="shared" si="4"/>
        <v>0</v>
      </c>
      <c r="H12" s="43">
        <f t="shared" si="5"/>
        <v>0</v>
      </c>
      <c r="I12" s="49">
        <f t="shared" si="2"/>
        <v>0</v>
      </c>
      <c r="J12" s="37"/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/>
      <c r="C13" s="55">
        <f t="shared" si="0"/>
        <v>0</v>
      </c>
      <c r="D13" s="46">
        <f t="shared" si="7"/>
        <v>0</v>
      </c>
      <c r="E13" s="47"/>
      <c r="F13" s="56">
        <f t="shared" si="1"/>
        <v>0</v>
      </c>
      <c r="G13" s="48">
        <f t="shared" si="4"/>
        <v>0</v>
      </c>
      <c r="H13" s="48">
        <f t="shared" si="5"/>
        <v>0</v>
      </c>
      <c r="I13" s="49">
        <f t="shared" si="2"/>
        <v>0</v>
      </c>
      <c r="J13" s="37"/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/>
      <c r="C14" s="53">
        <f t="shared" si="0"/>
        <v>0</v>
      </c>
      <c r="D14" s="46">
        <f t="shared" si="7"/>
        <v>0</v>
      </c>
      <c r="E14" s="47"/>
      <c r="F14" s="54">
        <f t="shared" si="1"/>
        <v>0</v>
      </c>
      <c r="G14" s="48">
        <f t="shared" si="4"/>
        <v>0</v>
      </c>
      <c r="H14" s="43">
        <f t="shared" si="5"/>
        <v>0</v>
      </c>
      <c r="I14" s="49">
        <f t="shared" si="2"/>
        <v>0</v>
      </c>
      <c r="J14" s="37"/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/>
      <c r="C15" s="55">
        <f t="shared" si="0"/>
        <v>0</v>
      </c>
      <c r="D15" s="46">
        <f t="shared" si="7"/>
        <v>0</v>
      </c>
      <c r="E15" s="47"/>
      <c r="F15" s="56">
        <f t="shared" si="1"/>
        <v>0</v>
      </c>
      <c r="G15" s="48">
        <f t="shared" si="4"/>
        <v>0</v>
      </c>
      <c r="H15" s="48">
        <f t="shared" si="5"/>
        <v>0</v>
      </c>
      <c r="I15" s="49">
        <f t="shared" si="2"/>
        <v>0</v>
      </c>
      <c r="J15" s="37"/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7"/>
        <v>0</v>
      </c>
      <c r="E16" s="47"/>
      <c r="F16" s="54">
        <f>E17-E16</f>
        <v>0</v>
      </c>
      <c r="G16" s="43">
        <f t="shared" si="4"/>
        <v>0</v>
      </c>
      <c r="H16" s="43">
        <f t="shared" si="5"/>
        <v>0</v>
      </c>
      <c r="I16" s="49">
        <f t="shared" si="2"/>
        <v>0</v>
      </c>
      <c r="J16" s="37"/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/>
      <c r="C17" s="55">
        <f t="shared" ref="C17:C35" si="8">B18-B17</f>
        <v>0</v>
      </c>
      <c r="D17" s="46">
        <f t="shared" si="7"/>
        <v>0</v>
      </c>
      <c r="E17" s="47"/>
      <c r="F17" s="56">
        <f t="shared" ref="F17:F35" si="9">E18-E17</f>
        <v>0</v>
      </c>
      <c r="G17" s="48">
        <f t="shared" si="4"/>
        <v>0</v>
      </c>
      <c r="H17" s="48">
        <f t="shared" si="5"/>
        <v>0</v>
      </c>
      <c r="I17" s="49">
        <f t="shared" si="2"/>
        <v>0</v>
      </c>
      <c r="J17" s="37"/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4"/>
        <v>0</v>
      </c>
      <c r="H18" s="43">
        <f t="shared" si="5"/>
        <v>0</v>
      </c>
      <c r="I18" s="49">
        <f t="shared" si="2"/>
        <v>0</v>
      </c>
      <c r="J18" s="37"/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4"/>
        <v>0</v>
      </c>
      <c r="H19" s="48">
        <f t="shared" si="5"/>
        <v>0</v>
      </c>
      <c r="I19" s="49">
        <f t="shared" si="2"/>
        <v>0</v>
      </c>
      <c r="J19" s="50"/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/>
      <c r="C21" s="55">
        <f t="shared" si="8"/>
        <v>0</v>
      </c>
      <c r="D21" s="46">
        <f t="shared" si="7"/>
        <v>0</v>
      </c>
      <c r="E21" s="87"/>
      <c r="F21" s="56">
        <f t="shared" si="9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88"/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7">
        <v>30</v>
      </c>
      <c r="B35" s="118"/>
      <c r="C35" s="119">
        <f t="shared" si="8"/>
        <v>0</v>
      </c>
      <c r="D35" s="120">
        <f t="shared" si="7"/>
        <v>0</v>
      </c>
      <c r="E35" s="112"/>
      <c r="F35" s="119">
        <f t="shared" si="9"/>
        <v>0</v>
      </c>
      <c r="G35" s="121">
        <f t="shared" si="4"/>
        <v>0</v>
      </c>
      <c r="H35" s="121">
        <f t="shared" si="5"/>
        <v>0</v>
      </c>
      <c r="I35" s="122">
        <f t="shared" si="2"/>
        <v>0</v>
      </c>
      <c r="J35" s="123"/>
      <c r="K35" s="124">
        <f t="shared" si="3"/>
        <v>0</v>
      </c>
      <c r="L35" s="39">
        <f t="shared" si="6"/>
        <v>0</v>
      </c>
    </row>
    <row r="36" spans="1:12" ht="32.450000000000003" customHeight="1">
      <c r="A36" s="114">
        <v>31</v>
      </c>
      <c r="B36" s="115"/>
      <c r="C36" s="125">
        <f t="shared" ref="C36" si="10">B37-B36</f>
        <v>0</v>
      </c>
      <c r="D36" s="126">
        <f t="shared" si="7"/>
        <v>0</v>
      </c>
      <c r="E36" s="116"/>
      <c r="F36" s="125">
        <f t="shared" ref="F36" si="11">E37-E36</f>
        <v>0</v>
      </c>
      <c r="G36" s="127">
        <f t="shared" ref="G36" si="12">F36*0.84746</f>
        <v>0</v>
      </c>
      <c r="H36" s="127">
        <f t="shared" ref="H36" si="13">F36*0.84746</f>
        <v>0</v>
      </c>
      <c r="I36" s="128">
        <f t="shared" ref="I36" si="14">G36+H36</f>
        <v>0</v>
      </c>
      <c r="J36" s="129"/>
      <c r="K36" s="130">
        <f t="shared" ref="K36" si="15">J36-J37</f>
        <v>0</v>
      </c>
      <c r="L36" s="131">
        <f>K36*0.7</f>
        <v>0</v>
      </c>
    </row>
    <row r="37" spans="1:12" ht="32.450000000000003" customHeight="1">
      <c r="A37" s="114">
        <v>1</v>
      </c>
      <c r="B37" s="115"/>
      <c r="C37" s="125">
        <f t="shared" ref="C37" si="16">B38-B37</f>
        <v>0</v>
      </c>
      <c r="D37" s="126">
        <f t="shared" ref="D37" si="17">C37*0.21186441</f>
        <v>0</v>
      </c>
      <c r="E37" s="116"/>
      <c r="F37" s="125">
        <f t="shared" ref="F37" si="18">E38-E37</f>
        <v>0</v>
      </c>
      <c r="G37" s="127">
        <f t="shared" ref="G37" si="19">F37*0.84746</f>
        <v>0</v>
      </c>
      <c r="H37" s="127">
        <f t="shared" ref="H37" si="20">F37*0.84746</f>
        <v>0</v>
      </c>
      <c r="I37" s="128">
        <f t="shared" ref="I37" si="21">G37+H37</f>
        <v>0</v>
      </c>
      <c r="J37" s="129"/>
      <c r="K37" s="130">
        <f t="shared" ref="K37" si="22">J37-J38</f>
        <v>0</v>
      </c>
      <c r="L37" s="131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2022-07-07T05:54:38Z</dcterms:modified>
  <cp:category/>
  <cp:contentStatus/>
</cp:coreProperties>
</file>