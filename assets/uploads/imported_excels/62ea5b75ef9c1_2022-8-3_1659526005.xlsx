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dClown\Downloads\"/>
    </mc:Choice>
  </mc:AlternateContent>
  <xr:revisionPtr revIDLastSave="0" documentId="8_{3DAD6FF5-A075-4A25-8644-E17E2482BCE7}" xr6:coauthVersionLast="47" xr6:coauthVersionMax="47" xr10:uidLastSave="{00000000-0000-0000-0000-000000000000}"/>
  <bookViews>
    <workbookView xWindow="0" yWindow="0" windowWidth="20520" windowHeight="9398" firstSheet="2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3" i="1" l="1"/>
  <c r="E33" i="1"/>
  <c r="O41" i="3"/>
  <c r="L40" i="3"/>
  <c r="O40" i="3"/>
  <c r="I40" i="3"/>
  <c r="G2" i="1"/>
  <c r="F40" i="3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H32" i="4" l="1"/>
  <c r="F37" i="2"/>
  <c r="G37" i="2" s="1"/>
  <c r="F38" i="2"/>
  <c r="G38" i="2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/>
  <c r="F19" i="4"/>
  <c r="G19" i="4" s="1"/>
  <c r="F18" i="4"/>
  <c r="I11" i="1" s="1"/>
  <c r="F17" i="4"/>
  <c r="F16" i="4"/>
  <c r="I9" i="1" s="1"/>
  <c r="F15" i="4"/>
  <c r="F14" i="4"/>
  <c r="F13" i="4"/>
  <c r="I6" i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G38" i="4"/>
  <c r="G37" i="4"/>
  <c r="G36" i="4"/>
  <c r="G35" i="4"/>
  <c r="G33" i="4"/>
  <c r="G31" i="4"/>
  <c r="G30" i="4"/>
  <c r="I22" i="1"/>
  <c r="G28" i="4"/>
  <c r="G26" i="4"/>
  <c r="G25" i="4"/>
  <c r="G23" i="4"/>
  <c r="G17" i="4"/>
  <c r="G15" i="4"/>
  <c r="G14" i="4"/>
  <c r="H14" i="4" s="1"/>
  <c r="G11" i="4"/>
  <c r="H11" i="4" s="1"/>
  <c r="G9" i="4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G22" i="2"/>
  <c r="I21" i="2"/>
  <c r="J21" i="2"/>
  <c r="F21" i="2"/>
  <c r="G21" i="2"/>
  <c r="I20" i="2"/>
  <c r="J20" i="2" s="1"/>
  <c r="F20" i="2"/>
  <c r="G20" i="2" s="1"/>
  <c r="I19" i="2"/>
  <c r="J19" i="2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G20" i="4"/>
  <c r="G13" i="4"/>
  <c r="G21" i="4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G29" i="4"/>
  <c r="E11" i="1"/>
  <c r="G16" i="2"/>
  <c r="E25" i="1"/>
  <c r="E8" i="1"/>
  <c r="E15" i="1"/>
  <c r="E29" i="1"/>
  <c r="G27" i="4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Q22" i="3"/>
  <c r="R22" i="3" s="1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Q28" i="3"/>
  <c r="R28" i="3" s="1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/>
  <c r="R15" i="3" s="1"/>
  <c r="P24" i="3"/>
  <c r="P35" i="3"/>
  <c r="P26" i="3"/>
  <c r="Q26" i="3"/>
  <c r="P18" i="3"/>
  <c r="P9" i="3"/>
  <c r="Q9" i="3"/>
  <c r="R9" i="3" s="1"/>
  <c r="P32" i="3"/>
  <c r="Q24" i="3"/>
  <c r="R24" i="3" s="1"/>
  <c r="Q32" i="3"/>
  <c r="R32" i="3" s="1"/>
  <c r="Q36" i="3"/>
  <c r="R36" i="3" s="1"/>
  <c r="G33" i="1" l="1"/>
  <c r="Q17" i="3"/>
  <c r="H10" i="1" s="1"/>
  <c r="Q12" i="3"/>
  <c r="R12" i="3" s="1"/>
  <c r="Q10" i="3"/>
  <c r="R10" i="3" s="1"/>
  <c r="Q18" i="3"/>
  <c r="R18" i="3" s="1"/>
  <c r="Q33" i="3"/>
  <c r="R33" i="3" s="1"/>
  <c r="Q19" i="3"/>
  <c r="Q20" i="3"/>
  <c r="R20" i="3" s="1"/>
  <c r="Q21" i="3"/>
  <c r="R21" i="3" s="1"/>
  <c r="Q35" i="3"/>
  <c r="H28" i="1" s="1"/>
  <c r="H9" i="4"/>
  <c r="K11" i="5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40" i="3"/>
  <c r="L11" i="5"/>
  <c r="L4" i="1"/>
  <c r="L2" i="1"/>
  <c r="K17" i="5"/>
  <c r="L10" i="1" s="1"/>
  <c r="K13" i="5"/>
  <c r="K32" i="5"/>
  <c r="L25" i="1" s="1"/>
  <c r="K19" i="5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Q25" i="3"/>
  <c r="R25" i="3" s="1"/>
  <c r="Q30" i="3"/>
  <c r="R30" i="3" s="1"/>
  <c r="Q31" i="3"/>
  <c r="H19" i="1"/>
  <c r="J37" i="3"/>
  <c r="Q37" i="3" s="1"/>
  <c r="R14" i="3"/>
  <c r="H7" i="1"/>
  <c r="H5" i="1"/>
  <c r="R35" i="3"/>
  <c r="H16" i="1"/>
  <c r="H14" i="1"/>
  <c r="H2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1" i="5"/>
  <c r="L29" i="5"/>
  <c r="L22" i="1"/>
  <c r="L7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32" i="5"/>
  <c r="L17" i="5"/>
  <c r="L28" i="5"/>
  <c r="L21" i="1"/>
  <c r="L29" i="1"/>
  <c r="L36" i="5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H12" i="1"/>
  <c r="R19" i="3"/>
  <c r="H32" i="1"/>
  <c r="H24" i="1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N33" i="1"/>
  <c r="D14" i="4"/>
  <c r="D14" i="5" s="1"/>
  <c r="C40" i="3"/>
  <c r="D40" i="4"/>
  <c r="C10" i="4"/>
  <c r="C10" i="5" s="1"/>
  <c r="C40" i="5" s="1"/>
  <c r="D9" i="5"/>
  <c r="D40" i="5" s="1"/>
  <c r="F30" i="1" l="1"/>
  <c r="L16" i="5"/>
  <c r="L16" i="1"/>
  <c r="L13" i="1"/>
  <c r="L3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L40" i="5"/>
  <c r="H16" i="4"/>
  <c r="H24" i="4"/>
  <c r="H18" i="4"/>
  <c r="I33" i="1"/>
  <c r="M37" i="2"/>
  <c r="F31" i="1"/>
  <c r="F4" i="1"/>
  <c r="F7" i="1"/>
  <c r="F15" i="1"/>
  <c r="M23" i="2"/>
  <c r="C40" i="4"/>
  <c r="H33" i="1" l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<sst xmlns="http://schemas.openxmlformats.org/spreadsheetml/2006/main" count="113" uniqueCount="59">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</sst>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2" fontId="19" fillId="11" borderId="1" xfId="0" applyNumberFormat="1" applyFont="1" applyFill="1" applyBorder="1"/>
    <xf numFmtId="2" fontId="19" fillId="11" borderId="5" xfId="0" applyNumberFormat="1" applyFont="1" applyFill="1" applyBorder="1"/>
    <xf numFmtId="43" fontId="11" fillId="0" borderId="1" xfId="0" applyNumberFormat="1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17" activePane="bottomRight" state="frozen"/>
      <selection pane="bottomRight" activeCell="P28" sqref="P28"/>
      <selection pane="bottomLeft" activeCell="A2" sqref="A2"/>
      <selection pane="topRight" activeCell="B1" sqref="B1"/>
    </sheetView>
  </sheetViews>
  <sheetFormatPr defaultRowHeight="14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57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7</v>
      </c>
      <c r="D2" s="7">
        <v>2022</v>
      </c>
      <c r="E2" s="9">
        <f>Electricity!F8+Electricity!I8</f>
        <v>9879.9999999999964</v>
      </c>
      <c r="F2" s="10">
        <f>Electricity!L8/TOTAL!E2</f>
        <v>1241.656730769236</v>
      </c>
      <c r="G2" s="9">
        <f>Gas!F9+Gas!I9+Gas!L9+Gas!O9</f>
        <v>113.71043999999914</v>
      </c>
      <c r="H2" s="10">
        <f>Gas!Q9/TOTAL!G2</f>
        <v>15840</v>
      </c>
      <c r="I2" s="9">
        <f>'Fuel Diesel'!F9</f>
        <v>0</v>
      </c>
      <c r="J2" s="11">
        <v>10700</v>
      </c>
      <c r="K2" s="9">
        <f>Water!E9+Water!G9+Water!I9</f>
        <v>178</v>
      </c>
      <c r="L2" s="10">
        <f>Water!K9/TOTAL!K2</f>
        <v>4000</v>
      </c>
      <c r="M2" s="9">
        <f>Electricity!C8</f>
        <v>35</v>
      </c>
      <c r="N2" s="9">
        <f>Electricity!D8</f>
        <v>171</v>
      </c>
    </row>
    <row r="3" spans="1:14">
      <c r="A3" s="6" t="s">
        <v>14</v>
      </c>
      <c r="B3" s="7">
        <f>B2+1</f>
        <v>2</v>
      </c>
      <c r="C3" s="8">
        <v>7</v>
      </c>
      <c r="D3" s="7">
        <v>2022</v>
      </c>
      <c r="E3" s="9">
        <f>Electricity!F9+Electricity!I9</f>
        <v>9720.0000000003674</v>
      </c>
      <c r="F3" s="10">
        <f>Electricity!L9/TOTAL!E3</f>
        <v>1235.1426954732469</v>
      </c>
      <c r="G3" s="9">
        <f>Gas!F10+Gas!I10+Gas!L10+Gas!O10</f>
        <v>137.72984000000446</v>
      </c>
      <c r="H3" s="10">
        <f>Gas!Q10/TOTAL!G3</f>
        <v>15840</v>
      </c>
      <c r="I3" s="9">
        <f>'Fuel Diesel'!F10</f>
        <v>1</v>
      </c>
      <c r="J3" s="11">
        <v>10700</v>
      </c>
      <c r="K3" s="9">
        <f>Water!E10+Water!G10+Water!I10</f>
        <v>169</v>
      </c>
      <c r="L3" s="10">
        <f>Water!K10/TOTAL!K3</f>
        <v>4000</v>
      </c>
      <c r="M3" s="9">
        <f>Electricity!C9</f>
        <v>27</v>
      </c>
      <c r="N3" s="9">
        <f>Electricity!D9</f>
        <v>188</v>
      </c>
    </row>
    <row r="4" spans="1:14">
      <c r="A4" s="6" t="s">
        <v>14</v>
      </c>
      <c r="B4" s="7">
        <f t="shared" ref="B4:B30" si="0">B3+1</f>
        <v>3</v>
      </c>
      <c r="C4" s="8">
        <v>7</v>
      </c>
      <c r="D4" s="7">
        <v>2022</v>
      </c>
      <c r="E4" s="9">
        <f>Electricity!F10+Electricity!I10</f>
        <v>9559.9999999996035</v>
      </c>
      <c r="F4" s="10">
        <f>Electricity!L10/TOTAL!E4</f>
        <v>1240.325366108787</v>
      </c>
      <c r="G4" s="9">
        <f>Gas!F11+Gas!I11+Gas!L11+Gas!O11</f>
        <v>98.645719999997283</v>
      </c>
      <c r="H4" s="10">
        <f>Gas!Q11/TOTAL!G4</f>
        <v>15840</v>
      </c>
      <c r="I4" s="9">
        <f>'Fuel Diesel'!F11</f>
        <v>0</v>
      </c>
      <c r="J4" s="11">
        <v>10700</v>
      </c>
      <c r="K4" s="9">
        <f>Water!E11+Water!G11+Water!I11</f>
        <v>148</v>
      </c>
      <c r="L4" s="10">
        <f>Water!K11/TOTAL!K4</f>
        <v>4000</v>
      </c>
      <c r="M4" s="9">
        <f>Electricity!C10</f>
        <v>33</v>
      </c>
      <c r="N4" s="9">
        <f>Electricity!D10</f>
        <v>166</v>
      </c>
    </row>
    <row r="5" spans="1:14">
      <c r="A5" s="6" t="s">
        <v>14</v>
      </c>
      <c r="B5" s="7">
        <f t="shared" si="0"/>
        <v>4</v>
      </c>
      <c r="C5" s="8">
        <v>7</v>
      </c>
      <c r="D5" s="7">
        <v>2022</v>
      </c>
      <c r="E5" s="9">
        <f>Electricity!F11+Electricity!I11</f>
        <v>10080.000000000155</v>
      </c>
      <c r="F5" s="10">
        <f>Electricity!L11/TOTAL!E5</f>
        <v>1233.9708333333356</v>
      </c>
      <c r="G5" s="9">
        <f>Gas!F12+Gas!I12+Gas!L12+Gas!O12</f>
        <v>106.25864000000135</v>
      </c>
      <c r="H5" s="10">
        <f>Gas!Q12/TOTAL!G5</f>
        <v>15840</v>
      </c>
      <c r="I5" s="9">
        <f>'Fuel Diesel'!F12</f>
        <v>7</v>
      </c>
      <c r="J5" s="11">
        <v>10700</v>
      </c>
      <c r="K5" s="9">
        <f>Water!E12+Water!G12+Water!I12</f>
        <v>191</v>
      </c>
      <c r="L5" s="10">
        <f>Water!K12/TOTAL!K5</f>
        <v>4000</v>
      </c>
      <c r="M5" s="9">
        <f>Electricity!C11</f>
        <v>34</v>
      </c>
      <c r="N5" s="9">
        <f>Electricity!D11</f>
        <v>186</v>
      </c>
    </row>
    <row r="6" spans="1:14">
      <c r="A6" s="6" t="s">
        <v>14</v>
      </c>
      <c r="B6" s="7">
        <f t="shared" si="0"/>
        <v>5</v>
      </c>
      <c r="C6" s="8">
        <v>7</v>
      </c>
      <c r="D6" s="7">
        <v>2022</v>
      </c>
      <c r="E6" s="9">
        <f>Electricity!F12+Electricity!I12</f>
        <v>9699.9999999999309</v>
      </c>
      <c r="F6" s="10">
        <f>Electricity!L12/TOTAL!E6</f>
        <v>1240.0379381443256</v>
      </c>
      <c r="G6" s="9">
        <f>Gas!F13+Gas!I13+Gas!L13+Gas!O13</f>
        <v>154.04323999999605</v>
      </c>
      <c r="H6" s="10">
        <f>Gas!Q13/TOTAL!G6</f>
        <v>15839.999999999998</v>
      </c>
      <c r="I6" s="9">
        <f>'Fuel Diesel'!F13</f>
        <v>0</v>
      </c>
      <c r="J6" s="11">
        <v>10700</v>
      </c>
      <c r="K6" s="9">
        <f>Water!E13+Water!G13+Water!I13</f>
        <v>249</v>
      </c>
      <c r="L6" s="10">
        <f>Water!K13/TOTAL!K6</f>
        <v>4000</v>
      </c>
      <c r="M6" s="9">
        <f>Electricity!C12</f>
        <v>31</v>
      </c>
      <c r="N6" s="9">
        <f>Electricity!D12</f>
        <v>180</v>
      </c>
    </row>
    <row r="7" spans="1:14">
      <c r="A7" s="6" t="s">
        <v>14</v>
      </c>
      <c r="B7" s="7">
        <f t="shared" si="0"/>
        <v>6</v>
      </c>
      <c r="C7" s="8">
        <v>7</v>
      </c>
      <c r="D7" s="7">
        <v>2022</v>
      </c>
      <c r="E7" s="9">
        <f>Electricity!F13+Electricity!I13</f>
        <v>9460.0000000001492</v>
      </c>
      <c r="F7" s="10">
        <f>Electricity!L13/TOTAL!E7</f>
        <v>1232.9674418604675</v>
      </c>
      <c r="G7" s="9">
        <f>Gas!F14+Gas!I14+Gas!L14+Gas!O14</f>
        <v>114.95912000000351</v>
      </c>
      <c r="H7" s="10">
        <f>Gas!Q14/TOTAL!G7</f>
        <v>15839.999999999998</v>
      </c>
      <c r="I7" s="9">
        <f>'Fuel Diesel'!F14</f>
        <v>0</v>
      </c>
      <c r="J7" s="11">
        <v>10700</v>
      </c>
      <c r="K7" s="9">
        <f>Water!E14+Water!G14+Water!I14</f>
        <v>186</v>
      </c>
      <c r="L7" s="10">
        <f>Water!K14/TOTAL!K7</f>
        <v>4000</v>
      </c>
      <c r="M7" s="9">
        <f>Electricity!C13</f>
        <v>29</v>
      </c>
      <c r="N7" s="9">
        <f>Electricity!D13</f>
        <v>174</v>
      </c>
    </row>
    <row r="8" spans="1:14">
      <c r="A8" s="6" t="s">
        <v>14</v>
      </c>
      <c r="B8" s="7">
        <f t="shared" si="0"/>
        <v>7</v>
      </c>
      <c r="C8" s="8">
        <v>7</v>
      </c>
      <c r="D8" s="7">
        <v>2022</v>
      </c>
      <c r="E8" s="9">
        <f>Electricity!F14+Electricity!I14</f>
        <v>9120.0000000000036</v>
      </c>
      <c r="F8" s="10">
        <f>Electricity!L14/TOTAL!E8</f>
        <v>1241.4645833333325</v>
      </c>
      <c r="G8" s="9">
        <f>Gas!F15+Gas!I15+Gas!L15+Gas!O15</f>
        <v>120.19551999999965</v>
      </c>
      <c r="H8" s="10">
        <f>Gas!Q15/TOTAL!G8</f>
        <v>15840</v>
      </c>
      <c r="I8" s="9">
        <f>'Fuel Diesel'!F15</f>
        <v>0</v>
      </c>
      <c r="J8" s="11">
        <v>10700</v>
      </c>
      <c r="K8" s="9">
        <f>Water!E15+Water!G15+Water!I15</f>
        <v>171</v>
      </c>
      <c r="L8" s="10">
        <f>Water!K15/TOTAL!K8</f>
        <v>4000</v>
      </c>
      <c r="M8" s="9">
        <f>Electricity!C14</f>
        <v>37</v>
      </c>
      <c r="N8" s="9">
        <f>Electricity!D14</f>
        <v>194</v>
      </c>
    </row>
    <row r="9" spans="1:14">
      <c r="A9" s="6" t="s">
        <v>14</v>
      </c>
      <c r="B9" s="7">
        <f t="shared" si="0"/>
        <v>8</v>
      </c>
      <c r="C9" s="8">
        <v>7</v>
      </c>
      <c r="D9" s="7">
        <v>2022</v>
      </c>
      <c r="E9" s="9">
        <f>Electricity!F15+Electricity!I15</f>
        <v>9460.0000000002638</v>
      </c>
      <c r="F9" s="10">
        <f>Electricity!L15/TOTAL!E9</f>
        <v>1242.5999999999988</v>
      </c>
      <c r="G9" s="9">
        <f>Gas!F16+Gas!I16+Gas!L16+Gas!O16</f>
        <v>160.97140000000073</v>
      </c>
      <c r="H9" s="10">
        <f>Gas!Q16/TOTAL!G9</f>
        <v>15839.999999999996</v>
      </c>
      <c r="I9" s="9">
        <f>'Fuel Diesel'!F16</f>
        <v>0</v>
      </c>
      <c r="J9" s="11">
        <v>10700</v>
      </c>
      <c r="K9" s="9">
        <f>Water!E16+Water!G16+Water!I16</f>
        <v>214</v>
      </c>
      <c r="L9" s="10">
        <f>Water!K16/TOTAL!K9</f>
        <v>4000</v>
      </c>
      <c r="M9" s="9">
        <f>Electricity!C15</f>
        <v>45</v>
      </c>
      <c r="N9" s="9">
        <f>Electricity!D15</f>
        <v>232</v>
      </c>
    </row>
    <row r="10" spans="1:14">
      <c r="A10" s="6" t="s">
        <v>14</v>
      </c>
      <c r="B10" s="7">
        <f t="shared" si="0"/>
        <v>9</v>
      </c>
      <c r="C10" s="8">
        <v>7</v>
      </c>
      <c r="D10" s="7">
        <v>2022</v>
      </c>
      <c r="E10" s="9">
        <f>Electricity!F16+Electricity!I16</f>
        <v>9540.0000000000764</v>
      </c>
      <c r="F10" s="10">
        <f>Electricity!L16/TOTAL!E10</f>
        <v>1238.1497379454902</v>
      </c>
      <c r="G10" s="9">
        <f>Gas!F17+Gas!I17+Gas!L17+Gas!O17</f>
        <v>94.738560000000831</v>
      </c>
      <c r="H10" s="10">
        <f>Gas!Q17/TOTAL!G10</f>
        <v>15840</v>
      </c>
      <c r="I10" s="9">
        <f>'Fuel Diesel'!F17</f>
        <v>0</v>
      </c>
      <c r="J10" s="11">
        <v>10700</v>
      </c>
      <c r="K10" s="9">
        <f>Water!E17+Water!G17+Water!I17</f>
        <v>173</v>
      </c>
      <c r="L10" s="10">
        <f>Water!K17/TOTAL!K10</f>
        <v>4000</v>
      </c>
      <c r="M10" s="9">
        <f>Electricity!C16</f>
        <v>47</v>
      </c>
      <c r="N10" s="9">
        <f>Electricity!D16</f>
        <v>235</v>
      </c>
    </row>
    <row r="11" spans="1:14">
      <c r="A11" s="6" t="s">
        <v>14</v>
      </c>
      <c r="B11" s="7">
        <f t="shared" si="0"/>
        <v>10</v>
      </c>
      <c r="C11" s="8">
        <v>7</v>
      </c>
      <c r="D11" s="7">
        <v>2022</v>
      </c>
      <c r="E11" s="9">
        <f>Electricity!F17+Electricity!I17</f>
        <v>9419.999999999276</v>
      </c>
      <c r="F11" s="10">
        <f>Electricity!L17/TOTAL!E11</f>
        <v>1236.9937898089252</v>
      </c>
      <c r="G11" s="9">
        <f>Gas!F18+Gas!I18+Gas!L18+Gas!O18</f>
        <v>109.6018799999983</v>
      </c>
      <c r="H11" s="10">
        <f>Gas!Q18/TOTAL!G11</f>
        <v>15840</v>
      </c>
      <c r="I11" s="9">
        <f>'Fuel Diesel'!F18</f>
        <v>0</v>
      </c>
      <c r="J11" s="11">
        <v>10700</v>
      </c>
      <c r="K11" s="9">
        <f>Water!E18+Water!G18+Water!I18</f>
        <v>187</v>
      </c>
      <c r="L11" s="10">
        <f>Water!K18/TOTAL!K11</f>
        <v>4000</v>
      </c>
      <c r="M11" s="9">
        <f>Electricity!C17</f>
        <v>37</v>
      </c>
      <c r="N11" s="9">
        <f>Electricity!D17</f>
        <v>244</v>
      </c>
    </row>
    <row r="12" spans="1:14">
      <c r="A12" s="6" t="s">
        <v>14</v>
      </c>
      <c r="B12" s="7">
        <f t="shared" si="0"/>
        <v>11</v>
      </c>
      <c r="C12" s="8">
        <v>7</v>
      </c>
      <c r="D12" s="7">
        <v>2022</v>
      </c>
      <c r="E12" s="9">
        <f>Electricity!F18+Electricity!I18</f>
        <v>9880.0000000003365</v>
      </c>
      <c r="F12" s="10">
        <f>Electricity!L18/TOTAL!E12</f>
        <v>1239.3509615384589</v>
      </c>
      <c r="G12" s="9">
        <f>Gas!F19+Gas!I19+Gas!L19+Gas!O19</f>
        <v>109.64215999999644</v>
      </c>
      <c r="H12" s="10">
        <f>Gas!Q19/TOTAL!G12</f>
        <v>15840.000000000002</v>
      </c>
      <c r="I12" s="9">
        <f>'Fuel Diesel'!F19</f>
        <v>8</v>
      </c>
      <c r="J12" s="11">
        <v>10700</v>
      </c>
      <c r="K12" s="9">
        <f>Water!E19+Water!G19+Water!I19</f>
        <v>174</v>
      </c>
      <c r="L12" s="10">
        <f>Water!K19/TOTAL!K12</f>
        <v>4000</v>
      </c>
      <c r="M12" s="9">
        <f>Electricity!C18</f>
        <v>38</v>
      </c>
      <c r="N12" s="9">
        <f>Electricity!D18</f>
        <v>231</v>
      </c>
    </row>
    <row r="13" spans="1:14">
      <c r="A13" s="6" t="s">
        <v>14</v>
      </c>
      <c r="B13" s="7">
        <f t="shared" si="0"/>
        <v>12</v>
      </c>
      <c r="C13" s="8">
        <v>7</v>
      </c>
      <c r="D13" s="7">
        <v>2022</v>
      </c>
      <c r="E13" s="9">
        <f>Electricity!F19+Electricity!I19</f>
        <v>9659.9999999995125</v>
      </c>
      <c r="F13" s="10">
        <f>Electricity!L19/TOTAL!E13</f>
        <v>1238.0978260869588</v>
      </c>
      <c r="G13" s="9">
        <f>Gas!F20+Gas!I20+Gas!L20+Gas!O20</f>
        <v>99.854120000000762</v>
      </c>
      <c r="H13" s="10">
        <f>Gas!Q20/TOTAL!G13</f>
        <v>15840</v>
      </c>
      <c r="I13" s="9">
        <f>'Fuel Diesel'!F20</f>
        <v>0</v>
      </c>
      <c r="J13" s="11">
        <v>10700</v>
      </c>
      <c r="K13" s="9">
        <f>Water!E20+Water!G20+Water!I20</f>
        <v>146</v>
      </c>
      <c r="L13" s="10">
        <f>Water!K20/TOTAL!K13</f>
        <v>4000</v>
      </c>
      <c r="M13" s="9">
        <f>Electricity!C19</f>
        <v>34</v>
      </c>
      <c r="N13" s="9">
        <f>Electricity!D19</f>
        <v>204</v>
      </c>
    </row>
    <row r="14" spans="1:14">
      <c r="A14" s="6" t="s">
        <v>14</v>
      </c>
      <c r="B14" s="7">
        <f t="shared" si="0"/>
        <v>13</v>
      </c>
      <c r="C14" s="8">
        <v>7</v>
      </c>
      <c r="D14" s="7">
        <v>2022</v>
      </c>
      <c r="E14" s="9">
        <f>Electricity!F20+Electricity!I20</f>
        <v>9840.0000000003729</v>
      </c>
      <c r="F14" s="10">
        <f>Electricity!L20/TOTAL!E14</f>
        <v>1239.7586890243872</v>
      </c>
      <c r="G14" s="9">
        <f>Gas!F21+Gas!I21+Gas!L21+Gas!O21</f>
        <v>161.29363999999953</v>
      </c>
      <c r="H14" s="10">
        <f>Gas!Q21/TOTAL!G14</f>
        <v>15839.999999999998</v>
      </c>
      <c r="I14" s="9">
        <f>'Fuel Diesel'!F21</f>
        <v>28</v>
      </c>
      <c r="J14" s="11">
        <v>10700</v>
      </c>
      <c r="K14" s="9">
        <f>Water!E21+Water!G21+Water!I21</f>
        <v>181</v>
      </c>
      <c r="L14" s="10">
        <f>Water!K21/TOTAL!K14</f>
        <v>4000</v>
      </c>
      <c r="M14" s="9">
        <f>Electricity!C20</f>
        <v>41</v>
      </c>
      <c r="N14" s="9">
        <f>Electricity!D20</f>
        <v>209</v>
      </c>
    </row>
    <row r="15" spans="1:14">
      <c r="A15" s="6" t="s">
        <v>14</v>
      </c>
      <c r="B15" s="7">
        <f t="shared" si="0"/>
        <v>14</v>
      </c>
      <c r="C15" s="8">
        <v>7</v>
      </c>
      <c r="D15" s="7">
        <v>2022</v>
      </c>
      <c r="E15" s="9">
        <f>Electricity!F21+Electricity!I21</f>
        <v>9799.9999999999545</v>
      </c>
      <c r="F15" s="10">
        <f>Electricity!L21/TOTAL!E15</f>
        <v>1241.3320408163265</v>
      </c>
      <c r="G15" s="9">
        <f>Gas!F22+Gas!I22+Gas!L22+Gas!O22</f>
        <v>102.5931600000001</v>
      </c>
      <c r="H15" s="10">
        <f>Gas!Q22/TOTAL!G15</f>
        <v>15840.000000000002</v>
      </c>
      <c r="I15" s="9">
        <f>'Fuel Diesel'!F22</f>
        <v>0</v>
      </c>
      <c r="J15" s="11">
        <v>10700</v>
      </c>
      <c r="K15" s="9">
        <f>Water!E22+Water!G22+Water!I22</f>
        <v>164</v>
      </c>
      <c r="L15" s="10">
        <f>Water!K22/TOTAL!K15</f>
        <v>4000</v>
      </c>
      <c r="M15" s="9">
        <f>Electricity!C21</f>
        <v>31</v>
      </c>
      <c r="N15" s="9">
        <f>Electricity!D21</f>
        <v>253</v>
      </c>
    </row>
    <row r="16" spans="1:14">
      <c r="A16" s="6" t="s">
        <v>14</v>
      </c>
      <c r="B16" s="7">
        <f t="shared" si="0"/>
        <v>15</v>
      </c>
      <c r="C16" s="8">
        <v>7</v>
      </c>
      <c r="D16" s="7">
        <v>2022</v>
      </c>
      <c r="E16" s="9">
        <f>Electricity!F22+Electricity!I22</f>
        <v>10459.999999999924</v>
      </c>
      <c r="F16" s="10">
        <f>Electricity!L22/TOTAL!E16</f>
        <v>1239.2341300191229</v>
      </c>
      <c r="G16" s="9">
        <f>Gas!F23+Gas!I23+Gas!L23+Gas!O23</f>
        <v>113.02568000000068</v>
      </c>
      <c r="H16" s="10">
        <f>Gas!Q23/TOTAL!G16</f>
        <v>15840</v>
      </c>
      <c r="I16" s="9">
        <f>'Fuel Diesel'!F23</f>
        <v>0</v>
      </c>
      <c r="J16" s="11">
        <v>10700</v>
      </c>
      <c r="K16" s="9">
        <f>Water!E23+Water!G23+Water!I23</f>
        <v>184</v>
      </c>
      <c r="L16" s="10">
        <f>Water!K23/TOTAL!K16</f>
        <v>4000</v>
      </c>
      <c r="M16" s="9">
        <f>Electricity!C22</f>
        <v>25</v>
      </c>
      <c r="N16" s="9">
        <f>Electricity!D22</f>
        <v>149</v>
      </c>
    </row>
    <row r="17" spans="1:14">
      <c r="A17" s="6" t="s">
        <v>14</v>
      </c>
      <c r="B17" s="7">
        <f t="shared" si="0"/>
        <v>16</v>
      </c>
      <c r="C17" s="8">
        <v>7</v>
      </c>
      <c r="D17" s="7">
        <v>2022</v>
      </c>
      <c r="E17" s="9">
        <f>Electricity!F23+Electricity!I23</f>
        <v>10140.0000000001</v>
      </c>
      <c r="F17" s="10">
        <f>Electricity!L23/TOTAL!E17</f>
        <v>1237.9024654832335</v>
      </c>
      <c r="G17" s="9">
        <f>Gas!F24+Gas!I24+Gas!L24+Gas!O24</f>
        <v>109.36019999999945</v>
      </c>
      <c r="H17" s="10">
        <f>Gas!Q24/TOTAL!G17</f>
        <v>15839.999999999998</v>
      </c>
      <c r="I17" s="9">
        <f>'Fuel Diesel'!F24</f>
        <v>0</v>
      </c>
      <c r="J17" s="11">
        <v>10700</v>
      </c>
      <c r="K17" s="9">
        <f>Water!E24+Water!G24+Water!I24</f>
        <v>213</v>
      </c>
      <c r="L17" s="10">
        <f>Water!K24/TOTAL!K17</f>
        <v>4000</v>
      </c>
      <c r="M17" s="9">
        <f>Electricity!C23</f>
        <v>30</v>
      </c>
      <c r="N17" s="9">
        <f>Electricity!D23</f>
        <v>184</v>
      </c>
    </row>
    <row r="18" spans="1:14">
      <c r="A18" s="6" t="s">
        <v>14</v>
      </c>
      <c r="B18" s="7">
        <f t="shared" si="0"/>
        <v>17</v>
      </c>
      <c r="C18" s="8">
        <v>7</v>
      </c>
      <c r="D18" s="7">
        <v>2022</v>
      </c>
      <c r="E18" s="9">
        <f>Electricity!F24+Electricity!I24</f>
        <v>9740.0000000003492</v>
      </c>
      <c r="F18" s="10">
        <f>Electricity!L24/TOTAL!E18</f>
        <v>1234.9453798767927</v>
      </c>
      <c r="G18" s="9">
        <f>Gas!F25+Gas!I25+Gas!L25+Gas!O25</f>
        <v>101.98896000000157</v>
      </c>
      <c r="H18" s="10">
        <f>Gas!Q25/TOTAL!G18</f>
        <v>15840.000000000002</v>
      </c>
      <c r="I18" s="9">
        <f>'Fuel Diesel'!F25</f>
        <v>0</v>
      </c>
      <c r="J18" s="11">
        <v>10700</v>
      </c>
      <c r="K18" s="9">
        <f>Water!E25+Water!G25+Water!I25</f>
        <v>233</v>
      </c>
      <c r="L18" s="10">
        <f>Water!K25/TOTAL!K18</f>
        <v>4000</v>
      </c>
      <c r="M18" s="9">
        <f>Electricity!C24</f>
        <v>31</v>
      </c>
      <c r="N18" s="9">
        <f>Electricity!D24</f>
        <v>196</v>
      </c>
    </row>
    <row r="19" spans="1:14">
      <c r="A19" s="6" t="s">
        <v>14</v>
      </c>
      <c r="B19" s="7">
        <f t="shared" si="0"/>
        <v>18</v>
      </c>
      <c r="C19" s="8">
        <v>7</v>
      </c>
      <c r="D19" s="7">
        <v>2022</v>
      </c>
      <c r="E19" s="9">
        <f>Electricity!F25+Electricity!I25</f>
        <v>9859.9999999999</v>
      </c>
      <c r="F19" s="10">
        <f>Electricity!L25/TOTAL!E19</f>
        <v>1237.243965517245</v>
      </c>
      <c r="G19" s="9">
        <f>Gas!F26+Gas!I26+Gas!L26+Gas!O26</f>
        <v>125.593040000003</v>
      </c>
      <c r="H19" s="10">
        <f>Gas!Q26/TOTAL!G19</f>
        <v>15840</v>
      </c>
      <c r="I19" s="9">
        <f>'Fuel Diesel'!F26</f>
        <v>0</v>
      </c>
      <c r="J19" s="11">
        <v>10700</v>
      </c>
      <c r="K19" s="9">
        <f>Water!E26+Water!G26+Water!I26</f>
        <v>204</v>
      </c>
      <c r="L19" s="10">
        <f>Water!K26/TOTAL!K19</f>
        <v>4000</v>
      </c>
      <c r="M19" s="9">
        <f>Electricity!C25</f>
        <v>37</v>
      </c>
      <c r="N19" s="9">
        <f>Electricity!D25</f>
        <v>174</v>
      </c>
    </row>
    <row r="20" spans="1:14">
      <c r="A20" s="6" t="s">
        <v>14</v>
      </c>
      <c r="B20" s="7">
        <f t="shared" si="0"/>
        <v>19</v>
      </c>
      <c r="C20" s="8">
        <v>7</v>
      </c>
      <c r="D20" s="7">
        <v>2022</v>
      </c>
      <c r="E20" s="9">
        <f>Electricity!F26+Electricity!I26</f>
        <v>10399.999999999409</v>
      </c>
      <c r="F20" s="10">
        <f>Electricity!L26/TOTAL!E20</f>
        <v>1237.6216346153878</v>
      </c>
      <c r="G20" s="9">
        <f>Gas!F27+Gas!I27+Gas!L27+Gas!O27</f>
        <v>103.07651999999509</v>
      </c>
      <c r="H20" s="10">
        <f>Gas!Q27/TOTAL!G20</f>
        <v>15840</v>
      </c>
      <c r="I20" s="9">
        <f>'Fuel Diesel'!F27</f>
        <v>18</v>
      </c>
      <c r="J20" s="11">
        <v>10700</v>
      </c>
      <c r="K20" s="9">
        <f>Water!E27+Water!G27+Water!I27</f>
        <v>179</v>
      </c>
      <c r="L20" s="10">
        <f>Water!K27/TOTAL!K20</f>
        <v>4000</v>
      </c>
      <c r="M20" s="9">
        <f>Electricity!C26</f>
        <v>42</v>
      </c>
      <c r="N20" s="9">
        <f>Electricity!D26</f>
        <v>207</v>
      </c>
    </row>
    <row r="21" spans="1:14">
      <c r="A21" s="6" t="s">
        <v>14</v>
      </c>
      <c r="B21" s="7">
        <f t="shared" si="0"/>
        <v>20</v>
      </c>
      <c r="C21" s="8">
        <v>7</v>
      </c>
      <c r="D21" s="7">
        <v>2022</v>
      </c>
      <c r="E21" s="9">
        <f>Electricity!F27+Electricity!I27</f>
        <v>9960.0000000007185</v>
      </c>
      <c r="F21" s="10">
        <f>Electricity!L27/TOTAL!E21</f>
        <v>1237.4017068273038</v>
      </c>
      <c r="G21" s="9">
        <f>Gas!F28+Gas!I28+Gas!L28+Gas!O28</f>
        <v>103.88211999999801</v>
      </c>
      <c r="H21" s="10">
        <f>Gas!Q28/TOTAL!G21</f>
        <v>15840.000000000002</v>
      </c>
      <c r="I21" s="9">
        <f>'Fuel Diesel'!F28</f>
        <v>0</v>
      </c>
      <c r="J21" s="11">
        <v>10700</v>
      </c>
      <c r="K21" s="9">
        <f>Water!E28+Water!G28+Water!I28</f>
        <v>191</v>
      </c>
      <c r="L21" s="10">
        <f>Water!K28/TOTAL!K21</f>
        <v>4000</v>
      </c>
      <c r="M21" s="9">
        <f>Electricity!C27</f>
        <v>37</v>
      </c>
      <c r="N21" s="9">
        <f>Electricity!D27</f>
        <v>216</v>
      </c>
    </row>
    <row r="22" spans="1:14">
      <c r="A22" s="6" t="s">
        <v>14</v>
      </c>
      <c r="B22" s="7">
        <f t="shared" si="0"/>
        <v>21</v>
      </c>
      <c r="C22" s="8">
        <v>7</v>
      </c>
      <c r="D22" s="7">
        <v>2022</v>
      </c>
      <c r="E22" s="9">
        <f>Electricity!F28+Electricity!I28</f>
        <v>9560.0000000001728</v>
      </c>
      <c r="F22" s="10">
        <f>Electricity!L28/TOTAL!E22</f>
        <v>1239.1338912133913</v>
      </c>
      <c r="G22" s="9">
        <f>Gas!F29+Gas!I29+Gas!L29+Gas!O29</f>
        <v>133.58100000000275</v>
      </c>
      <c r="H22" s="10">
        <f>Gas!Q29/TOTAL!G22</f>
        <v>15839.999999999998</v>
      </c>
      <c r="I22" s="9">
        <f>'Fuel Diesel'!F29</f>
        <v>0</v>
      </c>
      <c r="J22" s="11">
        <v>10700</v>
      </c>
      <c r="K22" s="9">
        <f>Water!E29+Water!G29+Water!I29</f>
        <v>179</v>
      </c>
      <c r="L22" s="10">
        <f>Water!K29/TOTAL!K22</f>
        <v>4000</v>
      </c>
      <c r="M22" s="9">
        <f>Electricity!C28</f>
        <v>31</v>
      </c>
      <c r="N22" s="9">
        <f>Electricity!D28</f>
        <v>208</v>
      </c>
    </row>
    <row r="23" spans="1:14">
      <c r="A23" s="6" t="s">
        <v>14</v>
      </c>
      <c r="B23" s="7">
        <f t="shared" si="0"/>
        <v>22</v>
      </c>
      <c r="C23" s="8">
        <v>7</v>
      </c>
      <c r="D23" s="7">
        <v>2022</v>
      </c>
      <c r="E23" s="9">
        <f>Electricity!F29+Electricity!I29</f>
        <v>9819.9999999999363</v>
      </c>
      <c r="F23" s="10">
        <f>Electricity!L29/TOTAL!E23</f>
        <v>1242.2836558044798</v>
      </c>
      <c r="G23" s="9">
        <f>Gas!F30+Gas!I30+Gas!L30+Gas!O30</f>
        <v>98.686000000000902</v>
      </c>
      <c r="H23" s="10">
        <f>Gas!Q30/TOTAL!G23</f>
        <v>15839.999999999998</v>
      </c>
      <c r="I23" s="9">
        <f>'Fuel Diesel'!F30</f>
        <v>0</v>
      </c>
      <c r="J23" s="11">
        <v>10700</v>
      </c>
      <c r="K23" s="9">
        <f>Water!E30+Water!G30+Water!I30</f>
        <v>173</v>
      </c>
      <c r="L23" s="10">
        <f>Water!K30/TOTAL!K23</f>
        <v>4000</v>
      </c>
      <c r="M23" s="9">
        <f>Electricity!C29</f>
        <v>37</v>
      </c>
      <c r="N23" s="9">
        <f>Electricity!D29</f>
        <v>176</v>
      </c>
    </row>
    <row r="24" spans="1:14">
      <c r="A24" s="6" t="s">
        <v>14</v>
      </c>
      <c r="B24" s="7">
        <f t="shared" si="0"/>
        <v>23</v>
      </c>
      <c r="C24" s="8">
        <v>7</v>
      </c>
      <c r="D24" s="7">
        <v>2022</v>
      </c>
      <c r="E24" s="9">
        <f>Electricity!F30+Electricity!I30</f>
        <v>10299.9999999995</v>
      </c>
      <c r="F24" s="10">
        <f>Electricity!L30/TOTAL!E24</f>
        <v>1235.2610194174808</v>
      </c>
      <c r="G24" s="9">
        <f>Gas!F31+Gas!I31+Gas!L31+Gas!O31</f>
        <v>103.19735999999864</v>
      </c>
      <c r="H24" s="10">
        <f>Gas!Q31/TOTAL!G24</f>
        <v>15840</v>
      </c>
      <c r="I24" s="9">
        <f>'Fuel Diesel'!F31</f>
        <v>0</v>
      </c>
      <c r="J24" s="11">
        <v>10700</v>
      </c>
      <c r="K24" s="9">
        <f>Water!E31+Water!G31+Water!I31</f>
        <v>176</v>
      </c>
      <c r="L24" s="10">
        <f>Water!K31/TOTAL!K24</f>
        <v>4000</v>
      </c>
      <c r="M24" s="9">
        <f>Electricity!C30</f>
        <v>39</v>
      </c>
      <c r="N24" s="9">
        <f>Electricity!D30</f>
        <v>212</v>
      </c>
    </row>
    <row r="25" spans="1:14">
      <c r="A25" s="6" t="s">
        <v>14</v>
      </c>
      <c r="B25" s="7">
        <f t="shared" si="0"/>
        <v>24</v>
      </c>
      <c r="C25" s="8">
        <v>7</v>
      </c>
      <c r="D25" s="7">
        <v>2022</v>
      </c>
      <c r="E25" s="9">
        <f>Electricity!F31+Electricity!I31</f>
        <v>9819.9999999998217</v>
      </c>
      <c r="F25" s="10">
        <f>Electricity!L31/TOTAL!E25</f>
        <v>1237.6439409368616</v>
      </c>
      <c r="G25" s="9">
        <f>Gas!F32+Gas!I32+Gas!L32+Gas!O32</f>
        <v>116.36892000000223</v>
      </c>
      <c r="H25" s="10">
        <f>Gas!Q32/TOTAL!G25</f>
        <v>15839.999999999998</v>
      </c>
      <c r="I25" s="9">
        <f>'Fuel Diesel'!F32</f>
        <v>0</v>
      </c>
      <c r="J25" s="11">
        <v>10700</v>
      </c>
      <c r="K25" s="9">
        <f>Water!E32+Water!G32+Water!I32</f>
        <v>176</v>
      </c>
      <c r="L25" s="10">
        <f>Water!K32/TOTAL!K25</f>
        <v>4000</v>
      </c>
      <c r="M25" s="9">
        <f>Electricity!C31</f>
        <v>34</v>
      </c>
      <c r="N25" s="9">
        <f>Electricity!D31</f>
        <v>245</v>
      </c>
    </row>
    <row r="26" spans="1:14">
      <c r="A26" s="6" t="s">
        <v>14</v>
      </c>
      <c r="B26" s="7">
        <f>B25+1</f>
        <v>25</v>
      </c>
      <c r="C26" s="8">
        <v>7</v>
      </c>
      <c r="D26" s="7">
        <v>2022</v>
      </c>
      <c r="E26" s="9">
        <f>Electricity!F32+Electricity!I32</f>
        <v>9980.0000000002456</v>
      </c>
      <c r="F26" s="10">
        <f>Electricity!L32/TOTAL!E26</f>
        <v>1234.9219438877769</v>
      </c>
      <c r="G26" s="9">
        <f>Gas!F33+Gas!I33+Gas!L33+Gas!O33</f>
        <v>114.07295999999882</v>
      </c>
      <c r="H26" s="10">
        <f>Gas!Q33/TOTAL!G26</f>
        <v>15840</v>
      </c>
      <c r="I26" s="9">
        <f>'Fuel Diesel'!F33</f>
        <v>0</v>
      </c>
      <c r="J26" s="11">
        <v>10700</v>
      </c>
      <c r="K26" s="9">
        <f>Water!E33+Water!G33+Water!I33</f>
        <v>187</v>
      </c>
      <c r="L26" s="10">
        <f>Water!K33/TOTAL!K26</f>
        <v>4000</v>
      </c>
      <c r="M26" s="9">
        <f>Electricity!C32</f>
        <v>38</v>
      </c>
      <c r="N26" s="9">
        <f>Electricity!D32</f>
        <v>187</v>
      </c>
    </row>
    <row r="27" spans="1:14">
      <c r="A27" s="6" t="s">
        <v>14</v>
      </c>
      <c r="B27" s="7">
        <f t="shared" si="0"/>
        <v>26</v>
      </c>
      <c r="C27" s="8">
        <v>7</v>
      </c>
      <c r="D27" s="7">
        <v>2022</v>
      </c>
      <c r="E27" s="9">
        <f>Electricity!F33+Electricity!I33</f>
        <v>9900.0000000003183</v>
      </c>
      <c r="F27" s="10">
        <f>Electricity!L33/TOTAL!E27</f>
        <v>1237.9977777777763</v>
      </c>
      <c r="G27" s="9">
        <f>Gas!F34+Gas!I34+Gas!L34+Gas!O34</f>
        <v>115.28135999999863</v>
      </c>
      <c r="H27" s="10">
        <f>Gas!Q34/TOTAL!G27</f>
        <v>15840.000000000002</v>
      </c>
      <c r="I27" s="9">
        <f>'Fuel Diesel'!F34</f>
        <v>21</v>
      </c>
      <c r="J27" s="11">
        <v>10700</v>
      </c>
      <c r="K27" s="9">
        <f>Water!E34+Water!G34+Water!I34</f>
        <v>182</v>
      </c>
      <c r="L27" s="10">
        <f>Water!K34/TOTAL!K27</f>
        <v>4000</v>
      </c>
      <c r="M27" s="9">
        <f>Electricity!C33</f>
        <v>37</v>
      </c>
      <c r="N27" s="9">
        <f>Electricity!D33</f>
        <v>212</v>
      </c>
    </row>
    <row r="28" spans="1:14">
      <c r="A28" s="6" t="s">
        <v>14</v>
      </c>
      <c r="B28" s="7">
        <f t="shared" si="0"/>
        <v>27</v>
      </c>
      <c r="C28" s="8">
        <v>7</v>
      </c>
      <c r="D28" s="7">
        <v>2022</v>
      </c>
      <c r="E28" s="9">
        <f>Electricity!F34+Electricity!I34</f>
        <v>10200.000000000045</v>
      </c>
      <c r="F28" s="10">
        <f>Electricity!L34/TOTAL!E28</f>
        <v>1238.4376960784293</v>
      </c>
      <c r="G28" s="9">
        <f>Gas!F35+Gas!I35+Gas!L35+Gas!O35</f>
        <v>165.52304000000026</v>
      </c>
      <c r="H28" s="10">
        <f>Gas!Q35/TOTAL!G28</f>
        <v>15839.999999999998</v>
      </c>
      <c r="I28" s="9">
        <f>'Fuel Diesel'!F35</f>
        <v>0</v>
      </c>
      <c r="J28" s="11">
        <v>10700</v>
      </c>
      <c r="K28" s="9">
        <f>Water!E35+Water!G35+Water!I35</f>
        <v>203</v>
      </c>
      <c r="L28" s="10">
        <f>Water!K35/TOTAL!K28</f>
        <v>4000</v>
      </c>
      <c r="M28" s="9">
        <f>Electricity!C34</f>
        <v>40</v>
      </c>
      <c r="N28" s="9">
        <f>Electricity!D34</f>
        <v>193</v>
      </c>
    </row>
    <row r="29" spans="1:14">
      <c r="A29" s="6" t="s">
        <v>14</v>
      </c>
      <c r="B29" s="7">
        <f t="shared" si="0"/>
        <v>28</v>
      </c>
      <c r="C29" s="8">
        <v>7</v>
      </c>
      <c r="D29" s="7">
        <v>2022</v>
      </c>
      <c r="E29" s="9">
        <f>Electricity!F35+Electricity!I35</f>
        <v>10240.000000000009</v>
      </c>
      <c r="F29" s="10">
        <f>Electricity!L35/TOTAL!E29</f>
        <v>1240.2741699218714</v>
      </c>
      <c r="G29" s="9">
        <f>Gas!F36+Gas!I36+Gas!L36+Gas!O36</f>
        <v>108.79627999999904</v>
      </c>
      <c r="H29" s="10">
        <f>Gas!Q36/TOTAL!G29</f>
        <v>15840</v>
      </c>
      <c r="I29" s="9">
        <f>'Fuel Diesel'!F36</f>
        <v>0</v>
      </c>
      <c r="J29" s="11">
        <v>10700</v>
      </c>
      <c r="K29" s="9">
        <f>Water!E36+Water!G36+Water!I36</f>
        <v>213</v>
      </c>
      <c r="L29" s="10">
        <f>Water!K36/TOTAL!K29</f>
        <v>4000</v>
      </c>
      <c r="M29" s="9">
        <f>Electricity!C35</f>
        <v>40</v>
      </c>
      <c r="N29" s="9">
        <f>Electricity!D35</f>
        <v>219</v>
      </c>
    </row>
    <row r="30" spans="1:14">
      <c r="A30" s="6" t="s">
        <v>14</v>
      </c>
      <c r="B30" s="7">
        <f t="shared" si="0"/>
        <v>29</v>
      </c>
      <c r="C30" s="8">
        <v>7</v>
      </c>
      <c r="D30" s="7">
        <v>2022</v>
      </c>
      <c r="E30" s="9">
        <f>Electricity!F36+Electricity!I36</f>
        <v>10459.999999999924</v>
      </c>
      <c r="F30" s="10">
        <f>Electricity!L36/TOTAL!E30</f>
        <v>1237.0562141491439</v>
      </c>
      <c r="G30" s="9">
        <f>Gas!F37+Gas!I37+Gas!L37+Gas!O37</f>
        <v>113.22708000000142</v>
      </c>
      <c r="H30" s="10">
        <f>Gas!Q37/TOTAL!G30</f>
        <v>15839.999999999998</v>
      </c>
      <c r="I30" s="9">
        <f>'Fuel Diesel'!F37</f>
        <v>0</v>
      </c>
      <c r="J30" s="11">
        <v>10700</v>
      </c>
      <c r="K30" s="9">
        <f>Water!E37+Water!G37+Water!I37</f>
        <v>192</v>
      </c>
      <c r="L30" s="10">
        <f>Water!K37/TOTAL!K30</f>
        <v>4000</v>
      </c>
      <c r="M30" s="9">
        <f>Electricity!C36</f>
        <v>35</v>
      </c>
      <c r="N30" s="9">
        <f>Electricity!D36</f>
        <v>223</v>
      </c>
    </row>
    <row r="31" spans="1:14">
      <c r="A31" s="6" t="s">
        <v>14</v>
      </c>
      <c r="B31" s="7">
        <v>30</v>
      </c>
      <c r="C31" s="8">
        <v>7</v>
      </c>
      <c r="D31" s="7">
        <v>2022</v>
      </c>
      <c r="E31" s="9">
        <f>Electricity!F37+Electricity!I37</f>
        <v>10160.000000000082</v>
      </c>
      <c r="F31" s="10">
        <f>Electricity!L37/TOTAL!E31</f>
        <v>1241.071210629917</v>
      </c>
      <c r="G31" s="9">
        <f>Gas!F38+Gas!I38+Gas!L38+Gas!O38</f>
        <v>108.03095999999974</v>
      </c>
      <c r="H31" s="10">
        <f>Gas!Q38/TOTAL!G31</f>
        <v>15840</v>
      </c>
      <c r="I31" s="9">
        <f>'Fuel Diesel'!F38</f>
        <v>0</v>
      </c>
      <c r="J31" s="11">
        <v>10700</v>
      </c>
      <c r="K31" s="9">
        <f>Water!E38+Water!G38+Water!I38</f>
        <v>209</v>
      </c>
      <c r="L31" s="10">
        <f>Water!K38/TOTAL!K31</f>
        <v>4000</v>
      </c>
      <c r="M31" s="9">
        <f>Electricity!C37</f>
        <v>43</v>
      </c>
      <c r="N31" s="9">
        <f>Electricity!D37</f>
        <v>264</v>
      </c>
    </row>
    <row r="32" spans="1:14">
      <c r="A32" s="6" t="s">
        <v>14</v>
      </c>
      <c r="B32" s="7">
        <v>31</v>
      </c>
      <c r="C32" s="8">
        <v>7</v>
      </c>
      <c r="D32" s="7">
        <v>2022</v>
      </c>
      <c r="E32" s="9">
        <f>Electricity!F38+Electricity!I38</f>
        <v>9919.9999999993906</v>
      </c>
      <c r="F32" s="10">
        <f>Electricity!L38/TOTAL!E32</f>
        <v>1238.9465221774262</v>
      </c>
      <c r="G32" s="9">
        <f>Gas!F39+Gas!I39+Gas!L39+Gas!O39</f>
        <v>102.91539999999888</v>
      </c>
      <c r="H32" s="10">
        <f>Gas!Q39/TOTAL!G32</f>
        <v>15840</v>
      </c>
      <c r="I32" s="9">
        <f>'Fuel Diesel'!F39</f>
        <v>0</v>
      </c>
      <c r="J32" s="11">
        <v>10700</v>
      </c>
      <c r="K32" s="9">
        <f>Water!E39+Water!G39+Water!I39</f>
        <v>187</v>
      </c>
      <c r="L32" s="10">
        <f>Water!K39/TOTAL!K32</f>
        <v>4000</v>
      </c>
      <c r="M32" s="9">
        <f>Electricity!C38</f>
        <v>44</v>
      </c>
      <c r="N32" s="9">
        <f>Electricity!D38</f>
        <v>258</v>
      </c>
    </row>
    <row r="33" spans="5:14" ht="15">
      <c r="E33" s="82">
        <f>SUM(E2:E32)</f>
        <v>306039.99999999983</v>
      </c>
      <c r="F33" s="82">
        <f>SUM(F2:F32)/31</f>
        <v>1238.3621276960298</v>
      </c>
      <c r="G33" s="82">
        <f>SUM(G2:G32)</f>
        <v>3620.8443199999974</v>
      </c>
      <c r="H33" s="92">
        <f>SUM(H2:H32)/31</f>
        <v>15840</v>
      </c>
      <c r="I33" s="82">
        <f>SUM(I2:I32)</f>
        <v>83</v>
      </c>
      <c r="J33" s="11">
        <v>10700</v>
      </c>
      <c r="K33" s="82">
        <f>SUM(K2:K32)</f>
        <v>5812</v>
      </c>
      <c r="L33" s="92">
        <f>SUM(L2:L32)/31</f>
        <v>4000</v>
      </c>
      <c r="M33" s="82">
        <f>SUM(M2:M32)</f>
        <v>1119</v>
      </c>
      <c r="N33" s="82">
        <f t="shared" ref="M33:N33" si="1">SUM(N2:N32)</f>
        <v>6390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D26" workbookViewId="0">
      <selection activeCell="D26" sqref="D26"/>
    </sheetView>
  </sheetViews>
  <sheetFormatPr defaultRowHeight="14.2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4">
      <c r="B1" s="104" t="s">
        <v>15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2"/>
      <c r="N1" s="12"/>
    </row>
    <row r="2" spans="1:14" ht="15.4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5">
        <v>44743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6"/>
    </row>
    <row r="5" spans="1:14">
      <c r="A5" s="17"/>
      <c r="B5" s="103" t="s">
        <v>17</v>
      </c>
      <c r="C5" s="103" t="s">
        <v>18</v>
      </c>
      <c r="D5" s="103" t="s">
        <v>13</v>
      </c>
      <c r="E5" s="106" t="s">
        <v>19</v>
      </c>
      <c r="F5" s="106"/>
      <c r="G5" s="106"/>
      <c r="H5" s="107" t="s">
        <v>20</v>
      </c>
      <c r="I5" s="107"/>
      <c r="J5" s="107"/>
      <c r="K5" s="103" t="s">
        <v>21</v>
      </c>
      <c r="L5" s="103" t="s">
        <v>22</v>
      </c>
      <c r="M5" s="103" t="s">
        <v>23</v>
      </c>
      <c r="N5" s="18"/>
    </row>
    <row r="6" spans="1:14" s="19" customFormat="1">
      <c r="A6" s="17"/>
      <c r="B6" s="103"/>
      <c r="C6" s="103"/>
      <c r="D6" s="103"/>
      <c r="E6" s="103" t="s">
        <v>24</v>
      </c>
      <c r="F6" s="103" t="s">
        <v>25</v>
      </c>
      <c r="G6" s="103" t="s">
        <v>26</v>
      </c>
      <c r="H6" s="103" t="s">
        <v>24</v>
      </c>
      <c r="I6" s="103" t="s">
        <v>25</v>
      </c>
      <c r="J6" s="103" t="s">
        <v>27</v>
      </c>
      <c r="K6" s="103"/>
      <c r="L6" s="103"/>
      <c r="M6" s="103"/>
      <c r="N6" s="18"/>
    </row>
    <row r="7" spans="1:14">
      <c r="A7" s="20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21"/>
    </row>
    <row r="8" spans="1:14" ht="15">
      <c r="A8" s="20"/>
      <c r="B8" s="22">
        <v>1</v>
      </c>
      <c r="C8" s="95">
        <v>35</v>
      </c>
      <c r="D8" s="99">
        <v>171</v>
      </c>
      <c r="E8" s="24">
        <v>4.0499999999999545</v>
      </c>
      <c r="F8" s="25">
        <f t="shared" ref="F8:F38" si="0">E8*2000</f>
        <v>8099.9999999999091</v>
      </c>
      <c r="G8" s="26">
        <f t="shared" ref="G8:G38" si="1">F8*1035.5</f>
        <v>8387549.9999999059</v>
      </c>
      <c r="H8" s="24">
        <v>0.8900000000000432</v>
      </c>
      <c r="I8" s="25">
        <f t="shared" ref="I8:I38" si="2">H8*2000</f>
        <v>1780.0000000000864</v>
      </c>
      <c r="J8" s="26">
        <f t="shared" ref="J8:J38" si="3">I8*1553.25</f>
        <v>2764785.0000001341</v>
      </c>
      <c r="K8" s="24">
        <f t="shared" ref="K8:K38" si="4">G8+J8</f>
        <v>11152335.000000041</v>
      </c>
      <c r="L8" s="27">
        <f t="shared" ref="L8:L38" si="5">K8*1.1</f>
        <v>12267568.500000047</v>
      </c>
      <c r="M8" s="28">
        <f>L8/14381</f>
        <v>853.04001807941358</v>
      </c>
      <c r="N8" s="29"/>
    </row>
    <row r="9" spans="1:14" ht="15">
      <c r="A9" s="20"/>
      <c r="B9" s="22">
        <v>2</v>
      </c>
      <c r="C9" s="96">
        <v>27</v>
      </c>
      <c r="D9" s="99">
        <v>188</v>
      </c>
      <c r="E9" s="24">
        <v>4.040000000000191</v>
      </c>
      <c r="F9" s="25">
        <f t="shared" si="0"/>
        <v>8080.000000000382</v>
      </c>
      <c r="G9" s="26">
        <f t="shared" si="1"/>
        <v>8366840.0000003958</v>
      </c>
      <c r="H9" s="24">
        <v>0.81999999999999318</v>
      </c>
      <c r="I9" s="25">
        <f t="shared" si="2"/>
        <v>1639.9999999999864</v>
      </c>
      <c r="J9" s="26">
        <f t="shared" si="3"/>
        <v>2547329.9999999786</v>
      </c>
      <c r="K9" s="24">
        <f t="shared" si="4"/>
        <v>10914170.000000374</v>
      </c>
      <c r="L9" s="27">
        <f t="shared" si="5"/>
        <v>12005587.000000414</v>
      </c>
      <c r="M9" s="28">
        <f t="shared" ref="M9:M38" si="6">L9/14381</f>
        <v>834.82282177876459</v>
      </c>
      <c r="N9" s="29"/>
    </row>
    <row r="10" spans="1:14" ht="15">
      <c r="A10" s="20"/>
      <c r="B10" s="22">
        <v>3</v>
      </c>
      <c r="C10" s="95">
        <v>33</v>
      </c>
      <c r="D10" s="99">
        <v>166</v>
      </c>
      <c r="E10" s="24">
        <v>3.9299999999998363</v>
      </c>
      <c r="F10" s="25">
        <f t="shared" si="0"/>
        <v>7859.9999999996726</v>
      </c>
      <c r="G10" s="26">
        <f t="shared" si="1"/>
        <v>8139029.999999661</v>
      </c>
      <c r="H10" s="24">
        <v>0.84999999999996589</v>
      </c>
      <c r="I10" s="25">
        <f t="shared" si="2"/>
        <v>1699.9999999999318</v>
      </c>
      <c r="J10" s="26">
        <f t="shared" si="3"/>
        <v>2640524.9999998938</v>
      </c>
      <c r="K10" s="24">
        <f t="shared" si="4"/>
        <v>10779554.999999555</v>
      </c>
      <c r="L10" s="27">
        <f t="shared" si="5"/>
        <v>11857510.499999512</v>
      </c>
      <c r="M10" s="28">
        <f t="shared" si="6"/>
        <v>824.52614560875543</v>
      </c>
      <c r="N10" s="29"/>
    </row>
    <row r="11" spans="1:14" ht="15">
      <c r="A11" s="20"/>
      <c r="B11" s="22">
        <v>4</v>
      </c>
      <c r="C11" s="95">
        <v>34</v>
      </c>
      <c r="D11" s="99">
        <v>186</v>
      </c>
      <c r="E11" s="24">
        <v>4.2000000000000455</v>
      </c>
      <c r="F11" s="25">
        <f t="shared" si="0"/>
        <v>8400.0000000000909</v>
      </c>
      <c r="G11" s="26">
        <f t="shared" si="1"/>
        <v>8698200.000000095</v>
      </c>
      <c r="H11" s="24">
        <v>0.84000000000003183</v>
      </c>
      <c r="I11" s="25">
        <f t="shared" si="2"/>
        <v>1680.0000000000637</v>
      </c>
      <c r="J11" s="26">
        <f t="shared" si="3"/>
        <v>2609460.0000000987</v>
      </c>
      <c r="K11" s="24">
        <f t="shared" si="4"/>
        <v>11307660.000000194</v>
      </c>
      <c r="L11" s="27">
        <f t="shared" si="5"/>
        <v>12438426.000000214</v>
      </c>
      <c r="M11" s="28">
        <f t="shared" si="6"/>
        <v>864.92079827551731</v>
      </c>
      <c r="N11" s="29"/>
    </row>
    <row r="12" spans="1:14" ht="15">
      <c r="A12" s="20"/>
      <c r="B12" s="22">
        <v>5</v>
      </c>
      <c r="C12" s="96">
        <v>31</v>
      </c>
      <c r="D12" s="99">
        <v>180</v>
      </c>
      <c r="E12" s="24">
        <v>3.9900000000000091</v>
      </c>
      <c r="F12" s="25">
        <f t="shared" si="0"/>
        <v>7980.0000000000182</v>
      </c>
      <c r="G12" s="26">
        <f t="shared" si="1"/>
        <v>8263290.0000000186</v>
      </c>
      <c r="H12" s="24">
        <v>0.8599999999999568</v>
      </c>
      <c r="I12" s="25">
        <f t="shared" si="2"/>
        <v>1719.9999999999136</v>
      </c>
      <c r="J12" s="26">
        <f t="shared" si="3"/>
        <v>2671589.9999998659</v>
      </c>
      <c r="K12" s="24">
        <f t="shared" si="4"/>
        <v>10934879.999999885</v>
      </c>
      <c r="L12" s="27">
        <f t="shared" si="5"/>
        <v>12028367.999999873</v>
      </c>
      <c r="M12" s="28">
        <f t="shared" si="6"/>
        <v>836.40692580487269</v>
      </c>
      <c r="N12" s="29"/>
    </row>
    <row r="13" spans="1:14" ht="15">
      <c r="A13" s="20"/>
      <c r="B13" s="22">
        <v>6</v>
      </c>
      <c r="C13" s="95">
        <v>29</v>
      </c>
      <c r="D13" s="99">
        <v>174</v>
      </c>
      <c r="E13" s="24">
        <v>3.9500000000000455</v>
      </c>
      <c r="F13" s="25">
        <f t="shared" si="0"/>
        <v>7900.0000000000909</v>
      </c>
      <c r="G13" s="26">
        <f t="shared" si="1"/>
        <v>8180450.0000000941</v>
      </c>
      <c r="H13" s="24">
        <v>0.78000000000002956</v>
      </c>
      <c r="I13" s="25">
        <f t="shared" si="2"/>
        <v>1560.0000000000591</v>
      </c>
      <c r="J13" s="26">
        <f t="shared" si="3"/>
        <v>2423070.0000000917</v>
      </c>
      <c r="K13" s="24">
        <f t="shared" si="4"/>
        <v>10603520.000000186</v>
      </c>
      <c r="L13" s="27">
        <f t="shared" si="5"/>
        <v>11663872.000000207</v>
      </c>
      <c r="M13" s="28">
        <f t="shared" si="6"/>
        <v>811.06126138656612</v>
      </c>
      <c r="N13" s="29"/>
    </row>
    <row r="14" spans="1:14" ht="15">
      <c r="A14" s="20"/>
      <c r="B14" s="22">
        <v>7</v>
      </c>
      <c r="C14" s="96">
        <v>37</v>
      </c>
      <c r="D14" s="99">
        <v>194</v>
      </c>
      <c r="E14" s="24">
        <v>3.7400000000000091</v>
      </c>
      <c r="F14" s="25">
        <f t="shared" si="0"/>
        <v>7480.0000000000182</v>
      </c>
      <c r="G14" s="26">
        <f t="shared" si="1"/>
        <v>7745540.0000000186</v>
      </c>
      <c r="H14" s="24">
        <v>0.81999999999999318</v>
      </c>
      <c r="I14" s="25">
        <f t="shared" si="2"/>
        <v>1639.9999999999864</v>
      </c>
      <c r="J14" s="26">
        <f t="shared" si="3"/>
        <v>2547329.9999999786</v>
      </c>
      <c r="K14" s="24">
        <f t="shared" si="4"/>
        <v>10292869.999999996</v>
      </c>
      <c r="L14" s="27">
        <f t="shared" si="5"/>
        <v>11322156.999999996</v>
      </c>
      <c r="M14" s="28">
        <f t="shared" si="6"/>
        <v>787.2997009943673</v>
      </c>
      <c r="N14" s="29"/>
    </row>
    <row r="15" spans="1:14" ht="15">
      <c r="A15" s="20"/>
      <c r="B15" s="22">
        <v>8</v>
      </c>
      <c r="C15" s="95">
        <v>45</v>
      </c>
      <c r="D15" s="99">
        <v>232</v>
      </c>
      <c r="E15" s="24">
        <v>3.8700000000001182</v>
      </c>
      <c r="F15" s="25">
        <f t="shared" si="0"/>
        <v>7740.0000000002365</v>
      </c>
      <c r="G15" s="26">
        <f t="shared" si="1"/>
        <v>8014770.0000002449</v>
      </c>
      <c r="H15" s="24">
        <v>0.86000000000001364</v>
      </c>
      <c r="I15" s="25">
        <f t="shared" si="2"/>
        <v>1720.0000000000273</v>
      </c>
      <c r="J15" s="26">
        <f t="shared" si="3"/>
        <v>2671590.0000000424</v>
      </c>
      <c r="K15" s="24">
        <f t="shared" si="4"/>
        <v>10686360.000000287</v>
      </c>
      <c r="L15" s="27">
        <f t="shared" si="5"/>
        <v>11754996.000000317</v>
      </c>
      <c r="M15" s="28">
        <f t="shared" si="6"/>
        <v>817.39767749115617</v>
      </c>
      <c r="N15" s="29"/>
    </row>
    <row r="16" spans="1:14" ht="15">
      <c r="A16" s="20"/>
      <c r="B16" s="22">
        <v>9</v>
      </c>
      <c r="C16" s="96">
        <v>47</v>
      </c>
      <c r="D16" s="99">
        <v>235</v>
      </c>
      <c r="E16" s="24">
        <v>3.9400000000000546</v>
      </c>
      <c r="F16" s="25">
        <f t="shared" si="0"/>
        <v>7880.0000000001091</v>
      </c>
      <c r="G16" s="26">
        <f t="shared" si="1"/>
        <v>8159740.0000001127</v>
      </c>
      <c r="H16" s="24">
        <v>0.82999999999998408</v>
      </c>
      <c r="I16" s="25">
        <f t="shared" si="2"/>
        <v>1659.9999999999682</v>
      </c>
      <c r="J16" s="26">
        <f t="shared" si="3"/>
        <v>2578394.9999999506</v>
      </c>
      <c r="K16" s="24">
        <f t="shared" si="4"/>
        <v>10738135.000000063</v>
      </c>
      <c r="L16" s="27">
        <f t="shared" si="5"/>
        <v>11811948.500000071</v>
      </c>
      <c r="M16" s="28">
        <f t="shared" si="6"/>
        <v>821.35793755650309</v>
      </c>
      <c r="N16" s="29"/>
    </row>
    <row r="17" spans="1:14" ht="15">
      <c r="A17" s="20"/>
      <c r="B17" s="22">
        <v>10</v>
      </c>
      <c r="C17" s="95">
        <v>37</v>
      </c>
      <c r="D17" s="99">
        <v>244</v>
      </c>
      <c r="E17" s="24">
        <v>3.8999999999996362</v>
      </c>
      <c r="F17" s="25">
        <f t="shared" si="0"/>
        <v>7799.9999999992724</v>
      </c>
      <c r="G17" s="26">
        <f t="shared" si="1"/>
        <v>8076899.9999992466</v>
      </c>
      <c r="H17" s="24">
        <v>0.81000000000000227</v>
      </c>
      <c r="I17" s="25">
        <f t="shared" si="2"/>
        <v>1620.0000000000045</v>
      </c>
      <c r="J17" s="26">
        <f t="shared" si="3"/>
        <v>2516265.000000007</v>
      </c>
      <c r="K17" s="24">
        <f t="shared" si="4"/>
        <v>10593164.999999253</v>
      </c>
      <c r="L17" s="27">
        <f t="shared" si="5"/>
        <v>11652481.499999179</v>
      </c>
      <c r="M17" s="28">
        <f t="shared" si="6"/>
        <v>810.26920937342175</v>
      </c>
      <c r="N17" s="29"/>
    </row>
    <row r="18" spans="1:14" ht="15">
      <c r="A18" s="20"/>
      <c r="B18" s="22">
        <v>11</v>
      </c>
      <c r="C18" s="96">
        <v>38</v>
      </c>
      <c r="D18" s="99">
        <v>231</v>
      </c>
      <c r="E18" s="24">
        <v>4.0700000000001637</v>
      </c>
      <c r="F18" s="25">
        <f t="shared" si="0"/>
        <v>8140.0000000003274</v>
      </c>
      <c r="G18" s="26">
        <f t="shared" si="1"/>
        <v>8428970.000000339</v>
      </c>
      <c r="H18" s="24">
        <v>0.87000000000000455</v>
      </c>
      <c r="I18" s="25">
        <f t="shared" si="2"/>
        <v>1740.0000000000091</v>
      </c>
      <c r="J18" s="26">
        <f t="shared" si="3"/>
        <v>2702655.000000014</v>
      </c>
      <c r="K18" s="24">
        <f t="shared" si="4"/>
        <v>11131625.000000354</v>
      </c>
      <c r="L18" s="27">
        <f t="shared" si="5"/>
        <v>12244787.500000391</v>
      </c>
      <c r="M18" s="28">
        <f t="shared" si="6"/>
        <v>851.45591405329196</v>
      </c>
      <c r="N18" s="29"/>
    </row>
    <row r="19" spans="1:14" ht="15">
      <c r="A19" s="20"/>
      <c r="B19" s="22">
        <v>12</v>
      </c>
      <c r="C19" s="97">
        <v>34</v>
      </c>
      <c r="D19" s="99">
        <v>204</v>
      </c>
      <c r="E19" s="24">
        <v>3.9899999999997817</v>
      </c>
      <c r="F19" s="25">
        <f t="shared" si="0"/>
        <v>7979.9999999995634</v>
      </c>
      <c r="G19" s="26">
        <f t="shared" si="1"/>
        <v>8263289.9999995483</v>
      </c>
      <c r="H19" s="24">
        <v>0.83999999999997499</v>
      </c>
      <c r="I19" s="25">
        <f t="shared" si="2"/>
        <v>1679.99999999995</v>
      </c>
      <c r="J19" s="26">
        <f t="shared" si="3"/>
        <v>2609459.9999999222</v>
      </c>
      <c r="K19" s="24">
        <f t="shared" si="4"/>
        <v>10872749.999999471</v>
      </c>
      <c r="L19" s="27">
        <f t="shared" si="5"/>
        <v>11960024.999999419</v>
      </c>
      <c r="M19" s="28">
        <f t="shared" si="6"/>
        <v>831.65461372640425</v>
      </c>
      <c r="N19" s="29"/>
    </row>
    <row r="20" spans="1:14" ht="15">
      <c r="A20" s="20"/>
      <c r="B20" s="22">
        <v>13</v>
      </c>
      <c r="C20" s="98">
        <v>41</v>
      </c>
      <c r="D20" s="99">
        <v>209</v>
      </c>
      <c r="E20" s="24">
        <v>4.0500000000001819</v>
      </c>
      <c r="F20" s="25">
        <f t="shared" si="0"/>
        <v>8100.0000000003638</v>
      </c>
      <c r="G20" s="26">
        <f t="shared" si="1"/>
        <v>8387550.0000003763</v>
      </c>
      <c r="H20" s="24">
        <v>0.87000000000000455</v>
      </c>
      <c r="I20" s="25">
        <f t="shared" si="2"/>
        <v>1740.0000000000091</v>
      </c>
      <c r="J20" s="26">
        <f t="shared" si="3"/>
        <v>2702655.000000014</v>
      </c>
      <c r="K20" s="24">
        <f t="shared" si="4"/>
        <v>11090205.000000391</v>
      </c>
      <c r="L20" s="27">
        <f t="shared" si="5"/>
        <v>12199225.500000432</v>
      </c>
      <c r="M20" s="28">
        <f t="shared" si="6"/>
        <v>848.28770600100358</v>
      </c>
      <c r="N20" s="29"/>
    </row>
    <row r="21" spans="1:14" ht="15">
      <c r="A21" s="20"/>
      <c r="B21" s="22">
        <v>14</v>
      </c>
      <c r="C21" s="98">
        <v>31</v>
      </c>
      <c r="D21" s="99">
        <v>253</v>
      </c>
      <c r="E21" s="24">
        <v>4.0199999999999818</v>
      </c>
      <c r="F21" s="25">
        <f t="shared" si="0"/>
        <v>8039.9999999999636</v>
      </c>
      <c r="G21" s="26">
        <f t="shared" si="1"/>
        <v>8325419.9999999627</v>
      </c>
      <c r="H21" s="24">
        <v>0.87999999999999545</v>
      </c>
      <c r="I21" s="25">
        <f t="shared" si="2"/>
        <v>1759.9999999999909</v>
      </c>
      <c r="J21" s="26">
        <f t="shared" si="3"/>
        <v>2733719.999999986</v>
      </c>
      <c r="K21" s="24">
        <f t="shared" si="4"/>
        <v>11059139.999999948</v>
      </c>
      <c r="L21" s="27">
        <f t="shared" si="5"/>
        <v>12165053.999999944</v>
      </c>
      <c r="M21" s="28">
        <f t="shared" si="6"/>
        <v>845.91154996175123</v>
      </c>
      <c r="N21" s="29"/>
    </row>
    <row r="22" spans="1:14" ht="15">
      <c r="A22" s="20"/>
      <c r="B22" s="22">
        <v>15</v>
      </c>
      <c r="C22" s="95">
        <v>25</v>
      </c>
      <c r="D22" s="99">
        <v>149</v>
      </c>
      <c r="E22" s="24">
        <v>4.3099999999999454</v>
      </c>
      <c r="F22" s="25">
        <f t="shared" si="0"/>
        <v>8619.9999999998909</v>
      </c>
      <c r="G22" s="26">
        <f t="shared" si="1"/>
        <v>8926009.9999998864</v>
      </c>
      <c r="H22" s="24">
        <v>0.92000000000001592</v>
      </c>
      <c r="I22" s="25">
        <f t="shared" si="2"/>
        <v>1840.0000000000318</v>
      </c>
      <c r="J22" s="26">
        <f t="shared" si="3"/>
        <v>2857980.0000000494</v>
      </c>
      <c r="K22" s="24">
        <f t="shared" si="4"/>
        <v>11783989.999999937</v>
      </c>
      <c r="L22" s="27">
        <f t="shared" si="5"/>
        <v>12962388.999999931</v>
      </c>
      <c r="M22" s="28">
        <f t="shared" si="6"/>
        <v>901.35519087684656</v>
      </c>
      <c r="N22" s="29"/>
    </row>
    <row r="23" spans="1:14" ht="15">
      <c r="A23" s="20"/>
      <c r="B23" s="22">
        <v>16</v>
      </c>
      <c r="C23" s="95">
        <v>30</v>
      </c>
      <c r="D23" s="99">
        <v>184</v>
      </c>
      <c r="E23" s="24">
        <v>4.1900000000000546</v>
      </c>
      <c r="F23" s="25">
        <f t="shared" si="0"/>
        <v>8380.0000000001091</v>
      </c>
      <c r="G23" s="26">
        <f t="shared" si="1"/>
        <v>8677490.0000001136</v>
      </c>
      <c r="H23" s="24">
        <v>0.87999999999999545</v>
      </c>
      <c r="I23" s="25">
        <f t="shared" si="2"/>
        <v>1759.9999999999909</v>
      </c>
      <c r="J23" s="26">
        <f t="shared" si="3"/>
        <v>2733719.999999986</v>
      </c>
      <c r="K23" s="24">
        <f t="shared" si="4"/>
        <v>11411210.000000101</v>
      </c>
      <c r="L23" s="27">
        <f t="shared" si="5"/>
        <v>12552331.000000112</v>
      </c>
      <c r="M23" s="28">
        <f t="shared" si="6"/>
        <v>872.8413184062382</v>
      </c>
      <c r="N23" s="29"/>
    </row>
    <row r="24" spans="1:14" ht="15">
      <c r="A24" s="20"/>
      <c r="B24" s="22">
        <v>17</v>
      </c>
      <c r="C24" s="95">
        <v>31</v>
      </c>
      <c r="D24" s="99">
        <v>196</v>
      </c>
      <c r="E24" s="24">
        <v>4.0500000000001819</v>
      </c>
      <c r="F24" s="25">
        <f t="shared" si="0"/>
        <v>8100.0000000003638</v>
      </c>
      <c r="G24" s="26">
        <f t="shared" si="1"/>
        <v>8387550.0000003763</v>
      </c>
      <c r="H24" s="24">
        <v>0.81999999999999318</v>
      </c>
      <c r="I24" s="25">
        <f t="shared" si="2"/>
        <v>1639.9999999999864</v>
      </c>
      <c r="J24" s="26">
        <f t="shared" si="3"/>
        <v>2547329.9999999786</v>
      </c>
      <c r="K24" s="24">
        <f t="shared" si="4"/>
        <v>10934880.000000354</v>
      </c>
      <c r="L24" s="27">
        <f t="shared" si="5"/>
        <v>12028368.000000391</v>
      </c>
      <c r="M24" s="28">
        <f t="shared" si="6"/>
        <v>836.40692580490861</v>
      </c>
      <c r="N24" s="29"/>
    </row>
    <row r="25" spans="1:14" ht="15">
      <c r="A25" s="20"/>
      <c r="B25" s="22">
        <v>18</v>
      </c>
      <c r="C25" s="96">
        <v>37</v>
      </c>
      <c r="D25" s="99">
        <v>174</v>
      </c>
      <c r="E25" s="24">
        <v>4.0799999999999272</v>
      </c>
      <c r="F25" s="25">
        <f t="shared" si="0"/>
        <v>8159.9999999998545</v>
      </c>
      <c r="G25" s="26">
        <f t="shared" si="1"/>
        <v>8449679.9999998491</v>
      </c>
      <c r="H25" s="24">
        <v>0.85000000000002274</v>
      </c>
      <c r="I25" s="25">
        <f t="shared" si="2"/>
        <v>1700.0000000000455</v>
      </c>
      <c r="J25" s="26">
        <f t="shared" si="3"/>
        <v>2640525.0000000708</v>
      </c>
      <c r="K25" s="24">
        <f t="shared" si="4"/>
        <v>11090204.99999992</v>
      </c>
      <c r="L25" s="27">
        <f t="shared" si="5"/>
        <v>12199225.499999912</v>
      </c>
      <c r="M25" s="28">
        <f t="shared" si="6"/>
        <v>848.28770600096743</v>
      </c>
      <c r="N25" s="29"/>
    </row>
    <row r="26" spans="1:14" ht="15">
      <c r="A26" s="20"/>
      <c r="B26" s="22">
        <v>19</v>
      </c>
      <c r="C26" s="95">
        <v>42</v>
      </c>
      <c r="D26" s="99">
        <v>207</v>
      </c>
      <c r="E26" s="24">
        <v>4.2999999999997272</v>
      </c>
      <c r="F26" s="25">
        <f t="shared" si="0"/>
        <v>8599.9999999994543</v>
      </c>
      <c r="G26" s="26">
        <f t="shared" si="1"/>
        <v>8905299.9999994356</v>
      </c>
      <c r="H26" s="24">
        <v>0.89999999999997726</v>
      </c>
      <c r="I26" s="25">
        <f t="shared" si="2"/>
        <v>1799.9999999999545</v>
      </c>
      <c r="J26" s="26">
        <f t="shared" si="3"/>
        <v>2795849.9999999292</v>
      </c>
      <c r="K26" s="24">
        <f t="shared" si="4"/>
        <v>11701149.999999365</v>
      </c>
      <c r="L26" s="27">
        <f t="shared" si="5"/>
        <v>12871264.999999302</v>
      </c>
      <c r="M26" s="28">
        <f t="shared" si="6"/>
        <v>895.01877477222035</v>
      </c>
      <c r="N26" s="29"/>
    </row>
    <row r="27" spans="1:14" ht="15">
      <c r="A27" s="20"/>
      <c r="B27" s="22">
        <v>20</v>
      </c>
      <c r="C27" s="96">
        <v>37</v>
      </c>
      <c r="D27" s="99">
        <v>216</v>
      </c>
      <c r="E27" s="24">
        <v>4.1200000000003456</v>
      </c>
      <c r="F27" s="25">
        <f t="shared" si="0"/>
        <v>8240.0000000006912</v>
      </c>
      <c r="G27" s="26">
        <f t="shared" si="1"/>
        <v>8532520.0000007153</v>
      </c>
      <c r="H27" s="24">
        <v>0.86000000000001364</v>
      </c>
      <c r="I27" s="25">
        <f t="shared" si="2"/>
        <v>1720.0000000000273</v>
      </c>
      <c r="J27" s="26">
        <f t="shared" si="3"/>
        <v>2671590.0000000424</v>
      </c>
      <c r="K27" s="24">
        <f t="shared" si="4"/>
        <v>11204110.000000758</v>
      </c>
      <c r="L27" s="27">
        <f t="shared" si="5"/>
        <v>12324521.000000834</v>
      </c>
      <c r="M27" s="28">
        <f t="shared" si="6"/>
        <v>857.00027814483235</v>
      </c>
      <c r="N27" s="29"/>
    </row>
    <row r="28" spans="1:14" ht="15">
      <c r="A28" s="20"/>
      <c r="B28" s="22">
        <v>21</v>
      </c>
      <c r="C28" s="95">
        <v>31</v>
      </c>
      <c r="D28" s="99">
        <v>208</v>
      </c>
      <c r="E28" s="24">
        <v>3.9400000000000546</v>
      </c>
      <c r="F28" s="25">
        <f t="shared" si="0"/>
        <v>7880.0000000001091</v>
      </c>
      <c r="G28" s="26">
        <f t="shared" si="1"/>
        <v>8159740.0000001127</v>
      </c>
      <c r="H28" s="24">
        <v>0.84000000000003183</v>
      </c>
      <c r="I28" s="25">
        <f t="shared" si="2"/>
        <v>1680.0000000000637</v>
      </c>
      <c r="J28" s="26">
        <f t="shared" si="3"/>
        <v>2609460.0000000987</v>
      </c>
      <c r="K28" s="24">
        <f t="shared" si="4"/>
        <v>10769200.000000212</v>
      </c>
      <c r="L28" s="27">
        <f t="shared" si="5"/>
        <v>11846120.000000235</v>
      </c>
      <c r="M28" s="28">
        <f t="shared" si="6"/>
        <v>823.73409359573293</v>
      </c>
      <c r="N28" s="29"/>
    </row>
    <row r="29" spans="1:14" ht="15">
      <c r="A29" s="20"/>
      <c r="B29" s="22">
        <v>22</v>
      </c>
      <c r="C29" s="96">
        <v>37</v>
      </c>
      <c r="D29" s="99">
        <v>176</v>
      </c>
      <c r="E29" s="24">
        <v>4.0199999999999818</v>
      </c>
      <c r="F29" s="25">
        <f t="shared" si="0"/>
        <v>8039.9999999999636</v>
      </c>
      <c r="G29" s="26">
        <f t="shared" si="1"/>
        <v>8325419.9999999627</v>
      </c>
      <c r="H29" s="24">
        <v>0.88999999999998636</v>
      </c>
      <c r="I29" s="25">
        <f t="shared" si="2"/>
        <v>1779.9999999999727</v>
      </c>
      <c r="J29" s="26">
        <f t="shared" si="3"/>
        <v>2764784.9999999576</v>
      </c>
      <c r="K29" s="24">
        <f t="shared" si="4"/>
        <v>11090204.99999992</v>
      </c>
      <c r="L29" s="27">
        <f t="shared" si="5"/>
        <v>12199225.499999912</v>
      </c>
      <c r="M29" s="28">
        <f t="shared" si="6"/>
        <v>848.28770600096743</v>
      </c>
      <c r="N29" s="29"/>
    </row>
    <row r="30" spans="1:14" ht="15">
      <c r="A30" s="20"/>
      <c r="B30" s="22">
        <v>23</v>
      </c>
      <c r="C30" s="95">
        <v>39</v>
      </c>
      <c r="D30" s="99">
        <v>212</v>
      </c>
      <c r="E30" s="24">
        <v>4.2799999999997453</v>
      </c>
      <c r="F30" s="25">
        <f t="shared" si="0"/>
        <v>8559.9999999994907</v>
      </c>
      <c r="G30" s="26">
        <f t="shared" si="1"/>
        <v>8863879.9999994729</v>
      </c>
      <c r="H30" s="24">
        <v>0.87000000000000455</v>
      </c>
      <c r="I30" s="25">
        <f t="shared" si="2"/>
        <v>1740.0000000000091</v>
      </c>
      <c r="J30" s="26">
        <f t="shared" si="3"/>
        <v>2702655.000000014</v>
      </c>
      <c r="K30" s="24">
        <f t="shared" si="4"/>
        <v>11566534.999999486</v>
      </c>
      <c r="L30" s="27">
        <f t="shared" si="5"/>
        <v>12723188.499999436</v>
      </c>
      <c r="M30" s="28">
        <f t="shared" si="6"/>
        <v>884.72209860228327</v>
      </c>
      <c r="N30" s="29"/>
    </row>
    <row r="31" spans="1:14" ht="15">
      <c r="A31" s="20"/>
      <c r="B31" s="22">
        <v>24</v>
      </c>
      <c r="C31" s="96">
        <v>34</v>
      </c>
      <c r="D31" s="99">
        <v>245</v>
      </c>
      <c r="E31" s="24">
        <v>4.0599999999999454</v>
      </c>
      <c r="F31" s="25">
        <f t="shared" si="0"/>
        <v>8119.9999999998909</v>
      </c>
      <c r="G31" s="26">
        <f t="shared" si="1"/>
        <v>8408259.9999998864</v>
      </c>
      <c r="H31" s="24">
        <v>0.84999999999996589</v>
      </c>
      <c r="I31" s="25">
        <f t="shared" si="2"/>
        <v>1699.9999999999318</v>
      </c>
      <c r="J31" s="26">
        <f t="shared" si="3"/>
        <v>2640524.9999998938</v>
      </c>
      <c r="K31" s="24">
        <f t="shared" si="4"/>
        <v>11048784.99999978</v>
      </c>
      <c r="L31" s="27">
        <f t="shared" si="5"/>
        <v>12153663.49999976</v>
      </c>
      <c r="M31" s="28">
        <f t="shared" si="6"/>
        <v>845.11949794866553</v>
      </c>
      <c r="N31" s="29"/>
    </row>
    <row r="32" spans="1:14" ht="15">
      <c r="A32" s="20"/>
      <c r="B32" s="22">
        <v>25</v>
      </c>
      <c r="C32" s="95">
        <v>38</v>
      </c>
      <c r="D32" s="99">
        <v>187</v>
      </c>
      <c r="E32" s="24">
        <v>4.1500000000000909</v>
      </c>
      <c r="F32" s="25">
        <f t="shared" si="0"/>
        <v>8300.0000000001819</v>
      </c>
      <c r="G32" s="26">
        <f t="shared" si="1"/>
        <v>8594650.0000001881</v>
      </c>
      <c r="H32" s="24">
        <v>0.84000000000003183</v>
      </c>
      <c r="I32" s="25">
        <f t="shared" si="2"/>
        <v>1680.0000000000637</v>
      </c>
      <c r="J32" s="26">
        <f t="shared" si="3"/>
        <v>2609460.0000000987</v>
      </c>
      <c r="K32" s="24">
        <f t="shared" si="4"/>
        <v>11204110.000000287</v>
      </c>
      <c r="L32" s="27">
        <f t="shared" si="5"/>
        <v>12324521.000000317</v>
      </c>
      <c r="M32" s="28">
        <f t="shared" si="6"/>
        <v>857.00027814479643</v>
      </c>
      <c r="N32" s="29"/>
    </row>
    <row r="33" spans="1:16" ht="15">
      <c r="A33" s="20"/>
      <c r="B33" s="22">
        <v>26</v>
      </c>
      <c r="C33" s="95">
        <v>37</v>
      </c>
      <c r="D33" s="99">
        <v>212</v>
      </c>
      <c r="E33" s="24">
        <v>4.0900000000001455</v>
      </c>
      <c r="F33" s="25">
        <f t="shared" si="0"/>
        <v>8180.000000000291</v>
      </c>
      <c r="G33" s="26">
        <f t="shared" si="1"/>
        <v>8470390.0000003017</v>
      </c>
      <c r="H33" s="24">
        <v>0.86000000000001364</v>
      </c>
      <c r="I33" s="25">
        <f t="shared" si="2"/>
        <v>1720.0000000000273</v>
      </c>
      <c r="J33" s="26">
        <f t="shared" si="3"/>
        <v>2671590.0000000424</v>
      </c>
      <c r="K33" s="24">
        <f t="shared" si="4"/>
        <v>11141980.000000345</v>
      </c>
      <c r="L33" s="27">
        <f t="shared" si="5"/>
        <v>12256178.00000038</v>
      </c>
      <c r="M33" s="28">
        <f t="shared" si="6"/>
        <v>852.24796606636392</v>
      </c>
      <c r="N33" s="29"/>
    </row>
    <row r="34" spans="1:16" ht="15">
      <c r="A34" s="20"/>
      <c r="B34" s="22">
        <v>27</v>
      </c>
      <c r="C34" s="95">
        <v>40</v>
      </c>
      <c r="D34" s="99">
        <v>193</v>
      </c>
      <c r="E34" s="24">
        <v>4.2100000000000364</v>
      </c>
      <c r="F34" s="25">
        <f t="shared" si="0"/>
        <v>8420.0000000000728</v>
      </c>
      <c r="G34" s="26">
        <f t="shared" si="1"/>
        <v>8718910.0000000745</v>
      </c>
      <c r="H34" s="24">
        <v>0.88999999999998636</v>
      </c>
      <c r="I34" s="25">
        <f t="shared" si="2"/>
        <v>1779.9999999999727</v>
      </c>
      <c r="J34" s="26">
        <f t="shared" si="3"/>
        <v>2764784.9999999576</v>
      </c>
      <c r="K34" s="24">
        <f t="shared" si="4"/>
        <v>11483695.000000032</v>
      </c>
      <c r="L34" s="27">
        <f t="shared" si="5"/>
        <v>12632064.500000035</v>
      </c>
      <c r="M34" s="28">
        <f t="shared" si="6"/>
        <v>878.38568249774255</v>
      </c>
      <c r="N34" s="29"/>
    </row>
    <row r="35" spans="1:16" ht="15">
      <c r="A35" s="20"/>
      <c r="B35" s="22">
        <v>28</v>
      </c>
      <c r="C35" s="95">
        <v>40</v>
      </c>
      <c r="D35" s="99">
        <v>219</v>
      </c>
      <c r="E35" s="24">
        <v>4.2100000000000364</v>
      </c>
      <c r="F35" s="25">
        <f t="shared" si="0"/>
        <v>8420.0000000000728</v>
      </c>
      <c r="G35" s="26">
        <f t="shared" si="1"/>
        <v>8718910.0000000745</v>
      </c>
      <c r="H35" s="24">
        <v>0.90999999999996817</v>
      </c>
      <c r="I35" s="25">
        <f t="shared" si="2"/>
        <v>1819.9999999999363</v>
      </c>
      <c r="J35" s="26">
        <f t="shared" si="3"/>
        <v>2826914.9999999013</v>
      </c>
      <c r="K35" s="24">
        <f t="shared" si="4"/>
        <v>11545824.999999976</v>
      </c>
      <c r="L35" s="27">
        <f t="shared" si="5"/>
        <v>12700407.499999974</v>
      </c>
      <c r="M35" s="28">
        <f t="shared" si="6"/>
        <v>883.13799457617506</v>
      </c>
      <c r="N35" s="29"/>
    </row>
    <row r="36" spans="1:16" ht="15">
      <c r="A36" s="20"/>
      <c r="B36" s="22">
        <v>29</v>
      </c>
      <c r="C36" s="95">
        <v>35</v>
      </c>
      <c r="D36" s="99">
        <v>223</v>
      </c>
      <c r="E36" s="24">
        <v>4.3299999999999272</v>
      </c>
      <c r="F36" s="25">
        <f t="shared" si="0"/>
        <v>8659.9999999998545</v>
      </c>
      <c r="G36" s="26">
        <f t="shared" si="1"/>
        <v>8967429.9999998491</v>
      </c>
      <c r="H36" s="24">
        <v>0.90000000000003411</v>
      </c>
      <c r="I36" s="25">
        <f t="shared" si="2"/>
        <v>1800.0000000000682</v>
      </c>
      <c r="J36" s="26">
        <f t="shared" si="3"/>
        <v>2795850.0000001062</v>
      </c>
      <c r="K36" s="24">
        <f t="shared" si="4"/>
        <v>11763279.999999955</v>
      </c>
      <c r="L36" s="27">
        <f t="shared" si="5"/>
        <v>12939607.999999952</v>
      </c>
      <c r="M36" s="28">
        <f t="shared" si="6"/>
        <v>899.77108685070243</v>
      </c>
      <c r="N36" s="29"/>
    </row>
    <row r="37" spans="1:16" ht="15">
      <c r="A37" s="20"/>
      <c r="B37" s="22">
        <v>30</v>
      </c>
      <c r="C37" s="95">
        <v>43</v>
      </c>
      <c r="D37" s="99">
        <v>264</v>
      </c>
      <c r="E37" s="24">
        <v>4.1700000000000728</v>
      </c>
      <c r="F37" s="25">
        <f t="shared" si="0"/>
        <v>8340.0000000001455</v>
      </c>
      <c r="G37" s="26">
        <f>F37*1035.5</f>
        <v>8636070.0000001509</v>
      </c>
      <c r="H37" s="24">
        <v>0.90999999999996817</v>
      </c>
      <c r="I37" s="25">
        <f t="shared" si="2"/>
        <v>1819.9999999999363</v>
      </c>
      <c r="J37" s="26">
        <f t="shared" si="3"/>
        <v>2826914.9999999013</v>
      </c>
      <c r="K37" s="24">
        <f t="shared" si="4"/>
        <v>11462985.000000052</v>
      </c>
      <c r="L37" s="27">
        <f t="shared" si="5"/>
        <v>12609283.500000058</v>
      </c>
      <c r="M37" s="28">
        <f t="shared" si="6"/>
        <v>876.80157847159853</v>
      </c>
      <c r="N37" s="29"/>
    </row>
    <row r="38" spans="1:16" ht="15">
      <c r="A38" s="20"/>
      <c r="B38" s="22">
        <v>31</v>
      </c>
      <c r="C38" s="95">
        <v>44</v>
      </c>
      <c r="D38" s="99">
        <v>258</v>
      </c>
      <c r="E38" s="24">
        <v>4.0899999999996908</v>
      </c>
      <c r="F38" s="25">
        <f t="shared" si="0"/>
        <v>8179.9999999993815</v>
      </c>
      <c r="G38" s="26">
        <f t="shared" si="1"/>
        <v>8470389.9999993593</v>
      </c>
      <c r="H38" s="24">
        <v>0.87000000000000455</v>
      </c>
      <c r="I38" s="25">
        <f t="shared" si="2"/>
        <v>1740.0000000000091</v>
      </c>
      <c r="J38" s="26">
        <f t="shared" si="3"/>
        <v>2702655.000000014</v>
      </c>
      <c r="K38" s="24">
        <f t="shared" si="4"/>
        <v>11173044.999999374</v>
      </c>
      <c r="L38" s="27">
        <f t="shared" si="5"/>
        <v>12290349.499999313</v>
      </c>
      <c r="M38" s="28">
        <f t="shared" si="6"/>
        <v>854.62412210550815</v>
      </c>
      <c r="N38" s="29"/>
    </row>
    <row r="39" spans="1:16">
      <c r="C39" s="30">
        <f>SUM(C8:C38)</f>
        <v>1119</v>
      </c>
      <c r="D39" s="30">
        <f>SUM(D8:D38)</f>
        <v>6390</v>
      </c>
      <c r="E39" s="31">
        <v>3.2799999999999727</v>
      </c>
      <c r="F39" s="30">
        <f>SUM(F8:F38)</f>
        <v>252679.9999999998</v>
      </c>
      <c r="I39" s="30">
        <f>SUM(I8:I38)</f>
        <v>53360.000000000007</v>
      </c>
      <c r="L39" s="32">
        <f>SUM(L8:L38)</f>
        <v>378984715.99999988</v>
      </c>
      <c r="M39" s="33">
        <f>SUM(M8:M38)</f>
        <v>26353.154578958336</v>
      </c>
      <c r="N39" s="34"/>
      <c r="P39" s="35"/>
    </row>
    <row r="41" spans="1:16">
      <c r="G41" s="85" t="s">
        <v>28</v>
      </c>
      <c r="H41" s="86"/>
      <c r="I41" s="87">
        <f>F39+I39</f>
        <v>306039.99999999983</v>
      </c>
      <c r="M41" s="36"/>
      <c r="P41" s="37"/>
    </row>
    <row r="42" spans="1:16">
      <c r="M42" s="38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O41" sqref="O41"/>
    </sheetView>
  </sheetViews>
  <sheetFormatPr defaultRowHeight="14.2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4">
      <c r="B1" s="104" t="s">
        <v>29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21" ht="15.4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10">
        <v>44743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6"/>
    </row>
    <row r="5" spans="1:21">
      <c r="A5" s="17"/>
      <c r="B5" s="103" t="s">
        <v>17</v>
      </c>
      <c r="C5" s="103" t="s">
        <v>18</v>
      </c>
      <c r="D5" s="103" t="s">
        <v>13</v>
      </c>
      <c r="E5" s="111" t="s">
        <v>30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2" t="s">
        <v>31</v>
      </c>
      <c r="R5" s="112"/>
      <c r="S5" s="18"/>
    </row>
    <row r="6" spans="1:21" s="19" customFormat="1">
      <c r="A6" s="17"/>
      <c r="B6" s="103"/>
      <c r="C6" s="103"/>
      <c r="D6" s="103"/>
      <c r="E6" s="111" t="s">
        <v>32</v>
      </c>
      <c r="F6" s="111"/>
      <c r="G6" s="111"/>
      <c r="H6" s="111" t="s">
        <v>33</v>
      </c>
      <c r="I6" s="111"/>
      <c r="J6" s="111"/>
      <c r="K6" s="111" t="s">
        <v>34</v>
      </c>
      <c r="L6" s="111"/>
      <c r="M6" s="111"/>
      <c r="N6" s="113" t="s">
        <v>35</v>
      </c>
      <c r="O6" s="113"/>
      <c r="P6" s="113"/>
      <c r="Q6" s="112"/>
      <c r="R6" s="112"/>
      <c r="S6" s="18"/>
    </row>
    <row r="7" spans="1:21" ht="20.25">
      <c r="A7" s="20"/>
      <c r="B7" s="103"/>
      <c r="C7" s="103"/>
      <c r="D7" s="103"/>
      <c r="E7" s="103" t="s">
        <v>36</v>
      </c>
      <c r="F7" s="108" t="s">
        <v>37</v>
      </c>
      <c r="G7" s="43" t="s">
        <v>38</v>
      </c>
      <c r="H7" s="103" t="s">
        <v>39</v>
      </c>
      <c r="I7" s="103" t="s">
        <v>37</v>
      </c>
      <c r="J7" s="43" t="s">
        <v>38</v>
      </c>
      <c r="K7" s="103" t="s">
        <v>36</v>
      </c>
      <c r="L7" s="103" t="s">
        <v>37</v>
      </c>
      <c r="M7" s="43" t="s">
        <v>40</v>
      </c>
      <c r="N7" s="103" t="s">
        <v>41</v>
      </c>
      <c r="O7" s="103" t="s">
        <v>37</v>
      </c>
      <c r="P7" s="43" t="s">
        <v>40</v>
      </c>
      <c r="Q7" s="112"/>
      <c r="R7" s="112"/>
      <c r="S7" s="21"/>
    </row>
    <row r="8" spans="1:21">
      <c r="A8" s="20"/>
      <c r="B8" s="103"/>
      <c r="C8" s="103"/>
      <c r="D8" s="103"/>
      <c r="E8" s="103"/>
      <c r="F8" s="109"/>
      <c r="G8" s="44">
        <v>15840</v>
      </c>
      <c r="H8" s="103"/>
      <c r="I8" s="103"/>
      <c r="J8" s="44">
        <f>G8</f>
        <v>15840</v>
      </c>
      <c r="K8" s="103"/>
      <c r="L8" s="103"/>
      <c r="M8" s="44">
        <f>J8</f>
        <v>15840</v>
      </c>
      <c r="N8" s="103"/>
      <c r="O8" s="103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 ht="15">
      <c r="A9" s="20"/>
      <c r="B9" s="22">
        <v>1</v>
      </c>
      <c r="C9" s="46">
        <f>Electricity!C8</f>
        <v>35</v>
      </c>
      <c r="D9" s="47">
        <f>Electricity!D8</f>
        <v>171</v>
      </c>
      <c r="E9" s="93">
        <v>10615.83</v>
      </c>
      <c r="F9" s="100">
        <v>88.575719999999109</v>
      </c>
      <c r="G9" s="49">
        <f>F9*$G$8</f>
        <v>1403039.4047999859</v>
      </c>
      <c r="H9" s="48">
        <v>1054.82</v>
      </c>
      <c r="I9" s="94">
        <v>25.134720000000033</v>
      </c>
      <c r="J9" s="49">
        <f>I9*$J$8</f>
        <v>398133.96480000054</v>
      </c>
      <c r="K9" s="48"/>
      <c r="L9" s="24">
        <v>0</v>
      </c>
      <c r="M9" s="25">
        <f>L9*$M$8</f>
        <v>0</v>
      </c>
      <c r="N9" s="48"/>
      <c r="O9" s="24"/>
      <c r="P9" s="50">
        <f>O9*$P$8</f>
        <v>0</v>
      </c>
      <c r="Q9" s="51">
        <f>P9+G9+J9+M9</f>
        <v>1801173.3695999864</v>
      </c>
      <c r="R9" s="52">
        <f>Q9/14381</f>
        <v>125.24674011542913</v>
      </c>
      <c r="S9" s="21"/>
    </row>
    <row r="10" spans="1:21" ht="15">
      <c r="A10" s="20"/>
      <c r="B10" s="22">
        <v>2</v>
      </c>
      <c r="C10" s="46">
        <f>Electricity!C9</f>
        <v>27</v>
      </c>
      <c r="D10" s="47">
        <f>Electricity!D9</f>
        <v>188</v>
      </c>
      <c r="E10" s="93">
        <v>10631.79</v>
      </c>
      <c r="F10" s="101">
        <v>64.286880000003805</v>
      </c>
      <c r="G10" s="49">
        <f>F10*$G$8</f>
        <v>1018304.1792000603</v>
      </c>
      <c r="H10" s="48">
        <v>1060.6400000000001</v>
      </c>
      <c r="I10" s="94">
        <v>23.442960000000657</v>
      </c>
      <c r="J10" s="49">
        <f>I10*$J$8</f>
        <v>371336.48640001041</v>
      </c>
      <c r="K10" s="48"/>
      <c r="L10" s="24">
        <v>50</v>
      </c>
      <c r="M10" s="25">
        <f t="shared" ref="M10:M39" si="0">L10*$M$8</f>
        <v>792000</v>
      </c>
      <c r="N10" s="48"/>
      <c r="O10" s="24"/>
      <c r="P10" s="50">
        <f>O10*$P$8</f>
        <v>0</v>
      </c>
      <c r="Q10" s="51">
        <f>J10+M10+G10+P10</f>
        <v>2181640.6656000707</v>
      </c>
      <c r="R10" s="52">
        <f t="shared" ref="R10:R39" si="1">Q10/14381</f>
        <v>151.70298766428417</v>
      </c>
      <c r="S10" s="21"/>
    </row>
    <row r="11" spans="1:21" ht="15">
      <c r="A11" s="20"/>
      <c r="B11" s="22">
        <v>3</v>
      </c>
      <c r="C11" s="46">
        <f>Electricity!C10</f>
        <v>33</v>
      </c>
      <c r="D11" s="47">
        <f>Electricity!D10</f>
        <v>166</v>
      </c>
      <c r="E11" s="93">
        <v>10650.35</v>
      </c>
      <c r="F11" s="101">
        <v>74.759679999997942</v>
      </c>
      <c r="G11" s="49">
        <f t="shared" ref="G11:G39" si="2">F11*$G$8</f>
        <v>1184193.3311999673</v>
      </c>
      <c r="H11" s="48">
        <v>1066.57</v>
      </c>
      <c r="I11" s="94">
        <v>23.886039999999337</v>
      </c>
      <c r="J11" s="49">
        <f t="shared" ref="J11:J39" si="3">I11*$J$8</f>
        <v>378354.87359998951</v>
      </c>
      <c r="K11" s="48"/>
      <c r="L11" s="24">
        <v>0</v>
      </c>
      <c r="M11" s="25">
        <f t="shared" si="0"/>
        <v>0</v>
      </c>
      <c r="N11" s="48"/>
      <c r="O11" s="24"/>
      <c r="P11" s="50">
        <f t="shared" ref="P11:P39" si="4">O11*$P$8</f>
        <v>0</v>
      </c>
      <c r="Q11" s="51">
        <f t="shared" ref="Q11:Q39" si="5">J11+M11+G11+P11</f>
        <v>1562548.2047999569</v>
      </c>
      <c r="R11" s="52">
        <f t="shared" si="1"/>
        <v>108.65365446074382</v>
      </c>
      <c r="S11" s="21"/>
    </row>
    <row r="12" spans="1:21" ht="15">
      <c r="A12" s="20"/>
      <c r="B12" s="22">
        <v>4</v>
      </c>
      <c r="C12" s="46">
        <f>Electricity!C11</f>
        <v>34</v>
      </c>
      <c r="D12" s="47">
        <f>Electricity!D11</f>
        <v>186</v>
      </c>
      <c r="E12" s="93">
        <v>10670.95</v>
      </c>
      <c r="F12" s="101">
        <v>82.976800000001461</v>
      </c>
      <c r="G12" s="49">
        <f t="shared" si="2"/>
        <v>1314352.5120000232</v>
      </c>
      <c r="H12" s="48">
        <v>1072.3499999999999</v>
      </c>
      <c r="I12" s="94">
        <v>23.281839999999889</v>
      </c>
      <c r="J12" s="49">
        <f t="shared" si="3"/>
        <v>368784.34559999825</v>
      </c>
      <c r="K12" s="48"/>
      <c r="L12" s="24">
        <v>0</v>
      </c>
      <c r="M12" s="25">
        <f t="shared" si="0"/>
        <v>0</v>
      </c>
      <c r="N12" s="48"/>
      <c r="O12" s="24"/>
      <c r="P12" s="50">
        <f t="shared" si="4"/>
        <v>0</v>
      </c>
      <c r="Q12" s="51">
        <f t="shared" si="5"/>
        <v>1683136.8576000214</v>
      </c>
      <c r="R12" s="52">
        <f t="shared" si="1"/>
        <v>117.03893036645722</v>
      </c>
      <c r="S12" s="21"/>
    </row>
    <row r="13" spans="1:21" ht="15">
      <c r="A13" s="20"/>
      <c r="B13" s="22">
        <v>5</v>
      </c>
      <c r="C13" s="46">
        <f>Electricity!C12</f>
        <v>31</v>
      </c>
      <c r="D13" s="47">
        <f>Electricity!D12</f>
        <v>180</v>
      </c>
      <c r="E13" s="93">
        <v>10690.98</v>
      </c>
      <c r="F13" s="101">
        <v>80.6808399999953</v>
      </c>
      <c r="G13" s="49">
        <f t="shared" si="2"/>
        <v>1277984.5055999255</v>
      </c>
      <c r="H13" s="48">
        <v>1078.1500000000001</v>
      </c>
      <c r="I13" s="94">
        <v>23.362400000000729</v>
      </c>
      <c r="J13" s="49">
        <f t="shared" si="3"/>
        <v>370060.41600001155</v>
      </c>
      <c r="K13" s="48"/>
      <c r="L13" s="24">
        <v>0</v>
      </c>
      <c r="M13" s="25">
        <f t="shared" si="0"/>
        <v>0</v>
      </c>
      <c r="N13" s="48"/>
      <c r="O13" s="24">
        <v>50</v>
      </c>
      <c r="P13" s="50">
        <f t="shared" si="4"/>
        <v>792000</v>
      </c>
      <c r="Q13" s="51">
        <f t="shared" si="5"/>
        <v>2440044.9215999371</v>
      </c>
      <c r="R13" s="52">
        <f t="shared" si="1"/>
        <v>169.67143603365113</v>
      </c>
      <c r="S13" s="21"/>
    </row>
    <row r="14" spans="1:21" ht="15">
      <c r="A14" s="20"/>
      <c r="B14" s="22">
        <v>6</v>
      </c>
      <c r="C14" s="46">
        <f>Electricity!C13</f>
        <v>29</v>
      </c>
      <c r="D14" s="47">
        <f>Electricity!D13</f>
        <v>174</v>
      </c>
      <c r="E14" s="93">
        <v>10711.61</v>
      </c>
      <c r="F14" s="101">
        <v>83.097640000004091</v>
      </c>
      <c r="G14" s="49">
        <f t="shared" si="2"/>
        <v>1316266.6176000647</v>
      </c>
      <c r="H14" s="48">
        <v>1086.06</v>
      </c>
      <c r="I14" s="94">
        <v>31.86147999999941</v>
      </c>
      <c r="J14" s="49">
        <f t="shared" si="3"/>
        <v>504685.84319999069</v>
      </c>
      <c r="K14" s="48"/>
      <c r="L14" s="24">
        <v>0</v>
      </c>
      <c r="M14" s="25">
        <f t="shared" si="0"/>
        <v>0</v>
      </c>
      <c r="N14" s="48"/>
      <c r="O14" s="24"/>
      <c r="P14" s="50">
        <f t="shared" si="4"/>
        <v>0</v>
      </c>
      <c r="Q14" s="51">
        <f t="shared" si="5"/>
        <v>1820952.4608000554</v>
      </c>
      <c r="R14" s="52">
        <f t="shared" si="1"/>
        <v>126.62210283012693</v>
      </c>
      <c r="S14" s="21"/>
    </row>
    <row r="15" spans="1:21" ht="15">
      <c r="A15" s="20"/>
      <c r="B15" s="22">
        <v>7</v>
      </c>
      <c r="C15" s="46">
        <f>Electricity!C14</f>
        <v>37</v>
      </c>
      <c r="D15" s="47">
        <f>Electricity!D14</f>
        <v>194</v>
      </c>
      <c r="E15" s="93">
        <v>10736.27</v>
      </c>
      <c r="F15" s="101">
        <v>99.330479999999397</v>
      </c>
      <c r="G15" s="49">
        <f t="shared" si="2"/>
        <v>1573394.8031999904</v>
      </c>
      <c r="H15" s="48">
        <v>1091.24</v>
      </c>
      <c r="I15" s="94">
        <v>20.865040000000253</v>
      </c>
      <c r="J15" s="49">
        <f t="shared" si="3"/>
        <v>330502.23360000399</v>
      </c>
      <c r="K15" s="48"/>
      <c r="L15" s="24">
        <v>0</v>
      </c>
      <c r="M15" s="25">
        <f t="shared" si="0"/>
        <v>0</v>
      </c>
      <c r="N15" s="48"/>
      <c r="O15" s="24"/>
      <c r="P15" s="50">
        <f t="shared" si="4"/>
        <v>0</v>
      </c>
      <c r="Q15" s="51">
        <f t="shared" si="5"/>
        <v>1903897.0367999943</v>
      </c>
      <c r="R15" s="52">
        <f t="shared" si="1"/>
        <v>132.38975292399655</v>
      </c>
      <c r="S15" s="21"/>
    </row>
    <row r="16" spans="1:21" ht="15">
      <c r="A16" s="20"/>
      <c r="B16" s="22">
        <v>8</v>
      </c>
      <c r="C16" s="46">
        <f>Electricity!C15</f>
        <v>45</v>
      </c>
      <c r="D16" s="47">
        <f>Electricity!D15</f>
        <v>232</v>
      </c>
      <c r="E16" s="93">
        <v>10758.61</v>
      </c>
      <c r="F16" s="101">
        <v>89.985520000000577</v>
      </c>
      <c r="G16" s="49">
        <f t="shared" si="2"/>
        <v>1425370.6368000091</v>
      </c>
      <c r="H16" s="48">
        <v>1096.45</v>
      </c>
      <c r="I16" s="94">
        <v>20.985880000000144</v>
      </c>
      <c r="J16" s="49">
        <f t="shared" si="3"/>
        <v>332416.33920000226</v>
      </c>
      <c r="K16" s="48"/>
      <c r="L16" s="24">
        <v>50</v>
      </c>
      <c r="M16" s="25">
        <f t="shared" si="0"/>
        <v>792000</v>
      </c>
      <c r="N16" s="48"/>
      <c r="O16" s="24"/>
      <c r="P16" s="50">
        <f t="shared" si="4"/>
        <v>0</v>
      </c>
      <c r="Q16" s="51">
        <f t="shared" si="5"/>
        <v>2549786.976000011</v>
      </c>
      <c r="R16" s="52">
        <f t="shared" si="1"/>
        <v>177.30248077324325</v>
      </c>
      <c r="S16" s="21"/>
    </row>
    <row r="17" spans="1:19" ht="15">
      <c r="A17" s="20"/>
      <c r="B17" s="22">
        <v>9</v>
      </c>
      <c r="C17" s="46">
        <f>Electricity!C16</f>
        <v>47</v>
      </c>
      <c r="D17" s="47">
        <f>Electricity!D16</f>
        <v>235</v>
      </c>
      <c r="E17" s="81">
        <v>10776.87</v>
      </c>
      <c r="F17" s="101">
        <v>73.551280000000872</v>
      </c>
      <c r="G17" s="49">
        <f t="shared" si="2"/>
        <v>1165052.2752000138</v>
      </c>
      <c r="H17" s="48">
        <v>1101.71</v>
      </c>
      <c r="I17" s="94">
        <v>21.187279999999962</v>
      </c>
      <c r="J17" s="49">
        <f t="shared" si="3"/>
        <v>335606.51519999938</v>
      </c>
      <c r="K17" s="48"/>
      <c r="L17" s="24">
        <v>0</v>
      </c>
      <c r="M17" s="25">
        <f t="shared" si="0"/>
        <v>0</v>
      </c>
      <c r="N17" s="48"/>
      <c r="O17" s="24"/>
      <c r="P17" s="50">
        <f t="shared" si="4"/>
        <v>0</v>
      </c>
      <c r="Q17" s="51">
        <f t="shared" si="5"/>
        <v>1500658.7904000131</v>
      </c>
      <c r="R17" s="52">
        <f t="shared" si="1"/>
        <v>104.35010015993416</v>
      </c>
      <c r="S17" s="21"/>
    </row>
    <row r="18" spans="1:19" ht="15">
      <c r="A18" s="20"/>
      <c r="B18" s="22">
        <v>10</v>
      </c>
      <c r="C18" s="46">
        <f>Electricity!C17</f>
        <v>37</v>
      </c>
      <c r="D18" s="47">
        <f>Electricity!D17</f>
        <v>244</v>
      </c>
      <c r="E18" s="93">
        <v>10797.44</v>
      </c>
      <c r="F18" s="101">
        <v>82.855959999998817</v>
      </c>
      <c r="G18" s="49">
        <f t="shared" si="2"/>
        <v>1312438.4063999814</v>
      </c>
      <c r="H18" s="48">
        <v>1108.3499999999999</v>
      </c>
      <c r="I18" s="94">
        <v>26.745919999999483</v>
      </c>
      <c r="J18" s="49">
        <f t="shared" si="3"/>
        <v>423655.3727999918</v>
      </c>
      <c r="K18" s="48"/>
      <c r="L18" s="24">
        <v>0</v>
      </c>
      <c r="M18" s="25">
        <f t="shared" si="0"/>
        <v>0</v>
      </c>
      <c r="N18" s="48"/>
      <c r="O18" s="24"/>
      <c r="P18" s="50">
        <f t="shared" si="4"/>
        <v>0</v>
      </c>
      <c r="Q18" s="51">
        <f t="shared" si="5"/>
        <v>1736093.7791999732</v>
      </c>
      <c r="R18" s="52">
        <f t="shared" si="1"/>
        <v>120.72135311869641</v>
      </c>
      <c r="S18" s="21"/>
    </row>
    <row r="19" spans="1:19" ht="15">
      <c r="A19" s="20"/>
      <c r="B19" s="22">
        <v>11</v>
      </c>
      <c r="C19" s="46">
        <f>Electricity!C18</f>
        <v>38</v>
      </c>
      <c r="D19" s="47">
        <f>Electricity!D18</f>
        <v>231</v>
      </c>
      <c r="E19" s="93">
        <v>10818.31</v>
      </c>
      <c r="F19" s="101">
        <v>84.064359999995887</v>
      </c>
      <c r="G19" s="49">
        <f t="shared" si="2"/>
        <v>1331579.4623999349</v>
      </c>
      <c r="H19" s="48">
        <v>1114.7</v>
      </c>
      <c r="I19" s="94">
        <v>25.577800000000547</v>
      </c>
      <c r="J19" s="49">
        <f t="shared" si="3"/>
        <v>405152.35200000869</v>
      </c>
      <c r="K19" s="48"/>
      <c r="L19" s="24">
        <v>0</v>
      </c>
      <c r="M19" s="25">
        <f t="shared" si="0"/>
        <v>0</v>
      </c>
      <c r="N19" s="48"/>
      <c r="O19" s="24"/>
      <c r="P19" s="50">
        <f t="shared" si="4"/>
        <v>0</v>
      </c>
      <c r="Q19" s="51">
        <f t="shared" si="5"/>
        <v>1736731.8143999437</v>
      </c>
      <c r="R19" s="52">
        <f t="shared" si="1"/>
        <v>120.76571965787801</v>
      </c>
      <c r="S19" s="21"/>
    </row>
    <row r="20" spans="1:19" ht="15">
      <c r="A20" s="20"/>
      <c r="B20" s="22">
        <v>12</v>
      </c>
      <c r="C20" s="46">
        <f>Electricity!C19</f>
        <v>34</v>
      </c>
      <c r="D20" s="47">
        <f>Electricity!D19</f>
        <v>204</v>
      </c>
      <c r="E20" s="93">
        <v>10837.32</v>
      </c>
      <c r="F20" s="101">
        <v>76.572280000000873</v>
      </c>
      <c r="G20" s="49">
        <f t="shared" si="2"/>
        <v>1212904.9152000139</v>
      </c>
      <c r="H20" s="48">
        <v>1120.48</v>
      </c>
      <c r="I20" s="94">
        <v>23.281839999999889</v>
      </c>
      <c r="J20" s="49">
        <f t="shared" si="3"/>
        <v>368784.34559999825</v>
      </c>
      <c r="K20" s="48"/>
      <c r="L20" s="24">
        <v>0</v>
      </c>
      <c r="M20" s="25">
        <f t="shared" si="0"/>
        <v>0</v>
      </c>
      <c r="N20" s="48"/>
      <c r="O20" s="24"/>
      <c r="P20" s="50">
        <f t="shared" si="4"/>
        <v>0</v>
      </c>
      <c r="Q20" s="51">
        <f t="shared" si="5"/>
        <v>1581689.2608000122</v>
      </c>
      <c r="R20" s="52">
        <f t="shared" si="1"/>
        <v>109.98465063625702</v>
      </c>
      <c r="S20" s="21"/>
    </row>
    <row r="21" spans="1:19" ht="15">
      <c r="A21" s="20"/>
      <c r="B21" s="22">
        <v>13</v>
      </c>
      <c r="C21" s="46">
        <f>Electricity!C20</f>
        <v>41</v>
      </c>
      <c r="D21" s="47">
        <f>Electricity!D20</f>
        <v>209</v>
      </c>
      <c r="E21" s="93">
        <v>10858.9</v>
      </c>
      <c r="F21" s="101">
        <v>86.924239999999699</v>
      </c>
      <c r="G21" s="49">
        <f t="shared" si="2"/>
        <v>1376879.9615999951</v>
      </c>
      <c r="H21" s="48">
        <v>1126.53</v>
      </c>
      <c r="I21" s="94">
        <v>24.369399999999814</v>
      </c>
      <c r="J21" s="49">
        <f t="shared" si="3"/>
        <v>386011.29599999706</v>
      </c>
      <c r="K21" s="48"/>
      <c r="L21" s="24">
        <v>0</v>
      </c>
      <c r="M21" s="25">
        <f t="shared" si="0"/>
        <v>0</v>
      </c>
      <c r="N21" s="48"/>
      <c r="O21" s="24">
        <v>50</v>
      </c>
      <c r="P21" s="50">
        <f t="shared" si="4"/>
        <v>792000</v>
      </c>
      <c r="Q21" s="51">
        <f t="shared" si="5"/>
        <v>2554891.2575999922</v>
      </c>
      <c r="R21" s="52">
        <f t="shared" si="1"/>
        <v>177.6574130867111</v>
      </c>
      <c r="S21" s="21"/>
    </row>
    <row r="22" spans="1:19" ht="15">
      <c r="A22" s="20"/>
      <c r="B22" s="22">
        <v>14</v>
      </c>
      <c r="C22" s="46">
        <f>Electricity!C21</f>
        <v>31</v>
      </c>
      <c r="D22" s="47">
        <f>Electricity!D21</f>
        <v>253</v>
      </c>
      <c r="E22" s="93">
        <v>10879.07</v>
      </c>
      <c r="F22" s="101">
        <v>81.244760000000284</v>
      </c>
      <c r="G22" s="49">
        <f t="shared" si="2"/>
        <v>1286916.9984000046</v>
      </c>
      <c r="H22" s="48">
        <v>1131.83</v>
      </c>
      <c r="I22" s="94">
        <v>21.348399999999813</v>
      </c>
      <c r="J22" s="49">
        <f t="shared" si="3"/>
        <v>338158.65599999705</v>
      </c>
      <c r="K22" s="48"/>
      <c r="L22" s="24">
        <v>0</v>
      </c>
      <c r="M22" s="25">
        <f t="shared" si="0"/>
        <v>0</v>
      </c>
      <c r="N22" s="48"/>
      <c r="O22" s="24"/>
      <c r="P22" s="50">
        <f t="shared" si="4"/>
        <v>0</v>
      </c>
      <c r="Q22" s="51">
        <f t="shared" si="5"/>
        <v>1625075.6544000017</v>
      </c>
      <c r="R22" s="52">
        <f t="shared" si="1"/>
        <v>113.00157530074416</v>
      </c>
      <c r="S22" s="21"/>
    </row>
    <row r="23" spans="1:19" ht="15">
      <c r="A23" s="20"/>
      <c r="B23" s="22">
        <v>15</v>
      </c>
      <c r="C23" s="46">
        <f>Electricity!C22</f>
        <v>25</v>
      </c>
      <c r="D23" s="47">
        <f>Electricity!D22</f>
        <v>149</v>
      </c>
      <c r="E23" s="93">
        <v>10901.07</v>
      </c>
      <c r="F23" s="101">
        <v>88.615999999999985</v>
      </c>
      <c r="G23" s="49">
        <f t="shared" si="2"/>
        <v>1403677.4399999997</v>
      </c>
      <c r="H23" s="48">
        <v>1137.8900000000001</v>
      </c>
      <c r="I23" s="94">
        <v>24.409680000000694</v>
      </c>
      <c r="J23" s="49">
        <f t="shared" si="3"/>
        <v>386649.33120001102</v>
      </c>
      <c r="K23" s="48"/>
      <c r="L23" s="24">
        <v>0</v>
      </c>
      <c r="M23" s="25">
        <f t="shared" si="0"/>
        <v>0</v>
      </c>
      <c r="N23" s="48"/>
      <c r="O23" s="24"/>
      <c r="P23" s="50">
        <f t="shared" si="4"/>
        <v>0</v>
      </c>
      <c r="Q23" s="51">
        <f t="shared" si="5"/>
        <v>1790326.7712000108</v>
      </c>
      <c r="R23" s="52">
        <f t="shared" si="1"/>
        <v>124.49250894930887</v>
      </c>
      <c r="S23" s="21"/>
    </row>
    <row r="24" spans="1:19" ht="15">
      <c r="A24" s="20"/>
      <c r="B24" s="22">
        <v>16</v>
      </c>
      <c r="C24" s="46">
        <f>Electricity!C23</f>
        <v>30</v>
      </c>
      <c r="D24" s="47">
        <f>Electricity!D23</f>
        <v>184</v>
      </c>
      <c r="E24" s="93">
        <v>10922.24</v>
      </c>
      <c r="F24" s="101">
        <v>85.272760000000289</v>
      </c>
      <c r="G24" s="49">
        <f t="shared" si="2"/>
        <v>1350720.5184000046</v>
      </c>
      <c r="H24" s="48">
        <v>1143.8699999999999</v>
      </c>
      <c r="I24" s="94">
        <v>24.087439999999155</v>
      </c>
      <c r="J24" s="49">
        <f t="shared" si="3"/>
        <v>381545.04959998664</v>
      </c>
      <c r="K24" s="48"/>
      <c r="L24" s="24">
        <v>0</v>
      </c>
      <c r="M24" s="25">
        <f t="shared" si="0"/>
        <v>0</v>
      </c>
      <c r="N24" s="48"/>
      <c r="O24" s="24"/>
      <c r="P24" s="50">
        <f t="shared" si="4"/>
        <v>0</v>
      </c>
      <c r="Q24" s="51">
        <f t="shared" si="5"/>
        <v>1732265.5679999911</v>
      </c>
      <c r="R24" s="52">
        <f t="shared" si="1"/>
        <v>120.4551538835958</v>
      </c>
      <c r="S24" s="21"/>
    </row>
    <row r="25" spans="1:19" ht="15">
      <c r="A25" s="20"/>
      <c r="B25" s="22">
        <v>17</v>
      </c>
      <c r="C25" s="46">
        <f>Electricity!C24</f>
        <v>31</v>
      </c>
      <c r="D25" s="47">
        <f>Electricity!D24</f>
        <v>196</v>
      </c>
      <c r="E25" s="93">
        <v>10941.59</v>
      </c>
      <c r="F25" s="101">
        <v>77.941800000001464</v>
      </c>
      <c r="G25" s="49">
        <f t="shared" si="2"/>
        <v>1234598.1120000232</v>
      </c>
      <c r="H25" s="48">
        <v>1149.8399999999999</v>
      </c>
      <c r="I25" s="94">
        <v>24.047160000000108</v>
      </c>
      <c r="J25" s="49">
        <f t="shared" si="3"/>
        <v>380907.01440000173</v>
      </c>
      <c r="K25" s="48"/>
      <c r="L25" s="24">
        <v>0</v>
      </c>
      <c r="M25" s="25">
        <f t="shared" si="0"/>
        <v>0</v>
      </c>
      <c r="N25" s="48"/>
      <c r="O25" s="24"/>
      <c r="P25" s="50">
        <f t="shared" si="4"/>
        <v>0</v>
      </c>
      <c r="Q25" s="51">
        <f t="shared" si="5"/>
        <v>1615505.1264000251</v>
      </c>
      <c r="R25" s="52">
        <f t="shared" si="1"/>
        <v>112.3360772129911</v>
      </c>
      <c r="S25" s="21"/>
    </row>
    <row r="26" spans="1:19" ht="15">
      <c r="A26" s="20"/>
      <c r="B26" s="22">
        <v>18</v>
      </c>
      <c r="C26" s="46">
        <f>Electricity!C25</f>
        <v>37</v>
      </c>
      <c r="D26" s="47">
        <f>Electricity!D25</f>
        <v>174</v>
      </c>
      <c r="E26" s="93">
        <v>10966.62</v>
      </c>
      <c r="F26" s="101">
        <v>100.82084000000263</v>
      </c>
      <c r="G26" s="49">
        <f t="shared" si="2"/>
        <v>1597002.1056000418</v>
      </c>
      <c r="H26" s="48">
        <v>1155.99</v>
      </c>
      <c r="I26" s="94">
        <v>24.772200000000364</v>
      </c>
      <c r="J26" s="49">
        <f t="shared" si="3"/>
        <v>392391.64800000575</v>
      </c>
      <c r="K26" s="48"/>
      <c r="L26" s="24">
        <v>0</v>
      </c>
      <c r="M26" s="25">
        <f t="shared" si="0"/>
        <v>0</v>
      </c>
      <c r="N26" s="48"/>
      <c r="O26" s="24"/>
      <c r="P26" s="50">
        <f t="shared" si="4"/>
        <v>0</v>
      </c>
      <c r="Q26" s="51">
        <f t="shared" si="5"/>
        <v>1989393.7536000474</v>
      </c>
      <c r="R26" s="52">
        <f t="shared" si="1"/>
        <v>138.33486917460868</v>
      </c>
      <c r="S26" s="21"/>
    </row>
    <row r="27" spans="1:19" ht="15">
      <c r="A27" s="20"/>
      <c r="B27" s="22">
        <v>19</v>
      </c>
      <c r="C27" s="46">
        <f>Electricity!C26</f>
        <v>42</v>
      </c>
      <c r="D27" s="47">
        <f>Electricity!D26</f>
        <v>207</v>
      </c>
      <c r="E27" s="102">
        <v>10986.4</v>
      </c>
      <c r="F27" s="101">
        <v>79.673839999995309</v>
      </c>
      <c r="G27" s="49">
        <f t="shared" si="2"/>
        <v>1262033.6255999256</v>
      </c>
      <c r="H27" s="48">
        <v>1161.8</v>
      </c>
      <c r="I27" s="94">
        <v>23.402679999999776</v>
      </c>
      <c r="J27" s="49">
        <f t="shared" si="3"/>
        <v>370698.45119999646</v>
      </c>
      <c r="K27" s="48"/>
      <c r="L27" s="24">
        <v>0</v>
      </c>
      <c r="M27" s="25">
        <f t="shared" si="0"/>
        <v>0</v>
      </c>
      <c r="N27" s="48"/>
      <c r="O27" s="24"/>
      <c r="P27" s="50">
        <f t="shared" si="4"/>
        <v>0</v>
      </c>
      <c r="Q27" s="51">
        <f t="shared" si="5"/>
        <v>1632732.0767999222</v>
      </c>
      <c r="R27" s="52">
        <f t="shared" si="1"/>
        <v>113.53397377094237</v>
      </c>
      <c r="S27" s="21"/>
    </row>
    <row r="28" spans="1:19" ht="15">
      <c r="A28" s="20"/>
      <c r="B28" s="22">
        <v>20</v>
      </c>
      <c r="C28" s="46">
        <f>Electricity!C27</f>
        <v>37</v>
      </c>
      <c r="D28" s="47">
        <f>Electricity!D27</f>
        <v>216</v>
      </c>
      <c r="E28" s="102">
        <v>11006.38</v>
      </c>
      <c r="F28" s="101">
        <v>80.479439999998235</v>
      </c>
      <c r="G28" s="49">
        <f t="shared" si="2"/>
        <v>1274794.3295999721</v>
      </c>
      <c r="H28" s="48">
        <v>1167.6099999999999</v>
      </c>
      <c r="I28" s="94">
        <v>23.402679999999776</v>
      </c>
      <c r="J28" s="49">
        <f t="shared" si="3"/>
        <v>370698.45119999646</v>
      </c>
      <c r="K28" s="48"/>
      <c r="L28" s="24">
        <v>0</v>
      </c>
      <c r="M28" s="25">
        <f t="shared" si="0"/>
        <v>0</v>
      </c>
      <c r="N28" s="48"/>
      <c r="O28" s="24"/>
      <c r="P28" s="50">
        <f t="shared" si="4"/>
        <v>0</v>
      </c>
      <c r="Q28" s="51">
        <f t="shared" si="5"/>
        <v>1645492.7807999686</v>
      </c>
      <c r="R28" s="52">
        <f t="shared" si="1"/>
        <v>114.4213045546185</v>
      </c>
      <c r="S28" s="21"/>
    </row>
    <row r="29" spans="1:19" ht="15">
      <c r="A29" s="20"/>
      <c r="B29" s="22">
        <v>21</v>
      </c>
      <c r="C29" s="46">
        <f>Electricity!C28</f>
        <v>31</v>
      </c>
      <c r="D29" s="47">
        <f>Electricity!D28</f>
        <v>208</v>
      </c>
      <c r="E29" s="102">
        <v>11023.16</v>
      </c>
      <c r="F29" s="101">
        <v>67.589840000002624</v>
      </c>
      <c r="G29" s="49">
        <f t="shared" si="2"/>
        <v>1070623.0656000415</v>
      </c>
      <c r="H29" s="48">
        <v>1171.58</v>
      </c>
      <c r="I29" s="94">
        <v>15.991160000000109</v>
      </c>
      <c r="J29" s="49">
        <f t="shared" si="3"/>
        <v>253299.97440000172</v>
      </c>
      <c r="K29" s="48"/>
      <c r="L29" s="24">
        <v>50</v>
      </c>
      <c r="M29" s="25">
        <f t="shared" si="0"/>
        <v>792000</v>
      </c>
      <c r="N29" s="48"/>
      <c r="O29" s="24"/>
      <c r="P29" s="50">
        <f t="shared" si="4"/>
        <v>0</v>
      </c>
      <c r="Q29" s="51">
        <f t="shared" si="5"/>
        <v>2115923.0400000433</v>
      </c>
      <c r="R29" s="52">
        <f t="shared" si="1"/>
        <v>147.13323412836684</v>
      </c>
      <c r="S29" s="21"/>
    </row>
    <row r="30" spans="1:19" ht="15">
      <c r="A30" s="20"/>
      <c r="B30" s="22">
        <v>22</v>
      </c>
      <c r="C30" s="46">
        <f>Electricity!C29</f>
        <v>37</v>
      </c>
      <c r="D30" s="47">
        <f>Electricity!D29</f>
        <v>176</v>
      </c>
      <c r="E30" s="102">
        <v>11040.33</v>
      </c>
      <c r="F30" s="101">
        <v>69.16076000000028</v>
      </c>
      <c r="G30" s="49">
        <f t="shared" si="2"/>
        <v>1095506.4384000045</v>
      </c>
      <c r="H30" s="48">
        <v>1178.9100000000001</v>
      </c>
      <c r="I30" s="94">
        <v>29.525240000000618</v>
      </c>
      <c r="J30" s="49">
        <f t="shared" si="3"/>
        <v>467679.80160000979</v>
      </c>
      <c r="K30" s="48"/>
      <c r="L30" s="24">
        <v>0</v>
      </c>
      <c r="M30" s="25">
        <f t="shared" si="0"/>
        <v>0</v>
      </c>
      <c r="N30" s="48"/>
      <c r="O30" s="24"/>
      <c r="P30" s="50">
        <f t="shared" si="4"/>
        <v>0</v>
      </c>
      <c r="Q30" s="51">
        <f t="shared" si="5"/>
        <v>1563186.2400000142</v>
      </c>
      <c r="R30" s="52">
        <f t="shared" si="1"/>
        <v>108.69802099993144</v>
      </c>
      <c r="S30" s="21"/>
    </row>
    <row r="31" spans="1:19" ht="15">
      <c r="A31" s="20"/>
      <c r="B31" s="22">
        <v>23</v>
      </c>
      <c r="C31" s="46">
        <f>Electricity!C30</f>
        <v>39</v>
      </c>
      <c r="D31" s="47">
        <f>Electricity!D30</f>
        <v>212</v>
      </c>
      <c r="E31" s="102">
        <v>11059.9</v>
      </c>
      <c r="F31" s="101">
        <v>78.827959999998825</v>
      </c>
      <c r="G31" s="49">
        <f t="shared" si="2"/>
        <v>1248634.8863999813</v>
      </c>
      <c r="H31" s="48">
        <v>1184.96</v>
      </c>
      <c r="I31" s="94">
        <v>24.369399999999814</v>
      </c>
      <c r="J31" s="49">
        <f t="shared" si="3"/>
        <v>386011.29599999706</v>
      </c>
      <c r="K31" s="48"/>
      <c r="L31" s="24">
        <v>0</v>
      </c>
      <c r="M31" s="25">
        <f t="shared" si="0"/>
        <v>0</v>
      </c>
      <c r="N31" s="48"/>
      <c r="O31" s="24"/>
      <c r="P31" s="50">
        <f t="shared" si="4"/>
        <v>0</v>
      </c>
      <c r="Q31" s="51">
        <f t="shared" si="5"/>
        <v>1634646.1823999784</v>
      </c>
      <c r="R31" s="52">
        <f t="shared" si="1"/>
        <v>113.66707338849722</v>
      </c>
      <c r="S31" s="21"/>
    </row>
    <row r="32" spans="1:19" ht="15">
      <c r="A32" s="20"/>
      <c r="B32" s="22">
        <v>24</v>
      </c>
      <c r="C32" s="46">
        <f>Electricity!C31</f>
        <v>34</v>
      </c>
      <c r="D32" s="47">
        <f>Electricity!D31</f>
        <v>245</v>
      </c>
      <c r="E32" s="102">
        <v>11082.18</v>
      </c>
      <c r="F32" s="101">
        <v>89.743840000002635</v>
      </c>
      <c r="G32" s="49">
        <f t="shared" si="2"/>
        <v>1421542.4256000416</v>
      </c>
      <c r="H32" s="48">
        <v>1191.57</v>
      </c>
      <c r="I32" s="94">
        <v>26.625079999999596</v>
      </c>
      <c r="J32" s="49">
        <f t="shared" si="3"/>
        <v>421741.2671999936</v>
      </c>
      <c r="K32" s="48"/>
      <c r="L32" s="24">
        <v>0</v>
      </c>
      <c r="M32" s="25">
        <f t="shared" si="0"/>
        <v>0</v>
      </c>
      <c r="N32" s="48"/>
      <c r="O32" s="24"/>
      <c r="P32" s="50">
        <f t="shared" si="4"/>
        <v>0</v>
      </c>
      <c r="Q32" s="51">
        <f t="shared" si="5"/>
        <v>1843283.6928000352</v>
      </c>
      <c r="R32" s="52">
        <f t="shared" si="1"/>
        <v>128.17493170155311</v>
      </c>
      <c r="S32" s="21"/>
    </row>
    <row r="33" spans="1:21" ht="15">
      <c r="A33" s="20"/>
      <c r="B33" s="22">
        <v>25</v>
      </c>
      <c r="C33" s="46">
        <f>Electricity!C32</f>
        <v>38</v>
      </c>
      <c r="D33" s="47">
        <f>Electricity!D32</f>
        <v>187</v>
      </c>
      <c r="E33" s="102">
        <v>11104.75</v>
      </c>
      <c r="F33" s="101">
        <v>90.911959999998814</v>
      </c>
      <c r="G33" s="49">
        <f t="shared" si="2"/>
        <v>1440045.4463999812</v>
      </c>
      <c r="H33" s="48">
        <v>1197.32</v>
      </c>
      <c r="I33" s="94">
        <v>23.160999999999998</v>
      </c>
      <c r="J33" s="49">
        <f t="shared" si="3"/>
        <v>366870.24</v>
      </c>
      <c r="K33" s="48"/>
      <c r="L33" s="24">
        <v>0</v>
      </c>
      <c r="M33" s="25">
        <f t="shared" si="0"/>
        <v>0</v>
      </c>
      <c r="N33" s="48"/>
      <c r="O33" s="24"/>
      <c r="P33" s="50">
        <f t="shared" si="4"/>
        <v>0</v>
      </c>
      <c r="Q33" s="51">
        <f t="shared" si="5"/>
        <v>1806915.6863999811</v>
      </c>
      <c r="R33" s="52">
        <f t="shared" si="1"/>
        <v>125.64603896808157</v>
      </c>
      <c r="S33" s="21"/>
    </row>
    <row r="34" spans="1:21" ht="15">
      <c r="A34" s="20"/>
      <c r="B34" s="22">
        <v>26</v>
      </c>
      <c r="C34" s="46">
        <f>Electricity!C33</f>
        <v>37</v>
      </c>
      <c r="D34" s="47">
        <f>Electricity!D33</f>
        <v>212</v>
      </c>
      <c r="E34" s="102">
        <v>11127.48</v>
      </c>
      <c r="F34" s="101">
        <v>91.556439999998233</v>
      </c>
      <c r="G34" s="49">
        <f t="shared" si="2"/>
        <v>1450254.0095999721</v>
      </c>
      <c r="H34" s="48">
        <v>1203.21</v>
      </c>
      <c r="I34" s="94">
        <v>23.724920000000399</v>
      </c>
      <c r="J34" s="49">
        <f t="shared" si="3"/>
        <v>375802.73280000634</v>
      </c>
      <c r="K34" s="48"/>
      <c r="L34" s="24">
        <v>0</v>
      </c>
      <c r="M34" s="25">
        <f t="shared" si="0"/>
        <v>0</v>
      </c>
      <c r="N34" s="48"/>
      <c r="O34" s="24"/>
      <c r="P34" s="50">
        <f t="shared" si="4"/>
        <v>0</v>
      </c>
      <c r="Q34" s="51">
        <f t="shared" si="5"/>
        <v>1826056.7423999785</v>
      </c>
      <c r="R34" s="52">
        <f t="shared" si="1"/>
        <v>126.97703514359074</v>
      </c>
      <c r="S34" s="21"/>
    </row>
    <row r="35" spans="1:21" ht="15">
      <c r="A35" s="20"/>
      <c r="B35" s="22">
        <v>27</v>
      </c>
      <c r="C35" s="46">
        <f>Electricity!C34</f>
        <v>40</v>
      </c>
      <c r="D35" s="47">
        <f>Electricity!D34</f>
        <v>193</v>
      </c>
      <c r="E35" s="102">
        <v>11151.23</v>
      </c>
      <c r="F35" s="101">
        <v>95.664999999999992</v>
      </c>
      <c r="G35" s="49">
        <f t="shared" si="2"/>
        <v>1515333.5999999999</v>
      </c>
      <c r="H35" s="48">
        <v>1208.1400000000001</v>
      </c>
      <c r="I35" s="94">
        <v>19.858040000000255</v>
      </c>
      <c r="J35" s="49">
        <f t="shared" si="3"/>
        <v>314551.35360000405</v>
      </c>
      <c r="K35" s="48"/>
      <c r="L35" s="24">
        <v>0</v>
      </c>
      <c r="M35" s="25">
        <f t="shared" si="0"/>
        <v>0</v>
      </c>
      <c r="N35" s="48"/>
      <c r="O35" s="24">
        <v>50</v>
      </c>
      <c r="P35" s="50">
        <f t="shared" si="4"/>
        <v>792000</v>
      </c>
      <c r="Q35" s="51">
        <f t="shared" si="5"/>
        <v>2621884.9536000038</v>
      </c>
      <c r="R35" s="52">
        <f t="shared" si="1"/>
        <v>182.31589970099463</v>
      </c>
      <c r="S35" s="21"/>
    </row>
    <row r="36" spans="1:21" ht="15">
      <c r="A36" s="20"/>
      <c r="B36" s="22">
        <v>28</v>
      </c>
      <c r="C36" s="46">
        <f>Electricity!C35</f>
        <v>40</v>
      </c>
      <c r="D36" s="47">
        <f>Electricity!D35</f>
        <v>219</v>
      </c>
      <c r="E36" s="102">
        <v>11172.97</v>
      </c>
      <c r="F36" s="101">
        <v>87.568719999999118</v>
      </c>
      <c r="G36" s="49">
        <f t="shared" si="2"/>
        <v>1387088.524799986</v>
      </c>
      <c r="H36" s="48">
        <v>1213.4100000000001</v>
      </c>
      <c r="I36" s="94">
        <v>21.227559999999926</v>
      </c>
      <c r="J36" s="49">
        <f t="shared" si="3"/>
        <v>336244.55039999884</v>
      </c>
      <c r="K36" s="48"/>
      <c r="L36" s="24">
        <v>0</v>
      </c>
      <c r="M36" s="25">
        <f t="shared" si="0"/>
        <v>0</v>
      </c>
      <c r="N36" s="48"/>
      <c r="O36" s="24"/>
      <c r="P36" s="50">
        <f t="shared" si="4"/>
        <v>0</v>
      </c>
      <c r="Q36" s="51">
        <f t="shared" si="5"/>
        <v>1723333.0751999849</v>
      </c>
      <c r="R36" s="52">
        <f t="shared" si="1"/>
        <v>119.83402233502433</v>
      </c>
      <c r="S36" s="21"/>
    </row>
    <row r="37" spans="1:21" ht="15">
      <c r="A37" s="20"/>
      <c r="B37" s="22">
        <v>29</v>
      </c>
      <c r="C37" s="46">
        <f>Electricity!C36</f>
        <v>35</v>
      </c>
      <c r="D37" s="47">
        <f>Electricity!D36</f>
        <v>223</v>
      </c>
      <c r="E37" s="80">
        <v>11194.32</v>
      </c>
      <c r="F37" s="101">
        <v>85.997800000001462</v>
      </c>
      <c r="G37" s="49">
        <f t="shared" si="2"/>
        <v>1362205.1520000231</v>
      </c>
      <c r="H37" s="48">
        <v>1220.17</v>
      </c>
      <c r="I37" s="94">
        <v>27.22927999999996</v>
      </c>
      <c r="J37" s="49">
        <f t="shared" si="3"/>
        <v>431311.79519999935</v>
      </c>
      <c r="K37" s="48"/>
      <c r="L37" s="24">
        <v>0</v>
      </c>
      <c r="M37" s="25">
        <f t="shared" si="0"/>
        <v>0</v>
      </c>
      <c r="N37" s="48"/>
      <c r="O37" s="24"/>
      <c r="P37" s="50">
        <f t="shared" si="4"/>
        <v>0</v>
      </c>
      <c r="Q37" s="51">
        <f t="shared" si="5"/>
        <v>1793516.9472000224</v>
      </c>
      <c r="R37" s="52">
        <f t="shared" si="1"/>
        <v>124.7143416452279</v>
      </c>
      <c r="S37" s="21"/>
    </row>
    <row r="38" spans="1:21" ht="15">
      <c r="A38" s="20"/>
      <c r="B38" s="22">
        <v>30</v>
      </c>
      <c r="C38" s="46">
        <f>Electricity!C37</f>
        <v>43</v>
      </c>
      <c r="D38" s="47">
        <f>Electricity!D37</f>
        <v>264</v>
      </c>
      <c r="E38" s="80">
        <v>11215.15</v>
      </c>
      <c r="F38" s="101">
        <v>83.903239999999698</v>
      </c>
      <c r="G38" s="49">
        <f t="shared" si="2"/>
        <v>1329027.3215999953</v>
      </c>
      <c r="H38" s="48">
        <v>1226.1600000000001</v>
      </c>
      <c r="I38" s="94">
        <v>24.127720000000036</v>
      </c>
      <c r="J38" s="49">
        <f t="shared" si="3"/>
        <v>382183.08480000054</v>
      </c>
      <c r="K38" s="48"/>
      <c r="L38" s="24">
        <v>0</v>
      </c>
      <c r="M38" s="25">
        <f t="shared" si="0"/>
        <v>0</v>
      </c>
      <c r="N38" s="48"/>
      <c r="O38" s="24"/>
      <c r="P38" s="50">
        <f t="shared" si="4"/>
        <v>0</v>
      </c>
      <c r="Q38" s="51">
        <f t="shared" si="5"/>
        <v>1711210.4063999958</v>
      </c>
      <c r="R38" s="52">
        <f t="shared" si="1"/>
        <v>118.99105809053583</v>
      </c>
      <c r="S38" s="21"/>
    </row>
    <row r="39" spans="1:21" ht="15">
      <c r="A39" s="20"/>
      <c r="B39" s="22">
        <v>31</v>
      </c>
      <c r="C39" s="46">
        <f>Electricity!C38</f>
        <v>44</v>
      </c>
      <c r="D39" s="47">
        <f>Electricity!D38</f>
        <v>258</v>
      </c>
      <c r="E39" s="80">
        <v>11234.89</v>
      </c>
      <c r="F39" s="101">
        <v>79.512719999999106</v>
      </c>
      <c r="G39" s="49">
        <f t="shared" si="2"/>
        <v>1259481.4847999858</v>
      </c>
      <c r="H39" s="48">
        <v>1231.97</v>
      </c>
      <c r="I39" s="94">
        <v>23.402679999999776</v>
      </c>
      <c r="J39" s="49">
        <f t="shared" si="3"/>
        <v>370698.45119999646</v>
      </c>
      <c r="K39" s="48"/>
      <c r="L39" s="24">
        <v>0</v>
      </c>
      <c r="M39" s="25">
        <f t="shared" si="0"/>
        <v>0</v>
      </c>
      <c r="N39" s="48"/>
      <c r="O39" s="24"/>
      <c r="P39" s="50">
        <f t="shared" si="4"/>
        <v>0</v>
      </c>
      <c r="Q39" s="51">
        <f t="shared" si="5"/>
        <v>1630179.9359999823</v>
      </c>
      <c r="R39" s="52">
        <f t="shared" si="1"/>
        <v>113.35650761421196</v>
      </c>
      <c r="S39" s="21"/>
    </row>
    <row r="40" spans="1:21">
      <c r="C40" s="53">
        <f>SUM(C9:C39)</f>
        <v>1119</v>
      </c>
      <c r="D40" s="53">
        <f>SUM(D9:D39)</f>
        <v>6390</v>
      </c>
      <c r="E40" s="30"/>
      <c r="F40" s="30">
        <f>SUM(F9:F39)</f>
        <v>2582.1493999999966</v>
      </c>
      <c r="G40" s="40"/>
      <c r="H40" s="40"/>
      <c r="I40" s="30">
        <f>SUM(I9:I39)</f>
        <v>738.69492000000037</v>
      </c>
      <c r="J40" s="40"/>
      <c r="K40" s="40"/>
      <c r="L40" s="30">
        <f>SUM(L9:L39)</f>
        <v>150</v>
      </c>
      <c r="M40" s="40"/>
      <c r="N40" s="39"/>
      <c r="O40" s="30">
        <f>SUM(O9:O39)</f>
        <v>150</v>
      </c>
      <c r="P40" s="40"/>
      <c r="Q40"/>
      <c r="R40" s="91">
        <f>SUM(R9:R39)</f>
        <v>3988.1909483902332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43</v>
      </c>
      <c r="O41" s="63">
        <f>F40+I40+L40+O40</f>
        <v>3620.844319999997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26" workbookViewId="0">
      <selection activeCell="E40" sqref="E40"/>
    </sheetView>
  </sheetViews>
  <sheetFormatPr defaultRowHeight="14.2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5703125" customWidth="1"/>
    <col min="11" max="11" width="21.5703125" customWidth="1"/>
  </cols>
  <sheetData>
    <row r="1" spans="1:9" ht="15.4">
      <c r="B1" s="104" t="s">
        <v>44</v>
      </c>
      <c r="C1" s="104"/>
      <c r="D1" s="104"/>
      <c r="E1" s="104"/>
      <c r="F1" s="104"/>
      <c r="G1" s="104"/>
      <c r="H1" s="104"/>
    </row>
    <row r="2" spans="1:9" ht="15.4">
      <c r="B2" s="104" t="s">
        <v>16</v>
      </c>
      <c r="C2" s="104"/>
      <c r="D2" s="104"/>
      <c r="E2" s="104"/>
      <c r="F2" s="104"/>
      <c r="G2" s="104"/>
      <c r="H2" s="10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10">
        <v>44743</v>
      </c>
      <c r="C4" s="110"/>
      <c r="D4" s="110"/>
      <c r="E4" s="110"/>
      <c r="F4" s="110"/>
      <c r="G4" s="110"/>
      <c r="H4" s="110"/>
      <c r="I4" s="16"/>
    </row>
    <row r="5" spans="1:9">
      <c r="A5" s="66"/>
      <c r="B5" s="103" t="s">
        <v>45</v>
      </c>
      <c r="C5" s="103" t="s">
        <v>18</v>
      </c>
      <c r="D5" s="103" t="s">
        <v>13</v>
      </c>
      <c r="E5" s="103" t="s">
        <v>46</v>
      </c>
      <c r="F5" s="103"/>
      <c r="G5" s="103"/>
      <c r="H5" s="103" t="s">
        <v>23</v>
      </c>
      <c r="I5" s="18"/>
    </row>
    <row r="6" spans="1:9">
      <c r="A6" s="66"/>
      <c r="B6" s="103"/>
      <c r="C6" s="103"/>
      <c r="D6" s="103"/>
      <c r="E6" s="103"/>
      <c r="F6" s="103"/>
      <c r="G6" s="103"/>
      <c r="H6" s="103"/>
      <c r="I6" s="18"/>
    </row>
    <row r="7" spans="1:9" s="19" customFormat="1" ht="20.25">
      <c r="A7" s="66"/>
      <c r="B7" s="103"/>
      <c r="C7" s="103"/>
      <c r="D7" s="103"/>
      <c r="E7" s="43" t="s">
        <v>36</v>
      </c>
      <c r="F7" s="114" t="s">
        <v>47</v>
      </c>
      <c r="G7" s="67" t="s">
        <v>40</v>
      </c>
      <c r="H7" s="103"/>
      <c r="I7" s="18"/>
    </row>
    <row r="8" spans="1:9" s="19" customFormat="1" ht="15">
      <c r="A8" s="66"/>
      <c r="B8" s="103"/>
      <c r="C8" s="103"/>
      <c r="D8" s="103"/>
      <c r="E8" s="68">
        <v>5079</v>
      </c>
      <c r="F8" s="114"/>
      <c r="G8" s="67">
        <v>10700</v>
      </c>
      <c r="H8" s="103"/>
      <c r="I8" s="18"/>
    </row>
    <row r="9" spans="1:9" ht="15">
      <c r="A9" s="69"/>
      <c r="B9" s="22">
        <v>1</v>
      </c>
      <c r="C9" s="23">
        <f>Gas!C9</f>
        <v>35</v>
      </c>
      <c r="D9" s="23">
        <f>Gas!D9</f>
        <v>171</v>
      </c>
      <c r="E9" s="70">
        <v>5079</v>
      </c>
      <c r="F9" s="71">
        <v>0</v>
      </c>
      <c r="G9" s="71">
        <f t="shared" ref="G9:G39" si="0">F9*$G$8</f>
        <v>0</v>
      </c>
      <c r="H9" s="83">
        <f>G9/14381</f>
        <v>0</v>
      </c>
      <c r="I9" s="21"/>
    </row>
    <row r="10" spans="1:9" ht="15">
      <c r="A10" s="69"/>
      <c r="B10" s="22">
        <v>2</v>
      </c>
      <c r="C10" s="23">
        <f>Gas!C10</f>
        <v>27</v>
      </c>
      <c r="D10" s="23">
        <f>Gas!D10</f>
        <v>188</v>
      </c>
      <c r="E10" s="70">
        <v>5080</v>
      </c>
      <c r="F10" s="72">
        <f t="shared" ref="F10:F39" si="1">E10-E9</f>
        <v>1</v>
      </c>
      <c r="G10" s="71">
        <f>F10*$G$8</f>
        <v>10700</v>
      </c>
      <c r="H10" s="83">
        <f t="shared" ref="H10:H39" si="2">G10/14381</f>
        <v>0.74403727139976361</v>
      </c>
      <c r="I10" s="21"/>
    </row>
    <row r="11" spans="1:9" ht="15">
      <c r="A11" s="69"/>
      <c r="B11" s="22">
        <v>3</v>
      </c>
      <c r="C11" s="23">
        <f>Gas!C11</f>
        <v>33</v>
      </c>
      <c r="D11" s="23">
        <f>Gas!D11</f>
        <v>166</v>
      </c>
      <c r="E11" s="70">
        <v>5080</v>
      </c>
      <c r="F11" s="72">
        <f t="shared" si="1"/>
        <v>0</v>
      </c>
      <c r="G11" s="71">
        <f t="shared" si="0"/>
        <v>0</v>
      </c>
      <c r="H11" s="83">
        <f t="shared" si="2"/>
        <v>0</v>
      </c>
      <c r="I11" s="21"/>
    </row>
    <row r="12" spans="1:9" ht="15">
      <c r="A12" s="69"/>
      <c r="B12" s="22">
        <v>4</v>
      </c>
      <c r="C12" s="23">
        <f>Gas!C12</f>
        <v>34</v>
      </c>
      <c r="D12" s="23">
        <f>Gas!D12</f>
        <v>186</v>
      </c>
      <c r="E12" s="70">
        <v>5087</v>
      </c>
      <c r="F12" s="72">
        <f t="shared" si="1"/>
        <v>7</v>
      </c>
      <c r="G12" s="71">
        <f t="shared" si="0"/>
        <v>74900</v>
      </c>
      <c r="H12" s="83">
        <f t="shared" si="2"/>
        <v>5.2082608997983453</v>
      </c>
      <c r="I12" s="21"/>
    </row>
    <row r="13" spans="1:9" ht="15">
      <c r="A13" s="69"/>
      <c r="B13" s="22">
        <v>5</v>
      </c>
      <c r="C13" s="23">
        <f>Gas!C13</f>
        <v>31</v>
      </c>
      <c r="D13" s="23">
        <f>Gas!D13</f>
        <v>180</v>
      </c>
      <c r="E13" s="70">
        <v>5087</v>
      </c>
      <c r="F13" s="72">
        <f t="shared" si="1"/>
        <v>0</v>
      </c>
      <c r="G13" s="71">
        <f t="shared" si="0"/>
        <v>0</v>
      </c>
      <c r="H13" s="83">
        <f t="shared" si="2"/>
        <v>0</v>
      </c>
      <c r="I13" s="21"/>
    </row>
    <row r="14" spans="1:9" ht="15">
      <c r="A14" s="69"/>
      <c r="B14" s="22">
        <v>6</v>
      </c>
      <c r="C14" s="23">
        <f>Gas!C14</f>
        <v>29</v>
      </c>
      <c r="D14" s="23">
        <f>Gas!D14</f>
        <v>174</v>
      </c>
      <c r="E14" s="70">
        <v>5087</v>
      </c>
      <c r="F14" s="72">
        <f t="shared" si="1"/>
        <v>0</v>
      </c>
      <c r="G14" s="71">
        <f t="shared" si="0"/>
        <v>0</v>
      </c>
      <c r="H14" s="83">
        <f t="shared" si="2"/>
        <v>0</v>
      </c>
      <c r="I14" s="21"/>
    </row>
    <row r="15" spans="1:9" ht="15">
      <c r="A15" s="69"/>
      <c r="B15" s="22">
        <v>7</v>
      </c>
      <c r="C15" s="23">
        <f>Gas!C15</f>
        <v>37</v>
      </c>
      <c r="D15" s="23">
        <f>Gas!D15</f>
        <v>194</v>
      </c>
      <c r="E15" s="70">
        <v>5087</v>
      </c>
      <c r="F15" s="72">
        <f t="shared" si="1"/>
        <v>0</v>
      </c>
      <c r="G15" s="71">
        <f t="shared" si="0"/>
        <v>0</v>
      </c>
      <c r="H15" s="83">
        <f t="shared" si="2"/>
        <v>0</v>
      </c>
      <c r="I15" s="21"/>
    </row>
    <row r="16" spans="1:9" ht="15">
      <c r="A16" s="69"/>
      <c r="B16" s="22">
        <v>8</v>
      </c>
      <c r="C16" s="23">
        <f>Gas!C16</f>
        <v>45</v>
      </c>
      <c r="D16" s="23">
        <f>Gas!D16</f>
        <v>232</v>
      </c>
      <c r="E16" s="70">
        <v>5087</v>
      </c>
      <c r="F16" s="72">
        <f t="shared" si="1"/>
        <v>0</v>
      </c>
      <c r="G16" s="71">
        <f t="shared" si="0"/>
        <v>0</v>
      </c>
      <c r="H16" s="83">
        <f t="shared" si="2"/>
        <v>0</v>
      </c>
      <c r="I16" s="21"/>
    </row>
    <row r="17" spans="1:9" ht="15">
      <c r="A17" s="69"/>
      <c r="B17" s="22">
        <v>9</v>
      </c>
      <c r="C17" s="23">
        <f>Gas!C17</f>
        <v>47</v>
      </c>
      <c r="D17" s="23">
        <f>Gas!D17</f>
        <v>235</v>
      </c>
      <c r="E17" s="70">
        <v>5087</v>
      </c>
      <c r="F17" s="72">
        <f t="shared" si="1"/>
        <v>0</v>
      </c>
      <c r="G17" s="71">
        <f t="shared" si="0"/>
        <v>0</v>
      </c>
      <c r="H17" s="83">
        <f t="shared" si="2"/>
        <v>0</v>
      </c>
      <c r="I17" s="21"/>
    </row>
    <row r="18" spans="1:9" ht="15">
      <c r="A18" s="69"/>
      <c r="B18" s="22">
        <v>10</v>
      </c>
      <c r="C18" s="23">
        <f>Gas!C18</f>
        <v>37</v>
      </c>
      <c r="D18" s="23">
        <f>Gas!D18</f>
        <v>244</v>
      </c>
      <c r="E18" s="70">
        <v>5087</v>
      </c>
      <c r="F18" s="72">
        <f t="shared" si="1"/>
        <v>0</v>
      </c>
      <c r="G18" s="71">
        <f t="shared" si="0"/>
        <v>0</v>
      </c>
      <c r="H18" s="83">
        <f t="shared" si="2"/>
        <v>0</v>
      </c>
      <c r="I18" s="21"/>
    </row>
    <row r="19" spans="1:9" ht="15">
      <c r="A19" s="69"/>
      <c r="B19" s="22">
        <v>11</v>
      </c>
      <c r="C19" s="23">
        <f>Gas!C19</f>
        <v>38</v>
      </c>
      <c r="D19" s="23">
        <f>Gas!D19</f>
        <v>231</v>
      </c>
      <c r="E19" s="70">
        <v>5095</v>
      </c>
      <c r="F19" s="72">
        <f t="shared" si="1"/>
        <v>8</v>
      </c>
      <c r="G19" s="71">
        <f t="shared" si="0"/>
        <v>85600</v>
      </c>
      <c r="H19" s="83">
        <f t="shared" si="2"/>
        <v>5.9522981711981089</v>
      </c>
      <c r="I19" s="21"/>
    </row>
    <row r="20" spans="1:9" ht="15">
      <c r="A20" s="69"/>
      <c r="B20" s="22">
        <v>12</v>
      </c>
      <c r="C20" s="23">
        <f>Gas!C20</f>
        <v>34</v>
      </c>
      <c r="D20" s="23">
        <f>Gas!D20</f>
        <v>204</v>
      </c>
      <c r="E20" s="70">
        <v>5095</v>
      </c>
      <c r="F20" s="72">
        <f t="shared" si="1"/>
        <v>0</v>
      </c>
      <c r="G20" s="71">
        <f t="shared" si="0"/>
        <v>0</v>
      </c>
      <c r="H20" s="83">
        <f t="shared" si="2"/>
        <v>0</v>
      </c>
      <c r="I20" s="21"/>
    </row>
    <row r="21" spans="1:9" ht="15">
      <c r="A21" s="69"/>
      <c r="B21" s="22">
        <v>13</v>
      </c>
      <c r="C21" s="23">
        <f>Gas!C21</f>
        <v>41</v>
      </c>
      <c r="D21" s="23">
        <f>Gas!D21</f>
        <v>209</v>
      </c>
      <c r="E21" s="70">
        <v>5123</v>
      </c>
      <c r="F21" s="72">
        <f t="shared" si="1"/>
        <v>28</v>
      </c>
      <c r="G21" s="71">
        <f t="shared" si="0"/>
        <v>299600</v>
      </c>
      <c r="H21" s="83">
        <f t="shared" si="2"/>
        <v>20.833043599193381</v>
      </c>
      <c r="I21" s="21"/>
    </row>
    <row r="22" spans="1:9" ht="15">
      <c r="A22" s="69"/>
      <c r="B22" s="22">
        <v>14</v>
      </c>
      <c r="C22" s="23">
        <f>Gas!C22</f>
        <v>31</v>
      </c>
      <c r="D22" s="23">
        <f>Gas!D22</f>
        <v>253</v>
      </c>
      <c r="E22" s="70">
        <v>5123</v>
      </c>
      <c r="F22" s="72">
        <f t="shared" si="1"/>
        <v>0</v>
      </c>
      <c r="G22" s="71">
        <f t="shared" si="0"/>
        <v>0</v>
      </c>
      <c r="H22" s="83">
        <f t="shared" si="2"/>
        <v>0</v>
      </c>
      <c r="I22" s="21"/>
    </row>
    <row r="23" spans="1:9" ht="15">
      <c r="A23" s="69"/>
      <c r="B23" s="22">
        <v>15</v>
      </c>
      <c r="C23" s="23">
        <f>Gas!C23</f>
        <v>25</v>
      </c>
      <c r="D23" s="23">
        <f>Gas!D23</f>
        <v>149</v>
      </c>
      <c r="E23" s="70">
        <v>5123</v>
      </c>
      <c r="F23" s="72">
        <f t="shared" si="1"/>
        <v>0</v>
      </c>
      <c r="G23" s="71">
        <f t="shared" si="0"/>
        <v>0</v>
      </c>
      <c r="H23" s="83">
        <f t="shared" si="2"/>
        <v>0</v>
      </c>
      <c r="I23" s="21"/>
    </row>
    <row r="24" spans="1:9" ht="15">
      <c r="A24" s="69"/>
      <c r="B24" s="22">
        <v>16</v>
      </c>
      <c r="C24" s="23">
        <f>Gas!C24</f>
        <v>30</v>
      </c>
      <c r="D24" s="23">
        <f>Gas!D24</f>
        <v>184</v>
      </c>
      <c r="E24" s="70">
        <v>5123</v>
      </c>
      <c r="F24" s="72">
        <f t="shared" si="1"/>
        <v>0</v>
      </c>
      <c r="G24" s="71">
        <f t="shared" si="0"/>
        <v>0</v>
      </c>
      <c r="H24" s="83">
        <f t="shared" si="2"/>
        <v>0</v>
      </c>
      <c r="I24" s="21"/>
    </row>
    <row r="25" spans="1:9" ht="15">
      <c r="A25" s="69"/>
      <c r="B25" s="22">
        <v>17</v>
      </c>
      <c r="C25" s="23">
        <f>Gas!C25</f>
        <v>31</v>
      </c>
      <c r="D25" s="23">
        <f>Gas!D25</f>
        <v>196</v>
      </c>
      <c r="E25" s="70">
        <v>5123</v>
      </c>
      <c r="F25" s="72">
        <f t="shared" si="1"/>
        <v>0</v>
      </c>
      <c r="G25" s="71">
        <f t="shared" si="0"/>
        <v>0</v>
      </c>
      <c r="H25" s="83">
        <f t="shared" si="2"/>
        <v>0</v>
      </c>
      <c r="I25" s="21"/>
    </row>
    <row r="26" spans="1:9" ht="15">
      <c r="A26" s="69"/>
      <c r="B26" s="22">
        <v>18</v>
      </c>
      <c r="C26" s="23">
        <f>Gas!C26</f>
        <v>37</v>
      </c>
      <c r="D26" s="23">
        <f>Gas!D26</f>
        <v>174</v>
      </c>
      <c r="E26" s="70">
        <v>5123</v>
      </c>
      <c r="F26" s="72">
        <f t="shared" si="1"/>
        <v>0</v>
      </c>
      <c r="G26" s="71">
        <f t="shared" si="0"/>
        <v>0</v>
      </c>
      <c r="H26" s="83">
        <f t="shared" si="2"/>
        <v>0</v>
      </c>
      <c r="I26" s="21"/>
    </row>
    <row r="27" spans="1:9" ht="15">
      <c r="A27" s="69"/>
      <c r="B27" s="22">
        <v>19</v>
      </c>
      <c r="C27" s="23">
        <f>Gas!C27</f>
        <v>42</v>
      </c>
      <c r="D27" s="23">
        <f>Gas!D27</f>
        <v>207</v>
      </c>
      <c r="E27" s="70">
        <v>5141</v>
      </c>
      <c r="F27" s="72">
        <f t="shared" si="1"/>
        <v>18</v>
      </c>
      <c r="G27" s="71">
        <f t="shared" si="0"/>
        <v>192600</v>
      </c>
      <c r="H27" s="83">
        <f t="shared" si="2"/>
        <v>13.392670885195745</v>
      </c>
      <c r="I27" s="21"/>
    </row>
    <row r="28" spans="1:9" ht="15">
      <c r="A28" s="69"/>
      <c r="B28" s="22">
        <v>20</v>
      </c>
      <c r="C28" s="23">
        <f>Gas!C28</f>
        <v>37</v>
      </c>
      <c r="D28" s="23">
        <f>Gas!D28</f>
        <v>216</v>
      </c>
      <c r="E28" s="70">
        <v>5141</v>
      </c>
      <c r="F28" s="72">
        <f t="shared" si="1"/>
        <v>0</v>
      </c>
      <c r="G28" s="71">
        <f t="shared" si="0"/>
        <v>0</v>
      </c>
      <c r="H28" s="83">
        <f t="shared" si="2"/>
        <v>0</v>
      </c>
      <c r="I28" s="21"/>
    </row>
    <row r="29" spans="1:9" ht="15">
      <c r="A29" s="69"/>
      <c r="B29" s="22">
        <v>21</v>
      </c>
      <c r="C29" s="23">
        <f>Gas!C29</f>
        <v>31</v>
      </c>
      <c r="D29" s="23">
        <f>Gas!D29</f>
        <v>208</v>
      </c>
      <c r="E29" s="70">
        <v>5141</v>
      </c>
      <c r="F29" s="72">
        <f t="shared" si="1"/>
        <v>0</v>
      </c>
      <c r="G29" s="71">
        <f t="shared" si="0"/>
        <v>0</v>
      </c>
      <c r="H29" s="83">
        <f t="shared" si="2"/>
        <v>0</v>
      </c>
      <c r="I29" s="21"/>
    </row>
    <row r="30" spans="1:9" ht="15">
      <c r="A30" s="69"/>
      <c r="B30" s="22">
        <v>22</v>
      </c>
      <c r="C30" s="23">
        <f>Gas!C30</f>
        <v>37</v>
      </c>
      <c r="D30" s="23">
        <f>Gas!D30</f>
        <v>176</v>
      </c>
      <c r="E30" s="70">
        <v>5141</v>
      </c>
      <c r="F30" s="72">
        <f t="shared" si="1"/>
        <v>0</v>
      </c>
      <c r="G30" s="71">
        <f t="shared" si="0"/>
        <v>0</v>
      </c>
      <c r="H30" s="83">
        <f t="shared" si="2"/>
        <v>0</v>
      </c>
      <c r="I30" s="21"/>
    </row>
    <row r="31" spans="1:9" ht="15">
      <c r="A31" s="69"/>
      <c r="B31" s="22">
        <v>23</v>
      </c>
      <c r="C31" s="23">
        <f>Gas!C31</f>
        <v>39</v>
      </c>
      <c r="D31" s="23">
        <f>Gas!D31</f>
        <v>212</v>
      </c>
      <c r="E31" s="70">
        <v>5141</v>
      </c>
      <c r="F31" s="72">
        <f t="shared" si="1"/>
        <v>0</v>
      </c>
      <c r="G31" s="71">
        <f t="shared" si="0"/>
        <v>0</v>
      </c>
      <c r="H31" s="83">
        <f t="shared" si="2"/>
        <v>0</v>
      </c>
      <c r="I31" s="21"/>
    </row>
    <row r="32" spans="1:9" ht="15">
      <c r="A32" s="69"/>
      <c r="B32" s="22">
        <v>24</v>
      </c>
      <c r="C32" s="23">
        <f>Gas!C32</f>
        <v>34</v>
      </c>
      <c r="D32" s="23">
        <f>Gas!D32</f>
        <v>245</v>
      </c>
      <c r="E32" s="70">
        <v>5141</v>
      </c>
      <c r="F32" s="72">
        <f t="shared" si="1"/>
        <v>0</v>
      </c>
      <c r="G32" s="71"/>
      <c r="H32" s="83">
        <f t="shared" si="2"/>
        <v>0</v>
      </c>
      <c r="I32" s="21"/>
    </row>
    <row r="33" spans="1:11" ht="15">
      <c r="A33" s="69"/>
      <c r="B33" s="22">
        <v>25</v>
      </c>
      <c r="C33" s="23">
        <f>Gas!C33</f>
        <v>38</v>
      </c>
      <c r="D33" s="23">
        <f>Gas!D33</f>
        <v>187</v>
      </c>
      <c r="E33" s="70">
        <v>5141</v>
      </c>
      <c r="F33" s="72">
        <f t="shared" si="1"/>
        <v>0</v>
      </c>
      <c r="G33" s="71">
        <f t="shared" si="0"/>
        <v>0</v>
      </c>
      <c r="H33" s="83">
        <f t="shared" si="2"/>
        <v>0</v>
      </c>
      <c r="I33" s="21"/>
    </row>
    <row r="34" spans="1:11" ht="15">
      <c r="A34" s="69"/>
      <c r="B34" s="22">
        <v>26</v>
      </c>
      <c r="C34" s="23">
        <f>Gas!C34</f>
        <v>37</v>
      </c>
      <c r="D34" s="23">
        <f>Gas!D34</f>
        <v>212</v>
      </c>
      <c r="E34" s="70">
        <v>5162</v>
      </c>
      <c r="F34" s="72">
        <f t="shared" si="1"/>
        <v>21</v>
      </c>
      <c r="G34" s="71">
        <f t="shared" si="0"/>
        <v>224700</v>
      </c>
      <c r="H34" s="83">
        <f t="shared" si="2"/>
        <v>15.624782699395036</v>
      </c>
      <c r="I34" s="21"/>
    </row>
    <row r="35" spans="1:11" ht="15">
      <c r="A35" s="69"/>
      <c r="B35" s="22">
        <v>27</v>
      </c>
      <c r="C35" s="23">
        <f>Gas!C35</f>
        <v>40</v>
      </c>
      <c r="D35" s="23">
        <f>Gas!D35</f>
        <v>193</v>
      </c>
      <c r="E35" s="70">
        <v>5162</v>
      </c>
      <c r="F35" s="72">
        <f t="shared" si="1"/>
        <v>0</v>
      </c>
      <c r="G35" s="71">
        <f t="shared" si="0"/>
        <v>0</v>
      </c>
      <c r="H35" s="83">
        <f t="shared" si="2"/>
        <v>0</v>
      </c>
      <c r="I35" s="21"/>
    </row>
    <row r="36" spans="1:11">
      <c r="A36" s="69"/>
      <c r="B36" s="22">
        <v>28</v>
      </c>
      <c r="C36" s="23">
        <f>Gas!C36</f>
        <v>40</v>
      </c>
      <c r="D36" s="23">
        <f>Gas!D36</f>
        <v>219</v>
      </c>
      <c r="E36" s="70">
        <v>5162</v>
      </c>
      <c r="F36" s="72">
        <f t="shared" si="1"/>
        <v>0</v>
      </c>
      <c r="G36" s="71">
        <f t="shared" si="0"/>
        <v>0</v>
      </c>
      <c r="H36" s="83">
        <f t="shared" si="2"/>
        <v>0</v>
      </c>
      <c r="I36" s="21"/>
    </row>
    <row r="37" spans="1:11">
      <c r="A37" s="69"/>
      <c r="B37" s="22">
        <v>29</v>
      </c>
      <c r="C37" s="23">
        <f>Gas!C37</f>
        <v>35</v>
      </c>
      <c r="D37" s="23">
        <f>Gas!D37</f>
        <v>223</v>
      </c>
      <c r="E37" s="70">
        <v>5162</v>
      </c>
      <c r="F37" s="72">
        <f t="shared" si="1"/>
        <v>0</v>
      </c>
      <c r="G37" s="71">
        <f t="shared" si="0"/>
        <v>0</v>
      </c>
      <c r="H37" s="83">
        <f t="shared" si="2"/>
        <v>0</v>
      </c>
      <c r="I37" s="21"/>
    </row>
    <row r="38" spans="1:11">
      <c r="A38" s="69"/>
      <c r="B38" s="22">
        <v>30</v>
      </c>
      <c r="C38" s="23">
        <f>Gas!C38</f>
        <v>43</v>
      </c>
      <c r="D38" s="23">
        <f>Gas!D38</f>
        <v>264</v>
      </c>
      <c r="E38" s="70">
        <v>5162</v>
      </c>
      <c r="F38" s="72">
        <f t="shared" si="1"/>
        <v>0</v>
      </c>
      <c r="G38" s="71">
        <f t="shared" si="0"/>
        <v>0</v>
      </c>
      <c r="H38" s="83">
        <f t="shared" si="2"/>
        <v>0</v>
      </c>
      <c r="I38" s="21"/>
    </row>
    <row r="39" spans="1:11">
      <c r="A39" s="69"/>
      <c r="B39" s="22">
        <v>31</v>
      </c>
      <c r="C39" s="23">
        <f>Gas!C39</f>
        <v>44</v>
      </c>
      <c r="D39" s="23">
        <f>Gas!D39</f>
        <v>258</v>
      </c>
      <c r="E39" s="70">
        <v>5162</v>
      </c>
      <c r="F39" s="72">
        <f t="shared" si="1"/>
        <v>0</v>
      </c>
      <c r="G39" s="71">
        <f t="shared" si="0"/>
        <v>0</v>
      </c>
      <c r="H39" s="83">
        <f t="shared" si="2"/>
        <v>0</v>
      </c>
      <c r="I39" s="21"/>
    </row>
    <row r="40" spans="1:11">
      <c r="C40" s="30">
        <f>SUM(C9:C39)</f>
        <v>1119</v>
      </c>
      <c r="D40" s="30">
        <f>SUM(D9:D39)</f>
        <v>6390</v>
      </c>
      <c r="E40" s="30"/>
      <c r="F40" s="30">
        <f>SUM(F9:F39)</f>
        <v>83</v>
      </c>
      <c r="G40" s="30"/>
      <c r="H40" s="73">
        <f>SUM(H9:H39)</f>
        <v>61.755093526180382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30" workbookViewId="0">
      <selection activeCell="I36" sqref="I36:I39"/>
    </sheetView>
  </sheetViews>
  <sheetFormatPr defaultRowHeight="14.2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4">
      <c r="B2" s="104" t="s">
        <v>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3" ht="15.4">
      <c r="B3" s="104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5">
        <v>44743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6"/>
    </row>
    <row r="6" spans="1:13">
      <c r="A6" s="17"/>
      <c r="B6" s="103">
        <v>3</v>
      </c>
      <c r="C6" s="103" t="s">
        <v>49</v>
      </c>
      <c r="D6" s="103" t="s">
        <v>13</v>
      </c>
      <c r="E6" s="111" t="s">
        <v>50</v>
      </c>
      <c r="F6" s="111"/>
      <c r="G6" s="113" t="s">
        <v>51</v>
      </c>
      <c r="H6" s="113"/>
      <c r="I6" s="113"/>
      <c r="J6" s="113"/>
      <c r="K6" s="103" t="s">
        <v>52</v>
      </c>
      <c r="L6" s="103" t="s">
        <v>53</v>
      </c>
      <c r="M6" s="18"/>
    </row>
    <row r="7" spans="1:13" s="19" customFormat="1">
      <c r="A7" s="17"/>
      <c r="B7" s="103"/>
      <c r="C7" s="103"/>
      <c r="D7" s="103"/>
      <c r="E7" s="103" t="s">
        <v>54</v>
      </c>
      <c r="F7" s="103" t="s">
        <v>55</v>
      </c>
      <c r="G7" s="103" t="s">
        <v>54</v>
      </c>
      <c r="H7" s="103" t="s">
        <v>56</v>
      </c>
      <c r="I7" s="103" t="s">
        <v>54</v>
      </c>
      <c r="J7" s="103" t="s">
        <v>57</v>
      </c>
      <c r="K7" s="103"/>
      <c r="L7" s="103"/>
      <c r="M7" s="18"/>
    </row>
    <row r="8" spans="1:13">
      <c r="A8" s="20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21"/>
    </row>
    <row r="9" spans="1:13" ht="15">
      <c r="A9" s="20"/>
      <c r="B9" s="22">
        <v>1</v>
      </c>
      <c r="C9" s="23">
        <f>'Fuel Diesel'!C9</f>
        <v>35</v>
      </c>
      <c r="D9" s="23">
        <f>'Fuel Diesel'!D9</f>
        <v>171</v>
      </c>
      <c r="E9" s="24">
        <v>0</v>
      </c>
      <c r="F9" s="26">
        <f>E9*13582</f>
        <v>0</v>
      </c>
      <c r="G9" s="24">
        <v>67</v>
      </c>
      <c r="H9" s="26">
        <f>G9*4000</f>
        <v>268000</v>
      </c>
      <c r="I9" s="24">
        <v>111</v>
      </c>
      <c r="J9" s="26">
        <f>I9*4000</f>
        <v>444000</v>
      </c>
      <c r="K9" s="24">
        <f t="shared" ref="K9:K39" si="0">F9+H9+J9</f>
        <v>712000</v>
      </c>
      <c r="L9" s="77">
        <f>K9/14381</f>
        <v>49.509769835199222</v>
      </c>
      <c r="M9" s="21"/>
    </row>
    <row r="10" spans="1:13" ht="15">
      <c r="A10" s="20"/>
      <c r="B10" s="22">
        <v>2</v>
      </c>
      <c r="C10" s="23">
        <f>'Fuel Diesel'!C10</f>
        <v>27</v>
      </c>
      <c r="D10" s="23">
        <f>'Fuel Diesel'!D10</f>
        <v>188</v>
      </c>
      <c r="E10" s="24">
        <v>0</v>
      </c>
      <c r="F10" s="26">
        <f>E10*13582</f>
        <v>0</v>
      </c>
      <c r="G10" s="24">
        <v>64</v>
      </c>
      <c r="H10" s="26">
        <f>G10*4000</f>
        <v>256000</v>
      </c>
      <c r="I10" s="24">
        <v>105</v>
      </c>
      <c r="J10" s="26">
        <f>I10*4000</f>
        <v>420000</v>
      </c>
      <c r="K10" s="24">
        <f t="shared" si="0"/>
        <v>676000</v>
      </c>
      <c r="L10" s="77">
        <f t="shared" ref="L10:L39" si="1">K10/14381</f>
        <v>47.006466866003755</v>
      </c>
      <c r="M10" s="21"/>
    </row>
    <row r="11" spans="1:13" ht="15">
      <c r="A11" s="20"/>
      <c r="B11" s="22">
        <v>3</v>
      </c>
      <c r="C11" s="23">
        <f>'Fuel Diesel'!C11</f>
        <v>33</v>
      </c>
      <c r="D11" s="23">
        <f>'Fuel Diesel'!D11</f>
        <v>166</v>
      </c>
      <c r="E11" s="24">
        <v>0</v>
      </c>
      <c r="F11" s="26">
        <f t="shared" ref="F11:F39" si="2">E11*13582</f>
        <v>0</v>
      </c>
      <c r="G11" s="24">
        <v>55</v>
      </c>
      <c r="H11" s="26">
        <f t="shared" ref="H11:H39" si="3">G11*4000</f>
        <v>220000</v>
      </c>
      <c r="I11" s="24">
        <v>93</v>
      </c>
      <c r="J11" s="26">
        <f t="shared" ref="J11:J39" si="4">I11*4000</f>
        <v>372000</v>
      </c>
      <c r="K11" s="24">
        <f t="shared" si="0"/>
        <v>592000</v>
      </c>
      <c r="L11" s="77">
        <f t="shared" si="1"/>
        <v>41.165426604547669</v>
      </c>
      <c r="M11" s="21"/>
    </row>
    <row r="12" spans="1:13" ht="15">
      <c r="A12" s="20"/>
      <c r="B12" s="22">
        <v>4</v>
      </c>
      <c r="C12" s="23">
        <f>'Fuel Diesel'!C12</f>
        <v>34</v>
      </c>
      <c r="D12" s="23">
        <f>'Fuel Diesel'!D12</f>
        <v>186</v>
      </c>
      <c r="E12" s="24">
        <v>0</v>
      </c>
      <c r="F12" s="26">
        <f t="shared" si="2"/>
        <v>0</v>
      </c>
      <c r="G12" s="24">
        <v>70</v>
      </c>
      <c r="H12" s="26">
        <f t="shared" si="3"/>
        <v>280000</v>
      </c>
      <c r="I12" s="24">
        <v>121</v>
      </c>
      <c r="J12" s="26">
        <f t="shared" si="4"/>
        <v>484000</v>
      </c>
      <c r="K12" s="24">
        <f t="shared" si="0"/>
        <v>764000</v>
      </c>
      <c r="L12" s="77">
        <f t="shared" si="1"/>
        <v>53.125651901814898</v>
      </c>
      <c r="M12" s="21"/>
    </row>
    <row r="13" spans="1:13" ht="15">
      <c r="A13" s="20"/>
      <c r="B13" s="22">
        <v>5</v>
      </c>
      <c r="C13" s="23">
        <f>'Fuel Diesel'!C13</f>
        <v>31</v>
      </c>
      <c r="D13" s="23">
        <f>'Fuel Diesel'!D13</f>
        <v>180</v>
      </c>
      <c r="E13" s="24">
        <v>0</v>
      </c>
      <c r="F13" s="26">
        <f t="shared" si="2"/>
        <v>0</v>
      </c>
      <c r="G13" s="24">
        <v>97</v>
      </c>
      <c r="H13" s="26">
        <f t="shared" si="3"/>
        <v>388000</v>
      </c>
      <c r="I13" s="24">
        <v>152</v>
      </c>
      <c r="J13" s="26">
        <f t="shared" si="4"/>
        <v>608000</v>
      </c>
      <c r="K13" s="24">
        <f t="shared" si="0"/>
        <v>996000</v>
      </c>
      <c r="L13" s="77">
        <f t="shared" si="1"/>
        <v>69.2580488144079</v>
      </c>
      <c r="M13" s="21"/>
    </row>
    <row r="14" spans="1:13" ht="15">
      <c r="A14" s="20"/>
      <c r="B14" s="22">
        <v>6</v>
      </c>
      <c r="C14" s="23">
        <f>'Fuel Diesel'!C14</f>
        <v>29</v>
      </c>
      <c r="D14" s="23">
        <f>'Fuel Diesel'!D14</f>
        <v>174</v>
      </c>
      <c r="E14" s="24">
        <v>0</v>
      </c>
      <c r="F14" s="26">
        <f t="shared" si="2"/>
        <v>0</v>
      </c>
      <c r="G14" s="24">
        <v>69</v>
      </c>
      <c r="H14" s="26">
        <f t="shared" si="3"/>
        <v>276000</v>
      </c>
      <c r="I14" s="24">
        <v>117</v>
      </c>
      <c r="J14" s="26">
        <f t="shared" si="4"/>
        <v>468000</v>
      </c>
      <c r="K14" s="24">
        <f t="shared" si="0"/>
        <v>744000</v>
      </c>
      <c r="L14" s="77">
        <f t="shared" si="1"/>
        <v>51.734928030039633</v>
      </c>
      <c r="M14" s="21"/>
    </row>
    <row r="15" spans="1:13" ht="15">
      <c r="A15" s="20"/>
      <c r="B15" s="22">
        <v>7</v>
      </c>
      <c r="C15" s="23">
        <f>'Fuel Diesel'!C15</f>
        <v>37</v>
      </c>
      <c r="D15" s="23">
        <f>'Fuel Diesel'!D15</f>
        <v>194</v>
      </c>
      <c r="E15" s="24">
        <v>0</v>
      </c>
      <c r="F15" s="26">
        <f t="shared" si="2"/>
        <v>0</v>
      </c>
      <c r="G15" s="24">
        <v>65</v>
      </c>
      <c r="H15" s="26">
        <f t="shared" si="3"/>
        <v>260000</v>
      </c>
      <c r="I15" s="24">
        <v>106</v>
      </c>
      <c r="J15" s="26">
        <f t="shared" si="4"/>
        <v>424000</v>
      </c>
      <c r="K15" s="24">
        <f t="shared" si="0"/>
        <v>684000</v>
      </c>
      <c r="L15" s="77">
        <f t="shared" si="1"/>
        <v>47.56275641471386</v>
      </c>
      <c r="M15" s="21"/>
    </row>
    <row r="16" spans="1:13" ht="15">
      <c r="A16" s="20"/>
      <c r="B16" s="22">
        <v>8</v>
      </c>
      <c r="C16" s="23">
        <f>'Fuel Diesel'!C16</f>
        <v>45</v>
      </c>
      <c r="D16" s="23">
        <f>'Fuel Diesel'!D16</f>
        <v>232</v>
      </c>
      <c r="E16" s="24">
        <v>0</v>
      </c>
      <c r="F16" s="26">
        <f t="shared" si="2"/>
        <v>0</v>
      </c>
      <c r="G16" s="24">
        <v>77</v>
      </c>
      <c r="H16" s="26">
        <f t="shared" si="3"/>
        <v>308000</v>
      </c>
      <c r="I16" s="24">
        <v>137</v>
      </c>
      <c r="J16" s="26">
        <f t="shared" si="4"/>
        <v>548000</v>
      </c>
      <c r="K16" s="24">
        <f t="shared" si="0"/>
        <v>856000</v>
      </c>
      <c r="L16" s="77">
        <f t="shared" si="1"/>
        <v>59.522981711981089</v>
      </c>
      <c r="M16" s="21"/>
    </row>
    <row r="17" spans="1:13" ht="15">
      <c r="A17" s="20"/>
      <c r="B17" s="22">
        <v>9</v>
      </c>
      <c r="C17" s="23">
        <f>'Fuel Diesel'!C17</f>
        <v>47</v>
      </c>
      <c r="D17" s="23">
        <f>'Fuel Diesel'!D17</f>
        <v>235</v>
      </c>
      <c r="E17" s="24">
        <v>0</v>
      </c>
      <c r="F17" s="26">
        <f t="shared" si="2"/>
        <v>0</v>
      </c>
      <c r="G17" s="24">
        <v>67</v>
      </c>
      <c r="H17" s="26">
        <f t="shared" si="3"/>
        <v>268000</v>
      </c>
      <c r="I17" s="24">
        <v>106</v>
      </c>
      <c r="J17" s="26">
        <f t="shared" si="4"/>
        <v>424000</v>
      </c>
      <c r="K17" s="24">
        <f t="shared" si="0"/>
        <v>692000</v>
      </c>
      <c r="L17" s="77">
        <f t="shared" si="1"/>
        <v>48.119045963423964</v>
      </c>
      <c r="M17" s="21"/>
    </row>
    <row r="18" spans="1:13" ht="15">
      <c r="A18" s="20"/>
      <c r="B18" s="22">
        <v>10</v>
      </c>
      <c r="C18" s="23">
        <f>'Fuel Diesel'!C18</f>
        <v>37</v>
      </c>
      <c r="D18" s="23">
        <f>'Fuel Diesel'!D18</f>
        <v>244</v>
      </c>
      <c r="E18" s="24">
        <v>0</v>
      </c>
      <c r="F18" s="26">
        <f t="shared" si="2"/>
        <v>0</v>
      </c>
      <c r="G18" s="24">
        <v>70</v>
      </c>
      <c r="H18" s="26">
        <f t="shared" si="3"/>
        <v>280000</v>
      </c>
      <c r="I18" s="24">
        <v>117</v>
      </c>
      <c r="J18" s="26">
        <f t="shared" si="4"/>
        <v>468000</v>
      </c>
      <c r="K18" s="24">
        <f t="shared" si="0"/>
        <v>748000</v>
      </c>
      <c r="L18" s="77">
        <f t="shared" si="1"/>
        <v>52.013072804394689</v>
      </c>
      <c r="M18" s="21"/>
    </row>
    <row r="19" spans="1:13" ht="15">
      <c r="A19" s="20"/>
      <c r="B19" s="22">
        <v>11</v>
      </c>
      <c r="C19" s="23">
        <f>'Fuel Diesel'!C19</f>
        <v>38</v>
      </c>
      <c r="D19" s="23">
        <f>'Fuel Diesel'!D19</f>
        <v>231</v>
      </c>
      <c r="E19" s="24">
        <v>0</v>
      </c>
      <c r="F19" s="26">
        <f t="shared" si="2"/>
        <v>0</v>
      </c>
      <c r="G19" s="24">
        <v>66</v>
      </c>
      <c r="H19" s="26">
        <f t="shared" si="3"/>
        <v>264000</v>
      </c>
      <c r="I19" s="24">
        <v>108</v>
      </c>
      <c r="J19" s="26">
        <f t="shared" si="4"/>
        <v>432000</v>
      </c>
      <c r="K19" s="24">
        <f t="shared" si="0"/>
        <v>696000</v>
      </c>
      <c r="L19" s="77">
        <f t="shared" si="1"/>
        <v>48.397190737779013</v>
      </c>
      <c r="M19" s="21"/>
    </row>
    <row r="20" spans="1:13" ht="15">
      <c r="A20" s="20"/>
      <c r="B20" s="22">
        <v>12</v>
      </c>
      <c r="C20" s="23">
        <f>'Fuel Diesel'!C20</f>
        <v>34</v>
      </c>
      <c r="D20" s="23">
        <f>'Fuel Diesel'!D20</f>
        <v>204</v>
      </c>
      <c r="E20" s="24">
        <v>0</v>
      </c>
      <c r="F20" s="26">
        <f t="shared" si="2"/>
        <v>0</v>
      </c>
      <c r="G20" s="24">
        <v>55</v>
      </c>
      <c r="H20" s="26">
        <f>G20*4000</f>
        <v>220000</v>
      </c>
      <c r="I20" s="24">
        <v>91</v>
      </c>
      <c r="J20" s="26">
        <f t="shared" si="4"/>
        <v>364000</v>
      </c>
      <c r="K20" s="24">
        <f t="shared" si="0"/>
        <v>584000</v>
      </c>
      <c r="L20" s="77">
        <f t="shared" si="1"/>
        <v>40.609137055837564</v>
      </c>
      <c r="M20" s="21"/>
    </row>
    <row r="21" spans="1:13" ht="15">
      <c r="A21" s="20"/>
      <c r="B21" s="22">
        <v>13</v>
      </c>
      <c r="C21" s="23">
        <f>'Fuel Diesel'!C21</f>
        <v>41</v>
      </c>
      <c r="D21" s="23">
        <f>'Fuel Diesel'!D21</f>
        <v>209</v>
      </c>
      <c r="E21" s="24">
        <v>0</v>
      </c>
      <c r="F21" s="26">
        <f t="shared" si="2"/>
        <v>0</v>
      </c>
      <c r="G21" s="24">
        <v>67</v>
      </c>
      <c r="H21" s="26">
        <f t="shared" si="3"/>
        <v>268000</v>
      </c>
      <c r="I21" s="24">
        <v>114</v>
      </c>
      <c r="J21" s="26">
        <f t="shared" si="4"/>
        <v>456000</v>
      </c>
      <c r="K21" s="24">
        <f t="shared" si="0"/>
        <v>724000</v>
      </c>
      <c r="L21" s="77">
        <f t="shared" si="1"/>
        <v>50.344204158264375</v>
      </c>
      <c r="M21" s="21"/>
    </row>
    <row r="22" spans="1:13" ht="15">
      <c r="A22" s="20"/>
      <c r="B22" s="22">
        <v>14</v>
      </c>
      <c r="C22" s="23">
        <f>'Fuel Diesel'!C22</f>
        <v>31</v>
      </c>
      <c r="D22" s="23">
        <f>'Fuel Diesel'!D22</f>
        <v>253</v>
      </c>
      <c r="E22" s="24">
        <v>0</v>
      </c>
      <c r="F22" s="26">
        <f t="shared" si="2"/>
        <v>0</v>
      </c>
      <c r="G22" s="24">
        <v>61</v>
      </c>
      <c r="H22" s="26">
        <f t="shared" si="3"/>
        <v>244000</v>
      </c>
      <c r="I22" s="24">
        <v>103</v>
      </c>
      <c r="J22" s="26">
        <f t="shared" si="4"/>
        <v>412000</v>
      </c>
      <c r="K22" s="24">
        <f t="shared" si="0"/>
        <v>656000</v>
      </c>
      <c r="L22" s="77">
        <f t="shared" si="1"/>
        <v>45.615742994228498</v>
      </c>
      <c r="M22" s="21"/>
    </row>
    <row r="23" spans="1:13" ht="15">
      <c r="A23" s="20"/>
      <c r="B23" s="22">
        <v>15</v>
      </c>
      <c r="C23" s="23">
        <f>'Fuel Diesel'!C23</f>
        <v>25</v>
      </c>
      <c r="D23" s="23">
        <f>'Fuel Diesel'!D23</f>
        <v>149</v>
      </c>
      <c r="E23" s="24">
        <v>0</v>
      </c>
      <c r="F23" s="26">
        <f t="shared" si="2"/>
        <v>0</v>
      </c>
      <c r="G23" s="24">
        <v>69</v>
      </c>
      <c r="H23" s="26">
        <f t="shared" si="3"/>
        <v>276000</v>
      </c>
      <c r="I23" s="24">
        <v>115</v>
      </c>
      <c r="J23" s="26">
        <f t="shared" si="4"/>
        <v>460000</v>
      </c>
      <c r="K23" s="24">
        <f t="shared" si="0"/>
        <v>736000</v>
      </c>
      <c r="L23" s="77">
        <f t="shared" si="1"/>
        <v>51.178638481329529</v>
      </c>
      <c r="M23" s="21"/>
    </row>
    <row r="24" spans="1:13" ht="15">
      <c r="A24" s="20"/>
      <c r="B24" s="22">
        <v>16</v>
      </c>
      <c r="C24" s="23">
        <f>'Fuel Diesel'!C24</f>
        <v>30</v>
      </c>
      <c r="D24" s="23">
        <f>'Fuel Diesel'!D24</f>
        <v>184</v>
      </c>
      <c r="E24" s="24">
        <v>0</v>
      </c>
      <c r="F24" s="26">
        <f t="shared" si="2"/>
        <v>0</v>
      </c>
      <c r="G24" s="24">
        <v>80</v>
      </c>
      <c r="H24" s="26">
        <f t="shared" si="3"/>
        <v>320000</v>
      </c>
      <c r="I24" s="24">
        <v>133</v>
      </c>
      <c r="J24" s="26">
        <f t="shared" si="4"/>
        <v>532000</v>
      </c>
      <c r="K24" s="24">
        <f t="shared" si="0"/>
        <v>852000</v>
      </c>
      <c r="L24" s="77">
        <f t="shared" si="1"/>
        <v>59.244836937626033</v>
      </c>
      <c r="M24" s="21"/>
    </row>
    <row r="25" spans="1:13" ht="15">
      <c r="A25" s="20"/>
      <c r="B25" s="22">
        <v>17</v>
      </c>
      <c r="C25" s="23">
        <f>'Fuel Diesel'!C25</f>
        <v>31</v>
      </c>
      <c r="D25" s="23">
        <f>'Fuel Diesel'!D25</f>
        <v>196</v>
      </c>
      <c r="E25" s="24">
        <v>0</v>
      </c>
      <c r="F25" s="26">
        <f t="shared" si="2"/>
        <v>0</v>
      </c>
      <c r="G25" s="24">
        <v>86</v>
      </c>
      <c r="H25" s="26">
        <f t="shared" si="3"/>
        <v>344000</v>
      </c>
      <c r="I25" s="24">
        <v>147</v>
      </c>
      <c r="J25" s="26">
        <f t="shared" si="4"/>
        <v>588000</v>
      </c>
      <c r="K25" s="24">
        <f t="shared" si="0"/>
        <v>932000</v>
      </c>
      <c r="L25" s="77">
        <f t="shared" si="1"/>
        <v>64.807732424727064</v>
      </c>
      <c r="M25" s="21"/>
    </row>
    <row r="26" spans="1:13" ht="15">
      <c r="A26" s="20"/>
      <c r="B26" s="22">
        <v>18</v>
      </c>
      <c r="C26" s="23">
        <f>'Fuel Diesel'!C26</f>
        <v>37</v>
      </c>
      <c r="D26" s="23">
        <f>'Fuel Diesel'!D26</f>
        <v>174</v>
      </c>
      <c r="E26" s="24">
        <v>0</v>
      </c>
      <c r="F26" s="26">
        <f t="shared" si="2"/>
        <v>0</v>
      </c>
      <c r="G26" s="24">
        <v>78</v>
      </c>
      <c r="H26" s="26">
        <f t="shared" si="3"/>
        <v>312000</v>
      </c>
      <c r="I26" s="24">
        <v>126</v>
      </c>
      <c r="J26" s="26">
        <f t="shared" si="4"/>
        <v>504000</v>
      </c>
      <c r="K26" s="24">
        <f t="shared" si="0"/>
        <v>816000</v>
      </c>
      <c r="L26" s="77">
        <f t="shared" si="1"/>
        <v>56.741533968430566</v>
      </c>
      <c r="M26" s="21"/>
    </row>
    <row r="27" spans="1:13" ht="15">
      <c r="A27" s="20"/>
      <c r="B27" s="22">
        <v>19</v>
      </c>
      <c r="C27" s="23">
        <f>'Fuel Diesel'!C27</f>
        <v>42</v>
      </c>
      <c r="D27" s="23">
        <f>'Fuel Diesel'!D27</f>
        <v>207</v>
      </c>
      <c r="E27" s="24">
        <v>0</v>
      </c>
      <c r="F27" s="26">
        <f t="shared" si="2"/>
        <v>0</v>
      </c>
      <c r="G27" s="24">
        <v>67</v>
      </c>
      <c r="H27" s="26">
        <f t="shared" si="3"/>
        <v>268000</v>
      </c>
      <c r="I27" s="24">
        <v>112</v>
      </c>
      <c r="J27" s="26">
        <f t="shared" si="4"/>
        <v>448000</v>
      </c>
      <c r="K27" s="24">
        <f t="shared" si="0"/>
        <v>716000</v>
      </c>
      <c r="L27" s="77">
        <f t="shared" si="1"/>
        <v>49.787914609554271</v>
      </c>
      <c r="M27" s="21"/>
    </row>
    <row r="28" spans="1:13" ht="15">
      <c r="A28" s="20"/>
      <c r="B28" s="22">
        <v>20</v>
      </c>
      <c r="C28" s="23">
        <f>'Fuel Diesel'!C28</f>
        <v>37</v>
      </c>
      <c r="D28" s="23">
        <f>'Fuel Diesel'!D28</f>
        <v>216</v>
      </c>
      <c r="E28" s="24">
        <v>0</v>
      </c>
      <c r="F28" s="26">
        <f t="shared" si="2"/>
        <v>0</v>
      </c>
      <c r="G28" s="24">
        <v>71</v>
      </c>
      <c r="H28" s="26">
        <f t="shared" si="3"/>
        <v>284000</v>
      </c>
      <c r="I28" s="24">
        <v>120</v>
      </c>
      <c r="J28" s="26">
        <f t="shared" si="4"/>
        <v>480000</v>
      </c>
      <c r="K28" s="24">
        <f t="shared" si="0"/>
        <v>764000</v>
      </c>
      <c r="L28" s="77">
        <f t="shared" si="1"/>
        <v>53.125651901814898</v>
      </c>
      <c r="M28" s="21"/>
    </row>
    <row r="29" spans="1:13" ht="15">
      <c r="A29" s="20"/>
      <c r="B29" s="22">
        <v>21</v>
      </c>
      <c r="C29" s="23">
        <f>'Fuel Diesel'!C29</f>
        <v>31</v>
      </c>
      <c r="D29" s="23">
        <f>'Fuel Diesel'!D29</f>
        <v>208</v>
      </c>
      <c r="E29" s="24">
        <v>0</v>
      </c>
      <c r="F29" s="26">
        <f t="shared" si="2"/>
        <v>0</v>
      </c>
      <c r="G29" s="24">
        <v>68</v>
      </c>
      <c r="H29" s="26">
        <f t="shared" si="3"/>
        <v>272000</v>
      </c>
      <c r="I29" s="24">
        <v>111</v>
      </c>
      <c r="J29" s="26">
        <f t="shared" si="4"/>
        <v>444000</v>
      </c>
      <c r="K29" s="24">
        <f t="shared" si="0"/>
        <v>716000</v>
      </c>
      <c r="L29" s="77">
        <f t="shared" si="1"/>
        <v>49.787914609554271</v>
      </c>
      <c r="M29" s="21"/>
    </row>
    <row r="30" spans="1:13" ht="15">
      <c r="A30" s="20"/>
      <c r="B30" s="22">
        <v>22</v>
      </c>
      <c r="C30" s="23">
        <f>'Fuel Diesel'!C30</f>
        <v>37</v>
      </c>
      <c r="D30" s="23">
        <f>'Fuel Diesel'!D30</f>
        <v>176</v>
      </c>
      <c r="E30" s="24">
        <v>0</v>
      </c>
      <c r="F30" s="26">
        <f t="shared" si="2"/>
        <v>0</v>
      </c>
      <c r="G30" s="24">
        <v>65</v>
      </c>
      <c r="H30" s="26">
        <f t="shared" si="3"/>
        <v>260000</v>
      </c>
      <c r="I30" s="24">
        <v>108</v>
      </c>
      <c r="J30" s="26">
        <f t="shared" si="4"/>
        <v>432000</v>
      </c>
      <c r="K30" s="24">
        <f t="shared" si="0"/>
        <v>692000</v>
      </c>
      <c r="L30" s="77">
        <f t="shared" si="1"/>
        <v>48.119045963423964</v>
      </c>
      <c r="M30" s="21"/>
    </row>
    <row r="31" spans="1:13" ht="15">
      <c r="A31" s="20"/>
      <c r="B31" s="22">
        <v>23</v>
      </c>
      <c r="C31" s="23">
        <f>'Fuel Diesel'!C31</f>
        <v>39</v>
      </c>
      <c r="D31" s="23">
        <f>'Fuel Diesel'!D31</f>
        <v>212</v>
      </c>
      <c r="E31" s="24">
        <v>0</v>
      </c>
      <c r="F31" s="26">
        <f t="shared" si="2"/>
        <v>0</v>
      </c>
      <c r="G31" s="24">
        <v>66</v>
      </c>
      <c r="H31" s="26">
        <f t="shared" si="3"/>
        <v>264000</v>
      </c>
      <c r="I31" s="24">
        <v>110</v>
      </c>
      <c r="J31" s="26">
        <f t="shared" si="4"/>
        <v>440000</v>
      </c>
      <c r="K31" s="24">
        <f t="shared" si="0"/>
        <v>704000</v>
      </c>
      <c r="L31" s="77">
        <f t="shared" si="1"/>
        <v>48.953480286489118</v>
      </c>
      <c r="M31" s="21"/>
    </row>
    <row r="32" spans="1:13" ht="15">
      <c r="A32" s="20"/>
      <c r="B32" s="22">
        <v>24</v>
      </c>
      <c r="C32" s="23">
        <f>'Fuel Diesel'!C32</f>
        <v>34</v>
      </c>
      <c r="D32" s="23">
        <f>'Fuel Diesel'!D32</f>
        <v>245</v>
      </c>
      <c r="E32" s="24">
        <v>0</v>
      </c>
      <c r="F32" s="26">
        <f t="shared" si="2"/>
        <v>0</v>
      </c>
      <c r="G32" s="24">
        <v>61</v>
      </c>
      <c r="H32" s="26">
        <f t="shared" si="3"/>
        <v>244000</v>
      </c>
      <c r="I32" s="24">
        <v>115</v>
      </c>
      <c r="J32" s="26">
        <f t="shared" si="4"/>
        <v>460000</v>
      </c>
      <c r="K32" s="24">
        <f t="shared" si="0"/>
        <v>704000</v>
      </c>
      <c r="L32" s="77">
        <f t="shared" si="1"/>
        <v>48.953480286489118</v>
      </c>
      <c r="M32" s="21"/>
    </row>
    <row r="33" spans="1:15" ht="15">
      <c r="A33" s="20"/>
      <c r="B33" s="22">
        <v>25</v>
      </c>
      <c r="C33" s="23">
        <f>'Fuel Diesel'!C33</f>
        <v>38</v>
      </c>
      <c r="D33" s="23">
        <f>'Fuel Diesel'!D33</f>
        <v>187</v>
      </c>
      <c r="E33" s="24">
        <v>0</v>
      </c>
      <c r="F33" s="26">
        <f t="shared" si="2"/>
        <v>0</v>
      </c>
      <c r="G33" s="24">
        <v>70</v>
      </c>
      <c r="H33" s="26">
        <f t="shared" si="3"/>
        <v>280000</v>
      </c>
      <c r="I33" s="24">
        <v>117</v>
      </c>
      <c r="J33" s="26">
        <f t="shared" si="4"/>
        <v>468000</v>
      </c>
      <c r="K33" s="24">
        <f t="shared" si="0"/>
        <v>748000</v>
      </c>
      <c r="L33" s="77">
        <f t="shared" si="1"/>
        <v>52.013072804394689</v>
      </c>
      <c r="M33" s="21"/>
    </row>
    <row r="34" spans="1:15" ht="15">
      <c r="A34" s="20"/>
      <c r="B34" s="22">
        <v>26</v>
      </c>
      <c r="C34" s="23">
        <f>'Fuel Diesel'!C34</f>
        <v>37</v>
      </c>
      <c r="D34" s="23">
        <f>'Fuel Diesel'!D34</f>
        <v>212</v>
      </c>
      <c r="E34" s="24">
        <v>0</v>
      </c>
      <c r="F34" s="26">
        <f t="shared" si="2"/>
        <v>0</v>
      </c>
      <c r="G34" s="24">
        <v>67</v>
      </c>
      <c r="H34" s="26">
        <f t="shared" si="3"/>
        <v>268000</v>
      </c>
      <c r="I34" s="24">
        <v>115</v>
      </c>
      <c r="J34" s="26">
        <f t="shared" si="4"/>
        <v>460000</v>
      </c>
      <c r="K34" s="24">
        <f t="shared" si="0"/>
        <v>728000</v>
      </c>
      <c r="L34" s="77">
        <f t="shared" si="1"/>
        <v>50.622348932619431</v>
      </c>
      <c r="M34" s="21"/>
    </row>
    <row r="35" spans="1:15" ht="15">
      <c r="A35" s="20"/>
      <c r="B35" s="22">
        <v>27</v>
      </c>
      <c r="C35" s="23">
        <f>'Fuel Diesel'!C35</f>
        <v>40</v>
      </c>
      <c r="D35" s="23">
        <f>'Fuel Diesel'!D35</f>
        <v>193</v>
      </c>
      <c r="E35" s="24">
        <v>0</v>
      </c>
      <c r="F35" s="26">
        <f t="shared" si="2"/>
        <v>0</v>
      </c>
      <c r="G35" s="24">
        <v>74</v>
      </c>
      <c r="H35" s="26">
        <f t="shared" si="3"/>
        <v>296000</v>
      </c>
      <c r="I35" s="24">
        <v>129</v>
      </c>
      <c r="J35" s="26">
        <f t="shared" si="4"/>
        <v>516000</v>
      </c>
      <c r="K35" s="24">
        <f t="shared" si="0"/>
        <v>812000</v>
      </c>
      <c r="L35" s="77">
        <f t="shared" si="1"/>
        <v>56.463389194075518</v>
      </c>
      <c r="M35" s="21"/>
    </row>
    <row r="36" spans="1:15" ht="15">
      <c r="A36" s="20"/>
      <c r="B36" s="22">
        <v>28</v>
      </c>
      <c r="C36" s="23">
        <f>'Fuel Diesel'!C36</f>
        <v>40</v>
      </c>
      <c r="D36" s="23">
        <f>'Fuel Diesel'!D36</f>
        <v>219</v>
      </c>
      <c r="E36" s="24">
        <v>0</v>
      </c>
      <c r="F36" s="26">
        <f t="shared" si="2"/>
        <v>0</v>
      </c>
      <c r="G36" s="24">
        <v>80</v>
      </c>
      <c r="H36" s="26">
        <f t="shared" si="3"/>
        <v>320000</v>
      </c>
      <c r="I36" s="24">
        <v>133</v>
      </c>
      <c r="J36" s="26">
        <f t="shared" si="4"/>
        <v>532000</v>
      </c>
      <c r="K36" s="24">
        <f t="shared" si="0"/>
        <v>852000</v>
      </c>
      <c r="L36" s="77">
        <f t="shared" si="1"/>
        <v>59.244836937626033</v>
      </c>
      <c r="M36" s="21"/>
    </row>
    <row r="37" spans="1:15" ht="15">
      <c r="A37" s="20"/>
      <c r="B37" s="22">
        <v>29</v>
      </c>
      <c r="C37" s="23">
        <f>'Fuel Diesel'!C37</f>
        <v>35</v>
      </c>
      <c r="D37" s="23">
        <f>'Fuel Diesel'!D37</f>
        <v>223</v>
      </c>
      <c r="E37" s="24">
        <v>0</v>
      </c>
      <c r="F37" s="26">
        <f t="shared" si="2"/>
        <v>0</v>
      </c>
      <c r="G37" s="24">
        <v>71</v>
      </c>
      <c r="H37" s="26">
        <f t="shared" si="3"/>
        <v>284000</v>
      </c>
      <c r="I37" s="24">
        <v>121</v>
      </c>
      <c r="J37" s="26">
        <f t="shared" si="4"/>
        <v>484000</v>
      </c>
      <c r="K37" s="24">
        <f t="shared" si="0"/>
        <v>768000</v>
      </c>
      <c r="L37" s="77">
        <f t="shared" si="1"/>
        <v>53.403796676169947</v>
      </c>
      <c r="M37" s="21"/>
    </row>
    <row r="38" spans="1:15" ht="15">
      <c r="A38" s="20"/>
      <c r="B38" s="22">
        <v>30</v>
      </c>
      <c r="C38" s="23">
        <f>'Fuel Diesel'!C38</f>
        <v>43</v>
      </c>
      <c r="D38" s="23">
        <f>'Fuel Diesel'!D38</f>
        <v>264</v>
      </c>
      <c r="E38" s="24">
        <v>0</v>
      </c>
      <c r="F38" s="26">
        <f t="shared" si="2"/>
        <v>0</v>
      </c>
      <c r="G38" s="24">
        <v>80</v>
      </c>
      <c r="H38" s="26">
        <f t="shared" si="3"/>
        <v>320000</v>
      </c>
      <c r="I38" s="24">
        <v>129</v>
      </c>
      <c r="J38" s="26">
        <f t="shared" si="4"/>
        <v>516000</v>
      </c>
      <c r="K38" s="24">
        <f t="shared" si="0"/>
        <v>836000</v>
      </c>
      <c r="L38" s="77">
        <f t="shared" si="1"/>
        <v>58.132257840205824</v>
      </c>
      <c r="M38" s="21"/>
    </row>
    <row r="39" spans="1:15" ht="15">
      <c r="A39" s="20"/>
      <c r="B39" s="22">
        <v>31</v>
      </c>
      <c r="C39" s="23">
        <f>'Fuel Diesel'!C39</f>
        <v>44</v>
      </c>
      <c r="D39" s="23">
        <f>'Fuel Diesel'!D39</f>
        <v>258</v>
      </c>
      <c r="E39" s="24">
        <v>0</v>
      </c>
      <c r="F39" s="26">
        <f t="shared" si="2"/>
        <v>0</v>
      </c>
      <c r="G39" s="24">
        <v>67</v>
      </c>
      <c r="H39" s="26">
        <f t="shared" si="3"/>
        <v>268000</v>
      </c>
      <c r="I39" s="24">
        <v>120</v>
      </c>
      <c r="J39" s="26">
        <f t="shared" si="4"/>
        <v>480000</v>
      </c>
      <c r="K39" s="24">
        <f t="shared" si="0"/>
        <v>748000</v>
      </c>
      <c r="L39" s="77">
        <f t="shared" si="1"/>
        <v>52.013072804394689</v>
      </c>
      <c r="M39" s="21"/>
    </row>
    <row r="40" spans="1:15">
      <c r="C40" s="30">
        <f>SUM(C9:C39)</f>
        <v>1119</v>
      </c>
      <c r="D40" s="30">
        <f>SUM(D9:D39)</f>
        <v>6390</v>
      </c>
      <c r="E40" s="30">
        <v>0</v>
      </c>
      <c r="G40" s="30">
        <f>SUM(G9:G39)</f>
        <v>2170</v>
      </c>
      <c r="I40" s="30">
        <f>SUM(I9:I39)</f>
        <v>3642</v>
      </c>
      <c r="J40" s="90">
        <f>G40+I40</f>
        <v>5812</v>
      </c>
      <c r="K40" s="78"/>
      <c r="L40" s="84">
        <f>SUM(L9:L39)</f>
        <v>1616.5774285515611</v>
      </c>
      <c r="O40" s="35"/>
    </row>
    <row r="41" spans="1:15">
      <c r="H41" s="89" t="s">
        <v>58</v>
      </c>
      <c r="I41" s="88">
        <f>G40+I40</f>
        <v>5812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59F86-2A63-47CA-80BE-C2B91424620F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38AAAFBA-24AE-41D5-B538-7FF216155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/>
  <cp:revision/>
  <dcterms:created xsi:type="dcterms:W3CDTF">2022-01-19T02:48:06Z</dcterms:created>
  <dcterms:modified xsi:type="dcterms:W3CDTF">2022-08-03T11:26:07Z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