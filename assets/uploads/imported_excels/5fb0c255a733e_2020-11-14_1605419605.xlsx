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16" i="31" l="1"/>
  <c r="L17" i="31"/>
  <c r="L18" i="31"/>
  <c r="I16" i="31"/>
  <c r="I17" i="31"/>
  <c r="I18" i="31"/>
  <c r="G16" i="31"/>
  <c r="G17" i="31"/>
  <c r="G18" i="31"/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<sst xmlns="http://schemas.openxmlformats.org/spreadsheetml/2006/main" count="65" uniqueCount="32">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</sst>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31538</v>
      </c>
      <c r="F13" s="10">
        <v>2.9000000000000001E-2</v>
      </c>
      <c r="G13" s="1">
        <f>'Nov2020'!J16</f>
        <v>1</v>
      </c>
      <c r="H13" s="10">
        <v>0.112</v>
      </c>
      <c r="I13" s="1">
        <f>'Nov2020'!G16*1000</f>
        <v>57000</v>
      </c>
      <c r="J13" s="10">
        <v>3.61E-2</v>
      </c>
      <c r="K13" s="1">
        <f>'Nov2020'!I16</f>
        <v>282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88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32846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54000</v>
      </c>
      <c r="J14" s="10">
        <v>3.61E-2</v>
      </c>
      <c r="K14" s="1">
        <f>'Nov2020'!I17</f>
        <v>263</v>
      </c>
      <c r="L14" s="10">
        <v>0.75</v>
      </c>
      <c r="M14" s="10">
        <f>'Nov2020'!L17</f>
        <v>89</v>
      </c>
      <c r="N14" s="10">
        <v>0.56299999999999994</v>
      </c>
      <c r="O14" s="15">
        <f>'Nov2020'!D17</f>
        <v>77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31062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43000</v>
      </c>
      <c r="J15" s="10">
        <v>3.61E-2</v>
      </c>
      <c r="K15" s="1">
        <f>'Nov2020'!I18</f>
        <v>255</v>
      </c>
      <c r="L15" s="10">
        <v>0.75</v>
      </c>
      <c r="M15" s="10">
        <f>'Nov2020'!L18</f>
        <v>125</v>
      </c>
      <c r="N15" s="10">
        <v>0.56299999999999994</v>
      </c>
      <c r="O15" s="15">
        <f>'Nov2020'!D18</f>
        <v>51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0</v>
      </c>
      <c r="F16" s="10">
        <v>2.9000000000000001E-2</v>
      </c>
      <c r="G16" s="1">
        <f>'Nov2020'!J19</f>
        <v>0</v>
      </c>
      <c r="H16" s="10">
        <v>0.112</v>
      </c>
      <c r="I16" s="1">
        <f>'Nov2020'!G19*1000</f>
        <v>0</v>
      </c>
      <c r="J16" s="10">
        <v>3.61E-2</v>
      </c>
      <c r="K16" s="1">
        <f>'Nov2020'!I19</f>
        <v>0</v>
      </c>
      <c r="L16" s="10">
        <v>0.75</v>
      </c>
      <c r="M16" s="10">
        <f>'Nov2020'!L19</f>
        <v>0</v>
      </c>
      <c r="N16" s="10">
        <v>0.56299999999999994</v>
      </c>
      <c r="O16" s="15">
        <f>'Nov2020'!D19</f>
        <v>0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0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0</v>
      </c>
      <c r="J17" s="10">
        <v>3.61E-2</v>
      </c>
      <c r="K17" s="1">
        <f>'Nov2020'!I20</f>
        <v>0</v>
      </c>
      <c r="L17" s="10">
        <v>0.75</v>
      </c>
      <c r="M17" s="10">
        <f>'Nov2020'!L20</f>
        <v>0</v>
      </c>
      <c r="N17" s="10">
        <v>0.56299999999999994</v>
      </c>
      <c r="O17" s="15">
        <f>'Nov2020'!D20</f>
        <v>0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0</v>
      </c>
      <c r="F18" s="10">
        <v>2.9000000000000001E-2</v>
      </c>
      <c r="G18" s="1">
        <f>'Nov2020'!J21</f>
        <v>0</v>
      </c>
      <c r="H18" s="10">
        <v>0.112</v>
      </c>
      <c r="I18" s="1">
        <f>'Nov2020'!G21*1000</f>
        <v>0</v>
      </c>
      <c r="J18" s="10">
        <v>3.61E-2</v>
      </c>
      <c r="K18" s="1">
        <f>'Nov2020'!I21</f>
        <v>0</v>
      </c>
      <c r="L18" s="10">
        <v>0.75</v>
      </c>
      <c r="M18" s="10">
        <f>'Nov2020'!L21</f>
        <v>0</v>
      </c>
      <c r="N18" s="10">
        <v>0.56299999999999994</v>
      </c>
      <c r="O18" s="15">
        <f>'Nov2020'!D21</f>
        <v>0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0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0</v>
      </c>
      <c r="J19" s="10">
        <v>3.61E-2</v>
      </c>
      <c r="K19" s="1">
        <f>'Nov2020'!I22</f>
        <v>0</v>
      </c>
      <c r="L19" s="10">
        <v>0.75</v>
      </c>
      <c r="M19" s="10">
        <f>'Nov2020'!L22</f>
        <v>0</v>
      </c>
      <c r="N19" s="10">
        <v>0.56299999999999994</v>
      </c>
      <c r="O19" s="15">
        <f>'Nov2020'!D22</f>
        <v>0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0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0</v>
      </c>
      <c r="J20" s="10">
        <v>3.61E-2</v>
      </c>
      <c r="K20" s="1">
        <f>'Nov2020'!I23</f>
        <v>0</v>
      </c>
      <c r="L20" s="10">
        <v>0.75</v>
      </c>
      <c r="M20" s="10">
        <f>'Nov2020'!L23</f>
        <v>0</v>
      </c>
      <c r="N20" s="10">
        <v>0.56299999999999994</v>
      </c>
      <c r="O20" s="15">
        <f>'Nov2020'!D23</f>
        <v>0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0</v>
      </c>
      <c r="J21" s="10">
        <v>3.61E-2</v>
      </c>
      <c r="K21" s="1">
        <f>'Nov2020'!I24</f>
        <v>0</v>
      </c>
      <c r="L21" s="10">
        <v>0.75</v>
      </c>
      <c r="M21" s="10">
        <f>'Nov2020'!L24</f>
        <v>0</v>
      </c>
      <c r="N21" s="10">
        <v>0.56299999999999994</v>
      </c>
      <c r="O21" s="15">
        <f>'Nov2020'!D24</f>
        <v>0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H36" sqref="H3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18" si="0">F10-F9</f>
        <v>48</v>
      </c>
      <c r="H9" s="7">
        <v>421872</v>
      </c>
      <c r="I9" s="3">
        <f t="shared" ref="I9:I18" si="1">H10-H9</f>
        <v>246</v>
      </c>
      <c r="J9" s="3">
        <v>0</v>
      </c>
      <c r="K9" s="4">
        <v>263343</v>
      </c>
      <c r="L9" s="9">
        <f t="shared" ref="L9:L18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A16">
        <v>1</v>
      </c>
      <c r="B16" s="2">
        <v>12</v>
      </c>
      <c r="C16" s="11">
        <v>44147</v>
      </c>
      <c r="D16" s="7">
        <v>88</v>
      </c>
      <c r="E16" s="12">
        <v>31538</v>
      </c>
      <c r="F16" s="4">
        <v>182093</v>
      </c>
      <c r="G16" s="8">
        <f t="shared" si="0"/>
        <v>57</v>
      </c>
      <c r="H16" s="7">
        <v>423660</v>
      </c>
      <c r="I16" s="3">
        <f t="shared" si="1"/>
        <v>282</v>
      </c>
      <c r="J16" s="3">
        <v>1</v>
      </c>
      <c r="K16" s="4">
        <v>264275</v>
      </c>
      <c r="L16" s="9">
        <f t="shared" si="2"/>
        <v>0</v>
      </c>
      <c r="N16" s="1"/>
    </row>
    <row r="17" spans="1:14" x14ac:dyDescent="0.2">
      <c r="B17" s="2">
        <v>13</v>
      </c>
      <c r="C17" s="11">
        <v>44148</v>
      </c>
      <c r="D17" s="7">
        <v>77</v>
      </c>
      <c r="E17" s="12">
        <v>32846</v>
      </c>
      <c r="F17" s="4">
        <v>182150</v>
      </c>
      <c r="G17" s="8">
        <f t="shared" si="0"/>
        <v>54</v>
      </c>
      <c r="H17" s="7">
        <v>423942</v>
      </c>
      <c r="I17" s="3">
        <f t="shared" si="1"/>
        <v>263</v>
      </c>
      <c r="J17" s="3">
        <v>0</v>
      </c>
      <c r="K17" s="4">
        <v>264275</v>
      </c>
      <c r="L17" s="9">
        <f t="shared" si="2"/>
        <v>89</v>
      </c>
      <c r="N17" s="1"/>
    </row>
    <row r="18" spans="1:14" ht="13.5" customHeight="1" x14ac:dyDescent="0.2">
      <c r="B18" s="2">
        <v>14</v>
      </c>
      <c r="C18" s="11">
        <v>44149</v>
      </c>
      <c r="D18" s="7">
        <v>51</v>
      </c>
      <c r="E18" s="13">
        <v>31062</v>
      </c>
      <c r="F18" s="4">
        <v>182204</v>
      </c>
      <c r="G18" s="8">
        <f t="shared" si="0"/>
        <v>43</v>
      </c>
      <c r="H18" s="7">
        <v>424205</v>
      </c>
      <c r="I18" s="3">
        <f t="shared" si="1"/>
        <v>255</v>
      </c>
      <c r="J18" s="3">
        <v>0</v>
      </c>
      <c r="K18" s="4">
        <v>264364</v>
      </c>
      <c r="L18" s="9">
        <f t="shared" si="2"/>
        <v>125</v>
      </c>
      <c r="N18" s="1"/>
    </row>
    <row r="19" spans="1:14" x14ac:dyDescent="0.2">
      <c r="B19" s="2">
        <v>15</v>
      </c>
      <c r="C19" s="11">
        <v>44150</v>
      </c>
      <c r="D19" s="7"/>
      <c r="E19" s="13"/>
      <c r="F19" s="4">
        <v>182247</v>
      </c>
      <c r="G19" s="8"/>
      <c r="H19" s="17">
        <v>424460</v>
      </c>
      <c r="I19" s="3"/>
      <c r="J19" s="3">
        <v>0</v>
      </c>
      <c r="K19" s="4">
        <v>264489</v>
      </c>
      <c r="L19" s="9"/>
      <c r="N19" s="1"/>
    </row>
    <row r="20" spans="1:14" x14ac:dyDescent="0.2">
      <c r="A20" t="s">
        <v>28</v>
      </c>
      <c r="B20" s="2">
        <v>16</v>
      </c>
      <c r="C20" s="11">
        <v>44151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44152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44153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44154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44155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44156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2020-11-15T05:46:06Z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