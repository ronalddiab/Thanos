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853" documentId="13_ncr:1_{83C287CF-C334-4BE5-BF29-FA1D4D504CBD}" xr6:coauthVersionLast="47" xr6:coauthVersionMax="47" xr10:uidLastSave="{BFEEB336-8933-4638-88C4-80B4C6AE46D2}"/>
  <bookViews>
    <workbookView xWindow="-120" yWindow="-120" windowWidth="29040" windowHeight="15840" tabRatio="764" firstSheet="2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6" l="1"/>
  <c r="I12" i="6"/>
  <c r="G12" i="6"/>
  <c r="E12" i="6"/>
  <c r="P5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E3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F3" i="21"/>
  <c r="G3" i="21"/>
  <c r="H3" i="21"/>
  <c r="I3" i="21"/>
  <c r="H4" i="21"/>
  <c r="I4" i="21"/>
  <c r="H5" i="21"/>
  <c r="I5" i="21"/>
  <c r="H6" i="21"/>
  <c r="I6" i="21"/>
  <c r="E7" i="21"/>
  <c r="F7" i="21"/>
  <c r="G7" i="21"/>
  <c r="H7" i="21"/>
  <c r="I7" i="21"/>
  <c r="E8" i="21"/>
  <c r="F8" i="21"/>
  <c r="G8" i="21"/>
  <c r="H8" i="21"/>
  <c r="I8" i="21"/>
  <c r="E9" i="21"/>
  <c r="F9" i="21"/>
  <c r="G9" i="21"/>
  <c r="H9" i="21"/>
  <c r="I9" i="21"/>
  <c r="E10" i="21"/>
  <c r="F10" i="21"/>
  <c r="G10" i="21"/>
  <c r="H10" i="21"/>
  <c r="I10" i="21"/>
  <c r="E11" i="21"/>
  <c r="F11" i="21"/>
  <c r="G11" i="21"/>
  <c r="H11" i="21"/>
  <c r="I11" i="21"/>
  <c r="E12" i="21"/>
  <c r="F12" i="21"/>
  <c r="G12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E32" i="21"/>
  <c r="F32" i="21"/>
  <c r="G32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4" i="6"/>
  <c r="E15" i="6"/>
  <c r="E16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I14" i="6"/>
  <c r="I15" i="6"/>
  <c r="I16" i="6"/>
  <c r="I17" i="6"/>
  <c r="I18" i="6"/>
  <c r="I19" i="6"/>
  <c r="I20" i="6"/>
  <c r="I21" i="6"/>
  <c r="I22" i="6"/>
  <c r="I23" i="6"/>
  <c r="I24" i="6"/>
  <c r="I25" i="6"/>
  <c r="G14" i="6"/>
  <c r="G15" i="6"/>
  <c r="G16" i="6"/>
  <c r="G17" i="6"/>
  <c r="G18" i="6"/>
  <c r="G19" i="6"/>
  <c r="G20" i="6"/>
  <c r="G21" i="6"/>
  <c r="G22" i="6"/>
  <c r="G23" i="6"/>
  <c r="G24" i="6"/>
  <c r="E10" i="6"/>
  <c r="K10" i="6"/>
  <c r="I10" i="6"/>
  <c r="G10" i="6"/>
  <c r="E21" i="6"/>
  <c r="E18" i="6"/>
  <c r="E19" i="6"/>
  <c r="E20" i="6"/>
  <c r="E17" i="6"/>
  <c r="L17" i="2" l="1"/>
  <c r="N16" i="2"/>
  <c r="L16" i="2"/>
  <c r="N40" i="2"/>
  <c r="M40" i="2"/>
  <c r="L40" i="2"/>
  <c r="F40" i="2"/>
  <c r="I32" i="22" s="1"/>
  <c r="N39" i="2"/>
  <c r="M39" i="2"/>
  <c r="L39" i="2"/>
  <c r="F39" i="2"/>
  <c r="I31" i="22" s="1"/>
  <c r="N38" i="2"/>
  <c r="M38" i="2"/>
  <c r="L38" i="2"/>
  <c r="F38" i="2"/>
  <c r="I30" i="22" s="1"/>
  <c r="N37" i="2"/>
  <c r="M37" i="2"/>
  <c r="L37" i="2"/>
  <c r="F37" i="2"/>
  <c r="N36" i="2"/>
  <c r="M36" i="2"/>
  <c r="L36" i="2"/>
  <c r="F36" i="2"/>
  <c r="I28" i="22" s="1"/>
  <c r="N35" i="2"/>
  <c r="M35" i="2"/>
  <c r="L35" i="2"/>
  <c r="F35" i="2"/>
  <c r="N34" i="2"/>
  <c r="M34" i="2"/>
  <c r="L34" i="2"/>
  <c r="F34" i="2"/>
  <c r="I26" i="22" s="1"/>
  <c r="N33" i="2"/>
  <c r="M33" i="2"/>
  <c r="L33" i="2"/>
  <c r="F33" i="2"/>
  <c r="I25" i="22" s="1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N29" i="2"/>
  <c r="M29" i="2"/>
  <c r="L29" i="2"/>
  <c r="F29" i="2"/>
  <c r="I21" i="22" s="1"/>
  <c r="N28" i="2"/>
  <c r="M28" i="2"/>
  <c r="L28" i="2"/>
  <c r="F28" i="2"/>
  <c r="I20" i="22" s="1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I14" i="22" s="1"/>
  <c r="N21" i="2"/>
  <c r="M21" i="2"/>
  <c r="L21" i="2"/>
  <c r="F21" i="2"/>
  <c r="H21" i="2" s="1"/>
  <c r="N20" i="2"/>
  <c r="M20" i="2"/>
  <c r="L20" i="2"/>
  <c r="F20" i="2"/>
  <c r="N19" i="2"/>
  <c r="M19" i="2"/>
  <c r="L19" i="2"/>
  <c r="N18" i="2"/>
  <c r="M18" i="2"/>
  <c r="L18" i="2"/>
  <c r="N17" i="2"/>
  <c r="M17" i="2"/>
  <c r="M16" i="2"/>
  <c r="F16" i="2"/>
  <c r="F17" i="2"/>
  <c r="H17" i="2" s="1"/>
  <c r="N15" i="2"/>
  <c r="M15" i="2"/>
  <c r="L15" i="2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M11" i="2"/>
  <c r="L11" i="2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V13" i="2"/>
  <c r="X13" i="2" s="1"/>
  <c r="V21" i="2"/>
  <c r="V39" i="2"/>
  <c r="V26" i="2"/>
  <c r="V25" i="2"/>
  <c r="V31" i="2"/>
  <c r="V32" i="2"/>
  <c r="V38" i="2"/>
  <c r="V17" i="2"/>
  <c r="V18" i="2"/>
  <c r="V30" i="2"/>
  <c r="V35" i="2"/>
  <c r="V27" i="2"/>
  <c r="V24" i="2"/>
  <c r="V36" i="2"/>
  <c r="V40" i="2"/>
  <c r="V33" i="2"/>
  <c r="V20" i="2"/>
  <c r="V22" i="2"/>
  <c r="V34" i="2"/>
  <c r="V37" i="2"/>
  <c r="V16" i="2"/>
  <c r="V19" i="2"/>
  <c r="V23" i="2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<sst xmlns="http://schemas.openxmlformats.org/spreadsheetml/2006/main" count="510" uniqueCount="205">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</sst>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5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49" fillId="13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O4" sqref="O4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</cols>
  <sheetData>
    <row r="1" spans="1:13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13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13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13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13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0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0</v>
      </c>
      <c r="L5" s="128">
        <f>'Consommation mensuel énergie'!E13</f>
        <v>0</v>
      </c>
      <c r="M5" s="124" t="e">
        <f>E5*F5+G5*H5+#REF!*#REF!+I5*J5</f>
        <v>#REF!</v>
      </c>
    </row>
    <row r="6" spans="1:13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0</v>
      </c>
      <c r="F6" s="125">
        <v>1.05</v>
      </c>
      <c r="G6" s="125">
        <f>'Consommation mensuel énergie'!V14</f>
        <v>0</v>
      </c>
      <c r="H6" s="125">
        <v>12.53</v>
      </c>
      <c r="I6" s="125">
        <f>'Consommation mensuel énergie'!F14</f>
        <v>0</v>
      </c>
      <c r="J6" s="125">
        <v>11.4</v>
      </c>
      <c r="K6" s="128">
        <f>'Consommation mensuel énergie'!D14</f>
        <v>0</v>
      </c>
      <c r="L6" s="128">
        <f>'Consommation mensuel énergie'!E14</f>
        <v>0</v>
      </c>
      <c r="M6" s="124" t="e">
        <f>E6*F6+G6*H6+#REF!*#REF!+I6*J6</f>
        <v>#REF!</v>
      </c>
    </row>
    <row r="7" spans="1:13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0</v>
      </c>
      <c r="F7" s="125">
        <v>1.05</v>
      </c>
      <c r="G7" s="125">
        <f>'Consommation mensuel énergie'!V15</f>
        <v>0</v>
      </c>
      <c r="H7" s="125">
        <v>12.53</v>
      </c>
      <c r="I7" s="125">
        <f>'Consommation mensuel énergie'!F15</f>
        <v>0</v>
      </c>
      <c r="J7" s="125">
        <v>11.4</v>
      </c>
      <c r="K7" s="128">
        <f>'Consommation mensuel énergie'!D15</f>
        <v>0</v>
      </c>
      <c r="L7" s="128">
        <f>'Consommation mensuel énergie'!E15</f>
        <v>0</v>
      </c>
      <c r="M7" s="124" t="e">
        <f>E7*F7+G7*H7+#REF!*#REF!+I7*J7</f>
        <v>#REF!</v>
      </c>
    </row>
    <row r="8" spans="1:13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0</v>
      </c>
      <c r="F8" s="125">
        <v>1.05</v>
      </c>
      <c r="G8" s="125">
        <f>'Consommation mensuel énergie'!V16</f>
        <v>0</v>
      </c>
      <c r="H8" s="125">
        <v>12.53</v>
      </c>
      <c r="I8" s="125">
        <f>'Consommation mensuel énergie'!F16</f>
        <v>0</v>
      </c>
      <c r="J8" s="125">
        <v>11.4</v>
      </c>
      <c r="K8" s="128">
        <f>'Consommation mensuel énergie'!D16</f>
        <v>0</v>
      </c>
      <c r="L8" s="128">
        <f>'Consommation mensuel énergie'!E16</f>
        <v>0</v>
      </c>
      <c r="M8" s="124" t="e">
        <f>E8*F8+G8*H8+#REF!*#REF!+I8*J8</f>
        <v>#REF!</v>
      </c>
    </row>
    <row r="9" spans="1:13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0</v>
      </c>
      <c r="F9" s="125">
        <v>1.05</v>
      </c>
      <c r="G9" s="125">
        <f>'Consommation mensuel énergie'!V17</f>
        <v>0</v>
      </c>
      <c r="H9" s="125">
        <v>12.53</v>
      </c>
      <c r="I9" s="125">
        <f>'Consommation mensuel énergie'!F17</f>
        <v>0</v>
      </c>
      <c r="J9" s="125">
        <v>11.4</v>
      </c>
      <c r="K9" s="128">
        <f>'Consommation mensuel énergie'!D17</f>
        <v>0</v>
      </c>
      <c r="L9" s="128">
        <f>'Consommation mensuel énergie'!E17</f>
        <v>0</v>
      </c>
      <c r="M9" s="124" t="e">
        <f>E9*F9+G9*H9+#REF!*#REF!+I9*J9</f>
        <v>#REF!</v>
      </c>
    </row>
    <row r="10" spans="1:13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0</v>
      </c>
      <c r="F10" s="125">
        <v>1.05</v>
      </c>
      <c r="G10" s="125">
        <f>'Consommation mensuel énergie'!V18</f>
        <v>0</v>
      </c>
      <c r="H10" s="125">
        <v>12.53</v>
      </c>
      <c r="I10" s="125">
        <f>'Consommation mensuel énergie'!F18</f>
        <v>0</v>
      </c>
      <c r="J10" s="125">
        <v>11.4</v>
      </c>
      <c r="K10" s="128">
        <f>'Consommation mensuel énergie'!D18</f>
        <v>0</v>
      </c>
      <c r="L10" s="128">
        <f>'Consommation mensuel énergie'!E18</f>
        <v>0</v>
      </c>
      <c r="M10" s="124" t="e">
        <f>E10*F10+G10*H10+#REF!*#REF!+I10*J10</f>
        <v>#REF!</v>
      </c>
    </row>
    <row r="11" spans="1:13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0</v>
      </c>
      <c r="F11" s="125">
        <v>1.05</v>
      </c>
      <c r="G11" s="125">
        <f>'Consommation mensuel énergie'!V19</f>
        <v>0</v>
      </c>
      <c r="H11" s="125">
        <v>12.53</v>
      </c>
      <c r="I11" s="125">
        <f>'Consommation mensuel énergie'!F19</f>
        <v>0</v>
      </c>
      <c r="J11" s="125">
        <v>11.4</v>
      </c>
      <c r="K11" s="128">
        <f>'Consommation mensuel énergie'!D19</f>
        <v>0</v>
      </c>
      <c r="L11" s="128">
        <f>'Consommation mensuel énergie'!E19</f>
        <v>0</v>
      </c>
      <c r="M11" s="124" t="e">
        <f>E11*F11+G11*H11+#REF!*#REF!+I11*J11</f>
        <v>#REF!</v>
      </c>
    </row>
    <row r="12" spans="1:13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0</v>
      </c>
      <c r="F12" s="125">
        <v>1.05</v>
      </c>
      <c r="G12" s="125">
        <f>'Consommation mensuel énergie'!V20</f>
        <v>0</v>
      </c>
      <c r="H12" s="125">
        <v>12.53</v>
      </c>
      <c r="I12" s="125">
        <f>'Consommation mensuel énergie'!F20</f>
        <v>0</v>
      </c>
      <c r="J12" s="125">
        <v>11.4</v>
      </c>
      <c r="K12" s="128">
        <f>'Consommation mensuel énergie'!D20</f>
        <v>0</v>
      </c>
      <c r="L12" s="128">
        <f>'Consommation mensuel énergie'!E20</f>
        <v>0</v>
      </c>
      <c r="M12" s="124" t="e">
        <f>E12*F12+G12*H12+#REF!*#REF!+I12*J12</f>
        <v>#REF!</v>
      </c>
    </row>
    <row r="13" spans="1:13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0</v>
      </c>
      <c r="F13" s="125">
        <v>1.05</v>
      </c>
      <c r="G13" s="125">
        <f>'Consommation mensuel énergie'!V21</f>
        <v>0</v>
      </c>
      <c r="H13" s="125">
        <v>12.53</v>
      </c>
      <c r="I13" s="125">
        <f>'Consommation mensuel énergie'!F21</f>
        <v>0</v>
      </c>
      <c r="J13" s="125">
        <v>11.4</v>
      </c>
      <c r="K13" s="128">
        <f>'Consommation mensuel énergie'!D21</f>
        <v>0</v>
      </c>
      <c r="L13" s="128">
        <f>'Consommation mensuel énergie'!E21</f>
        <v>0</v>
      </c>
      <c r="M13" s="124" t="e">
        <f>E13*F13+G13*H13+#REF!*#REF!+I13*J13</f>
        <v>#REF!</v>
      </c>
    </row>
    <row r="14" spans="1:13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0</v>
      </c>
      <c r="F14" s="125">
        <v>1.05</v>
      </c>
      <c r="G14" s="125">
        <f>'Consommation mensuel énergie'!V22</f>
        <v>0</v>
      </c>
      <c r="H14" s="125">
        <v>12.53</v>
      </c>
      <c r="I14" s="125">
        <f>'Consommation mensuel énergie'!F22</f>
        <v>0</v>
      </c>
      <c r="J14" s="125">
        <v>11.4</v>
      </c>
      <c r="K14" s="128">
        <f>'Consommation mensuel énergie'!D22</f>
        <v>0</v>
      </c>
      <c r="L14" s="128">
        <f>'Consommation mensuel énergie'!E22</f>
        <v>0</v>
      </c>
      <c r="M14" s="124" t="e">
        <f>E14*F14+G14*H14+#REF!*#REF!+I14*J14</f>
        <v>#REF!</v>
      </c>
    </row>
    <row r="15" spans="1:13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0</v>
      </c>
      <c r="F15" s="125">
        <v>1.05</v>
      </c>
      <c r="G15" s="125">
        <f>'Consommation mensuel énergie'!V23</f>
        <v>0</v>
      </c>
      <c r="H15" s="125">
        <v>12.53</v>
      </c>
      <c r="I15" s="125">
        <f>'Consommation mensuel énergie'!F23</f>
        <v>0</v>
      </c>
      <c r="J15" s="125">
        <v>11.4</v>
      </c>
      <c r="K15" s="128">
        <f>'Consommation mensuel énergie'!D23</f>
        <v>0</v>
      </c>
      <c r="L15" s="128">
        <f>'Consommation mensuel énergie'!E23</f>
        <v>0</v>
      </c>
      <c r="M15" s="124" t="e">
        <f>E15*F15+G15*H15+#REF!*#REF!+I15*J15</f>
        <v>#REF!</v>
      </c>
    </row>
    <row r="16" spans="1:13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0</v>
      </c>
      <c r="F16" s="125">
        <v>1.05</v>
      </c>
      <c r="G16" s="125">
        <f>'Consommation mensuel énergie'!V24</f>
        <v>0</v>
      </c>
      <c r="H16" s="125">
        <v>12.53</v>
      </c>
      <c r="I16" s="125">
        <f>'Consommation mensuel énergie'!F24</f>
        <v>0</v>
      </c>
      <c r="J16" s="125">
        <v>11.4</v>
      </c>
      <c r="K16" s="128">
        <f>'Consommation mensuel énergie'!D24</f>
        <v>0</v>
      </c>
      <c r="L16" s="128">
        <f>'Consommation mensuel énergie'!E24</f>
        <v>0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0</v>
      </c>
      <c r="F17" s="125">
        <v>1.05</v>
      </c>
      <c r="G17" s="125">
        <f>'Consommation mensuel énergie'!V25</f>
        <v>0</v>
      </c>
      <c r="H17" s="125">
        <v>12.53</v>
      </c>
      <c r="I17" s="125">
        <f>'Consommation mensuel énergie'!F25</f>
        <v>0</v>
      </c>
      <c r="J17" s="125">
        <v>11.4</v>
      </c>
      <c r="K17" s="128">
        <f>'Consommation mensuel énergie'!D25</f>
        <v>0</v>
      </c>
      <c r="L17" s="128">
        <f>'Consommation mensuel énergie'!E25</f>
        <v>0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0</v>
      </c>
      <c r="F18" s="125">
        <v>1.05</v>
      </c>
      <c r="G18" s="125">
        <f>'Consommation mensuel énergie'!V26</f>
        <v>0</v>
      </c>
      <c r="H18" s="125">
        <v>12.53</v>
      </c>
      <c r="I18" s="125">
        <f>'Consommation mensuel énergie'!F26</f>
        <v>0</v>
      </c>
      <c r="J18" s="125">
        <v>11.4</v>
      </c>
      <c r="K18" s="128">
        <f>'Consommation mensuel énergie'!D26</f>
        <v>0</v>
      </c>
      <c r="L18" s="128">
        <f>'Consommation mensuel énergie'!E26</f>
        <v>0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0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0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M11" sqref="M11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0</v>
      </c>
      <c r="I5" s="128">
        <f>'Consommation mensuel énergie'!E13</f>
        <v>0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0</v>
      </c>
      <c r="F6" s="128">
        <f>'Consommation mensuel énergie'!M14</f>
        <v>0</v>
      </c>
      <c r="G6" s="128">
        <f>'Consommation mensuel énergie'!N14</f>
        <v>0</v>
      </c>
      <c r="H6" s="128">
        <f>'Consommation mensuel énergie'!D14</f>
        <v>0</v>
      </c>
      <c r="I6" s="128">
        <f>'Consommation mensuel énergie'!E14</f>
        <v>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0</v>
      </c>
      <c r="F7" s="128">
        <f>'Consommation mensuel énergie'!M15</f>
        <v>0</v>
      </c>
      <c r="G7" s="128">
        <f>'Consommation mensuel énergie'!N15</f>
        <v>0</v>
      </c>
      <c r="H7" s="128">
        <f>'Consommation mensuel énergie'!D15</f>
        <v>0</v>
      </c>
      <c r="I7" s="128">
        <f>'Consommation mensuel énergie'!E15</f>
        <v>0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0</v>
      </c>
      <c r="F8" s="128">
        <f>'Consommation mensuel énergie'!M16</f>
        <v>0</v>
      </c>
      <c r="G8" s="128">
        <f>'Consommation mensuel énergie'!N16</f>
        <v>0</v>
      </c>
      <c r="H8" s="128">
        <f>'Consommation mensuel énergie'!D16</f>
        <v>0</v>
      </c>
      <c r="I8" s="128">
        <f>'Consommation mensuel énergie'!E16</f>
        <v>0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0</v>
      </c>
      <c r="F9" s="128">
        <f>'Consommation mensuel énergie'!M17</f>
        <v>0</v>
      </c>
      <c r="G9" s="128">
        <f>'Consommation mensuel énergie'!N17</f>
        <v>0</v>
      </c>
      <c r="H9" s="128">
        <f>'Consommation mensuel énergie'!D17</f>
        <v>0</v>
      </c>
      <c r="I9" s="128">
        <f>'Consommation mensuel énergie'!E17</f>
        <v>0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0</v>
      </c>
      <c r="F10" s="128">
        <f>'Consommation mensuel énergie'!M18</f>
        <v>0</v>
      </c>
      <c r="G10" s="128">
        <f>'Consommation mensuel énergie'!N18</f>
        <v>0</v>
      </c>
      <c r="H10" s="128">
        <f>'Consommation mensuel énergie'!D18</f>
        <v>0</v>
      </c>
      <c r="I10" s="128">
        <f>'Consommation mensuel énergie'!E18</f>
        <v>0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0</v>
      </c>
      <c r="F11" s="128">
        <f>'Consommation mensuel énergie'!M19</f>
        <v>0</v>
      </c>
      <c r="G11" s="128">
        <f>'Consommation mensuel énergie'!N19</f>
        <v>0</v>
      </c>
      <c r="H11" s="128">
        <f>'Consommation mensuel énergie'!D19</f>
        <v>0</v>
      </c>
      <c r="I11" s="128">
        <f>'Consommation mensuel énergie'!E19</f>
        <v>0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0</v>
      </c>
      <c r="F12" s="128">
        <f>'Consommation mensuel énergie'!M20</f>
        <v>0</v>
      </c>
      <c r="G12" s="128">
        <f>'Consommation mensuel énergie'!N20</f>
        <v>0</v>
      </c>
      <c r="H12" s="128">
        <f>'Consommation mensuel énergie'!D20</f>
        <v>0</v>
      </c>
      <c r="I12" s="128">
        <f>'Consommation mensuel énergie'!E20</f>
        <v>0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0</v>
      </c>
      <c r="F13" s="128">
        <f>'Consommation mensuel énergie'!M21</f>
        <v>0</v>
      </c>
      <c r="G13" s="128">
        <f>'Consommation mensuel énergie'!N21</f>
        <v>0</v>
      </c>
      <c r="H13" s="128">
        <f>'Consommation mensuel énergie'!D21</f>
        <v>0</v>
      </c>
      <c r="I13" s="128">
        <f>'Consommation mensuel énergie'!E21</f>
        <v>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0</v>
      </c>
      <c r="F14" s="128">
        <f>'Consommation mensuel énergie'!M22</f>
        <v>0</v>
      </c>
      <c r="G14" s="128">
        <f>'Consommation mensuel énergie'!N22</f>
        <v>0</v>
      </c>
      <c r="H14" s="128">
        <f>'Consommation mensuel énergie'!D22</f>
        <v>0</v>
      </c>
      <c r="I14" s="128">
        <f>'Consommation mensuel énergie'!E22</f>
        <v>0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0</v>
      </c>
      <c r="F15" s="128">
        <f>'Consommation mensuel énergie'!M23</f>
        <v>0</v>
      </c>
      <c r="G15" s="128">
        <f>'Consommation mensuel énergie'!N23</f>
        <v>0</v>
      </c>
      <c r="H15" s="128">
        <f>'Consommation mensuel énergie'!D23</f>
        <v>0</v>
      </c>
      <c r="I15" s="128">
        <f>'Consommation mensuel énergie'!E23</f>
        <v>0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0</v>
      </c>
      <c r="F16" s="128">
        <f>'Consommation mensuel énergie'!M24</f>
        <v>0</v>
      </c>
      <c r="G16" s="128">
        <f>'Consommation mensuel énergie'!N24</f>
        <v>0</v>
      </c>
      <c r="H16" s="128">
        <f>'Consommation mensuel énergie'!D24</f>
        <v>0</v>
      </c>
      <c r="I16" s="128">
        <f>'Consommation mensuel énergie'!E24</f>
        <v>0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0</v>
      </c>
      <c r="F17" s="128">
        <f>'Consommation mensuel énergie'!M25</f>
        <v>0</v>
      </c>
      <c r="G17" s="128">
        <f>'Consommation mensuel énergie'!N25</f>
        <v>0</v>
      </c>
      <c r="H17" s="128">
        <f>'Consommation mensuel énergie'!D25</f>
        <v>0</v>
      </c>
      <c r="I17" s="128">
        <f>'Consommation mensuel énergie'!E25</f>
        <v>0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0</v>
      </c>
      <c r="F18" s="128">
        <f>'Consommation mensuel énergie'!M26</f>
        <v>0</v>
      </c>
      <c r="G18" s="128">
        <f>'Consommation mensuel énergie'!N26</f>
        <v>0</v>
      </c>
      <c r="H18" s="128">
        <f>'Consommation mensuel énergie'!D26</f>
        <v>0</v>
      </c>
      <c r="I18" s="128">
        <f>'Consommation mensuel énergie'!E26</f>
        <v>0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0</v>
      </c>
      <c r="F19" s="128">
        <f>'Consommation mensuel énergie'!M27</f>
        <v>0</v>
      </c>
      <c r="G19" s="128">
        <f>'Consommation mensuel énergie'!N27</f>
        <v>0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bottomRight" activeCell="X23" sqref="X2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03"/>
      <c r="B2" s="204"/>
      <c r="C2" s="204"/>
      <c r="D2" s="204"/>
      <c r="E2" s="204"/>
      <c r="F2" s="204"/>
      <c r="G2" s="204"/>
      <c r="H2" s="205"/>
      <c r="I2" s="214" t="s">
        <v>17</v>
      </c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</row>
    <row r="3" spans="1:24" ht="15" hidden="1" customHeight="1" thickBot="1"/>
    <row r="4" spans="1:24" ht="39" hidden="1" customHeight="1" thickBot="1">
      <c r="A4" s="206"/>
      <c r="B4" s="206"/>
      <c r="C4" s="20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06"/>
      <c r="B5" s="206"/>
      <c r="C5" s="206"/>
      <c r="D5" s="5"/>
      <c r="E5" s="5"/>
      <c r="F5" s="5"/>
      <c r="G5" s="5"/>
      <c r="H5" s="5"/>
      <c r="I5" s="5"/>
      <c r="J5" s="5"/>
      <c r="K5" s="5"/>
      <c r="L5" s="5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</row>
    <row r="6" spans="1:24" s="5" customFormat="1" ht="44.25" hidden="1" customHeight="1" thickBot="1">
      <c r="A6" s="3"/>
      <c r="B6" s="3"/>
      <c r="C6" s="3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</row>
    <row r="7" spans="1:24" s="5" customFormat="1" ht="18.75" hidden="1" customHeight="1" thickBot="1">
      <c r="F7" s="207"/>
      <c r="G7" s="207"/>
      <c r="H7" s="207"/>
      <c r="I7" s="207"/>
      <c r="J7" s="207"/>
      <c r="K7" s="207"/>
      <c r="L7" s="207"/>
      <c r="M7" s="207"/>
      <c r="N7" s="216"/>
      <c r="O7" s="216"/>
      <c r="P7" s="207"/>
      <c r="Q7" s="207"/>
      <c r="R7" s="207"/>
      <c r="S7" s="207"/>
      <c r="T7" s="207"/>
      <c r="U7" s="207"/>
      <c r="V7" s="207"/>
      <c r="W7" s="207"/>
      <c r="X7" s="207"/>
    </row>
    <row r="8" spans="1:24" ht="18.75" customHeight="1" thickBot="1">
      <c r="A8" s="207"/>
      <c r="B8" s="218" t="s">
        <v>19</v>
      </c>
      <c r="C8" s="4"/>
      <c r="D8" s="219" t="s">
        <v>20</v>
      </c>
      <c r="E8" s="219" t="s">
        <v>21</v>
      </c>
      <c r="F8" s="201" t="s">
        <v>22</v>
      </c>
      <c r="G8" s="2"/>
      <c r="H8" s="208" t="s">
        <v>23</v>
      </c>
      <c r="I8" s="209"/>
      <c r="J8" s="210"/>
      <c r="K8" s="196" t="s">
        <v>24</v>
      </c>
      <c r="L8" s="200" t="s">
        <v>25</v>
      </c>
      <c r="M8" s="200"/>
      <c r="N8" s="200"/>
      <c r="O8" s="200" t="s">
        <v>26</v>
      </c>
      <c r="P8" s="2"/>
      <c r="Q8" s="198" t="s">
        <v>23</v>
      </c>
      <c r="R8" s="2"/>
      <c r="S8" s="198" t="s">
        <v>27</v>
      </c>
      <c r="T8" s="2"/>
      <c r="U8" s="198" t="s">
        <v>28</v>
      </c>
      <c r="V8" s="221" t="s">
        <v>29</v>
      </c>
      <c r="W8" s="2"/>
      <c r="X8" s="198" t="s">
        <v>23</v>
      </c>
    </row>
    <row r="9" spans="1:24" ht="59.25" customHeight="1" thickBot="1">
      <c r="A9" s="207"/>
      <c r="B9" s="218"/>
      <c r="C9" s="4"/>
      <c r="D9" s="220"/>
      <c r="E9" s="220"/>
      <c r="F9" s="202"/>
      <c r="G9" s="2"/>
      <c r="H9" s="211"/>
      <c r="I9" s="212"/>
      <c r="J9" s="213"/>
      <c r="K9" s="197"/>
      <c r="L9" s="146" t="s">
        <v>30</v>
      </c>
      <c r="M9" s="146" t="s">
        <v>31</v>
      </c>
      <c r="N9" s="146" t="s">
        <v>32</v>
      </c>
      <c r="O9" s="217"/>
      <c r="P9" s="2"/>
      <c r="Q9" s="199"/>
      <c r="R9" s="2"/>
      <c r="S9" s="199"/>
      <c r="T9" s="2"/>
      <c r="U9" s="199"/>
      <c r="V9" s="222"/>
      <c r="W9" s="2"/>
      <c r="X9" s="199"/>
    </row>
    <row r="10" spans="1:24" ht="32.25" customHeight="1">
      <c r="A10" s="2"/>
      <c r="B10" s="6">
        <v>44927</v>
      </c>
      <c r="C10" s="7"/>
      <c r="D10" s="134">
        <v>137</v>
      </c>
      <c r="E10" s="191">
        <v>257</v>
      </c>
      <c r="F10" s="13">
        <f>'Suivi EAU-ELEC'!E9</f>
        <v>167</v>
      </c>
      <c r="G10" s="11"/>
      <c r="H10" s="192">
        <f>F10*8.79</f>
        <v>1467.9299999999998</v>
      </c>
      <c r="I10" s="193"/>
      <c r="J10" s="193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90">
        <f>'Suivi EAU-ELEC'!E10</f>
        <v>159</v>
      </c>
      <c r="G11" s="11"/>
      <c r="H11" s="192">
        <f t="shared" ref="H11:H21" si="0">F11*8.79</f>
        <v>1397.61</v>
      </c>
      <c r="I11" s="193"/>
      <c r="J11" s="193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8906.1197000000011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192">
        <f t="shared" si="0"/>
        <v>1380.03</v>
      </c>
      <c r="I12" s="193"/>
      <c r="J12" s="193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/>
      <c r="E13" s="134"/>
      <c r="F13" s="13">
        <f>'Suivi EAU-ELEC'!E12</f>
        <v>141</v>
      </c>
      <c r="G13" s="11"/>
      <c r="H13" s="192">
        <f t="shared" si="0"/>
        <v>1239.3899999999999</v>
      </c>
      <c r="I13" s="193"/>
      <c r="J13" s="193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0</v>
      </c>
      <c r="W13" s="11"/>
      <c r="X13" s="34">
        <f t="shared" si="1"/>
        <v>0</v>
      </c>
    </row>
    <row r="14" spans="1:24" ht="32.25" customHeight="1">
      <c r="A14" s="2"/>
      <c r="B14" s="6">
        <v>44931</v>
      </c>
      <c r="C14" s="7"/>
      <c r="D14" s="134"/>
      <c r="E14" s="134"/>
      <c r="F14" s="13">
        <f>'Suivi EAU-ELEC'!E13</f>
        <v>0</v>
      </c>
      <c r="G14" s="12"/>
      <c r="H14" s="192">
        <f t="shared" si="0"/>
        <v>0</v>
      </c>
      <c r="I14" s="193"/>
      <c r="J14" s="193"/>
      <c r="K14" s="54">
        <v>42282</v>
      </c>
      <c r="L14" s="84">
        <f>'Suivi EAU-ELEC'!G13</f>
        <v>0</v>
      </c>
      <c r="M14" s="85">
        <f>'Suivi EAU-ELEC'!I13</f>
        <v>0</v>
      </c>
      <c r="N14" s="85">
        <f>'Suivi EAU-ELEC'!K13</f>
        <v>0</v>
      </c>
      <c r="O14" s="85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37">
        <f>'Suvi Gaz'!O8</f>
        <v>0</v>
      </c>
      <c r="W14" s="11"/>
      <c r="X14" s="34">
        <f t="shared" si="1"/>
        <v>0</v>
      </c>
    </row>
    <row r="15" spans="1:24" ht="32.25" customHeight="1">
      <c r="A15" s="5"/>
      <c r="B15" s="6">
        <v>44932</v>
      </c>
      <c r="C15" s="7"/>
      <c r="D15" s="134"/>
      <c r="E15" s="134"/>
      <c r="F15" s="13">
        <f>'Suivi EAU-ELEC'!E14</f>
        <v>0</v>
      </c>
      <c r="G15" s="11"/>
      <c r="H15" s="192">
        <f t="shared" si="0"/>
        <v>0</v>
      </c>
      <c r="I15" s="193"/>
      <c r="J15" s="193"/>
      <c r="K15" s="54">
        <v>42283</v>
      </c>
      <c r="L15" s="84">
        <f>'Suivi EAU-ELEC'!G14</f>
        <v>0</v>
      </c>
      <c r="M15" s="85">
        <f>'Suivi EAU-ELEC'!I14</f>
        <v>0</v>
      </c>
      <c r="N15" s="85">
        <f>'Suivi EAU-ELEC'!K14</f>
        <v>0</v>
      </c>
      <c r="O15" s="85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37">
        <f>'Suvi Gaz'!O9</f>
        <v>0</v>
      </c>
      <c r="W15" s="11"/>
      <c r="X15" s="34">
        <f t="shared" si="1"/>
        <v>0</v>
      </c>
    </row>
    <row r="16" spans="1:24" ht="32.25" customHeight="1">
      <c r="A16" s="5"/>
      <c r="B16" s="6">
        <v>44933</v>
      </c>
      <c r="C16" s="7"/>
      <c r="D16" s="134"/>
      <c r="E16" s="134"/>
      <c r="F16" s="13">
        <f>'Suivi EAU-ELEC'!E15</f>
        <v>0</v>
      </c>
      <c r="G16" s="11"/>
      <c r="H16" s="192">
        <f t="shared" si="0"/>
        <v>0</v>
      </c>
      <c r="I16" s="193"/>
      <c r="J16" s="193"/>
      <c r="K16" s="54">
        <v>42284</v>
      </c>
      <c r="L16" s="84">
        <f>'Suivi EAU-ELEC'!G15</f>
        <v>0</v>
      </c>
      <c r="M16" s="85">
        <f>'Suivi EAU-ELEC'!I15</f>
        <v>0</v>
      </c>
      <c r="N16" s="85">
        <f>'Suivi EAU-ELEC'!K15</f>
        <v>0</v>
      </c>
      <c r="O16" s="85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37">
        <f>'Suvi Gaz'!O10</f>
        <v>0</v>
      </c>
      <c r="W16" s="11"/>
      <c r="X16" s="34">
        <f t="shared" si="1"/>
        <v>0</v>
      </c>
    </row>
    <row r="17" spans="1:24" s="5" customFormat="1" ht="32.25" customHeight="1">
      <c r="A17" s="2"/>
      <c r="B17" s="6">
        <v>44934</v>
      </c>
      <c r="C17" s="7"/>
      <c r="D17" s="134"/>
      <c r="E17" s="134"/>
      <c r="F17" s="13">
        <f>'Suivi EAU-ELEC'!E16</f>
        <v>0</v>
      </c>
      <c r="G17" s="11"/>
      <c r="H17" s="192">
        <f t="shared" si="0"/>
        <v>0</v>
      </c>
      <c r="I17" s="193"/>
      <c r="J17" s="193"/>
      <c r="K17" s="54">
        <v>42285</v>
      </c>
      <c r="L17" s="84">
        <f>'Suivi EAU-ELEC'!G16</f>
        <v>0</v>
      </c>
      <c r="M17" s="85">
        <f>'Suivi EAU-ELEC'!I16</f>
        <v>0</v>
      </c>
      <c r="N17" s="85">
        <f>'Suivi EAU-ELEC'!K16</f>
        <v>0</v>
      </c>
      <c r="O17" s="85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37">
        <f>'Suvi Gaz'!O11</f>
        <v>0</v>
      </c>
      <c r="W17" s="11"/>
      <c r="X17" s="34">
        <f t="shared" si="1"/>
        <v>0</v>
      </c>
    </row>
    <row r="18" spans="1:24" ht="32.25" customHeight="1">
      <c r="A18" s="2"/>
      <c r="B18" s="6">
        <v>44935</v>
      </c>
      <c r="C18" s="7"/>
      <c r="D18" s="134"/>
      <c r="E18" s="134"/>
      <c r="F18" s="13">
        <f>'Suivi EAU-ELEC'!E17</f>
        <v>0</v>
      </c>
      <c r="G18" s="11"/>
      <c r="H18" s="192">
        <f t="shared" si="0"/>
        <v>0</v>
      </c>
      <c r="I18" s="193"/>
      <c r="J18" s="193"/>
      <c r="K18" s="54">
        <v>42286</v>
      </c>
      <c r="L18" s="84">
        <f>'Suivi EAU-ELEC'!G17</f>
        <v>0</v>
      </c>
      <c r="M18" s="85">
        <f>'Suivi EAU-ELEC'!I17</f>
        <v>0</v>
      </c>
      <c r="N18" s="85">
        <f>'Suivi EAU-ELEC'!K17</f>
        <v>0</v>
      </c>
      <c r="O18" s="85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37">
        <f>'Suvi Gaz'!O12</f>
        <v>0</v>
      </c>
      <c r="W18" s="11"/>
      <c r="X18" s="34">
        <f t="shared" si="1"/>
        <v>0</v>
      </c>
    </row>
    <row r="19" spans="1:24" ht="32.25" customHeight="1">
      <c r="A19" s="2"/>
      <c r="B19" s="6">
        <v>44936</v>
      </c>
      <c r="C19" s="7"/>
      <c r="D19" s="134"/>
      <c r="E19" s="134"/>
      <c r="F19" s="13">
        <f>'Suivi EAU-ELEC'!E18</f>
        <v>0</v>
      </c>
      <c r="G19" s="12"/>
      <c r="H19" s="192">
        <f t="shared" si="0"/>
        <v>0</v>
      </c>
      <c r="I19" s="193"/>
      <c r="J19" s="193"/>
      <c r="K19" s="54">
        <v>42287</v>
      </c>
      <c r="L19" s="84">
        <f>'Suivi EAU-ELEC'!G18</f>
        <v>0</v>
      </c>
      <c r="M19" s="85">
        <f>'Suivi EAU-ELEC'!I18</f>
        <v>0</v>
      </c>
      <c r="N19" s="85">
        <f>'Suivi EAU-ELEC'!K18</f>
        <v>0</v>
      </c>
      <c r="O19" s="85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37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44937</v>
      </c>
      <c r="C20" s="7"/>
      <c r="D20" s="134"/>
      <c r="E20" s="134"/>
      <c r="F20" s="13">
        <f>'Suivi EAU-ELEC'!E19</f>
        <v>0</v>
      </c>
      <c r="G20" s="12"/>
      <c r="H20" s="192">
        <f t="shared" si="0"/>
        <v>0</v>
      </c>
      <c r="I20" s="193"/>
      <c r="J20" s="193"/>
      <c r="K20" s="54">
        <v>42288</v>
      </c>
      <c r="L20" s="84">
        <f>'Suivi EAU-ELEC'!G19</f>
        <v>0</v>
      </c>
      <c r="M20" s="85">
        <f>'Suivi EAU-ELEC'!I19</f>
        <v>0</v>
      </c>
      <c r="N20" s="85">
        <f>'Suivi EAU-ELEC'!K19</f>
        <v>0</v>
      </c>
      <c r="O20" s="85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37">
        <f>'Suvi Gaz'!O14</f>
        <v>0</v>
      </c>
      <c r="W20" s="11"/>
      <c r="X20" s="34">
        <f t="shared" si="1"/>
        <v>0</v>
      </c>
    </row>
    <row r="21" spans="1:24" ht="32.25" customHeight="1">
      <c r="A21" s="2"/>
      <c r="B21" s="6">
        <v>44938</v>
      </c>
      <c r="C21" s="7"/>
      <c r="D21" s="134"/>
      <c r="E21" s="134"/>
      <c r="F21" s="13">
        <f>'Suivi EAU-ELEC'!E20</f>
        <v>0</v>
      </c>
      <c r="G21" s="12"/>
      <c r="H21" s="192">
        <f t="shared" si="0"/>
        <v>0</v>
      </c>
      <c r="I21" s="193"/>
      <c r="J21" s="193"/>
      <c r="K21" s="54">
        <v>42289</v>
      </c>
      <c r="L21" s="84">
        <f>'Suivi EAU-ELEC'!G20</f>
        <v>0</v>
      </c>
      <c r="M21" s="85">
        <f>'Suivi EAU-ELEC'!I20</f>
        <v>0</v>
      </c>
      <c r="N21" s="85">
        <f>'Suivi EAU-ELEC'!K20</f>
        <v>0</v>
      </c>
      <c r="O21" s="85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37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44939</v>
      </c>
      <c r="C22" s="7"/>
      <c r="D22" s="134"/>
      <c r="E22" s="134"/>
      <c r="F22" s="13">
        <f>'Suivi EAU-ELEC'!E21</f>
        <v>0</v>
      </c>
      <c r="G22" s="12"/>
      <c r="H22" s="192">
        <f t="shared" ref="H22:H35" si="4">F22*8.79</f>
        <v>0</v>
      </c>
      <c r="I22" s="193"/>
      <c r="J22" s="193"/>
      <c r="K22" s="54">
        <v>42290</v>
      </c>
      <c r="L22" s="84">
        <f>'Suivi EAU-ELEC'!G21</f>
        <v>0</v>
      </c>
      <c r="M22" s="85">
        <f>'Suivi EAU-ELEC'!I21</f>
        <v>0</v>
      </c>
      <c r="N22" s="85">
        <f>'Suivi EAU-ELEC'!K21</f>
        <v>0</v>
      </c>
      <c r="O22" s="85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37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44940</v>
      </c>
      <c r="C23" s="7"/>
      <c r="D23" s="134"/>
      <c r="E23" s="134"/>
      <c r="F23" s="13">
        <f>'Suivi EAU-ELEC'!E22</f>
        <v>0</v>
      </c>
      <c r="G23" s="14"/>
      <c r="H23" s="192">
        <f t="shared" si="4"/>
        <v>0</v>
      </c>
      <c r="I23" s="193"/>
      <c r="J23" s="193"/>
      <c r="K23" s="54">
        <v>42291</v>
      </c>
      <c r="L23" s="84">
        <f>'Suivi EAU-ELEC'!G22</f>
        <v>0</v>
      </c>
      <c r="M23" s="85">
        <f>'Suivi EAU-ELEC'!I22</f>
        <v>0</v>
      </c>
      <c r="N23" s="85">
        <f>'Suivi EAU-ELEC'!K22</f>
        <v>0</v>
      </c>
      <c r="O23" s="85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37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44941</v>
      </c>
      <c r="C24" s="7"/>
      <c r="D24" s="134"/>
      <c r="E24" s="134"/>
      <c r="F24" s="13">
        <f>'Suivi EAU-ELEC'!E23</f>
        <v>0</v>
      </c>
      <c r="G24" s="14"/>
      <c r="H24" s="192">
        <f t="shared" si="4"/>
        <v>0</v>
      </c>
      <c r="I24" s="193"/>
      <c r="J24" s="193"/>
      <c r="K24" s="54">
        <v>42292</v>
      </c>
      <c r="L24" s="84">
        <f>'Suivi EAU-ELEC'!G23</f>
        <v>0</v>
      </c>
      <c r="M24" s="85">
        <f>'Suivi EAU-ELEC'!I23</f>
        <v>0</v>
      </c>
      <c r="N24" s="85">
        <f>'Suivi EAU-ELEC'!K23</f>
        <v>0</v>
      </c>
      <c r="O24" s="85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37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44942</v>
      </c>
      <c r="C25" s="7"/>
      <c r="D25" s="134"/>
      <c r="E25" s="134"/>
      <c r="F25" s="13">
        <f>'Suivi EAU-ELEC'!E24</f>
        <v>0</v>
      </c>
      <c r="G25" s="14"/>
      <c r="H25" s="192">
        <f t="shared" si="4"/>
        <v>0</v>
      </c>
      <c r="I25" s="193"/>
      <c r="J25" s="193"/>
      <c r="K25" s="54">
        <v>42293</v>
      </c>
      <c r="L25" s="84">
        <f>'Suivi EAU-ELEC'!G24</f>
        <v>0</v>
      </c>
      <c r="M25" s="85">
        <f>'Suivi EAU-ELEC'!I24</f>
        <v>0</v>
      </c>
      <c r="N25" s="85">
        <f>'Suivi EAU-ELEC'!K24</f>
        <v>0</v>
      </c>
      <c r="O25" s="85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37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44943</v>
      </c>
      <c r="C26" s="7"/>
      <c r="D26" s="134"/>
      <c r="E26" s="134"/>
      <c r="F26" s="13">
        <f>'Suivi EAU-ELEC'!E25</f>
        <v>0</v>
      </c>
      <c r="G26" s="14"/>
      <c r="H26" s="192">
        <f t="shared" si="4"/>
        <v>0</v>
      </c>
      <c r="I26" s="193"/>
      <c r="J26" s="193"/>
      <c r="K26" s="54">
        <v>42294</v>
      </c>
      <c r="L26" s="84">
        <f>'Suivi EAU-ELEC'!G25</f>
        <v>0</v>
      </c>
      <c r="M26" s="85">
        <f>'Suivi EAU-ELEC'!I25</f>
        <v>0</v>
      </c>
      <c r="N26" s="85">
        <f>'Suivi EAU-ELEC'!K25</f>
        <v>0</v>
      </c>
      <c r="O26" s="85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37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44944</v>
      </c>
      <c r="C27" s="7"/>
      <c r="D27" s="134"/>
      <c r="E27" s="134"/>
      <c r="F27" s="13">
        <f>'Suivi EAU-ELEC'!E26</f>
        <v>0</v>
      </c>
      <c r="G27" s="14"/>
      <c r="H27" s="192">
        <f t="shared" si="4"/>
        <v>0</v>
      </c>
      <c r="I27" s="193"/>
      <c r="J27" s="193"/>
      <c r="K27" s="54">
        <v>42295</v>
      </c>
      <c r="L27" s="84">
        <f>'Suivi EAU-ELEC'!G26</f>
        <v>0</v>
      </c>
      <c r="M27" s="85">
        <f>'Suivi EAU-ELEC'!I26</f>
        <v>0</v>
      </c>
      <c r="N27" s="85">
        <f>'Suivi EAU-ELEC'!K26</f>
        <v>0</v>
      </c>
      <c r="O27" s="85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44945</v>
      </c>
      <c r="C28" s="7"/>
      <c r="D28" s="134"/>
      <c r="E28" s="134"/>
      <c r="F28" s="13">
        <f>'Suivi EAU-ELEC'!E27</f>
        <v>0</v>
      </c>
      <c r="G28" s="11"/>
      <c r="H28" s="192">
        <f t="shared" si="4"/>
        <v>0</v>
      </c>
      <c r="I28" s="193"/>
      <c r="J28" s="193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0</v>
      </c>
      <c r="G29" s="11"/>
      <c r="H29" s="192">
        <f t="shared" si="4"/>
        <v>0</v>
      </c>
      <c r="I29" s="193"/>
      <c r="J29" s="193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192">
        <f t="shared" si="4"/>
        <v>0</v>
      </c>
      <c r="I30" s="193"/>
      <c r="J30" s="193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192">
        <f t="shared" si="4"/>
        <v>0</v>
      </c>
      <c r="I31" s="193"/>
      <c r="J31" s="193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192">
        <f t="shared" si="4"/>
        <v>0</v>
      </c>
      <c r="I32" s="193"/>
      <c r="J32" s="193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192">
        <f t="shared" si="4"/>
        <v>0</v>
      </c>
      <c r="I33" s="193"/>
      <c r="J33" s="193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192">
        <f t="shared" si="4"/>
        <v>0</v>
      </c>
      <c r="I34" s="193"/>
      <c r="J34" s="193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192">
        <f t="shared" si="4"/>
        <v>0</v>
      </c>
      <c r="I35" s="193"/>
      <c r="J35" s="193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192">
        <f>F36*8.79</f>
        <v>0</v>
      </c>
      <c r="I36" s="193"/>
      <c r="J36" s="193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192">
        <f t="shared" ref="H37:H38" si="5">F37*8.79</f>
        <v>0</v>
      </c>
      <c r="I37" s="193"/>
      <c r="J37" s="193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192">
        <f t="shared" si="5"/>
        <v>0</v>
      </c>
      <c r="I38" s="193"/>
      <c r="J38" s="193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192">
        <f t="shared" ref="H39" si="6">F39*8.79</f>
        <v>0</v>
      </c>
      <c r="I39" s="193"/>
      <c r="J39" s="193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192">
        <f t="shared" ref="H40" si="7">F40*8.79</f>
        <v>0</v>
      </c>
      <c r="I40" s="193"/>
      <c r="J40" s="193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371</v>
      </c>
      <c r="E41" s="8">
        <f>SUM(E10:E40)</f>
        <v>673</v>
      </c>
      <c r="F41" s="143">
        <f>SUM(F10:F40)</f>
        <v>624</v>
      </c>
      <c r="G41" s="1"/>
      <c r="H41" s="273">
        <f>SUM(H10:H40)</f>
        <v>5484.9599999999991</v>
      </c>
      <c r="I41" s="274"/>
      <c r="J41" s="275"/>
      <c r="K41" s="1"/>
      <c r="L41" s="51">
        <f>SUM(L10:L40)</f>
        <v>17492</v>
      </c>
      <c r="M41" s="51">
        <f>SUM(M10:M40)</f>
        <v>27674</v>
      </c>
      <c r="N41" s="52">
        <f>SUM(N10:N40)</f>
        <v>12926</v>
      </c>
      <c r="O41" s="53">
        <f>SUM(O10:O40)</f>
        <v>58092</v>
      </c>
      <c r="P41" s="31"/>
      <c r="Q41" s="32">
        <f>SUM(Q10:Q40)</f>
        <v>51949.655200000001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1695.95813</v>
      </c>
      <c r="W41" s="31"/>
      <c r="X41" s="32">
        <f>SUM(X10:X40)</f>
        <v>21250.355368899996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28" t="s">
        <v>33</v>
      </c>
      <c r="B43" s="229"/>
      <c r="C43" s="229"/>
      <c r="D43" s="229"/>
      <c r="E43" s="229"/>
      <c r="F43" s="230"/>
      <c r="G43" s="26"/>
      <c r="H43" s="27" t="s">
        <v>34</v>
      </c>
      <c r="I43" s="267" t="s">
        <v>35</v>
      </c>
      <c r="J43" s="268"/>
      <c r="K43" s="269"/>
      <c r="L43" s="242" t="s">
        <v>36</v>
      </c>
      <c r="M43" s="243"/>
      <c r="N43" s="228" t="s">
        <v>37</v>
      </c>
      <c r="O43" s="229"/>
      <c r="P43" s="229"/>
      <c r="Q43" s="229"/>
      <c r="R43" s="229"/>
      <c r="S43" s="229"/>
      <c r="T43" s="229"/>
      <c r="U43" s="229"/>
      <c r="V43" s="229"/>
      <c r="W43" s="229"/>
      <c r="X43" s="230"/>
    </row>
    <row r="44" spans="1:24" s="18" customFormat="1" ht="29.25" customHeight="1" thickBot="1">
      <c r="A44" s="236" t="s">
        <v>38</v>
      </c>
      <c r="B44" s="237"/>
      <c r="C44" s="238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33">
        <f>L41</f>
        <v>17492</v>
      </c>
      <c r="J44" s="234"/>
      <c r="K44" s="235"/>
      <c r="L44" s="194">
        <f>I44*H44</f>
        <v>12218.162</v>
      </c>
      <c r="M44" s="195"/>
      <c r="N44" s="251">
        <f>L44+L45+L46</f>
        <v>55743.956000000006</v>
      </c>
      <c r="O44" s="252"/>
      <c r="P44" s="252"/>
      <c r="Q44" s="252"/>
      <c r="R44" s="252"/>
      <c r="S44" s="252"/>
      <c r="T44" s="252"/>
      <c r="U44" s="252"/>
      <c r="V44" s="252"/>
      <c r="W44" s="252"/>
      <c r="X44" s="253"/>
    </row>
    <row r="45" spans="1:24" s="18" customFormat="1" ht="29.25" customHeight="1" thickBot="1">
      <c r="A45" s="239"/>
      <c r="B45" s="240"/>
      <c r="C45" s="241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33">
        <f>M41</f>
        <v>27674</v>
      </c>
      <c r="J45" s="234"/>
      <c r="K45" s="235"/>
      <c r="L45" s="194">
        <f>I45*H45</f>
        <v>26329.043600000001</v>
      </c>
      <c r="M45" s="195"/>
      <c r="N45" s="254"/>
      <c r="O45" s="255"/>
      <c r="P45" s="255"/>
      <c r="Q45" s="255"/>
      <c r="R45" s="255"/>
      <c r="S45" s="255"/>
      <c r="T45" s="255"/>
      <c r="U45" s="255"/>
      <c r="V45" s="255"/>
      <c r="W45" s="255"/>
      <c r="X45" s="256"/>
    </row>
    <row r="46" spans="1:24" s="18" customFormat="1" ht="24.75" customHeight="1" thickBot="1">
      <c r="A46" s="239"/>
      <c r="B46" s="240"/>
      <c r="C46" s="241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64">
        <f>N41</f>
        <v>12926</v>
      </c>
      <c r="J46" s="265"/>
      <c r="K46" s="266"/>
      <c r="L46" s="194">
        <f>I46*H46</f>
        <v>17196.750400000001</v>
      </c>
      <c r="M46" s="195"/>
      <c r="N46" s="257"/>
      <c r="O46" s="258"/>
      <c r="P46" s="258"/>
      <c r="Q46" s="258"/>
      <c r="R46" s="258"/>
      <c r="S46" s="258"/>
      <c r="T46" s="258"/>
      <c r="U46" s="258"/>
      <c r="V46" s="258"/>
      <c r="W46" s="258"/>
      <c r="X46" s="259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70">
        <f>N44*1.3</f>
        <v>72467.142800000016</v>
      </c>
      <c r="O47" s="271"/>
      <c r="P47" s="271"/>
      <c r="Q47" s="271"/>
      <c r="R47" s="271"/>
      <c r="S47" s="271"/>
      <c r="T47" s="271"/>
      <c r="U47" s="271"/>
      <c r="V47" s="271"/>
      <c r="W47" s="271"/>
      <c r="X47" s="272"/>
    </row>
    <row r="48" spans="1:24" s="23" customFormat="1" ht="32.25" customHeight="1" thickBot="1">
      <c r="A48" s="225" t="s">
        <v>39</v>
      </c>
      <c r="B48" s="226"/>
      <c r="C48" s="226"/>
      <c r="D48" s="226"/>
      <c r="E48" s="226"/>
      <c r="F48" s="227"/>
      <c r="G48" s="21"/>
      <c r="H48" s="22">
        <v>8.7899999999999991</v>
      </c>
      <c r="I48" s="225">
        <f>F41</f>
        <v>624</v>
      </c>
      <c r="J48" s="226"/>
      <c r="K48" s="227"/>
      <c r="L48" s="231">
        <f>I48*H48</f>
        <v>5484.9599999999991</v>
      </c>
      <c r="M48" s="232"/>
      <c r="N48" s="248">
        <f>L48</f>
        <v>5484.9599999999991</v>
      </c>
      <c r="O48" s="249"/>
      <c r="P48" s="249"/>
      <c r="Q48" s="249"/>
      <c r="R48" s="249"/>
      <c r="S48" s="249"/>
      <c r="T48" s="249"/>
      <c r="U48" s="249"/>
      <c r="V48" s="249"/>
      <c r="W48" s="249"/>
      <c r="X48" s="250"/>
    </row>
    <row r="49" spans="1:24" s="23" customFormat="1" ht="36.75" customHeight="1">
      <c r="A49" s="260" t="s">
        <v>40</v>
      </c>
      <c r="B49" s="261"/>
      <c r="C49" s="261"/>
      <c r="D49" s="261"/>
      <c r="E49" s="261"/>
      <c r="F49" s="262"/>
      <c r="G49" s="24"/>
      <c r="H49" s="25">
        <v>12.53</v>
      </c>
      <c r="I49" s="223">
        <f>V41</f>
        <v>1695.95813</v>
      </c>
      <c r="J49" s="263"/>
      <c r="K49" s="224"/>
      <c r="L49" s="223">
        <f>I49*H49</f>
        <v>21250.3553689</v>
      </c>
      <c r="M49" s="224"/>
      <c r="N49" s="245">
        <f>L49</f>
        <v>21250.3553689</v>
      </c>
      <c r="O49" s="246"/>
      <c r="P49" s="246"/>
      <c r="Q49" s="246"/>
      <c r="R49" s="246"/>
      <c r="S49" s="246"/>
      <c r="T49" s="246"/>
      <c r="U49" s="246"/>
      <c r="V49" s="246"/>
      <c r="W49" s="246"/>
      <c r="X49" s="247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J11" activePane="bottomRight" state="frozen"/>
      <selection pane="bottomRight" activeCell="J12" sqref="J1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294"/>
      <c r="B1" s="295"/>
      <c r="C1" s="295"/>
      <c r="D1" s="296"/>
      <c r="E1" s="277" t="s">
        <v>41</v>
      </c>
      <c r="F1" s="278"/>
      <c r="G1" s="278"/>
      <c r="H1" s="278"/>
      <c r="I1" s="279"/>
      <c r="J1" s="286" t="s">
        <v>42</v>
      </c>
      <c r="K1" s="287"/>
      <c r="L1" s="49"/>
    </row>
    <row r="2" spans="1:12" ht="16.5" customHeight="1">
      <c r="A2" s="297"/>
      <c r="B2" s="298"/>
      <c r="C2" s="298"/>
      <c r="D2" s="299"/>
      <c r="E2" s="280"/>
      <c r="F2" s="281"/>
      <c r="G2" s="281"/>
      <c r="H2" s="281"/>
      <c r="I2" s="282"/>
      <c r="J2" s="288"/>
      <c r="K2" s="289"/>
      <c r="L2" s="49"/>
    </row>
    <row r="3" spans="1:12" ht="48" customHeight="1">
      <c r="A3" s="300"/>
      <c r="B3" s="301"/>
      <c r="C3" s="301"/>
      <c r="D3" s="302"/>
      <c r="E3" s="283"/>
      <c r="F3" s="284"/>
      <c r="G3" s="284"/>
      <c r="H3" s="284"/>
      <c r="I3" s="285"/>
      <c r="J3" s="290"/>
      <c r="K3" s="291"/>
      <c r="L3" s="49"/>
    </row>
    <row r="6" spans="1:12" ht="10.5" customHeight="1"/>
    <row r="7" spans="1:12" ht="16.5" customHeight="1">
      <c r="A7" s="276" t="s">
        <v>43</v>
      </c>
      <c r="B7" s="303" t="s">
        <v>44</v>
      </c>
      <c r="C7" s="303"/>
      <c r="D7" s="292" t="s">
        <v>45</v>
      </c>
      <c r="E7" s="292"/>
      <c r="F7" s="293" t="s">
        <v>46</v>
      </c>
      <c r="G7" s="293"/>
      <c r="H7" s="293"/>
      <c r="I7" s="293"/>
      <c r="J7" s="293"/>
      <c r="K7" s="293"/>
    </row>
    <row r="8" spans="1:12" s="29" customFormat="1" ht="28.5" customHeight="1">
      <c r="A8" s="276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/>
      <c r="C13" s="162"/>
      <c r="D13" s="163"/>
      <c r="E13" s="164"/>
      <c r="F13" s="165"/>
      <c r="G13" s="164"/>
      <c r="H13" s="165"/>
      <c r="I13" s="164"/>
      <c r="J13" s="165"/>
      <c r="K13" s="164"/>
    </row>
    <row r="14" spans="1:12" ht="19.5">
      <c r="A14" s="160">
        <v>44932</v>
      </c>
      <c r="B14" s="161"/>
      <c r="C14" s="162">
        <f t="shared" ref="C10:C40" si="0">B14-B13</f>
        <v>0</v>
      </c>
      <c r="D14" s="163"/>
      <c r="E14" s="164">
        <f t="shared" ref="E11:E16" si="1">D14-D13</f>
        <v>0</v>
      </c>
      <c r="F14" s="165"/>
      <c r="G14" s="164">
        <f t="shared" ref="G11:G40" si="2">F14-F13</f>
        <v>0</v>
      </c>
      <c r="H14" s="165"/>
      <c r="I14" s="164">
        <f t="shared" ref="I11:I40" si="3">H14-H13</f>
        <v>0</v>
      </c>
      <c r="J14" s="165"/>
      <c r="K14" s="164">
        <f t="shared" ref="K11:K40" si="4">J14-J13</f>
        <v>0</v>
      </c>
    </row>
    <row r="15" spans="1:12" ht="19.5">
      <c r="A15" s="160">
        <v>44933</v>
      </c>
      <c r="B15" s="161"/>
      <c r="C15" s="162">
        <f t="shared" si="0"/>
        <v>0</v>
      </c>
      <c r="D15" s="166"/>
      <c r="E15" s="164">
        <f t="shared" si="1"/>
        <v>0</v>
      </c>
      <c r="F15" s="165"/>
      <c r="G15" s="164">
        <f t="shared" si="2"/>
        <v>0</v>
      </c>
      <c r="H15" s="165"/>
      <c r="I15" s="164">
        <f t="shared" si="3"/>
        <v>0</v>
      </c>
      <c r="J15" s="165"/>
      <c r="K15" s="164">
        <f t="shared" si="4"/>
        <v>0</v>
      </c>
    </row>
    <row r="16" spans="1:12" ht="19.5">
      <c r="A16" s="160">
        <v>44934</v>
      </c>
      <c r="B16" s="161"/>
      <c r="C16" s="162">
        <f t="shared" si="0"/>
        <v>0</v>
      </c>
      <c r="D16" s="163"/>
      <c r="E16" s="164">
        <f t="shared" si="1"/>
        <v>0</v>
      </c>
      <c r="F16" s="165"/>
      <c r="G16" s="164">
        <f t="shared" si="2"/>
        <v>0</v>
      </c>
      <c r="H16" s="165"/>
      <c r="I16" s="164">
        <f t="shared" si="3"/>
        <v>0</v>
      </c>
      <c r="J16" s="165"/>
      <c r="K16" s="164">
        <f t="shared" si="4"/>
        <v>0</v>
      </c>
    </row>
    <row r="17" spans="1:29" ht="19.5">
      <c r="A17" s="160">
        <v>44935</v>
      </c>
      <c r="B17" s="161"/>
      <c r="C17" s="162">
        <f t="shared" si="0"/>
        <v>0</v>
      </c>
      <c r="D17" s="163"/>
      <c r="E17" s="164">
        <f t="shared" ref="E15:E40" si="5">D17-D16</f>
        <v>0</v>
      </c>
      <c r="F17" s="165"/>
      <c r="G17" s="164">
        <f t="shared" si="2"/>
        <v>0</v>
      </c>
      <c r="H17" s="165"/>
      <c r="I17" s="164">
        <f t="shared" si="3"/>
        <v>0</v>
      </c>
      <c r="J17" s="165"/>
      <c r="K17" s="164">
        <f t="shared" si="4"/>
        <v>0</v>
      </c>
    </row>
    <row r="18" spans="1:29" ht="19.5">
      <c r="A18" s="160">
        <v>44936</v>
      </c>
      <c r="B18" s="161"/>
      <c r="C18" s="162">
        <f t="shared" si="0"/>
        <v>0</v>
      </c>
      <c r="D18" s="163"/>
      <c r="E18" s="164">
        <f t="shared" si="5"/>
        <v>0</v>
      </c>
      <c r="F18" s="165"/>
      <c r="G18" s="164">
        <f t="shared" si="2"/>
        <v>0</v>
      </c>
      <c r="H18" s="165"/>
      <c r="I18" s="164">
        <f t="shared" si="3"/>
        <v>0</v>
      </c>
      <c r="J18" s="165"/>
      <c r="K18" s="164">
        <f t="shared" si="4"/>
        <v>0</v>
      </c>
    </row>
    <row r="19" spans="1:29" ht="19.5">
      <c r="A19" s="160">
        <v>44937</v>
      </c>
      <c r="B19" s="161"/>
      <c r="C19" s="162">
        <f t="shared" si="0"/>
        <v>0</v>
      </c>
      <c r="D19" s="163"/>
      <c r="E19" s="164">
        <f t="shared" si="5"/>
        <v>0</v>
      </c>
      <c r="F19" s="165"/>
      <c r="G19" s="164">
        <f t="shared" si="2"/>
        <v>0</v>
      </c>
      <c r="H19" s="165"/>
      <c r="I19" s="164">
        <f t="shared" si="3"/>
        <v>0</v>
      </c>
      <c r="J19" s="165"/>
      <c r="K19" s="164">
        <f t="shared" si="4"/>
        <v>0</v>
      </c>
    </row>
    <row r="20" spans="1:29" ht="25.5">
      <c r="A20" s="160">
        <v>44938</v>
      </c>
      <c r="B20" s="161"/>
      <c r="C20" s="162">
        <f t="shared" si="0"/>
        <v>0</v>
      </c>
      <c r="D20" s="163"/>
      <c r="E20" s="164">
        <f t="shared" si="5"/>
        <v>0</v>
      </c>
      <c r="F20" s="165"/>
      <c r="G20" s="164">
        <f t="shared" si="2"/>
        <v>0</v>
      </c>
      <c r="H20" s="165"/>
      <c r="I20" s="164">
        <f t="shared" si="3"/>
        <v>0</v>
      </c>
      <c r="J20" s="165"/>
      <c r="K20" s="164">
        <f t="shared" si="4"/>
        <v>0</v>
      </c>
      <c r="L20" s="108" t="s">
        <v>18</v>
      </c>
      <c r="AC20" t="s">
        <v>56</v>
      </c>
    </row>
    <row r="21" spans="1:29" ht="19.5">
      <c r="A21" s="160">
        <v>44939</v>
      </c>
      <c r="B21" s="161"/>
      <c r="C21" s="162">
        <f t="shared" si="0"/>
        <v>0</v>
      </c>
      <c r="D21" s="163"/>
      <c r="E21" s="164">
        <f t="shared" si="5"/>
        <v>0</v>
      </c>
      <c r="F21" s="165"/>
      <c r="G21" s="164">
        <f t="shared" si="2"/>
        <v>0</v>
      </c>
      <c r="H21" s="165"/>
      <c r="I21" s="164">
        <f t="shared" si="3"/>
        <v>0</v>
      </c>
      <c r="J21" s="165"/>
      <c r="K21" s="164">
        <f t="shared" si="4"/>
        <v>0</v>
      </c>
    </row>
    <row r="22" spans="1:29" ht="19.5">
      <c r="A22" s="160">
        <v>44940</v>
      </c>
      <c r="B22" s="161"/>
      <c r="C22" s="162">
        <f t="shared" si="0"/>
        <v>0</v>
      </c>
      <c r="D22" s="163"/>
      <c r="E22" s="164">
        <f t="shared" si="5"/>
        <v>0</v>
      </c>
      <c r="F22" s="165"/>
      <c r="G22" s="164">
        <f t="shared" si="2"/>
        <v>0</v>
      </c>
      <c r="H22" s="165"/>
      <c r="I22" s="164">
        <f t="shared" si="3"/>
        <v>0</v>
      </c>
      <c r="J22" s="165"/>
      <c r="K22" s="164">
        <f t="shared" si="4"/>
        <v>0</v>
      </c>
    </row>
    <row r="23" spans="1:29" ht="19.5">
      <c r="A23" s="160">
        <v>44941</v>
      </c>
      <c r="B23" s="161"/>
      <c r="C23" s="162">
        <f t="shared" si="0"/>
        <v>0</v>
      </c>
      <c r="D23" s="163"/>
      <c r="E23" s="164">
        <f t="shared" si="5"/>
        <v>0</v>
      </c>
      <c r="F23" s="165"/>
      <c r="G23" s="164">
        <f t="shared" si="2"/>
        <v>0</v>
      </c>
      <c r="H23" s="165"/>
      <c r="I23" s="164">
        <f t="shared" si="3"/>
        <v>0</v>
      </c>
      <c r="J23" s="165"/>
      <c r="K23" s="164">
        <f t="shared" si="4"/>
        <v>0</v>
      </c>
    </row>
    <row r="24" spans="1:29" ht="19.5">
      <c r="A24" s="160">
        <v>44942</v>
      </c>
      <c r="B24" s="161"/>
      <c r="C24" s="162">
        <f t="shared" si="0"/>
        <v>0</v>
      </c>
      <c r="D24" s="163"/>
      <c r="E24" s="164">
        <f t="shared" si="5"/>
        <v>0</v>
      </c>
      <c r="F24" s="165"/>
      <c r="G24" s="164">
        <f t="shared" si="2"/>
        <v>0</v>
      </c>
      <c r="H24" s="165"/>
      <c r="I24" s="164">
        <f t="shared" si="3"/>
        <v>0</v>
      </c>
      <c r="J24" s="165"/>
      <c r="K24" s="164">
        <f t="shared" si="4"/>
        <v>0</v>
      </c>
    </row>
    <row r="25" spans="1:29" ht="19.5">
      <c r="A25" s="160">
        <v>44943</v>
      </c>
      <c r="B25" s="161"/>
      <c r="C25" s="162">
        <f t="shared" si="0"/>
        <v>0</v>
      </c>
      <c r="D25" s="163"/>
      <c r="E25" s="164">
        <f t="shared" si="5"/>
        <v>0</v>
      </c>
      <c r="F25" s="165"/>
      <c r="G25" s="164">
        <f t="shared" si="2"/>
        <v>0</v>
      </c>
      <c r="H25" s="165"/>
      <c r="I25" s="164">
        <f t="shared" si="3"/>
        <v>0</v>
      </c>
      <c r="J25" s="165"/>
      <c r="K25" s="164">
        <f t="shared" si="4"/>
        <v>0</v>
      </c>
    </row>
    <row r="26" spans="1:29" ht="19.5">
      <c r="A26" s="160">
        <v>44944</v>
      </c>
      <c r="B26" s="161"/>
      <c r="C26" s="162">
        <f t="shared" si="0"/>
        <v>0</v>
      </c>
      <c r="D26" s="163"/>
      <c r="E26" s="164">
        <f t="shared" si="5"/>
        <v>0</v>
      </c>
      <c r="F26" s="165"/>
      <c r="G26" s="164">
        <f t="shared" si="2"/>
        <v>0</v>
      </c>
      <c r="H26" s="165"/>
      <c r="I26" s="164">
        <f t="shared" si="3"/>
        <v>0</v>
      </c>
      <c r="J26" s="165"/>
      <c r="K26" s="164">
        <f t="shared" si="4"/>
        <v>0</v>
      </c>
    </row>
    <row r="27" spans="1:29" ht="19.5">
      <c r="A27" s="160">
        <v>44945</v>
      </c>
      <c r="B27" s="161"/>
      <c r="C27" s="162">
        <f t="shared" si="0"/>
        <v>0</v>
      </c>
      <c r="D27" s="163"/>
      <c r="E27" s="164">
        <f t="shared" si="5"/>
        <v>0</v>
      </c>
      <c r="F27" s="165"/>
      <c r="G27" s="164">
        <f t="shared" si="2"/>
        <v>0</v>
      </c>
      <c r="H27" s="165"/>
      <c r="I27" s="164">
        <f t="shared" si="3"/>
        <v>0</v>
      </c>
      <c r="J27" s="165"/>
      <c r="K27" s="164">
        <f t="shared" si="4"/>
        <v>0</v>
      </c>
    </row>
    <row r="28" spans="1:29" ht="19.5">
      <c r="A28" s="160">
        <v>44946</v>
      </c>
      <c r="B28" s="161"/>
      <c r="C28" s="162">
        <f t="shared" si="0"/>
        <v>0</v>
      </c>
      <c r="D28" s="163"/>
      <c r="E28" s="164">
        <f t="shared" si="5"/>
        <v>0</v>
      </c>
      <c r="F28" s="165"/>
      <c r="G28" s="164">
        <f t="shared" si="2"/>
        <v>0</v>
      </c>
      <c r="H28" s="165"/>
      <c r="I28" s="164">
        <f t="shared" si="3"/>
        <v>0</v>
      </c>
      <c r="J28" s="165"/>
      <c r="K28" s="164">
        <f t="shared" si="4"/>
        <v>0</v>
      </c>
    </row>
    <row r="29" spans="1:29" ht="19.5">
      <c r="A29" s="160">
        <v>44947</v>
      </c>
      <c r="B29" s="161"/>
      <c r="C29" s="162">
        <f t="shared" si="0"/>
        <v>0</v>
      </c>
      <c r="D29" s="163"/>
      <c r="E29" s="164">
        <f t="shared" si="5"/>
        <v>0</v>
      </c>
      <c r="F29" s="165"/>
      <c r="G29" s="164">
        <f t="shared" si="2"/>
        <v>0</v>
      </c>
      <c r="H29" s="165"/>
      <c r="I29" s="164">
        <f t="shared" si="3"/>
        <v>0</v>
      </c>
      <c r="J29" s="165"/>
      <c r="K29" s="164">
        <f t="shared" si="4"/>
        <v>0</v>
      </c>
    </row>
    <row r="30" spans="1:29" ht="19.5">
      <c r="A30" s="160">
        <v>44948</v>
      </c>
      <c r="B30" s="161"/>
      <c r="C30" s="162">
        <f t="shared" si="0"/>
        <v>0</v>
      </c>
      <c r="D30" s="163"/>
      <c r="E30" s="164">
        <f t="shared" si="5"/>
        <v>0</v>
      </c>
      <c r="F30" s="165"/>
      <c r="G30" s="164">
        <f t="shared" si="2"/>
        <v>0</v>
      </c>
      <c r="H30" s="165"/>
      <c r="I30" s="164">
        <f t="shared" si="3"/>
        <v>0</v>
      </c>
      <c r="J30" s="165"/>
      <c r="K30" s="164">
        <f t="shared" si="4"/>
        <v>0</v>
      </c>
    </row>
    <row r="31" spans="1:29" ht="19.5">
      <c r="A31" s="174">
        <v>44949</v>
      </c>
      <c r="B31" s="175"/>
      <c r="C31" s="162">
        <f t="shared" si="0"/>
        <v>0</v>
      </c>
      <c r="D31" s="176"/>
      <c r="E31" s="164">
        <f t="shared" si="5"/>
        <v>0</v>
      </c>
      <c r="F31" s="177"/>
      <c r="G31" s="164">
        <f t="shared" si="2"/>
        <v>0</v>
      </c>
      <c r="H31" s="177"/>
      <c r="I31" s="164">
        <f t="shared" si="3"/>
        <v>0</v>
      </c>
      <c r="J31" s="177"/>
      <c r="K31" s="164">
        <f t="shared" si="4"/>
        <v>0</v>
      </c>
    </row>
    <row r="32" spans="1:29" ht="19.5">
      <c r="A32" s="160">
        <v>44950</v>
      </c>
      <c r="B32" s="161"/>
      <c r="C32" s="162">
        <f t="shared" si="0"/>
        <v>0</v>
      </c>
      <c r="D32" s="163"/>
      <c r="E32" s="164">
        <f t="shared" si="5"/>
        <v>0</v>
      </c>
      <c r="F32" s="165"/>
      <c r="G32" s="164">
        <f t="shared" si="2"/>
        <v>0</v>
      </c>
      <c r="H32" s="165"/>
      <c r="I32" s="164">
        <f t="shared" si="3"/>
        <v>0</v>
      </c>
      <c r="J32" s="165"/>
      <c r="K32" s="164">
        <f t="shared" si="4"/>
        <v>0</v>
      </c>
    </row>
    <row r="33" spans="1:11" ht="19.5">
      <c r="A33" s="160">
        <v>44951</v>
      </c>
      <c r="B33" s="161"/>
      <c r="C33" s="162">
        <f t="shared" si="0"/>
        <v>0</v>
      </c>
      <c r="D33" s="163"/>
      <c r="E33" s="164">
        <f t="shared" si="5"/>
        <v>0</v>
      </c>
      <c r="F33" s="165"/>
      <c r="G33" s="164">
        <f t="shared" si="2"/>
        <v>0</v>
      </c>
      <c r="H33" s="165"/>
      <c r="I33" s="164">
        <f t="shared" si="3"/>
        <v>0</v>
      </c>
      <c r="J33" s="165"/>
      <c r="K33" s="164">
        <f t="shared" si="4"/>
        <v>0</v>
      </c>
    </row>
    <row r="34" spans="1:11" ht="19.5">
      <c r="A34" s="160">
        <v>44952</v>
      </c>
      <c r="B34" s="161"/>
      <c r="C34" s="162">
        <f t="shared" si="0"/>
        <v>0</v>
      </c>
      <c r="D34" s="163"/>
      <c r="E34" s="164">
        <f t="shared" si="5"/>
        <v>0</v>
      </c>
      <c r="F34" s="165"/>
      <c r="G34" s="164">
        <f t="shared" si="2"/>
        <v>0</v>
      </c>
      <c r="H34" s="165"/>
      <c r="I34" s="164">
        <f t="shared" si="3"/>
        <v>0</v>
      </c>
      <c r="J34" s="165"/>
      <c r="K34" s="164">
        <f t="shared" si="4"/>
        <v>0</v>
      </c>
    </row>
    <row r="35" spans="1:11" ht="19.5">
      <c r="A35" s="160">
        <v>44953</v>
      </c>
      <c r="B35" s="161"/>
      <c r="C35" s="162">
        <f t="shared" si="0"/>
        <v>0</v>
      </c>
      <c r="D35" s="163"/>
      <c r="E35" s="164">
        <f t="shared" si="5"/>
        <v>0</v>
      </c>
      <c r="F35" s="165"/>
      <c r="G35" s="164">
        <f t="shared" si="2"/>
        <v>0</v>
      </c>
      <c r="H35" s="165"/>
      <c r="I35" s="164">
        <f t="shared" si="3"/>
        <v>0</v>
      </c>
      <c r="J35" s="165"/>
      <c r="K35" s="164">
        <f t="shared" si="4"/>
        <v>0</v>
      </c>
    </row>
    <row r="36" spans="1:11" ht="19.5">
      <c r="A36" s="160">
        <v>44954</v>
      </c>
      <c r="B36" s="161"/>
      <c r="C36" s="162">
        <f t="shared" si="0"/>
        <v>0</v>
      </c>
      <c r="D36" s="163"/>
      <c r="E36" s="164">
        <f t="shared" si="5"/>
        <v>0</v>
      </c>
      <c r="F36" s="165"/>
      <c r="G36" s="164">
        <f t="shared" si="2"/>
        <v>0</v>
      </c>
      <c r="H36" s="165"/>
      <c r="I36" s="164">
        <f t="shared" si="3"/>
        <v>0</v>
      </c>
      <c r="J36" s="165"/>
      <c r="K36" s="164">
        <f t="shared" si="4"/>
        <v>0</v>
      </c>
    </row>
    <row r="37" spans="1:11" ht="19.5">
      <c r="A37" s="160">
        <v>44955</v>
      </c>
      <c r="B37" s="161"/>
      <c r="C37" s="162">
        <f t="shared" si="0"/>
        <v>0</v>
      </c>
      <c r="D37" s="163"/>
      <c r="E37" s="164">
        <f t="shared" si="5"/>
        <v>0</v>
      </c>
      <c r="F37" s="165"/>
      <c r="G37" s="164">
        <f t="shared" si="2"/>
        <v>0</v>
      </c>
      <c r="H37" s="165"/>
      <c r="I37" s="164">
        <f t="shared" si="3"/>
        <v>0</v>
      </c>
      <c r="J37" s="165"/>
      <c r="K37" s="164">
        <f t="shared" si="4"/>
        <v>0</v>
      </c>
    </row>
    <row r="38" spans="1:11" ht="19.5">
      <c r="A38" s="160">
        <v>44956</v>
      </c>
      <c r="B38" s="161"/>
      <c r="C38" s="162">
        <f t="shared" si="0"/>
        <v>0</v>
      </c>
      <c r="D38" s="163"/>
      <c r="E38" s="164">
        <f t="shared" si="5"/>
        <v>0</v>
      </c>
      <c r="F38" s="165"/>
      <c r="G38" s="164">
        <f t="shared" si="2"/>
        <v>0</v>
      </c>
      <c r="H38" s="165"/>
      <c r="I38" s="164">
        <f t="shared" si="3"/>
        <v>0</v>
      </c>
      <c r="J38" s="165"/>
      <c r="K38" s="164">
        <f t="shared" si="4"/>
        <v>0</v>
      </c>
    </row>
    <row r="39" spans="1:11" ht="19.5">
      <c r="A39" s="160">
        <v>44957</v>
      </c>
      <c r="B39" s="161"/>
      <c r="C39" s="162">
        <f t="shared" si="0"/>
        <v>0</v>
      </c>
      <c r="D39" s="163"/>
      <c r="E39" s="164">
        <f t="shared" si="5"/>
        <v>0</v>
      </c>
      <c r="F39" s="165"/>
      <c r="G39" s="164">
        <f t="shared" si="2"/>
        <v>0</v>
      </c>
      <c r="H39" s="165"/>
      <c r="I39" s="164">
        <f t="shared" si="3"/>
        <v>0</v>
      </c>
      <c r="J39" s="165"/>
      <c r="K39" s="164">
        <f t="shared" si="4"/>
        <v>0</v>
      </c>
    </row>
    <row r="40" spans="1:11" ht="19.5">
      <c r="A40" s="160">
        <v>44958</v>
      </c>
      <c r="B40" s="161"/>
      <c r="C40" s="162">
        <f t="shared" si="0"/>
        <v>0</v>
      </c>
      <c r="D40" s="163"/>
      <c r="E40" s="164">
        <f t="shared" si="5"/>
        <v>0</v>
      </c>
      <c r="F40" s="165"/>
      <c r="G40" s="164">
        <f t="shared" si="2"/>
        <v>0</v>
      </c>
      <c r="H40" s="165"/>
      <c r="I40" s="164">
        <f t="shared" si="3"/>
        <v>0</v>
      </c>
      <c r="J40" s="165"/>
      <c r="K40" s="164">
        <f t="shared" si="4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20" activePane="bottomRight" state="frozen"/>
      <selection pane="bottomRight" activeCell="AK19" sqref="AK1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07" t="s">
        <v>57</v>
      </c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31" ht="41.25" customHeight="1">
      <c r="Q2" s="312">
        <v>803</v>
      </c>
      <c r="R2" s="313"/>
      <c r="S2" s="314"/>
      <c r="T2" s="315">
        <v>519</v>
      </c>
      <c r="U2" s="313"/>
      <c r="V2" s="314"/>
      <c r="W2" s="315">
        <v>800</v>
      </c>
      <c r="X2" s="313"/>
      <c r="Y2" s="314"/>
      <c r="Z2" s="315">
        <v>802</v>
      </c>
      <c r="AA2" s="313"/>
      <c r="AB2" s="316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0</v>
      </c>
      <c r="D7" s="41">
        <v>49</v>
      </c>
      <c r="E7" s="39">
        <f t="shared" si="8"/>
        <v>0</v>
      </c>
      <c r="F7" s="41">
        <v>50</v>
      </c>
      <c r="G7" s="39">
        <f t="shared" si="9"/>
        <v>0</v>
      </c>
      <c r="H7" s="41">
        <v>50</v>
      </c>
      <c r="I7" s="39">
        <f t="shared" si="11"/>
        <v>0</v>
      </c>
      <c r="J7" s="39">
        <f t="shared" si="12"/>
        <v>197</v>
      </c>
      <c r="K7" s="39">
        <f t="shared" si="13"/>
        <v>49.25</v>
      </c>
      <c r="L7" s="39">
        <f t="shared" si="14"/>
        <v>0</v>
      </c>
      <c r="M7" s="140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44931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0">
        <f>6049*4</f>
        <v>24196</v>
      </c>
      <c r="N8" s="39">
        <f t="shared" si="15"/>
        <v>0</v>
      </c>
      <c r="O8" s="139">
        <f t="shared" ref="O8:O37" si="16">N8*0.529</f>
        <v>0</v>
      </c>
      <c r="P8" s="42">
        <f t="shared" si="10"/>
        <v>0</v>
      </c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0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0">
        <f t="shared" si="17"/>
        <v>24196</v>
      </c>
      <c r="N10" s="39">
        <f t="shared" si="15"/>
        <v>0</v>
      </c>
      <c r="O10" s="139">
        <f t="shared" si="16"/>
        <v>0</v>
      </c>
      <c r="P10" s="42">
        <f t="shared" si="10"/>
        <v>0</v>
      </c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0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0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0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0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44938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0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0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0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0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0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0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3205.9700000000003</v>
      </c>
      <c r="O43" s="39">
        <f>N43*0.529</f>
        <v>1695.9581300000002</v>
      </c>
      <c r="P43" s="42">
        <f>O43*12.53</f>
        <v>21250.3553689</v>
      </c>
      <c r="Q43" s="308">
        <f>SUM(Q4:Q42)</f>
        <v>0</v>
      </c>
      <c r="R43" s="309"/>
      <c r="S43" s="310"/>
      <c r="T43" s="311">
        <f>SUM(T4:T42)</f>
        <v>0</v>
      </c>
      <c r="U43" s="309"/>
      <c r="V43" s="310"/>
      <c r="W43" s="311">
        <f>SUM(W4:W42)</f>
        <v>0</v>
      </c>
      <c r="X43" s="309"/>
      <c r="Y43" s="310"/>
      <c r="Z43" s="311">
        <f>SUM(Z4:Z42)</f>
        <v>0</v>
      </c>
      <c r="AA43" s="309"/>
      <c r="AB43" s="310"/>
      <c r="AC43" s="39">
        <f t="shared" si="20"/>
        <v>0</v>
      </c>
    </row>
    <row r="44" spans="1:31" ht="35.25" customHeight="1" thickBot="1">
      <c r="B44" s="317"/>
      <c r="C44" s="318"/>
      <c r="D44" s="318"/>
      <c r="E44" s="318"/>
      <c r="F44" s="318"/>
      <c r="G44" s="318"/>
      <c r="H44" s="318"/>
      <c r="I44" s="319"/>
      <c r="J44" s="37"/>
      <c r="K44" s="37"/>
      <c r="L44" s="37"/>
      <c r="M44" s="37"/>
      <c r="N44" s="37"/>
      <c r="O44" s="37"/>
      <c r="P44" s="37"/>
      <c r="Q44" s="320">
        <f>Q43+T43+W43+Z43</f>
        <v>0</v>
      </c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2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04" t="s">
        <v>85</v>
      </c>
      <c r="I47" s="305"/>
      <c r="J47" s="306"/>
      <c r="K47" s="45">
        <f>N43</f>
        <v>3205.9700000000003</v>
      </c>
      <c r="L47" s="46">
        <f>O43</f>
        <v>1695.9581300000002</v>
      </c>
      <c r="M47" s="46">
        <f>P43</f>
        <v>21250.3553689</v>
      </c>
    </row>
    <row r="48" spans="1:31" ht="54.75" customHeight="1" thickBot="1">
      <c r="H48" s="304" t="s">
        <v>86</v>
      </c>
      <c r="I48" s="305"/>
      <c r="J48" s="306"/>
      <c r="K48" s="43">
        <f>AC44</f>
        <v>0</v>
      </c>
      <c r="L48" s="44">
        <f>K48*0.529</f>
        <v>0</v>
      </c>
      <c r="M48" s="44">
        <f>L48*12.44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94"/>
      <c r="B1" s="296"/>
      <c r="C1" s="323" t="s">
        <v>87</v>
      </c>
      <c r="D1" s="324"/>
      <c r="E1" s="324"/>
      <c r="F1" s="324"/>
      <c r="G1" s="324"/>
      <c r="H1" s="329" t="s">
        <v>88</v>
      </c>
      <c r="I1" s="330"/>
      <c r="J1" s="331"/>
    </row>
    <row r="2" spans="1:10" ht="16.5" customHeight="1" thickBot="1">
      <c r="A2" s="297"/>
      <c r="B2" s="299"/>
      <c r="C2" s="325"/>
      <c r="D2" s="326"/>
      <c r="E2" s="326"/>
      <c r="F2" s="326"/>
      <c r="G2" s="326"/>
      <c r="H2" s="332"/>
      <c r="I2" s="333"/>
      <c r="J2" s="334"/>
    </row>
    <row r="3" spans="1:10" ht="15" customHeight="1">
      <c r="A3" s="297"/>
      <c r="B3" s="299"/>
      <c r="C3" s="325"/>
      <c r="D3" s="326"/>
      <c r="E3" s="326"/>
      <c r="F3" s="326"/>
      <c r="G3" s="326"/>
      <c r="H3" s="335" t="s">
        <v>89</v>
      </c>
      <c r="I3" s="336"/>
      <c r="J3" s="337"/>
    </row>
    <row r="4" spans="1:10" ht="15.75" customHeight="1" thickBot="1">
      <c r="A4" s="300"/>
      <c r="B4" s="302"/>
      <c r="C4" s="327"/>
      <c r="D4" s="328"/>
      <c r="E4" s="328"/>
      <c r="F4" s="328"/>
      <c r="G4" s="328"/>
      <c r="H4" s="338"/>
      <c r="I4" s="339"/>
      <c r="J4" s="340"/>
    </row>
    <row r="6" spans="1:10" ht="33" customHeight="1" thickBot="1"/>
    <row r="7" spans="1:10" ht="36.75" thickTop="1">
      <c r="A7" s="341" t="s">
        <v>90</v>
      </c>
      <c r="B7" s="341"/>
      <c r="C7" s="342" t="s">
        <v>91</v>
      </c>
      <c r="D7" s="343"/>
      <c r="E7" s="55" t="s">
        <v>92</v>
      </c>
      <c r="F7" s="55" t="s">
        <v>93</v>
      </c>
      <c r="G7" s="55" t="s">
        <v>94</v>
      </c>
      <c r="H7" s="55" t="s">
        <v>95</v>
      </c>
      <c r="I7" s="344" t="s">
        <v>96</v>
      </c>
      <c r="J7" s="345"/>
    </row>
    <row r="8" spans="1:10">
      <c r="A8" s="346">
        <v>95670781</v>
      </c>
      <c r="B8" s="346"/>
      <c r="C8" s="347">
        <v>44923</v>
      </c>
      <c r="D8" s="348"/>
      <c r="E8" s="107">
        <v>44954</v>
      </c>
      <c r="F8" s="154" t="s">
        <v>97</v>
      </c>
      <c r="G8" s="56"/>
      <c r="H8" s="56"/>
      <c r="I8" s="349"/>
      <c r="J8" s="350"/>
    </row>
    <row r="10" spans="1:10" ht="23.25" customHeight="1" thickBot="1"/>
    <row r="11" spans="1:10" ht="24.75" customHeight="1" thickTop="1">
      <c r="A11" s="351" t="s">
        <v>98</v>
      </c>
      <c r="B11" s="351"/>
      <c r="C11" s="352" t="s">
        <v>99</v>
      </c>
      <c r="D11" s="353"/>
      <c r="E11" s="351" t="s">
        <v>100</v>
      </c>
      <c r="F11" s="351"/>
      <c r="G11" s="352" t="s">
        <v>101</v>
      </c>
      <c r="H11" s="353"/>
      <c r="I11" s="354" t="s">
        <v>102</v>
      </c>
      <c r="J11" s="354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58">
        <v>939</v>
      </c>
      <c r="H12" s="358"/>
      <c r="I12" s="359"/>
      <c r="J12" s="359"/>
    </row>
    <row r="13" spans="1:10">
      <c r="A13" s="360"/>
      <c r="B13" s="455"/>
      <c r="C13" s="455"/>
      <c r="D13" s="455"/>
      <c r="E13" s="455"/>
      <c r="F13" s="455"/>
      <c r="G13" s="455"/>
      <c r="H13" s="455"/>
      <c r="I13" s="455"/>
      <c r="J13" s="455"/>
    </row>
    <row r="15" spans="1:10" ht="13.5" thickBot="1"/>
    <row r="16" spans="1:10" ht="26.25" thickTop="1">
      <c r="A16" s="351" t="s">
        <v>104</v>
      </c>
      <c r="B16" s="351"/>
      <c r="C16" s="57" t="s">
        <v>105</v>
      </c>
      <c r="D16" s="58" t="s">
        <v>106</v>
      </c>
      <c r="E16" s="58" t="s">
        <v>48</v>
      </c>
      <c r="F16" s="58" t="s">
        <v>107</v>
      </c>
      <c r="G16" s="355" t="s">
        <v>108</v>
      </c>
      <c r="H16" s="355"/>
      <c r="I16" s="356" t="s">
        <v>109</v>
      </c>
      <c r="J16" s="357"/>
    </row>
    <row r="17" spans="1:10">
      <c r="A17" s="361" t="s">
        <v>110</v>
      </c>
      <c r="B17" s="362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63"/>
      <c r="H17" s="364"/>
      <c r="I17" s="363">
        <f>+E17</f>
        <v>0</v>
      </c>
      <c r="J17" s="364"/>
    </row>
    <row r="18" spans="1:10">
      <c r="A18" s="361" t="s">
        <v>111</v>
      </c>
      <c r="B18" s="362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63"/>
      <c r="H18" s="364"/>
      <c r="I18" s="363">
        <f>+E18</f>
        <v>0</v>
      </c>
      <c r="J18" s="364"/>
    </row>
    <row r="19" spans="1:10">
      <c r="A19" s="361" t="s">
        <v>112</v>
      </c>
      <c r="B19" s="362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63"/>
      <c r="H19" s="364"/>
      <c r="I19" s="363">
        <f>+E19</f>
        <v>0</v>
      </c>
      <c r="J19" s="364"/>
    </row>
    <row r="20" spans="1:10" ht="15">
      <c r="A20" s="365" t="s">
        <v>113</v>
      </c>
      <c r="B20" s="366"/>
      <c r="C20" s="62"/>
      <c r="D20" s="63"/>
      <c r="E20" s="62">
        <f>SUM(E17:E19)</f>
        <v>0</v>
      </c>
      <c r="F20" s="64"/>
      <c r="G20" s="367"/>
      <c r="H20" s="368"/>
      <c r="I20" s="367"/>
      <c r="J20" s="368"/>
    </row>
    <row r="21" spans="1:10">
      <c r="C21" s="104" t="s">
        <v>18</v>
      </c>
      <c r="D21" t="s">
        <v>114</v>
      </c>
      <c r="G21" s="369"/>
      <c r="H21" s="369"/>
    </row>
    <row r="22" spans="1:10" ht="13.5" thickBot="1">
      <c r="G22" s="370"/>
      <c r="H22" s="370"/>
    </row>
    <row r="23" spans="1:10" ht="13.5" thickTop="1">
      <c r="A23" s="371" t="s">
        <v>115</v>
      </c>
      <c r="B23" s="372"/>
      <c r="C23" s="373"/>
      <c r="D23" s="351" t="s">
        <v>116</v>
      </c>
      <c r="E23" s="351" t="s">
        <v>117</v>
      </c>
      <c r="F23" s="378" t="s">
        <v>118</v>
      </c>
      <c r="G23" s="380" t="s">
        <v>119</v>
      </c>
      <c r="H23" s="380"/>
      <c r="I23" s="381" t="s">
        <v>120</v>
      </c>
      <c r="J23" s="381"/>
    </row>
    <row r="24" spans="1:10">
      <c r="A24" s="374"/>
      <c r="B24" s="375"/>
      <c r="C24" s="376"/>
      <c r="D24" s="377"/>
      <c r="E24" s="377"/>
      <c r="F24" s="379"/>
      <c r="G24" s="155" t="s">
        <v>121</v>
      </c>
      <c r="H24" s="65" t="s">
        <v>122</v>
      </c>
      <c r="I24" s="381"/>
      <c r="J24" s="381"/>
    </row>
    <row r="25" spans="1:10" ht="15">
      <c r="A25" s="382" t="s">
        <v>123</v>
      </c>
      <c r="B25" s="383"/>
      <c r="C25" s="384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85">
        <f>SUM(H25,F25)</f>
        <v>0</v>
      </c>
      <c r="J25" s="386"/>
    </row>
    <row r="26" spans="1:10" ht="15">
      <c r="A26" s="387" t="s">
        <v>124</v>
      </c>
      <c r="B26" s="388"/>
      <c r="C26" s="389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85">
        <f t="shared" ref="I26:I31" si="0">SUM(H26,F26)</f>
        <v>0</v>
      </c>
      <c r="J26" s="386"/>
    </row>
    <row r="27" spans="1:10" ht="15">
      <c r="A27" s="387" t="s">
        <v>125</v>
      </c>
      <c r="B27" s="388"/>
      <c r="C27" s="389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85">
        <f>SUM(H27,F27)</f>
        <v>0</v>
      </c>
      <c r="J27" s="386"/>
    </row>
    <row r="28" spans="1:10" ht="15">
      <c r="A28" s="387" t="s">
        <v>126</v>
      </c>
      <c r="B28" s="388"/>
      <c r="C28" s="389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85">
        <f t="shared" si="0"/>
        <v>50025.103799999997</v>
      </c>
      <c r="J28" s="386"/>
    </row>
    <row r="29" spans="1:10" ht="15">
      <c r="A29" s="398" t="s">
        <v>127</v>
      </c>
      <c r="B29" s="399"/>
      <c r="C29" s="400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01">
        <f t="shared" si="0"/>
        <v>0</v>
      </c>
      <c r="J29" s="402"/>
    </row>
    <row r="30" spans="1:10" ht="15">
      <c r="A30" s="387" t="s">
        <v>128</v>
      </c>
      <c r="B30" s="388"/>
      <c r="C30" s="389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85">
        <f>SUM(H30,F30)</f>
        <v>1009.2</v>
      </c>
      <c r="J30" s="386"/>
    </row>
    <row r="31" spans="1:10" ht="15.75" thickBot="1">
      <c r="A31" s="390" t="s">
        <v>129</v>
      </c>
      <c r="B31" s="391"/>
      <c r="C31" s="392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85">
        <f t="shared" si="0"/>
        <v>1596.44</v>
      </c>
      <c r="J31" s="386"/>
    </row>
    <row r="32" spans="1:10" ht="21">
      <c r="A32" s="393" t="s">
        <v>130</v>
      </c>
      <c r="B32" s="394"/>
      <c r="C32" s="394"/>
      <c r="D32" s="394"/>
      <c r="E32" s="394"/>
      <c r="F32" s="78">
        <f>SUM(F25:F31)</f>
        <v>46214.67</v>
      </c>
      <c r="G32" s="79"/>
      <c r="H32" s="80"/>
      <c r="I32" s="397">
        <f>SUM(I25:J31)</f>
        <v>52630.743799999997</v>
      </c>
      <c r="J32" s="397"/>
    </row>
    <row r="33" spans="1:10" ht="21.75" thickBot="1">
      <c r="A33" s="395"/>
      <c r="B33" s="396"/>
      <c r="C33" s="396"/>
      <c r="D33" s="396"/>
      <c r="E33" s="396"/>
      <c r="F33" s="81"/>
      <c r="G33" s="82"/>
      <c r="H33" s="83"/>
      <c r="I33" s="397"/>
      <c r="J33" s="39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O10" sqref="O10:P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94"/>
      <c r="B1" s="296"/>
      <c r="C1" s="323" t="s">
        <v>87</v>
      </c>
      <c r="D1" s="324"/>
      <c r="E1" s="324"/>
      <c r="F1" s="324"/>
      <c r="G1" s="324"/>
      <c r="H1" s="329" t="s">
        <v>88</v>
      </c>
      <c r="I1" s="330"/>
      <c r="J1" s="331"/>
    </row>
    <row r="2" spans="1:10" ht="16.5" customHeight="1" thickBot="1">
      <c r="A2" s="297"/>
      <c r="B2" s="299"/>
      <c r="C2" s="325"/>
      <c r="D2" s="326"/>
      <c r="E2" s="326"/>
      <c r="F2" s="326"/>
      <c r="G2" s="326"/>
      <c r="H2" s="332"/>
      <c r="I2" s="333"/>
      <c r="J2" s="334"/>
    </row>
    <row r="3" spans="1:10" ht="15" customHeight="1">
      <c r="A3" s="297"/>
      <c r="B3" s="299"/>
      <c r="C3" s="325"/>
      <c r="D3" s="326"/>
      <c r="E3" s="326"/>
      <c r="F3" s="326"/>
      <c r="G3" s="326"/>
      <c r="H3" s="335" t="s">
        <v>89</v>
      </c>
      <c r="I3" s="336"/>
      <c r="J3" s="337"/>
    </row>
    <row r="4" spans="1:10" ht="15.75" customHeight="1" thickBot="1">
      <c r="A4" s="300"/>
      <c r="B4" s="302"/>
      <c r="C4" s="327"/>
      <c r="D4" s="328"/>
      <c r="E4" s="328"/>
      <c r="F4" s="328"/>
      <c r="G4" s="328"/>
      <c r="H4" s="338"/>
      <c r="I4" s="339"/>
      <c r="J4" s="340"/>
    </row>
    <row r="6" spans="1:10" ht="33" customHeight="1" thickBot="1"/>
    <row r="7" spans="1:10" ht="36.75" thickTop="1">
      <c r="A7" s="341" t="s">
        <v>90</v>
      </c>
      <c r="B7" s="341"/>
      <c r="C7" s="342" t="s">
        <v>91</v>
      </c>
      <c r="D7" s="343"/>
      <c r="E7" s="55" t="s">
        <v>92</v>
      </c>
      <c r="F7" s="55" t="s">
        <v>93</v>
      </c>
      <c r="G7" s="55" t="s">
        <v>94</v>
      </c>
      <c r="H7" s="55" t="s">
        <v>95</v>
      </c>
      <c r="I7" s="344" t="s">
        <v>96</v>
      </c>
      <c r="J7" s="345"/>
    </row>
    <row r="8" spans="1:10">
      <c r="A8" s="346">
        <v>95670781</v>
      </c>
      <c r="B8" s="346"/>
      <c r="C8" s="347">
        <v>44929</v>
      </c>
      <c r="D8" s="348"/>
      <c r="E8" s="107">
        <v>44930</v>
      </c>
      <c r="F8" s="154" t="s">
        <v>131</v>
      </c>
      <c r="G8" s="56"/>
      <c r="H8" s="56"/>
      <c r="I8" s="349"/>
      <c r="J8" s="350"/>
    </row>
    <row r="10" spans="1:10" ht="23.25" customHeight="1" thickBot="1"/>
    <row r="11" spans="1:10" ht="24.75" customHeight="1">
      <c r="A11" s="351" t="s">
        <v>98</v>
      </c>
      <c r="B11" s="351"/>
      <c r="C11" s="352" t="s">
        <v>99</v>
      </c>
      <c r="D11" s="353"/>
      <c r="E11" s="351" t="s">
        <v>100</v>
      </c>
      <c r="F11" s="351"/>
      <c r="G11" s="352" t="s">
        <v>101</v>
      </c>
      <c r="H11" s="353"/>
      <c r="I11" s="354" t="s">
        <v>102</v>
      </c>
      <c r="J11" s="354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58">
        <v>939</v>
      </c>
      <c r="H12" s="358"/>
      <c r="I12" s="359"/>
      <c r="J12" s="359"/>
    </row>
    <row r="13" spans="1:10">
      <c r="A13" s="360"/>
      <c r="B13" s="455"/>
      <c r="C13" s="455"/>
      <c r="D13" s="455"/>
      <c r="E13" s="455"/>
      <c r="F13" s="455"/>
      <c r="G13" s="455"/>
      <c r="H13" s="455"/>
      <c r="I13" s="455"/>
      <c r="J13" s="455"/>
    </row>
    <row r="15" spans="1:10" ht="13.5" thickBot="1"/>
    <row r="16" spans="1:10" ht="26.25" thickTop="1">
      <c r="A16" s="351" t="s">
        <v>104</v>
      </c>
      <c r="B16" s="351"/>
      <c r="C16" s="57" t="s">
        <v>105</v>
      </c>
      <c r="D16" s="58" t="s">
        <v>106</v>
      </c>
      <c r="E16" s="58" t="s">
        <v>48</v>
      </c>
      <c r="F16" s="58" t="s">
        <v>107</v>
      </c>
      <c r="G16" s="355" t="s">
        <v>108</v>
      </c>
      <c r="H16" s="355"/>
      <c r="I16" s="356" t="s">
        <v>109</v>
      </c>
      <c r="J16" s="357"/>
    </row>
    <row r="17" spans="1:12">
      <c r="A17" s="361" t="s">
        <v>110</v>
      </c>
      <c r="B17" s="362"/>
      <c r="C17" s="60">
        <v>22041530</v>
      </c>
      <c r="D17" s="60">
        <v>22035092</v>
      </c>
      <c r="E17" s="61">
        <f>MIN(C17-D17)</f>
        <v>6438</v>
      </c>
      <c r="F17" s="61">
        <f>+E17</f>
        <v>6438</v>
      </c>
      <c r="G17" s="363"/>
      <c r="H17" s="364"/>
      <c r="I17" s="363">
        <f>+E17</f>
        <v>6438</v>
      </c>
      <c r="J17" s="364"/>
    </row>
    <row r="18" spans="1:12">
      <c r="A18" s="361" t="s">
        <v>111</v>
      </c>
      <c r="B18" s="362"/>
      <c r="C18" s="60">
        <v>12916685</v>
      </c>
      <c r="D18" s="60">
        <v>12912809</v>
      </c>
      <c r="E18" s="61">
        <f>MIN(C18-D18)</f>
        <v>3876</v>
      </c>
      <c r="F18" s="61">
        <f>+E18</f>
        <v>3876</v>
      </c>
      <c r="G18" s="363"/>
      <c r="H18" s="364"/>
      <c r="I18" s="363">
        <f>+E18</f>
        <v>3876</v>
      </c>
      <c r="J18" s="364"/>
    </row>
    <row r="19" spans="1:12" ht="19.5">
      <c r="A19" s="361" t="s">
        <v>112</v>
      </c>
      <c r="B19" s="362"/>
      <c r="C19" s="60">
        <v>9670613</v>
      </c>
      <c r="D19" s="60">
        <v>9667626</v>
      </c>
      <c r="E19" s="61">
        <f>AVERAGE(C19-D19)</f>
        <v>2987</v>
      </c>
      <c r="F19" s="61">
        <f>+E19</f>
        <v>2987</v>
      </c>
      <c r="G19" s="363"/>
      <c r="H19" s="364"/>
      <c r="I19" s="363">
        <f>+E19</f>
        <v>2987</v>
      </c>
      <c r="J19" s="364"/>
      <c r="L19" s="167"/>
    </row>
    <row r="20" spans="1:12" ht="19.5">
      <c r="A20" s="365" t="s">
        <v>113</v>
      </c>
      <c r="B20" s="366"/>
      <c r="C20" s="62"/>
      <c r="D20" s="63"/>
      <c r="E20" s="62">
        <f>SUM(E17:E19)</f>
        <v>13301</v>
      </c>
      <c r="F20" s="64"/>
      <c r="G20" s="367"/>
      <c r="H20" s="368"/>
      <c r="I20" s="367"/>
      <c r="J20" s="368"/>
      <c r="L20" s="167"/>
    </row>
    <row r="21" spans="1:12">
      <c r="C21" s="104" t="s">
        <v>18</v>
      </c>
      <c r="D21" t="s">
        <v>114</v>
      </c>
      <c r="G21" s="369"/>
      <c r="H21" s="369"/>
    </row>
    <row r="22" spans="1:12" ht="13.5" thickBot="1">
      <c r="G22" s="370"/>
      <c r="H22" s="370"/>
    </row>
    <row r="23" spans="1:12" ht="13.5" thickTop="1">
      <c r="A23" s="371" t="s">
        <v>115</v>
      </c>
      <c r="B23" s="372"/>
      <c r="C23" s="373"/>
      <c r="D23" s="351" t="s">
        <v>116</v>
      </c>
      <c r="E23" s="351" t="s">
        <v>117</v>
      </c>
      <c r="F23" s="378" t="s">
        <v>118</v>
      </c>
      <c r="G23" s="380" t="s">
        <v>119</v>
      </c>
      <c r="H23" s="380"/>
      <c r="I23" s="381" t="s">
        <v>120</v>
      </c>
      <c r="J23" s="381"/>
    </row>
    <row r="24" spans="1:12">
      <c r="A24" s="374"/>
      <c r="B24" s="375"/>
      <c r="C24" s="376"/>
      <c r="D24" s="377"/>
      <c r="E24" s="377"/>
      <c r="F24" s="379"/>
      <c r="G24" s="155" t="s">
        <v>121</v>
      </c>
      <c r="H24" s="65" t="s">
        <v>122</v>
      </c>
      <c r="I24" s="381"/>
      <c r="J24" s="381"/>
    </row>
    <row r="25" spans="1:12" ht="15">
      <c r="A25" s="382" t="s">
        <v>123</v>
      </c>
      <c r="B25" s="383"/>
      <c r="C25" s="384"/>
      <c r="D25" s="61">
        <f>+E17</f>
        <v>6438</v>
      </c>
      <c r="E25" s="66">
        <v>0.95140000000000002</v>
      </c>
      <c r="F25" s="67">
        <f>PRODUCT(D25*E25)</f>
        <v>6125.1131999999998</v>
      </c>
      <c r="G25" s="142">
        <v>14</v>
      </c>
      <c r="H25" s="59">
        <f>PRODUCT(0.14,F25)</f>
        <v>857.51584800000001</v>
      </c>
      <c r="I25" s="385">
        <f>SUM(H25,F25)</f>
        <v>6982.6290479999998</v>
      </c>
      <c r="J25" s="386"/>
    </row>
    <row r="26" spans="1:12" ht="15">
      <c r="A26" s="387" t="s">
        <v>124</v>
      </c>
      <c r="B26" s="388"/>
      <c r="C26" s="389"/>
      <c r="D26" s="61">
        <f>+E18</f>
        <v>3876</v>
      </c>
      <c r="E26" s="68">
        <v>0.69850000000000001</v>
      </c>
      <c r="F26" s="67">
        <f>PRODUCT(D26*E26)</f>
        <v>2707.386</v>
      </c>
      <c r="G26">
        <v>14</v>
      </c>
      <c r="H26" s="61">
        <f>PRODUCT(0.14,F26)</f>
        <v>379.03404</v>
      </c>
      <c r="I26" s="385">
        <f t="shared" ref="I26:I31" si="0">SUM(H26,F26)</f>
        <v>3086.42004</v>
      </c>
      <c r="J26" s="386"/>
    </row>
    <row r="27" spans="1:12" ht="15">
      <c r="A27" s="387" t="s">
        <v>125</v>
      </c>
      <c r="B27" s="388"/>
      <c r="C27" s="389"/>
      <c r="D27" s="61">
        <f>+E19</f>
        <v>2987</v>
      </c>
      <c r="E27" s="68">
        <v>1.3304</v>
      </c>
      <c r="F27" s="67">
        <f>PRODUCT(D27*E27)</f>
        <v>3973.9048000000003</v>
      </c>
      <c r="G27">
        <v>14</v>
      </c>
      <c r="H27" s="61">
        <f>PRODUCT(0.14,F27)</f>
        <v>556.34667200000013</v>
      </c>
      <c r="I27" s="385">
        <f>SUM(H27,F27)</f>
        <v>4530.2514719999999</v>
      </c>
      <c r="J27" s="386"/>
    </row>
    <row r="28" spans="1:12" ht="15">
      <c r="A28" s="387" t="s">
        <v>126</v>
      </c>
      <c r="B28" s="388"/>
      <c r="C28" s="389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85">
        <f t="shared" si="0"/>
        <v>50025.103799999997</v>
      </c>
      <c r="J28" s="386"/>
    </row>
    <row r="29" spans="1:12" ht="15">
      <c r="A29" s="398" t="s">
        <v>127</v>
      </c>
      <c r="B29" s="399"/>
      <c r="C29" s="400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01">
        <f t="shared" si="0"/>
        <v>0</v>
      </c>
      <c r="J29" s="402"/>
    </row>
    <row r="30" spans="1:12" ht="15">
      <c r="A30" s="387" t="s">
        <v>128</v>
      </c>
      <c r="B30" s="388"/>
      <c r="C30" s="389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85">
        <f>SUM(H30,F30)</f>
        <v>1009.2</v>
      </c>
      <c r="J30" s="386"/>
    </row>
    <row r="31" spans="1:12" ht="15.75" thickBot="1">
      <c r="A31" s="390" t="s">
        <v>129</v>
      </c>
      <c r="B31" s="391"/>
      <c r="C31" s="392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85">
        <f t="shared" si="0"/>
        <v>1596.44</v>
      </c>
      <c r="J31" s="386"/>
    </row>
    <row r="32" spans="1:12" ht="21">
      <c r="A32" s="393" t="s">
        <v>130</v>
      </c>
      <c r="B32" s="394"/>
      <c r="C32" s="394"/>
      <c r="D32" s="394"/>
      <c r="E32" s="394"/>
      <c r="F32" s="78">
        <f>SUM(F25:F31)</f>
        <v>59021.074000000001</v>
      </c>
      <c r="G32" s="79"/>
      <c r="H32" s="80"/>
      <c r="I32" s="397">
        <f>SUM(I25:J31)</f>
        <v>67230.04436</v>
      </c>
      <c r="J32" s="397"/>
    </row>
    <row r="33" spans="1:10" ht="21.75" thickBot="1">
      <c r="A33" s="395"/>
      <c r="B33" s="396"/>
      <c r="C33" s="396"/>
      <c r="D33" s="396"/>
      <c r="E33" s="396"/>
      <c r="F33" s="81"/>
      <c r="G33" s="82"/>
      <c r="H33" s="83"/>
      <c r="I33" s="397"/>
      <c r="J33" s="39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3"/>
      <c r="B1" s="323" t="s">
        <v>132</v>
      </c>
      <c r="C1" s="324"/>
      <c r="D1" s="324"/>
      <c r="E1" s="324"/>
      <c r="F1" s="406" t="s">
        <v>88</v>
      </c>
      <c r="G1" s="407"/>
      <c r="H1" s="408"/>
    </row>
    <row r="2" spans="1:8" ht="15.75" customHeight="1" thickBot="1">
      <c r="A2" s="404"/>
      <c r="B2" s="325"/>
      <c r="C2" s="326"/>
      <c r="D2" s="326"/>
      <c r="E2" s="326"/>
      <c r="F2" s="409"/>
      <c r="G2" s="410"/>
      <c r="H2" s="411"/>
    </row>
    <row r="3" spans="1:8" ht="15" customHeight="1">
      <c r="A3" s="404"/>
      <c r="B3" s="325"/>
      <c r="C3" s="326"/>
      <c r="D3" s="326"/>
      <c r="E3" s="326"/>
      <c r="F3" s="406" t="s">
        <v>89</v>
      </c>
      <c r="G3" s="407"/>
      <c r="H3" s="408"/>
    </row>
    <row r="4" spans="1:8" ht="15.75" customHeight="1" thickBot="1">
      <c r="A4" s="405"/>
      <c r="B4" s="327"/>
      <c r="C4" s="328"/>
      <c r="D4" s="328"/>
      <c r="E4" s="328"/>
      <c r="F4" s="412"/>
      <c r="G4" s="413"/>
      <c r="H4" s="414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15" t="s">
        <v>116</v>
      </c>
      <c r="C10" s="416"/>
      <c r="D10" s="417" t="s">
        <v>138</v>
      </c>
      <c r="E10" s="417"/>
      <c r="F10" s="415" t="s">
        <v>139</v>
      </c>
      <c r="G10" s="418"/>
      <c r="H10" s="416"/>
    </row>
    <row r="11" spans="1:8" ht="15">
      <c r="A11" s="96" t="s">
        <v>140</v>
      </c>
      <c r="B11" s="419"/>
      <c r="C11" s="419"/>
      <c r="D11" s="419"/>
      <c r="E11" s="419"/>
      <c r="F11" s="419">
        <v>23</v>
      </c>
      <c r="G11" s="419"/>
      <c r="H11" s="419"/>
    </row>
    <row r="12" spans="1:8" ht="21">
      <c r="A12" s="420" t="s">
        <v>141</v>
      </c>
      <c r="B12" s="420"/>
      <c r="C12" s="420"/>
      <c r="D12" s="420"/>
      <c r="E12" s="420"/>
      <c r="F12" s="420"/>
      <c r="G12" s="420"/>
      <c r="H12" s="420"/>
    </row>
    <row r="13" spans="1:8" ht="15">
      <c r="A13" s="96" t="s">
        <v>142</v>
      </c>
      <c r="B13" s="419">
        <f>G8</f>
        <v>0</v>
      </c>
      <c r="C13" s="419"/>
      <c r="D13" s="419">
        <v>8.7899999999999991</v>
      </c>
      <c r="E13" s="419"/>
      <c r="F13" s="421">
        <f>PRODUCT(D13,B13)</f>
        <v>0</v>
      </c>
      <c r="G13" s="421"/>
      <c r="H13" s="421"/>
    </row>
    <row r="14" spans="1:8" ht="45" customHeight="1">
      <c r="A14" s="422" t="s">
        <v>143</v>
      </c>
      <c r="B14" s="422"/>
      <c r="C14" s="422"/>
      <c r="D14" s="422"/>
      <c r="E14" s="422"/>
      <c r="F14" s="422"/>
      <c r="G14" s="422"/>
      <c r="H14" s="422"/>
    </row>
    <row r="15" spans="1:8">
      <c r="A15" s="423"/>
      <c r="B15" s="423"/>
      <c r="C15" s="423"/>
      <c r="D15" s="423"/>
      <c r="E15" s="423"/>
      <c r="F15" s="423"/>
      <c r="G15" s="423"/>
      <c r="H15" s="423"/>
    </row>
    <row r="16" spans="1:8" ht="15">
      <c r="A16" s="97" t="s">
        <v>144</v>
      </c>
      <c r="B16" s="419">
        <v>0</v>
      </c>
      <c r="C16" s="419"/>
      <c r="D16" s="419">
        <v>0</v>
      </c>
      <c r="E16" s="419"/>
      <c r="F16" s="419">
        <f>PRODUCT(D16,B16)</f>
        <v>0</v>
      </c>
      <c r="G16" s="419"/>
      <c r="H16" s="419"/>
    </row>
    <row r="17" spans="1:8" ht="15">
      <c r="A17" s="97" t="s">
        <v>145</v>
      </c>
      <c r="B17" s="419">
        <v>0</v>
      </c>
      <c r="C17" s="419"/>
      <c r="D17" s="419">
        <v>0</v>
      </c>
      <c r="E17" s="419"/>
      <c r="F17" s="419">
        <f>PRODUCT(D17,B17)</f>
        <v>0</v>
      </c>
      <c r="G17" s="419"/>
      <c r="H17" s="419"/>
    </row>
    <row r="18" spans="1:8" ht="15">
      <c r="A18" s="97" t="s">
        <v>146</v>
      </c>
      <c r="B18" s="419">
        <v>0</v>
      </c>
      <c r="C18" s="419"/>
      <c r="D18" s="419">
        <v>0</v>
      </c>
      <c r="E18" s="419"/>
      <c r="F18" s="419">
        <f>PRODUCT(D18,B18)</f>
        <v>0</v>
      </c>
      <c r="G18" s="419"/>
      <c r="H18" s="419"/>
    </row>
    <row r="19" spans="1:8" ht="15">
      <c r="A19" s="97" t="s">
        <v>147</v>
      </c>
      <c r="B19" s="419">
        <f>G8</f>
        <v>0</v>
      </c>
      <c r="C19" s="419"/>
      <c r="D19" s="419">
        <v>2.61</v>
      </c>
      <c r="E19" s="419"/>
      <c r="F19" s="419">
        <f>PRODUCT(D19,B19)</f>
        <v>0</v>
      </c>
      <c r="G19" s="419"/>
      <c r="H19" s="419"/>
    </row>
    <row r="20" spans="1:8" ht="18.75">
      <c r="A20" s="435" t="s">
        <v>148</v>
      </c>
      <c r="B20" s="436"/>
      <c r="C20" s="436"/>
      <c r="D20" s="436"/>
      <c r="E20" s="437"/>
      <c r="F20" s="438">
        <f>SUM(F11+F13+F16+F17+F18+F19)</f>
        <v>23</v>
      </c>
      <c r="G20" s="438"/>
      <c r="H20" s="438"/>
    </row>
    <row r="21" spans="1:8" ht="15">
      <c r="A21" s="424" t="s">
        <v>149</v>
      </c>
      <c r="B21" s="425"/>
      <c r="C21" s="425"/>
      <c r="D21" s="425"/>
      <c r="E21" s="426"/>
      <c r="F21" s="419">
        <f>PRODUCT(F20,0.07)</f>
        <v>1.61</v>
      </c>
      <c r="G21" s="419"/>
      <c r="H21" s="419"/>
    </row>
    <row r="22" spans="1:8" ht="15">
      <c r="A22" s="456" t="s">
        <v>150</v>
      </c>
      <c r="B22" s="457"/>
      <c r="C22" s="457"/>
      <c r="D22" s="457"/>
      <c r="E22" s="458"/>
      <c r="F22" s="419">
        <v>208.26</v>
      </c>
      <c r="G22" s="419"/>
      <c r="H22" s="419"/>
    </row>
    <row r="23" spans="1:8" ht="15.75">
      <c r="A23" s="424" t="s">
        <v>151</v>
      </c>
      <c r="B23" s="425"/>
      <c r="C23" s="425"/>
      <c r="D23" s="425"/>
      <c r="E23" s="426"/>
      <c r="F23" s="427">
        <f>SUM(F21:H22)</f>
        <v>209.87</v>
      </c>
      <c r="G23" s="427"/>
      <c r="H23" s="427"/>
    </row>
    <row r="24" spans="1:8">
      <c r="A24" s="428" t="s">
        <v>152</v>
      </c>
      <c r="B24" s="429"/>
      <c r="C24" s="429"/>
      <c r="D24" s="429"/>
      <c r="E24" s="430"/>
      <c r="F24" s="434">
        <f>SUM(F20,F23)</f>
        <v>232.87</v>
      </c>
      <c r="G24" s="434"/>
      <c r="H24" s="434"/>
    </row>
    <row r="25" spans="1:8">
      <c r="A25" s="431"/>
      <c r="B25" s="432"/>
      <c r="C25" s="432"/>
      <c r="D25" s="432"/>
      <c r="E25" s="433"/>
      <c r="F25" s="434"/>
      <c r="G25" s="434"/>
      <c r="H25" s="43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N7" sqref="N7:Q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03"/>
      <c r="B1" s="323" t="s">
        <v>132</v>
      </c>
      <c r="C1" s="324"/>
      <c r="D1" s="324"/>
      <c r="E1" s="324"/>
      <c r="F1" s="406" t="s">
        <v>88</v>
      </c>
      <c r="G1" s="407"/>
      <c r="H1" s="408"/>
    </row>
    <row r="2" spans="1:14" ht="15.75" customHeight="1" thickBot="1">
      <c r="A2" s="404"/>
      <c r="B2" s="325"/>
      <c r="C2" s="326"/>
      <c r="D2" s="326"/>
      <c r="E2" s="326"/>
      <c r="F2" s="409"/>
      <c r="G2" s="410"/>
      <c r="H2" s="411"/>
    </row>
    <row r="3" spans="1:14" ht="15" customHeight="1">
      <c r="A3" s="404"/>
      <c r="B3" s="325"/>
      <c r="C3" s="326"/>
      <c r="D3" s="326"/>
      <c r="E3" s="326"/>
      <c r="F3" s="406" t="s">
        <v>89</v>
      </c>
      <c r="G3" s="407"/>
      <c r="H3" s="408"/>
    </row>
    <row r="4" spans="1:14" ht="15.75" customHeight="1" thickBot="1">
      <c r="A4" s="405"/>
      <c r="B4" s="327"/>
      <c r="C4" s="328"/>
      <c r="D4" s="328"/>
      <c r="E4" s="328"/>
      <c r="F4" s="412"/>
      <c r="G4" s="413"/>
      <c r="H4" s="414"/>
    </row>
    <row r="6" spans="1:14" ht="42.75" customHeight="1"/>
    <row r="7" spans="1:14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14" ht="15">
      <c r="A8" s="156"/>
      <c r="B8" s="89" t="s">
        <v>137</v>
      </c>
      <c r="C8" s="90">
        <v>180760</v>
      </c>
      <c r="D8" s="91">
        <v>44929</v>
      </c>
      <c r="E8" s="90">
        <v>180901</v>
      </c>
      <c r="F8" s="91">
        <v>44930</v>
      </c>
      <c r="G8" s="92">
        <f>E8-C8</f>
        <v>141</v>
      </c>
      <c r="H8" s="93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15" t="s">
        <v>116</v>
      </c>
      <c r="C10" s="416"/>
      <c r="D10" s="417" t="s">
        <v>138</v>
      </c>
      <c r="E10" s="417"/>
      <c r="F10" s="415" t="s">
        <v>139</v>
      </c>
      <c r="G10" s="418"/>
      <c r="H10" s="416"/>
    </row>
    <row r="11" spans="1:14" ht="15">
      <c r="A11" s="96" t="s">
        <v>140</v>
      </c>
      <c r="B11" s="419"/>
      <c r="C11" s="419"/>
      <c r="D11" s="419"/>
      <c r="E11" s="419"/>
      <c r="F11" s="419">
        <v>23</v>
      </c>
      <c r="G11" s="419"/>
      <c r="H11" s="419"/>
    </row>
    <row r="12" spans="1:14" ht="21">
      <c r="A12" s="420" t="s">
        <v>141</v>
      </c>
      <c r="B12" s="420"/>
      <c r="C12" s="420"/>
      <c r="D12" s="420"/>
      <c r="E12" s="420"/>
      <c r="F12" s="420"/>
      <c r="G12" s="420"/>
      <c r="H12" s="420"/>
    </row>
    <row r="13" spans="1:14" ht="15">
      <c r="A13" s="96" t="s">
        <v>142</v>
      </c>
      <c r="B13" s="419">
        <f>G8</f>
        <v>141</v>
      </c>
      <c r="C13" s="419"/>
      <c r="D13" s="419">
        <v>8.5</v>
      </c>
      <c r="E13" s="419"/>
      <c r="F13" s="421">
        <f>PRODUCT(D13,B13)</f>
        <v>1198.5</v>
      </c>
      <c r="G13" s="421"/>
      <c r="H13" s="421"/>
    </row>
    <row r="14" spans="1:14" ht="45" customHeight="1">
      <c r="A14" s="422" t="s">
        <v>143</v>
      </c>
      <c r="B14" s="422"/>
      <c r="C14" s="422"/>
      <c r="D14" s="422"/>
      <c r="E14" s="422"/>
      <c r="F14" s="422"/>
      <c r="G14" s="422"/>
      <c r="H14" s="422"/>
      <c r="M14" s="167"/>
      <c r="N14" s="167"/>
    </row>
    <row r="15" spans="1:14" ht="19.5">
      <c r="A15" s="423"/>
      <c r="B15" s="423"/>
      <c r="C15" s="423"/>
      <c r="D15" s="423"/>
      <c r="E15" s="423"/>
      <c r="F15" s="423"/>
      <c r="G15" s="423"/>
      <c r="H15" s="423"/>
      <c r="M15" s="167"/>
      <c r="N15" s="167"/>
    </row>
    <row r="16" spans="1:14" ht="15">
      <c r="A16" s="97" t="s">
        <v>144</v>
      </c>
      <c r="B16" s="419">
        <v>0</v>
      </c>
      <c r="C16" s="419"/>
      <c r="D16" s="419">
        <v>0</v>
      </c>
      <c r="E16" s="419"/>
      <c r="F16" s="419">
        <f>PRODUCT(D16,B16)</f>
        <v>0</v>
      </c>
      <c r="G16" s="419"/>
      <c r="H16" s="419"/>
    </row>
    <row r="17" spans="1:8" ht="15">
      <c r="A17" s="97" t="s">
        <v>145</v>
      </c>
      <c r="B17" s="419">
        <v>0</v>
      </c>
      <c r="C17" s="419"/>
      <c r="D17" s="419">
        <v>0</v>
      </c>
      <c r="E17" s="419"/>
      <c r="F17" s="419">
        <f>PRODUCT(D17,B17)</f>
        <v>0</v>
      </c>
      <c r="G17" s="419"/>
      <c r="H17" s="419"/>
    </row>
    <row r="18" spans="1:8" ht="15">
      <c r="A18" s="97" t="s">
        <v>146</v>
      </c>
      <c r="B18" s="419">
        <v>0</v>
      </c>
      <c r="C18" s="419"/>
      <c r="D18" s="419">
        <v>0</v>
      </c>
      <c r="E18" s="419"/>
      <c r="F18" s="419">
        <f>PRODUCT(D18,B18)</f>
        <v>0</v>
      </c>
      <c r="G18" s="419"/>
      <c r="H18" s="419"/>
    </row>
    <row r="19" spans="1:8" ht="15">
      <c r="A19" s="97" t="s">
        <v>147</v>
      </c>
      <c r="B19" s="419">
        <v>0</v>
      </c>
      <c r="C19" s="419"/>
      <c r="D19" s="439">
        <v>0</v>
      </c>
      <c r="E19" s="440"/>
      <c r="F19" s="439">
        <v>0</v>
      </c>
      <c r="G19" s="440"/>
      <c r="H19" s="156"/>
    </row>
    <row r="20" spans="1:8" ht="15">
      <c r="A20" s="97" t="s">
        <v>153</v>
      </c>
      <c r="B20" s="419">
        <f>G8</f>
        <v>141</v>
      </c>
      <c r="C20" s="419"/>
      <c r="D20" s="419">
        <v>2.54</v>
      </c>
      <c r="E20" s="419"/>
      <c r="F20" s="419">
        <f>PRODUCT(D20,B20)</f>
        <v>358.14</v>
      </c>
      <c r="G20" s="419"/>
      <c r="H20" s="419"/>
    </row>
    <row r="21" spans="1:8" ht="18.75">
      <c r="A21" s="435" t="s">
        <v>148</v>
      </c>
      <c r="B21" s="436"/>
      <c r="C21" s="436"/>
      <c r="D21" s="436"/>
      <c r="E21" s="437"/>
      <c r="F21" s="438">
        <f>SUM(F11+F13+F16+F17+F18+F20)</f>
        <v>1579.6399999999999</v>
      </c>
      <c r="G21" s="438"/>
      <c r="H21" s="438"/>
    </row>
    <row r="22" spans="1:8" ht="15">
      <c r="A22" s="424" t="s">
        <v>149</v>
      </c>
      <c r="B22" s="425"/>
      <c r="C22" s="425"/>
      <c r="D22" s="425"/>
      <c r="E22" s="426"/>
      <c r="F22" s="419">
        <f>PRODUCT(F21,0.07)</f>
        <v>110.5748</v>
      </c>
      <c r="G22" s="419"/>
      <c r="H22" s="419"/>
    </row>
    <row r="23" spans="1:8" ht="15">
      <c r="A23" s="456" t="s">
        <v>150</v>
      </c>
      <c r="B23" s="457"/>
      <c r="C23" s="457"/>
      <c r="D23" s="457"/>
      <c r="E23" s="458"/>
      <c r="F23" s="419">
        <v>208.26</v>
      </c>
      <c r="G23" s="419"/>
      <c r="H23" s="419"/>
    </row>
    <row r="24" spans="1:8" ht="15.75">
      <c r="A24" s="424" t="s">
        <v>151</v>
      </c>
      <c r="B24" s="425"/>
      <c r="C24" s="425"/>
      <c r="D24" s="425"/>
      <c r="E24" s="426"/>
      <c r="F24" s="427">
        <f>SUM(F22:H23)</f>
        <v>318.83479999999997</v>
      </c>
      <c r="G24" s="427"/>
      <c r="H24" s="427"/>
    </row>
    <row r="25" spans="1:8">
      <c r="A25" s="428" t="s">
        <v>152</v>
      </c>
      <c r="B25" s="429"/>
      <c r="C25" s="429"/>
      <c r="D25" s="429"/>
      <c r="E25" s="430"/>
      <c r="F25" s="434">
        <f>SUM(F21,F24)</f>
        <v>1898.4748</v>
      </c>
      <c r="G25" s="434"/>
      <c r="H25" s="434"/>
    </row>
    <row r="26" spans="1:8">
      <c r="A26" s="431"/>
      <c r="B26" s="432"/>
      <c r="C26" s="432"/>
      <c r="D26" s="432"/>
      <c r="E26" s="433"/>
      <c r="F26" s="434"/>
      <c r="G26" s="434"/>
      <c r="H26" s="43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O14" sqref="O14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3"/>
      <c r="B1" s="323" t="s">
        <v>154</v>
      </c>
      <c r="C1" s="324"/>
      <c r="D1" s="324"/>
      <c r="E1" s="324"/>
      <c r="F1" s="406" t="s">
        <v>88</v>
      </c>
      <c r="G1" s="407"/>
      <c r="H1" s="408"/>
    </row>
    <row r="2" spans="1:8" ht="15.75" customHeight="1" thickBot="1">
      <c r="A2" s="404"/>
      <c r="B2" s="325"/>
      <c r="C2" s="326"/>
      <c r="D2" s="326"/>
      <c r="E2" s="326"/>
      <c r="F2" s="409"/>
      <c r="G2" s="410"/>
      <c r="H2" s="411"/>
    </row>
    <row r="3" spans="1:8" ht="15" customHeight="1">
      <c r="A3" s="404"/>
      <c r="B3" s="325"/>
      <c r="C3" s="326"/>
      <c r="D3" s="326"/>
      <c r="E3" s="326"/>
      <c r="F3" s="406" t="s">
        <v>89</v>
      </c>
      <c r="G3" s="407"/>
      <c r="H3" s="408"/>
    </row>
    <row r="4" spans="1:8" ht="15.75" customHeight="1" thickBot="1">
      <c r="A4" s="405"/>
      <c r="B4" s="327"/>
      <c r="C4" s="328"/>
      <c r="D4" s="328"/>
      <c r="E4" s="328"/>
      <c r="F4" s="412"/>
      <c r="G4" s="413"/>
      <c r="H4" s="414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44929</v>
      </c>
      <c r="E8" s="90">
        <v>2594</v>
      </c>
      <c r="F8" s="91">
        <v>44930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15" t="s">
        <v>116</v>
      </c>
      <c r="C10" s="416"/>
      <c r="D10" s="417" t="s">
        <v>138</v>
      </c>
      <c r="E10" s="417"/>
      <c r="F10" s="415" t="s">
        <v>139</v>
      </c>
      <c r="G10" s="418"/>
      <c r="H10" s="416"/>
    </row>
    <row r="11" spans="1:8" ht="15">
      <c r="A11" s="96" t="s">
        <v>140</v>
      </c>
      <c r="B11" s="419"/>
      <c r="C11" s="419"/>
      <c r="D11" s="419"/>
      <c r="E11" s="419"/>
      <c r="F11" s="419">
        <v>15</v>
      </c>
      <c r="G11" s="419"/>
      <c r="H11" s="419"/>
    </row>
    <row r="12" spans="1:8" ht="21">
      <c r="A12" s="420" t="s">
        <v>141</v>
      </c>
      <c r="B12" s="420"/>
      <c r="C12" s="420"/>
      <c r="D12" s="420"/>
      <c r="E12" s="420"/>
      <c r="F12" s="420"/>
      <c r="G12" s="420"/>
      <c r="H12" s="420"/>
    </row>
    <row r="13" spans="1:8" ht="15">
      <c r="A13" s="96" t="s">
        <v>155</v>
      </c>
      <c r="B13" s="419">
        <f>G8</f>
        <v>0</v>
      </c>
      <c r="C13" s="419"/>
      <c r="D13" s="419">
        <v>16.48</v>
      </c>
      <c r="E13" s="419"/>
      <c r="F13" s="421">
        <f>PRODUCT(D13,B13)</f>
        <v>0</v>
      </c>
      <c r="G13" s="421"/>
      <c r="H13" s="421"/>
    </row>
    <row r="14" spans="1:8" ht="15">
      <c r="A14" s="96" t="s">
        <v>156</v>
      </c>
      <c r="B14" s="439"/>
      <c r="C14" s="440"/>
      <c r="D14" s="439"/>
      <c r="E14" s="440"/>
      <c r="F14" s="439"/>
      <c r="G14" s="440"/>
      <c r="H14" s="105"/>
    </row>
    <row r="15" spans="1:8" ht="15">
      <c r="A15" s="96" t="s">
        <v>157</v>
      </c>
      <c r="B15" s="439"/>
      <c r="C15" s="440"/>
      <c r="D15" s="439"/>
      <c r="E15" s="440"/>
      <c r="F15" s="439"/>
      <c r="G15" s="440"/>
      <c r="H15" s="105"/>
    </row>
    <row r="16" spans="1:8" ht="15">
      <c r="A16" s="96" t="s">
        <v>158</v>
      </c>
      <c r="B16" s="439"/>
      <c r="C16" s="440"/>
      <c r="D16" s="439"/>
      <c r="E16" s="440"/>
      <c r="F16" s="439"/>
      <c r="G16" s="440"/>
      <c r="H16" s="105"/>
    </row>
    <row r="17" spans="1:8" ht="15">
      <c r="A17" s="96" t="s">
        <v>159</v>
      </c>
      <c r="B17" s="439"/>
      <c r="C17" s="440"/>
      <c r="D17" s="439"/>
      <c r="E17" s="440"/>
      <c r="F17" s="439"/>
      <c r="G17" s="440"/>
      <c r="H17" s="105"/>
    </row>
    <row r="18" spans="1:8" ht="45" customHeight="1">
      <c r="A18" s="422" t="s">
        <v>143</v>
      </c>
      <c r="B18" s="422"/>
      <c r="C18" s="422"/>
      <c r="D18" s="422"/>
      <c r="E18" s="422"/>
      <c r="F18" s="422"/>
      <c r="G18" s="422"/>
      <c r="H18" s="422"/>
    </row>
    <row r="19" spans="1:8">
      <c r="A19" s="423"/>
      <c r="B19" s="423"/>
      <c r="C19" s="423"/>
      <c r="D19" s="423"/>
      <c r="E19" s="423"/>
      <c r="F19" s="423"/>
      <c r="G19" s="423"/>
      <c r="H19" s="423"/>
    </row>
    <row r="20" spans="1:8" ht="15">
      <c r="A20" s="97" t="s">
        <v>144</v>
      </c>
      <c r="B20" s="419">
        <v>0</v>
      </c>
      <c r="C20" s="419"/>
      <c r="D20" s="419">
        <v>0</v>
      </c>
      <c r="E20" s="419"/>
      <c r="F20" s="419">
        <f>PRODUCT(D20,B20)</f>
        <v>0</v>
      </c>
      <c r="G20" s="419"/>
      <c r="H20" s="419"/>
    </row>
    <row r="21" spans="1:8" ht="15">
      <c r="A21" s="97" t="s">
        <v>145</v>
      </c>
      <c r="B21" s="419">
        <v>0</v>
      </c>
      <c r="C21" s="419"/>
      <c r="D21" s="419">
        <v>0</v>
      </c>
      <c r="E21" s="419"/>
      <c r="F21" s="419">
        <f>PRODUCT(D21,B21)</f>
        <v>0</v>
      </c>
      <c r="G21" s="419"/>
      <c r="H21" s="419"/>
    </row>
    <row r="22" spans="1:8" ht="15">
      <c r="A22" s="97" t="s">
        <v>146</v>
      </c>
      <c r="B22" s="419">
        <v>0</v>
      </c>
      <c r="C22" s="419"/>
      <c r="D22" s="419">
        <v>0</v>
      </c>
      <c r="E22" s="419"/>
      <c r="F22" s="419">
        <f>PRODUCT(D22,B22)</f>
        <v>0</v>
      </c>
      <c r="G22" s="419"/>
      <c r="H22" s="419"/>
    </row>
    <row r="23" spans="1:8" ht="15">
      <c r="A23" s="97" t="s">
        <v>147</v>
      </c>
      <c r="B23" s="419">
        <f>G8</f>
        <v>0</v>
      </c>
      <c r="C23" s="419"/>
      <c r="D23" s="419">
        <v>0</v>
      </c>
      <c r="E23" s="419"/>
      <c r="F23" s="419">
        <f>PRODUCT(D23,B23)</f>
        <v>0</v>
      </c>
      <c r="G23" s="419"/>
      <c r="H23" s="419"/>
    </row>
    <row r="24" spans="1:8" ht="15">
      <c r="A24" s="97" t="s">
        <v>153</v>
      </c>
      <c r="B24" s="439">
        <v>0</v>
      </c>
      <c r="C24" s="440"/>
      <c r="D24" s="439">
        <v>2.54</v>
      </c>
      <c r="E24" s="440"/>
      <c r="F24" s="439">
        <f>B24*D24</f>
        <v>0</v>
      </c>
      <c r="G24" s="440"/>
      <c r="H24" s="156"/>
    </row>
    <row r="25" spans="1:8" ht="18.75">
      <c r="A25" s="435" t="s">
        <v>148</v>
      </c>
      <c r="B25" s="436"/>
      <c r="C25" s="436"/>
      <c r="D25" s="436"/>
      <c r="E25" s="437"/>
      <c r="F25" s="441">
        <f>SUM(F11+F13+F20+F21+F22+F23)</f>
        <v>15</v>
      </c>
      <c r="G25" s="438"/>
      <c r="H25" s="438"/>
    </row>
    <row r="26" spans="1:8" ht="15">
      <c r="A26" s="424" t="s">
        <v>149</v>
      </c>
      <c r="B26" s="425"/>
      <c r="C26" s="425"/>
      <c r="D26" s="425"/>
      <c r="E26" s="426"/>
      <c r="F26" s="419">
        <v>63.63</v>
      </c>
      <c r="G26" s="419"/>
      <c r="H26" s="419"/>
    </row>
    <row r="27" spans="1:8" ht="15">
      <c r="A27" s="456" t="s">
        <v>150</v>
      </c>
      <c r="B27" s="457"/>
      <c r="C27" s="457"/>
      <c r="D27" s="457"/>
      <c r="E27" s="458"/>
      <c r="F27" s="419">
        <v>2.4300000000000002</v>
      </c>
      <c r="G27" s="419"/>
      <c r="H27" s="419"/>
    </row>
    <row r="28" spans="1:8" ht="15.75">
      <c r="A28" s="424" t="s">
        <v>151</v>
      </c>
      <c r="B28" s="425"/>
      <c r="C28" s="425"/>
      <c r="D28" s="425"/>
      <c r="E28" s="426"/>
      <c r="F28" s="427">
        <f>SUM(F26:H27)</f>
        <v>66.06</v>
      </c>
      <c r="G28" s="427"/>
      <c r="H28" s="427"/>
    </row>
    <row r="29" spans="1:8">
      <c r="A29" s="428" t="s">
        <v>152</v>
      </c>
      <c r="B29" s="429"/>
      <c r="C29" s="429"/>
      <c r="D29" s="429"/>
      <c r="E29" s="430"/>
      <c r="F29" s="434">
        <f>SUM(F25,F28)</f>
        <v>81.06</v>
      </c>
      <c r="G29" s="434"/>
      <c r="H29" s="434"/>
    </row>
    <row r="30" spans="1:8">
      <c r="A30" s="431"/>
      <c r="B30" s="432"/>
      <c r="C30" s="432"/>
      <c r="D30" s="432"/>
      <c r="E30" s="433"/>
      <c r="F30" s="434"/>
      <c r="G30" s="434"/>
      <c r="H30" s="43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A13" zoomScaleNormal="100" workbookViewId="0">
      <selection activeCell="O31" sqref="O31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42" t="s">
        <v>160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4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48"/>
      <c r="D8" s="449"/>
      <c r="E8" s="449"/>
      <c r="F8" s="449"/>
      <c r="G8" s="449"/>
      <c r="H8" s="449"/>
      <c r="I8" s="449"/>
      <c r="J8" s="449"/>
      <c r="K8" s="450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1" t="s">
        <v>179</v>
      </c>
      <c r="C14" s="169">
        <v>239911</v>
      </c>
      <c r="D14" s="169">
        <v>247692</v>
      </c>
      <c r="E14" s="169">
        <v>242350</v>
      </c>
      <c r="F14" s="169">
        <v>282564</v>
      </c>
      <c r="G14" s="169">
        <v>272836</v>
      </c>
      <c r="H14" s="169">
        <v>362809</v>
      </c>
      <c r="I14" s="169">
        <v>454598</v>
      </c>
      <c r="J14" s="169">
        <v>470109</v>
      </c>
      <c r="K14" s="169">
        <v>458455</v>
      </c>
      <c r="L14" s="169">
        <v>444199</v>
      </c>
      <c r="M14" s="169">
        <v>374528</v>
      </c>
      <c r="N14" s="169">
        <v>256419</v>
      </c>
    </row>
    <row r="15" spans="2:14" ht="33.75" customHeight="1">
      <c r="B15" s="172" t="s">
        <v>180</v>
      </c>
      <c r="C15" s="180">
        <v>206479</v>
      </c>
      <c r="D15" s="180">
        <v>244783</v>
      </c>
      <c r="E15" s="180">
        <v>316387</v>
      </c>
      <c r="F15" s="180">
        <v>353545</v>
      </c>
      <c r="G15" s="180">
        <v>452426</v>
      </c>
      <c r="H15" s="180">
        <v>581939</v>
      </c>
      <c r="I15" s="180">
        <v>601486</v>
      </c>
      <c r="J15" s="180">
        <v>639044</v>
      </c>
      <c r="K15" s="180">
        <v>590667</v>
      </c>
      <c r="L15" s="180">
        <v>522652</v>
      </c>
      <c r="M15" s="180">
        <v>477601</v>
      </c>
      <c r="N15" s="180">
        <v>407006</v>
      </c>
    </row>
    <row r="16" spans="2:14" ht="33.75" customHeight="1">
      <c r="B16" s="179" t="s">
        <v>181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</row>
    <row r="17" spans="2:14" ht="21" thickBot="1">
      <c r="C17" s="445" t="s">
        <v>182</v>
      </c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7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48"/>
      <c r="D20" s="449"/>
      <c r="E20" s="449"/>
      <c r="F20" s="449"/>
      <c r="G20" s="449"/>
      <c r="H20" s="449"/>
      <c r="I20" s="449"/>
      <c r="J20" s="449"/>
      <c r="K20" s="450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3" t="s">
        <v>178</v>
      </c>
      <c r="C25" s="169">
        <v>445089.4596</v>
      </c>
      <c r="D25" s="169">
        <v>464838.33001999994</v>
      </c>
      <c r="E25" s="169">
        <v>310234.47700000001</v>
      </c>
      <c r="F25" s="169">
        <v>132086.1189</v>
      </c>
      <c r="G25" s="169">
        <v>81934.237999999998</v>
      </c>
      <c r="H25" s="169">
        <v>88016.122900000017</v>
      </c>
      <c r="I25" s="169">
        <v>290744.43883500004</v>
      </c>
      <c r="J25" s="169">
        <v>372885.53719999996</v>
      </c>
      <c r="K25" s="169">
        <v>328998.32740000001</v>
      </c>
      <c r="L25" s="169">
        <v>350713.83590000001</v>
      </c>
      <c r="M25" s="169">
        <v>329624.08839999995</v>
      </c>
      <c r="N25" s="169">
        <v>294931.19809999998</v>
      </c>
    </row>
    <row r="26" spans="2:14" ht="32.25" customHeight="1">
      <c r="B26" s="170" t="s">
        <v>179</v>
      </c>
      <c r="C26" s="168">
        <v>274561.56439999997</v>
      </c>
      <c r="D26" s="168">
        <v>283692.47039999999</v>
      </c>
      <c r="E26" s="168">
        <v>278888.13439999998</v>
      </c>
      <c r="F26" s="168">
        <v>318224.91959999996</v>
      </c>
      <c r="G26" s="168">
        <v>309500.67789999995</v>
      </c>
      <c r="H26" s="168">
        <v>396582.05849999998</v>
      </c>
      <c r="I26" s="168">
        <v>498105.10527500004</v>
      </c>
      <c r="J26" s="168">
        <v>506423.32253</v>
      </c>
      <c r="K26" s="168">
        <v>486424.27340000001</v>
      </c>
      <c r="L26" s="168">
        <v>473503.95079999999</v>
      </c>
      <c r="M26" s="168">
        <v>403992.3469</v>
      </c>
      <c r="N26" s="168">
        <v>289205.48600000003</v>
      </c>
    </row>
    <row r="27" spans="2:14" ht="32.25" customHeight="1">
      <c r="B27" s="172" t="s">
        <v>180</v>
      </c>
      <c r="C27" s="188">
        <v>2409951822</v>
      </c>
      <c r="D27" s="188">
        <v>278597258</v>
      </c>
      <c r="E27" s="188">
        <v>3487476564</v>
      </c>
      <c r="F27" s="188">
        <v>3872201852</v>
      </c>
      <c r="G27" s="188">
        <v>4911719801</v>
      </c>
      <c r="H27" s="188">
        <v>6329563352</v>
      </c>
      <c r="I27" s="188">
        <v>654067568</v>
      </c>
      <c r="J27" s="188">
        <v>6896504079</v>
      </c>
      <c r="K27" s="188">
        <v>6387547041</v>
      </c>
      <c r="L27" s="188">
        <v>5509722905</v>
      </c>
      <c r="M27" s="188">
        <v>3669799236</v>
      </c>
      <c r="N27" s="180">
        <v>435638.13629999995</v>
      </c>
    </row>
    <row r="28" spans="2:14" ht="32.25" customHeight="1">
      <c r="B28" s="179" t="s">
        <v>181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7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2" t="s">
        <v>183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2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48"/>
      <c r="D8" s="449"/>
      <c r="E8" s="449"/>
      <c r="F8" s="449"/>
      <c r="G8" s="449"/>
      <c r="H8" s="449"/>
      <c r="I8" s="449"/>
      <c r="J8" s="449"/>
      <c r="K8" s="450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9">
        <v>2083.1999999999971</v>
      </c>
      <c r="D14" s="169">
        <v>2115.3000000000029</v>
      </c>
      <c r="E14" s="169">
        <v>2406.3000000000029</v>
      </c>
      <c r="F14" s="169">
        <v>2166.1999999999971</v>
      </c>
      <c r="G14" s="169">
        <v>2527.1999999999971</v>
      </c>
      <c r="H14" s="169">
        <v>2925.2000000000116</v>
      </c>
      <c r="I14" s="169">
        <v>3819.2999999999884</v>
      </c>
      <c r="J14" s="169">
        <v>3510.1000000000058</v>
      </c>
      <c r="K14" s="169">
        <v>3086.1999999999971</v>
      </c>
      <c r="L14" s="169">
        <v>3330.5</v>
      </c>
      <c r="M14" s="169">
        <v>2932.1999999999971</v>
      </c>
      <c r="N14" s="169">
        <v>2091.1000000000058</v>
      </c>
    </row>
    <row r="15" spans="2:14" ht="33.75" customHeight="1">
      <c r="B15" s="182" t="s">
        <v>180</v>
      </c>
      <c r="C15" s="180" t="s">
        <v>184</v>
      </c>
      <c r="D15" s="180" t="s">
        <v>185</v>
      </c>
      <c r="E15" s="180">
        <v>3842</v>
      </c>
      <c r="F15" s="180">
        <v>3393</v>
      </c>
      <c r="G15" s="180" t="s">
        <v>186</v>
      </c>
      <c r="H15" s="180" t="s">
        <v>187</v>
      </c>
      <c r="I15" s="180">
        <v>5359</v>
      </c>
      <c r="J15" s="180" t="s">
        <v>188</v>
      </c>
      <c r="K15" s="180" t="s">
        <v>189</v>
      </c>
      <c r="L15" s="180" t="s">
        <v>190</v>
      </c>
      <c r="M15" s="180"/>
      <c r="N15" s="180">
        <v>4007</v>
      </c>
    </row>
    <row r="16" spans="2:14" ht="33.75" customHeight="1">
      <c r="B16" s="181" t="s">
        <v>181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</row>
    <row r="17" spans="2:14" ht="21" thickBot="1">
      <c r="C17" s="445" t="s">
        <v>191</v>
      </c>
      <c r="D17" s="453"/>
      <c r="E17" s="453"/>
      <c r="F17" s="453"/>
      <c r="G17" s="453"/>
      <c r="H17" s="453"/>
      <c r="I17" s="453"/>
      <c r="J17" s="453"/>
      <c r="K17" s="453"/>
      <c r="L17" s="453"/>
      <c r="M17" s="453"/>
      <c r="N17" s="454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48"/>
      <c r="D20" s="449"/>
      <c r="E20" s="449"/>
      <c r="F20" s="449"/>
      <c r="G20" s="449"/>
      <c r="H20" s="449"/>
      <c r="I20" s="449"/>
      <c r="J20" s="449"/>
      <c r="K20" s="450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1" t="s">
        <v>179</v>
      </c>
      <c r="C26" s="169">
        <v>23771.479999999963</v>
      </c>
      <c r="D26" s="169">
        <v>24137.420000000031</v>
      </c>
      <c r="E26" s="169">
        <v>27454.820000000029</v>
      </c>
      <c r="F26" s="169">
        <v>24717.679999999964</v>
      </c>
      <c r="G26" s="169">
        <v>28833.079999999962</v>
      </c>
      <c r="H26" s="169">
        <v>33370.28000000013</v>
      </c>
      <c r="I26" s="169">
        <v>43563.019999999866</v>
      </c>
      <c r="J26" s="169">
        <v>40038.140000000065</v>
      </c>
      <c r="K26" s="169">
        <v>35205.679999999964</v>
      </c>
      <c r="L26" s="169">
        <v>37990.699999999997</v>
      </c>
      <c r="M26" s="169">
        <v>33450.079999999965</v>
      </c>
      <c r="N26" s="169">
        <v>23861.540000000066</v>
      </c>
    </row>
    <row r="27" spans="2:14" ht="32.25" customHeight="1">
      <c r="B27" s="172" t="s">
        <v>180</v>
      </c>
      <c r="C27" s="180" t="s">
        <v>192</v>
      </c>
      <c r="D27" s="180" t="s">
        <v>193</v>
      </c>
      <c r="E27" s="180" t="s">
        <v>194</v>
      </c>
      <c r="F27" s="180" t="s">
        <v>195</v>
      </c>
      <c r="G27" s="180" t="s">
        <v>196</v>
      </c>
      <c r="H27" s="180" t="s">
        <v>197</v>
      </c>
      <c r="I27" s="180" t="s">
        <v>198</v>
      </c>
      <c r="J27" s="180" t="s">
        <v>199</v>
      </c>
      <c r="K27" s="180" t="s">
        <v>200</v>
      </c>
      <c r="L27" s="180" t="s">
        <v>201</v>
      </c>
      <c r="M27" s="180"/>
      <c r="N27" s="180">
        <v>45702.8</v>
      </c>
    </row>
    <row r="28" spans="2:14" ht="32.25" customHeight="1">
      <c r="B28" s="183" t="s">
        <v>181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2" t="s">
        <v>202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4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48"/>
      <c r="D8" s="449"/>
      <c r="E8" s="449"/>
      <c r="F8" s="449"/>
      <c r="G8" s="449"/>
      <c r="H8" s="449"/>
      <c r="I8" s="449"/>
      <c r="J8" s="449"/>
      <c r="K8" s="450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1" t="s">
        <v>179</v>
      </c>
      <c r="C14" s="169">
        <v>16222.314</v>
      </c>
      <c r="D14" s="169">
        <v>13578.901</v>
      </c>
      <c r="E14" s="169">
        <v>18500.717000000001</v>
      </c>
      <c r="F14" s="169">
        <v>11555.476000000001</v>
      </c>
      <c r="G14" s="169">
        <v>10801.651</v>
      </c>
      <c r="H14" s="169">
        <v>13800.552000000001</v>
      </c>
      <c r="I14" s="169">
        <v>9448.469000000001</v>
      </c>
      <c r="J14" s="169">
        <v>8828.4809999999998</v>
      </c>
      <c r="K14" s="169">
        <v>11498.344000000001</v>
      </c>
      <c r="L14" s="169">
        <v>11280.396000000001</v>
      </c>
      <c r="M14" s="169">
        <v>20677.552</v>
      </c>
      <c r="N14" s="169">
        <v>12106.165000000001</v>
      </c>
    </row>
    <row r="15" spans="2:14" ht="36.75" customHeight="1">
      <c r="B15" s="184" t="s">
        <v>180</v>
      </c>
      <c r="C15" s="189">
        <v>8859163</v>
      </c>
      <c r="D15" s="189">
        <v>13938621</v>
      </c>
      <c r="E15" s="168">
        <v>316387</v>
      </c>
      <c r="F15" s="189">
        <v>23168613</v>
      </c>
      <c r="G15" s="168" t="s">
        <v>203</v>
      </c>
      <c r="H15" s="168" t="s">
        <v>187</v>
      </c>
      <c r="I15" s="189">
        <v>6726235</v>
      </c>
      <c r="J15" s="189">
        <v>9206716</v>
      </c>
      <c r="K15" s="189">
        <v>11550186</v>
      </c>
      <c r="L15" s="168" t="s">
        <v>18</v>
      </c>
      <c r="M15" s="168"/>
      <c r="N15" s="168"/>
    </row>
    <row r="16" spans="2:14" ht="36.75" customHeight="1">
      <c r="B16" s="185" t="s">
        <v>181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</row>
    <row r="17" spans="2:14" ht="21" thickBot="1">
      <c r="C17" s="445" t="s">
        <v>204</v>
      </c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7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48"/>
      <c r="D20" s="449"/>
      <c r="E20" s="449"/>
      <c r="F20" s="449"/>
      <c r="G20" s="449"/>
      <c r="H20" s="449"/>
      <c r="I20" s="449"/>
      <c r="J20" s="449"/>
      <c r="K20" s="450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9">
        <v>175249.65814200003</v>
      </c>
      <c r="D26" s="169">
        <v>133357.0288309</v>
      </c>
      <c r="E26" s="169">
        <v>160956.23789999998</v>
      </c>
      <c r="F26" s="169">
        <v>100532.6412</v>
      </c>
      <c r="G26" s="169">
        <v>93974.363699999987</v>
      </c>
      <c r="H26" s="169">
        <v>120064.8024</v>
      </c>
      <c r="I26" s="169">
        <v>79461.624290000007</v>
      </c>
      <c r="J26" s="169">
        <v>84841.702409999998</v>
      </c>
      <c r="K26" s="169">
        <v>114580.99796000001</v>
      </c>
      <c r="L26" s="169">
        <v>126919.11951480001</v>
      </c>
      <c r="M26" s="169">
        <v>216928.19803199999</v>
      </c>
      <c r="N26" s="169">
        <v>140007.79822500001</v>
      </c>
    </row>
    <row r="27" spans="2:14" ht="36.75" customHeight="1">
      <c r="B27" s="186" t="s">
        <v>180</v>
      </c>
      <c r="C27" s="189">
        <v>1024562201</v>
      </c>
      <c r="D27" s="189">
        <v>1643363416</v>
      </c>
      <c r="E27" s="189">
        <v>3487476564</v>
      </c>
      <c r="F27" s="189">
        <v>3160198813</v>
      </c>
      <c r="G27" s="189">
        <v>181075113</v>
      </c>
      <c r="H27" s="168"/>
      <c r="I27" s="168"/>
      <c r="J27" s="168"/>
      <c r="K27" s="168"/>
      <c r="L27" s="168"/>
      <c r="M27" s="168"/>
      <c r="N27" s="168"/>
    </row>
    <row r="28" spans="2:14" ht="36.75" customHeight="1">
      <c r="B28" s="187" t="s">
        <v>181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4221F24E-D051-4344-B4AC-1A41CABA54DC}"/>
</file>

<file path=customXml/itemProps3.xml><?xml version="1.0" encoding="utf-8"?>
<ds:datastoreItem xmlns:ds="http://schemas.openxmlformats.org/officeDocument/2006/customXml" ds:itemID="{C6C9026B-FACA-412B-BFAF-D1CFE861F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2023-01-04T08:38:50Z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