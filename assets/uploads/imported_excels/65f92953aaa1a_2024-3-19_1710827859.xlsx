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OMINGO\OneDrive - ACCOR\Desktop\25h Engineering - ARGIE\Budget\2024\utitility reading 2024\March 2024\"/>
    </mc:Choice>
  </mc:AlternateContent>
  <xr:revisionPtr revIDLastSave="3" documentId="8_{CE01D393-3CEF-4C6B-8750-3D20271035FF}" xr6:coauthVersionLast="36" xr6:coauthVersionMax="36" xr10:uidLastSave="{A6B132E6-1C9D-434B-AB97-FADD5AFF09B6}"/>
  <bookViews>
    <workbookView xWindow="-105" yWindow="-105" windowWidth="19395" windowHeight="10275" tabRatio="500" firstSheet="2" activeTab="21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dec. 1 to 31" sheetId="36" r:id="rId35"/>
  </sheets>
  <definedNames>
    <definedName name="_xlnm.Print_Area" localSheetId="2">'Daily Meter'!$A$1:$O$38</definedName>
    <definedName name="_xlnm.Print_Area" localSheetId="34">'dec. 1 to 31'!$A$1:$G$50</definedName>
  </definedNames>
  <calcPr calcId="191029"/>
</workbook>
</file>

<file path=xl/calcChain.xml><?xml version="1.0" encoding="utf-8"?>
<calcChain xmlns="http://schemas.openxmlformats.org/spreadsheetml/2006/main">
  <c r="K31" i="2" l="1"/>
  <c r="L31" i="2"/>
  <c r="M31" i="2"/>
  <c r="N31" i="2"/>
  <c r="K32" i="2"/>
  <c r="L32" i="2"/>
  <c r="M32" i="2"/>
  <c r="N32" i="2"/>
  <c r="J31" i="2"/>
  <c r="J32" i="2"/>
  <c r="I31" i="2"/>
  <c r="I32" i="2"/>
  <c r="H31" i="2"/>
  <c r="H32" i="2"/>
  <c r="G31" i="2"/>
  <c r="G32" i="2"/>
  <c r="F31" i="2"/>
  <c r="F32" i="2"/>
  <c r="E31" i="2"/>
  <c r="E32" i="2"/>
  <c r="K2" i="2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D49" i="36" l="1"/>
  <c r="F41" i="36"/>
  <c r="F42" i="36" s="1"/>
  <c r="E49" i="36" s="1"/>
  <c r="F40" i="36"/>
  <c r="F30" i="36"/>
  <c r="F29" i="36"/>
  <c r="F28" i="36"/>
  <c r="F27" i="36"/>
  <c r="F26" i="36"/>
  <c r="F25" i="36"/>
  <c r="F17" i="36"/>
  <c r="F16" i="36"/>
  <c r="G14" i="36"/>
  <c r="F13" i="36"/>
  <c r="F8" i="36"/>
  <c r="F9" i="36" s="1"/>
  <c r="E22" i="34"/>
  <c r="E18" i="34"/>
  <c r="E17" i="34"/>
  <c r="E16" i="34"/>
  <c r="E15" i="34"/>
  <c r="E14" i="34"/>
  <c r="E13" i="34"/>
  <c r="E10" i="34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D10" i="34" s="1"/>
  <c r="F10" i="34" s="1"/>
  <c r="F11" i="34" s="1"/>
  <c r="G11" i="34" s="1"/>
  <c r="G29" i="34" s="1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D22" i="30" s="1"/>
  <c r="F22" i="30" s="1"/>
  <c r="F23" i="30" s="1"/>
  <c r="G23" i="30" s="1"/>
  <c r="G31" i="30" s="1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E16" i="23"/>
  <c r="D16" i="24" s="1"/>
  <c r="E15" i="23"/>
  <c r="D15" i="24" s="1"/>
  <c r="E14" i="23"/>
  <c r="D14" i="24" s="1"/>
  <c r="E13" i="23"/>
  <c r="D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F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E16" i="17"/>
  <c r="D16" i="18" s="1"/>
  <c r="F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E16" i="16"/>
  <c r="D16" i="17" s="1"/>
  <c r="E15" i="16"/>
  <c r="D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6" s="1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F22" i="13" s="1"/>
  <c r="F23" i="13" s="1"/>
  <c r="G23" i="13" s="1"/>
  <c r="G31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D13" i="7" s="1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G25" i="1" s="1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I7" i="1" s="1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14" i="21" l="1"/>
  <c r="F18" i="18"/>
  <c r="F15" i="17"/>
  <c r="F17" i="24"/>
  <c r="F22" i="31"/>
  <c r="F13" i="16"/>
  <c r="E17" i="1"/>
  <c r="E22" i="1"/>
  <c r="F10" i="21"/>
  <c r="F11" i="21" s="1"/>
  <c r="F29" i="21" s="1"/>
  <c r="E29" i="1"/>
  <c r="F17" i="30"/>
  <c r="E30" i="1"/>
  <c r="F7" i="33"/>
  <c r="F8" i="33" s="1"/>
  <c r="G8" i="33" s="1"/>
  <c r="G28" i="33" s="1"/>
  <c r="E23" i="1"/>
  <c r="E24" i="1"/>
  <c r="E25" i="1"/>
  <c r="F13" i="24"/>
  <c r="E18" i="1"/>
  <c r="E26" i="1"/>
  <c r="F15" i="26"/>
  <c r="E19" i="1"/>
  <c r="E27" i="1"/>
  <c r="F14" i="29"/>
  <c r="E20" i="1"/>
  <c r="E28" i="1"/>
  <c r="E21" i="1"/>
  <c r="F17" i="17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E7" i="1"/>
  <c r="E10" i="1"/>
  <c r="E9" i="1"/>
  <c r="E8" i="1"/>
  <c r="F17" i="9"/>
  <c r="F22" i="32"/>
  <c r="F31" i="32" s="1"/>
  <c r="F17" i="34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23" i="8" s="1"/>
  <c r="G23" i="8" s="1"/>
  <c r="G31" i="8" s="1"/>
  <c r="F18" i="14"/>
  <c r="F18" i="21"/>
  <c r="F13" i="28"/>
  <c r="F13" i="30"/>
  <c r="D22" i="33"/>
  <c r="F22" i="33" s="1"/>
  <c r="F31" i="33" s="1"/>
  <c r="D22" i="11"/>
  <c r="F22" i="11" s="1"/>
  <c r="F7" i="9"/>
  <c r="F8" i="9" s="1"/>
  <c r="F28" i="9" s="1"/>
  <c r="F10" i="19"/>
  <c r="F11" i="19" s="1"/>
  <c r="F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F7" i="24"/>
  <c r="F8" i="24" s="1"/>
  <c r="G8" i="24" s="1"/>
  <c r="G28" i="24" s="1"/>
  <c r="F29" i="14"/>
  <c r="G8" i="13"/>
  <c r="G28" i="13" s="1"/>
  <c r="F28" i="13"/>
  <c r="G8" i="4"/>
  <c r="G28" i="4" s="1"/>
  <c r="F28" i="4"/>
  <c r="F14" i="12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6" s="1"/>
  <c r="F14" i="15"/>
  <c r="D7" i="19"/>
  <c r="F7" i="19" s="1"/>
  <c r="F8" i="19" s="1"/>
  <c r="F7" i="18"/>
  <c r="F8" i="18" s="1"/>
  <c r="F13" i="22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6" i="31"/>
  <c r="F18" i="10"/>
  <c r="F23" i="27"/>
  <c r="G23" i="27" s="1"/>
  <c r="G31" i="27" s="1"/>
  <c r="D7" i="30"/>
  <c r="F7" i="30" s="1"/>
  <c r="F8" i="30" s="1"/>
  <c r="F17" i="31"/>
  <c r="F18" i="16"/>
  <c r="F18" i="31"/>
  <c r="F15" i="15"/>
  <c r="F22" i="15"/>
  <c r="F15" i="18"/>
  <c r="F14" i="19"/>
  <c r="D17" i="20"/>
  <c r="F17" i="20" s="1"/>
  <c r="F18" i="22"/>
  <c r="F18" i="24"/>
  <c r="F7" i="26"/>
  <c r="F8" i="26" s="1"/>
  <c r="D15" i="29"/>
  <c r="F15" i="29" s="1"/>
  <c r="F19" i="29" s="1"/>
  <c r="F15" i="30"/>
  <c r="F10" i="31"/>
  <c r="F11" i="31" s="1"/>
  <c r="F31" i="36"/>
  <c r="D18" i="11"/>
  <c r="F18" i="11" s="1"/>
  <c r="F10" i="12"/>
  <c r="F11" i="12" s="1"/>
  <c r="F13" i="17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G11" i="22" l="1"/>
  <c r="G29" i="22" s="1"/>
  <c r="F23" i="22"/>
  <c r="G23" i="22" s="1"/>
  <c r="G31" i="22" s="1"/>
  <c r="G11" i="21"/>
  <c r="G29" i="21" s="1"/>
  <c r="F19" i="18"/>
  <c r="F29" i="5"/>
  <c r="F31" i="8"/>
  <c r="G8" i="32"/>
  <c r="G28" i="32" s="1"/>
  <c r="F19" i="25"/>
  <c r="F30" i="25" s="1"/>
  <c r="G8" i="9"/>
  <c r="G28" i="9" s="1"/>
  <c r="F19" i="33"/>
  <c r="G19" i="33" s="1"/>
  <c r="G30" i="33" s="1"/>
  <c r="G32" i="33" s="1"/>
  <c r="F23" i="33"/>
  <c r="G23" i="33" s="1"/>
  <c r="G31" i="33" s="1"/>
  <c r="F19" i="30"/>
  <c r="F19" i="24"/>
  <c r="G19" i="24" s="1"/>
  <c r="G30" i="24" s="1"/>
  <c r="G8" i="29"/>
  <c r="G28" i="29" s="1"/>
  <c r="F19" i="27"/>
  <c r="G19" i="27" s="1"/>
  <c r="G30" i="27" s="1"/>
  <c r="F19" i="28"/>
  <c r="G19" i="28" s="1"/>
  <c r="G30" i="28" s="1"/>
  <c r="G32" i="28" s="1"/>
  <c r="G11" i="19"/>
  <c r="G29" i="19" s="1"/>
  <c r="F19" i="17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F30" i="34" s="1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G19" i="18"/>
  <c r="G30" i="18" s="1"/>
  <c r="F30" i="18"/>
  <c r="G19" i="29"/>
  <c r="G30" i="29" s="1"/>
  <c r="F30" i="29"/>
  <c r="F30" i="24"/>
  <c r="F19" i="11"/>
  <c r="F29" i="25"/>
  <c r="G11" i="25"/>
  <c r="G29" i="25" s="1"/>
  <c r="F28" i="12"/>
  <c r="G8" i="12"/>
  <c r="G28" i="12" s="1"/>
  <c r="F19" i="31"/>
  <c r="G8" i="19"/>
  <c r="G28" i="19" s="1"/>
  <c r="F28" i="19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F23" i="15"/>
  <c r="G23" i="15" s="1"/>
  <c r="G31" i="15" s="1"/>
  <c r="F31" i="15"/>
  <c r="F19" i="20"/>
  <c r="F31" i="24"/>
  <c r="F23" i="24"/>
  <c r="G23" i="24" s="1"/>
  <c r="G31" i="24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9" i="6"/>
  <c r="F23" i="20"/>
  <c r="G23" i="20" s="1"/>
  <c r="G31" i="20" s="1"/>
  <c r="F31" i="20"/>
  <c r="F30" i="28" l="1"/>
  <c r="G19" i="21"/>
  <c r="G30" i="21" s="1"/>
  <c r="G32" i="21" s="1"/>
  <c r="G19" i="25"/>
  <c r="G30" i="25" s="1"/>
  <c r="G32" i="25" s="1"/>
  <c r="G32" i="27"/>
  <c r="F30" i="27"/>
  <c r="G19" i="9"/>
  <c r="G30" i="9" s="1"/>
  <c r="G32" i="9" s="1"/>
  <c r="G19" i="34"/>
  <c r="G30" i="34" s="1"/>
  <c r="G32" i="34" s="1"/>
  <c r="G32" i="24"/>
  <c r="F30" i="26"/>
  <c r="G32" i="29"/>
  <c r="F30" i="17"/>
  <c r="F30" i="14"/>
  <c r="G19" i="16"/>
  <c r="G30" i="16" s="1"/>
  <c r="G32" i="16" s="1"/>
  <c r="G32" i="14"/>
  <c r="F30" i="12"/>
  <c r="F30" i="32"/>
  <c r="G19" i="4"/>
  <c r="G30" i="4" s="1"/>
  <c r="G32" i="4" s="1"/>
  <c r="F30" i="23"/>
  <c r="G19" i="7"/>
  <c r="G30" i="7" s="1"/>
  <c r="G32" i="7" s="1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sharedStrings.xml><?xml version="1.0" encoding="utf-8"?>
<sst xmlns="http://schemas.openxmlformats.org/spreadsheetml/2006/main" count="1997" uniqueCount="132">
  <si>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</si>
  <si>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</si>
  <si>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</si>
  <si>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</si>
  <si>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</si>
  <si>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</si>
  <si>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</si>
  <si>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</si>
  <si>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</si>
  <si>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</si>
  <si>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</si>
  <si>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</si>
  <si>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</si>
  <si>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</si>
  <si>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</si>
  <si>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</si>
  <si>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</si>
  <si>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</si>
  <si>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</si>
  <si>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</si>
  <si>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</si>
  <si>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</si>
  <si>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</si>
  <si>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</si>
  <si>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</si>
  <si>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</si>
  <si>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</si>
  <si>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</si>
  <si>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</si>
  <si>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</si>
  <si>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</si>
  <si>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</si>
  <si>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</si>
  <si>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</si>
  <si>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</si>
  <si>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</si>
  <si>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</si>
  <si>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</si>
  <si>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</si>
  <si>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</si>
  <si>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</si>
  <si>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</si>
  <si>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</si>
  <si>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</si>
  <si>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</si>
  <si>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</si>
  <si>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</si>
  <si>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</si>
  <si>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</si>
  <si>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</si>
  <si>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</si>
  <si>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</si>
  <si>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</si>
  <si>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</si>
  <si>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</si>
  <si>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</si>
  <si>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</si>
  <si>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</si>
  <si>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</si>
  <si>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</si>
  <si>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</si>
  <si>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</si>
  <si>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</si>
  <si>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</si>
  <si>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</si>
  <si>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</si>
  <si>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</si>
  <si>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</si>
  <si>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</si>
  <si>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</si>
  <si>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</si>
  <si>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</si>
  <si>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</si>
  <si>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</si>
  <si>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</si>
  <si>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</si>
  <si>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</si>
  <si>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</si>
  <si>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</si>
  <si>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</si>
  <si>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</si>
  <si>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</si>
  <si>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</si>
  <si>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</si>
  <si>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</si>
  <si>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</si>
  <si>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</si>
  <si>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%Occupancy:</t>
  </si>
  <si>
    <t xml:space="preserve">Previous Reading </t>
  </si>
  <si>
    <t>Current Month Reading</t>
  </si>
  <si>
    <t>vs. MONTHLY TARGET</t>
  </si>
  <si>
    <t>RTH (MWH X 284.35)</t>
  </si>
  <si>
    <t>Cost (Consumption Charges: 0.568 aed)</t>
  </si>
  <si>
    <t>Cost (Fuel Charges: 0.075 aed)</t>
  </si>
  <si>
    <t>Total Cost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</si>
  <si>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</si>
  <si>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</si>
  <si>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</si>
  <si>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</si>
  <si>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</si>
  <si>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</si>
  <si>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</si>
  <si>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</si>
  <si>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</si>
  <si>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</si>
  <si>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</si>
  <si>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</si>
  <si>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</si>
  <si>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</si>
  <si>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</si>
  <si>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</si>
  <si>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</si>
  <si>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</si>
  <si>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</si>
  <si>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</si>
  <si>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</si>
  <si>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</si>
  <si>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</si>
  <si>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</si>
  <si>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</si>
  <si>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</si>
  <si>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</si>
  <si>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</si>
  <si>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</si>
  <si>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</si>
  <si>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</si>
  <si>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District Energy Cooling RTH</t>
  </si>
  <si>
    <t>District Energy Cooling $/RTH</t>
  </si>
  <si>
    <t>Water Utility Supply (IG) $/IG</t>
  </si>
  <si>
    <t>March 2024 UTILITY READING</t>
  </si>
  <si>
    <t>FEBRUARY 29</t>
  </si>
  <si>
    <t>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</si>
</sst>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_-* #,##0.00_-;\-* #,##0.00_-;_-* \-??_-;_-@_-"/>
    <numFmt numFmtId="172" formatCode="&quot;AED&quot;#,##0.00"/>
  </numFmts>
  <fonts count="37" x14ac:knownFonts="1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29" fillId="0" borderId="0" applyBorder="0" applyProtection="0"/>
    <xf numFmtId="0" fontId="7" fillId="0" borderId="0" applyBorder="0" applyProtection="0"/>
  </cellStyleXfs>
  <cellXfs count="236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39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1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3" fontId="8" fillId="4" borderId="19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26" fillId="8" borderId="8" xfId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2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2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3" xfId="0" applyFont="1" applyFill="1" applyBorder="1" applyAlignment="1">
      <alignment vertical="center"/>
    </xf>
    <xf numFmtId="0" fontId="0" fillId="10" borderId="23" xfId="0" applyFill="1" applyBorder="1" applyAlignment="1">
      <alignment horizontal="center" vertical="center"/>
    </xf>
    <xf numFmtId="168" fontId="22" fillId="10" borderId="23" xfId="1" applyFont="1" applyFill="1" applyBorder="1" applyAlignment="1" applyProtection="1">
      <alignment horizontal="center" vertical="center"/>
    </xf>
    <xf numFmtId="169" fontId="11" fillId="10" borderId="23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  <xf numFmtId="1" fontId="31" fillId="0" borderId="24" xfId="0" applyNumberFormat="1" applyFont="1" applyBorder="1" applyAlignment="1">
      <alignment horizontal="center" vertical="center" wrapText="1"/>
    </xf>
    <xf numFmtId="1" fontId="3" fillId="0" borderId="24" xfId="0" applyNumberFormat="1" applyFont="1" applyBorder="1" applyAlignment="1">
      <alignment horizontal="center" vertical="center" wrapText="1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166" fontId="0" fillId="0" borderId="13" xfId="0" applyNumberFormat="1" applyFill="1" applyBorder="1" applyAlignment="1">
      <alignment horizontal="center" vertical="center"/>
    </xf>
    <xf numFmtId="167" fontId="0" fillId="0" borderId="13" xfId="0" applyNumberFormat="1" applyFill="1" applyBorder="1" applyAlignment="1">
      <alignment horizontal="center" vertical="center"/>
    </xf>
    <xf numFmtId="166" fontId="0" fillId="0" borderId="14" xfId="0" applyNumberFormat="1" applyFill="1" applyBorder="1" applyAlignment="1">
      <alignment horizontal="center" vertical="center"/>
    </xf>
    <xf numFmtId="166" fontId="0" fillId="0" borderId="15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/>
    </xf>
    <xf numFmtId="49" fontId="32" fillId="12" borderId="8" xfId="1" applyNumberFormat="1" applyFont="1" applyFill="1" applyBorder="1" applyAlignment="1">
      <alignment horizontal="center" vertical="center"/>
    </xf>
    <xf numFmtId="0" fontId="0" fillId="12" borderId="8" xfId="0" applyFill="1" applyBorder="1" applyAlignment="1">
      <alignment vertical="center"/>
    </xf>
    <xf numFmtId="4" fontId="33" fillId="12" borderId="8" xfId="1" applyNumberFormat="1" applyFont="1" applyFill="1" applyBorder="1" applyAlignment="1">
      <alignment horizontal="center" vertical="center"/>
    </xf>
    <xf numFmtId="4" fontId="34" fillId="12" borderId="8" xfId="1" applyNumberFormat="1" applyFont="1" applyFill="1" applyBorder="1" applyAlignment="1">
      <alignment vertical="center"/>
    </xf>
    <xf numFmtId="4" fontId="35" fillId="12" borderId="8" xfId="1" applyNumberFormat="1" applyFont="1" applyFill="1" applyBorder="1" applyAlignment="1">
      <alignment horizontal="center" vertical="center"/>
    </xf>
    <xf numFmtId="168" fontId="32" fillId="8" borderId="8" xfId="1" applyFont="1" applyFill="1" applyBorder="1" applyProtection="1"/>
    <xf numFmtId="4" fontId="36" fillId="0" borderId="8" xfId="1" applyNumberFormat="1" applyFont="1" applyBorder="1" applyAlignment="1" applyProtection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C2" sqref="C2:C30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186"/>
    <col min="12" max="12" width="11.5703125" style="5"/>
    <col min="13" max="13" width="11.5703125" style="6"/>
    <col min="14" max="16384" width="11.5703125" style="2"/>
  </cols>
  <sheetData>
    <row r="1" spans="1:15" s="7" customFormat="1" ht="60.75" thickBot="1" x14ac:dyDescent="0.3">
      <c r="A1" s="187" t="s">
        <v>0</v>
      </c>
      <c r="B1" s="187" t="s">
        <v>1</v>
      </c>
      <c r="C1" s="188" t="s">
        <v>2</v>
      </c>
      <c r="D1" s="187" t="s">
        <v>3</v>
      </c>
      <c r="E1" s="189" t="s">
        <v>4</v>
      </c>
      <c r="F1" s="190" t="s">
        <v>5</v>
      </c>
      <c r="G1" s="189" t="s">
        <v>6</v>
      </c>
      <c r="H1" s="190" t="s">
        <v>7</v>
      </c>
      <c r="I1" s="189" t="s">
        <v>8</v>
      </c>
      <c r="J1" s="191" t="s">
        <v>128</v>
      </c>
      <c r="K1" s="192" t="s">
        <v>126</v>
      </c>
      <c r="L1" s="191" t="s">
        <v>127</v>
      </c>
      <c r="M1" s="193" t="s">
        <v>9</v>
      </c>
      <c r="N1" s="189" t="s">
        <v>10</v>
      </c>
    </row>
    <row r="2" spans="1:15" ht="15.75" thickTop="1" x14ac:dyDescent="0.25">
      <c r="A2" s="2" t="s">
        <v>11</v>
      </c>
      <c r="B2" s="2">
        <v>1</v>
      </c>
      <c r="C2" s="3">
        <v>3</v>
      </c>
      <c r="D2" s="2">
        <v>2024</v>
      </c>
      <c r="E2" s="6">
        <f>Submetering!E2+Submetering!F2+Submetering!G2+Submetering!H2+Submetering!I2+Submetering!J2</f>
        <v>17232.000000000044</v>
      </c>
      <c r="F2" s="5">
        <v>0.44</v>
      </c>
      <c r="G2" s="6">
        <f>Submetering!M2</f>
        <v>596.07000000002154</v>
      </c>
      <c r="H2" s="12">
        <v>2.5</v>
      </c>
      <c r="I2" s="6">
        <f>Submetering!L2</f>
        <v>49712.993999999999</v>
      </c>
      <c r="J2" s="5">
        <v>0.06</v>
      </c>
      <c r="K2" s="186">
        <f>Submetering!K2</f>
        <v>5971.1399999999994</v>
      </c>
      <c r="L2" s="5">
        <v>1.1399999999999999</v>
      </c>
      <c r="M2" s="6">
        <f>INT('Daily Meter'!O6*434/100)</f>
        <v>369</v>
      </c>
      <c r="N2" s="2" t="s">
        <v>12</v>
      </c>
      <c r="O2" s="7"/>
    </row>
    <row r="3" spans="1:15" x14ac:dyDescent="0.25">
      <c r="A3" s="2" t="s">
        <v>11</v>
      </c>
      <c r="B3" s="2">
        <f t="shared" ref="B3:B30" si="0">B2+1</f>
        <v>2</v>
      </c>
      <c r="C3" s="3">
        <v>3</v>
      </c>
      <c r="D3" s="2">
        <v>2024</v>
      </c>
      <c r="E3" s="6">
        <f>Submetering!E3+Submetering!F3+Submetering!G3+Submetering!H3+Submetering!I3+Submetering!J3</f>
        <v>17184.000000000087</v>
      </c>
      <c r="F3" s="5">
        <v>0.44</v>
      </c>
      <c r="G3" s="6">
        <f>Submetering!M3</f>
        <v>586.81999999996776</v>
      </c>
      <c r="H3" s="12">
        <v>2.5</v>
      </c>
      <c r="I3" s="6">
        <f>Submetering!L3</f>
        <v>48173.210999999996</v>
      </c>
      <c r="J3" s="5">
        <v>0.06</v>
      </c>
      <c r="K3" s="186">
        <f>Submetering!K3</f>
        <v>5402.4599999999991</v>
      </c>
      <c r="L3" s="5">
        <v>1.1399999999999999</v>
      </c>
      <c r="M3" s="6">
        <f>INT('Daily Meter'!O7*434/100)</f>
        <v>334</v>
      </c>
      <c r="N3" s="2" t="s">
        <v>12</v>
      </c>
      <c r="O3" s="7"/>
    </row>
    <row r="4" spans="1:15" x14ac:dyDescent="0.2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Submetering!E4+Submetering!F4+Submetering!G4+Submetering!H4+Submetering!I4+Submetering!J4</f>
        <v>17664.000000000306</v>
      </c>
      <c r="F4" s="5">
        <v>0.44</v>
      </c>
      <c r="G4" s="6">
        <f>Submetering!M4</f>
        <v>430.68000000003235</v>
      </c>
      <c r="H4" s="12">
        <v>2.5</v>
      </c>
      <c r="I4" s="6">
        <f>Submetering!L4</f>
        <v>46633.428</v>
      </c>
      <c r="J4" s="5">
        <v>0.06</v>
      </c>
      <c r="K4" s="186">
        <f>Submetering!K4</f>
        <v>5345.5920000008273</v>
      </c>
      <c r="L4" s="5">
        <v>1.1399999999999999</v>
      </c>
      <c r="M4" s="6">
        <f>INT('Daily Meter'!O8*434/100)</f>
        <v>355</v>
      </c>
      <c r="N4" s="2" t="s">
        <v>12</v>
      </c>
      <c r="O4" s="7"/>
    </row>
    <row r="5" spans="1:15" x14ac:dyDescent="0.2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Submetering!E5+Submetering!F5+Submetering!G5+Submetering!H5+Submetering!I5+Submetering!J5</f>
        <v>17039.999999998909</v>
      </c>
      <c r="F5" s="5">
        <v>0.44</v>
      </c>
      <c r="G5" s="6">
        <f>Submetering!M5</f>
        <v>580.9</v>
      </c>
      <c r="H5" s="12">
        <v>2.5</v>
      </c>
      <c r="I5" s="6">
        <f>Submetering!L5</f>
        <v>39374.451000000001</v>
      </c>
      <c r="J5" s="5">
        <v>0.06</v>
      </c>
      <c r="K5" s="186">
        <f>Submetering!K5</f>
        <v>5402.4599999999991</v>
      </c>
      <c r="L5" s="5">
        <v>1.1399999999999999</v>
      </c>
      <c r="M5" s="6">
        <f>INT('Daily Meter'!O9*434/100)</f>
        <v>385</v>
      </c>
      <c r="N5" s="2" t="s">
        <v>12</v>
      </c>
      <c r="O5" s="7"/>
    </row>
    <row r="6" spans="1:15" x14ac:dyDescent="0.2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Submetering!E6+Submetering!F6+Submetering!G6+Submetering!H6+Submetering!I6+Submetering!J6</f>
        <v>17059.200000000419</v>
      </c>
      <c r="F6" s="5">
        <v>0.44</v>
      </c>
      <c r="G6" s="6">
        <f>Submetering!M6</f>
        <v>549.07999999997844</v>
      </c>
      <c r="H6" s="12">
        <v>2.5</v>
      </c>
      <c r="I6" s="6">
        <f>Submetering!L6</f>
        <v>45093.644999999997</v>
      </c>
      <c r="J6" s="5">
        <v>0.06</v>
      </c>
      <c r="K6" s="186">
        <f>Submetering!K6</f>
        <v>5828.9699999999993</v>
      </c>
      <c r="L6" s="5">
        <v>1.1399999999999999</v>
      </c>
      <c r="M6" s="6">
        <f>INT('Daily Meter'!O10*434/100)</f>
        <v>411</v>
      </c>
      <c r="N6" s="2" t="s">
        <v>12</v>
      </c>
      <c r="O6" s="7"/>
    </row>
    <row r="7" spans="1:15" x14ac:dyDescent="0.2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Submetering!E7+Submetering!F7+Submetering!G7+Submetering!H7+Submetering!I7+Submetering!J7</f>
        <v>17020.800000000017</v>
      </c>
      <c r="F7" s="5">
        <v>0.44</v>
      </c>
      <c r="G7" s="6">
        <f>Submetering!M7</f>
        <v>523.55000000000007</v>
      </c>
      <c r="H7" s="12">
        <v>2.5</v>
      </c>
      <c r="I7" s="6">
        <f>Submetering!L7</f>
        <v>40474.296000000002</v>
      </c>
      <c r="J7" s="5">
        <v>0.06</v>
      </c>
      <c r="K7" s="186">
        <f>Submetering!K7</f>
        <v>6369.2159999983442</v>
      </c>
      <c r="L7" s="5">
        <v>1.1399999999999999</v>
      </c>
      <c r="M7" s="6">
        <f>INT('Daily Meter'!O11*434/100)</f>
        <v>396</v>
      </c>
      <c r="N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Submetering!E8+Submetering!F8+Submetering!G8+Submetering!H8+Submetering!I8+Submetering!J8</f>
        <v>16656.000000000349</v>
      </c>
      <c r="F8" s="5">
        <v>0.44</v>
      </c>
      <c r="G8" s="6">
        <f>Submetering!M8</f>
        <v>504.3100000000108</v>
      </c>
      <c r="H8" s="12">
        <v>2.5</v>
      </c>
      <c r="I8" s="6">
        <f>Submetering!L8</f>
        <v>35854.947</v>
      </c>
      <c r="J8" s="5">
        <v>0.06</v>
      </c>
      <c r="K8" s="186">
        <f>Submetering!K8</f>
        <v>6227.0460000004132</v>
      </c>
      <c r="L8" s="5">
        <v>1.1399999999999999</v>
      </c>
      <c r="M8" s="6">
        <f>INT('Daily Meter'!O12*434/100)</f>
        <v>401</v>
      </c>
      <c r="N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Submetering!E9+Submetering!F9+Submetering!G9+Submetering!H9+Submetering!I9+Submetering!J9</f>
        <v>17087.999999999302</v>
      </c>
      <c r="F9" s="5">
        <v>0.44</v>
      </c>
      <c r="G9" s="6">
        <f>Submetering!M9</f>
        <v>489.87999999997851</v>
      </c>
      <c r="H9" s="12">
        <v>2.5</v>
      </c>
      <c r="I9" s="6">
        <f>Submetering!L9</f>
        <v>41574.140999999996</v>
      </c>
      <c r="J9" s="5">
        <v>0.06</v>
      </c>
      <c r="K9" s="186">
        <f>Submetering!K9</f>
        <v>6113.3099999999995</v>
      </c>
      <c r="L9" s="5">
        <v>1.1399999999999999</v>
      </c>
      <c r="M9" s="6">
        <f>INT('Daily Meter'!O13*434/100)</f>
        <v>318</v>
      </c>
      <c r="N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Submetering!E10+Submetering!F10+Submetering!G10+Submetering!H10+Submetering!I10+Submetering!J10</f>
        <v>17328.000000000611</v>
      </c>
      <c r="F10" s="5">
        <v>0.44</v>
      </c>
      <c r="G10" s="6">
        <f>Submetering!M10</f>
        <v>577.57000000002154</v>
      </c>
      <c r="H10" s="12">
        <v>2.5</v>
      </c>
      <c r="I10" s="6">
        <f>Submetering!L10</f>
        <v>50372.900999999998</v>
      </c>
      <c r="J10" s="5">
        <v>0.06</v>
      </c>
      <c r="K10" s="186">
        <f>Submetering!K10</f>
        <v>8046.8220000008268</v>
      </c>
      <c r="L10" s="5">
        <v>1.1399999999999999</v>
      </c>
      <c r="M10" s="6">
        <f>INT('Daily Meter'!O14*434/100)</f>
        <v>251</v>
      </c>
      <c r="N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Submetering!E11+Submetering!F11+Submetering!G11+Submetering!H11+Submetering!I11+Submetering!J11</f>
        <v>17136.000000000568</v>
      </c>
      <c r="F11" s="5">
        <v>0.44</v>
      </c>
      <c r="G11" s="6">
        <f>Submetering!M11</f>
        <v>481</v>
      </c>
      <c r="H11" s="12">
        <v>2.5</v>
      </c>
      <c r="I11" s="6">
        <f>Submetering!L11</f>
        <v>43773.830999999998</v>
      </c>
      <c r="J11" s="5">
        <v>0.06</v>
      </c>
      <c r="K11" s="186">
        <f>Submetering!K11</f>
        <v>5800.536000000413</v>
      </c>
      <c r="L11" s="5">
        <v>1.1399999999999999</v>
      </c>
      <c r="M11" s="6">
        <f>INT('Daily Meter'!O15*434/100)</f>
        <v>171</v>
      </c>
      <c r="N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Submetering!E12+Submetering!F12+Submetering!G12+Submetering!H12+Submetering!I12+Submetering!J12</f>
        <v>16367.999999999956</v>
      </c>
      <c r="F12" s="5">
        <v>0.44</v>
      </c>
      <c r="G12" s="6">
        <f>Submetering!M12</f>
        <v>431.42000000002156</v>
      </c>
      <c r="H12" s="12">
        <v>2.5</v>
      </c>
      <c r="I12" s="6">
        <f>Submetering!L12</f>
        <v>35634.977999999996</v>
      </c>
      <c r="J12" s="5">
        <v>0.06</v>
      </c>
      <c r="K12" s="186">
        <f>Submetering!K12</f>
        <v>6141.7439999995859</v>
      </c>
      <c r="L12" s="5">
        <v>1.1399999999999999</v>
      </c>
      <c r="M12" s="6">
        <f>INT('Daily Meter'!O16*434/100)</f>
        <v>177</v>
      </c>
      <c r="N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Submetering!E13+Submetering!F13+Submetering!G13+Submetering!H13+Submetering!I13+Submetering!J13</f>
        <v>16511.999999999389</v>
      </c>
      <c r="F13" s="5">
        <v>0.44</v>
      </c>
      <c r="G13" s="6">
        <f>Submetering!M13</f>
        <v>394.05</v>
      </c>
      <c r="H13" s="12">
        <v>2.5</v>
      </c>
      <c r="I13" s="6">
        <f>Submetering!L13</f>
        <v>30135.753000000001</v>
      </c>
      <c r="J13" s="5">
        <v>0.06</v>
      </c>
      <c r="K13" s="186">
        <f>Submetering!K13</f>
        <v>6084.8760000004131</v>
      </c>
      <c r="L13" s="5">
        <v>1.1399999999999999</v>
      </c>
      <c r="M13" s="6">
        <f>INT('Daily Meter'!O17*434/100)</f>
        <v>178</v>
      </c>
      <c r="N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Submetering!E14+Submetering!F14+Submetering!G14+Submetering!H14+Submetering!I14+Submetering!J14</f>
        <v>16512.000000000262</v>
      </c>
      <c r="F14" s="5">
        <v>0.44</v>
      </c>
      <c r="G14" s="6">
        <f>Submetering!M14</f>
        <v>430.67999999997846</v>
      </c>
      <c r="H14" s="12">
        <v>2.5</v>
      </c>
      <c r="I14" s="6">
        <f>Submetering!L14</f>
        <v>35854.947</v>
      </c>
      <c r="J14" s="5">
        <v>0.06</v>
      </c>
      <c r="K14" s="186">
        <f>Submetering!K14</f>
        <v>6056.4419999987585</v>
      </c>
      <c r="L14" s="5">
        <v>1.1399999999999999</v>
      </c>
      <c r="M14" s="6">
        <f>INT('Daily Meter'!O18*434/100)</f>
        <v>155</v>
      </c>
      <c r="N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Submetering!E15+Submetering!F15+Submetering!G15+Submetering!H15+Submetering!I15+Submetering!J15</f>
        <v>16655.999999999258</v>
      </c>
      <c r="F15" s="5">
        <v>0.44</v>
      </c>
      <c r="G15" s="6">
        <f>Submetering!M15</f>
        <v>447.70000000000005</v>
      </c>
      <c r="H15" s="12">
        <v>2.5</v>
      </c>
      <c r="I15" s="6">
        <f>Submetering!L15</f>
        <v>40694.264999999999</v>
      </c>
      <c r="J15" s="5">
        <v>0.06</v>
      </c>
      <c r="K15" s="186">
        <f>Submetering!K15</f>
        <v>6482.952000000827</v>
      </c>
      <c r="L15" s="5">
        <v>1.1399999999999999</v>
      </c>
      <c r="M15" s="6">
        <f>INT('Daily Meter'!O19*434/100)</f>
        <v>167</v>
      </c>
      <c r="N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Submetering!E16+Submetering!F16+Submetering!G16+Submetering!H16+Submetering!I16+Submetering!J16</f>
        <v>16704.000000000306</v>
      </c>
      <c r="F16" s="5">
        <v>0.44</v>
      </c>
      <c r="G16" s="6">
        <f>Submetering!M16</f>
        <v>465.08999999998923</v>
      </c>
      <c r="H16" s="12">
        <v>2.5</v>
      </c>
      <c r="I16" s="6">
        <f>Submetering!L16</f>
        <v>27496.125</v>
      </c>
      <c r="J16" s="5">
        <v>0.06</v>
      </c>
      <c r="K16" s="186">
        <f>Submetering!K16</f>
        <v>7563.4439999995857</v>
      </c>
      <c r="L16" s="5">
        <v>1.1399999999999999</v>
      </c>
      <c r="M16" s="6">
        <f>INT('Daily Meter'!O20*434/100)</f>
        <v>144</v>
      </c>
      <c r="N16" s="2" t="s">
        <v>12</v>
      </c>
    </row>
    <row r="17" spans="1:14" x14ac:dyDescent="0.2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Submetering!E17+Submetering!F17+Submetering!G17+Submetering!H17+Submetering!I17+Submetering!J17</f>
        <v>16704.000000000306</v>
      </c>
      <c r="F17" s="5">
        <v>0.44</v>
      </c>
      <c r="G17" s="6">
        <f>Submetering!M17</f>
        <v>463.98000000003231</v>
      </c>
      <c r="H17" s="12">
        <v>2.5</v>
      </c>
      <c r="I17" s="6">
        <f>Submetering!L17</f>
        <v>45093.644999999997</v>
      </c>
      <c r="J17" s="5">
        <v>0.06</v>
      </c>
      <c r="K17" s="186">
        <f>Submetering!K17</f>
        <v>7421.2739999995856</v>
      </c>
      <c r="L17" s="5">
        <v>1.1399999999999999</v>
      </c>
      <c r="M17" s="6">
        <f>INT('Daily Meter'!O21*434/100)</f>
        <v>145</v>
      </c>
      <c r="N17" s="2" t="s">
        <v>12</v>
      </c>
    </row>
    <row r="18" spans="1:14" x14ac:dyDescent="0.2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Submetering!E18+Submetering!F18+Submetering!G18+Submetering!H18+Submetering!I18+Submetering!J18</f>
        <v>16800</v>
      </c>
      <c r="F18" s="5">
        <v>0.44</v>
      </c>
      <c r="G18" s="6">
        <f>Submetering!M18</f>
        <v>458.8</v>
      </c>
      <c r="H18" s="12">
        <v>2.5</v>
      </c>
      <c r="I18" s="6">
        <f>Submetering!L18</f>
        <v>33435.288</v>
      </c>
      <c r="J18" s="5">
        <v>0.06</v>
      </c>
      <c r="K18" s="186">
        <f>Submetering!K18</f>
        <v>7989.9539999995859</v>
      </c>
      <c r="L18" s="5">
        <v>1.1399999999999999</v>
      </c>
      <c r="M18" s="6">
        <f>INT('Daily Meter'!O22*434/100)</f>
        <v>195</v>
      </c>
      <c r="N18" s="2" t="s">
        <v>12</v>
      </c>
    </row>
    <row r="19" spans="1:14" x14ac:dyDescent="0.2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Submetering!E19+Submetering!F19+Submetering!G19+Submetering!H19+Submetering!I19+Submetering!J19</f>
        <v>16320.000000000218</v>
      </c>
      <c r="F19" s="5">
        <v>0.44</v>
      </c>
      <c r="G19" s="6">
        <f>Submetering!M19</f>
        <v>464.35</v>
      </c>
      <c r="H19" s="12">
        <v>2.5</v>
      </c>
      <c r="I19" s="6">
        <f>Submetering!L19</f>
        <v>27496.125</v>
      </c>
      <c r="J19" s="5">
        <v>0.06</v>
      </c>
      <c r="K19" s="186">
        <f>Submetering!K19</f>
        <v>8700.8040000016535</v>
      </c>
      <c r="L19" s="5">
        <v>1.1399999999999999</v>
      </c>
      <c r="M19" s="6">
        <f>INT('Daily Meter'!O23*434/100)</f>
        <v>255</v>
      </c>
      <c r="N19" s="2" t="s">
        <v>12</v>
      </c>
    </row>
    <row r="20" spans="1:14" x14ac:dyDescent="0.2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Submetering!E20+Submetering!F20+Submetering!G20+Submetering!H20+Submetering!I20+Submetering!J20</f>
        <v>16895.999999999694</v>
      </c>
      <c r="F20" s="5">
        <v>0.44</v>
      </c>
      <c r="G20" s="6">
        <f>Submetering!M20</f>
        <v>475.45000000000005</v>
      </c>
      <c r="H20" s="12">
        <v>2.5</v>
      </c>
      <c r="I20" s="6">
        <f>Submetering!L20</f>
        <v>26616.249</v>
      </c>
      <c r="J20" s="5">
        <v>0.06</v>
      </c>
      <c r="K20" s="186">
        <f>Submetering!K20</f>
        <v>8700.8039999995854</v>
      </c>
      <c r="L20" s="5">
        <v>1.1399999999999999</v>
      </c>
      <c r="M20" s="6">
        <f>INT('Daily Meter'!O24*434/100)</f>
        <v>0</v>
      </c>
      <c r="N20" s="2" t="s">
        <v>12</v>
      </c>
    </row>
    <row r="21" spans="1:14" x14ac:dyDescent="0.2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Submetering!E21+Submetering!F21+Submetering!G21+Submetering!H21+Submetering!I21+Submetering!J21</f>
        <v>0</v>
      </c>
      <c r="F21" s="5">
        <v>0.44</v>
      </c>
      <c r="G21" s="6">
        <f>Submetering!M21</f>
        <v>0</v>
      </c>
      <c r="H21" s="12">
        <v>2.5</v>
      </c>
      <c r="I21" s="6">
        <f>Submetering!L21</f>
        <v>0</v>
      </c>
      <c r="J21" s="5">
        <v>0.06</v>
      </c>
      <c r="K21" s="186">
        <f>Submetering!K21</f>
        <v>0</v>
      </c>
      <c r="L21" s="5">
        <v>1.1399999999999999</v>
      </c>
      <c r="M21" s="6">
        <f>INT('Daily Meter'!O25*434/100)</f>
        <v>0</v>
      </c>
      <c r="N21" s="2" t="s">
        <v>12</v>
      </c>
    </row>
    <row r="22" spans="1:14" x14ac:dyDescent="0.2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Submetering!E22+Submetering!F22+Submetering!G22+Submetering!H22+Submetering!I22+Submetering!J22</f>
        <v>0</v>
      </c>
      <c r="F22" s="5">
        <v>0.44</v>
      </c>
      <c r="G22" s="6">
        <f>Submetering!M22</f>
        <v>0</v>
      </c>
      <c r="H22" s="12">
        <v>2.5</v>
      </c>
      <c r="I22" s="6">
        <f>Submetering!L22</f>
        <v>0</v>
      </c>
      <c r="J22" s="5">
        <v>0.06</v>
      </c>
      <c r="K22" s="186">
        <f>Submetering!K22</f>
        <v>0</v>
      </c>
      <c r="L22" s="5">
        <v>1.1399999999999999</v>
      </c>
      <c r="M22" s="6">
        <f>INT('Daily Meter'!O26*434/100)</f>
        <v>0</v>
      </c>
      <c r="N22" s="2" t="s">
        <v>12</v>
      </c>
    </row>
    <row r="23" spans="1:14" x14ac:dyDescent="0.2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Submetering!E23+Submetering!F23+Submetering!G23+Submetering!H23+Submetering!I23+Submetering!J23</f>
        <v>0</v>
      </c>
      <c r="F23" s="5">
        <v>0.44</v>
      </c>
      <c r="G23" s="6">
        <f>Submetering!M23</f>
        <v>0</v>
      </c>
      <c r="H23" s="12">
        <v>2.5</v>
      </c>
      <c r="I23" s="6">
        <f>Submetering!L23</f>
        <v>0</v>
      </c>
      <c r="J23" s="5">
        <v>0.06</v>
      </c>
      <c r="K23" s="186">
        <f>Submetering!K23</f>
        <v>0</v>
      </c>
      <c r="L23" s="5">
        <v>1.1399999999999999</v>
      </c>
      <c r="M23" s="6">
        <f>INT('Daily Meter'!O27*434/100)</f>
        <v>0</v>
      </c>
      <c r="N23" s="2" t="s">
        <v>12</v>
      </c>
    </row>
    <row r="24" spans="1:14" x14ac:dyDescent="0.2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Submetering!E24+Submetering!F24+Submetering!G24+Submetering!H24+Submetering!I24+Submetering!J24</f>
        <v>0</v>
      </c>
      <c r="F24" s="5">
        <v>0.44</v>
      </c>
      <c r="G24" s="6">
        <f>Submetering!M24</f>
        <v>0</v>
      </c>
      <c r="H24" s="12">
        <v>2.5</v>
      </c>
      <c r="I24" s="6">
        <f>Submetering!L24</f>
        <v>0</v>
      </c>
      <c r="J24" s="5">
        <v>0.06</v>
      </c>
      <c r="K24" s="186">
        <f>Submetering!K24</f>
        <v>0</v>
      </c>
      <c r="L24" s="5">
        <v>1.1399999999999999</v>
      </c>
      <c r="M24" s="6">
        <f>INT('Daily Meter'!O28*434/100)</f>
        <v>0</v>
      </c>
      <c r="N24" s="2" t="s">
        <v>12</v>
      </c>
    </row>
    <row r="25" spans="1:14" x14ac:dyDescent="0.2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Submetering!E25+Submetering!F25+Submetering!G25+Submetering!H25+Submetering!I25+Submetering!J25</f>
        <v>0</v>
      </c>
      <c r="F25" s="5">
        <v>0.44</v>
      </c>
      <c r="G25" s="6">
        <f>Submetering!M25</f>
        <v>0</v>
      </c>
      <c r="H25" s="12">
        <v>2.5</v>
      </c>
      <c r="I25" s="6">
        <f>Submetering!L25</f>
        <v>0</v>
      </c>
      <c r="J25" s="5">
        <v>0.06</v>
      </c>
      <c r="K25" s="186">
        <f>Submetering!K25</f>
        <v>0</v>
      </c>
      <c r="L25" s="5">
        <v>1.1399999999999999</v>
      </c>
      <c r="M25" s="6">
        <f>INT('Daily Meter'!O29*434/100)</f>
        <v>0</v>
      </c>
      <c r="N25" s="2" t="s">
        <v>12</v>
      </c>
    </row>
    <row r="26" spans="1:14" x14ac:dyDescent="0.2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Submetering!E26+Submetering!F26+Submetering!G26+Submetering!H26+Submetering!I26+Submetering!J26</f>
        <v>0</v>
      </c>
      <c r="F26" s="5">
        <v>0.44</v>
      </c>
      <c r="G26" s="6">
        <f>Submetering!M26</f>
        <v>0</v>
      </c>
      <c r="H26" s="12">
        <v>2.5</v>
      </c>
      <c r="I26" s="6">
        <f>Submetering!L26</f>
        <v>0</v>
      </c>
      <c r="J26" s="5">
        <v>0.06</v>
      </c>
      <c r="K26" s="186">
        <f>Submetering!K26</f>
        <v>0</v>
      </c>
      <c r="L26" s="5">
        <v>1.1399999999999999</v>
      </c>
      <c r="M26" s="6">
        <f>INT('Daily Meter'!O30*434/100)</f>
        <v>0</v>
      </c>
      <c r="N26" s="2" t="s">
        <v>12</v>
      </c>
    </row>
    <row r="27" spans="1:14" x14ac:dyDescent="0.2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Submetering!E27+Submetering!F27+Submetering!G27+Submetering!H27+Submetering!I27+Submetering!J27</f>
        <v>0</v>
      </c>
      <c r="F27" s="5">
        <v>0.44</v>
      </c>
      <c r="G27" s="6">
        <f>Submetering!M27</f>
        <v>0</v>
      </c>
      <c r="H27" s="12">
        <v>2.5</v>
      </c>
      <c r="I27" s="6">
        <f>Submetering!L27</f>
        <v>0</v>
      </c>
      <c r="J27" s="5">
        <v>0.06</v>
      </c>
      <c r="K27" s="186">
        <f>Submetering!K27</f>
        <v>0</v>
      </c>
      <c r="L27" s="5">
        <v>1.1399999999999999</v>
      </c>
      <c r="M27" s="6">
        <f>INT('Daily Meter'!O31*434/100)</f>
        <v>0</v>
      </c>
      <c r="N27" s="2" t="s">
        <v>12</v>
      </c>
    </row>
    <row r="28" spans="1:14" x14ac:dyDescent="0.2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Submetering!E28+Submetering!F28+Submetering!G28+Submetering!H28+Submetering!I28+Submetering!J28</f>
        <v>0</v>
      </c>
      <c r="F28" s="5">
        <v>0.44</v>
      </c>
      <c r="G28" s="6">
        <f>Submetering!M28</f>
        <v>0</v>
      </c>
      <c r="H28" s="12">
        <v>2.5</v>
      </c>
      <c r="I28" s="6">
        <f>Submetering!L28</f>
        <v>0</v>
      </c>
      <c r="J28" s="5">
        <v>0.06</v>
      </c>
      <c r="K28" s="186">
        <f>Submetering!K28</f>
        <v>0</v>
      </c>
      <c r="L28" s="5">
        <v>1.1399999999999999</v>
      </c>
      <c r="M28" s="6">
        <f>INT('Daily Meter'!O32*434/100)</f>
        <v>0</v>
      </c>
      <c r="N28" s="2" t="s">
        <v>12</v>
      </c>
    </row>
    <row r="29" spans="1:14" x14ac:dyDescent="0.2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Submetering!E29+Submetering!F29+Submetering!G29+Submetering!H29+Submetering!I29+Submetering!J29</f>
        <v>0</v>
      </c>
      <c r="F29" s="5">
        <v>0.44</v>
      </c>
      <c r="G29" s="6">
        <f>Submetering!M29</f>
        <v>0</v>
      </c>
      <c r="H29" s="12">
        <v>2.5</v>
      </c>
      <c r="I29" s="6">
        <f>Submetering!L29</f>
        <v>0</v>
      </c>
      <c r="J29" s="5">
        <v>0.06</v>
      </c>
      <c r="K29" s="186">
        <f>Submetering!K29</f>
        <v>0</v>
      </c>
      <c r="L29" s="5">
        <v>1.1399999999999999</v>
      </c>
      <c r="M29" s="6">
        <f>INT('Daily Meter'!O33*434/100)</f>
        <v>0</v>
      </c>
      <c r="N29" s="2" t="s">
        <v>12</v>
      </c>
    </row>
    <row r="30" spans="1:14" x14ac:dyDescent="0.2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Submetering!E30+Submetering!F30+Submetering!G30+Submetering!H30+Submetering!I30+Submetering!J30</f>
        <v>0</v>
      </c>
      <c r="F30" s="5">
        <v>0.44</v>
      </c>
      <c r="G30" s="6">
        <f>Submetering!M30</f>
        <v>0</v>
      </c>
      <c r="H30" s="12">
        <v>2.5</v>
      </c>
      <c r="I30" s="6">
        <f>Submetering!L30</f>
        <v>0</v>
      </c>
      <c r="J30" s="5">
        <v>0.06</v>
      </c>
      <c r="K30" s="186">
        <f>Submetering!K30</f>
        <v>0</v>
      </c>
      <c r="L30" s="5">
        <v>1.1399999999999999</v>
      </c>
      <c r="M30" s="6">
        <f>INT('Daily Meter'!O34*434/100)</f>
        <v>0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opLeftCell="B1" zoomScaleNormal="100" workbookViewId="0">
      <selection activeCell="G35" sqref="G35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 x14ac:dyDescent="0.25">
      <c r="A2" s="2" t="s">
        <v>11</v>
      </c>
      <c r="B2" s="2">
        <v>1</v>
      </c>
      <c r="C2" s="3">
        <v>3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2352.0000000002619</v>
      </c>
      <c r="G2" s="6">
        <f>IF(('Daily Meter'!J6-'1'!D15)&lt;0,"0",'Daily Meter'!J6-'1'!D15)*480</f>
        <v>2303.9999999996508</v>
      </c>
      <c r="H2" s="6">
        <f>IF(('Daily Meter'!K6-'1'!D16)&lt;0,"0",'Daily Meter'!K6-'1'!D16)*480</f>
        <v>1392.0000000000437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5616.0000000003492</v>
      </c>
      <c r="K2" s="6">
        <f>IF(('Daily Meter'!B6-'1'!D7)&lt;0,"0",'Daily Meter'!B6-'1'!D7)*284.34</f>
        <v>5971.1399999999994</v>
      </c>
      <c r="L2" s="6">
        <f>IF(('Daily Meter'!C6-'1'!D10)&lt;0,"0",'Daily Meter'!C6-'1'!D10)*219.969</f>
        <v>49712.993999999999</v>
      </c>
      <c r="M2" s="6">
        <f>IF(('Daily Meter'!N6-'1'!D22)&lt;0,"0",'Daily Meter'!N6-'1'!D22)*3.7</f>
        <v>596.07000000002154</v>
      </c>
      <c r="N2" s="6">
        <f>Total!M2</f>
        <v>369</v>
      </c>
      <c r="O2" s="2" t="s">
        <v>12</v>
      </c>
    </row>
    <row r="3" spans="1:15" x14ac:dyDescent="0.25">
      <c r="A3" s="2" t="s">
        <v>11</v>
      </c>
      <c r="B3" s="2">
        <f t="shared" ref="B3:B30" si="0">B2+1</f>
        <v>2</v>
      </c>
      <c r="C3" s="3">
        <v>3</v>
      </c>
      <c r="D3" s="2">
        <v>2024</v>
      </c>
      <c r="E3" s="6">
        <f>IF(('Daily Meter'!H7-'Daily Meter'!H6)&lt;0,"0",'Daily Meter'!H7-'Daily Meter'!H6)*480</f>
        <v>3456.0000000003492</v>
      </c>
      <c r="F3" s="6">
        <f>IF(('Daily Meter'!I7-'Daily Meter'!I6)&lt;0,"0",'Daily Meter'!I7-'Daily Meter'!I6)*480</f>
        <v>2400</v>
      </c>
      <c r="G3" s="6">
        <f>IF(('Daily Meter'!J7-'Daily Meter'!J6)&lt;0,"0",'Daily Meter'!J7-'Daily Meter'!J6)*480</f>
        <v>2304.0000000000873</v>
      </c>
      <c r="H3" s="6">
        <f>IF(('Daily Meter'!K7-'Daily Meter'!K6)&lt;0,"0",'Daily Meter'!K7-'Daily Meter'!K6)*480</f>
        <v>1440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5423.9999999996508</v>
      </c>
      <c r="K3" s="6">
        <f>IF(('Daily Meter'!B7-'Daily Meter'!B6)&lt;0,"0",'Daily Meter'!B7-'Daily Meter'!B6)*284.34</f>
        <v>5402.4599999999991</v>
      </c>
      <c r="L3" s="6">
        <f>IF(('Daily Meter'!C7-'Daily Meter'!C6)&lt;0,"0",'Daily Meter'!C7-'Daily Meter'!C6)*219.969</f>
        <v>48173.210999999996</v>
      </c>
      <c r="M3" s="6">
        <f>IF(('Daily Meter'!N7-'Daily Meter'!N6)&lt;0,"0",'Daily Meter'!N7-'Daily Meter'!N6)*3.7</f>
        <v>586.81999999996776</v>
      </c>
      <c r="N3" s="6">
        <f>Total!M3</f>
        <v>334</v>
      </c>
      <c r="O3" s="2" t="s">
        <v>12</v>
      </c>
    </row>
    <row r="4" spans="1:15" x14ac:dyDescent="0.2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2304.0000000000873</v>
      </c>
      <c r="G4" s="6">
        <f>IF(('Daily Meter'!J8-'Daily Meter'!J7)&lt;0,"0",'Daily Meter'!J8-'Daily Meter'!J7)*480</f>
        <v>2448.0000000001746</v>
      </c>
      <c r="H4" s="6">
        <f>IF(('Daily Meter'!K8-'Daily Meter'!K7)&lt;0,"0",'Daily Meter'!K8-'Daily Meter'!K7)*480</f>
        <v>1392.0000000000437</v>
      </c>
      <c r="I4" s="6">
        <f>IF(('Daily Meter'!L8-'Daily Meter'!L7)&lt;0,"0",'Daily Meter'!L8-'Daily Meter'!L7)*480</f>
        <v>2255.9999999999127</v>
      </c>
      <c r="J4" s="6">
        <f>IF(('Daily Meter'!M8-'Daily Meter'!M7)&lt;0,"0",'Daily Meter'!M8-'Daily Meter'!M7)*480</f>
        <v>5808.0000000001746</v>
      </c>
      <c r="K4" s="6">
        <f>IF(('Daily Meter'!B8-'Daily Meter'!B7)&lt;0,"0",'Daily Meter'!B8-'Daily Meter'!B7)*284.34</f>
        <v>5345.5920000008273</v>
      </c>
      <c r="L4" s="6">
        <f>IF(('Daily Meter'!C8-'Daily Meter'!C7)&lt;0,"0",'Daily Meter'!C8-'Daily Meter'!C7)*219.969</f>
        <v>46633.428</v>
      </c>
      <c r="M4" s="6">
        <f>IF(('Daily Meter'!N8-'Daily Meter'!N7)&lt;0,"0",'Daily Meter'!N8-'Daily Meter'!N7)*3.7</f>
        <v>430.68000000003235</v>
      </c>
      <c r="N4" s="6">
        <f>Total!M4</f>
        <v>355</v>
      </c>
      <c r="O4" s="2" t="s">
        <v>12</v>
      </c>
    </row>
    <row r="5" spans="1:15" x14ac:dyDescent="0.2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IF(('Daily Meter'!H9-'Daily Meter'!H8)&lt;0,"0",'Daily Meter'!H9-'Daily Meter'!H8)*480</f>
        <v>3311.9999999998254</v>
      </c>
      <c r="F5" s="6">
        <f>IF(('Daily Meter'!I9-'Daily Meter'!I8)&lt;0,"0",'Daily Meter'!I9-'Daily Meter'!I8)*480</f>
        <v>2303.9999999996508</v>
      </c>
      <c r="G5" s="6">
        <f>IF(('Daily Meter'!J9-'Daily Meter'!J8)&lt;0,"0",'Daily Meter'!J9-'Daily Meter'!J8)*480</f>
        <v>2207.9999999997381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5663.9999999996508</v>
      </c>
      <c r="K5" s="6">
        <f>IF(('Daily Meter'!B9-'Daily Meter'!B8)&lt;0,"0",'Daily Meter'!B9-'Daily Meter'!B8)*284.34</f>
        <v>5402.4599999999991</v>
      </c>
      <c r="L5" s="6">
        <f>IF(('Daily Meter'!C9-'Daily Meter'!C8)&lt;0,"0",'Daily Meter'!C9-'Daily Meter'!C8)*219.969</f>
        <v>39374.451000000001</v>
      </c>
      <c r="M5" s="6">
        <f>IF(('Daily Meter'!N9-'Daily Meter'!N8)&lt;0,"0",'Daily Meter'!N9-'Daily Meter'!N8)*3.7</f>
        <v>580.9</v>
      </c>
      <c r="N5" s="6">
        <f>Total!M5</f>
        <v>385</v>
      </c>
      <c r="O5" s="2" t="s">
        <v>12</v>
      </c>
    </row>
    <row r="6" spans="1:15" x14ac:dyDescent="0.2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2256.0000000003492</v>
      </c>
      <c r="G6" s="6">
        <f>IF(('Daily Meter'!J10-'Daily Meter'!J9)&lt;0,"0",'Daily Meter'!J10-'Daily Meter'!J9)*480</f>
        <v>2208.0000000001746</v>
      </c>
      <c r="H6" s="6">
        <f>IF(('Daily Meter'!K10-'Daily Meter'!K9)&lt;0,"0",'Daily Meter'!K10-'Daily Meter'!K9)*480</f>
        <v>1391.9999999998254</v>
      </c>
      <c r="I6" s="6">
        <f>IF(('Daily Meter'!L10-'Daily Meter'!L9)&lt;0,"0",'Daily Meter'!L10-'Daily Meter'!L9)*480</f>
        <v>2227.2000000001572</v>
      </c>
      <c r="J6" s="6">
        <f>IF(('Daily Meter'!M10-'Daily Meter'!M9)&lt;0,"0",'Daily Meter'!M10-'Daily Meter'!M9)*480</f>
        <v>5711.9999999998254</v>
      </c>
      <c r="K6" s="6">
        <f>IF(('Daily Meter'!B10-'Daily Meter'!B9)&lt;0,"0",'Daily Meter'!B10-'Daily Meter'!B9)*284.34</f>
        <v>5828.9699999999993</v>
      </c>
      <c r="L6" s="6">
        <f>IF(('Daily Meter'!C10-'Daily Meter'!C9)&lt;0,"0",'Daily Meter'!C10-'Daily Meter'!C9)*219.969</f>
        <v>45093.644999999997</v>
      </c>
      <c r="M6" s="6">
        <f>IF(('Daily Meter'!N10-'Daily Meter'!N9)&lt;0,"0",'Daily Meter'!N10-'Daily Meter'!N9)*3.7</f>
        <v>549.07999999997844</v>
      </c>
      <c r="N6" s="6">
        <f>Total!M6</f>
        <v>411</v>
      </c>
      <c r="O6" s="2" t="s">
        <v>12</v>
      </c>
    </row>
    <row r="7" spans="1:15" x14ac:dyDescent="0.2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IF(('Daily Meter'!H11-'Daily Meter'!H10)&lt;0,"0",'Daily Meter'!H11-'Daily Meter'!H10)*480</f>
        <v>3455.9999999999127</v>
      </c>
      <c r="F7" s="6">
        <f>IF(('Daily Meter'!I11-'Daily Meter'!I10)&lt;0,"0",'Daily Meter'!I11-'Daily Meter'!I10)*480</f>
        <v>2255.9999999999127</v>
      </c>
      <c r="G7" s="6">
        <f>IF(('Daily Meter'!J11-'Daily Meter'!J10)&lt;0,"0",'Daily Meter'!J11-'Daily Meter'!J10)*480</f>
        <v>2160</v>
      </c>
      <c r="H7" s="6">
        <f>IF(('Daily Meter'!K11-'Daily Meter'!K10)&lt;0,"0",'Daily Meter'!K11-'Daily Meter'!K10)*480</f>
        <v>1440</v>
      </c>
      <c r="I7" s="6">
        <f>IF(('Daily Meter'!L11-'Daily Meter'!L10)&lt;0,"0",'Daily Meter'!L11-'Daily Meter'!L10)*480</f>
        <v>2188.8000000001921</v>
      </c>
      <c r="J7" s="6">
        <f>IF(('Daily Meter'!M11-'Daily Meter'!M10)&lt;0,"0",'Daily Meter'!M11-'Daily Meter'!M10)*480</f>
        <v>5520</v>
      </c>
      <c r="K7" s="6">
        <f>IF(('Daily Meter'!B11-'Daily Meter'!B10)&lt;0,"0",'Daily Meter'!B11-'Daily Meter'!B10)*284.34</f>
        <v>6369.2159999983442</v>
      </c>
      <c r="L7" s="6">
        <f>IF(('Daily Meter'!C11-'Daily Meter'!C10)&lt;0,"0",'Daily Meter'!C11-'Daily Meter'!C10)*219.969</f>
        <v>40474.296000000002</v>
      </c>
      <c r="M7" s="6">
        <f>IF(('Daily Meter'!N11-'Daily Meter'!N10)&lt;0,"0",'Daily Meter'!N11-'Daily Meter'!N10)*3.7</f>
        <v>523.55000000000007</v>
      </c>
      <c r="N7" s="6">
        <f>Total!M7</f>
        <v>396</v>
      </c>
      <c r="O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IF(('Daily Meter'!H12-'Daily Meter'!H11)&lt;0,"0",'Daily Meter'!H12-'Daily Meter'!H11)*480</f>
        <v>3455.9999999999127</v>
      </c>
      <c r="F8" s="6">
        <f>IF(('Daily Meter'!I12-'Daily Meter'!I11)&lt;0,"0",'Daily Meter'!I12-'Daily Meter'!I11)*480</f>
        <v>2207.9999999997381</v>
      </c>
      <c r="G8" s="6">
        <f>IF(('Daily Meter'!J12-'Daily Meter'!J11)&lt;0,"0",'Daily Meter'!J12-'Daily Meter'!J11)*480</f>
        <v>2064.0000000000873</v>
      </c>
      <c r="H8" s="6">
        <f>IF(('Daily Meter'!K12-'Daily Meter'!K11)&lt;0,"0",'Daily Meter'!K12-'Daily Meter'!K11)*480</f>
        <v>1344.0000000000873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5424.0000000005239</v>
      </c>
      <c r="K8" s="6">
        <f>IF(('Daily Meter'!B12-'Daily Meter'!B11)&lt;0,"0",'Daily Meter'!B12-'Daily Meter'!B11)*284.34</f>
        <v>6227.0460000004132</v>
      </c>
      <c r="L8" s="6">
        <f>IF(('Daily Meter'!C12-'Daily Meter'!C11)&lt;0,"0",'Daily Meter'!C12-'Daily Meter'!C11)*219.969</f>
        <v>35854.947</v>
      </c>
      <c r="M8" s="6">
        <f>IF(('Daily Meter'!N12-'Daily Meter'!N11)&lt;0,"0",'Daily Meter'!N12-'Daily Meter'!N11)*3.7</f>
        <v>504.3100000000108</v>
      </c>
      <c r="N8" s="6">
        <f>Total!M8</f>
        <v>401</v>
      </c>
      <c r="O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IF(('Daily Meter'!H13-'Daily Meter'!H12)&lt;0,"0",'Daily Meter'!H13-'Daily Meter'!H12)*480</f>
        <v>3408.0000000001746</v>
      </c>
      <c r="F9" s="6">
        <f>IF(('Daily Meter'!I13-'Daily Meter'!I12)&lt;0,"0",'Daily Meter'!I13-'Daily Meter'!I12)*480</f>
        <v>2160</v>
      </c>
      <c r="G9" s="6">
        <f>IF(('Daily Meter'!J13-'Daily Meter'!J12)&lt;0,"0",'Daily Meter'!J13-'Daily Meter'!J12)*480</f>
        <v>2255.9999999999127</v>
      </c>
      <c r="H9" s="6">
        <f>IF(('Daily Meter'!K13-'Daily Meter'!K12)&lt;0,"0",'Daily Meter'!K13-'Daily Meter'!K12)*480</f>
        <v>1440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5615.9999999994761</v>
      </c>
      <c r="K9" s="6">
        <f>IF(('Daily Meter'!B13-'Daily Meter'!B12)&lt;0,"0",'Daily Meter'!B13-'Daily Meter'!B12)*284.34</f>
        <v>6113.3099999999995</v>
      </c>
      <c r="L9" s="6">
        <f>IF(('Daily Meter'!C13-'Daily Meter'!C12)&lt;0,"0",'Daily Meter'!C13-'Daily Meter'!C12)*219.969</f>
        <v>41574.140999999996</v>
      </c>
      <c r="M9" s="6">
        <f>IF(('Daily Meter'!N13-'Daily Meter'!N12)&lt;0,"0",'Daily Meter'!N13-'Daily Meter'!N12)*3.7</f>
        <v>489.87999999997851</v>
      </c>
      <c r="N9" s="6">
        <f>Total!M9</f>
        <v>318</v>
      </c>
      <c r="O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IF(('Daily Meter'!H14-'Daily Meter'!H13)&lt;0,"0",'Daily Meter'!H14-'Daily Meter'!H13)*480</f>
        <v>3551.9999999998254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2208.0000000001746</v>
      </c>
      <c r="H10" s="6">
        <f>IF(('Daily Meter'!K14-'Daily Meter'!K13)&lt;0,"0",'Daily Meter'!K14-'Daily Meter'!K13)*480</f>
        <v>1344.0000000000873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8046.8220000008268</v>
      </c>
      <c r="L10" s="6">
        <f>IF(('Daily Meter'!C14-'Daily Meter'!C13)&lt;0,"0",'Daily Meter'!C14-'Daily Meter'!C13)*219.969</f>
        <v>50372.900999999998</v>
      </c>
      <c r="M10" s="6">
        <f>IF(('Daily Meter'!N14-'Daily Meter'!N13)&lt;0,"0",'Daily Meter'!N14-'Daily Meter'!N13)*3.7</f>
        <v>577.57000000002154</v>
      </c>
      <c r="N10" s="6">
        <f>Total!M10</f>
        <v>251</v>
      </c>
      <c r="O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2064.0000000000873</v>
      </c>
      <c r="G11" s="6">
        <f>IF(('Daily Meter'!J15-'Daily Meter'!J14)&lt;0,"0",'Daily Meter'!J15-'Daily Meter'!J14)*480</f>
        <v>2160</v>
      </c>
      <c r="H11" s="6">
        <f>IF(('Daily Meter'!K15-'Daily Meter'!K14)&lt;0,"0",'Daily Meter'!K15-'Daily Meter'!K14)*480</f>
        <v>1487.9999999999563</v>
      </c>
      <c r="I11" s="6">
        <f>IF(('Daily Meter'!L15-'Daily Meter'!L14)&lt;0,"0",'Daily Meter'!L15-'Daily Meter'!L14)*480</f>
        <v>2304.0000000000873</v>
      </c>
      <c r="J11" s="6">
        <f>IF(('Daily Meter'!M15-'Daily Meter'!M14)&lt;0,"0",'Daily Meter'!M15-'Daily Meter'!M14)*480</f>
        <v>5616.0000000003492</v>
      </c>
      <c r="K11" s="6">
        <f>IF(('Daily Meter'!B15-'Daily Meter'!B14)&lt;0,"0",'Daily Meter'!B15-'Daily Meter'!B14)*284.34</f>
        <v>5800.536000000413</v>
      </c>
      <c r="L11" s="6">
        <f>IF(('Daily Meter'!C15-'Daily Meter'!C14)&lt;0,"0",'Daily Meter'!C15-'Daily Meter'!C14)*219.969</f>
        <v>43773.830999999998</v>
      </c>
      <c r="M11" s="6">
        <f>IF(('Daily Meter'!N15-'Daily Meter'!N14)&lt;0,"0",'Daily Meter'!N15-'Daily Meter'!N14)*3.7</f>
        <v>481</v>
      </c>
      <c r="N11" s="6">
        <f>Total!M11</f>
        <v>171</v>
      </c>
      <c r="O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IF(('Daily Meter'!H16-'Daily Meter'!H15)&lt;0,"0",'Daily Meter'!H16-'Daily Meter'!H15)*480</f>
        <v>3455.9999999999127</v>
      </c>
      <c r="F12" s="6">
        <f>IF(('Daily Meter'!I16-'Daily Meter'!I15)&lt;0,"0",'Daily Meter'!I16-'Daily Meter'!I15)*480</f>
        <v>1920</v>
      </c>
      <c r="G12" s="6">
        <f>IF(('Daily Meter'!J16-'Daily Meter'!J15)&lt;0,"0",'Daily Meter'!J16-'Daily Meter'!J15)*480</f>
        <v>2015.9999999999127</v>
      </c>
      <c r="H12" s="6">
        <f>IF(('Daily Meter'!K16-'Daily Meter'!K15)&lt;0,"0",'Daily Meter'!K16-'Daily Meter'!K15)*480</f>
        <v>1247.9999999999563</v>
      </c>
      <c r="I12" s="6">
        <f>IF(('Daily Meter'!L16-'Daily Meter'!L15)&lt;0,"0",'Daily Meter'!L16-'Daily Meter'!L15)*480</f>
        <v>2160</v>
      </c>
      <c r="J12" s="6">
        <f>IF(('Daily Meter'!M16-'Daily Meter'!M15)&lt;0,"0",'Daily Meter'!M16-'Daily Meter'!M15)*480</f>
        <v>5568.0000000001746</v>
      </c>
      <c r="K12" s="6">
        <f>IF(('Daily Meter'!B16-'Daily Meter'!B15)&lt;0,"0",'Daily Meter'!B16-'Daily Meter'!B15)*284.34</f>
        <v>6141.7439999995859</v>
      </c>
      <c r="L12" s="6">
        <f>IF(('Daily Meter'!C16-'Daily Meter'!C15)&lt;0,"0",'Daily Meter'!C16-'Daily Meter'!C15)*219.969</f>
        <v>35634.977999999996</v>
      </c>
      <c r="M12" s="6">
        <f>IF(('Daily Meter'!N16-'Daily Meter'!N15)&lt;0,"0",'Daily Meter'!N16-'Daily Meter'!N15)*3.7</f>
        <v>431.42000000002156</v>
      </c>
      <c r="N12" s="6">
        <f>Total!M12</f>
        <v>177</v>
      </c>
      <c r="O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IF(('Daily Meter'!H17-'Daily Meter'!H16)&lt;0,"0",'Daily Meter'!H17-'Daily Meter'!H16)*480</f>
        <v>3312.0000000002619</v>
      </c>
      <c r="F13" s="6">
        <f>IF(('Daily Meter'!I17-'Daily Meter'!I16)&lt;0,"0",'Daily Meter'!I17-'Daily Meter'!I16)*480</f>
        <v>1967.9999999997381</v>
      </c>
      <c r="G13" s="6">
        <f>IF(('Daily Meter'!J17-'Daily Meter'!J16)&lt;0,"0",'Daily Meter'!J17-'Daily Meter'!J16)*480</f>
        <v>2015.9999999999127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2207.9999999997381</v>
      </c>
      <c r="J13" s="6">
        <f>IF(('Daily Meter'!M17-'Daily Meter'!M16)&lt;0,"0",'Daily Meter'!M17-'Daily Meter'!M16)*480</f>
        <v>5711.9999999998254</v>
      </c>
      <c r="K13" s="6">
        <f>IF(('Daily Meter'!B17-'Daily Meter'!B16)&lt;0,"0",'Daily Meter'!B17-'Daily Meter'!B16)*284.34</f>
        <v>6084.8760000004131</v>
      </c>
      <c r="L13" s="6">
        <f>IF(('Daily Meter'!C17-'Daily Meter'!C16)&lt;0,"0",'Daily Meter'!C17-'Daily Meter'!C16)*219.969</f>
        <v>30135.753000000001</v>
      </c>
      <c r="M13" s="6">
        <f>IF(('Daily Meter'!N17-'Daily Meter'!N16)&lt;0,"0",'Daily Meter'!N17-'Daily Meter'!N16)*3.7</f>
        <v>394.05</v>
      </c>
      <c r="N13" s="6">
        <f>Total!M13</f>
        <v>178</v>
      </c>
      <c r="O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IF(('Daily Meter'!H18-'Daily Meter'!H17)&lt;0,"0",'Daily Meter'!H18-'Daily Meter'!H17)*480</f>
        <v>3311.9999999998254</v>
      </c>
      <c r="F14" s="6">
        <f>IF(('Daily Meter'!I18-'Daily Meter'!I17)&lt;0,"0",'Daily Meter'!I18-'Daily Meter'!I17)*480</f>
        <v>2016.0000000003492</v>
      </c>
      <c r="G14" s="6">
        <f>IF(('Daily Meter'!J18-'Daily Meter'!J17)&lt;0,"0",'Daily Meter'!J18-'Daily Meter'!J17)*480</f>
        <v>2064.0000000000873</v>
      </c>
      <c r="H14" s="6">
        <f>IF(('Daily Meter'!K18-'Daily Meter'!K17)&lt;0,"0",'Daily Meter'!K18-'Daily Meter'!K17)*480</f>
        <v>1248.0000000001746</v>
      </c>
      <c r="I14" s="6">
        <f>IF(('Daily Meter'!L18-'Daily Meter'!L17)&lt;0,"0",'Daily Meter'!L18-'Daily Meter'!L17)*480</f>
        <v>2208.0000000001746</v>
      </c>
      <c r="J14" s="6">
        <f>IF(('Daily Meter'!M18-'Daily Meter'!M17)&lt;0,"0",'Daily Meter'!M18-'Daily Meter'!M17)*480</f>
        <v>5663.9999999996508</v>
      </c>
      <c r="K14" s="6">
        <f>IF(('Daily Meter'!B18-'Daily Meter'!B17)&lt;0,"0",'Daily Meter'!B18-'Daily Meter'!B17)*284.34</f>
        <v>6056.4419999987585</v>
      </c>
      <c r="L14" s="6">
        <f>IF(('Daily Meter'!C18-'Daily Meter'!C17)&lt;0,"0",'Daily Meter'!C18-'Daily Meter'!C17)*219.969</f>
        <v>35854.947</v>
      </c>
      <c r="M14" s="6">
        <f>IF(('Daily Meter'!N18-'Daily Meter'!N17)&lt;0,"0",'Daily Meter'!N18-'Daily Meter'!N17)*3.7</f>
        <v>430.67999999997846</v>
      </c>
      <c r="N14" s="6">
        <f>Total!M14</f>
        <v>155</v>
      </c>
      <c r="O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IF(('Daily Meter'!H19-'Daily Meter'!H18)&lt;0,"0",'Daily Meter'!H19-'Daily Meter'!H18)*480</f>
        <v>3360</v>
      </c>
      <c r="F15" s="6">
        <f>IF(('Daily Meter'!I19-'Daily Meter'!I18)&lt;0,"0",'Daily Meter'!I19-'Daily Meter'!I18)*480</f>
        <v>1967.9999999997381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1343.999999999869</v>
      </c>
      <c r="I15" s="6">
        <f>IF(('Daily Meter'!L19-'Daily Meter'!L18)&lt;0,"0",'Daily Meter'!L19-'Daily Meter'!L18)*480</f>
        <v>2207.9999999997381</v>
      </c>
      <c r="J15" s="6">
        <f>IF(('Daily Meter'!M19-'Daily Meter'!M18)&lt;0,"0",'Daily Meter'!M19-'Daily Meter'!M18)*480</f>
        <v>5760</v>
      </c>
      <c r="K15" s="6">
        <f>IF(('Daily Meter'!B19-'Daily Meter'!B18)&lt;0,"0",'Daily Meter'!B19-'Daily Meter'!B18)*284.34</f>
        <v>6482.952000000827</v>
      </c>
      <c r="L15" s="6">
        <f>IF(('Daily Meter'!C19-'Daily Meter'!C18)&lt;0,"0",'Daily Meter'!C19-'Daily Meter'!C18)*219.969</f>
        <v>40694.264999999999</v>
      </c>
      <c r="M15" s="6">
        <f>IF(('Daily Meter'!N19-'Daily Meter'!N18)&lt;0,"0",'Daily Meter'!N19-'Daily Meter'!N18)*3.7</f>
        <v>447.70000000000005</v>
      </c>
      <c r="N15" s="6">
        <f>Total!M15</f>
        <v>167</v>
      </c>
      <c r="O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IF(('Daily Meter'!H20-'Daily Meter'!H19)&lt;0,"0",'Daily Meter'!H20-'Daily Meter'!H19)*480</f>
        <v>3455.9999999999127</v>
      </c>
      <c r="F16" s="6">
        <f>IF(('Daily Meter'!I20-'Daily Meter'!I19)&lt;0,"0",'Daily Meter'!I20-'Daily Meter'!I19)*480</f>
        <v>1920</v>
      </c>
      <c r="G16" s="6">
        <f>IF(('Daily Meter'!J20-'Daily Meter'!J19)&lt;0,"0",'Daily Meter'!J20-'Daily Meter'!J19)*480</f>
        <v>2015.9999999999127</v>
      </c>
      <c r="H16" s="6">
        <f>IF(('Daily Meter'!K20-'Daily Meter'!K19)&lt;0,"0",'Daily Meter'!K20-'Daily Meter'!K19)*480</f>
        <v>1296.000000000131</v>
      </c>
      <c r="I16" s="6">
        <f>IF(('Daily Meter'!L20-'Daily Meter'!L19)&lt;0,"0",'Daily Meter'!L20-'Daily Meter'!L19)*480</f>
        <v>2208.0000000001746</v>
      </c>
      <c r="J16" s="6">
        <f>IF(('Daily Meter'!M20-'Daily Meter'!M19)&lt;0,"0",'Daily Meter'!M20-'Daily Meter'!M19)*480</f>
        <v>5808.0000000001746</v>
      </c>
      <c r="K16" s="6">
        <f>IF(('Daily Meter'!B20-'Daily Meter'!B19)&lt;0,"0",'Daily Meter'!B20-'Daily Meter'!B19)*284.34</f>
        <v>7563.4439999995857</v>
      </c>
      <c r="L16" s="6">
        <f>IF(('Daily Meter'!C20-'Daily Meter'!C19)&lt;0,"0",'Daily Meter'!C20-'Daily Meter'!C19)*219.969</f>
        <v>27496.125</v>
      </c>
      <c r="M16" s="6">
        <f>IF(('Daily Meter'!N20-'Daily Meter'!N19)&lt;0,"0",'Daily Meter'!N20-'Daily Meter'!N19)*3.7</f>
        <v>465.08999999998923</v>
      </c>
      <c r="N16" s="6">
        <f>Total!M16</f>
        <v>144</v>
      </c>
      <c r="O16" s="2" t="s">
        <v>12</v>
      </c>
    </row>
    <row r="17" spans="1:15" x14ac:dyDescent="0.2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IF(('Daily Meter'!H21-'Daily Meter'!H20)&lt;0,"0",'Daily Meter'!H21-'Daily Meter'!H20)*480</f>
        <v>3312.0000000002619</v>
      </c>
      <c r="F17" s="6">
        <f>IF(('Daily Meter'!I21-'Daily Meter'!I20)&lt;0,"0",'Daily Meter'!I21-'Daily Meter'!I20)*480</f>
        <v>1920</v>
      </c>
      <c r="G17" s="6">
        <f>IF(('Daily Meter'!J21-'Daily Meter'!J20)&lt;0,"0",'Daily Meter'!J21-'Daily Meter'!J20)*480</f>
        <v>1968.0000000001746</v>
      </c>
      <c r="H17" s="6">
        <f>IF(('Daily Meter'!K21-'Daily Meter'!K20)&lt;0,"0",'Daily Meter'!K21-'Daily Meter'!K20)*480</f>
        <v>1343.999999999869</v>
      </c>
      <c r="I17" s="6">
        <f>IF(('Daily Meter'!L21-'Daily Meter'!L20)&lt;0,"0",'Daily Meter'!L21-'Daily Meter'!L20)*480</f>
        <v>2208.0000000001746</v>
      </c>
      <c r="J17" s="6">
        <f>IF(('Daily Meter'!M21-'Daily Meter'!M20)&lt;0,"0",'Daily Meter'!M21-'Daily Meter'!M20)*480</f>
        <v>5951.9999999998254</v>
      </c>
      <c r="K17" s="6">
        <f>IF(('Daily Meter'!B21-'Daily Meter'!B20)&lt;0,"0",'Daily Meter'!B21-'Daily Meter'!B20)*284.34</f>
        <v>7421.2739999995856</v>
      </c>
      <c r="L17" s="6">
        <f>IF(('Daily Meter'!C21-'Daily Meter'!C20)&lt;0,"0",'Daily Meter'!C21-'Daily Meter'!C20)*219.969</f>
        <v>45093.644999999997</v>
      </c>
      <c r="M17" s="6">
        <f>IF(('Daily Meter'!N21-'Daily Meter'!N20)&lt;0,"0",'Daily Meter'!N21-'Daily Meter'!N20)*3.7</f>
        <v>463.98000000003231</v>
      </c>
      <c r="N17" s="6">
        <f>Total!M17</f>
        <v>145</v>
      </c>
      <c r="O17" s="2" t="s">
        <v>12</v>
      </c>
    </row>
    <row r="18" spans="1:15" x14ac:dyDescent="0.2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IF(('Daily Meter'!H22-'Daily Meter'!H21)&lt;0,"0",'Daily Meter'!H22-'Daily Meter'!H21)*480</f>
        <v>3360</v>
      </c>
      <c r="F18" s="6">
        <f>IF(('Daily Meter'!I22-'Daily Meter'!I21)&lt;0,"0",'Daily Meter'!I22-'Daily Meter'!I21)*480</f>
        <v>1872.0000000002619</v>
      </c>
      <c r="G18" s="6">
        <f>IF(('Daily Meter'!J22-'Daily Meter'!J21)&lt;0,"0",'Daily Meter'!J22-'Daily Meter'!J21)*480</f>
        <v>2015.9999999999127</v>
      </c>
      <c r="H18" s="6">
        <f>IF(('Daily Meter'!K22-'Daily Meter'!K21)&lt;0,"0",'Daily Meter'!K22-'Daily Meter'!K21)*480</f>
        <v>1344.0000000000873</v>
      </c>
      <c r="I18" s="6">
        <f>IF(('Daily Meter'!L22-'Daily Meter'!L21)&lt;0,"0",'Daily Meter'!L22-'Daily Meter'!L21)*480</f>
        <v>2255.9999999999127</v>
      </c>
      <c r="J18" s="6">
        <f>IF(('Daily Meter'!M22-'Daily Meter'!M21)&lt;0,"0",'Daily Meter'!M22-'Daily Meter'!M21)*480</f>
        <v>5951.9999999998254</v>
      </c>
      <c r="K18" s="6">
        <f>IF(('Daily Meter'!B22-'Daily Meter'!B21)&lt;0,"0",'Daily Meter'!B22-'Daily Meter'!B21)*284.34</f>
        <v>7989.9539999995859</v>
      </c>
      <c r="L18" s="6">
        <f>IF(('Daily Meter'!C22-'Daily Meter'!C21)&lt;0,"0",'Daily Meter'!C22-'Daily Meter'!C21)*219.969</f>
        <v>33435.288</v>
      </c>
      <c r="M18" s="6">
        <f>IF(('Daily Meter'!N22-'Daily Meter'!N21)&lt;0,"0",'Daily Meter'!N22-'Daily Meter'!N21)*3.7</f>
        <v>458.8</v>
      </c>
      <c r="N18" s="6">
        <f>Total!M18</f>
        <v>195</v>
      </c>
      <c r="O18" s="2" t="s">
        <v>12</v>
      </c>
    </row>
    <row r="19" spans="1:15" x14ac:dyDescent="0.2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IF(('Daily Meter'!H23-'Daily Meter'!H22)&lt;0,"0",'Daily Meter'!H23-'Daily Meter'!H22)*480</f>
        <v>3264.0000000000873</v>
      </c>
      <c r="F19" s="6">
        <f>IF(('Daily Meter'!I23-'Daily Meter'!I22)&lt;0,"0",'Daily Meter'!I23-'Daily Meter'!I22)*480</f>
        <v>1871.9999999998254</v>
      </c>
      <c r="G19" s="6">
        <f>IF(('Daily Meter'!J23-'Daily Meter'!J22)&lt;0,"0",'Daily Meter'!J23-'Daily Meter'!J22)*480</f>
        <v>1920</v>
      </c>
      <c r="H19" s="6">
        <f>IF(('Daily Meter'!K23-'Daily Meter'!K22)&lt;0,"0",'Daily Meter'!K23-'Daily Meter'!K22)*480</f>
        <v>1247.9999999999563</v>
      </c>
      <c r="I19" s="6">
        <f>IF(('Daily Meter'!L23-'Daily Meter'!L22)&lt;0,"0",'Daily Meter'!L23-'Daily Meter'!L22)*480</f>
        <v>2160</v>
      </c>
      <c r="J19" s="6">
        <f>IF(('Daily Meter'!M23-'Daily Meter'!M22)&lt;0,"0",'Daily Meter'!M23-'Daily Meter'!M22)*480</f>
        <v>5856.0000000003492</v>
      </c>
      <c r="K19" s="6">
        <f>IF(('Daily Meter'!B23-'Daily Meter'!B22)&lt;0,"0",'Daily Meter'!B23-'Daily Meter'!B22)*284.34</f>
        <v>8700.8040000016535</v>
      </c>
      <c r="L19" s="6">
        <f>IF(('Daily Meter'!C23-'Daily Meter'!C22)&lt;0,"0",'Daily Meter'!C23-'Daily Meter'!C22)*219.969</f>
        <v>27496.125</v>
      </c>
      <c r="M19" s="6">
        <f>IF(('Daily Meter'!N23-'Daily Meter'!N22)&lt;0,"0",'Daily Meter'!N23-'Daily Meter'!N22)*3.7</f>
        <v>464.35</v>
      </c>
      <c r="N19" s="6">
        <f>Total!M19</f>
        <v>255</v>
      </c>
      <c r="O19" s="2" t="s">
        <v>12</v>
      </c>
    </row>
    <row r="20" spans="1:15" x14ac:dyDescent="0.2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IF(('Daily Meter'!H24-'Daily Meter'!H23)&lt;0,"0",'Daily Meter'!H24-'Daily Meter'!H23)*480</f>
        <v>3360</v>
      </c>
      <c r="F20" s="6">
        <f>IF(('Daily Meter'!I24-'Daily Meter'!I23)&lt;0,"0",'Daily Meter'!I24-'Daily Meter'!I23)*480</f>
        <v>1968.0000000001746</v>
      </c>
      <c r="G20" s="6">
        <f>IF(('Daily Meter'!J24-'Daily Meter'!J23)&lt;0,"0",'Daily Meter'!J24-'Daily Meter'!J23)*480</f>
        <v>2015.9999999999127</v>
      </c>
      <c r="H20" s="6">
        <f>IF(('Daily Meter'!K24-'Daily Meter'!K23)&lt;0,"0",'Daily Meter'!K24-'Daily Meter'!K23)*480</f>
        <v>1392.0000000000437</v>
      </c>
      <c r="I20" s="6">
        <f>IF(('Daily Meter'!L24-'Daily Meter'!L23)&lt;0,"0",'Daily Meter'!L24-'Daily Meter'!L23)*480</f>
        <v>2207.9999999997381</v>
      </c>
      <c r="J20" s="6">
        <f>IF(('Daily Meter'!M24-'Daily Meter'!M23)&lt;0,"0",'Daily Meter'!M24-'Daily Meter'!M23)*480</f>
        <v>5951.9999999998254</v>
      </c>
      <c r="K20" s="6">
        <f>IF(('Daily Meter'!B24-'Daily Meter'!B23)&lt;0,"0",'Daily Meter'!B24-'Daily Meter'!B23)*284.34</f>
        <v>8700.8039999995854</v>
      </c>
      <c r="L20" s="6">
        <f>IF(('Daily Meter'!C24-'Daily Meter'!C23)&lt;0,"0",'Daily Meter'!C24-'Daily Meter'!C23)*219.969</f>
        <v>26616.249</v>
      </c>
      <c r="M20" s="6">
        <f>IF(('Daily Meter'!N24-'Daily Meter'!N23)&lt;0,"0",'Daily Meter'!N24-'Daily Meter'!N23)*3.7</f>
        <v>475.45000000000005</v>
      </c>
      <c r="N20" s="6">
        <f>Total!M20</f>
        <v>0</v>
      </c>
      <c r="O20" s="2" t="s">
        <v>12</v>
      </c>
    </row>
    <row r="21" spans="1:15" x14ac:dyDescent="0.2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IF(('Daily Meter'!H25-'Daily Meter'!H24)&lt;0,"0",'Daily Meter'!H25-'Daily Meter'!H24)*480</f>
        <v>0</v>
      </c>
      <c r="F21" s="6">
        <f>IF(('Daily Meter'!I25-'Daily Meter'!I24)&lt;0,"0",'Daily Meter'!I25-'Daily Meter'!I24)*480</f>
        <v>0</v>
      </c>
      <c r="G21" s="6">
        <f>IF(('Daily Meter'!J25-'Daily Meter'!J24)&lt;0,"0",'Daily Meter'!J25-'Daily Meter'!J24)*480</f>
        <v>0</v>
      </c>
      <c r="H21" s="6">
        <f>IF(('Daily Meter'!K25-'Daily Meter'!K24)&lt;0,"0",'Daily Meter'!K25-'Daily Meter'!K24)*480</f>
        <v>0</v>
      </c>
      <c r="I21" s="6">
        <f>IF(('Daily Meter'!L25-'Daily Meter'!L24)&lt;0,"0",'Daily Meter'!L25-'Daily Meter'!L24)*480</f>
        <v>0</v>
      </c>
      <c r="J21" s="6">
        <f>IF(('Daily Meter'!M25-'Daily Meter'!M24)&lt;0,"0",'Daily Meter'!M25-'Daily Meter'!M24)*480</f>
        <v>0</v>
      </c>
      <c r="K21" s="6">
        <f>IF(('Daily Meter'!B25-'Daily Meter'!B24)&lt;0,"0",'Daily Meter'!B25-'Daily Meter'!B24)*284.34</f>
        <v>0</v>
      </c>
      <c r="L21" s="6">
        <f>IF(('Daily Meter'!C25-'Daily Meter'!C24)&lt;0,"0",'Daily Meter'!C25-'Daily Meter'!C24)*219.969</f>
        <v>0</v>
      </c>
      <c r="M21" s="6">
        <f>IF(('Daily Meter'!N25-'Daily Meter'!N24)&lt;0,"0",'Daily Meter'!N25-'Daily Meter'!N24)*3.7</f>
        <v>0</v>
      </c>
      <c r="N21" s="6">
        <f>Total!M21</f>
        <v>0</v>
      </c>
      <c r="O21" s="2" t="s">
        <v>12</v>
      </c>
    </row>
    <row r="22" spans="1:15" x14ac:dyDescent="0.2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IF(('Daily Meter'!H26-'Daily Meter'!H25)&lt;0,"0",'Daily Meter'!H26-'Daily Meter'!H25)*480</f>
        <v>0</v>
      </c>
      <c r="F22" s="6">
        <f>IF(('Daily Meter'!I26-'Daily Meter'!I25)&lt;0,"0",'Daily Meter'!I26-'Daily Meter'!I25)*480</f>
        <v>0</v>
      </c>
      <c r="G22" s="6">
        <f>IF(('Daily Meter'!J26-'Daily Meter'!J25)&lt;0,"0",'Daily Meter'!J26-'Daily Meter'!J25)*480</f>
        <v>0</v>
      </c>
      <c r="H22" s="6">
        <f>IF(('Daily Meter'!K26-'Daily Meter'!K25)&lt;0,"0",'Daily Meter'!K26-'Daily Meter'!K25)*480</f>
        <v>0</v>
      </c>
      <c r="I22" s="6">
        <f>IF(('Daily Meter'!L26-'Daily Meter'!L25)&lt;0,"0",'Daily Meter'!L26-'Daily Meter'!L25)*480</f>
        <v>0</v>
      </c>
      <c r="J22" s="6">
        <f>IF(('Daily Meter'!M26-'Daily Meter'!M25)&lt;0,"0",'Daily Meter'!M26-'Daily Meter'!M25)*480</f>
        <v>0</v>
      </c>
      <c r="K22" s="6">
        <f>IF(('Daily Meter'!B26-'Daily Meter'!B25)&lt;0,"0",'Daily Meter'!B26-'Daily Meter'!B25)*284.34</f>
        <v>0</v>
      </c>
      <c r="L22" s="6">
        <f>IF(('Daily Meter'!C26-'Daily Meter'!C25)&lt;0,"0",'Daily Meter'!C26-'Daily Meter'!C25)*219.969</f>
        <v>0</v>
      </c>
      <c r="M22" s="6">
        <f>IF(('Daily Meter'!N26-'Daily Meter'!N25)&lt;0,"0",'Daily Meter'!N26-'Daily Meter'!N25)*3.7</f>
        <v>0</v>
      </c>
      <c r="N22" s="6">
        <f>Total!M22</f>
        <v>0</v>
      </c>
      <c r="O22" s="2" t="s">
        <v>12</v>
      </c>
    </row>
    <row r="23" spans="1:15" x14ac:dyDescent="0.2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IF(('Daily Meter'!H27-'Daily Meter'!H26)&lt;0,"0",'Daily Meter'!H27-'Daily Meter'!H26)*480</f>
        <v>0</v>
      </c>
      <c r="F23" s="6">
        <f>IF(('Daily Meter'!I27-'Daily Meter'!I26)&lt;0,"0",'Daily Meter'!I27-'Daily Meter'!I26)*480</f>
        <v>0</v>
      </c>
      <c r="G23" s="6">
        <f>IF(('Daily Meter'!J27-'Daily Meter'!J26)&lt;0,"0",'Daily Meter'!J27-'Daily Meter'!J26)*480</f>
        <v>0</v>
      </c>
      <c r="H23" s="6">
        <f>IF(('Daily Meter'!K27-'Daily Meter'!K26)&lt;0,"0",'Daily Meter'!K27-'Daily Meter'!K26)*480</f>
        <v>0</v>
      </c>
      <c r="I23" s="6">
        <f>IF(('Daily Meter'!L27-'Daily Meter'!L26)&lt;0,"0",'Daily Meter'!L27-'Daily Meter'!L26)*480</f>
        <v>0</v>
      </c>
      <c r="J23" s="6">
        <f>IF(('Daily Meter'!M27-'Daily Meter'!M26)&lt;0,"0",'Daily Meter'!M27-'Daily Meter'!M26)*480</f>
        <v>0</v>
      </c>
      <c r="K23" s="6">
        <f>IF(('Daily Meter'!B27-'Daily Meter'!B26)&lt;0,"0",'Daily Meter'!B27-'Daily Meter'!B26)*284.34</f>
        <v>0</v>
      </c>
      <c r="L23" s="6">
        <f>IF(('Daily Meter'!C27-'Daily Meter'!C26)&lt;0,"0",'Daily Meter'!C27-'Daily Meter'!C26)*219.969</f>
        <v>0</v>
      </c>
      <c r="M23" s="6">
        <f>IF(('Daily Meter'!N27-'Daily Meter'!N26)&lt;0,"0",'Daily Meter'!N27-'Daily Meter'!N26)*3.7</f>
        <v>0</v>
      </c>
      <c r="N23" s="6">
        <f>Total!M23</f>
        <v>0</v>
      </c>
      <c r="O23" s="2" t="s">
        <v>12</v>
      </c>
    </row>
    <row r="24" spans="1:15" x14ac:dyDescent="0.2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IF(('Daily Meter'!H28-'Daily Meter'!H27)&lt;0,"0",'Daily Meter'!H28-'Daily Meter'!H27)*480</f>
        <v>0</v>
      </c>
      <c r="F24" s="6">
        <f>IF(('Daily Meter'!I28-'Daily Meter'!I27)&lt;0,"0",'Daily Meter'!I28-'Daily Meter'!I27)*480</f>
        <v>0</v>
      </c>
      <c r="G24" s="6">
        <f>IF(('Daily Meter'!J28-'Daily Meter'!J27)&lt;0,"0",'Daily Meter'!J28-'Daily Meter'!J27)*480</f>
        <v>0</v>
      </c>
      <c r="H24" s="6">
        <f>IF(('Daily Meter'!K28-'Daily Meter'!K27)&lt;0,"0",'Daily Meter'!K28-'Daily Meter'!K27)*480</f>
        <v>0</v>
      </c>
      <c r="I24" s="6">
        <f>IF(('Daily Meter'!L28-'Daily Meter'!L27)&lt;0,"0",'Daily Meter'!L28-'Daily Meter'!L27)*480</f>
        <v>0</v>
      </c>
      <c r="J24" s="6">
        <f>IF(('Daily Meter'!M28-'Daily Meter'!M27)&lt;0,"0",'Daily Meter'!M28-'Daily Meter'!M27)*480</f>
        <v>0</v>
      </c>
      <c r="K24" s="6">
        <f>IF(('Daily Meter'!B28-'Daily Meter'!B27)&lt;0,"0",'Daily Meter'!B28-'Daily Meter'!B27)*284.34</f>
        <v>0</v>
      </c>
      <c r="L24" s="6">
        <f>IF(('Daily Meter'!C28-'Daily Meter'!C27)&lt;0,"0",'Daily Meter'!C28-'Daily Meter'!C27)*219.969</f>
        <v>0</v>
      </c>
      <c r="M24" s="6">
        <f>IF(('Daily Meter'!N28-'Daily Meter'!N27)&lt;0,"0",'Daily Meter'!N28-'Daily Meter'!N27)*3.7</f>
        <v>0</v>
      </c>
      <c r="N24" s="6">
        <f>Total!M24</f>
        <v>0</v>
      </c>
      <c r="O24" s="2" t="s">
        <v>12</v>
      </c>
    </row>
    <row r="25" spans="1:15" x14ac:dyDescent="0.2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IF(('Daily Meter'!H29-'Daily Meter'!H28)&lt;0,"0",'Daily Meter'!H29-'Daily Meter'!H28)*480</f>
        <v>0</v>
      </c>
      <c r="F25" s="6">
        <f>IF(('Daily Meter'!I29-'Daily Meter'!I28)&lt;0,"0",'Daily Meter'!I29-'Daily Meter'!I28)*480</f>
        <v>0</v>
      </c>
      <c r="G25" s="6">
        <f>IF(('Daily Meter'!J29-'Daily Meter'!J28)&lt;0,"0",'Daily Meter'!J29-'Daily Meter'!J28)*480</f>
        <v>0</v>
      </c>
      <c r="H25" s="6">
        <f>IF(('Daily Meter'!K29-'Daily Meter'!K28)&lt;0,"0",'Daily Meter'!K29-'Daily Meter'!K28)*480</f>
        <v>0</v>
      </c>
      <c r="I25" s="6">
        <f>IF(('Daily Meter'!L29-'Daily Meter'!L28)&lt;0,"0",'Daily Meter'!L29-'Daily Meter'!L28)*480</f>
        <v>0</v>
      </c>
      <c r="J25" s="6">
        <f>IF(('Daily Meter'!M29-'Daily Meter'!M28)&lt;0,"0",'Daily Meter'!M29-'Daily Meter'!M28)*480</f>
        <v>0</v>
      </c>
      <c r="K25" s="6">
        <f>IF(('Daily Meter'!B29-'Daily Meter'!B28)&lt;0,"0",'Daily Meter'!B29-'Daily Meter'!B28)*284.34</f>
        <v>0</v>
      </c>
      <c r="L25" s="6">
        <f>IF(('Daily Meter'!C29-'Daily Meter'!C28)&lt;0,"0",'Daily Meter'!C29-'Daily Meter'!C28)*219.969</f>
        <v>0</v>
      </c>
      <c r="M25" s="6">
        <f>IF(('Daily Meter'!N29-'Daily Meter'!N28)&lt;0,"0",'Daily Meter'!N29-'Daily Meter'!N28)*3.7</f>
        <v>0</v>
      </c>
      <c r="N25" s="6">
        <f>Total!M25</f>
        <v>0</v>
      </c>
      <c r="O25" s="2" t="s">
        <v>12</v>
      </c>
    </row>
    <row r="26" spans="1:15" x14ac:dyDescent="0.2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IF(('Daily Meter'!H30-'Daily Meter'!H29)&lt;0,"0",'Daily Meter'!H30-'Daily Meter'!H29)*480</f>
        <v>0</v>
      </c>
      <c r="F26" s="6">
        <f>IF(('Daily Meter'!I30-'Daily Meter'!I29)&lt;0,"0",'Daily Meter'!I30-'Daily Meter'!I29)*480</f>
        <v>0</v>
      </c>
      <c r="G26" s="6">
        <f>IF(('Daily Meter'!J30-'Daily Meter'!J29)&lt;0,"0",'Daily Meter'!J30-'Daily Meter'!J29)*480</f>
        <v>0</v>
      </c>
      <c r="H26" s="6">
        <f>IF(('Daily Meter'!K30-'Daily Meter'!K29)&lt;0,"0",'Daily Meter'!K30-'Daily Meter'!K29)*480</f>
        <v>0</v>
      </c>
      <c r="I26" s="6">
        <f>IF(('Daily Meter'!L30-'Daily Meter'!L29)&lt;0,"0",'Daily Meter'!L30-'Daily Meter'!L29)*480</f>
        <v>0</v>
      </c>
      <c r="J26" s="6">
        <f>IF(('Daily Meter'!M30-'Daily Meter'!M29)&lt;0,"0",'Daily Meter'!M30-'Daily Meter'!M29)*480</f>
        <v>0</v>
      </c>
      <c r="K26" s="6">
        <f>IF(('Daily Meter'!B30-'Daily Meter'!B29)&lt;0,"0",'Daily Meter'!B30-'Daily Meter'!B29)*284.34</f>
        <v>0</v>
      </c>
      <c r="L26" s="6">
        <f>IF(('Daily Meter'!C30-'Daily Meter'!C29)&lt;0,"0",'Daily Meter'!C30-'Daily Meter'!C29)*219.969</f>
        <v>0</v>
      </c>
      <c r="M26" s="6">
        <f>IF(('Daily Meter'!N30-'Daily Meter'!N29)&lt;0,"0",'Daily Meter'!N30-'Daily Meter'!N29)*3.7</f>
        <v>0</v>
      </c>
      <c r="N26" s="6">
        <f>Total!M26</f>
        <v>0</v>
      </c>
      <c r="O26" s="2" t="s">
        <v>12</v>
      </c>
    </row>
    <row r="27" spans="1:15" x14ac:dyDescent="0.2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IF(('Daily Meter'!H31-'Daily Meter'!H30)&lt;0,"0",'Daily Meter'!H31-'Daily Meter'!H30)*480</f>
        <v>0</v>
      </c>
      <c r="F27" s="6">
        <f>IF(('Daily Meter'!I31-'Daily Meter'!I30)&lt;0,"0",'Daily Meter'!I31-'Daily Meter'!I30)*480</f>
        <v>0</v>
      </c>
      <c r="G27" s="6">
        <f>IF(('Daily Meter'!J31-'Daily Meter'!J30)&lt;0,"0",'Daily Meter'!J31-'Daily Meter'!J30)*480</f>
        <v>0</v>
      </c>
      <c r="H27" s="6">
        <f>IF(('Daily Meter'!K31-'Daily Meter'!K30)&lt;0,"0",'Daily Meter'!K31-'Daily Meter'!K30)*480</f>
        <v>0</v>
      </c>
      <c r="I27" s="6">
        <f>IF(('Daily Meter'!L31-'Daily Meter'!L30)&lt;0,"0",'Daily Meter'!L31-'Daily Meter'!L30)*480</f>
        <v>0</v>
      </c>
      <c r="J27" s="6">
        <f>IF(('Daily Meter'!M31-'Daily Meter'!M30)&lt;0,"0",'Daily Meter'!M31-'Daily Meter'!M30)*480</f>
        <v>0</v>
      </c>
      <c r="K27" s="6">
        <f>IF(('Daily Meter'!B31-'Daily Meter'!B30)&lt;0,"0",'Daily Meter'!B31-'Daily Meter'!B30)*284.34</f>
        <v>0</v>
      </c>
      <c r="L27" s="6">
        <f>IF(('Daily Meter'!C31-'Daily Meter'!C30)&lt;0,"0",'Daily Meter'!C31-'Daily Meter'!C30)*219.969</f>
        <v>0</v>
      </c>
      <c r="M27" s="6">
        <f>IF(('Daily Meter'!N31-'Daily Meter'!N30)&lt;0,"0",'Daily Meter'!N31-'Daily Meter'!N30)*3.7</f>
        <v>0</v>
      </c>
      <c r="N27" s="6">
        <f>Total!M27</f>
        <v>0</v>
      </c>
      <c r="O27" s="2" t="s">
        <v>12</v>
      </c>
    </row>
    <row r="28" spans="1:15" x14ac:dyDescent="0.2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IF(('Daily Meter'!H32-'Daily Meter'!H31)&lt;0,"0",'Daily Meter'!H32-'Daily Meter'!H31)*480</f>
        <v>0</v>
      </c>
      <c r="F28" s="6">
        <f>IF(('Daily Meter'!I32-'Daily Meter'!I31)&lt;0,"0",'Daily Meter'!I32-'Daily Meter'!I31)*480</f>
        <v>0</v>
      </c>
      <c r="G28" s="6">
        <f>IF(('Daily Meter'!J32-'Daily Meter'!J31)&lt;0,"0",'Daily Meter'!J32-'Daily Meter'!J31)*480</f>
        <v>0</v>
      </c>
      <c r="H28" s="6">
        <f>IF(('Daily Meter'!K32-'Daily Meter'!K31)&lt;0,"0",'Daily Meter'!K32-'Daily Meter'!K31)*480</f>
        <v>0</v>
      </c>
      <c r="I28" s="6">
        <f>IF(('Daily Meter'!L32-'Daily Meter'!L31)&lt;0,"0",'Daily Meter'!L32-'Daily Meter'!L31)*480</f>
        <v>0</v>
      </c>
      <c r="J28" s="6">
        <f>IF(('Daily Meter'!M32-'Daily Meter'!M31)&lt;0,"0",'Daily Meter'!M32-'Daily Meter'!M31)*480</f>
        <v>0</v>
      </c>
      <c r="K28" s="6">
        <f>IF(('Daily Meter'!B32-'Daily Meter'!B31)&lt;0,"0",'Daily Meter'!B32-'Daily Meter'!B31)*284.34</f>
        <v>0</v>
      </c>
      <c r="L28" s="6">
        <f>IF(('Daily Meter'!C32-'Daily Meter'!C31)&lt;0,"0",'Daily Meter'!C32-'Daily Meter'!C31)*219.969</f>
        <v>0</v>
      </c>
      <c r="M28" s="6">
        <f>IF(('Daily Meter'!N32-'Daily Meter'!N31)&lt;0,"0",'Daily Meter'!N32-'Daily Meter'!N31)*3.7</f>
        <v>0</v>
      </c>
      <c r="N28" s="6">
        <f>Total!M28</f>
        <v>0</v>
      </c>
      <c r="O28" s="2" t="s">
        <v>12</v>
      </c>
    </row>
    <row r="29" spans="1:15" x14ac:dyDescent="0.2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IF(('Daily Meter'!H33-'Daily Meter'!H32)&lt;0,"0",'Daily Meter'!H33-'Daily Meter'!H32)*480</f>
        <v>0</v>
      </c>
      <c r="F29" s="6">
        <f>IF(('Daily Meter'!I33-'Daily Meter'!I32)&lt;0,"0",'Daily Meter'!I33-'Daily Meter'!I32)*480</f>
        <v>0</v>
      </c>
      <c r="G29" s="6">
        <f>IF(('Daily Meter'!J33-'Daily Meter'!J32)&lt;0,"0",'Daily Meter'!J33-'Daily Meter'!J32)*480</f>
        <v>0</v>
      </c>
      <c r="H29" s="6">
        <f>IF(('Daily Meter'!K33-'Daily Meter'!K32)&lt;0,"0",'Daily Meter'!K33-'Daily Meter'!K32)*480</f>
        <v>0</v>
      </c>
      <c r="I29" s="6">
        <f>IF(('Daily Meter'!L33-'Daily Meter'!L32)&lt;0,"0",'Daily Meter'!L33-'Daily Meter'!L32)*480</f>
        <v>0</v>
      </c>
      <c r="J29" s="6">
        <f>IF(('Daily Meter'!M33-'Daily Meter'!M32)&lt;0,"0",'Daily Meter'!M33-'Daily Meter'!M32)*480</f>
        <v>0</v>
      </c>
      <c r="K29" s="6">
        <f>IF(('Daily Meter'!B33-'Daily Meter'!B32)&lt;0,"0",'Daily Meter'!B33-'Daily Meter'!B32)*284.34</f>
        <v>0</v>
      </c>
      <c r="L29" s="6">
        <f>IF(('Daily Meter'!C33-'Daily Meter'!C32)&lt;0,"0",'Daily Meter'!C33-'Daily Meter'!C32)*219.969</f>
        <v>0</v>
      </c>
      <c r="M29" s="6">
        <f>IF(('Daily Meter'!N33-'Daily Meter'!N32)&lt;0,"0",'Daily Meter'!N33-'Daily Meter'!N32)*3.7</f>
        <v>0</v>
      </c>
      <c r="N29" s="6">
        <f>Total!M29</f>
        <v>0</v>
      </c>
      <c r="O29" s="2" t="s">
        <v>12</v>
      </c>
    </row>
    <row r="30" spans="1:15" x14ac:dyDescent="0.2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IF(('Daily Meter'!H34-'Daily Meter'!H33)&lt;0,"0",'Daily Meter'!H34-'Daily Meter'!H33)*480</f>
        <v>0</v>
      </c>
      <c r="F30" s="6">
        <f>IF(('Daily Meter'!I34-'Daily Meter'!I33)&lt;0,"0",'Daily Meter'!I34-'Daily Meter'!I33)*480</f>
        <v>0</v>
      </c>
      <c r="G30" s="6">
        <f>IF(('Daily Meter'!J34-'Daily Meter'!J33)&lt;0,"0",'Daily Meter'!J34-'Daily Meter'!J33)*480</f>
        <v>0</v>
      </c>
      <c r="H30" s="6">
        <f>IF(('Daily Meter'!K34-'Daily Meter'!K33)&lt;0,"0",'Daily Meter'!K34-'Daily Meter'!K33)*480</f>
        <v>0</v>
      </c>
      <c r="I30" s="6">
        <f>IF(('Daily Meter'!L34-'Daily Meter'!L33)&lt;0,"0",'Daily Meter'!L34-'Daily Meter'!L33)*480</f>
        <v>0</v>
      </c>
      <c r="J30" s="6">
        <f>IF(('Daily Meter'!M34-'Daily Meter'!M33)&lt;0,"0",'Daily Meter'!M34-'Daily Meter'!M33)*480</f>
        <v>0</v>
      </c>
      <c r="K30" s="6">
        <f>IF(('Daily Meter'!B34-'Daily Meter'!B33)&lt;0,"0",'Daily Meter'!B34-'Daily Meter'!B33)*284.34</f>
        <v>0</v>
      </c>
      <c r="L30" s="6">
        <f>IF(('Daily Meter'!C34-'Daily Meter'!C33)&lt;0,"0",'Daily Meter'!C34-'Daily Meter'!C33)*219.969</f>
        <v>0</v>
      </c>
      <c r="M30" s="6">
        <f>IF(('Daily Meter'!N34-'Daily Meter'!N33)&lt;0,"0",'Daily Meter'!N34-'Daily Meter'!N33)*3.7</f>
        <v>0</v>
      </c>
      <c r="N30" s="6">
        <f>Total!M30</f>
        <v>0</v>
      </c>
      <c r="O30" s="2" t="s">
        <v>12</v>
      </c>
    </row>
    <row r="31" spans="1:15" x14ac:dyDescent="0.25">
      <c r="B31" s="2">
        <v>30</v>
      </c>
      <c r="C31" s="3">
        <v>3</v>
      </c>
      <c r="D31" s="2">
        <v>2024</v>
      </c>
      <c r="E31" s="6">
        <f>IF(('Daily Meter'!H35-'1'!D42)&lt;0,"0",'Daily Meter'!H35-'1'!D42)*480</f>
        <v>0</v>
      </c>
      <c r="F31" s="6">
        <f>IF(('Daily Meter'!I35-'1'!D43)&lt;0,"0",'Daily Meter'!I35-'1'!D43)*480</f>
        <v>0</v>
      </c>
      <c r="G31" s="6">
        <f>IF(('Daily Meter'!J35-'1'!D44)&lt;0,"0",'Daily Meter'!J35-'1'!D44)*480</f>
        <v>0</v>
      </c>
      <c r="H31" s="6">
        <f>IF(('Daily Meter'!K35-'1'!D45)&lt;0,"0",'Daily Meter'!K35-'1'!D45)*480</f>
        <v>0</v>
      </c>
      <c r="I31" s="6">
        <f>IF(('Daily Meter'!L35-'1'!D46)&lt;0,"0",'Daily Meter'!L35-'1'!D46)*480</f>
        <v>0</v>
      </c>
      <c r="J31" s="6">
        <f>IF(('Daily Meter'!M35-'1'!D47)&lt;0,"0",'Daily Meter'!M35-'1'!D47)*480</f>
        <v>0</v>
      </c>
      <c r="K31" s="6">
        <f>IF(('Daily Meter'!B35-'1'!D36)&lt;0,"0",'Daily Meter'!B35-'1'!D36)*284.34</f>
        <v>0</v>
      </c>
      <c r="L31" s="6">
        <f>IF(('Daily Meter'!C35-'1'!D39)&lt;0,"0",'Daily Meter'!C35-'1'!D39)*219.969</f>
        <v>0</v>
      </c>
      <c r="M31" s="6">
        <f>IF(('Daily Meter'!N35-'1'!D51)&lt;0,"0",'Daily Meter'!N35-'1'!D51)*3.7</f>
        <v>0</v>
      </c>
      <c r="N31" s="6">
        <f>Total!M31</f>
        <v>0</v>
      </c>
    </row>
    <row r="32" spans="1:15" x14ac:dyDescent="0.25">
      <c r="B32" s="2">
        <v>31</v>
      </c>
      <c r="C32" s="3">
        <v>3</v>
      </c>
      <c r="D32" s="2">
        <v>2024</v>
      </c>
      <c r="E32" s="6">
        <f>IF(('Daily Meter'!H36-'Daily Meter'!H35)&lt;0,"0",'Daily Meter'!H36-'Daily Meter'!H35)*480</f>
        <v>0</v>
      </c>
      <c r="F32" s="6">
        <f>IF(('Daily Meter'!I36-'Daily Meter'!I35)&lt;0,"0",'Daily Meter'!I36-'Daily Meter'!I35)*480</f>
        <v>0</v>
      </c>
      <c r="G32" s="6">
        <f>IF(('Daily Meter'!J36-'Daily Meter'!J35)&lt;0,"0",'Daily Meter'!J36-'Daily Meter'!J35)*480</f>
        <v>0</v>
      </c>
      <c r="H32" s="6">
        <f>IF(('Daily Meter'!K36-'Daily Meter'!K35)&lt;0,"0",'Daily Meter'!K36-'Daily Meter'!K35)*480</f>
        <v>0</v>
      </c>
      <c r="I32" s="6">
        <f>IF(('Daily Meter'!L36-'Daily Meter'!L35)&lt;0,"0",'Daily Meter'!L36-'Daily Meter'!L35)*480</f>
        <v>0</v>
      </c>
      <c r="J32" s="6">
        <f>IF(('Daily Meter'!M36-'Daily Meter'!M35)&lt;0,"0",'Daily Meter'!M36-'Daily Meter'!M35)*480</f>
        <v>0</v>
      </c>
      <c r="K32" s="6">
        <f>IF(('Daily Meter'!B36-'Daily Meter'!B35)&lt;0,"0",'Daily Meter'!B36-'Daily Meter'!B35)*284.34</f>
        <v>0</v>
      </c>
      <c r="L32" s="6">
        <f>IF(('Daily Meter'!C36-'Daily Meter'!C35)&lt;0,"0",'Daily Meter'!C36-'Daily Meter'!C35)*219.969</f>
        <v>0</v>
      </c>
      <c r="M32" s="6">
        <f>IF(('Daily Meter'!N36-'Daily Meter'!N35)&lt;0,"0",'Daily Meter'!N36-'Daily Meter'!N35)*3.7</f>
        <v>0</v>
      </c>
      <c r="N32" s="6">
        <f>Total!M32</f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32" sqref="K32"/>
    </sheetView>
  </sheetViews>
  <sheetFormatPr defaultColWidth="8.5703125" defaultRowHeight="15" x14ac:dyDescent="0.2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 x14ac:dyDescent="0.25">
      <c r="A1" s="215" t="s">
        <v>129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Q1" s="16" t="s">
        <v>22</v>
      </c>
    </row>
    <row r="2" spans="1:17" s="13" customFormat="1" x14ac:dyDescent="0.25">
      <c r="A2" s="17"/>
      <c r="B2" s="18" t="s">
        <v>23</v>
      </c>
      <c r="C2" s="216" t="s">
        <v>24</v>
      </c>
      <c r="D2" s="216"/>
      <c r="E2" s="216"/>
      <c r="F2" s="216"/>
      <c r="G2" s="216"/>
      <c r="H2" s="217" t="s">
        <v>25</v>
      </c>
      <c r="I2" s="217"/>
      <c r="J2" s="217"/>
      <c r="K2" s="217"/>
      <c r="L2" s="217"/>
      <c r="M2" s="217"/>
      <c r="N2" s="218" t="s">
        <v>26</v>
      </c>
      <c r="O2" s="219" t="s">
        <v>27</v>
      </c>
    </row>
    <row r="3" spans="1:17" s="13" customFormat="1" x14ac:dyDescent="0.25">
      <c r="A3" s="220" t="s">
        <v>28</v>
      </c>
      <c r="B3" s="19" t="s">
        <v>29</v>
      </c>
      <c r="C3" s="20" t="s">
        <v>30</v>
      </c>
      <c r="D3" s="221" t="s">
        <v>31</v>
      </c>
      <c r="E3" s="221"/>
      <c r="F3" s="222" t="s">
        <v>32</v>
      </c>
      <c r="G3" s="222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18"/>
      <c r="O3" s="219"/>
    </row>
    <row r="4" spans="1:17" s="13" customFormat="1" x14ac:dyDescent="0.25">
      <c r="A4" s="220"/>
      <c r="B4" s="19" t="s">
        <v>36</v>
      </c>
      <c r="C4" s="22" t="s">
        <v>37</v>
      </c>
      <c r="D4" s="223" t="s">
        <v>38</v>
      </c>
      <c r="E4" s="223"/>
      <c r="F4" s="224" t="s">
        <v>39</v>
      </c>
      <c r="G4" s="224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 x14ac:dyDescent="0.25">
      <c r="A5" s="220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 x14ac:dyDescent="0.25">
      <c r="A6" s="26">
        <v>1</v>
      </c>
      <c r="B6" s="203">
        <v>54738.5</v>
      </c>
      <c r="C6" s="204">
        <v>215317</v>
      </c>
      <c r="D6" s="205"/>
      <c r="E6" s="205"/>
      <c r="F6" s="205"/>
      <c r="G6" s="206"/>
      <c r="H6" s="203">
        <v>6984.9</v>
      </c>
      <c r="I6" s="203">
        <v>4219.3</v>
      </c>
      <c r="J6" s="199">
        <v>4506.3999999999996</v>
      </c>
      <c r="K6" s="203">
        <v>2532</v>
      </c>
      <c r="L6" s="203">
        <v>5845.2</v>
      </c>
      <c r="M6" s="203">
        <v>15710.7</v>
      </c>
      <c r="N6" s="203">
        <v>98432.8</v>
      </c>
      <c r="O6" s="207">
        <v>85.25</v>
      </c>
    </row>
    <row r="7" spans="1:17" x14ac:dyDescent="0.25">
      <c r="A7" s="27">
        <v>2</v>
      </c>
      <c r="B7" s="199">
        <v>54757.5</v>
      </c>
      <c r="C7" s="200">
        <v>215536</v>
      </c>
      <c r="D7" s="196"/>
      <c r="E7" s="196"/>
      <c r="F7" s="196"/>
      <c r="G7" s="197"/>
      <c r="H7" s="199">
        <v>6992.1</v>
      </c>
      <c r="I7" s="199">
        <v>4224.3</v>
      </c>
      <c r="J7" s="199">
        <v>4511.2</v>
      </c>
      <c r="K7" s="199">
        <v>2535</v>
      </c>
      <c r="L7" s="199">
        <v>5849.7</v>
      </c>
      <c r="M7" s="199">
        <v>15722</v>
      </c>
      <c r="N7" s="199">
        <v>98591.4</v>
      </c>
      <c r="O7" s="202">
        <v>76.959999999999994</v>
      </c>
    </row>
    <row r="8" spans="1:17" x14ac:dyDescent="0.25">
      <c r="A8" s="27">
        <v>3</v>
      </c>
      <c r="B8" s="199">
        <v>54776.3</v>
      </c>
      <c r="C8" s="200">
        <v>215748</v>
      </c>
      <c r="D8" s="196"/>
      <c r="E8" s="196"/>
      <c r="F8" s="196"/>
      <c r="G8" s="197"/>
      <c r="H8" s="199">
        <v>6999.3</v>
      </c>
      <c r="I8" s="199">
        <v>4229.1000000000004</v>
      </c>
      <c r="J8" s="199">
        <v>4516.3</v>
      </c>
      <c r="K8" s="199">
        <v>2537.9</v>
      </c>
      <c r="L8" s="199">
        <v>5854.4</v>
      </c>
      <c r="M8" s="199">
        <v>15734.1</v>
      </c>
      <c r="N8" s="199">
        <v>98707.8</v>
      </c>
      <c r="O8" s="202">
        <v>81.8</v>
      </c>
    </row>
    <row r="9" spans="1:17" x14ac:dyDescent="0.25">
      <c r="A9" s="27">
        <v>4</v>
      </c>
      <c r="B9" s="199">
        <v>54795.3</v>
      </c>
      <c r="C9" s="200">
        <v>215927</v>
      </c>
      <c r="D9" s="196"/>
      <c r="E9" s="196"/>
      <c r="F9" s="196"/>
      <c r="G9" s="197"/>
      <c r="H9" s="199">
        <v>7006.2</v>
      </c>
      <c r="I9" s="199">
        <v>4233.8999999999996</v>
      </c>
      <c r="J9" s="199">
        <v>4520.8999999999996</v>
      </c>
      <c r="K9" s="199">
        <v>2540.8000000000002</v>
      </c>
      <c r="L9" s="199">
        <v>5858.9</v>
      </c>
      <c r="M9" s="199">
        <v>15745.9</v>
      </c>
      <c r="N9" s="199">
        <v>98864.8</v>
      </c>
      <c r="O9" s="202">
        <v>88.94</v>
      </c>
    </row>
    <row r="10" spans="1:17" x14ac:dyDescent="0.25">
      <c r="A10" s="27">
        <v>5</v>
      </c>
      <c r="B10" s="199">
        <v>54815.8</v>
      </c>
      <c r="C10" s="200">
        <v>216132</v>
      </c>
      <c r="D10" s="196"/>
      <c r="E10" s="196"/>
      <c r="F10" s="196"/>
      <c r="G10" s="197"/>
      <c r="H10" s="199">
        <v>7013</v>
      </c>
      <c r="I10" s="199">
        <v>4238.6000000000004</v>
      </c>
      <c r="J10" s="199">
        <v>4525.5</v>
      </c>
      <c r="K10" s="199">
        <v>2543.6999999999998</v>
      </c>
      <c r="L10" s="199">
        <v>5863.54</v>
      </c>
      <c r="M10" s="199">
        <v>15757.8</v>
      </c>
      <c r="N10" s="199">
        <v>99013.2</v>
      </c>
      <c r="O10" s="202">
        <v>94.93</v>
      </c>
    </row>
    <row r="11" spans="1:17" x14ac:dyDescent="0.25">
      <c r="A11" s="27">
        <v>6</v>
      </c>
      <c r="B11" s="199">
        <v>54838.2</v>
      </c>
      <c r="C11" s="200">
        <v>216316</v>
      </c>
      <c r="D11" s="196"/>
      <c r="E11" s="196"/>
      <c r="F11" s="196"/>
      <c r="G11" s="197"/>
      <c r="H11" s="199">
        <v>7020.2</v>
      </c>
      <c r="I11" s="199">
        <v>4243.3</v>
      </c>
      <c r="J11" s="199">
        <v>4530</v>
      </c>
      <c r="K11" s="199">
        <v>2546.6999999999998</v>
      </c>
      <c r="L11" s="199">
        <v>5868.1</v>
      </c>
      <c r="M11" s="199">
        <v>15769.3</v>
      </c>
      <c r="N11" s="199">
        <v>99154.7</v>
      </c>
      <c r="O11" s="202">
        <v>91.47</v>
      </c>
    </row>
    <row r="12" spans="1:17" x14ac:dyDescent="0.25">
      <c r="A12" s="27">
        <v>7</v>
      </c>
      <c r="B12" s="199">
        <v>54860.1</v>
      </c>
      <c r="C12" s="200">
        <v>216479</v>
      </c>
      <c r="D12" s="196"/>
      <c r="E12" s="196"/>
      <c r="F12" s="196"/>
      <c r="G12" s="197"/>
      <c r="H12" s="199">
        <v>7027.4</v>
      </c>
      <c r="I12" s="199">
        <v>4247.8999999999996</v>
      </c>
      <c r="J12" s="199">
        <v>4534.3</v>
      </c>
      <c r="K12" s="199">
        <v>2549.5</v>
      </c>
      <c r="L12" s="199">
        <v>5872.6</v>
      </c>
      <c r="M12" s="199">
        <v>15780.6</v>
      </c>
      <c r="N12" s="199">
        <v>99291</v>
      </c>
      <c r="O12" s="202">
        <v>92.4</v>
      </c>
    </row>
    <row r="13" spans="1:17" x14ac:dyDescent="0.25">
      <c r="A13" s="27">
        <v>8</v>
      </c>
      <c r="B13" s="199">
        <v>54881.599999999999</v>
      </c>
      <c r="C13" s="200">
        <v>216668</v>
      </c>
      <c r="D13" s="196"/>
      <c r="E13" s="196"/>
      <c r="F13" s="196"/>
      <c r="G13" s="197"/>
      <c r="H13" s="199">
        <v>7034.5</v>
      </c>
      <c r="I13" s="199">
        <v>4252.3999999999996</v>
      </c>
      <c r="J13" s="199">
        <v>4539</v>
      </c>
      <c r="K13" s="199">
        <v>2552.5</v>
      </c>
      <c r="L13" s="199">
        <v>5877.2</v>
      </c>
      <c r="M13" s="199">
        <v>15792.3</v>
      </c>
      <c r="N13" s="199">
        <v>99423.4</v>
      </c>
      <c r="O13" s="202">
        <v>73.5</v>
      </c>
    </row>
    <row r="14" spans="1:17" x14ac:dyDescent="0.25">
      <c r="A14" s="27">
        <v>9</v>
      </c>
      <c r="B14" s="199">
        <v>54909.9</v>
      </c>
      <c r="C14" s="200">
        <v>216897</v>
      </c>
      <c r="D14" s="196"/>
      <c r="E14" s="196"/>
      <c r="F14" s="196"/>
      <c r="G14" s="197"/>
      <c r="H14" s="199">
        <v>7041.9</v>
      </c>
      <c r="I14" s="199">
        <v>4257</v>
      </c>
      <c r="J14" s="199">
        <v>4543.6000000000004</v>
      </c>
      <c r="K14" s="199">
        <v>2555.3000000000002</v>
      </c>
      <c r="L14" s="199">
        <v>5881.8</v>
      </c>
      <c r="M14" s="199">
        <v>15804.4</v>
      </c>
      <c r="N14" s="199">
        <v>99579.5</v>
      </c>
      <c r="O14" s="202">
        <v>58.06</v>
      </c>
    </row>
    <row r="15" spans="1:17" x14ac:dyDescent="0.25">
      <c r="A15" s="27">
        <v>10</v>
      </c>
      <c r="B15" s="199">
        <v>54930.3</v>
      </c>
      <c r="C15" s="200">
        <v>217096</v>
      </c>
      <c r="D15" s="196"/>
      <c r="E15" s="196"/>
      <c r="F15" s="196"/>
      <c r="G15" s="197"/>
      <c r="H15" s="199">
        <v>7049.2</v>
      </c>
      <c r="I15" s="199">
        <v>4261.3</v>
      </c>
      <c r="J15" s="199">
        <v>4548.1000000000004</v>
      </c>
      <c r="K15" s="199">
        <v>2558.4</v>
      </c>
      <c r="L15" s="199">
        <v>5886.6</v>
      </c>
      <c r="M15" s="199">
        <v>15816.1</v>
      </c>
      <c r="N15" s="199">
        <v>99709.5</v>
      </c>
      <c r="O15" s="202">
        <v>39.630000000000003</v>
      </c>
    </row>
    <row r="16" spans="1:17" x14ac:dyDescent="0.25">
      <c r="A16" s="27">
        <v>11</v>
      </c>
      <c r="B16" s="199">
        <v>54951.9</v>
      </c>
      <c r="C16" s="200">
        <v>217258</v>
      </c>
      <c r="D16" s="196"/>
      <c r="E16" s="196"/>
      <c r="F16" s="196"/>
      <c r="G16" s="197"/>
      <c r="H16" s="199">
        <v>7056.4</v>
      </c>
      <c r="I16" s="199">
        <v>4265.3</v>
      </c>
      <c r="J16" s="199">
        <v>4552.3</v>
      </c>
      <c r="K16" s="199">
        <v>2561</v>
      </c>
      <c r="L16" s="199">
        <v>5891.1</v>
      </c>
      <c r="M16" s="199">
        <v>15827.7</v>
      </c>
      <c r="N16" s="199">
        <v>99826.1</v>
      </c>
      <c r="O16" s="202">
        <v>41.01</v>
      </c>
    </row>
    <row r="17" spans="1:17" x14ac:dyDescent="0.25">
      <c r="A17" s="27">
        <v>12</v>
      </c>
      <c r="B17" s="199">
        <v>54973.3</v>
      </c>
      <c r="C17" s="200">
        <v>217395</v>
      </c>
      <c r="D17" s="196"/>
      <c r="E17" s="196"/>
      <c r="F17" s="196"/>
      <c r="G17" s="197"/>
      <c r="H17" s="199">
        <v>7063.3</v>
      </c>
      <c r="I17" s="199">
        <v>4269.3999999999996</v>
      </c>
      <c r="J17" s="199">
        <v>4556.5</v>
      </c>
      <c r="K17" s="199">
        <v>2563.6999999999998</v>
      </c>
      <c r="L17" s="199">
        <v>5895.7</v>
      </c>
      <c r="M17" s="199">
        <v>15839.6</v>
      </c>
      <c r="N17" s="199">
        <v>99932.6</v>
      </c>
      <c r="O17" s="202">
        <v>41.24</v>
      </c>
    </row>
    <row r="18" spans="1:17" x14ac:dyDescent="0.25">
      <c r="A18" s="27">
        <v>13</v>
      </c>
      <c r="B18" s="199">
        <v>54994.6</v>
      </c>
      <c r="C18" s="200">
        <v>217558</v>
      </c>
      <c r="D18" s="196"/>
      <c r="E18" s="196"/>
      <c r="F18" s="196"/>
      <c r="G18" s="197"/>
      <c r="H18" s="199">
        <v>7070.2</v>
      </c>
      <c r="I18" s="199">
        <v>4273.6000000000004</v>
      </c>
      <c r="J18" s="199">
        <v>4560.8</v>
      </c>
      <c r="K18" s="199">
        <v>2566.3000000000002</v>
      </c>
      <c r="L18" s="199">
        <v>5900.3</v>
      </c>
      <c r="M18" s="199">
        <v>15851.4</v>
      </c>
      <c r="N18" s="199">
        <v>100049</v>
      </c>
      <c r="O18" s="202">
        <v>35.94</v>
      </c>
    </row>
    <row r="19" spans="1:17" x14ac:dyDescent="0.25">
      <c r="A19" s="27">
        <v>14</v>
      </c>
      <c r="B19" s="199">
        <v>55017.4</v>
      </c>
      <c r="C19" s="200">
        <v>217743</v>
      </c>
      <c r="D19" s="196"/>
      <c r="E19" s="196"/>
      <c r="F19" s="196"/>
      <c r="G19" s="197"/>
      <c r="H19" s="199">
        <v>7077.2</v>
      </c>
      <c r="I19" s="199">
        <v>4277.7</v>
      </c>
      <c r="J19" s="199">
        <v>4565</v>
      </c>
      <c r="K19" s="199">
        <v>2569.1</v>
      </c>
      <c r="L19" s="199">
        <v>5904.9</v>
      </c>
      <c r="M19" s="199">
        <v>15863.4</v>
      </c>
      <c r="N19" s="199">
        <v>100170</v>
      </c>
      <c r="O19" s="202">
        <v>38.479999999999997</v>
      </c>
    </row>
    <row r="20" spans="1:17" x14ac:dyDescent="0.25">
      <c r="A20" s="27">
        <v>15</v>
      </c>
      <c r="B20" s="199">
        <v>55044</v>
      </c>
      <c r="C20" s="200">
        <v>217868</v>
      </c>
      <c r="D20" s="196"/>
      <c r="E20" s="196"/>
      <c r="F20" s="196"/>
      <c r="G20" s="197"/>
      <c r="H20" s="199">
        <v>7084.4</v>
      </c>
      <c r="I20" s="199">
        <v>4281.7</v>
      </c>
      <c r="J20" s="199">
        <v>4569.2</v>
      </c>
      <c r="K20" s="199">
        <v>2571.8000000000002</v>
      </c>
      <c r="L20" s="199">
        <v>5909.5</v>
      </c>
      <c r="M20" s="199">
        <v>15875.5</v>
      </c>
      <c r="N20" s="199">
        <v>100295.7</v>
      </c>
      <c r="O20" s="202">
        <v>33.409999999999997</v>
      </c>
    </row>
    <row r="21" spans="1:17" x14ac:dyDescent="0.25">
      <c r="A21" s="27">
        <v>16</v>
      </c>
      <c r="B21" s="199">
        <v>55070.1</v>
      </c>
      <c r="C21" s="200">
        <v>218073</v>
      </c>
      <c r="D21" s="196"/>
      <c r="E21" s="196"/>
      <c r="F21" s="196"/>
      <c r="G21" s="197"/>
      <c r="H21" s="199">
        <v>7091.3</v>
      </c>
      <c r="I21" s="199">
        <v>4285.7</v>
      </c>
      <c r="J21" s="199">
        <v>4573.3</v>
      </c>
      <c r="K21" s="199">
        <v>2574.6</v>
      </c>
      <c r="L21" s="199">
        <v>5914.1</v>
      </c>
      <c r="M21" s="199">
        <v>15887.9</v>
      </c>
      <c r="N21" s="199">
        <v>100421.1</v>
      </c>
      <c r="O21" s="202">
        <v>33.64</v>
      </c>
    </row>
    <row r="22" spans="1:17" x14ac:dyDescent="0.25">
      <c r="A22" s="27">
        <v>17</v>
      </c>
      <c r="B22" s="199">
        <v>55098.2</v>
      </c>
      <c r="C22" s="200">
        <v>218225</v>
      </c>
      <c r="D22" s="196"/>
      <c r="E22" s="196"/>
      <c r="F22" s="196"/>
      <c r="G22" s="197"/>
      <c r="H22" s="199">
        <v>7098.3</v>
      </c>
      <c r="I22" s="199">
        <v>4289.6000000000004</v>
      </c>
      <c r="J22" s="199">
        <v>4577.5</v>
      </c>
      <c r="K22" s="199">
        <v>2577.4</v>
      </c>
      <c r="L22" s="199">
        <v>5918.8</v>
      </c>
      <c r="M22" s="199">
        <v>15900.3</v>
      </c>
      <c r="N22" s="199">
        <v>100545.1</v>
      </c>
      <c r="O22" s="202">
        <v>45.16</v>
      </c>
    </row>
    <row r="23" spans="1:17" x14ac:dyDescent="0.25">
      <c r="A23" s="27">
        <v>18</v>
      </c>
      <c r="B23" s="199">
        <v>55128.800000000003</v>
      </c>
      <c r="C23" s="200">
        <v>218350</v>
      </c>
      <c r="D23" s="196"/>
      <c r="E23" s="196"/>
      <c r="F23" s="196"/>
      <c r="G23" s="197"/>
      <c r="H23" s="199">
        <v>7105.1</v>
      </c>
      <c r="I23" s="199">
        <v>4293.5</v>
      </c>
      <c r="J23" s="199">
        <v>4581.5</v>
      </c>
      <c r="K23" s="199">
        <v>2580</v>
      </c>
      <c r="L23" s="199">
        <v>5923.3</v>
      </c>
      <c r="M23" s="199">
        <v>15912.5</v>
      </c>
      <c r="N23" s="199">
        <v>100670.6</v>
      </c>
      <c r="O23" s="202">
        <v>58.76</v>
      </c>
      <c r="P23" s="28"/>
      <c r="Q23" s="28"/>
    </row>
    <row r="24" spans="1:17" x14ac:dyDescent="0.25">
      <c r="A24" s="27">
        <v>19</v>
      </c>
      <c r="B24" s="199">
        <v>55159.4</v>
      </c>
      <c r="C24" s="200">
        <v>218471</v>
      </c>
      <c r="D24" s="196"/>
      <c r="E24" s="196"/>
      <c r="F24" s="196"/>
      <c r="G24" s="197"/>
      <c r="H24" s="199">
        <v>7112.1</v>
      </c>
      <c r="I24" s="199">
        <v>4297.6000000000004</v>
      </c>
      <c r="J24" s="199">
        <v>4585.7</v>
      </c>
      <c r="K24" s="199">
        <v>2582.9</v>
      </c>
      <c r="L24" s="199">
        <v>5927.9</v>
      </c>
      <c r="M24" s="199">
        <v>15924.9</v>
      </c>
      <c r="N24" s="199">
        <v>100799.1</v>
      </c>
      <c r="O24" s="202"/>
    </row>
    <row r="25" spans="1:17" x14ac:dyDescent="0.25">
      <c r="A25" s="27">
        <v>20</v>
      </c>
      <c r="B25" s="194"/>
      <c r="C25" s="195"/>
      <c r="D25" s="196"/>
      <c r="E25" s="196"/>
      <c r="F25" s="196"/>
      <c r="G25" s="197"/>
      <c r="H25" s="194"/>
      <c r="I25" s="194"/>
      <c r="J25" s="194"/>
      <c r="K25" s="194"/>
      <c r="L25" s="194"/>
      <c r="M25" s="194"/>
      <c r="N25" s="194"/>
      <c r="O25" s="198"/>
    </row>
    <row r="26" spans="1:17" x14ac:dyDescent="0.25">
      <c r="A26" s="27">
        <v>21</v>
      </c>
      <c r="B26" s="194"/>
      <c r="C26" s="195"/>
      <c r="D26" s="196"/>
      <c r="E26" s="196"/>
      <c r="F26" s="196"/>
      <c r="G26" s="197"/>
      <c r="H26" s="194"/>
      <c r="I26" s="194"/>
      <c r="J26" s="194"/>
      <c r="K26" s="194"/>
      <c r="L26" s="194"/>
      <c r="M26" s="194"/>
      <c r="N26" s="194"/>
      <c r="O26" s="198"/>
    </row>
    <row r="27" spans="1:17" x14ac:dyDescent="0.25">
      <c r="A27" s="27">
        <v>22</v>
      </c>
      <c r="B27" s="194"/>
      <c r="C27" s="195"/>
      <c r="D27" s="196"/>
      <c r="E27" s="196"/>
      <c r="F27" s="196"/>
      <c r="G27" s="197"/>
      <c r="H27" s="194"/>
      <c r="I27" s="194"/>
      <c r="J27" s="194"/>
      <c r="K27" s="194"/>
      <c r="L27" s="194"/>
      <c r="M27" s="194"/>
      <c r="N27" s="194"/>
      <c r="O27" s="198"/>
    </row>
    <row r="28" spans="1:17" x14ac:dyDescent="0.25">
      <c r="A28" s="27">
        <v>23</v>
      </c>
      <c r="B28" s="194"/>
      <c r="C28" s="195"/>
      <c r="D28" s="196"/>
      <c r="E28" s="196"/>
      <c r="F28" s="196"/>
      <c r="G28" s="197"/>
      <c r="H28" s="194"/>
      <c r="I28" s="194"/>
      <c r="J28" s="194"/>
      <c r="K28" s="194"/>
      <c r="L28" s="194"/>
      <c r="M28" s="194"/>
      <c r="N28" s="194"/>
      <c r="O28" s="198"/>
    </row>
    <row r="29" spans="1:17" x14ac:dyDescent="0.25">
      <c r="A29" s="27">
        <v>24</v>
      </c>
      <c r="B29" s="194"/>
      <c r="C29" s="195"/>
      <c r="D29" s="196"/>
      <c r="E29" s="196"/>
      <c r="F29" s="196"/>
      <c r="G29" s="197"/>
      <c r="H29" s="194"/>
      <c r="I29" s="194"/>
      <c r="J29" s="194"/>
      <c r="K29" s="194"/>
      <c r="L29" s="194"/>
      <c r="M29" s="194"/>
      <c r="N29" s="194"/>
      <c r="O29" s="198"/>
      <c r="P29" s="29"/>
    </row>
    <row r="30" spans="1:17" x14ac:dyDescent="0.25">
      <c r="A30" s="27">
        <v>25</v>
      </c>
      <c r="B30" s="194"/>
      <c r="C30" s="195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8"/>
      <c r="P30" s="30"/>
      <c r="Q30" s="30"/>
    </row>
    <row r="31" spans="1:17" x14ac:dyDescent="0.25">
      <c r="A31" s="27">
        <v>26</v>
      </c>
      <c r="B31" s="194"/>
      <c r="C31" s="195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202"/>
    </row>
    <row r="32" spans="1:17" x14ac:dyDescent="0.25">
      <c r="A32" s="27">
        <v>27</v>
      </c>
      <c r="B32" s="199"/>
      <c r="C32" s="200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201"/>
    </row>
    <row r="33" spans="1:17" x14ac:dyDescent="0.25">
      <c r="A33" s="27">
        <v>28</v>
      </c>
      <c r="B33" s="199"/>
      <c r="C33" s="200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201"/>
    </row>
    <row r="34" spans="1:17" x14ac:dyDescent="0.25">
      <c r="A34" s="27">
        <v>29</v>
      </c>
      <c r="B34" s="199"/>
      <c r="C34" s="200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201"/>
    </row>
    <row r="35" spans="1:17" x14ac:dyDescent="0.25">
      <c r="A35" s="27">
        <v>30</v>
      </c>
      <c r="B35" s="199"/>
      <c r="C35" s="200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201"/>
    </row>
    <row r="36" spans="1:17" x14ac:dyDescent="0.25">
      <c r="A36" s="31">
        <v>31</v>
      </c>
      <c r="B36" s="32"/>
      <c r="C36" s="33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4"/>
    </row>
    <row r="37" spans="1:17" ht="15.75" customHeight="1" thickBot="1" x14ac:dyDescent="0.3">
      <c r="A37" s="35"/>
      <c r="B37" s="36"/>
      <c r="C37" s="37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8">
        <f>AVERAGE(O6:O34)</f>
        <v>61.698888888888888</v>
      </c>
    </row>
    <row r="38" spans="1:17" x14ac:dyDescent="0.25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sqref="A1:G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">
        <v>131</v>
      </c>
      <c r="C3" s="39">
        <v>1</v>
      </c>
      <c r="D3" s="41" t="s">
        <v>48</v>
      </c>
      <c r="E3" s="42">
        <f>'Daily Meter'!O6</f>
        <v>85.25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08" t="s">
        <v>130</v>
      </c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209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210">
        <v>54717.5</v>
      </c>
      <c r="E7" s="60">
        <f>'Daily Meter'!B6</f>
        <v>54738.5</v>
      </c>
      <c r="F7" s="61">
        <f>E7-D7</f>
        <v>21</v>
      </c>
      <c r="G7" s="61"/>
    </row>
    <row r="8" spans="1:8" x14ac:dyDescent="0.25">
      <c r="A8" s="54"/>
      <c r="B8" s="56"/>
      <c r="C8" s="62" t="s">
        <v>58</v>
      </c>
      <c r="D8" s="211"/>
      <c r="E8" s="64"/>
      <c r="F8" s="213">
        <f>F7*284.34</f>
        <v>5971.1399999999994</v>
      </c>
      <c r="G8" s="65">
        <f>F8*0.63</f>
        <v>3761.8181999999997</v>
      </c>
    </row>
    <row r="9" spans="1:8" x14ac:dyDescent="0.25">
      <c r="A9" s="52" t="s">
        <v>59</v>
      </c>
      <c r="B9" s="53" t="s">
        <v>60</v>
      </c>
      <c r="C9" s="54"/>
      <c r="D9" s="21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210">
        <v>215091</v>
      </c>
      <c r="E10" s="60">
        <f>'Daily Meter'!C6</f>
        <v>215317</v>
      </c>
      <c r="F10" s="61">
        <f>E10-D10</f>
        <v>226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210"/>
      <c r="E11" s="59"/>
      <c r="F11" s="214">
        <f>F10*219.969</f>
        <v>49712.993999999999</v>
      </c>
      <c r="G11" s="73">
        <f>F11*0.06</f>
        <v>2982.7796399999997</v>
      </c>
    </row>
    <row r="12" spans="1:8" x14ac:dyDescent="0.25">
      <c r="A12" s="52" t="s">
        <v>65</v>
      </c>
      <c r="B12" s="53" t="s">
        <v>66</v>
      </c>
      <c r="C12" s="54"/>
      <c r="D12" s="210"/>
      <c r="E12" s="60"/>
      <c r="F12" s="74"/>
      <c r="G12" s="58"/>
      <c r="H12" t="s">
        <v>12</v>
      </c>
    </row>
    <row r="13" spans="1:8" x14ac:dyDescent="0.25">
      <c r="A13" s="54">
        <v>1</v>
      </c>
      <c r="B13" s="56" t="s">
        <v>13</v>
      </c>
      <c r="C13" s="54" t="s">
        <v>67</v>
      </c>
      <c r="D13" s="210">
        <v>6977.9</v>
      </c>
      <c r="E13" s="60">
        <f>'Daily Meter'!H6</f>
        <v>6984.9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210">
        <v>4214.3999999999996</v>
      </c>
      <c r="E14" s="60">
        <f>'Daily Meter'!I6</f>
        <v>4219.3</v>
      </c>
      <c r="F14" s="61">
        <f t="shared" si="0"/>
        <v>2352.0000000002619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210">
        <v>4501.6000000000004</v>
      </c>
      <c r="E15" s="60">
        <f>'Daily Meter'!J6</f>
        <v>4506.3999999999996</v>
      </c>
      <c r="F15" s="61">
        <f t="shared" si="0"/>
        <v>2303.9999999996508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210">
        <v>2529.1</v>
      </c>
      <c r="E16" s="60">
        <f>'Daily Meter'!K6</f>
        <v>2532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210">
        <v>5840.6</v>
      </c>
      <c r="E17" s="60">
        <f>'Daily Meter'!L6</f>
        <v>5845.2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210">
        <v>15699</v>
      </c>
      <c r="E18" s="60">
        <f>'Daily Meter'!M6</f>
        <v>15710.7</v>
      </c>
      <c r="F18" s="61">
        <f t="shared" si="0"/>
        <v>5616.0000000003492</v>
      </c>
      <c r="G18" s="61"/>
    </row>
    <row r="19" spans="1:11" x14ac:dyDescent="0.25">
      <c r="A19" s="54"/>
      <c r="B19" s="75" t="s">
        <v>68</v>
      </c>
      <c r="C19" s="54"/>
      <c r="D19" s="210"/>
      <c r="E19" s="60"/>
      <c r="F19" s="76">
        <f>SUM(F13:F18)</f>
        <v>17232.000000000044</v>
      </c>
      <c r="G19" s="65">
        <f>F19*0.43</f>
        <v>7409.7600000000184</v>
      </c>
    </row>
    <row r="20" spans="1:11" x14ac:dyDescent="0.25">
      <c r="A20" s="56"/>
      <c r="B20" s="56"/>
      <c r="C20" s="54"/>
      <c r="D20" s="212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210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210">
        <v>98271.7</v>
      </c>
      <c r="E22" s="60">
        <f>'Daily Meter'!N6</f>
        <v>98432.8</v>
      </c>
      <c r="F22" s="84">
        <f>E22-D22</f>
        <v>161.10000000000582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596.07000000002154</v>
      </c>
      <c r="G23" s="88">
        <f>F23*2.5</f>
        <v>1490.1750000000538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5971.1399999999994</v>
      </c>
      <c r="G28" s="98">
        <f>G8</f>
        <v>3761.8181999999997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49712.993999999999</v>
      </c>
      <c r="G29" s="98">
        <f>G11</f>
        <v>2982.7796399999997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17232.000000000044</v>
      </c>
      <c r="G30" s="98">
        <f>G19</f>
        <v>7409.7600000000184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161.10000000000582</v>
      </c>
      <c r="G31" s="98">
        <f>G23</f>
        <v>1490.1750000000538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15644.532840000073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</v>
      </c>
      <c r="D3" s="41" t="s">
        <v>48</v>
      </c>
      <c r="E3" s="42">
        <f>'Daily Meter'!O6</f>
        <v>85.25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'1'!E7</f>
        <v>54738.5</v>
      </c>
      <c r="E7" s="60">
        <f>'Daily Meter'!B7</f>
        <v>54757.5</v>
      </c>
      <c r="F7" s="61">
        <f>E7-D7</f>
        <v>19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5402.4599999999991</v>
      </c>
      <c r="G8" s="65">
        <f>F8*0.63</f>
        <v>3403.5497999999993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'1'!E10</f>
        <v>215317</v>
      </c>
      <c r="E10" s="60">
        <f>'Daily Meter'!C7</f>
        <v>215536</v>
      </c>
      <c r="F10" s="61">
        <f>E10-D10</f>
        <v>219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48173.210999999996</v>
      </c>
      <c r="G11" s="73">
        <f>F11*0.06</f>
        <v>2890.3926599999995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'1'!E13</f>
        <v>6984.9</v>
      </c>
      <c r="E13" s="60">
        <f>'Daily Meter'!H7</f>
        <v>6992.1</v>
      </c>
      <c r="F13" s="61">
        <f t="shared" ref="F13:F18" si="0">(E13-D13)*480</f>
        <v>3456.0000000003492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'1'!E14</f>
        <v>4219.3</v>
      </c>
      <c r="E14" s="60">
        <f>'Daily Meter'!I7</f>
        <v>4224.3</v>
      </c>
      <c r="F14" s="61">
        <f t="shared" si="0"/>
        <v>2400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'1'!E15</f>
        <v>4506.3999999999996</v>
      </c>
      <c r="E15" s="60">
        <f>'Daily Meter'!J7</f>
        <v>4511.2</v>
      </c>
      <c r="F15" s="61">
        <f t="shared" si="0"/>
        <v>2304.0000000000873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'1'!E16</f>
        <v>2532</v>
      </c>
      <c r="E16" s="60">
        <f>'Daily Meter'!K7</f>
        <v>2535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'1'!E17</f>
        <v>5845.2</v>
      </c>
      <c r="E17" s="60">
        <f>'Daily Meter'!L7</f>
        <v>5849.7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'1'!E18</f>
        <v>15710.7</v>
      </c>
      <c r="E18" s="60">
        <f>'Daily Meter'!M7</f>
        <v>15722</v>
      </c>
      <c r="F18" s="61">
        <f t="shared" si="0"/>
        <v>5423.9999999996508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17184.000000000087</v>
      </c>
      <c r="G19" s="65">
        <f>F19*0.43</f>
        <v>7389.1200000000372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'1'!E22</f>
        <v>98432.8</v>
      </c>
      <c r="E22" s="60">
        <f>'Daily Meter'!N7</f>
        <v>98591.4</v>
      </c>
      <c r="F22" s="84">
        <f>E22-D22</f>
        <v>158.59999999999127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586.81999999996776</v>
      </c>
      <c r="G23" s="88">
        <f>F23*2.5</f>
        <v>1467.0499999999195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5402.4599999999991</v>
      </c>
      <c r="G28" s="98">
        <f>G8</f>
        <v>3403.5497999999993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48173.210999999996</v>
      </c>
      <c r="G29" s="98">
        <f>G11</f>
        <v>2890.3926599999995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17184.000000000087</v>
      </c>
      <c r="G30" s="98">
        <f>G19</f>
        <v>7389.1200000000372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158.59999999999127</v>
      </c>
      <c r="G31" s="98">
        <f>G23</f>
        <v>1467.0499999999195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15150.112459999955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3</v>
      </c>
      <c r="D3" s="41" t="s">
        <v>48</v>
      </c>
      <c r="E3" s="42">
        <f>'Daily Meter'!O8</f>
        <v>81.8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'2'!E7</f>
        <v>54757.5</v>
      </c>
      <c r="E7" s="60">
        <f>'Daily Meter'!B8</f>
        <v>54776.3</v>
      </c>
      <c r="F7" s="61">
        <f>E7-D7</f>
        <v>18.80000000000291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5345.5920000008273</v>
      </c>
      <c r="G8" s="65">
        <f>F8*0.63</f>
        <v>3367.7229600005212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'2'!E10</f>
        <v>215536</v>
      </c>
      <c r="E10" s="60">
        <f>'Daily Meter'!C8</f>
        <v>215748</v>
      </c>
      <c r="F10" s="61">
        <f>E10-D10</f>
        <v>212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46633.428</v>
      </c>
      <c r="G11" s="73">
        <f>F11*0.06</f>
        <v>2798.0056799999998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'2'!E13</f>
        <v>6992.1</v>
      </c>
      <c r="E13" s="60">
        <f>'Daily Meter'!H8</f>
        <v>6999.3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'2'!E14</f>
        <v>4224.3</v>
      </c>
      <c r="E14" s="60">
        <f>'Daily Meter'!I8</f>
        <v>4229.1000000000004</v>
      </c>
      <c r="F14" s="61">
        <f t="shared" si="0"/>
        <v>2304.0000000000873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'2'!E15</f>
        <v>4511.2</v>
      </c>
      <c r="E15" s="60">
        <f>'Daily Meter'!J8</f>
        <v>4516.3</v>
      </c>
      <c r="F15" s="61">
        <f t="shared" si="0"/>
        <v>2448.0000000001746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'2'!E16</f>
        <v>2535</v>
      </c>
      <c r="E16" s="60">
        <f>'Daily Meter'!K8</f>
        <v>2537.9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'2'!E17</f>
        <v>5849.7</v>
      </c>
      <c r="E17" s="60">
        <f>'Daily Meter'!L8</f>
        <v>5854.4</v>
      </c>
      <c r="F17" s="61">
        <f t="shared" si="0"/>
        <v>2255.9999999999127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'2'!E18</f>
        <v>15722</v>
      </c>
      <c r="E18" s="60">
        <f>'Daily Meter'!M8</f>
        <v>15734.1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17664.000000000306</v>
      </c>
      <c r="G19" s="65">
        <f>F19*0.43</f>
        <v>7595.5200000001314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'2'!E22</f>
        <v>98591.4</v>
      </c>
      <c r="E22" s="60">
        <f>'Daily Meter'!N8</f>
        <v>98707.8</v>
      </c>
      <c r="F22" s="84">
        <f>E22-D22</f>
        <v>116.40000000000873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430.68000000003235</v>
      </c>
      <c r="G23" s="88">
        <f>F23*2.5</f>
        <v>1076.7000000000808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5345.5920000008273</v>
      </c>
      <c r="G28" s="98">
        <f>G8</f>
        <v>3367.7229600005212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46633.428</v>
      </c>
      <c r="G29" s="98">
        <f>G11</f>
        <v>2798.0056799999998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17664.000000000306</v>
      </c>
      <c r="G30" s="98">
        <f>G19</f>
        <v>7595.5200000001314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116.40000000000873</v>
      </c>
      <c r="G31" s="98">
        <f>G23</f>
        <v>1076.7000000000808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14837.948640000734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4</v>
      </c>
      <c r="D3" s="41" t="s">
        <v>48</v>
      </c>
      <c r="E3" s="42">
        <f>'Daily Meter'!O9</f>
        <v>88.94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'3'!E7</f>
        <v>54776.3</v>
      </c>
      <c r="E7" s="60">
        <f>'Daily Meter'!B9</f>
        <v>54795.3</v>
      </c>
      <c r="F7" s="61">
        <f>E7-D7</f>
        <v>19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5402.4599999999991</v>
      </c>
      <c r="G8" s="65">
        <f>F8*0.63</f>
        <v>3403.5497999999993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'3'!E10</f>
        <v>215748</v>
      </c>
      <c r="E10" s="60">
        <f>'Daily Meter'!C9</f>
        <v>215927</v>
      </c>
      <c r="F10" s="61">
        <f>E10-D10</f>
        <v>179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39374.451000000001</v>
      </c>
      <c r="G11" s="73">
        <f>F11*0.06</f>
        <v>2362.4670599999999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'3'!E13</f>
        <v>6999.3</v>
      </c>
      <c r="E13" s="60">
        <f>'Daily Meter'!H9</f>
        <v>7006.2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'3'!E14</f>
        <v>4229.1000000000004</v>
      </c>
      <c r="E14" s="60">
        <f>'Daily Meter'!I9</f>
        <v>4233.8999999999996</v>
      </c>
      <c r="F14" s="61">
        <f t="shared" si="0"/>
        <v>2303.9999999996508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'3'!E15</f>
        <v>4516.3</v>
      </c>
      <c r="E15" s="60">
        <f>'Daily Meter'!J9</f>
        <v>4520.8999999999996</v>
      </c>
      <c r="F15" s="61">
        <f t="shared" si="0"/>
        <v>2207.9999999997381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'3'!E16</f>
        <v>2537.9</v>
      </c>
      <c r="E16" s="60">
        <f>'Daily Meter'!K9</f>
        <v>2540.8000000000002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'3'!E17</f>
        <v>5854.4</v>
      </c>
      <c r="E17" s="60">
        <f>'Daily Meter'!L9</f>
        <v>5858.9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'3'!E18</f>
        <v>15734.1</v>
      </c>
      <c r="E18" s="60">
        <f>'Daily Meter'!M9</f>
        <v>15745.9</v>
      </c>
      <c r="F18" s="61">
        <f t="shared" si="0"/>
        <v>5663.9999999996508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17039.999999998909</v>
      </c>
      <c r="G19" s="65">
        <f>F19*0.43</f>
        <v>7327.1999999995305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'3'!E22</f>
        <v>98707.8</v>
      </c>
      <c r="E22" s="60">
        <f>'Daily Meter'!N9</f>
        <v>98864.8</v>
      </c>
      <c r="F22" s="84">
        <f>E22-D22</f>
        <v>157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580.9</v>
      </c>
      <c r="G23" s="88">
        <f>F23*2.5</f>
        <v>1452.25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5402.4599999999991</v>
      </c>
      <c r="G28" s="98">
        <f>G8</f>
        <v>3403.5497999999993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39374.451000000001</v>
      </c>
      <c r="G29" s="98">
        <f>G11</f>
        <v>2362.4670599999999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17039.999999998909</v>
      </c>
      <c r="G30" s="98">
        <f>G19</f>
        <v>7327.1999999995305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157</v>
      </c>
      <c r="G31" s="98">
        <f>G23</f>
        <v>1452.25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14545.466859999531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5</v>
      </c>
      <c r="D3" s="41" t="s">
        <v>48</v>
      </c>
      <c r="E3" s="42">
        <f>'Daily Meter'!O10</f>
        <v>94.93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'4'!E7</f>
        <v>54795.3</v>
      </c>
      <c r="E7" s="60">
        <f>'Daily Meter'!B10</f>
        <v>54815.8</v>
      </c>
      <c r="F7" s="61">
        <f>E7-D7</f>
        <v>20.5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5828.9699999999993</v>
      </c>
      <c r="G8" s="65">
        <f>F8*0.63</f>
        <v>3672.2510999999995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'4'!E10</f>
        <v>215927</v>
      </c>
      <c r="E10" s="60">
        <f>'Daily Meter'!C10</f>
        <v>216132</v>
      </c>
      <c r="F10" s="61">
        <f>E10-D10</f>
        <v>205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45093.644999999997</v>
      </c>
      <c r="G11" s="73">
        <f>F11*0.06</f>
        <v>2705.6186999999995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'4'!E13</f>
        <v>7006.2</v>
      </c>
      <c r="E13" s="60">
        <f>'Daily Meter'!H10</f>
        <v>7013</v>
      </c>
      <c r="F13" s="61">
        <f t="shared" ref="F13:F18" si="0">(E13-D13)*480</f>
        <v>3264.0000000000873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'4'!E14</f>
        <v>4233.8999999999996</v>
      </c>
      <c r="E14" s="60">
        <f>'Daily Meter'!I10</f>
        <v>4238.6000000000004</v>
      </c>
      <c r="F14" s="61">
        <f t="shared" si="0"/>
        <v>2256.0000000003492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'4'!E15</f>
        <v>4520.8999999999996</v>
      </c>
      <c r="E15" s="60">
        <f>'Daily Meter'!J10</f>
        <v>4525.5</v>
      </c>
      <c r="F15" s="61">
        <f t="shared" si="0"/>
        <v>2208.0000000001746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'4'!E16</f>
        <v>2540.8000000000002</v>
      </c>
      <c r="E16" s="60">
        <f>'Daily Meter'!K10</f>
        <v>2543.6999999999998</v>
      </c>
      <c r="F16" s="61">
        <f t="shared" si="0"/>
        <v>1391.9999999998254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'4'!E17</f>
        <v>5858.9</v>
      </c>
      <c r="E17" s="60">
        <f>'Daily Meter'!L10</f>
        <v>5863.54</v>
      </c>
      <c r="F17" s="61">
        <f t="shared" si="0"/>
        <v>2227.2000000001572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'4'!E18</f>
        <v>15745.9</v>
      </c>
      <c r="E18" s="60">
        <f>'Daily Meter'!M10</f>
        <v>15757.8</v>
      </c>
      <c r="F18" s="61">
        <f t="shared" si="0"/>
        <v>5711.9999999998254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17059.200000000419</v>
      </c>
      <c r="G19" s="65">
        <f>F19*0.43</f>
        <v>7335.4560000001802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'4'!E22</f>
        <v>98864.8</v>
      </c>
      <c r="E22" s="60">
        <f>'Daily Meter'!N10</f>
        <v>99013.2</v>
      </c>
      <c r="F22" s="84">
        <f>E22-D22</f>
        <v>148.39999999999418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549.07999999997844</v>
      </c>
      <c r="G23" s="88">
        <f>F23*2.5</f>
        <v>1372.6999999999462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5828.9699999999993</v>
      </c>
      <c r="G28" s="98">
        <f>G8</f>
        <v>3672.2510999999995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45093.644999999997</v>
      </c>
      <c r="G29" s="98">
        <f>G11</f>
        <v>2705.6186999999995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17059.200000000419</v>
      </c>
      <c r="G30" s="98">
        <f>G19</f>
        <v>7335.4560000001802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148.39999999999418</v>
      </c>
      <c r="G31" s="98">
        <f>G23</f>
        <v>1372.6999999999462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15086.025800000125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6</v>
      </c>
      <c r="D3" s="41" t="s">
        <v>48</v>
      </c>
      <c r="E3" s="42">
        <f>'Daily Meter'!O11</f>
        <v>91.47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'5'!E7</f>
        <v>54815.8</v>
      </c>
      <c r="E7" s="60">
        <f>'Daily Meter'!B11</f>
        <v>54838.2</v>
      </c>
      <c r="F7" s="61">
        <f>E7-D7</f>
        <v>22.399999999994179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6369.2159999983442</v>
      </c>
      <c r="G8" s="65">
        <f>F8*0.63</f>
        <v>4012.6060799989568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'5'!E10</f>
        <v>216132</v>
      </c>
      <c r="E10" s="60">
        <f>'Daily Meter'!C11</f>
        <v>216316</v>
      </c>
      <c r="F10" s="61">
        <f>E10-D10</f>
        <v>184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40474.296000000002</v>
      </c>
      <c r="G11" s="73">
        <f>F11*0.06</f>
        <v>2428.4577600000002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'5'!E13</f>
        <v>7013</v>
      </c>
      <c r="E13" s="60">
        <f>'Daily Meter'!H11</f>
        <v>7020.2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'5'!E14</f>
        <v>4238.6000000000004</v>
      </c>
      <c r="E14" s="60">
        <f>'Daily Meter'!I11</f>
        <v>4243.3</v>
      </c>
      <c r="F14" s="61">
        <f t="shared" si="0"/>
        <v>2255.9999999999127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'5'!E15</f>
        <v>4525.5</v>
      </c>
      <c r="E15" s="60">
        <f>'Daily Meter'!J11</f>
        <v>4530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'5'!E16</f>
        <v>2543.6999999999998</v>
      </c>
      <c r="E16" s="60">
        <f>'Daily Meter'!K11</f>
        <v>2546.6999999999998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'5'!E17</f>
        <v>5863.54</v>
      </c>
      <c r="E17" s="60">
        <f>'Daily Meter'!L11</f>
        <v>5868.1</v>
      </c>
      <c r="F17" s="61">
        <f t="shared" si="0"/>
        <v>2188.8000000001921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'5'!E18</f>
        <v>15757.8</v>
      </c>
      <c r="E18" s="60">
        <f>'Daily Meter'!M11</f>
        <v>15769.3</v>
      </c>
      <c r="F18" s="61">
        <f t="shared" si="0"/>
        <v>5520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17020.800000000017</v>
      </c>
      <c r="G19" s="65">
        <f>F19*0.43</f>
        <v>7318.9440000000077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'5'!E22</f>
        <v>99013.2</v>
      </c>
      <c r="E22" s="60">
        <f>'Daily Meter'!N11</f>
        <v>99154.7</v>
      </c>
      <c r="F22" s="84">
        <f>E22-D22</f>
        <v>141.5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523.55000000000007</v>
      </c>
      <c r="G23" s="88">
        <f>F23*2.5</f>
        <v>1308.8750000000002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6369.2159999983442</v>
      </c>
      <c r="G28" s="98">
        <f>G8</f>
        <v>4012.6060799989568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40474.296000000002</v>
      </c>
      <c r="G29" s="98">
        <f>G11</f>
        <v>2428.4577600000002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17020.800000000017</v>
      </c>
      <c r="G30" s="98">
        <f>G19</f>
        <v>7318.9440000000077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141.5</v>
      </c>
      <c r="G31" s="98">
        <f>G23</f>
        <v>1308.8750000000002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15068.882839998965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7</v>
      </c>
      <c r="D3" s="41" t="s">
        <v>48</v>
      </c>
      <c r="E3" s="42">
        <f>'Daily Meter'!O12</f>
        <v>92.4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'6'!E7</f>
        <v>54838.2</v>
      </c>
      <c r="E7" s="60">
        <f>'Daily Meter'!B12</f>
        <v>54860.1</v>
      </c>
      <c r="F7" s="61">
        <f>E7-D7</f>
        <v>21.900000000001455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6227.0460000004132</v>
      </c>
      <c r="G8" s="65">
        <f>F8*0.63</f>
        <v>3923.0389800002604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'6'!E10</f>
        <v>216316</v>
      </c>
      <c r="E10" s="60">
        <f>'Daily Meter'!C12</f>
        <v>216479</v>
      </c>
      <c r="F10" s="61">
        <f>E10-D10</f>
        <v>163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35854.947</v>
      </c>
      <c r="G11" s="73">
        <f>F11*0.06</f>
        <v>2151.29682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'6'!E13</f>
        <v>7020.2</v>
      </c>
      <c r="E13" s="60">
        <f>'Daily Meter'!H12</f>
        <v>7027.4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'6'!E14</f>
        <v>4243.3</v>
      </c>
      <c r="E14" s="60">
        <f>'Daily Meter'!I12</f>
        <v>4247.8999999999996</v>
      </c>
      <c r="F14" s="61">
        <f t="shared" si="0"/>
        <v>2207.9999999997381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'6'!E15</f>
        <v>4530</v>
      </c>
      <c r="E15" s="60">
        <f>'Daily Meter'!J12</f>
        <v>4534.3</v>
      </c>
      <c r="F15" s="61">
        <f t="shared" si="0"/>
        <v>2064.0000000000873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'6'!E16</f>
        <v>2546.6999999999998</v>
      </c>
      <c r="E16" s="60">
        <f>'Daily Meter'!K12</f>
        <v>2549.5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'6'!E17</f>
        <v>5868.1</v>
      </c>
      <c r="E17" s="60">
        <f>'Daily Meter'!L12</f>
        <v>5872.6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'6'!E18</f>
        <v>15769.3</v>
      </c>
      <c r="E18" s="60">
        <f>'Daily Meter'!M12</f>
        <v>15780.6</v>
      </c>
      <c r="F18" s="61">
        <f t="shared" si="0"/>
        <v>5424.0000000005239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16656.000000000349</v>
      </c>
      <c r="G19" s="65">
        <f>F19*0.43</f>
        <v>7162.08000000015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'6'!E22</f>
        <v>99154.7</v>
      </c>
      <c r="E22" s="60">
        <f>'Daily Meter'!N12</f>
        <v>99291</v>
      </c>
      <c r="F22" s="84">
        <f>E22-D22</f>
        <v>136.30000000000291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504.3100000000108</v>
      </c>
      <c r="G23" s="88">
        <f>F23*2.5</f>
        <v>1260.7750000000269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6227.0460000004132</v>
      </c>
      <c r="G28" s="98">
        <f>G8</f>
        <v>3923.0389800002604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35854.947</v>
      </c>
      <c r="G29" s="98">
        <f>G11</f>
        <v>2151.29682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16656.000000000349</v>
      </c>
      <c r="G30" s="98">
        <f>G19</f>
        <v>7162.08000000015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136.30000000000291</v>
      </c>
      <c r="G31" s="98">
        <f>G23</f>
        <v>1260.7750000000269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14497.190800000437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zoomScaleNormal="100" workbookViewId="0">
      <selection activeCell="I15" sqref="I15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8</v>
      </c>
      <c r="D3" s="41" t="s">
        <v>48</v>
      </c>
      <c r="E3" s="42">
        <f>'Daily Meter'!O13</f>
        <v>73.5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'7'!E7</f>
        <v>54860.1</v>
      </c>
      <c r="E7" s="60">
        <f>'Daily Meter'!B13</f>
        <v>54881.599999999999</v>
      </c>
      <c r="F7" s="61">
        <f>E7-D7</f>
        <v>21.5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6113.3099999999995</v>
      </c>
      <c r="G8" s="65">
        <f>F8*0.63</f>
        <v>3851.3852999999999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'7'!E10</f>
        <v>216479</v>
      </c>
      <c r="E10" s="60">
        <f>'Daily Meter'!C13</f>
        <v>216668</v>
      </c>
      <c r="F10" s="61">
        <f>E10-D10</f>
        <v>189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41574.140999999996</v>
      </c>
      <c r="G11" s="73">
        <f>F11*0.06</f>
        <v>2494.4484599999996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'7'!E13</f>
        <v>7027.4</v>
      </c>
      <c r="E13" s="60">
        <f>'Daily Meter'!H13</f>
        <v>7034.5</v>
      </c>
      <c r="F13" s="61">
        <f t="shared" ref="F13:F18" si="0">(E13-D13)*480</f>
        <v>3408.0000000001746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'7'!E14</f>
        <v>4247.8999999999996</v>
      </c>
      <c r="E14" s="60">
        <f>'Daily Meter'!I13</f>
        <v>4252.3999999999996</v>
      </c>
      <c r="F14" s="61">
        <f t="shared" si="0"/>
        <v>2160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'7'!E15</f>
        <v>4534.3</v>
      </c>
      <c r="E15" s="60">
        <f>'Daily Meter'!J13</f>
        <v>4539</v>
      </c>
      <c r="F15" s="61">
        <f t="shared" si="0"/>
        <v>2255.9999999999127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'7'!E16</f>
        <v>2549.5</v>
      </c>
      <c r="E16" s="60">
        <f>'Daily Meter'!K13</f>
        <v>2552.5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'7'!E17</f>
        <v>5872.6</v>
      </c>
      <c r="E17" s="60">
        <f>'Daily Meter'!L13</f>
        <v>5877.2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'7'!E18</f>
        <v>15780.6</v>
      </c>
      <c r="E18" s="60">
        <f>'Daily Meter'!M13</f>
        <v>15792.3</v>
      </c>
      <c r="F18" s="61">
        <f t="shared" si="0"/>
        <v>5615.9999999994761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17087.999999999302</v>
      </c>
      <c r="G19" s="65">
        <f>F19*0.43</f>
        <v>7347.8399999996991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'7'!E22</f>
        <v>99291</v>
      </c>
      <c r="E22" s="60">
        <f>'Daily Meter'!N13</f>
        <v>99423.4</v>
      </c>
      <c r="F22" s="84">
        <f>E22-D22</f>
        <v>132.39999999999418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489.87999999997851</v>
      </c>
      <c r="G23" s="88">
        <f>F23*2.5</f>
        <v>1224.6999999999462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6113.3099999999995</v>
      </c>
      <c r="G28" s="98">
        <f>G8</f>
        <v>3851.3852999999999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41574.140999999996</v>
      </c>
      <c r="G29" s="98">
        <f>G11</f>
        <v>2494.4484599999996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17087.999999999302</v>
      </c>
      <c r="G30" s="98">
        <f>G19</f>
        <v>7347.8399999996991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132.39999999999418</v>
      </c>
      <c r="G31" s="98">
        <f>G23</f>
        <v>1224.6999999999462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14918.373759999646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9</v>
      </c>
      <c r="D3" s="41" t="s">
        <v>48</v>
      </c>
      <c r="E3" s="42">
        <f>'Daily Meter'!O14</f>
        <v>58.06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'8'!E7</f>
        <v>54881.599999999999</v>
      </c>
      <c r="E7" s="60">
        <f>'Daily Meter'!B14</f>
        <v>54909.9</v>
      </c>
      <c r="F7" s="61">
        <f>E7-D7</f>
        <v>28.30000000000291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8046.8220000008268</v>
      </c>
      <c r="G8" s="65">
        <f>F8*0.63</f>
        <v>5069.4978600005206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'8'!E10</f>
        <v>216668</v>
      </c>
      <c r="E10" s="60">
        <f>'Daily Meter'!C14</f>
        <v>216897</v>
      </c>
      <c r="F10" s="61">
        <f>E10-D10</f>
        <v>229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50372.900999999998</v>
      </c>
      <c r="G11" s="73">
        <f>F11*0.06</f>
        <v>3022.3740599999996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'8'!E13</f>
        <v>7034.5</v>
      </c>
      <c r="E13" s="60">
        <f>'Daily Meter'!H14</f>
        <v>7041.9</v>
      </c>
      <c r="F13" s="61">
        <f t="shared" ref="F13:F18" si="0">(E13-D13)*480</f>
        <v>3551.9999999998254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'8'!E14</f>
        <v>4252.3999999999996</v>
      </c>
      <c r="E14" s="60">
        <f>'Daily Meter'!I14</f>
        <v>4257</v>
      </c>
      <c r="F14" s="61">
        <f t="shared" si="0"/>
        <v>2208.0000000001746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'8'!E15</f>
        <v>4539</v>
      </c>
      <c r="E15" s="60">
        <f>'Daily Meter'!J14</f>
        <v>4543.6000000000004</v>
      </c>
      <c r="F15" s="61">
        <f t="shared" si="0"/>
        <v>2208.0000000001746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'8'!E16</f>
        <v>2552.5</v>
      </c>
      <c r="E16" s="60">
        <f>'Daily Meter'!K14</f>
        <v>2555.3000000000002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'8'!E17</f>
        <v>5877.2</v>
      </c>
      <c r="E17" s="60">
        <f>'Daily Meter'!L14</f>
        <v>5881.8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'8'!E18</f>
        <v>15792.3</v>
      </c>
      <c r="E18" s="60">
        <f>'Daily Meter'!M14</f>
        <v>15804.4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17328.000000000611</v>
      </c>
      <c r="G19" s="65">
        <f>F19*0.43</f>
        <v>7451.0400000002628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'8'!E22</f>
        <v>99423.4</v>
      </c>
      <c r="E22" s="60">
        <f>'Daily Meter'!N14</f>
        <v>99579.5</v>
      </c>
      <c r="F22" s="84">
        <f>E22-D22</f>
        <v>156.10000000000582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577.57000000002154</v>
      </c>
      <c r="G23" s="88">
        <f>F23*2.5</f>
        <v>1443.9250000000538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8046.8220000008268</v>
      </c>
      <c r="G28" s="98">
        <f>G8</f>
        <v>5069.4978600005206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50372.900999999998</v>
      </c>
      <c r="G29" s="98">
        <f>G11</f>
        <v>3022.3740599999996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17328.000000000611</v>
      </c>
      <c r="G30" s="98">
        <f>G19</f>
        <v>7451.0400000002628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156.10000000000582</v>
      </c>
      <c r="G31" s="98">
        <f>G23</f>
        <v>1443.9250000000538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16986.836920000838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10</v>
      </c>
      <c r="D3" s="41" t="s">
        <v>48</v>
      </c>
      <c r="E3" s="42">
        <f>'Daily Meter'!O15</f>
        <v>39.630000000000003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'9'!E7</f>
        <v>54909.9</v>
      </c>
      <c r="E7" s="60">
        <f>'Daily Meter'!B15</f>
        <v>54930.3</v>
      </c>
      <c r="F7" s="61">
        <f>E7-D7</f>
        <v>20.400000000001455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5800.536000000413</v>
      </c>
      <c r="G8" s="65">
        <f>F8*0.63</f>
        <v>3654.3376800002602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'9'!E10</f>
        <v>216897</v>
      </c>
      <c r="E10" s="60">
        <f>'Daily Meter'!C15</f>
        <v>217096</v>
      </c>
      <c r="F10" s="61">
        <f>E10-D10</f>
        <v>199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43773.830999999998</v>
      </c>
      <c r="G11" s="73">
        <f>F11*0.06</f>
        <v>2626.4298599999997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'9'!E13</f>
        <v>7041.9</v>
      </c>
      <c r="E13" s="60">
        <f>'Daily Meter'!H15</f>
        <v>7049.2</v>
      </c>
      <c r="F13" s="61">
        <f t="shared" ref="F13:F18" si="0">(E13-D13)*480</f>
        <v>3504.0000000000873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'9'!E14</f>
        <v>4257</v>
      </c>
      <c r="E14" s="60">
        <f>'Daily Meter'!I15</f>
        <v>4261.3</v>
      </c>
      <c r="F14" s="61">
        <f t="shared" si="0"/>
        <v>2064.0000000000873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'9'!E15</f>
        <v>4543.6000000000004</v>
      </c>
      <c r="E15" s="60">
        <f>'Daily Meter'!J15</f>
        <v>4548.1000000000004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'9'!E16</f>
        <v>2555.3000000000002</v>
      </c>
      <c r="E16" s="60">
        <f>'Daily Meter'!K15</f>
        <v>2558.4</v>
      </c>
      <c r="F16" s="61">
        <f t="shared" si="0"/>
        <v>1487.9999999999563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'9'!E17</f>
        <v>5881.8</v>
      </c>
      <c r="E17" s="60">
        <f>'Daily Meter'!L15</f>
        <v>5886.6</v>
      </c>
      <c r="F17" s="61">
        <f t="shared" si="0"/>
        <v>2304.0000000000873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'9'!E18</f>
        <v>15804.4</v>
      </c>
      <c r="E18" s="60">
        <f>'Daily Meter'!M15</f>
        <v>15816.1</v>
      </c>
      <c r="F18" s="61">
        <f t="shared" si="0"/>
        <v>5616.0000000003492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17136.000000000568</v>
      </c>
      <c r="G19" s="65">
        <f>F19*0.43</f>
        <v>7368.4800000002442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'9'!E22</f>
        <v>99579.5</v>
      </c>
      <c r="E22" s="60">
        <f>'Daily Meter'!N15</f>
        <v>99709.5</v>
      </c>
      <c r="F22" s="84">
        <f>E22-D22</f>
        <v>130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481</v>
      </c>
      <c r="G23" s="88">
        <f>F23*2.5</f>
        <v>1202.5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5800.536000000413</v>
      </c>
      <c r="G28" s="98">
        <f>G8</f>
        <v>3654.3376800002602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43773.830999999998</v>
      </c>
      <c r="G29" s="98">
        <f>G11</f>
        <v>2626.4298599999997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17136.000000000568</v>
      </c>
      <c r="G30" s="98">
        <f>G19</f>
        <v>7368.4800000002442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130</v>
      </c>
      <c r="G31" s="98">
        <f>G23</f>
        <v>1202.5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14851.747540000504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11</v>
      </c>
      <c r="D3" s="41" t="s">
        <v>48</v>
      </c>
      <c r="E3" s="42">
        <f>'Daily Meter'!O16</f>
        <v>41.01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'10'!E7</f>
        <v>54930.3</v>
      </c>
      <c r="E7" s="60">
        <f>'Daily Meter'!B16</f>
        <v>54951.9</v>
      </c>
      <c r="F7" s="61">
        <f>E7-D7</f>
        <v>21.599999999998545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6141.7439999995859</v>
      </c>
      <c r="G8" s="65">
        <f>F8*0.63</f>
        <v>3869.2987199997392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'10'!E10</f>
        <v>217096</v>
      </c>
      <c r="E10" s="60">
        <f>'Daily Meter'!C16</f>
        <v>217258</v>
      </c>
      <c r="F10" s="61">
        <f>E10-D10</f>
        <v>162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35634.977999999996</v>
      </c>
      <c r="G11" s="73">
        <f>F11*0.06</f>
        <v>2138.0986799999996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'10'!E13</f>
        <v>7049.2</v>
      </c>
      <c r="E13" s="60">
        <f>'Daily Meter'!H16</f>
        <v>7056.4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'10'!E14</f>
        <v>4261.3</v>
      </c>
      <c r="E14" s="60">
        <f>'Daily Meter'!I16</f>
        <v>4265.3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'10'!E15</f>
        <v>4548.1000000000004</v>
      </c>
      <c r="E15" s="60">
        <f>'Daily Meter'!J16</f>
        <v>4552.3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'10'!E16</f>
        <v>2558.4</v>
      </c>
      <c r="E16" s="60">
        <f>'Daily Meter'!K16</f>
        <v>2561</v>
      </c>
      <c r="F16" s="61">
        <f t="shared" si="0"/>
        <v>1247.9999999999563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'10'!E17</f>
        <v>5886.6</v>
      </c>
      <c r="E17" s="60">
        <f>'Daily Meter'!L16</f>
        <v>5891.1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'10'!E18</f>
        <v>15816.1</v>
      </c>
      <c r="E18" s="60">
        <f>'Daily Meter'!M16</f>
        <v>15827.7</v>
      </c>
      <c r="F18" s="61">
        <f t="shared" si="0"/>
        <v>5568.0000000001746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16367.999999999956</v>
      </c>
      <c r="G19" s="65">
        <f>F19*0.43</f>
        <v>7038.2399999999807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'10'!E22</f>
        <v>99709.5</v>
      </c>
      <c r="E22" s="60">
        <f>'Daily Meter'!N16</f>
        <v>99826.1</v>
      </c>
      <c r="F22" s="84">
        <f>E22-D22</f>
        <v>116.60000000000582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431.42000000002156</v>
      </c>
      <c r="G23" s="88">
        <f>F23*2.5</f>
        <v>1078.5500000000538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6141.7439999995859</v>
      </c>
      <c r="G28" s="98">
        <f>G8</f>
        <v>3869.2987199997392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35634.977999999996</v>
      </c>
      <c r="G29" s="98">
        <f>G11</f>
        <v>2138.0986799999996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16367.999999999956</v>
      </c>
      <c r="G30" s="98">
        <f>G19</f>
        <v>7038.2399999999807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116.60000000000582</v>
      </c>
      <c r="G31" s="98">
        <f>G23</f>
        <v>1078.5500000000538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14124.187399999773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12</v>
      </c>
      <c r="D3" s="41" t="s">
        <v>48</v>
      </c>
      <c r="E3" s="42">
        <f>'Daily Meter'!O17</f>
        <v>41.24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'11'!E7</f>
        <v>54951.9</v>
      </c>
      <c r="E7" s="60">
        <f>'Daily Meter'!B17</f>
        <v>54973.3</v>
      </c>
      <c r="F7" s="61">
        <f>E7-D7</f>
        <v>21.400000000001455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6084.8760000004131</v>
      </c>
      <c r="G8" s="65">
        <f>F8*0.63</f>
        <v>3833.4718800002602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'11'!E10</f>
        <v>217258</v>
      </c>
      <c r="E10" s="60">
        <f>'Daily Meter'!C17</f>
        <v>217395</v>
      </c>
      <c r="F10" s="61">
        <f>E10-D10</f>
        <v>137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30135.753000000001</v>
      </c>
      <c r="G11" s="73">
        <f>F11*0.06</f>
        <v>1808.14518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'11'!E13</f>
        <v>7056.4</v>
      </c>
      <c r="E13" s="60">
        <f>'Daily Meter'!H17</f>
        <v>7063.3</v>
      </c>
      <c r="F13" s="61">
        <f t="shared" ref="F13:F18" si="0">(E13-D13)*480</f>
        <v>3312.0000000002619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'11'!E14</f>
        <v>4265.3</v>
      </c>
      <c r="E14" s="60">
        <f>'Daily Meter'!I17</f>
        <v>4269.3999999999996</v>
      </c>
      <c r="F14" s="61">
        <f t="shared" si="0"/>
        <v>1967.9999999997381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'11'!E15</f>
        <v>4552.3</v>
      </c>
      <c r="E15" s="60">
        <f>'Daily Meter'!J17</f>
        <v>4556.5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'11'!E16</f>
        <v>2561</v>
      </c>
      <c r="E16" s="60">
        <f>'Daily Meter'!K17</f>
        <v>2563.6999999999998</v>
      </c>
      <c r="F16" s="61">
        <f t="shared" si="0"/>
        <v>1295.9999999999127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'11'!E17</f>
        <v>5891.1</v>
      </c>
      <c r="E17" s="60">
        <f>'Daily Meter'!L17</f>
        <v>5895.7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'11'!E18</f>
        <v>15827.7</v>
      </c>
      <c r="E18" s="60">
        <f>'Daily Meter'!M17</f>
        <v>15839.6</v>
      </c>
      <c r="F18" s="61">
        <f t="shared" si="0"/>
        <v>5711.9999999998254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16511.999999999389</v>
      </c>
      <c r="G19" s="65">
        <f>F19*0.43</f>
        <v>7100.159999999737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'11'!E22</f>
        <v>99826.1</v>
      </c>
      <c r="E22" s="60">
        <f>'Daily Meter'!N17</f>
        <v>99932.6</v>
      </c>
      <c r="F22" s="84">
        <f>E22-D22</f>
        <v>106.5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394.05</v>
      </c>
      <c r="G23" s="88">
        <f>F23*2.5</f>
        <v>985.125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6084.8760000004131</v>
      </c>
      <c r="G28" s="98">
        <f>G8</f>
        <v>3833.4718800002602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30135.753000000001</v>
      </c>
      <c r="G29" s="98">
        <f>G11</f>
        <v>1808.14518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16511.999999999389</v>
      </c>
      <c r="G30" s="98">
        <f>G19</f>
        <v>7100.159999999737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106.5</v>
      </c>
      <c r="G31" s="98">
        <f>G23</f>
        <v>985.125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13726.902059999997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J16" sqref="J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13</v>
      </c>
      <c r="D3" s="41" t="s">
        <v>48</v>
      </c>
      <c r="E3" s="42">
        <f>'Daily Meter'!O18</f>
        <v>35.94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'12'!E7</f>
        <v>54973.3</v>
      </c>
      <c r="E7" s="60">
        <f>'Daily Meter'!B18</f>
        <v>54994.6</v>
      </c>
      <c r="F7" s="61">
        <f>E7-D7</f>
        <v>21.299999999995634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6056.4419999987585</v>
      </c>
      <c r="G8" s="65">
        <f>F8*0.63</f>
        <v>3815.558459999218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'12'!E10</f>
        <v>217395</v>
      </c>
      <c r="E10" s="60">
        <f>'Daily Meter'!C18</f>
        <v>217558</v>
      </c>
      <c r="F10" s="61">
        <f>E10-D10</f>
        <v>163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35854.947</v>
      </c>
      <c r="G11" s="73">
        <f>F11*0.06</f>
        <v>2151.29682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'12'!E13</f>
        <v>7063.3</v>
      </c>
      <c r="E13" s="60">
        <f>'Daily Meter'!H18</f>
        <v>7070.2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'12'!E14</f>
        <v>4269.3999999999996</v>
      </c>
      <c r="E14" s="60">
        <f>'Daily Meter'!I18</f>
        <v>4273.6000000000004</v>
      </c>
      <c r="F14" s="61">
        <f t="shared" si="0"/>
        <v>2016.0000000003492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'12'!E15</f>
        <v>4556.5</v>
      </c>
      <c r="E15" s="60">
        <f>'Daily Meter'!J18</f>
        <v>4560.8</v>
      </c>
      <c r="F15" s="61">
        <f t="shared" si="0"/>
        <v>2064.0000000000873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'12'!E16</f>
        <v>2563.6999999999998</v>
      </c>
      <c r="E16" s="60">
        <f>'Daily Meter'!K18</f>
        <v>2566.3000000000002</v>
      </c>
      <c r="F16" s="61">
        <f t="shared" si="0"/>
        <v>1248.0000000001746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'12'!E17</f>
        <v>5895.7</v>
      </c>
      <c r="E17" s="60">
        <f>'Daily Meter'!L18</f>
        <v>5900.3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'12'!E18</f>
        <v>15839.6</v>
      </c>
      <c r="E18" s="60">
        <f>'Daily Meter'!M18</f>
        <v>15851.4</v>
      </c>
      <c r="F18" s="61">
        <f t="shared" si="0"/>
        <v>5663.9999999996508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16512.000000000262</v>
      </c>
      <c r="G19" s="65">
        <f>F19*0.43</f>
        <v>7100.1600000001126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'12'!E22</f>
        <v>99932.6</v>
      </c>
      <c r="E22" s="60">
        <f>'Daily Meter'!N18</f>
        <v>100049</v>
      </c>
      <c r="F22" s="84">
        <f>E22-D22</f>
        <v>116.39999999999418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430.67999999997846</v>
      </c>
      <c r="G23" s="88">
        <f>F23*2.5</f>
        <v>1076.6999999999462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6056.4419999987585</v>
      </c>
      <c r="G28" s="98">
        <f>G8</f>
        <v>3815.558459999218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35854.947</v>
      </c>
      <c r="G29" s="98">
        <f>G11</f>
        <v>2151.29682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16512.000000000262</v>
      </c>
      <c r="G30" s="98">
        <f>G19</f>
        <v>7100.1600000001126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116.39999999999418</v>
      </c>
      <c r="G31" s="98">
        <f>G23</f>
        <v>1076.6999999999462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14143.715279999276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14</v>
      </c>
      <c r="D3" s="41" t="s">
        <v>48</v>
      </c>
      <c r="E3" s="42">
        <f>'Daily Meter'!O19</f>
        <v>38.479999999999997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'13'!E7</f>
        <v>54994.6</v>
      </c>
      <c r="E7" s="60">
        <f>'Daily Meter'!B19</f>
        <v>55017.4</v>
      </c>
      <c r="F7" s="61">
        <f>E7-D7</f>
        <v>22.80000000000291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6482.952000000827</v>
      </c>
      <c r="G8" s="65">
        <f>F8*0.63</f>
        <v>4084.2597600005211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'13'!E10</f>
        <v>217558</v>
      </c>
      <c r="E10" s="60">
        <f>'Daily Meter'!C19</f>
        <v>217743</v>
      </c>
      <c r="F10" s="61">
        <f>E10-D10</f>
        <v>185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40694.264999999999</v>
      </c>
      <c r="G11" s="73">
        <f>F11*0.06</f>
        <v>2441.6558999999997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'13'!E13</f>
        <v>7070.2</v>
      </c>
      <c r="E13" s="60">
        <f>'Daily Meter'!H19</f>
        <v>7077.2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'13'!E14</f>
        <v>4273.6000000000004</v>
      </c>
      <c r="E14" s="60">
        <f>'Daily Meter'!I19</f>
        <v>4277.7</v>
      </c>
      <c r="F14" s="61">
        <f t="shared" si="0"/>
        <v>1967.9999999997381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'13'!E15</f>
        <v>4560.8</v>
      </c>
      <c r="E15" s="60">
        <f>'Daily Meter'!J19</f>
        <v>4565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'13'!E16</f>
        <v>2566.3000000000002</v>
      </c>
      <c r="E16" s="60">
        <f>'Daily Meter'!K19</f>
        <v>2569.1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'13'!E17</f>
        <v>5900.3</v>
      </c>
      <c r="E17" s="60">
        <f>'Daily Meter'!L19</f>
        <v>5904.9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'13'!E18</f>
        <v>15851.4</v>
      </c>
      <c r="E18" s="60">
        <f>'Daily Meter'!M19</f>
        <v>15863.4</v>
      </c>
      <c r="F18" s="61">
        <f t="shared" si="0"/>
        <v>5760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16655.999999999258</v>
      </c>
      <c r="G19" s="65">
        <f>F19*0.43</f>
        <v>7162.0799999996807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'13'!E22</f>
        <v>100049</v>
      </c>
      <c r="E22" s="60">
        <f>'Daily Meter'!N19</f>
        <v>100170</v>
      </c>
      <c r="F22" s="84">
        <f>E22-D22</f>
        <v>121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447.70000000000005</v>
      </c>
      <c r="G23" s="88">
        <f>F23*2.5</f>
        <v>1119.25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6482.952000000827</v>
      </c>
      <c r="G28" s="98">
        <f>G8</f>
        <v>4084.2597600005211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40694.264999999999</v>
      </c>
      <c r="G29" s="98">
        <f>G11</f>
        <v>2441.6558999999997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16655.999999999258</v>
      </c>
      <c r="G30" s="98">
        <f>G19</f>
        <v>7162.0799999996807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121</v>
      </c>
      <c r="G31" s="98">
        <f>G23</f>
        <v>1119.25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14807.245660000201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J15" sqref="J15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15</v>
      </c>
      <c r="D3" s="41" t="s">
        <v>48</v>
      </c>
      <c r="E3" s="42">
        <f>'Daily Meter'!O20</f>
        <v>33.409999999999997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'14'!E7</f>
        <v>55017.4</v>
      </c>
      <c r="E7" s="60">
        <f>'Daily Meter'!B20</f>
        <v>55044</v>
      </c>
      <c r="F7" s="61">
        <f>E7-D7</f>
        <v>26.599999999998545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7563.4439999995857</v>
      </c>
      <c r="G8" s="65">
        <f>F8*0.63</f>
        <v>4764.969719999739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'14'!E10</f>
        <v>217743</v>
      </c>
      <c r="E10" s="60">
        <f>'Daily Meter'!C20</f>
        <v>217868</v>
      </c>
      <c r="F10" s="61">
        <f>E10-D10</f>
        <v>125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27496.125</v>
      </c>
      <c r="G11" s="73">
        <f>F11*0.06</f>
        <v>1649.7674999999999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'14'!E13</f>
        <v>7077.2</v>
      </c>
      <c r="E13" s="60">
        <f>'Daily Meter'!H20</f>
        <v>7084.4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'14'!E14</f>
        <v>4277.7</v>
      </c>
      <c r="E14" s="60">
        <f>'Daily Meter'!I20</f>
        <v>4281.7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'14'!E15</f>
        <v>4565</v>
      </c>
      <c r="E15" s="60">
        <f>'Daily Meter'!J20</f>
        <v>4569.2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'14'!E16</f>
        <v>2569.1</v>
      </c>
      <c r="E16" s="60">
        <f>'Daily Meter'!K20</f>
        <v>2571.8000000000002</v>
      </c>
      <c r="F16" s="61">
        <f t="shared" si="0"/>
        <v>1296.000000000131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'14'!E17</f>
        <v>5904.9</v>
      </c>
      <c r="E17" s="60">
        <f>'Daily Meter'!L20</f>
        <v>5909.5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'14'!E18</f>
        <v>15863.4</v>
      </c>
      <c r="E18" s="60">
        <f>'Daily Meter'!M20</f>
        <v>15875.5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16704.000000000306</v>
      </c>
      <c r="G19" s="65">
        <f>F19*0.43</f>
        <v>7182.7200000001312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'14'!E22</f>
        <v>100170</v>
      </c>
      <c r="E22" s="60">
        <f>'Daily Meter'!N20</f>
        <v>100295.7</v>
      </c>
      <c r="F22" s="84">
        <f>E22-D22</f>
        <v>125.69999999999709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465.08999999998923</v>
      </c>
      <c r="G23" s="88">
        <f>F23*2.5</f>
        <v>1162.7249999999731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7563.4439999995857</v>
      </c>
      <c r="G28" s="98">
        <f>G8</f>
        <v>4764.969719999739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27496.125</v>
      </c>
      <c r="G29" s="98">
        <f>G11</f>
        <v>1649.7674999999999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16704.000000000306</v>
      </c>
      <c r="G30" s="98">
        <f>G19</f>
        <v>7182.7200000001312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125.69999999999709</v>
      </c>
      <c r="G31" s="98">
        <f>G23</f>
        <v>1162.7249999999731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14760.182219999842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16</v>
      </c>
      <c r="D3" s="41" t="s">
        <v>48</v>
      </c>
      <c r="E3" s="42">
        <f>'Daily Meter'!O21</f>
        <v>33.64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'15'!E7</f>
        <v>55044</v>
      </c>
      <c r="E7" s="60">
        <f>'Daily Meter'!B21</f>
        <v>55070.1</v>
      </c>
      <c r="F7" s="61">
        <f>E7-D7</f>
        <v>26.099999999998545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7421.2739999995856</v>
      </c>
      <c r="G8" s="65">
        <f>F8*0.63</f>
        <v>4675.4026199997388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'15'!E10</f>
        <v>217868</v>
      </c>
      <c r="E10" s="60">
        <f>'Daily Meter'!C21</f>
        <v>218073</v>
      </c>
      <c r="F10" s="61">
        <f>E10-D10</f>
        <v>205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45093.644999999997</v>
      </c>
      <c r="G11" s="73">
        <f>F11*0.06</f>
        <v>2705.6186999999995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'15'!E13</f>
        <v>7084.4</v>
      </c>
      <c r="E13" s="60">
        <f>'Daily Meter'!H21</f>
        <v>7091.3</v>
      </c>
      <c r="F13" s="61">
        <f t="shared" ref="F13:F18" si="0">(E13-D13)*480</f>
        <v>3312.0000000002619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'15'!E14</f>
        <v>4281.7</v>
      </c>
      <c r="E14" s="60">
        <f>'Daily Meter'!I21</f>
        <v>4285.7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'15'!E15</f>
        <v>4569.2</v>
      </c>
      <c r="E15" s="60">
        <f>'Daily Meter'!J21</f>
        <v>4573.3</v>
      </c>
      <c r="F15" s="61">
        <f t="shared" si="0"/>
        <v>1968.0000000001746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'15'!E16</f>
        <v>2571.8000000000002</v>
      </c>
      <c r="E16" s="60">
        <f>'Daily Meter'!K21</f>
        <v>2574.6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'15'!E17</f>
        <v>5909.5</v>
      </c>
      <c r="E17" s="60">
        <f>'Daily Meter'!L21</f>
        <v>5914.1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'15'!E18</f>
        <v>15875.5</v>
      </c>
      <c r="E18" s="60">
        <f>'Daily Meter'!M21</f>
        <v>15887.9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16704.000000000306</v>
      </c>
      <c r="G19" s="65">
        <f>F19*0.43</f>
        <v>7182.7200000001312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'15'!E22</f>
        <v>100295.7</v>
      </c>
      <c r="E22" s="60">
        <f>'Daily Meter'!N21</f>
        <v>100421.1</v>
      </c>
      <c r="F22" s="84">
        <f>E22-D22</f>
        <v>125.40000000000873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463.98000000003231</v>
      </c>
      <c r="G23" s="88">
        <f>F23*2.5</f>
        <v>1159.9500000000808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7421.2739999995856</v>
      </c>
      <c r="G28" s="98">
        <f>G8</f>
        <v>4675.4026199997388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45093.644999999997</v>
      </c>
      <c r="G29" s="98">
        <f>G11</f>
        <v>2705.6186999999995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16704.000000000306</v>
      </c>
      <c r="G30" s="98">
        <f>G19</f>
        <v>7182.7200000001312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125.40000000000873</v>
      </c>
      <c r="G31" s="98">
        <f>G23</f>
        <v>1159.9500000000808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15723.691319999951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17</v>
      </c>
      <c r="D3" s="41" t="s">
        <v>48</v>
      </c>
      <c r="E3" s="42">
        <f>'Daily Meter'!O22</f>
        <v>45.16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'16'!E7</f>
        <v>55070.1</v>
      </c>
      <c r="E7" s="60">
        <f>'Daily Meter'!B22</f>
        <v>55098.2</v>
      </c>
      <c r="F7" s="61">
        <f>E7-D7</f>
        <v>28.099999999998545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7989.9539999995859</v>
      </c>
      <c r="G8" s="65">
        <f>F8*0.63</f>
        <v>5033.6710199997387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'16'!E10</f>
        <v>218073</v>
      </c>
      <c r="E10" s="60">
        <f>'Daily Meter'!C22</f>
        <v>218225</v>
      </c>
      <c r="F10" s="61">
        <f>E10-D10</f>
        <v>152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33435.288</v>
      </c>
      <c r="G11" s="73">
        <f>F11*0.06</f>
        <v>2006.1172799999999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'16'!E13</f>
        <v>7091.3</v>
      </c>
      <c r="E13" s="60">
        <f>'Daily Meter'!H22</f>
        <v>7098.3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'16'!E14</f>
        <v>4285.7</v>
      </c>
      <c r="E14" s="60">
        <f>'Daily Meter'!I22</f>
        <v>4289.6000000000004</v>
      </c>
      <c r="F14" s="61">
        <f t="shared" si="0"/>
        <v>1872.0000000002619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'16'!E15</f>
        <v>4573.3</v>
      </c>
      <c r="E15" s="60">
        <f>'Daily Meter'!J22</f>
        <v>4577.5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'16'!E16</f>
        <v>2574.6</v>
      </c>
      <c r="E16" s="60">
        <f>'Daily Meter'!K22</f>
        <v>2577.4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'16'!E17</f>
        <v>5914.1</v>
      </c>
      <c r="E17" s="60">
        <f>'Daily Meter'!L22</f>
        <v>5918.8</v>
      </c>
      <c r="F17" s="61">
        <f t="shared" si="0"/>
        <v>2255.9999999999127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'16'!E18</f>
        <v>15887.9</v>
      </c>
      <c r="E18" s="60">
        <f>'Daily Meter'!M22</f>
        <v>15900.3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16800</v>
      </c>
      <c r="G19" s="65">
        <f>F19*0.43</f>
        <v>7224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'16'!E22</f>
        <v>100421.1</v>
      </c>
      <c r="E22" s="60">
        <f>'Daily Meter'!N22</f>
        <v>100545.1</v>
      </c>
      <c r="F22" s="84">
        <f>E22-D22</f>
        <v>124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458.8</v>
      </c>
      <c r="G23" s="88">
        <f>F23*2.5</f>
        <v>1147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7989.9539999995859</v>
      </c>
      <c r="G28" s="98">
        <f>G8</f>
        <v>5033.6710199997387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33435.288</v>
      </c>
      <c r="G29" s="98">
        <f>G11</f>
        <v>2006.1172799999999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16800</v>
      </c>
      <c r="G30" s="98">
        <f>G19</f>
        <v>7224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124</v>
      </c>
      <c r="G31" s="98">
        <f>G23</f>
        <v>1147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15410.788299999738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18</v>
      </c>
      <c r="D3" s="41" t="s">
        <v>48</v>
      </c>
      <c r="E3" s="42">
        <f>'Daily Meter'!O23</f>
        <v>58.76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'17'!E7</f>
        <v>55098.2</v>
      </c>
      <c r="E7" s="60">
        <f>'Daily Meter'!B23</f>
        <v>55128.800000000003</v>
      </c>
      <c r="F7" s="61">
        <f>E7-D7</f>
        <v>30.600000000005821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8700.8040000016535</v>
      </c>
      <c r="G8" s="65">
        <f>F8*0.63</f>
        <v>5481.5065200010422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'17'!E10</f>
        <v>218225</v>
      </c>
      <c r="E10" s="60">
        <f>'Daily Meter'!C23</f>
        <v>218350</v>
      </c>
      <c r="F10" s="61">
        <f>E10-D10</f>
        <v>125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27496.125</v>
      </c>
      <c r="G11" s="73">
        <f>F11*0.06</f>
        <v>1649.7674999999999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'17'!E13</f>
        <v>7098.3</v>
      </c>
      <c r="E13" s="60">
        <f>'Daily Meter'!H23</f>
        <v>7105.1</v>
      </c>
      <c r="F13" s="61">
        <f t="shared" ref="F13:F18" si="0">(E13-D13)*480</f>
        <v>3264.0000000000873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'17'!E14</f>
        <v>4289.6000000000004</v>
      </c>
      <c r="E14" s="60">
        <f>'Daily Meter'!I23</f>
        <v>4293.5</v>
      </c>
      <c r="F14" s="61">
        <f t="shared" si="0"/>
        <v>1871.9999999998254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'17'!E15</f>
        <v>4577.5</v>
      </c>
      <c r="E15" s="60">
        <f>'Daily Meter'!J23</f>
        <v>4581.5</v>
      </c>
      <c r="F15" s="61">
        <f t="shared" si="0"/>
        <v>1920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'17'!E16</f>
        <v>2577.4</v>
      </c>
      <c r="E16" s="60">
        <f>'Daily Meter'!K23</f>
        <v>2580</v>
      </c>
      <c r="F16" s="61">
        <f t="shared" si="0"/>
        <v>1247.9999999999563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'17'!E17</f>
        <v>5918.8</v>
      </c>
      <c r="E17" s="60">
        <f>'Daily Meter'!L23</f>
        <v>5923.3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'17'!E18</f>
        <v>15900.3</v>
      </c>
      <c r="E18" s="60">
        <f>'Daily Meter'!M23</f>
        <v>15912.5</v>
      </c>
      <c r="F18" s="61">
        <f t="shared" si="0"/>
        <v>5856.0000000003492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16320.000000000218</v>
      </c>
      <c r="G19" s="65">
        <f>F19*0.43</f>
        <v>7017.600000000094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'17'!E22</f>
        <v>100545.1</v>
      </c>
      <c r="E22" s="60">
        <f>'Daily Meter'!N23</f>
        <v>100670.6</v>
      </c>
      <c r="F22" s="84">
        <f>E22-D22</f>
        <v>125.5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464.35</v>
      </c>
      <c r="G23" s="88">
        <f>F23*2.5</f>
        <v>1160.875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8700.8040000016535</v>
      </c>
      <c r="G28" s="98">
        <f>G8</f>
        <v>5481.5065200010422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27496.125</v>
      </c>
      <c r="G29" s="98">
        <f>G11</f>
        <v>1649.7674999999999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16320.000000000218</v>
      </c>
      <c r="G30" s="98">
        <f>G19</f>
        <v>7017.600000000094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125.5</v>
      </c>
      <c r="G31" s="98">
        <f>G23</f>
        <v>1160.875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15309.749020001136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tabSelected="1" zoomScaleNormal="100" workbookViewId="0">
      <selection activeCell="I32" sqref="I32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19</v>
      </c>
      <c r="D3" s="41" t="s">
        <v>48</v>
      </c>
      <c r="E3" s="42">
        <f>'Daily Meter'!O24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'18'!E7</f>
        <v>55128.800000000003</v>
      </c>
      <c r="E7" s="60">
        <f>'Daily Meter'!B24</f>
        <v>55159.4</v>
      </c>
      <c r="F7" s="61">
        <f>E7-D7</f>
        <v>30.599999999998545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8700.8039999995854</v>
      </c>
      <c r="G8" s="65">
        <f>F8*0.63</f>
        <v>5481.5065199997389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'18'!E10</f>
        <v>218350</v>
      </c>
      <c r="E10" s="60">
        <f>'Daily Meter'!C24</f>
        <v>218471</v>
      </c>
      <c r="F10" s="61">
        <f>E10-D10</f>
        <v>121</v>
      </c>
      <c r="G10" s="70"/>
      <c r="H10" s="29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26616.249</v>
      </c>
      <c r="G11" s="73">
        <f>F11*0.06</f>
        <v>1596.9749399999998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'18'!E13</f>
        <v>7105.1</v>
      </c>
      <c r="E13" s="60">
        <f>'Daily Meter'!H24</f>
        <v>7112.1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'18'!E14</f>
        <v>4293.5</v>
      </c>
      <c r="E14" s="60">
        <f>'Daily Meter'!I24</f>
        <v>4297.6000000000004</v>
      </c>
      <c r="F14" s="61">
        <f t="shared" si="0"/>
        <v>1968.0000000001746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'18'!E15</f>
        <v>4581.5</v>
      </c>
      <c r="E15" s="60">
        <f>'Daily Meter'!J24</f>
        <v>4585.7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'18'!E16</f>
        <v>2580</v>
      </c>
      <c r="E16" s="60">
        <f>'Daily Meter'!K24</f>
        <v>2582.9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'18'!E17</f>
        <v>5923.3</v>
      </c>
      <c r="E17" s="60">
        <f>'Daily Meter'!L24</f>
        <v>5927.9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'18'!E18</f>
        <v>15912.5</v>
      </c>
      <c r="E18" s="60">
        <f>'Daily Meter'!M24</f>
        <v>15924.9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16895.999999999694</v>
      </c>
      <c r="G19" s="65">
        <f>F19*0.43</f>
        <v>7265.2799999998688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'18'!E22</f>
        <v>100670.6</v>
      </c>
      <c r="E22" s="60">
        <f>'Daily Meter'!N24</f>
        <v>100799.1</v>
      </c>
      <c r="F22" s="84">
        <f>E22-D22</f>
        <v>128.5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475.45000000000005</v>
      </c>
      <c r="G23" s="88">
        <f>F23*2.5</f>
        <v>1188.625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8700.8039999995854</v>
      </c>
      <c r="G28" s="98">
        <f>G8</f>
        <v>5481.5065199997389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26616.249</v>
      </c>
      <c r="G29" s="98">
        <f>G11</f>
        <v>1596.9749399999998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16895.999999999694</v>
      </c>
      <c r="G30" s="98">
        <f>G19</f>
        <v>7265.2799999998688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128.5</v>
      </c>
      <c r="G31" s="98">
        <f>G23</f>
        <v>1188.625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15532.386459999609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20</v>
      </c>
      <c r="D3" s="41" t="s">
        <v>48</v>
      </c>
      <c r="E3" s="42">
        <f>'Daily Meter'!O25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'19'!E7</f>
        <v>55159.4</v>
      </c>
      <c r="E7" s="60">
        <f>'Daily Meter'!B25</f>
        <v>0</v>
      </c>
      <c r="F7" s="61">
        <f>E7-D7</f>
        <v>-55159.4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-15684023.795999998</v>
      </c>
      <c r="G8" s="65">
        <f>F8*0.63</f>
        <v>-9880934.9914799985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'19'!E10</f>
        <v>218471</v>
      </c>
      <c r="E10" s="60">
        <f>'Daily Meter'!C25</f>
        <v>0</v>
      </c>
      <c r="F10" s="61">
        <f>E10-D10</f>
        <v>-218471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-48056847.398999996</v>
      </c>
      <c r="G11" s="73">
        <f>F11*0.06</f>
        <v>-2883410.8439399996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'19'!E13</f>
        <v>7112.1</v>
      </c>
      <c r="E13" s="60">
        <f>'Daily Meter'!H25</f>
        <v>0</v>
      </c>
      <c r="F13" s="61">
        <f t="shared" ref="F13:F18" si="0">(E13-D13)*480</f>
        <v>-3413808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'19'!E14</f>
        <v>4297.6000000000004</v>
      </c>
      <c r="E14" s="60">
        <f>'Daily Meter'!I25</f>
        <v>0</v>
      </c>
      <c r="F14" s="61">
        <f t="shared" si="0"/>
        <v>-2062848.0000000002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'19'!E15</f>
        <v>4585.7</v>
      </c>
      <c r="E15" s="60">
        <f>'Daily Meter'!J25</f>
        <v>0</v>
      </c>
      <c r="F15" s="61">
        <f t="shared" si="0"/>
        <v>-2201136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'19'!E16</f>
        <v>2582.9</v>
      </c>
      <c r="E16" s="60">
        <f>'Daily Meter'!K25</f>
        <v>0</v>
      </c>
      <c r="F16" s="61">
        <f t="shared" si="0"/>
        <v>-1239792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'19'!E17</f>
        <v>5927.9</v>
      </c>
      <c r="E17" s="60">
        <f>'Daily Meter'!L25</f>
        <v>0</v>
      </c>
      <c r="F17" s="61">
        <f t="shared" si="0"/>
        <v>-2845392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'19'!E18</f>
        <v>15924.9</v>
      </c>
      <c r="E18" s="60">
        <f>'Daily Meter'!M25</f>
        <v>0</v>
      </c>
      <c r="F18" s="61">
        <f t="shared" si="0"/>
        <v>-7643952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-19406928</v>
      </c>
      <c r="G19" s="65">
        <f>F19*0.43</f>
        <v>-8344979.04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'19'!E22</f>
        <v>100799.1</v>
      </c>
      <c r="E22" s="60">
        <f>'Daily Meter'!N25</f>
        <v>0</v>
      </c>
      <c r="F22" s="84">
        <f>E22-D22</f>
        <v>-100799.1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-372956.67000000004</v>
      </c>
      <c r="G23" s="88">
        <f>F23*2.5</f>
        <v>-932391.67500000005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-15684023.795999998</v>
      </c>
      <c r="G28" s="98">
        <f>G8</f>
        <v>-9880934.9914799985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-48056847.398999996</v>
      </c>
      <c r="G29" s="98">
        <f>G11</f>
        <v>-2883410.8439399996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-19406928</v>
      </c>
      <c r="G30" s="98">
        <f>G19</f>
        <v>-8344979.04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-100799.1</v>
      </c>
      <c r="G31" s="98">
        <f>G23</f>
        <v>-932391.67500000005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-22041716.550419997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21</v>
      </c>
      <c r="D3" s="41" t="s">
        <v>48</v>
      </c>
      <c r="E3" s="42">
        <f>'Daily Meter'!O26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'20'!E7</f>
        <v>0</v>
      </c>
      <c r="E7" s="60">
        <f>'Daily Meter'!B26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'20'!E10</f>
        <v>0</v>
      </c>
      <c r="E10" s="60">
        <f>'Daily Meter'!C26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'20'!E13</f>
        <v>0</v>
      </c>
      <c r="E13" s="60">
        <f>'Daily Meter'!H26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'20'!E14</f>
        <v>0</v>
      </c>
      <c r="E14" s="60">
        <f>'Daily Meter'!I26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'20'!E15</f>
        <v>0</v>
      </c>
      <c r="E15" s="60">
        <f>'Daily Meter'!J26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'20'!E16</f>
        <v>0</v>
      </c>
      <c r="E16" s="60">
        <f>'Daily Meter'!K26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'20'!E17</f>
        <v>0</v>
      </c>
      <c r="E17" s="60">
        <f>'Daily Meter'!L26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'20'!E18</f>
        <v>0</v>
      </c>
      <c r="E18" s="60">
        <f>'Daily Meter'!M26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'20'!E22</f>
        <v>0</v>
      </c>
      <c r="E22" s="60">
        <f>'Daily Meter'!N26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22</v>
      </c>
      <c r="D3" s="41" t="s">
        <v>48</v>
      </c>
      <c r="E3" s="42">
        <f>'Daily Meter'!O27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'21'!E7</f>
        <v>0</v>
      </c>
      <c r="E7" s="60">
        <f>'Daily Meter'!B27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'21'!E10</f>
        <v>0</v>
      </c>
      <c r="E10" s="60">
        <f>'Daily Meter'!C27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'21'!E13</f>
        <v>0</v>
      </c>
      <c r="E13" s="60">
        <f>'Daily Meter'!H27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'21'!E14</f>
        <v>0</v>
      </c>
      <c r="E14" s="60">
        <f>'Daily Meter'!I27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'21'!E15</f>
        <v>0</v>
      </c>
      <c r="E15" s="60">
        <f>'Daily Meter'!J27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'21'!E16</f>
        <v>0</v>
      </c>
      <c r="E16" s="60">
        <f>'Daily Meter'!K27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'21'!E17</f>
        <v>0</v>
      </c>
      <c r="E17" s="60">
        <f>'Daily Meter'!L27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'21'!E18</f>
        <v>0</v>
      </c>
      <c r="E18" s="60">
        <f>'Daily Meter'!M27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'21'!E22</f>
        <v>0</v>
      </c>
      <c r="E22" s="60">
        <f>'Daily Meter'!N27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23</v>
      </c>
      <c r="D3" s="41" t="s">
        <v>48</v>
      </c>
      <c r="E3" s="42">
        <f>'Daily Meter'!O28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'22'!E7</f>
        <v>0</v>
      </c>
      <c r="E7" s="60">
        <f>'Daily Meter'!B28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'22'!E10</f>
        <v>0</v>
      </c>
      <c r="E10" s="60">
        <f>'Daily Meter'!C28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  <c r="H11" s="29"/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'22'!E13</f>
        <v>0</v>
      </c>
      <c r="E13" s="60">
        <f>'Daily Meter'!H28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'22'!E14</f>
        <v>0</v>
      </c>
      <c r="E14" s="60">
        <f>'Daily Meter'!I28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'22'!E15</f>
        <v>0</v>
      </c>
      <c r="E15" s="60">
        <f>'Daily Meter'!J28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'22'!E16</f>
        <v>0</v>
      </c>
      <c r="E16" s="60">
        <f>'Daily Meter'!K28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'22'!E17</f>
        <v>0</v>
      </c>
      <c r="E17" s="60">
        <f>'Daily Meter'!L28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'22'!E18</f>
        <v>0</v>
      </c>
      <c r="E18" s="60">
        <f>'Daily Meter'!M28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'22'!E22</f>
        <v>0</v>
      </c>
      <c r="E22" s="60">
        <f>'Daily Meter'!N28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24</v>
      </c>
      <c r="D3" s="41" t="s">
        <v>48</v>
      </c>
      <c r="E3" s="42">
        <f>'Daily Meter'!O29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'23'!E7</f>
        <v>0</v>
      </c>
      <c r="E7" s="60">
        <f>'Daily Meter'!B29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'23'!E10</f>
        <v>0</v>
      </c>
      <c r="E10" s="60">
        <f>'Daily Meter'!C29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'23'!E13</f>
        <v>0</v>
      </c>
      <c r="E13" s="60">
        <f>'Daily Meter'!H29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'23'!E14</f>
        <v>0</v>
      </c>
      <c r="E14" s="60">
        <f>'Daily Meter'!I29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'23'!E15</f>
        <v>0</v>
      </c>
      <c r="E15" s="60">
        <f>'Daily Meter'!J29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'23'!E16</f>
        <v>0</v>
      </c>
      <c r="E16" s="60">
        <f>'Daily Meter'!K29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'23'!E17</f>
        <v>0</v>
      </c>
      <c r="E17" s="60">
        <f>'Daily Meter'!L29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'23'!E18</f>
        <v>0</v>
      </c>
      <c r="E18" s="60">
        <f>'Daily Meter'!M29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'23'!E22</f>
        <v>0</v>
      </c>
      <c r="E22" s="60">
        <f>'Daily Meter'!N29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25</v>
      </c>
      <c r="D3" s="41" t="s">
        <v>48</v>
      </c>
      <c r="E3" s="42">
        <f>'Daily Meter'!O30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102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'24'!E7</f>
        <v>0</v>
      </c>
      <c r="E7" s="103">
        <f>'Daily Meter'!B30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'24'!E10</f>
        <v>0</v>
      </c>
      <c r="E10" s="103">
        <f>'Daily Meter'!C30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'24'!E13</f>
        <v>0</v>
      </c>
      <c r="E13" s="103">
        <f>'Daily Meter'!H30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'24'!E14</f>
        <v>0</v>
      </c>
      <c r="E14" s="103">
        <f>'Daily Meter'!I30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'24'!E15</f>
        <v>0</v>
      </c>
      <c r="E15" s="103">
        <f>'Daily Meter'!J30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'24'!E16</f>
        <v>0</v>
      </c>
      <c r="E16" s="103">
        <f>'Daily Meter'!K30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'24'!E17</f>
        <v>0</v>
      </c>
      <c r="E17" s="103">
        <f>'Daily Meter'!L30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'24'!E18</f>
        <v>0</v>
      </c>
      <c r="E18" s="103">
        <f>'Daily Meter'!M30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'24'!E22</f>
        <v>0</v>
      </c>
      <c r="E22" s="103">
        <f>'Daily Meter'!N30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50"/>
      <c r="G24" s="88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104"/>
      <c r="D26" s="227" t="s">
        <v>75</v>
      </c>
      <c r="E26" s="227"/>
      <c r="F26" s="227"/>
      <c r="G26" s="227"/>
      <c r="H26" s="95"/>
    </row>
    <row r="27" spans="1:11" ht="21" x14ac:dyDescent="0.25">
      <c r="A27" s="90"/>
      <c r="B27" s="90"/>
      <c r="C27" s="91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x14ac:dyDescent="0.25">
      <c r="A28" s="90"/>
      <c r="B28" s="90"/>
      <c r="C28" s="91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x14ac:dyDescent="0.25">
      <c r="A29" s="90"/>
      <c r="B29" s="90"/>
      <c r="C29" s="91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x14ac:dyDescent="0.25">
      <c r="A30" s="90"/>
      <c r="B30" s="90"/>
      <c r="C30" s="91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x14ac:dyDescent="0.25">
      <c r="A31" s="90"/>
      <c r="B31" s="90"/>
      <c r="C31" s="91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0"/>
    </row>
    <row r="32" spans="1:11" x14ac:dyDescent="0.25">
      <c r="D32" s="90"/>
      <c r="E32" s="90"/>
      <c r="F32" s="99" t="s">
        <v>86</v>
      </c>
      <c r="G32" s="100">
        <f>SUM(G28:G31)</f>
        <v>0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26</v>
      </c>
      <c r="D3" s="41" t="s">
        <v>48</v>
      </c>
      <c r="E3" s="42">
        <f>'Daily Meter'!O31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'25'!E7:E7</f>
        <v>0</v>
      </c>
      <c r="E7" s="60">
        <f>'Daily Meter'!B31</f>
        <v>0</v>
      </c>
      <c r="F7" s="105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'25'!E10</f>
        <v>0</v>
      </c>
      <c r="E10" s="60">
        <f>'Daily Meter'!C31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'25'!E13</f>
        <v>0</v>
      </c>
      <c r="E13" s="60">
        <f>'Daily Meter'!H31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'25'!E14</f>
        <v>0</v>
      </c>
      <c r="E14" s="60">
        <f>'Daily Meter'!I31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'25'!E15</f>
        <v>0</v>
      </c>
      <c r="E15" s="60">
        <f>'Daily Meter'!J31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'25'!E16</f>
        <v>0</v>
      </c>
      <c r="E16" s="60">
        <f>'Daily Meter'!K31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'25'!E17</f>
        <v>0</v>
      </c>
      <c r="E17" s="60">
        <f>'Daily Meter'!L31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'25'!E18</f>
        <v>0</v>
      </c>
      <c r="E18" s="60">
        <f>'Daily Meter'!M31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'25'!E22</f>
        <v>0</v>
      </c>
      <c r="E22" s="60">
        <f>'Daily Meter'!N31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27</v>
      </c>
      <c r="D3" s="41" t="s">
        <v>48</v>
      </c>
      <c r="E3" s="42">
        <f>'Daily Meter'!O32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'26'!E7</f>
        <v>0</v>
      </c>
      <c r="E7" s="60">
        <f>'Daily Meter'!B32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'26'!E10</f>
        <v>0</v>
      </c>
      <c r="E10" s="60">
        <f>'Daily Meter'!C32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'26'!E13</f>
        <v>0</v>
      </c>
      <c r="E13" s="60">
        <f>'Daily Meter'!H32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'26'!E14</f>
        <v>0</v>
      </c>
      <c r="E14" s="60">
        <f>'Daily Meter'!I32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'26'!E15</f>
        <v>0</v>
      </c>
      <c r="E15" s="60">
        <f>'Daily Meter'!J32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'26'!E16</f>
        <v>0</v>
      </c>
      <c r="E16" s="60">
        <f>'Daily Meter'!K32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'26'!E17</f>
        <v>0</v>
      </c>
      <c r="E17" s="60">
        <f>'Daily Meter'!L32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'26'!E18</f>
        <v>0</v>
      </c>
      <c r="E18" s="60">
        <f>'Daily Meter'!M32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'26'!E22</f>
        <v>0</v>
      </c>
      <c r="E22" s="60">
        <f>'Daily Meter'!N32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28</v>
      </c>
      <c r="D3" s="41" t="s">
        <v>48</v>
      </c>
      <c r="E3" s="42">
        <f>'Daily Meter'!O33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'27'!E7</f>
        <v>0</v>
      </c>
      <c r="E7" s="60">
        <f>'Daily Meter'!B33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'27'!E10</f>
        <v>0</v>
      </c>
      <c r="E10" s="60">
        <f>'Daily Meter'!C33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'27'!E13</f>
        <v>0</v>
      </c>
      <c r="E13" s="60">
        <f>'Daily Meter'!H33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'27'!E14</f>
        <v>0</v>
      </c>
      <c r="E14" s="60">
        <f>'Daily Meter'!I33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'27'!E15</f>
        <v>0</v>
      </c>
      <c r="E15" s="60">
        <f>'Daily Meter'!J33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'27'!E16</f>
        <v>0</v>
      </c>
      <c r="E16" s="60">
        <f>'Daily Meter'!K33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'27'!E17</f>
        <v>0</v>
      </c>
      <c r="E17" s="60">
        <f>'Daily Meter'!L33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'27'!E18</f>
        <v>0</v>
      </c>
      <c r="E18" s="60">
        <f>'Daily Meter'!M33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'27'!E22</f>
        <v>0</v>
      </c>
      <c r="E22" s="60">
        <f>'Daily Meter'!N33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29</v>
      </c>
      <c r="D3" s="41" t="s">
        <v>48</v>
      </c>
      <c r="E3" s="42">
        <f>'Daily Meter'!O34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'28'!E7</f>
        <v>0</v>
      </c>
      <c r="E7" s="60">
        <f>'Daily Meter'!B34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'28'!E10</f>
        <v>0</v>
      </c>
      <c r="E10" s="60">
        <f>'Daily Meter'!C34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'28'!E13</f>
        <v>0</v>
      </c>
      <c r="E13" s="60">
        <f>'Daily Meter'!H34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'28'!E14</f>
        <v>0</v>
      </c>
      <c r="E14" s="60">
        <f>'Daily Meter'!I34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'28'!E15</f>
        <v>0</v>
      </c>
      <c r="E15" s="60">
        <f>'Daily Meter'!J34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'28'!E16</f>
        <v>0</v>
      </c>
      <c r="E16" s="60">
        <f>'Daily Meter'!K34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'28'!E17</f>
        <v>0</v>
      </c>
      <c r="E17" s="60">
        <f>'Daily Meter'!L34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'28'!E18</f>
        <v>0</v>
      </c>
      <c r="E18" s="60">
        <f>'Daily Meter'!M34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'28'!E22</f>
        <v>0</v>
      </c>
      <c r="E22" s="60">
        <f>'Daily Meter'!N34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30</v>
      </c>
      <c r="D3" s="41" t="s">
        <v>48</v>
      </c>
      <c r="E3" s="42">
        <f>'Daily Meter'!O35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'29'!E7</f>
        <v>0</v>
      </c>
      <c r="E7" s="60">
        <f>'Daily Meter'!B35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'29'!E10</f>
        <v>0</v>
      </c>
      <c r="E10" s="60">
        <f>'Daily Meter'!C35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'29'!E13</f>
        <v>0</v>
      </c>
      <c r="E13" s="60">
        <f>'Daily Meter'!H35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'29'!E14</f>
        <v>0</v>
      </c>
      <c r="E14" s="60">
        <f>'Daily Meter'!I35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'29'!E15</f>
        <v>0</v>
      </c>
      <c r="E15" s="60">
        <f>'Daily Meter'!J35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'29'!E16</f>
        <v>0</v>
      </c>
      <c r="E16" s="60">
        <f>'Daily Meter'!K35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'29'!E17</f>
        <v>0</v>
      </c>
      <c r="E17" s="60">
        <f>'Daily Meter'!L35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'29'!E18</f>
        <v>0</v>
      </c>
      <c r="E18" s="60">
        <f>'Daily Meter'!M35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'29'!E22</f>
        <v>0</v>
      </c>
      <c r="E22" s="60">
        <f>'Daily Meter'!N35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31</v>
      </c>
      <c r="D3" s="41" t="s">
        <v>48</v>
      </c>
      <c r="E3" s="42">
        <f>'Daily Meter'!O37</f>
        <v>61.698888888888888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'30'!E7</f>
        <v>0</v>
      </c>
      <c r="E7" s="60">
        <f>'Daily Meter'!B36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'30'!E10</f>
        <v>0</v>
      </c>
      <c r="E10" s="60">
        <f>'Daily Meter'!C36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'30'!E13</f>
        <v>0</v>
      </c>
      <c r="E13" s="60">
        <f>'Daily Meter'!H36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'30'!E14</f>
        <v>0</v>
      </c>
      <c r="E14" s="60">
        <f>'Daily Meter'!I36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'30'!E15</f>
        <v>0</v>
      </c>
      <c r="E15" s="60">
        <f>'Daily Meter'!J36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'30'!E16</f>
        <v>0</v>
      </c>
      <c r="E16" s="60">
        <f>'Daily Meter'!K36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'30'!E17</f>
        <v>0</v>
      </c>
      <c r="E17" s="60">
        <f>'Daily Meter'!L36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'30'!E18</f>
        <v>0</v>
      </c>
      <c r="E18" s="60">
        <f>'Daily Meter'!M36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'30'!E22</f>
        <v>0</v>
      </c>
      <c r="E22" s="60">
        <f>'Daily Meter'!N36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N7" sqref="N7"/>
    </sheetView>
  </sheetViews>
  <sheetFormatPr defaultColWidth="9.140625" defaultRowHeight="15" x14ac:dyDescent="0.25"/>
  <cols>
    <col min="1" max="1" width="5.5703125" style="43" customWidth="1"/>
    <col min="2" max="2" width="38.28515625" style="43" customWidth="1"/>
    <col min="3" max="3" width="21.5703125" style="43" customWidth="1"/>
    <col min="4" max="4" width="20.140625" style="43" customWidth="1"/>
    <col min="5" max="5" width="20.28515625" style="43" customWidth="1"/>
    <col min="6" max="6" width="21.28515625" style="106" customWidth="1"/>
    <col min="7" max="7" width="20" style="106" customWidth="1"/>
    <col min="8" max="10" width="9.140625" style="43"/>
    <col min="11" max="16" width="10.5703125" style="43" customWidth="1"/>
    <col min="17" max="16384" width="9.140625" style="43"/>
  </cols>
  <sheetData>
    <row r="1" spans="1:14" ht="15" customHeight="1" x14ac:dyDescent="0.25">
      <c r="A1" s="230" t="s">
        <v>45</v>
      </c>
      <c r="B1" s="230"/>
      <c r="C1" s="230"/>
      <c r="D1" s="230"/>
      <c r="E1" s="230"/>
      <c r="F1" s="230"/>
      <c r="G1" s="230"/>
    </row>
    <row r="2" spans="1:14" ht="10.5" customHeight="1" x14ac:dyDescent="0.25">
      <c r="A2" s="230"/>
      <c r="B2" s="230"/>
      <c r="C2" s="230"/>
      <c r="D2" s="230"/>
      <c r="E2" s="230"/>
      <c r="F2" s="230"/>
      <c r="G2" s="230"/>
    </row>
    <row r="3" spans="1:14" ht="21.75" customHeight="1" x14ac:dyDescent="0.25">
      <c r="A3" s="231" t="s">
        <v>47</v>
      </c>
      <c r="B3" s="231"/>
      <c r="C3" s="231"/>
      <c r="D3" s="231"/>
      <c r="E3" s="231"/>
      <c r="F3" s="231"/>
      <c r="G3" s="231"/>
    </row>
    <row r="4" spans="1:14" ht="36" x14ac:dyDescent="0.25">
      <c r="A4" s="232" t="s">
        <v>113</v>
      </c>
      <c r="B4" s="232"/>
      <c r="C4" s="137" t="s">
        <v>114</v>
      </c>
      <c r="D4" s="107"/>
      <c r="E4" s="138" t="s">
        <v>87</v>
      </c>
      <c r="F4" s="233"/>
      <c r="G4" s="233"/>
    </row>
    <row r="5" spans="1:14" ht="27.75" customHeight="1" x14ac:dyDescent="0.25">
      <c r="A5" s="139" t="s">
        <v>49</v>
      </c>
      <c r="B5" s="109" t="s">
        <v>50</v>
      </c>
      <c r="C5" s="108"/>
      <c r="D5" s="110" t="s">
        <v>88</v>
      </c>
      <c r="E5" s="110" t="s">
        <v>89</v>
      </c>
      <c r="F5" s="234" t="s">
        <v>115</v>
      </c>
      <c r="G5" s="235" t="s">
        <v>90</v>
      </c>
      <c r="N5" s="16"/>
    </row>
    <row r="6" spans="1:14" ht="21.75" customHeight="1" x14ac:dyDescent="0.25">
      <c r="A6" s="140"/>
      <c r="B6" s="141"/>
      <c r="C6" s="111"/>
      <c r="D6" s="112" t="s">
        <v>116</v>
      </c>
      <c r="E6" s="112" t="s">
        <v>117</v>
      </c>
      <c r="F6" s="234"/>
      <c r="G6" s="235"/>
    </row>
    <row r="7" spans="1:14" x14ac:dyDescent="0.25">
      <c r="A7" s="142">
        <v>1</v>
      </c>
      <c r="B7" s="113" t="s">
        <v>55</v>
      </c>
      <c r="C7" s="114"/>
      <c r="D7" s="55"/>
      <c r="E7" s="55"/>
      <c r="F7" s="143"/>
      <c r="G7" s="144"/>
      <c r="N7" s="16" t="s">
        <v>22</v>
      </c>
    </row>
    <row r="8" spans="1:14" x14ac:dyDescent="0.25">
      <c r="A8" s="145"/>
      <c r="B8" s="55" t="s">
        <v>56</v>
      </c>
      <c r="C8" s="114" t="s">
        <v>57</v>
      </c>
      <c r="D8" s="60">
        <v>53446.3</v>
      </c>
      <c r="E8" s="60">
        <v>53446.3</v>
      </c>
      <c r="F8" s="146">
        <f>E8-D8</f>
        <v>0</v>
      </c>
      <c r="G8" s="147"/>
    </row>
    <row r="9" spans="1:14" ht="15.75" x14ac:dyDescent="0.25">
      <c r="A9" s="145"/>
      <c r="B9" s="55"/>
      <c r="C9" s="67" t="s">
        <v>91</v>
      </c>
      <c r="D9" s="115"/>
      <c r="E9" s="115"/>
      <c r="F9" s="148">
        <f>F8*284.35</f>
        <v>0</v>
      </c>
      <c r="G9" s="149"/>
    </row>
    <row r="10" spans="1:14" ht="15.75" x14ac:dyDescent="0.25">
      <c r="A10" s="145"/>
      <c r="B10" s="116" t="s">
        <v>92</v>
      </c>
      <c r="C10" s="117"/>
      <c r="D10" s="150"/>
      <c r="E10" s="150"/>
      <c r="F10" s="151">
        <f>F9*0.568</f>
        <v>0</v>
      </c>
      <c r="G10" s="152"/>
    </row>
    <row r="11" spans="1:14" ht="15.75" x14ac:dyDescent="0.25">
      <c r="A11" s="145"/>
      <c r="B11" s="116" t="s">
        <v>93</v>
      </c>
      <c r="C11" s="117"/>
      <c r="D11" s="150"/>
      <c r="E11" s="150"/>
      <c r="F11" s="151">
        <f>F9*0.075</f>
        <v>0</v>
      </c>
      <c r="G11" s="152"/>
    </row>
    <row r="12" spans="1:14" ht="15.75" x14ac:dyDescent="0.25">
      <c r="A12" s="145"/>
      <c r="B12" s="118" t="s">
        <v>94</v>
      </c>
      <c r="C12" s="119"/>
      <c r="D12" s="153"/>
      <c r="E12" s="153"/>
      <c r="F12" s="154">
        <f>F10+F11</f>
        <v>0</v>
      </c>
      <c r="G12" s="120">
        <v>250000</v>
      </c>
    </row>
    <row r="13" spans="1:14" ht="15.75" x14ac:dyDescent="0.25">
      <c r="A13" s="145"/>
      <c r="B13" s="118" t="s">
        <v>118</v>
      </c>
      <c r="C13" s="119"/>
      <c r="D13" s="153"/>
      <c r="E13" s="153"/>
      <c r="F13" s="154">
        <f>(3082.2*30)</f>
        <v>92466</v>
      </c>
      <c r="G13" s="120">
        <v>95548.2</v>
      </c>
    </row>
    <row r="14" spans="1:14" ht="15.75" x14ac:dyDescent="0.25">
      <c r="A14" s="145"/>
      <c r="B14" s="155"/>
      <c r="C14" s="67"/>
      <c r="D14" s="115"/>
      <c r="E14" s="115"/>
      <c r="F14" s="156">
        <f>(F12+F13)</f>
        <v>92466</v>
      </c>
      <c r="G14" s="121">
        <f>SUM(G12:G13)</f>
        <v>345548.2</v>
      </c>
    </row>
    <row r="15" spans="1:14" x14ac:dyDescent="0.25">
      <c r="A15" s="142" t="s">
        <v>59</v>
      </c>
      <c r="B15" s="113" t="s">
        <v>60</v>
      </c>
      <c r="C15" s="114"/>
      <c r="D15" s="60"/>
      <c r="E15" s="60"/>
      <c r="F15" s="157"/>
      <c r="G15" s="158"/>
    </row>
    <row r="16" spans="1:14" x14ac:dyDescent="0.25">
      <c r="A16" s="159"/>
      <c r="B16" s="68" t="s">
        <v>61</v>
      </c>
      <c r="C16" s="69" t="s">
        <v>62</v>
      </c>
      <c r="D16" s="60">
        <v>203437</v>
      </c>
      <c r="E16" s="60">
        <v>203437</v>
      </c>
      <c r="F16" s="146">
        <f>E16-D16</f>
        <v>0</v>
      </c>
      <c r="G16" s="147"/>
    </row>
    <row r="17" spans="1:16" ht="28.5" x14ac:dyDescent="0.25">
      <c r="A17" s="159"/>
      <c r="B17" s="68"/>
      <c r="C17" s="69" t="s">
        <v>119</v>
      </c>
      <c r="D17" s="60"/>
      <c r="E17" s="60"/>
      <c r="F17" s="160">
        <f>F16*219.969</f>
        <v>0</v>
      </c>
      <c r="G17" s="161"/>
    </row>
    <row r="18" spans="1:16" x14ac:dyDescent="0.25">
      <c r="A18" s="159"/>
      <c r="B18" s="116" t="s">
        <v>95</v>
      </c>
      <c r="C18" s="162"/>
      <c r="D18" s="163"/>
      <c r="E18" s="163"/>
      <c r="F18" s="122">
        <v>350</v>
      </c>
      <c r="G18" s="164"/>
    </row>
    <row r="19" spans="1:16" x14ac:dyDescent="0.25">
      <c r="A19" s="159"/>
      <c r="B19" s="116" t="s">
        <v>96</v>
      </c>
      <c r="C19" s="162"/>
      <c r="D19" s="163"/>
      <c r="E19" s="163"/>
      <c r="F19" s="122">
        <v>400</v>
      </c>
      <c r="G19" s="164"/>
    </row>
    <row r="20" spans="1:16" x14ac:dyDescent="0.25">
      <c r="A20" s="159"/>
      <c r="B20" s="116" t="s">
        <v>97</v>
      </c>
      <c r="C20" s="162"/>
      <c r="D20" s="163"/>
      <c r="E20" s="163"/>
      <c r="F20" s="122">
        <f>SUM(F17-20000)*0.046</f>
        <v>-920</v>
      </c>
      <c r="G20" s="164"/>
    </row>
    <row r="21" spans="1:16" x14ac:dyDescent="0.25">
      <c r="A21" s="159"/>
      <c r="B21" s="116" t="s">
        <v>98</v>
      </c>
      <c r="C21" s="162"/>
      <c r="D21" s="163"/>
      <c r="E21" s="163"/>
      <c r="F21" s="122">
        <f>F17*0.005</f>
        <v>0</v>
      </c>
      <c r="G21" s="164"/>
    </row>
    <row r="22" spans="1:16" x14ac:dyDescent="0.25">
      <c r="A22" s="159"/>
      <c r="B22" s="116" t="s">
        <v>99</v>
      </c>
      <c r="C22" s="162"/>
      <c r="D22" s="163"/>
      <c r="E22" s="163"/>
      <c r="F22" s="122">
        <f>F17*0.01</f>
        <v>0</v>
      </c>
      <c r="G22" s="164"/>
    </row>
    <row r="23" spans="1:16" x14ac:dyDescent="0.25">
      <c r="A23" s="159"/>
      <c r="B23" s="118" t="s">
        <v>94</v>
      </c>
      <c r="C23" s="123"/>
      <c r="D23" s="165"/>
      <c r="E23" s="165"/>
      <c r="F23" s="166">
        <f>SUM(F18:F22)</f>
        <v>-170</v>
      </c>
      <c r="G23" s="167">
        <v>59385</v>
      </c>
    </row>
    <row r="24" spans="1:16" x14ac:dyDescent="0.25">
      <c r="A24" s="142" t="s">
        <v>65</v>
      </c>
      <c r="B24" s="113" t="s">
        <v>66</v>
      </c>
      <c r="C24" s="114"/>
      <c r="D24" s="60"/>
      <c r="E24" s="60"/>
      <c r="F24" s="168"/>
      <c r="G24" s="169"/>
      <c r="K24" s="170"/>
      <c r="L24" s="170"/>
      <c r="M24" s="170"/>
      <c r="N24" s="170"/>
      <c r="O24" s="170"/>
      <c r="P24" s="170"/>
    </row>
    <row r="25" spans="1:16" x14ac:dyDescent="0.25">
      <c r="A25" s="145">
        <v>1</v>
      </c>
      <c r="B25" s="55" t="s">
        <v>120</v>
      </c>
      <c r="C25" s="114" t="s">
        <v>67</v>
      </c>
      <c r="D25" s="60">
        <v>6559.3</v>
      </c>
      <c r="E25" s="60">
        <v>6559.3</v>
      </c>
      <c r="F25" s="146">
        <f t="shared" ref="F25:F30" si="0">(E25-D25)*480</f>
        <v>0</v>
      </c>
      <c r="G25" s="147"/>
    </row>
    <row r="26" spans="1:16" x14ac:dyDescent="0.25">
      <c r="A26" s="145">
        <v>2</v>
      </c>
      <c r="B26" s="55" t="s">
        <v>121</v>
      </c>
      <c r="C26" s="114" t="s">
        <v>67</v>
      </c>
      <c r="D26" s="60">
        <v>3966.1</v>
      </c>
      <c r="E26" s="60">
        <v>3966.1</v>
      </c>
      <c r="F26" s="146">
        <f t="shared" si="0"/>
        <v>0</v>
      </c>
      <c r="G26" s="147"/>
    </row>
    <row r="27" spans="1:16" x14ac:dyDescent="0.25">
      <c r="A27" s="145">
        <v>3</v>
      </c>
      <c r="B27" s="55" t="s">
        <v>122</v>
      </c>
      <c r="C27" s="114" t="s">
        <v>67</v>
      </c>
      <c r="D27" s="60">
        <v>4228.8999999999996</v>
      </c>
      <c r="E27" s="60">
        <v>4228.8999999999996</v>
      </c>
      <c r="F27" s="146">
        <f t="shared" si="0"/>
        <v>0</v>
      </c>
      <c r="G27" s="147"/>
      <c r="K27" s="171"/>
      <c r="L27" s="171"/>
      <c r="M27" s="171"/>
      <c r="N27" s="171"/>
      <c r="O27" s="171"/>
      <c r="P27" s="171"/>
    </row>
    <row r="28" spans="1:16" x14ac:dyDescent="0.25">
      <c r="A28" s="145">
        <v>4</v>
      </c>
      <c r="B28" s="55" t="s">
        <v>123</v>
      </c>
      <c r="C28" s="114" t="s">
        <v>67</v>
      </c>
      <c r="D28" s="60">
        <v>2358.9</v>
      </c>
      <c r="E28" s="60">
        <v>2358.9</v>
      </c>
      <c r="F28" s="146">
        <f t="shared" si="0"/>
        <v>0</v>
      </c>
      <c r="G28" s="147"/>
      <c r="K28" s="172"/>
      <c r="L28" s="172"/>
      <c r="M28" s="172"/>
      <c r="N28" s="172"/>
      <c r="O28" s="172"/>
      <c r="P28" s="172"/>
    </row>
    <row r="29" spans="1:16" x14ac:dyDescent="0.25">
      <c r="A29" s="145">
        <v>5</v>
      </c>
      <c r="B29" s="55" t="s">
        <v>124</v>
      </c>
      <c r="C29" s="114" t="s">
        <v>67</v>
      </c>
      <c r="D29" s="60">
        <v>5569.2</v>
      </c>
      <c r="E29" s="60">
        <v>5569.2</v>
      </c>
      <c r="F29" s="146">
        <f t="shared" si="0"/>
        <v>0</v>
      </c>
      <c r="G29" s="147"/>
    </row>
    <row r="30" spans="1:16" x14ac:dyDescent="0.25">
      <c r="A30" s="145">
        <v>6</v>
      </c>
      <c r="B30" s="55" t="s">
        <v>125</v>
      </c>
      <c r="C30" s="114" t="s">
        <v>67</v>
      </c>
      <c r="D30" s="60">
        <v>15010.6</v>
      </c>
      <c r="E30" s="60">
        <v>15010.6</v>
      </c>
      <c r="F30" s="146">
        <f t="shared" si="0"/>
        <v>0</v>
      </c>
      <c r="G30" s="147"/>
    </row>
    <row r="31" spans="1:16" x14ac:dyDescent="0.25">
      <c r="A31" s="145"/>
      <c r="B31" s="124" t="s">
        <v>100</v>
      </c>
      <c r="C31" s="114"/>
      <c r="D31" s="60"/>
      <c r="E31" s="60"/>
      <c r="F31" s="173">
        <f>SUM(F25:F30)</f>
        <v>0</v>
      </c>
      <c r="G31" s="174"/>
    </row>
    <row r="32" spans="1:16" x14ac:dyDescent="0.25">
      <c r="A32" s="175"/>
      <c r="B32" s="116" t="s">
        <v>101</v>
      </c>
      <c r="C32" s="176"/>
      <c r="D32" s="177"/>
      <c r="E32" s="177"/>
      <c r="F32" s="151">
        <v>460</v>
      </c>
      <c r="G32" s="152"/>
    </row>
    <row r="33" spans="1:7" x14ac:dyDescent="0.25">
      <c r="A33" s="175"/>
      <c r="B33" s="116" t="s">
        <v>102</v>
      </c>
      <c r="C33" s="176"/>
      <c r="D33" s="177"/>
      <c r="E33" s="177"/>
      <c r="F33" s="151">
        <v>560</v>
      </c>
      <c r="G33" s="152"/>
    </row>
    <row r="34" spans="1:7" x14ac:dyDescent="0.25">
      <c r="A34" s="175"/>
      <c r="B34" s="116" t="s">
        <v>103</v>
      </c>
      <c r="C34" s="176"/>
      <c r="D34" s="177"/>
      <c r="E34" s="177"/>
      <c r="F34" s="151">
        <v>640</v>
      </c>
      <c r="G34" s="152"/>
    </row>
    <row r="35" spans="1:7" x14ac:dyDescent="0.25">
      <c r="A35" s="175"/>
      <c r="B35" s="116" t="s">
        <v>104</v>
      </c>
      <c r="C35" s="176"/>
      <c r="D35" s="177"/>
      <c r="E35" s="177"/>
      <c r="F35" s="151">
        <f>SUM(F31-6000)*0.38</f>
        <v>-2280</v>
      </c>
      <c r="G35" s="152"/>
    </row>
    <row r="36" spans="1:7" x14ac:dyDescent="0.25">
      <c r="A36" s="175"/>
      <c r="B36" s="116" t="s">
        <v>105</v>
      </c>
      <c r="C36" s="176"/>
      <c r="D36" s="177"/>
      <c r="E36" s="177"/>
      <c r="F36" s="151">
        <f>F31*0.065</f>
        <v>0</v>
      </c>
      <c r="G36" s="152"/>
    </row>
    <row r="37" spans="1:7" x14ac:dyDescent="0.25">
      <c r="A37" s="175"/>
      <c r="B37" s="118" t="s">
        <v>94</v>
      </c>
      <c r="C37" s="126"/>
      <c r="D37" s="178"/>
      <c r="E37" s="178"/>
      <c r="F37" s="154">
        <f>SUM(F32:F36)</f>
        <v>-620</v>
      </c>
      <c r="G37" s="120">
        <v>281577</v>
      </c>
    </row>
    <row r="38" spans="1:7" x14ac:dyDescent="0.25">
      <c r="A38" s="142" t="s">
        <v>69</v>
      </c>
      <c r="B38" s="113" t="s">
        <v>70</v>
      </c>
      <c r="C38" s="114"/>
      <c r="D38" s="81"/>
      <c r="E38" s="81"/>
      <c r="F38" s="168"/>
      <c r="G38" s="169"/>
    </row>
    <row r="39" spans="1:7" x14ac:dyDescent="0.25">
      <c r="A39" s="145">
        <v>1</v>
      </c>
      <c r="B39" s="127" t="s">
        <v>71</v>
      </c>
      <c r="C39" s="129"/>
      <c r="D39" s="60"/>
      <c r="E39" s="60"/>
      <c r="F39" s="173"/>
      <c r="G39" s="174"/>
    </row>
    <row r="40" spans="1:7" x14ac:dyDescent="0.25">
      <c r="A40" s="145"/>
      <c r="B40" s="127"/>
      <c r="C40" s="128" t="s">
        <v>106</v>
      </c>
      <c r="D40" s="60">
        <v>89987.4</v>
      </c>
      <c r="E40" s="60">
        <v>89987.4</v>
      </c>
      <c r="F40" s="148">
        <f>E40-D40</f>
        <v>0</v>
      </c>
      <c r="G40" s="174"/>
    </row>
    <row r="41" spans="1:7" x14ac:dyDescent="0.25">
      <c r="A41" s="145"/>
      <c r="B41" s="127"/>
      <c r="C41" s="129" t="s">
        <v>107</v>
      </c>
      <c r="D41" s="60"/>
      <c r="E41" s="60"/>
      <c r="F41" s="125">
        <f>F40*3.7</f>
        <v>0</v>
      </c>
      <c r="G41" s="174"/>
    </row>
    <row r="42" spans="1:7" x14ac:dyDescent="0.25">
      <c r="A42" s="179"/>
      <c r="B42" s="180" t="s">
        <v>108</v>
      </c>
      <c r="C42" s="181"/>
      <c r="D42" s="182"/>
      <c r="E42" s="182"/>
      <c r="F42" s="183">
        <f>F41*2.5</f>
        <v>0</v>
      </c>
      <c r="G42" s="184">
        <v>13040</v>
      </c>
    </row>
    <row r="43" spans="1:7" ht="11.25" customHeight="1" x14ac:dyDescent="0.25">
      <c r="A43" s="130"/>
      <c r="B43" s="130"/>
      <c r="C43" s="131"/>
      <c r="D43" s="130"/>
      <c r="E43" s="130"/>
      <c r="F43" s="132"/>
      <c r="G43" s="132"/>
    </row>
    <row r="44" spans="1:7" ht="18.75" customHeight="1" x14ac:dyDescent="0.25">
      <c r="A44" s="93"/>
      <c r="B44" s="229" t="s">
        <v>75</v>
      </c>
      <c r="C44" s="229"/>
      <c r="D44" s="229"/>
      <c r="E44" s="229"/>
      <c r="F44" s="104"/>
      <c r="G44" s="104"/>
    </row>
    <row r="45" spans="1:7" ht="18.75" customHeight="1" x14ac:dyDescent="0.25">
      <c r="A45" s="93"/>
      <c r="B45" s="185" t="s">
        <v>76</v>
      </c>
      <c r="C45" s="185" t="s">
        <v>77</v>
      </c>
      <c r="D45" s="185" t="s">
        <v>78</v>
      </c>
      <c r="E45" s="185" t="s">
        <v>109</v>
      </c>
      <c r="F45" s="104"/>
      <c r="G45" s="104"/>
    </row>
    <row r="46" spans="1:7" x14ac:dyDescent="0.25">
      <c r="A46" s="130"/>
      <c r="B46" s="96" t="s">
        <v>80</v>
      </c>
      <c r="C46" s="96" t="s">
        <v>58</v>
      </c>
      <c r="D46" s="97">
        <f>F9</f>
        <v>0</v>
      </c>
      <c r="E46" s="98">
        <f>F12</f>
        <v>0</v>
      </c>
      <c r="F46" s="133"/>
      <c r="G46" s="133"/>
    </row>
    <row r="47" spans="1:7" x14ac:dyDescent="0.25">
      <c r="A47" s="130"/>
      <c r="B47" s="96" t="s">
        <v>81</v>
      </c>
      <c r="C47" s="96" t="s">
        <v>110</v>
      </c>
      <c r="D47" s="97">
        <f>F17</f>
        <v>0</v>
      </c>
      <c r="E47" s="98">
        <f>F23</f>
        <v>-170</v>
      </c>
      <c r="F47" s="133"/>
      <c r="G47" s="133"/>
    </row>
    <row r="48" spans="1:7" x14ac:dyDescent="0.25">
      <c r="A48" s="130"/>
      <c r="B48" s="96" t="s">
        <v>83</v>
      </c>
      <c r="C48" s="96" t="s">
        <v>111</v>
      </c>
      <c r="D48" s="97">
        <f>F31</f>
        <v>0</v>
      </c>
      <c r="E48" s="98">
        <f>F37</f>
        <v>-620</v>
      </c>
      <c r="F48" s="133"/>
      <c r="G48" s="133"/>
    </row>
    <row r="49" spans="1:7" x14ac:dyDescent="0.25">
      <c r="A49" s="130"/>
      <c r="B49" s="96" t="s">
        <v>85</v>
      </c>
      <c r="C49" s="128" t="s">
        <v>106</v>
      </c>
      <c r="D49" s="97">
        <f>F40</f>
        <v>0</v>
      </c>
      <c r="E49" s="98">
        <f>F42</f>
        <v>0</v>
      </c>
      <c r="F49" s="133"/>
      <c r="G49" s="133"/>
    </row>
    <row r="50" spans="1:7" ht="15.75" x14ac:dyDescent="0.25">
      <c r="A50" s="130"/>
      <c r="B50" s="90"/>
      <c r="C50" s="90"/>
      <c r="D50" s="134" t="s">
        <v>112</v>
      </c>
      <c r="E50" s="135">
        <f>SUM(E46:E49)</f>
        <v>-790</v>
      </c>
      <c r="F50" s="136"/>
      <c r="G50" s="136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34CDDA-042B-4180-AA44-3DF18CCC8F85}">
  <ds:schemaRefs>
    <ds:schemaRef ds:uri="ab6f10ed-c627-4ef3-be43-403188ac1815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401fae36-edd3-4788-a18a-50cdc6e6776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9B4B63D-AF8E-4215-95C4-B64CBE6F93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2</vt:i4>
      </vt:variant>
    </vt:vector>
  </HeadingPairs>
  <TitlesOfParts>
    <vt:vector size="37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dec. 1 to 31</vt:lpstr>
      <vt:lpstr>'Daily Meter'!Print_Area</vt:lpstr>
      <vt:lpstr>'dec. 1 to 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Argie DOMINGO</cp:lastModifiedBy>
  <cp:revision>4</cp:revision>
  <dcterms:created xsi:type="dcterms:W3CDTF">2015-06-05T18:17:20Z</dcterms:created>
  <dcterms:modified xsi:type="dcterms:W3CDTF">2024-03-19T05:45:31Z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