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4" i="10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O34" i="10"/>
  <c r="AC34" i="10"/>
  <c r="T34" i="10"/>
  <c r="H34" i="10"/>
  <c r="I34" i="10" s="1"/>
  <c r="E32" i="5" s="1"/>
  <c r="AX33" i="10"/>
  <c r="AV33" i="10"/>
  <c r="AS33" i="10"/>
  <c r="AQ33" i="10"/>
  <c r="AO33" i="10"/>
  <c r="AC33" i="10"/>
  <c r="AD34" i="10" s="1"/>
  <c r="T33" i="10"/>
  <c r="H33" i="10"/>
  <c r="I33" i="10" s="1"/>
  <c r="E31" i="5" s="1"/>
  <c r="AX32" i="10"/>
  <c r="AV32" i="10"/>
  <c r="AS32" i="10"/>
  <c r="AQ32" i="10"/>
  <c r="AR32" i="10" s="1"/>
  <c r="AO32" i="10"/>
  <c r="AC32" i="10"/>
  <c r="T32" i="10"/>
  <c r="H32" i="10"/>
  <c r="AX31" i="10"/>
  <c r="AV31" i="10"/>
  <c r="AS31" i="10"/>
  <c r="AQ31" i="10"/>
  <c r="AO31" i="10"/>
  <c r="AC31" i="10"/>
  <c r="T31" i="10"/>
  <c r="H31" i="10"/>
  <c r="I31" i="10" s="1"/>
  <c r="E29" i="5" s="1"/>
  <c r="AX30" i="10"/>
  <c r="AV30" i="10"/>
  <c r="AS30" i="10"/>
  <c r="AQ30" i="10"/>
  <c r="AO30" i="10"/>
  <c r="AP31" i="10" s="1"/>
  <c r="AC30" i="10"/>
  <c r="AD31" i="10" s="1"/>
  <c r="T30" i="10"/>
  <c r="H30" i="10"/>
  <c r="I30" i="10" s="1"/>
  <c r="E28" i="5" s="1"/>
  <c r="AX29" i="10"/>
  <c r="AV29" i="10"/>
  <c r="AS29" i="10"/>
  <c r="AQ29" i="10"/>
  <c r="AR30" i="10" s="1"/>
  <c r="AO29" i="10"/>
  <c r="AC29" i="10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I28" i="10" s="1"/>
  <c r="E26" i="5" s="1"/>
  <c r="AX27" i="10"/>
  <c r="AV27" i="10"/>
  <c r="AS27" i="10"/>
  <c r="AQ27" i="10"/>
  <c r="AO27" i="10"/>
  <c r="AC27" i="10"/>
  <c r="AD28" i="10" s="1"/>
  <c r="T27" i="10"/>
  <c r="H27" i="10"/>
  <c r="I27" i="10" s="1"/>
  <c r="E25" i="5" s="1"/>
  <c r="AX26" i="10"/>
  <c r="AV26" i="10"/>
  <c r="AS26" i="10"/>
  <c r="AQ26" i="10"/>
  <c r="AR27" i="10" s="1"/>
  <c r="AO26" i="10"/>
  <c r="AC26" i="10"/>
  <c r="T26" i="10"/>
  <c r="H26" i="10"/>
  <c r="AX25" i="10"/>
  <c r="AV25" i="10"/>
  <c r="AS25" i="10"/>
  <c r="AQ25" i="10"/>
  <c r="AO25" i="10"/>
  <c r="AC25" i="10"/>
  <c r="T25" i="10"/>
  <c r="H25" i="10"/>
  <c r="I25" i="10" s="1"/>
  <c r="E23" i="5" s="1"/>
  <c r="AX24" i="10"/>
  <c r="AV24" i="10"/>
  <c r="AS24" i="10"/>
  <c r="AQ24" i="10"/>
  <c r="AO24" i="10"/>
  <c r="AC24" i="10"/>
  <c r="AD25" i="10" s="1"/>
  <c r="T24" i="10"/>
  <c r="H24" i="10"/>
  <c r="I24" i="10" s="1"/>
  <c r="E22" i="5" s="1"/>
  <c r="AX23" i="10"/>
  <c r="AV23" i="10"/>
  <c r="AS23" i="10"/>
  <c r="AT24" i="10" s="1"/>
  <c r="AQ23" i="10"/>
  <c r="AO23" i="10"/>
  <c r="AC23" i="10"/>
  <c r="AD23" i="10" s="1"/>
  <c r="T23" i="10"/>
  <c r="H23" i="10"/>
  <c r="AX22" i="10"/>
  <c r="AV22" i="10"/>
  <c r="AS22" i="10"/>
  <c r="AQ22" i="10"/>
  <c r="AO22" i="10"/>
  <c r="AC22" i="10"/>
  <c r="T22" i="10"/>
  <c r="H22" i="10"/>
  <c r="I22" i="10" s="1"/>
  <c r="E20" i="5" s="1"/>
  <c r="AX21" i="10"/>
  <c r="AV21" i="10"/>
  <c r="AS21" i="10"/>
  <c r="AQ21" i="10"/>
  <c r="AO21" i="10"/>
  <c r="AC21" i="10"/>
  <c r="AD22" i="10" s="1"/>
  <c r="T21" i="10"/>
  <c r="H21" i="10"/>
  <c r="I21" i="10" s="1"/>
  <c r="E19" i="5" s="1"/>
  <c r="AX20" i="10"/>
  <c r="AV20" i="10"/>
  <c r="AS20" i="10"/>
  <c r="AQ20" i="10"/>
  <c r="AR20" i="10" s="1"/>
  <c r="AO20" i="10"/>
  <c r="AC20" i="10"/>
  <c r="T20" i="10"/>
  <c r="H20" i="10"/>
  <c r="AX19" i="10"/>
  <c r="AV19" i="10"/>
  <c r="AS19" i="10"/>
  <c r="AQ19" i="10"/>
  <c r="AO19" i="10"/>
  <c r="AC19" i="10"/>
  <c r="T19" i="10"/>
  <c r="H19" i="10"/>
  <c r="I19" i="10" s="1"/>
  <c r="E17" i="5" s="1"/>
  <c r="AX18" i="10"/>
  <c r="AV18" i="10"/>
  <c r="AS18" i="10"/>
  <c r="AQ18" i="10"/>
  <c r="AO18" i="10"/>
  <c r="AC18" i="10"/>
  <c r="AD19" i="10" s="1"/>
  <c r="T18" i="10"/>
  <c r="H18" i="10"/>
  <c r="I18" i="10" s="1"/>
  <c r="E16" i="5" s="1"/>
  <c r="AX17" i="10"/>
  <c r="AV17" i="10"/>
  <c r="AS17" i="10"/>
  <c r="AQ17" i="10"/>
  <c r="AR18" i="10" s="1"/>
  <c r="AO17" i="10"/>
  <c r="AC17" i="10"/>
  <c r="T17" i="10"/>
  <c r="H17" i="10"/>
  <c r="AX16" i="10"/>
  <c r="AV16" i="10"/>
  <c r="AS16" i="10"/>
  <c r="AQ16" i="10"/>
  <c r="AR16" i="10" s="1"/>
  <c r="AO16" i="10"/>
  <c r="AC16" i="10"/>
  <c r="T16" i="10"/>
  <c r="H16" i="10"/>
  <c r="AX15" i="10"/>
  <c r="AV15" i="10"/>
  <c r="AS15" i="10"/>
  <c r="AQ15" i="10"/>
  <c r="AO15" i="10"/>
  <c r="AC15" i="10"/>
  <c r="AD15" i="10" s="1"/>
  <c r="T15" i="10"/>
  <c r="U15" i="10" s="1"/>
  <c r="H15" i="10"/>
  <c r="AX14" i="10"/>
  <c r="AV14" i="10"/>
  <c r="AS14" i="10"/>
  <c r="AQ14" i="10"/>
  <c r="AR15" i="10" s="1"/>
  <c r="AO14" i="10"/>
  <c r="AC14" i="10"/>
  <c r="T14" i="10"/>
  <c r="H14" i="10"/>
  <c r="I14" i="10" s="1"/>
  <c r="E12" i="5" s="1"/>
  <c r="AX13" i="10"/>
  <c r="AV13" i="10"/>
  <c r="AS13" i="10"/>
  <c r="AT14" i="10" s="1"/>
  <c r="AQ13" i="10"/>
  <c r="AO13" i="10"/>
  <c r="AC13" i="10"/>
  <c r="T13" i="10"/>
  <c r="U14" i="10" s="1"/>
  <c r="H13" i="10"/>
  <c r="AX12" i="10"/>
  <c r="AV12" i="10"/>
  <c r="AS12" i="10"/>
  <c r="AQ12" i="10"/>
  <c r="AO12" i="10"/>
  <c r="AC12" i="10"/>
  <c r="AD12" i="10" s="1"/>
  <c r="T12" i="10"/>
  <c r="H12" i="10"/>
  <c r="I13" i="10" s="1"/>
  <c r="V13" i="10" s="1"/>
  <c r="AX11" i="10"/>
  <c r="AV11" i="10"/>
  <c r="AS11" i="10"/>
  <c r="AQ11" i="10"/>
  <c r="AR11" i="10" s="1"/>
  <c r="AO11" i="10"/>
  <c r="AC11" i="10"/>
  <c r="T11" i="10"/>
  <c r="H11" i="10"/>
  <c r="AX10" i="10"/>
  <c r="AV10" i="10"/>
  <c r="AS10" i="10"/>
  <c r="AQ10" i="10"/>
  <c r="AO10" i="10"/>
  <c r="AP10" i="10" s="1"/>
  <c r="AC10" i="10"/>
  <c r="AD10" i="10" s="1"/>
  <c r="T10" i="10"/>
  <c r="H10" i="10"/>
  <c r="AX9" i="10"/>
  <c r="AV9" i="10"/>
  <c r="AS9" i="10"/>
  <c r="AQ9" i="10"/>
  <c r="AR10" i="10" s="1"/>
  <c r="AO9" i="10"/>
  <c r="AC9" i="10"/>
  <c r="T9" i="10"/>
  <c r="U10" i="10" s="1"/>
  <c r="H9" i="10"/>
  <c r="AX8" i="10"/>
  <c r="AV8" i="10"/>
  <c r="AS8" i="10"/>
  <c r="AQ8" i="10"/>
  <c r="AO8" i="10"/>
  <c r="AP9" i="10" s="1"/>
  <c r="AC8" i="10"/>
  <c r="AD8" i="10" s="1"/>
  <c r="T8" i="10"/>
  <c r="H8" i="10"/>
  <c r="AX7" i="10"/>
  <c r="AV7" i="10"/>
  <c r="AS7" i="10"/>
  <c r="AT7" i="10" s="1"/>
  <c r="AQ7" i="10"/>
  <c r="AO7" i="10"/>
  <c r="AC7" i="10"/>
  <c r="T7" i="10"/>
  <c r="H7" i="10"/>
  <c r="AX6" i="10"/>
  <c r="AV6" i="10"/>
  <c r="AS6" i="10"/>
  <c r="AQ6" i="10"/>
  <c r="AR6" i="10" s="1"/>
  <c r="AO6" i="10"/>
  <c r="AP6" i="10" s="1"/>
  <c r="AU6" i="10" s="1"/>
  <c r="AC6" i="10"/>
  <c r="AD6" i="10" s="1"/>
  <c r="T6" i="10"/>
  <c r="H6" i="10"/>
  <c r="AX5" i="10"/>
  <c r="AV5" i="10"/>
  <c r="AS5" i="10"/>
  <c r="AT6" i="10" s="1"/>
  <c r="AQ5" i="10"/>
  <c r="AO5" i="10"/>
  <c r="AP5" i="10"/>
  <c r="AC5" i="10"/>
  <c r="AD5" i="10" s="1"/>
  <c r="T5" i="10"/>
  <c r="H5" i="10"/>
  <c r="AX4" i="10"/>
  <c r="AV4" i="10"/>
  <c r="AU4" i="10"/>
  <c r="AS4" i="10"/>
  <c r="AQ4" i="10"/>
  <c r="AO4" i="10"/>
  <c r="AC4" i="10"/>
  <c r="AD4" i="10" s="1"/>
  <c r="T4" i="10"/>
  <c r="U4" i="10" s="1"/>
  <c r="H4" i="10"/>
  <c r="K35" i="9"/>
  <c r="G34" i="9"/>
  <c r="I34" i="9" s="1"/>
  <c r="J34" i="9" s="1"/>
  <c r="G32" i="5" s="1"/>
  <c r="G33" i="9"/>
  <c r="I33" i="9" s="1"/>
  <c r="G32" i="9"/>
  <c r="I32" i="9" s="1"/>
  <c r="G31" i="9"/>
  <c r="I31" i="9"/>
  <c r="G30" i="9"/>
  <c r="I30" i="9" s="1"/>
  <c r="I29" i="9"/>
  <c r="J29" i="9" s="1"/>
  <c r="G27" i="5" s="1"/>
  <c r="G29" i="9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J17" i="9" s="1"/>
  <c r="G15" i="5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2" i="5" s="1"/>
  <c r="I35" i="8"/>
  <c r="G34" i="8"/>
  <c r="G33" i="8"/>
  <c r="G32" i="8"/>
  <c r="H33" i="8" s="1"/>
  <c r="I31" i="5" s="1"/>
  <c r="G31" i="8"/>
  <c r="G30" i="8"/>
  <c r="H30" i="8" s="1"/>
  <c r="I28" i="5" s="1"/>
  <c r="G29" i="8"/>
  <c r="G28" i="8"/>
  <c r="H29" i="8" s="1"/>
  <c r="I27" i="5" s="1"/>
  <c r="G27" i="8"/>
  <c r="G26" i="8"/>
  <c r="H26" i="8" s="1"/>
  <c r="I24" i="5" s="1"/>
  <c r="G25" i="8"/>
  <c r="G24" i="8"/>
  <c r="H25" i="8" s="1"/>
  <c r="I23" i="5" s="1"/>
  <c r="G23" i="8"/>
  <c r="G22" i="8"/>
  <c r="G21" i="8"/>
  <c r="G20" i="8"/>
  <c r="H21" i="8" s="1"/>
  <c r="I19" i="5" s="1"/>
  <c r="G19" i="8"/>
  <c r="G18" i="8"/>
  <c r="H18" i="8" s="1"/>
  <c r="I16" i="5" s="1"/>
  <c r="G17" i="8"/>
  <c r="G16" i="8"/>
  <c r="H17" i="8" s="1"/>
  <c r="I15" i="5" s="1"/>
  <c r="G15" i="8"/>
  <c r="G14" i="8"/>
  <c r="H14" i="8" s="1"/>
  <c r="I12" i="5" s="1"/>
  <c r="G13" i="8"/>
  <c r="G12" i="8"/>
  <c r="H13" i="8" s="1"/>
  <c r="I11" i="5" s="1"/>
  <c r="G11" i="8"/>
  <c r="G10" i="8"/>
  <c r="G9" i="8"/>
  <c r="G8" i="8"/>
  <c r="H9" i="8" s="1"/>
  <c r="I7" i="5" s="1"/>
  <c r="G7" i="8"/>
  <c r="G6" i="8"/>
  <c r="H6" i="8" s="1"/>
  <c r="I4" i="5" s="1"/>
  <c r="G5" i="8"/>
  <c r="G4" i="8"/>
  <c r="H4" i="8" s="1"/>
  <c r="I2" i="5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AR13" i="10"/>
  <c r="AD17" i="10"/>
  <c r="AD29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15" i="10"/>
  <c r="AP16" i="10"/>
  <c r="AP17" i="10"/>
  <c r="AP19" i="10"/>
  <c r="AP20" i="10"/>
  <c r="AP21" i="10"/>
  <c r="AP24" i="10"/>
  <c r="AP25" i="10"/>
  <c r="AP26" i="10"/>
  <c r="AP28" i="10"/>
  <c r="AP29" i="10"/>
  <c r="AP32" i="10"/>
  <c r="AP33" i="10"/>
  <c r="AP35" i="10"/>
  <c r="J12" i="9" l="1"/>
  <c r="G10" i="5" s="1"/>
  <c r="I11" i="10"/>
  <c r="E9" i="5" s="1"/>
  <c r="I10" i="10"/>
  <c r="E8" i="5" s="1"/>
  <c r="I9" i="10"/>
  <c r="E7" i="5" s="1"/>
  <c r="AW13" i="10"/>
  <c r="E11" i="5"/>
  <c r="H19" i="8"/>
  <c r="I17" i="5" s="1"/>
  <c r="H31" i="8"/>
  <c r="I29" i="5" s="1"/>
  <c r="AT5" i="10"/>
  <c r="AX36" i="10"/>
  <c r="AR14" i="10"/>
  <c r="AT20" i="10"/>
  <c r="AU20" i="10" s="1"/>
  <c r="U25" i="10"/>
  <c r="AP27" i="10"/>
  <c r="AT32" i="10"/>
  <c r="H10" i="8"/>
  <c r="I8" i="5" s="1"/>
  <c r="H22" i="8"/>
  <c r="I20" i="5" s="1"/>
  <c r="H34" i="8"/>
  <c r="I32" i="5" s="1"/>
  <c r="AD7" i="10"/>
  <c r="AD9" i="10"/>
  <c r="AT12" i="10"/>
  <c r="AP13" i="10"/>
  <c r="H15" i="8"/>
  <c r="I13" i="5" s="1"/>
  <c r="H27" i="8"/>
  <c r="I25" i="5" s="1"/>
  <c r="H11" i="8"/>
  <c r="I9" i="5" s="1"/>
  <c r="H23" i="8"/>
  <c r="I21" i="5" s="1"/>
  <c r="AR5" i="10"/>
  <c r="AT9" i="10"/>
  <c r="I12" i="10"/>
  <c r="E10" i="5" s="1"/>
  <c r="AD14" i="10"/>
  <c r="AP7" i="10"/>
  <c r="AP11" i="10"/>
  <c r="AW14" i="10"/>
  <c r="AE14" i="10"/>
  <c r="V14" i="10"/>
  <c r="W14" i="10" s="1"/>
  <c r="AU5" i="10"/>
  <c r="V9" i="10"/>
  <c r="AE13" i="10"/>
  <c r="AD27" i="10"/>
  <c r="H8" i="8"/>
  <c r="I6" i="5" s="1"/>
  <c r="H12" i="8"/>
  <c r="I10" i="5" s="1"/>
  <c r="H16" i="8"/>
  <c r="I14" i="5" s="1"/>
  <c r="H20" i="8"/>
  <c r="I18" i="5" s="1"/>
  <c r="H24" i="8"/>
  <c r="I22" i="5" s="1"/>
  <c r="H28" i="8"/>
  <c r="I26" i="5" s="1"/>
  <c r="H32" i="8"/>
  <c r="I30" i="5" s="1"/>
  <c r="AR7" i="10"/>
  <c r="AU7" i="10" s="1"/>
  <c r="U8" i="10"/>
  <c r="U12" i="10"/>
  <c r="AP14" i="10"/>
  <c r="AU14" i="10" s="1"/>
  <c r="AU27" i="10"/>
  <c r="AU13" i="10"/>
  <c r="H5" i="8"/>
  <c r="I3" i="5" s="1"/>
  <c r="AR9" i="10"/>
  <c r="AU9" i="10" s="1"/>
  <c r="U11" i="10"/>
  <c r="AP12" i="10"/>
  <c r="U16" i="10"/>
  <c r="AP18" i="10"/>
  <c r="AU18" i="10" s="1"/>
  <c r="AT35" i="10"/>
  <c r="J14" i="9"/>
  <c r="G12" i="5" s="1"/>
  <c r="AD33" i="10"/>
  <c r="AD21" i="10"/>
  <c r="AR12" i="10"/>
  <c r="AD11" i="10"/>
  <c r="U13" i="10"/>
  <c r="W13" i="10" s="1"/>
  <c r="AT13" i="10"/>
  <c r="I17" i="10"/>
  <c r="E15" i="5" s="1"/>
  <c r="AR19" i="10"/>
  <c r="AU19" i="10" s="1"/>
  <c r="AD20" i="10"/>
  <c r="I20" i="10"/>
  <c r="AR22" i="10"/>
  <c r="I23" i="10"/>
  <c r="E21" i="5" s="1"/>
  <c r="AR24" i="10"/>
  <c r="AD26" i="10"/>
  <c r="I26" i="10"/>
  <c r="E24" i="5" s="1"/>
  <c r="I29" i="10"/>
  <c r="AR31" i="10"/>
  <c r="AU31" i="10" s="1"/>
  <c r="AD32" i="10"/>
  <c r="I32" i="10"/>
  <c r="E30" i="5" s="1"/>
  <c r="AR34" i="10"/>
  <c r="I35" i="10"/>
  <c r="AW35" i="10" s="1"/>
  <c r="J22" i="9"/>
  <c r="G20" i="5" s="1"/>
  <c r="I4" i="10"/>
  <c r="I7" i="10"/>
  <c r="E5" i="5" s="1"/>
  <c r="AR8" i="10"/>
  <c r="U9" i="10"/>
  <c r="AT10" i="10"/>
  <c r="I16" i="10"/>
  <c r="E14" i="5" s="1"/>
  <c r="AT15" i="10"/>
  <c r="U21" i="10"/>
  <c r="AP22" i="10"/>
  <c r="AT28" i="10"/>
  <c r="AU28" i="10" s="1"/>
  <c r="U33" i="10"/>
  <c r="AP34" i="10"/>
  <c r="AU34" i="10" s="1"/>
  <c r="J8" i="9"/>
  <c r="G6" i="5" s="1"/>
  <c r="I8" i="10"/>
  <c r="E6" i="5" s="1"/>
  <c r="AU16" i="10"/>
  <c r="AD18" i="10"/>
  <c r="AR23" i="10"/>
  <c r="AD24" i="10"/>
  <c r="AR26" i="10"/>
  <c r="AU26" i="10" s="1"/>
  <c r="AD30" i="10"/>
  <c r="AR35" i="10"/>
  <c r="AU10" i="10"/>
  <c r="AU35" i="10"/>
  <c r="AU15" i="10"/>
  <c r="AU24" i="10"/>
  <c r="AU32" i="10"/>
  <c r="AT8" i="10"/>
  <c r="AT36" i="10" s="1"/>
  <c r="AR25" i="10"/>
  <c r="AU25" i="10" s="1"/>
  <c r="AR33" i="10"/>
  <c r="AU33" i="10" s="1"/>
  <c r="AP23" i="10"/>
  <c r="AT11" i="10"/>
  <c r="AU11" i="10" s="1"/>
  <c r="AP8" i="10"/>
  <c r="AR17" i="10"/>
  <c r="AU17" i="10" s="1"/>
  <c r="AR21" i="10"/>
  <c r="AU21" i="10" s="1"/>
  <c r="AR29" i="10"/>
  <c r="AU29" i="10" s="1"/>
  <c r="AP30" i="10"/>
  <c r="AU30" i="10" s="1"/>
  <c r="AD16" i="10"/>
  <c r="AF14" i="10"/>
  <c r="AD13" i="10"/>
  <c r="U6" i="10"/>
  <c r="U7" i="10"/>
  <c r="U5" i="10"/>
  <c r="V7" i="10"/>
  <c r="I6" i="10"/>
  <c r="I5" i="10"/>
  <c r="H7" i="8"/>
  <c r="I5" i="5" s="1"/>
  <c r="J5" i="9"/>
  <c r="G3" i="5" s="1"/>
  <c r="J6" i="9"/>
  <c r="G4" i="5" s="1"/>
  <c r="J9" i="9"/>
  <c r="G7" i="5" s="1"/>
  <c r="J15" i="9"/>
  <c r="G13" i="5" s="1"/>
  <c r="J26" i="9"/>
  <c r="G24" i="5" s="1"/>
  <c r="J7" i="9"/>
  <c r="J10" i="9"/>
  <c r="G8" i="5" s="1"/>
  <c r="J27" i="9"/>
  <c r="G25" i="5" s="1"/>
  <c r="J32" i="9"/>
  <c r="G30" i="5" s="1"/>
  <c r="J13" i="9"/>
  <c r="G11" i="5" s="1"/>
  <c r="J16" i="9"/>
  <c r="G14" i="5" s="1"/>
  <c r="J21" i="9"/>
  <c r="G19" i="5" s="1"/>
  <c r="J24" i="9"/>
  <c r="G22" i="5" s="1"/>
  <c r="J30" i="9"/>
  <c r="G28" i="5" s="1"/>
  <c r="J33" i="9"/>
  <c r="G31" i="5" s="1"/>
  <c r="J23" i="9"/>
  <c r="G21" i="5" s="1"/>
  <c r="J18" i="9"/>
  <c r="G16" i="5" s="1"/>
  <c r="J20" i="9"/>
  <c r="G18" i="5" s="1"/>
  <c r="J19" i="9"/>
  <c r="G17" i="5" s="1"/>
  <c r="J25" i="9"/>
  <c r="G23" i="5" s="1"/>
  <c r="J31" i="9"/>
  <c r="G29" i="5" s="1"/>
  <c r="J11" i="9"/>
  <c r="G9" i="5" s="1"/>
  <c r="J28" i="9"/>
  <c r="G26" i="5" s="1"/>
  <c r="AW21" i="10"/>
  <c r="V21" i="10"/>
  <c r="W21" i="10" s="1"/>
  <c r="AE21" i="10"/>
  <c r="AF21" i="10" s="1"/>
  <c r="AE22" i="10"/>
  <c r="AF22" i="10" s="1"/>
  <c r="AW22" i="10"/>
  <c r="V22" i="10"/>
  <c r="W22" i="10" s="1"/>
  <c r="AE30" i="10"/>
  <c r="AF30" i="10" s="1"/>
  <c r="AW30" i="10"/>
  <c r="V30" i="10"/>
  <c r="W30" i="10" s="1"/>
  <c r="AE23" i="10"/>
  <c r="AF23" i="10" s="1"/>
  <c r="V23" i="10"/>
  <c r="W23" i="10" s="1"/>
  <c r="AW23" i="10"/>
  <c r="AE31" i="10"/>
  <c r="AF31" i="10" s="1"/>
  <c r="V31" i="10"/>
  <c r="W31" i="10" s="1"/>
  <c r="AW31" i="10"/>
  <c r="AW24" i="10"/>
  <c r="AE24" i="10"/>
  <c r="V24" i="10"/>
  <c r="W24" i="10" s="1"/>
  <c r="AW32" i="10"/>
  <c r="AE32" i="10"/>
  <c r="AF32" i="10" s="1"/>
  <c r="V32" i="10"/>
  <c r="W32" i="10" s="1"/>
  <c r="AE17" i="10"/>
  <c r="AF17" i="10" s="1"/>
  <c r="V17" i="10"/>
  <c r="W17" i="10" s="1"/>
  <c r="AW17" i="10"/>
  <c r="AE25" i="10"/>
  <c r="AF25" i="10" s="1"/>
  <c r="V25" i="10"/>
  <c r="W25" i="10" s="1"/>
  <c r="AW25" i="10"/>
  <c r="V33" i="10"/>
  <c r="AE33" i="10"/>
  <c r="AF33" i="10" s="1"/>
  <c r="AW33" i="10"/>
  <c r="AW18" i="10"/>
  <c r="AE18" i="10"/>
  <c r="AF18" i="10" s="1"/>
  <c r="V18" i="10"/>
  <c r="W18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V16" i="10"/>
  <c r="W16" i="10" s="1"/>
  <c r="AE19" i="10"/>
  <c r="AF19" i="10" s="1"/>
  <c r="AW19" i="10"/>
  <c r="V19" i="10"/>
  <c r="W19" i="10" s="1"/>
  <c r="AW27" i="10"/>
  <c r="AE27" i="10"/>
  <c r="AF27" i="10" s="1"/>
  <c r="V27" i="10"/>
  <c r="W27" i="10" s="1"/>
  <c r="AE35" i="10"/>
  <c r="AF35" i="10" s="1"/>
  <c r="AW7" i="10"/>
  <c r="AE7" i="10"/>
  <c r="AF7" i="10" s="1"/>
  <c r="AE8" i="10"/>
  <c r="AF8" i="10" s="1"/>
  <c r="I15" i="10"/>
  <c r="E13" i="5" s="1"/>
  <c r="AF13" i="10" l="1"/>
  <c r="H35" i="8"/>
  <c r="AW11" i="10"/>
  <c r="V11" i="10"/>
  <c r="W11" i="10" s="1"/>
  <c r="AE11" i="10"/>
  <c r="AF11" i="10" s="1"/>
  <c r="AW10" i="10"/>
  <c r="V10" i="10"/>
  <c r="W10" i="10" s="1"/>
  <c r="AE9" i="10"/>
  <c r="AF9" i="10" s="1"/>
  <c r="W9" i="10"/>
  <c r="AE10" i="10"/>
  <c r="AF10" i="10" s="1"/>
  <c r="AW9" i="10"/>
  <c r="AW29" i="10"/>
  <c r="E27" i="5"/>
  <c r="AW16" i="10"/>
  <c r="AE5" i="10"/>
  <c r="AF5" i="10" s="1"/>
  <c r="E3" i="5"/>
  <c r="AW4" i="10"/>
  <c r="E2" i="5"/>
  <c r="V20" i="10"/>
  <c r="W20" i="10" s="1"/>
  <c r="E18" i="5"/>
  <c r="V35" i="10"/>
  <c r="W35" i="10" s="1"/>
  <c r="V12" i="10"/>
  <c r="W12" i="10" s="1"/>
  <c r="AW6" i="10"/>
  <c r="E4" i="5"/>
  <c r="AE26" i="10"/>
  <c r="AF26" i="10" s="1"/>
  <c r="AF24" i="10"/>
  <c r="W33" i="10"/>
  <c r="AU23" i="10"/>
  <c r="AU12" i="10"/>
  <c r="AE12" i="10"/>
  <c r="AF12" i="10" s="1"/>
  <c r="AW26" i="10"/>
  <c r="AE16" i="10"/>
  <c r="AF16" i="10" s="1"/>
  <c r="L37" i="9"/>
  <c r="M37" i="9" s="1"/>
  <c r="G5" i="5"/>
  <c r="AW12" i="10"/>
  <c r="J35" i="9"/>
  <c r="AE6" i="10"/>
  <c r="AF6" i="10" s="1"/>
  <c r="AW5" i="10"/>
  <c r="V29" i="10"/>
  <c r="W29" i="10" s="1"/>
  <c r="AW20" i="10"/>
  <c r="AU22" i="10"/>
  <c r="AE29" i="10"/>
  <c r="AF29" i="10" s="1"/>
  <c r="AE20" i="10"/>
  <c r="AF20" i="10" s="1"/>
  <c r="V8" i="10"/>
  <c r="W8" i="10" s="1"/>
  <c r="AW8" i="10"/>
  <c r="AU8" i="10"/>
  <c r="AE4" i="10"/>
  <c r="AF4" i="10" s="1"/>
  <c r="V4" i="10"/>
  <c r="W4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<sst xmlns="http://schemas.openxmlformats.org/spreadsheetml/2006/main" count="116" uniqueCount="58">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</sst>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37840"/>
        <c:axId val="368140192"/>
      </c:lineChart>
      <c:dateAx>
        <c:axId val="368137840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14019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814019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137840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1368"/>
        <c:axId val="368140976"/>
      </c:lineChart>
      <c:dateAx>
        <c:axId val="36814136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0976"/>
        <c:crosses val="autoZero"/>
        <c:auto val="0"/>
        <c:lblOffset val="100"/>
        <c:baseTimeUnit val="days"/>
      </c:dateAx>
      <c:valAx>
        <c:axId val="36814097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36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2936"/>
        <c:axId val="368141760"/>
      </c:lineChart>
      <c:dateAx>
        <c:axId val="3681429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760"/>
        <c:crosses val="autoZero"/>
        <c:auto val="0"/>
        <c:lblOffset val="100"/>
        <c:baseTimeUnit val="days"/>
        <c:majorUnit val="1"/>
        <c:majorTimeUnit val="days"/>
      </c:dateAx>
      <c:valAx>
        <c:axId val="368141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29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M5" sqref="M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0.62</v>
      </c>
      <c r="G2" s="13">
        <f>Gas!J4</f>
        <v>0</v>
      </c>
      <c r="H2" s="3">
        <v>1.65</v>
      </c>
      <c r="I2" s="13">
        <f>Water!H4</f>
        <v>2</v>
      </c>
      <c r="J2" s="3">
        <v>12.93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0.62</v>
      </c>
      <c r="G3" s="13">
        <f>Gas!J5</f>
        <v>0</v>
      </c>
      <c r="H3" s="3">
        <v>1.65</v>
      </c>
      <c r="I3" s="13">
        <f>Water!H5</f>
        <v>2</v>
      </c>
      <c r="J3" s="3">
        <v>12.93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0.62</v>
      </c>
      <c r="G4" s="13">
        <f>Gas!J6</f>
        <v>0</v>
      </c>
      <c r="H4" s="3">
        <v>1.65</v>
      </c>
      <c r="I4" s="13">
        <f>Water!H6</f>
        <v>4</v>
      </c>
      <c r="J4" s="3">
        <v>12.93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0.62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0.62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0.62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0.62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0.62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0.62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-12813035.040000001</v>
      </c>
      <c r="F11" s="3">
        <v>0.62</v>
      </c>
      <c r="G11" s="13">
        <f>Gas!J13</f>
        <v>-1213661.4880599999</v>
      </c>
      <c r="H11" s="3">
        <v>1.65</v>
      </c>
      <c r="I11" s="13">
        <f>Water!H13</f>
        <v>-8947</v>
      </c>
      <c r="J11" s="3">
        <v>12.93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0</v>
      </c>
      <c r="F12" s="3">
        <v>0.62</v>
      </c>
      <c r="G12" s="13">
        <f>Gas!J14</f>
        <v>0</v>
      </c>
      <c r="H12" s="3">
        <v>1.65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0</v>
      </c>
      <c r="F13" s="3">
        <v>0.62</v>
      </c>
      <c r="G13" s="13">
        <f>Gas!J15</f>
        <v>0</v>
      </c>
      <c r="H13" s="3">
        <v>1.65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0</v>
      </c>
      <c r="F14" s="3">
        <v>0.62</v>
      </c>
      <c r="G14" s="13">
        <f>Gas!J16</f>
        <v>0</v>
      </c>
      <c r="H14" s="3">
        <v>1.65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0</v>
      </c>
      <c r="F15" s="3">
        <v>0.62</v>
      </c>
      <c r="G15" s="13">
        <f>Gas!J17</f>
        <v>0</v>
      </c>
      <c r="H15" s="3">
        <v>1.65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0</v>
      </c>
      <c r="F16" s="3">
        <v>0.62</v>
      </c>
      <c r="G16" s="13">
        <f>Gas!J18</f>
        <v>0</v>
      </c>
      <c r="H16" s="3">
        <v>1.65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13" sqref="E13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/>
      <c r="F13" s="24">
        <v>1065</v>
      </c>
      <c r="G13" s="24">
        <f>E13+F13</f>
        <v>1065</v>
      </c>
      <c r="H13" s="25">
        <f t="shared" si="1"/>
        <v>-8947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/>
      <c r="F14" s="24">
        <v>1065</v>
      </c>
      <c r="G14" s="24">
        <f>E14+F14</f>
        <v>1065</v>
      </c>
      <c r="H14" s="25">
        <f t="shared" si="1"/>
        <v>0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/>
      <c r="F15" s="47">
        <v>1065</v>
      </c>
      <c r="G15" s="47">
        <f t="shared" ref="G15:G34" si="2">E15+F15</f>
        <v>1065</v>
      </c>
      <c r="H15" s="25">
        <f t="shared" si="1"/>
        <v>0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/>
      <c r="F16" s="24">
        <v>1065</v>
      </c>
      <c r="G16" s="24">
        <f t="shared" si="2"/>
        <v>1065</v>
      </c>
      <c r="H16" s="25">
        <f t="shared" si="1"/>
        <v>0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/>
      <c r="F17" s="24">
        <v>1065</v>
      </c>
      <c r="G17" s="24">
        <f t="shared" si="2"/>
        <v>1065</v>
      </c>
      <c r="H17" s="25">
        <f t="shared" si="1"/>
        <v>0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/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13" sqref="F13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34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34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/>
      <c r="F13" s="24"/>
      <c r="G13" s="24">
        <f t="shared" si="4"/>
        <v>0</v>
      </c>
      <c r="H13" s="18">
        <v>1.3011159999999999</v>
      </c>
      <c r="I13" s="24">
        <f t="shared" si="3"/>
        <v>0</v>
      </c>
      <c r="J13" s="25">
        <f t="shared" si="2"/>
        <v>-1213661.4880599999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/>
      <c r="F14" s="24"/>
      <c r="G14" s="24">
        <f t="shared" si="4"/>
        <v>0</v>
      </c>
      <c r="H14" s="18">
        <v>1.3011159999999999</v>
      </c>
      <c r="I14" s="24">
        <f t="shared" si="3"/>
        <v>0</v>
      </c>
      <c r="J14" s="25">
        <f t="shared" si="2"/>
        <v>0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/>
      <c r="F15" s="24"/>
      <c r="G15" s="24">
        <f t="shared" si="4"/>
        <v>0</v>
      </c>
      <c r="H15" s="18">
        <v>1.3011159999999999</v>
      </c>
      <c r="I15" s="24">
        <f t="shared" si="3"/>
        <v>0</v>
      </c>
      <c r="J15" s="25">
        <f t="shared" si="2"/>
        <v>0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/>
      <c r="F16" s="24"/>
      <c r="G16" s="24">
        <f t="shared" si="4"/>
        <v>0</v>
      </c>
      <c r="H16" s="18">
        <v>1.3011159999999999</v>
      </c>
      <c r="I16" s="24">
        <f t="shared" si="3"/>
        <v>0</v>
      </c>
      <c r="J16" s="25">
        <f t="shared" si="2"/>
        <v>0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/>
      <c r="F17" s="24"/>
      <c r="G17" s="24">
        <f t="shared" si="4"/>
        <v>0</v>
      </c>
      <c r="H17" s="18">
        <v>1.3011159999999999</v>
      </c>
      <c r="I17" s="24">
        <f t="shared" si="3"/>
        <v>0</v>
      </c>
      <c r="J17" s="25">
        <f t="shared" si="2"/>
        <v>0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/>
      <c r="F18" s="24"/>
      <c r="G18" s="24">
        <f t="shared" si="4"/>
        <v>0</v>
      </c>
      <c r="H18" s="18">
        <v>1.3011159999999999</v>
      </c>
      <c r="I18" s="24">
        <f t="shared" si="3"/>
        <v>0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>I19-I18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13" sqref="F13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f>F4</f>
        <v>4638.0140000000001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12800918.640000001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25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f t="shared" ref="AJ5:AJ34" si="14">F5</f>
        <v>4638.5559999999996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5">+(AK5*$AN$4)</f>
        <v>6480493.8000000007</v>
      </c>
      <c r="AP5" s="89">
        <f t="shared" ref="AP5:AP33" si="16">+(AO5-AO4)</f>
        <v>883.20000000111759</v>
      </c>
      <c r="AQ5" s="23">
        <f t="shared" si="6"/>
        <v>2798005.1999999997</v>
      </c>
      <c r="AR5" s="90">
        <f t="shared" ref="AR5:AR33" si="17">+(AQ5-AQ4)</f>
        <v>350.51999999955297</v>
      </c>
      <c r="AS5" s="23">
        <f t="shared" si="7"/>
        <v>3382940.28</v>
      </c>
      <c r="AT5" s="91">
        <f t="shared" ref="AT5:AT33" si="18">+(AS5-AS4)</f>
        <v>549.24000000022352</v>
      </c>
      <c r="AU5" s="92">
        <f t="shared" si="8"/>
        <v>1782.9600000008941</v>
      </c>
      <c r="AV5" s="24">
        <f t="shared" si="9"/>
        <v>12802414.559999999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9">G6*F6</f>
        <v>12804012.600000001</v>
      </c>
      <c r="I6" s="25">
        <f t="shared" si="11"/>
        <v>1598.0400000028312</v>
      </c>
      <c r="J6" s="25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f t="shared" si="14"/>
        <v>4639.1350000000002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5"/>
        <v>6481374.2400000002</v>
      </c>
      <c r="AP6" s="89">
        <f t="shared" si="16"/>
        <v>880.43999999947846</v>
      </c>
      <c r="AQ6" s="23">
        <f t="shared" si="6"/>
        <v>2798300.52</v>
      </c>
      <c r="AR6" s="90">
        <f t="shared" si="17"/>
        <v>295.32000000029802</v>
      </c>
      <c r="AS6" s="23">
        <f t="shared" si="7"/>
        <v>3383387.4</v>
      </c>
      <c r="AT6" s="91">
        <f t="shared" si="18"/>
        <v>447.12000000011176</v>
      </c>
      <c r="AU6" s="92">
        <f t="shared" si="8"/>
        <v>1622.8799999998882</v>
      </c>
      <c r="AV6" s="24">
        <f t="shared" si="9"/>
        <v>12804012.600000001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9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>
        <f t="shared" si="14"/>
        <v>4639.701</v>
      </c>
      <c r="AK7" s="22"/>
      <c r="AL7" s="22"/>
      <c r="AM7" s="22"/>
      <c r="AN7" s="23">
        <v>2760</v>
      </c>
      <c r="AO7" s="23">
        <f t="shared" si="15"/>
        <v>0</v>
      </c>
      <c r="AP7" s="89">
        <f t="shared" si="16"/>
        <v>-6481374.2400000002</v>
      </c>
      <c r="AQ7" s="23">
        <f t="shared" si="6"/>
        <v>0</v>
      </c>
      <c r="AR7" s="90">
        <f t="shared" si="17"/>
        <v>-2798300.52</v>
      </c>
      <c r="AS7" s="23">
        <f t="shared" si="7"/>
        <v>0</v>
      </c>
      <c r="AT7" s="91">
        <f t="shared" si="18"/>
        <v>-3383387.4</v>
      </c>
      <c r="AU7" s="92">
        <f t="shared" si="8"/>
        <v>-12663062.16</v>
      </c>
      <c r="AV7" s="24">
        <f t="shared" si="9"/>
        <v>12805574.76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9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>
        <f t="shared" si="14"/>
        <v>4640.2619999999997</v>
      </c>
      <c r="AK8" s="22"/>
      <c r="AL8" s="22"/>
      <c r="AM8" s="22"/>
      <c r="AN8" s="23">
        <v>2760</v>
      </c>
      <c r="AO8" s="23">
        <f t="shared" si="15"/>
        <v>0</v>
      </c>
      <c r="AP8" s="89">
        <f t="shared" si="16"/>
        <v>0</v>
      </c>
      <c r="AQ8" s="23">
        <f t="shared" si="6"/>
        <v>0</v>
      </c>
      <c r="AR8" s="90">
        <f t="shared" si="17"/>
        <v>0</v>
      </c>
      <c r="AS8" s="23">
        <f t="shared" si="7"/>
        <v>0</v>
      </c>
      <c r="AT8" s="91">
        <f t="shared" si="18"/>
        <v>0</v>
      </c>
      <c r="AU8" s="92">
        <f>+(AP8+AR8+AT8)</f>
        <v>0</v>
      </c>
      <c r="AV8" s="24">
        <f t="shared" si="9"/>
        <v>12807123.119999999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9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>
        <f t="shared" si="14"/>
        <v>4640.8109999999997</v>
      </c>
      <c r="AK9" s="22"/>
      <c r="AL9" s="22"/>
      <c r="AM9" s="22"/>
      <c r="AN9" s="23">
        <v>2760</v>
      </c>
      <c r="AO9" s="23">
        <f t="shared" si="15"/>
        <v>0</v>
      </c>
      <c r="AP9" s="89">
        <f t="shared" si="16"/>
        <v>0</v>
      </c>
      <c r="AQ9" s="23">
        <f t="shared" si="6"/>
        <v>0</v>
      </c>
      <c r="AR9" s="90">
        <f t="shared" si="17"/>
        <v>0</v>
      </c>
      <c r="AS9" s="23">
        <f t="shared" si="7"/>
        <v>0</v>
      </c>
      <c r="AT9" s="91">
        <f t="shared" si="18"/>
        <v>0</v>
      </c>
      <c r="AU9" s="92">
        <f t="shared" si="8"/>
        <v>0</v>
      </c>
      <c r="AV9" s="24">
        <f>AN9*AJ9</f>
        <v>12808638.359999999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9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>
        <f t="shared" si="14"/>
        <v>4641.34</v>
      </c>
      <c r="AK10" s="22"/>
      <c r="AL10" s="22"/>
      <c r="AM10" s="22"/>
      <c r="AN10" s="23">
        <v>2760</v>
      </c>
      <c r="AO10" s="23">
        <f t="shared" si="15"/>
        <v>0</v>
      </c>
      <c r="AP10" s="89">
        <f t="shared" si="16"/>
        <v>0</v>
      </c>
      <c r="AQ10" s="23">
        <f t="shared" si="6"/>
        <v>0</v>
      </c>
      <c r="AR10" s="90">
        <f t="shared" si="17"/>
        <v>0</v>
      </c>
      <c r="AS10" s="23">
        <f t="shared" si="7"/>
        <v>0</v>
      </c>
      <c r="AT10" s="91">
        <f t="shared" si="18"/>
        <v>0</v>
      </c>
      <c r="AU10" s="92">
        <f t="shared" si="8"/>
        <v>0</v>
      </c>
      <c r="AV10" s="24">
        <f t="shared" si="9"/>
        <v>12810098.4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>
        <f t="shared" si="14"/>
        <v>4641.8190000000004</v>
      </c>
      <c r="AK11" s="22"/>
      <c r="AL11" s="22"/>
      <c r="AM11" s="22"/>
      <c r="AN11" s="23">
        <v>2760</v>
      </c>
      <c r="AO11" s="23">
        <f t="shared" si="15"/>
        <v>0</v>
      </c>
      <c r="AP11" s="89">
        <f>+(AO11-AO10)</f>
        <v>0</v>
      </c>
      <c r="AQ11" s="23">
        <f t="shared" si="6"/>
        <v>0</v>
      </c>
      <c r="AR11" s="90">
        <f t="shared" si="17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12811420.440000001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>
        <f t="shared" si="14"/>
        <v>4642.4040000000005</v>
      </c>
      <c r="AK12" s="22"/>
      <c r="AL12" s="22"/>
      <c r="AM12" s="22"/>
      <c r="AN12" s="23">
        <v>2760</v>
      </c>
      <c r="AO12" s="23">
        <f t="shared" si="15"/>
        <v>0</v>
      </c>
      <c r="AP12" s="89">
        <f t="shared" si="16"/>
        <v>0</v>
      </c>
      <c r="AQ12" s="23">
        <f t="shared" si="6"/>
        <v>0</v>
      </c>
      <c r="AR12" s="90">
        <f t="shared" si="17"/>
        <v>0</v>
      </c>
      <c r="AS12" s="23">
        <f t="shared" si="7"/>
        <v>0</v>
      </c>
      <c r="AT12" s="91">
        <f t="shared" si="18"/>
        <v>0</v>
      </c>
      <c r="AU12" s="92">
        <f t="shared" si="8"/>
        <v>0</v>
      </c>
      <c r="AV12" s="24">
        <f t="shared" si="9"/>
        <v>12813035.040000001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/>
      <c r="G13" s="23">
        <v>2760</v>
      </c>
      <c r="H13" s="24">
        <f>G13*F13</f>
        <v>0</v>
      </c>
      <c r="I13" s="25">
        <f t="shared" si="11"/>
        <v>-12813035.040000001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-12813035.040000001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-12813035.040000001</v>
      </c>
      <c r="AF13" s="87">
        <f>AD13/AE13</f>
        <v>0</v>
      </c>
      <c r="AG13" s="88">
        <v>0.15</v>
      </c>
      <c r="AI13" s="40">
        <v>44265</v>
      </c>
      <c r="AJ13" s="22">
        <f t="shared" si="14"/>
        <v>0</v>
      </c>
      <c r="AK13" s="22"/>
      <c r="AL13" s="22"/>
      <c r="AM13" s="22"/>
      <c r="AN13" s="23">
        <v>2760</v>
      </c>
      <c r="AO13" s="23">
        <f t="shared" si="15"/>
        <v>0</v>
      </c>
      <c r="AP13" s="89">
        <f t="shared" si="16"/>
        <v>0</v>
      </c>
      <c r="AQ13" s="23">
        <f t="shared" si="6"/>
        <v>0</v>
      </c>
      <c r="AR13" s="90">
        <f t="shared" si="17"/>
        <v>0</v>
      </c>
      <c r="AS13" s="23">
        <f t="shared" si="7"/>
        <v>0</v>
      </c>
      <c r="AT13" s="91">
        <f t="shared" si="18"/>
        <v>0</v>
      </c>
      <c r="AU13" s="92">
        <f t="shared" si="8"/>
        <v>0</v>
      </c>
      <c r="AV13" s="24">
        <f t="shared" si="9"/>
        <v>0</v>
      </c>
      <c r="AW13" s="25">
        <f t="shared" si="10"/>
        <v>-12813035.040000001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/>
      <c r="G14" s="23">
        <v>2760</v>
      </c>
      <c r="H14" s="24">
        <f>G14*F14</f>
        <v>0</v>
      </c>
      <c r="I14" s="25">
        <f t="shared" si="11"/>
        <v>0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0</v>
      </c>
      <c r="W14" s="87" t="e">
        <f t="shared" si="2"/>
        <v>#DIV/0!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0</v>
      </c>
      <c r="AF14" s="87" t="e">
        <f>AD14/AE14</f>
        <v>#DIV/0!</v>
      </c>
      <c r="AG14" s="88">
        <v>0.15</v>
      </c>
      <c r="AI14" s="40">
        <v>44266</v>
      </c>
      <c r="AJ14" s="22">
        <f t="shared" si="14"/>
        <v>0</v>
      </c>
      <c r="AK14" s="22"/>
      <c r="AL14" s="22"/>
      <c r="AM14" s="22"/>
      <c r="AN14" s="23">
        <v>2760</v>
      </c>
      <c r="AO14" s="23">
        <f t="shared" si="15"/>
        <v>0</v>
      </c>
      <c r="AP14" s="89">
        <f t="shared" si="16"/>
        <v>0</v>
      </c>
      <c r="AQ14" s="23">
        <f t="shared" si="6"/>
        <v>0</v>
      </c>
      <c r="AR14" s="90">
        <f t="shared" si="17"/>
        <v>0</v>
      </c>
      <c r="AS14" s="23">
        <f t="shared" si="7"/>
        <v>0</v>
      </c>
      <c r="AT14" s="91">
        <f t="shared" si="18"/>
        <v>0</v>
      </c>
      <c r="AU14" s="92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/>
      <c r="G15" s="23">
        <v>2760</v>
      </c>
      <c r="H15" s="24">
        <f t="shared" ref="H15:H35" si="20">G15*F15</f>
        <v>0</v>
      </c>
      <c r="I15" s="25">
        <f t="shared" si="11"/>
        <v>0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1">S15*R15</f>
        <v>0</v>
      </c>
      <c r="U15" s="25">
        <f t="shared" ref="U15:U23" si="22">T15-T14</f>
        <v>0</v>
      </c>
      <c r="V15" s="25">
        <f t="shared" ref="V15:V36" si="23">I15</f>
        <v>0</v>
      </c>
      <c r="W15" s="95" t="e">
        <f t="shared" si="2"/>
        <v>#DIV/0!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4">AB15*AA15</f>
        <v>0</v>
      </c>
      <c r="AD15" s="25">
        <f t="shared" ref="AD15:AD35" si="25">AC15-AC14</f>
        <v>0</v>
      </c>
      <c r="AE15" s="25">
        <f t="shared" ref="AE15:AE35" si="26">I15</f>
        <v>0</v>
      </c>
      <c r="AF15" s="87" t="e">
        <f t="shared" ref="AF15:AF35" si="27">AD15/AE15</f>
        <v>#DIV/0!</v>
      </c>
      <c r="AG15" s="88">
        <v>0.15</v>
      </c>
      <c r="AI15" s="40">
        <v>44267</v>
      </c>
      <c r="AJ15" s="22">
        <f t="shared" si="14"/>
        <v>0</v>
      </c>
      <c r="AK15" s="22"/>
      <c r="AL15" s="22"/>
      <c r="AM15" s="22"/>
      <c r="AN15" s="23">
        <v>2760</v>
      </c>
      <c r="AO15" s="23">
        <f t="shared" si="15"/>
        <v>0</v>
      </c>
      <c r="AP15" s="89">
        <f t="shared" si="16"/>
        <v>0</v>
      </c>
      <c r="AQ15" s="23">
        <f t="shared" si="6"/>
        <v>0</v>
      </c>
      <c r="AR15" s="90">
        <f t="shared" si="17"/>
        <v>0</v>
      </c>
      <c r="AS15" s="23">
        <f t="shared" si="7"/>
        <v>0</v>
      </c>
      <c r="AT15" s="91">
        <f t="shared" si="18"/>
        <v>0</v>
      </c>
      <c r="AU15" s="92">
        <f t="shared" si="8"/>
        <v>0</v>
      </c>
      <c r="AV15" s="24">
        <f t="shared" si="9"/>
        <v>0</v>
      </c>
      <c r="AW15" s="25">
        <f t="shared" ref="AW15:AX35" si="28">+(I15)</f>
        <v>0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/>
      <c r="G16" s="23">
        <v>2760</v>
      </c>
      <c r="H16" s="24">
        <f t="shared" si="20"/>
        <v>0</v>
      </c>
      <c r="I16" s="25">
        <f t="shared" si="11"/>
        <v>0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1"/>
        <v>0</v>
      </c>
      <c r="U16" s="25">
        <f t="shared" si="22"/>
        <v>0</v>
      </c>
      <c r="V16" s="25">
        <f t="shared" si="23"/>
        <v>0</v>
      </c>
      <c r="W16" s="95" t="e">
        <f t="shared" si="2"/>
        <v>#DIV/0!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4"/>
        <v>0</v>
      </c>
      <c r="AD16" s="25">
        <f t="shared" si="25"/>
        <v>0</v>
      </c>
      <c r="AE16" s="25">
        <f t="shared" si="26"/>
        <v>0</v>
      </c>
      <c r="AF16" s="87" t="e">
        <f t="shared" si="27"/>
        <v>#DIV/0!</v>
      </c>
      <c r="AG16" s="88">
        <v>0.15</v>
      </c>
      <c r="AI16" s="40">
        <v>44268</v>
      </c>
      <c r="AJ16" s="22">
        <f t="shared" si="14"/>
        <v>0</v>
      </c>
      <c r="AK16" s="22"/>
      <c r="AL16" s="22"/>
      <c r="AM16" s="22"/>
      <c r="AN16" s="23">
        <v>2760</v>
      </c>
      <c r="AO16" s="23">
        <f t="shared" si="15"/>
        <v>0</v>
      </c>
      <c r="AP16" s="89">
        <f t="shared" si="16"/>
        <v>0</v>
      </c>
      <c r="AQ16" s="23">
        <f t="shared" si="6"/>
        <v>0</v>
      </c>
      <c r="AR16" s="90">
        <f t="shared" si="17"/>
        <v>0</v>
      </c>
      <c r="AS16" s="23">
        <f t="shared" si="7"/>
        <v>0</v>
      </c>
      <c r="AT16" s="91">
        <f t="shared" si="18"/>
        <v>0</v>
      </c>
      <c r="AU16" s="92">
        <f t="shared" si="8"/>
        <v>0</v>
      </c>
      <c r="AV16" s="24">
        <f t="shared" si="9"/>
        <v>0</v>
      </c>
      <c r="AW16" s="25">
        <f t="shared" si="28"/>
        <v>0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/>
      <c r="G17" s="23">
        <v>2760</v>
      </c>
      <c r="H17" s="24">
        <f t="shared" si="20"/>
        <v>0</v>
      </c>
      <c r="I17" s="25">
        <f t="shared" si="11"/>
        <v>0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1"/>
        <v>0</v>
      </c>
      <c r="U17" s="25">
        <f t="shared" si="22"/>
        <v>0</v>
      </c>
      <c r="V17" s="25">
        <f t="shared" si="23"/>
        <v>0</v>
      </c>
      <c r="W17" s="87" t="e">
        <f t="shared" si="2"/>
        <v>#DIV/0!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4"/>
        <v>0</v>
      </c>
      <c r="AD17" s="25">
        <f t="shared" si="25"/>
        <v>0</v>
      </c>
      <c r="AE17" s="25">
        <f t="shared" si="26"/>
        <v>0</v>
      </c>
      <c r="AF17" s="87" t="e">
        <f t="shared" si="27"/>
        <v>#DIV/0!</v>
      </c>
      <c r="AG17" s="88">
        <v>0.15</v>
      </c>
      <c r="AI17" s="40">
        <v>44269</v>
      </c>
      <c r="AJ17" s="22">
        <f t="shared" si="14"/>
        <v>0</v>
      </c>
      <c r="AK17" s="22"/>
      <c r="AL17" s="22"/>
      <c r="AM17" s="22"/>
      <c r="AN17" s="23">
        <v>2760</v>
      </c>
      <c r="AO17" s="23">
        <f t="shared" si="15"/>
        <v>0</v>
      </c>
      <c r="AP17" s="89">
        <f t="shared" si="16"/>
        <v>0</v>
      </c>
      <c r="AQ17" s="23">
        <f t="shared" si="6"/>
        <v>0</v>
      </c>
      <c r="AR17" s="90">
        <f t="shared" si="17"/>
        <v>0</v>
      </c>
      <c r="AS17" s="23">
        <f t="shared" si="7"/>
        <v>0</v>
      </c>
      <c r="AT17" s="91">
        <f t="shared" si="18"/>
        <v>0</v>
      </c>
      <c r="AU17" s="92">
        <f t="shared" si="8"/>
        <v>0</v>
      </c>
      <c r="AV17" s="24">
        <f t="shared" si="9"/>
        <v>0</v>
      </c>
      <c r="AW17" s="25">
        <f t="shared" si="28"/>
        <v>0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/>
      <c r="G18" s="23">
        <v>2760</v>
      </c>
      <c r="H18" s="24">
        <f t="shared" si="20"/>
        <v>0</v>
      </c>
      <c r="I18" s="25">
        <f t="shared" si="11"/>
        <v>0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1"/>
        <v>0</v>
      </c>
      <c r="U18" s="25">
        <f t="shared" si="22"/>
        <v>0</v>
      </c>
      <c r="V18" s="25">
        <f t="shared" si="23"/>
        <v>0</v>
      </c>
      <c r="W18" s="87" t="e">
        <f>U18/V18</f>
        <v>#DIV/0!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4"/>
        <v>0</v>
      </c>
      <c r="AD18" s="25">
        <f t="shared" si="25"/>
        <v>0</v>
      </c>
      <c r="AE18" s="25">
        <f t="shared" si="26"/>
        <v>0</v>
      </c>
      <c r="AF18" s="87" t="e">
        <f t="shared" si="27"/>
        <v>#DIV/0!</v>
      </c>
      <c r="AG18" s="88">
        <v>0.15</v>
      </c>
      <c r="AI18" s="40">
        <v>44270</v>
      </c>
      <c r="AJ18" s="22">
        <f t="shared" si="14"/>
        <v>0</v>
      </c>
      <c r="AK18" s="22"/>
      <c r="AL18" s="22"/>
      <c r="AM18" s="22"/>
      <c r="AN18" s="23">
        <v>2760</v>
      </c>
      <c r="AO18" s="23">
        <f t="shared" si="15"/>
        <v>0</v>
      </c>
      <c r="AP18" s="89">
        <f t="shared" si="16"/>
        <v>0</v>
      </c>
      <c r="AQ18" s="23">
        <f t="shared" si="6"/>
        <v>0</v>
      </c>
      <c r="AR18" s="90">
        <f t="shared" si="17"/>
        <v>0</v>
      </c>
      <c r="AS18" s="23">
        <f t="shared" si="7"/>
        <v>0</v>
      </c>
      <c r="AT18" s="91">
        <f t="shared" si="18"/>
        <v>0</v>
      </c>
      <c r="AU18" s="92">
        <f t="shared" si="8"/>
        <v>0</v>
      </c>
      <c r="AV18" s="24">
        <f t="shared" si="9"/>
        <v>0</v>
      </c>
      <c r="AW18" s="25">
        <f t="shared" si="28"/>
        <v>0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20"/>
        <v>0</v>
      </c>
      <c r="I19" s="25">
        <f t="shared" si="11"/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1"/>
        <v>0</v>
      </c>
      <c r="U19" s="25">
        <f t="shared" si="22"/>
        <v>0</v>
      </c>
      <c r="V19" s="25">
        <f t="shared" si="23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4"/>
        <v>0</v>
      </c>
      <c r="AD19" s="25">
        <f t="shared" si="25"/>
        <v>0</v>
      </c>
      <c r="AE19" s="25">
        <f t="shared" si="26"/>
        <v>0</v>
      </c>
      <c r="AF19" s="87" t="e">
        <f t="shared" si="27"/>
        <v>#DIV/0!</v>
      </c>
      <c r="AG19" s="88">
        <v>0.15</v>
      </c>
      <c r="AI19" s="40">
        <v>44271</v>
      </c>
      <c r="AJ19" s="22">
        <f t="shared" si="14"/>
        <v>0</v>
      </c>
      <c r="AK19" s="22"/>
      <c r="AL19" s="22"/>
      <c r="AM19" s="22"/>
      <c r="AN19" s="23">
        <v>2760</v>
      </c>
      <c r="AO19" s="23">
        <f t="shared" si="15"/>
        <v>0</v>
      </c>
      <c r="AP19" s="89">
        <f t="shared" si="16"/>
        <v>0</v>
      </c>
      <c r="AQ19" s="23">
        <f t="shared" si="6"/>
        <v>0</v>
      </c>
      <c r="AR19" s="90">
        <f t="shared" si="17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8"/>
        <v>0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0"/>
        <v>0</v>
      </c>
      <c r="I20" s="25">
        <f t="shared" si="11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1"/>
        <v>0</v>
      </c>
      <c r="U20" s="25">
        <f t="shared" si="22"/>
        <v>0</v>
      </c>
      <c r="V20" s="25">
        <f t="shared" si="23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4"/>
        <v>0</v>
      </c>
      <c r="AD20" s="25">
        <f t="shared" si="25"/>
        <v>0</v>
      </c>
      <c r="AE20" s="25">
        <f t="shared" si="26"/>
        <v>0</v>
      </c>
      <c r="AF20" s="87" t="e">
        <f t="shared" si="27"/>
        <v>#DIV/0!</v>
      </c>
      <c r="AG20" s="88">
        <v>0.15</v>
      </c>
      <c r="AI20" s="40">
        <v>44272</v>
      </c>
      <c r="AJ20" s="22">
        <f t="shared" si="14"/>
        <v>0</v>
      </c>
      <c r="AK20" s="22"/>
      <c r="AL20" s="22"/>
      <c r="AM20" s="22"/>
      <c r="AN20" s="23">
        <v>2760</v>
      </c>
      <c r="AO20" s="23">
        <f t="shared" si="15"/>
        <v>0</v>
      </c>
      <c r="AP20" s="89">
        <f t="shared" si="16"/>
        <v>0</v>
      </c>
      <c r="AQ20" s="23">
        <f t="shared" si="6"/>
        <v>0</v>
      </c>
      <c r="AR20" s="90">
        <f t="shared" si="17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8"/>
        <v>0</v>
      </c>
      <c r="AX20" s="25">
        <f t="shared" si="28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0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1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4"/>
        <v>0</v>
      </c>
      <c r="AD21" s="25">
        <f t="shared" si="25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>
        <f t="shared" si="14"/>
        <v>0</v>
      </c>
      <c r="AK21" s="22"/>
      <c r="AL21" s="22"/>
      <c r="AM21" s="22"/>
      <c r="AN21" s="23">
        <v>2760</v>
      </c>
      <c r="AO21" s="23">
        <f t="shared" si="15"/>
        <v>0</v>
      </c>
      <c r="AP21" s="89">
        <f t="shared" si="16"/>
        <v>0</v>
      </c>
      <c r="AQ21" s="23">
        <f t="shared" si="6"/>
        <v>0</v>
      </c>
      <c r="AR21" s="90">
        <f t="shared" si="17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8"/>
        <v>0</v>
      </c>
      <c r="AX21" s="25">
        <f t="shared" si="28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0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1"/>
        <v>0</v>
      </c>
      <c r="U22" s="25">
        <f t="shared" si="22"/>
        <v>0</v>
      </c>
      <c r="V22" s="25">
        <f t="shared" si="23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4"/>
        <v>0</v>
      </c>
      <c r="AD22" s="25">
        <f t="shared" si="25"/>
        <v>0</v>
      </c>
      <c r="AE22" s="25">
        <f t="shared" si="26"/>
        <v>0</v>
      </c>
      <c r="AF22" s="87" t="e">
        <f t="shared" si="27"/>
        <v>#DIV/0!</v>
      </c>
      <c r="AG22" s="88">
        <v>0.15</v>
      </c>
      <c r="AI22" s="40">
        <v>44274</v>
      </c>
      <c r="AJ22" s="22">
        <f t="shared" si="14"/>
        <v>0</v>
      </c>
      <c r="AK22" s="22"/>
      <c r="AL22" s="22"/>
      <c r="AM22" s="22"/>
      <c r="AN22" s="23">
        <v>2760</v>
      </c>
      <c r="AO22" s="23">
        <f t="shared" si="15"/>
        <v>0</v>
      </c>
      <c r="AP22" s="89">
        <f t="shared" si="16"/>
        <v>0</v>
      </c>
      <c r="AQ22" s="23">
        <f t="shared" si="6"/>
        <v>0</v>
      </c>
      <c r="AR22" s="90">
        <f t="shared" si="17"/>
        <v>0</v>
      </c>
      <c r="AS22" s="23">
        <f t="shared" si="7"/>
        <v>0</v>
      </c>
      <c r="AT22" s="91">
        <f t="shared" si="18"/>
        <v>0</v>
      </c>
      <c r="AU22" s="92">
        <f t="shared" si="8"/>
        <v>0</v>
      </c>
      <c r="AV22" s="24">
        <f t="shared" si="9"/>
        <v>0</v>
      </c>
      <c r="AW22" s="25">
        <f t="shared" si="28"/>
        <v>0</v>
      </c>
      <c r="AX22" s="25">
        <f t="shared" si="28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0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1"/>
        <v>0</v>
      </c>
      <c r="U23" s="25">
        <f t="shared" si="22"/>
        <v>0</v>
      </c>
      <c r="V23" s="25">
        <f t="shared" si="23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4"/>
        <v>0</v>
      </c>
      <c r="AD23" s="25">
        <f t="shared" si="25"/>
        <v>0</v>
      </c>
      <c r="AE23" s="25">
        <f t="shared" si="26"/>
        <v>0</v>
      </c>
      <c r="AF23" s="87" t="e">
        <f t="shared" si="27"/>
        <v>#DIV/0!</v>
      </c>
      <c r="AG23" s="88">
        <v>0.15</v>
      </c>
      <c r="AI23" s="40">
        <v>44275</v>
      </c>
      <c r="AJ23" s="22">
        <f t="shared" si="14"/>
        <v>0</v>
      </c>
      <c r="AK23" s="22"/>
      <c r="AL23" s="22"/>
      <c r="AM23" s="22"/>
      <c r="AN23" s="23">
        <v>2760</v>
      </c>
      <c r="AO23" s="23">
        <f t="shared" si="15"/>
        <v>0</v>
      </c>
      <c r="AP23" s="89">
        <f t="shared" si="16"/>
        <v>0</v>
      </c>
      <c r="AQ23" s="23">
        <f t="shared" si="6"/>
        <v>0</v>
      </c>
      <c r="AR23" s="90">
        <f t="shared" si="17"/>
        <v>0</v>
      </c>
      <c r="AS23" s="23">
        <f t="shared" si="7"/>
        <v>0</v>
      </c>
      <c r="AT23" s="91">
        <f t="shared" si="18"/>
        <v>0</v>
      </c>
      <c r="AU23" s="92">
        <f t="shared" si="8"/>
        <v>0</v>
      </c>
      <c r="AV23" s="24">
        <f t="shared" si="9"/>
        <v>0</v>
      </c>
      <c r="AW23" s="25">
        <f t="shared" si="28"/>
        <v>0</v>
      </c>
      <c r="AX23" s="25">
        <f t="shared" si="28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0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1"/>
        <v>0</v>
      </c>
      <c r="U24" s="25">
        <f>T24-T23</f>
        <v>0</v>
      </c>
      <c r="V24" s="25">
        <f t="shared" si="23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4"/>
        <v>0</v>
      </c>
      <c r="AD24" s="25">
        <f t="shared" si="25"/>
        <v>0</v>
      </c>
      <c r="AE24" s="25">
        <f t="shared" si="26"/>
        <v>0</v>
      </c>
      <c r="AF24" s="87" t="e">
        <f t="shared" si="27"/>
        <v>#DIV/0!</v>
      </c>
      <c r="AG24" s="88">
        <v>0.15</v>
      </c>
      <c r="AI24" s="40">
        <v>44276</v>
      </c>
      <c r="AJ24" s="22">
        <f t="shared" si="14"/>
        <v>0</v>
      </c>
      <c r="AK24" s="22"/>
      <c r="AL24" s="22"/>
      <c r="AM24" s="22"/>
      <c r="AN24" s="23">
        <v>2760</v>
      </c>
      <c r="AO24" s="23">
        <f t="shared" si="15"/>
        <v>0</v>
      </c>
      <c r="AP24" s="89">
        <f t="shared" si="16"/>
        <v>0</v>
      </c>
      <c r="AQ24" s="23">
        <f t="shared" si="6"/>
        <v>0</v>
      </c>
      <c r="AR24" s="90">
        <f t="shared" si="17"/>
        <v>0</v>
      </c>
      <c r="AS24" s="23">
        <f t="shared" si="7"/>
        <v>0</v>
      </c>
      <c r="AT24" s="91">
        <f t="shared" si="18"/>
        <v>0</v>
      </c>
      <c r="AU24" s="92">
        <f t="shared" si="8"/>
        <v>0</v>
      </c>
      <c r="AV24" s="24">
        <f t="shared" si="9"/>
        <v>0</v>
      </c>
      <c r="AW24" s="25">
        <f t="shared" si="28"/>
        <v>0</v>
      </c>
      <c r="AX24" s="25">
        <f t="shared" si="28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0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1"/>
        <v>0</v>
      </c>
      <c r="U25" s="25">
        <f t="shared" ref="U25:U33" si="29">T25-T24</f>
        <v>0</v>
      </c>
      <c r="V25" s="25">
        <f t="shared" si="23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4"/>
        <v>0</v>
      </c>
      <c r="AD25" s="25">
        <f t="shared" si="25"/>
        <v>0</v>
      </c>
      <c r="AE25" s="25">
        <f t="shared" si="26"/>
        <v>0</v>
      </c>
      <c r="AF25" s="87" t="e">
        <f t="shared" si="27"/>
        <v>#DIV/0!</v>
      </c>
      <c r="AG25" s="88">
        <v>0.15</v>
      </c>
      <c r="AI25" s="40">
        <v>44277</v>
      </c>
      <c r="AJ25" s="22">
        <f t="shared" si="14"/>
        <v>0</v>
      </c>
      <c r="AK25" s="22"/>
      <c r="AL25" s="22"/>
      <c r="AM25" s="22"/>
      <c r="AN25" s="23">
        <v>2760</v>
      </c>
      <c r="AO25" s="23">
        <f t="shared" si="15"/>
        <v>0</v>
      </c>
      <c r="AP25" s="89">
        <f t="shared" si="16"/>
        <v>0</v>
      </c>
      <c r="AQ25" s="23">
        <f t="shared" si="6"/>
        <v>0</v>
      </c>
      <c r="AR25" s="90">
        <f t="shared" si="17"/>
        <v>0</v>
      </c>
      <c r="AS25" s="23">
        <f t="shared" si="7"/>
        <v>0</v>
      </c>
      <c r="AT25" s="91">
        <f t="shared" si="18"/>
        <v>0</v>
      </c>
      <c r="AU25" s="92">
        <f t="shared" si="8"/>
        <v>0</v>
      </c>
      <c r="AV25" s="24">
        <f t="shared" si="9"/>
        <v>0</v>
      </c>
      <c r="AW25" s="25">
        <f t="shared" si="28"/>
        <v>0</v>
      </c>
      <c r="AX25" s="25">
        <f t="shared" si="28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0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1"/>
        <v>0</v>
      </c>
      <c r="U26" s="25">
        <f t="shared" si="29"/>
        <v>0</v>
      </c>
      <c r="V26" s="99">
        <f t="shared" si="23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4"/>
        <v>0</v>
      </c>
      <c r="AD26" s="25">
        <f t="shared" si="25"/>
        <v>0</v>
      </c>
      <c r="AE26" s="25">
        <f t="shared" si="26"/>
        <v>0</v>
      </c>
      <c r="AF26" s="100" t="e">
        <f>AD26/AE26</f>
        <v>#DIV/0!</v>
      </c>
      <c r="AG26" s="88">
        <v>0.15</v>
      </c>
      <c r="AI26" s="40">
        <v>44278</v>
      </c>
      <c r="AJ26" s="22">
        <f t="shared" si="14"/>
        <v>0</v>
      </c>
      <c r="AK26" s="22"/>
      <c r="AL26" s="22"/>
      <c r="AM26" s="22"/>
      <c r="AN26" s="28">
        <v>2760</v>
      </c>
      <c r="AO26" s="28">
        <f t="shared" si="15"/>
        <v>0</v>
      </c>
      <c r="AP26" s="89">
        <f t="shared" si="16"/>
        <v>0</v>
      </c>
      <c r="AQ26" s="28">
        <f t="shared" si="6"/>
        <v>0</v>
      </c>
      <c r="AR26" s="90">
        <f t="shared" si="17"/>
        <v>0</v>
      </c>
      <c r="AS26" s="28">
        <f t="shared" si="7"/>
        <v>0</v>
      </c>
      <c r="AT26" s="91">
        <f t="shared" si="18"/>
        <v>0</v>
      </c>
      <c r="AU26" s="92">
        <f t="shared" si="8"/>
        <v>0</v>
      </c>
      <c r="AV26" s="29">
        <f t="shared" si="9"/>
        <v>0</v>
      </c>
      <c r="AW26" s="25">
        <f t="shared" si="28"/>
        <v>0</v>
      </c>
      <c r="AX26" s="25">
        <f t="shared" si="28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0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1"/>
        <v>0</v>
      </c>
      <c r="U27" s="25">
        <f t="shared" si="29"/>
        <v>0</v>
      </c>
      <c r="V27" s="99">
        <f t="shared" si="23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5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>
        <f t="shared" si="14"/>
        <v>0</v>
      </c>
      <c r="AK27" s="22"/>
      <c r="AL27" s="27"/>
      <c r="AM27" s="27"/>
      <c r="AN27" s="28">
        <v>2760</v>
      </c>
      <c r="AO27" s="28">
        <f t="shared" si="15"/>
        <v>0</v>
      </c>
      <c r="AP27" s="89">
        <f t="shared" si="16"/>
        <v>0</v>
      </c>
      <c r="AQ27" s="28">
        <f t="shared" si="6"/>
        <v>0</v>
      </c>
      <c r="AR27" s="90">
        <f t="shared" si="17"/>
        <v>0</v>
      </c>
      <c r="AS27" s="28">
        <f t="shared" si="7"/>
        <v>0</v>
      </c>
      <c r="AT27" s="91">
        <f t="shared" si="18"/>
        <v>0</v>
      </c>
      <c r="AU27" s="92">
        <f t="shared" si="8"/>
        <v>0</v>
      </c>
      <c r="AV27" s="29">
        <f t="shared" si="9"/>
        <v>0</v>
      </c>
      <c r="AW27" s="25">
        <f t="shared" si="28"/>
        <v>0</v>
      </c>
      <c r="AX27" s="25">
        <f t="shared" si="28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0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1"/>
        <v>0</v>
      </c>
      <c r="U28" s="25">
        <f t="shared" si="29"/>
        <v>0</v>
      </c>
      <c r="V28" s="99">
        <f t="shared" si="23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>
        <f t="shared" si="14"/>
        <v>0</v>
      </c>
      <c r="AK28" s="27"/>
      <c r="AL28" s="27"/>
      <c r="AM28" s="27"/>
      <c r="AN28" s="28">
        <v>2760</v>
      </c>
      <c r="AO28" s="28">
        <f t="shared" si="15"/>
        <v>0</v>
      </c>
      <c r="AP28" s="89">
        <f t="shared" si="16"/>
        <v>0</v>
      </c>
      <c r="AQ28" s="28">
        <f t="shared" si="6"/>
        <v>0</v>
      </c>
      <c r="AR28" s="90">
        <f t="shared" si="17"/>
        <v>0</v>
      </c>
      <c r="AS28" s="28">
        <f t="shared" si="7"/>
        <v>0</v>
      </c>
      <c r="AT28" s="91">
        <f t="shared" si="18"/>
        <v>0</v>
      </c>
      <c r="AU28" s="92">
        <f t="shared" si="8"/>
        <v>0</v>
      </c>
      <c r="AV28" s="29">
        <f>AN28*AJ28</f>
        <v>0</v>
      </c>
      <c r="AW28" s="25">
        <f t="shared" si="28"/>
        <v>0</v>
      </c>
      <c r="AX28" s="25">
        <f t="shared" si="28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0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1"/>
        <v>0</v>
      </c>
      <c r="U29" s="99">
        <f t="shared" si="29"/>
        <v>0</v>
      </c>
      <c r="V29" s="99">
        <f t="shared" si="23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4"/>
        <v>0</v>
      </c>
      <c r="AD29" s="25">
        <f t="shared" si="25"/>
        <v>0</v>
      </c>
      <c r="AE29" s="25">
        <f t="shared" si="26"/>
        <v>0</v>
      </c>
      <c r="AF29" s="100" t="e">
        <f t="shared" si="27"/>
        <v>#DIV/0!</v>
      </c>
      <c r="AG29" s="88">
        <v>0.15</v>
      </c>
      <c r="AI29" s="40">
        <v>44281</v>
      </c>
      <c r="AJ29" s="22">
        <f t="shared" si="14"/>
        <v>0</v>
      </c>
      <c r="AK29" s="27"/>
      <c r="AL29" s="27"/>
      <c r="AM29" s="27"/>
      <c r="AN29" s="28">
        <v>2760</v>
      </c>
      <c r="AO29" s="28">
        <f t="shared" si="15"/>
        <v>0</v>
      </c>
      <c r="AP29" s="89">
        <f t="shared" si="16"/>
        <v>0</v>
      </c>
      <c r="AQ29" s="28">
        <f t="shared" si="6"/>
        <v>0</v>
      </c>
      <c r="AR29" s="90">
        <f t="shared" si="17"/>
        <v>0</v>
      </c>
      <c r="AS29" s="28">
        <f t="shared" si="7"/>
        <v>0</v>
      </c>
      <c r="AT29" s="91">
        <f t="shared" si="18"/>
        <v>0</v>
      </c>
      <c r="AU29" s="92">
        <f t="shared" si="8"/>
        <v>0</v>
      </c>
      <c r="AV29" s="29">
        <f t="shared" si="9"/>
        <v>0</v>
      </c>
      <c r="AW29" s="25">
        <f t="shared" si="28"/>
        <v>0</v>
      </c>
      <c r="AX29" s="25">
        <f t="shared" si="28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0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1"/>
        <v>0</v>
      </c>
      <c r="U30" s="99">
        <f t="shared" si="29"/>
        <v>0</v>
      </c>
      <c r="V30" s="99">
        <f t="shared" si="23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4"/>
        <v>0</v>
      </c>
      <c r="AD30" s="25">
        <f t="shared" si="25"/>
        <v>0</v>
      </c>
      <c r="AE30" s="25">
        <f t="shared" si="26"/>
        <v>0</v>
      </c>
      <c r="AF30" s="100" t="e">
        <f t="shared" si="27"/>
        <v>#DIV/0!</v>
      </c>
      <c r="AG30" s="88">
        <v>0.15</v>
      </c>
      <c r="AI30" s="40">
        <v>44282</v>
      </c>
      <c r="AJ30" s="22">
        <f t="shared" si="14"/>
        <v>0</v>
      </c>
      <c r="AK30" s="27"/>
      <c r="AL30" s="27"/>
      <c r="AM30" s="27"/>
      <c r="AN30" s="28">
        <v>2760</v>
      </c>
      <c r="AO30" s="28">
        <f t="shared" si="15"/>
        <v>0</v>
      </c>
      <c r="AP30" s="89">
        <f t="shared" si="16"/>
        <v>0</v>
      </c>
      <c r="AQ30" s="28">
        <f t="shared" si="6"/>
        <v>0</v>
      </c>
      <c r="AR30" s="90">
        <f t="shared" si="17"/>
        <v>0</v>
      </c>
      <c r="AS30" s="28">
        <f t="shared" si="7"/>
        <v>0</v>
      </c>
      <c r="AT30" s="91">
        <f t="shared" si="18"/>
        <v>0</v>
      </c>
      <c r="AU30" s="92">
        <f t="shared" si="8"/>
        <v>0</v>
      </c>
      <c r="AV30" s="29">
        <f t="shared" si="9"/>
        <v>0</v>
      </c>
      <c r="AW30" s="25">
        <f t="shared" si="28"/>
        <v>0</v>
      </c>
      <c r="AX30" s="25">
        <f t="shared" si="28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0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1"/>
        <v>0</v>
      </c>
      <c r="U31" s="99">
        <f t="shared" si="29"/>
        <v>0</v>
      </c>
      <c r="V31" s="99">
        <f t="shared" si="23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4"/>
        <v>0</v>
      </c>
      <c r="AD31" s="25">
        <f t="shared" si="25"/>
        <v>0</v>
      </c>
      <c r="AE31" s="25">
        <f t="shared" si="26"/>
        <v>0</v>
      </c>
      <c r="AF31" s="100" t="e">
        <f t="shared" si="27"/>
        <v>#DIV/0!</v>
      </c>
      <c r="AG31" s="88">
        <v>0.15</v>
      </c>
      <c r="AI31" s="40">
        <v>44283</v>
      </c>
      <c r="AJ31" s="22">
        <f t="shared" si="14"/>
        <v>0</v>
      </c>
      <c r="AK31" s="27"/>
      <c r="AL31" s="27"/>
      <c r="AM31" s="27"/>
      <c r="AN31" s="28">
        <v>2760</v>
      </c>
      <c r="AO31" s="28">
        <f t="shared" si="15"/>
        <v>0</v>
      </c>
      <c r="AP31" s="89">
        <f t="shared" si="16"/>
        <v>0</v>
      </c>
      <c r="AQ31" s="28">
        <f t="shared" si="6"/>
        <v>0</v>
      </c>
      <c r="AR31" s="90">
        <f t="shared" si="17"/>
        <v>0</v>
      </c>
      <c r="AS31" s="28">
        <f t="shared" si="7"/>
        <v>0</v>
      </c>
      <c r="AT31" s="91">
        <f t="shared" si="18"/>
        <v>0</v>
      </c>
      <c r="AU31" s="92">
        <f t="shared" si="8"/>
        <v>0</v>
      </c>
      <c r="AV31" s="29">
        <f t="shared" si="9"/>
        <v>0</v>
      </c>
      <c r="AW31" s="25">
        <f t="shared" si="28"/>
        <v>0</v>
      </c>
      <c r="AX31" s="25">
        <f t="shared" si="28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0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1"/>
        <v>0</v>
      </c>
      <c r="U32" s="99">
        <f t="shared" si="29"/>
        <v>0</v>
      </c>
      <c r="V32" s="99">
        <f t="shared" si="23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4"/>
        <v>0</v>
      </c>
      <c r="AD32" s="25">
        <f t="shared" si="25"/>
        <v>0</v>
      </c>
      <c r="AE32" s="25">
        <f t="shared" si="26"/>
        <v>0</v>
      </c>
      <c r="AF32" s="100" t="e">
        <f t="shared" si="27"/>
        <v>#DIV/0!</v>
      </c>
      <c r="AG32" s="88">
        <v>0.15</v>
      </c>
      <c r="AI32" s="40">
        <v>44284</v>
      </c>
      <c r="AJ32" s="22">
        <f t="shared" si="14"/>
        <v>0</v>
      </c>
      <c r="AK32" s="27"/>
      <c r="AL32" s="27"/>
      <c r="AM32" s="27"/>
      <c r="AN32" s="28">
        <v>2760</v>
      </c>
      <c r="AO32" s="28">
        <f t="shared" si="15"/>
        <v>0</v>
      </c>
      <c r="AP32" s="89">
        <f t="shared" si="16"/>
        <v>0</v>
      </c>
      <c r="AQ32" s="28">
        <f t="shared" si="6"/>
        <v>0</v>
      </c>
      <c r="AR32" s="90">
        <f t="shared" si="17"/>
        <v>0</v>
      </c>
      <c r="AS32" s="28">
        <f t="shared" si="7"/>
        <v>0</v>
      </c>
      <c r="AT32" s="91">
        <f t="shared" si="18"/>
        <v>0</v>
      </c>
      <c r="AU32" s="92">
        <f t="shared" si="8"/>
        <v>0</v>
      </c>
      <c r="AV32" s="29">
        <f t="shared" si="9"/>
        <v>0</v>
      </c>
      <c r="AW32" s="25">
        <f t="shared" si="28"/>
        <v>0</v>
      </c>
      <c r="AX32" s="25">
        <f t="shared" si="28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0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1"/>
        <v>0</v>
      </c>
      <c r="U33" s="99">
        <f t="shared" si="29"/>
        <v>0</v>
      </c>
      <c r="V33" s="99">
        <f t="shared" si="23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4"/>
        <v>0</v>
      </c>
      <c r="AD33" s="25">
        <f t="shared" si="25"/>
        <v>0</v>
      </c>
      <c r="AE33" s="25">
        <f t="shared" si="26"/>
        <v>0</v>
      </c>
      <c r="AF33" s="100" t="e">
        <f t="shared" si="27"/>
        <v>#DIV/0!</v>
      </c>
      <c r="AG33" s="88">
        <v>0.15</v>
      </c>
      <c r="AI33" s="40">
        <v>44285</v>
      </c>
      <c r="AJ33" s="22">
        <f t="shared" si="14"/>
        <v>0</v>
      </c>
      <c r="AK33" s="27"/>
      <c r="AL33" s="27"/>
      <c r="AM33" s="27"/>
      <c r="AN33" s="28">
        <v>2760</v>
      </c>
      <c r="AO33" s="28">
        <f t="shared" si="15"/>
        <v>0</v>
      </c>
      <c r="AP33" s="89">
        <f t="shared" si="16"/>
        <v>0</v>
      </c>
      <c r="AQ33" s="28">
        <f t="shared" si="6"/>
        <v>0</v>
      </c>
      <c r="AR33" s="90">
        <f t="shared" si="17"/>
        <v>0</v>
      </c>
      <c r="AS33" s="28">
        <f t="shared" si="7"/>
        <v>0</v>
      </c>
      <c r="AT33" s="91">
        <f t="shared" si="18"/>
        <v>0</v>
      </c>
      <c r="AU33" s="92">
        <f t="shared" si="8"/>
        <v>0</v>
      </c>
      <c r="AV33" s="29">
        <f t="shared" si="9"/>
        <v>0</v>
      </c>
      <c r="AW33" s="25">
        <f t="shared" si="28"/>
        <v>0</v>
      </c>
      <c r="AX33" s="25">
        <f t="shared" si="28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0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1"/>
        <v>0</v>
      </c>
      <c r="U34" s="99">
        <f>T34-T33</f>
        <v>0</v>
      </c>
      <c r="V34" s="99">
        <f t="shared" si="23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4"/>
        <v>0</v>
      </c>
      <c r="AD34" s="25">
        <f t="shared" si="25"/>
        <v>0</v>
      </c>
      <c r="AE34" s="25">
        <f t="shared" si="26"/>
        <v>0</v>
      </c>
      <c r="AF34" s="100" t="e">
        <f t="shared" si="27"/>
        <v>#DIV/0!</v>
      </c>
      <c r="AG34" s="88">
        <v>0.15</v>
      </c>
      <c r="AI34" s="40">
        <v>44286</v>
      </c>
      <c r="AJ34" s="22">
        <f t="shared" si="14"/>
        <v>0</v>
      </c>
      <c r="AK34" s="27"/>
      <c r="AL34" s="27"/>
      <c r="AM34" s="27"/>
      <c r="AN34" s="28">
        <v>2760</v>
      </c>
      <c r="AO34" s="28">
        <f t="shared" si="15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8"/>
        <v>0</v>
      </c>
      <c r="AX34" s="25">
        <f t="shared" si="28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0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1"/>
        <v>0</v>
      </c>
      <c r="U35" s="99">
        <f>T35-T34</f>
        <v>0</v>
      </c>
      <c r="V35" s="99">
        <f t="shared" si="23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4"/>
        <v>0</v>
      </c>
      <c r="AD35" s="25">
        <f t="shared" si="25"/>
        <v>0</v>
      </c>
      <c r="AE35" s="25">
        <f t="shared" si="26"/>
        <v>0</v>
      </c>
      <c r="AF35" s="100" t="e">
        <f t="shared" si="27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5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8"/>
        <v>0</v>
      </c>
      <c r="AX35" s="25">
        <f t="shared" si="28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3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2021-03-09T05:24:08Z</dcterms:modified>
</cp:coreProperties>
</file>