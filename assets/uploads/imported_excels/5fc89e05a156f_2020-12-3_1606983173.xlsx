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12 au 31.12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01.12 au 31.12'!$A$1:$AE$49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17" i="6" l="1"/>
  <c r="E17" i="6"/>
  <c r="C17" i="6"/>
  <c r="G12" i="4"/>
  <c r="E12" i="4"/>
  <c r="C12" i="4"/>
  <c r="B32" i="13" l="1"/>
  <c r="E32" i="13"/>
  <c r="O32" i="13" s="1"/>
  <c r="G32" i="13"/>
  <c r="I32" i="13"/>
  <c r="K32" i="13"/>
  <c r="M32" i="13"/>
  <c r="U13" i="10" l="1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10" i="10"/>
  <c r="J12" i="10"/>
  <c r="K12" i="10"/>
  <c r="J13" i="10"/>
  <c r="K13" i="10"/>
  <c r="L13" i="10"/>
  <c r="J14" i="10"/>
  <c r="K14" i="10"/>
  <c r="L14" i="10"/>
  <c r="J15" i="10"/>
  <c r="K15" i="10"/>
  <c r="L15" i="10"/>
  <c r="J16" i="10"/>
  <c r="K16" i="10"/>
  <c r="L16" i="10"/>
  <c r="J17" i="10"/>
  <c r="K17" i="10"/>
  <c r="L17" i="10"/>
  <c r="J18" i="10"/>
  <c r="K18" i="10"/>
  <c r="L18" i="10"/>
  <c r="J19" i="10"/>
  <c r="K19" i="10"/>
  <c r="L19" i="10"/>
  <c r="J20" i="10"/>
  <c r="K20" i="10"/>
  <c r="L20" i="10"/>
  <c r="J21" i="10"/>
  <c r="K21" i="10"/>
  <c r="L21" i="10"/>
  <c r="J22" i="10"/>
  <c r="K22" i="10"/>
  <c r="L22" i="10"/>
  <c r="J23" i="10"/>
  <c r="K23" i="10"/>
  <c r="L23" i="10"/>
  <c r="J24" i="10"/>
  <c r="K24" i="10"/>
  <c r="L24" i="10"/>
  <c r="J25" i="10"/>
  <c r="K25" i="10"/>
  <c r="L25" i="10"/>
  <c r="J26" i="10"/>
  <c r="K26" i="10"/>
  <c r="L26" i="10"/>
  <c r="J27" i="10"/>
  <c r="K27" i="10"/>
  <c r="L27" i="10"/>
  <c r="J28" i="10"/>
  <c r="K28" i="10"/>
  <c r="L28" i="10"/>
  <c r="J29" i="10"/>
  <c r="K29" i="10"/>
  <c r="L29" i="10"/>
  <c r="J30" i="10"/>
  <c r="K30" i="10"/>
  <c r="L30" i="10"/>
  <c r="J31" i="10"/>
  <c r="K31" i="10"/>
  <c r="L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L10" i="10"/>
  <c r="K10" i="10"/>
  <c r="J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10" i="10"/>
  <c r="G16" i="6"/>
  <c r="K11" i="10" s="1"/>
  <c r="E16" i="6"/>
  <c r="J11" i="10" s="1"/>
  <c r="C16" i="6"/>
  <c r="C18" i="6"/>
  <c r="E18" i="6"/>
  <c r="G18" i="6"/>
  <c r="C19" i="6"/>
  <c r="E19" i="6"/>
  <c r="G19" i="6"/>
  <c r="C20" i="6"/>
  <c r="E20" i="6"/>
  <c r="G20" i="6"/>
  <c r="C21" i="6"/>
  <c r="E21" i="6"/>
  <c r="G21" i="6"/>
  <c r="C22" i="6"/>
  <c r="E22" i="6"/>
  <c r="G22" i="6"/>
  <c r="C23" i="6"/>
  <c r="E23" i="6"/>
  <c r="G23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14" i="4"/>
  <c r="E14" i="4"/>
  <c r="G14" i="4"/>
  <c r="C15" i="4"/>
  <c r="E15" i="4"/>
  <c r="G15" i="4"/>
  <c r="C16" i="4"/>
  <c r="E16" i="4"/>
  <c r="G16" i="4"/>
  <c r="C17" i="4"/>
  <c r="E17" i="4"/>
  <c r="G17" i="4"/>
  <c r="C18" i="4"/>
  <c r="E18" i="4"/>
  <c r="G18" i="4"/>
  <c r="C19" i="4"/>
  <c r="E19" i="4"/>
  <c r="G19" i="4"/>
  <c r="C20" i="4"/>
  <c r="E20" i="4"/>
  <c r="G20" i="4"/>
  <c r="C21" i="4"/>
  <c r="E21" i="4"/>
  <c r="G21" i="4"/>
  <c r="C22" i="4"/>
  <c r="E22" i="4"/>
  <c r="G22" i="4"/>
  <c r="C23" i="4"/>
  <c r="E23" i="4"/>
  <c r="G23" i="4"/>
  <c r="C24" i="4"/>
  <c r="E24" i="4"/>
  <c r="G24" i="4"/>
  <c r="C25" i="4"/>
  <c r="E25" i="4"/>
  <c r="G25" i="4"/>
  <c r="C26" i="4"/>
  <c r="E26" i="4"/>
  <c r="G26" i="4"/>
  <c r="C27" i="4"/>
  <c r="E27" i="4"/>
  <c r="G27" i="4"/>
  <c r="C28" i="4"/>
  <c r="E28" i="4"/>
  <c r="G28" i="4"/>
  <c r="C29" i="4"/>
  <c r="E29" i="4"/>
  <c r="G29" i="4"/>
  <c r="C30" i="4"/>
  <c r="E30" i="4"/>
  <c r="G30" i="4"/>
  <c r="C31" i="4"/>
  <c r="E31" i="4"/>
  <c r="G31" i="4"/>
  <c r="C32" i="4"/>
  <c r="E32" i="4"/>
  <c r="G32" i="4"/>
  <c r="C34" i="4"/>
  <c r="E34" i="4"/>
  <c r="G34" i="4"/>
  <c r="C35" i="4"/>
  <c r="E35" i="4"/>
  <c r="G35" i="4"/>
  <c r="C36" i="4"/>
  <c r="E36" i="4"/>
  <c r="G36" i="4"/>
  <c r="C37" i="4"/>
  <c r="E37" i="4"/>
  <c r="G37" i="4"/>
  <c r="C38" i="4"/>
  <c r="E38" i="4"/>
  <c r="G38" i="4"/>
  <c r="C39" i="4"/>
  <c r="E39" i="4"/>
  <c r="G39" i="4"/>
  <c r="C40" i="4"/>
  <c r="E40" i="4"/>
  <c r="G40" i="4"/>
  <c r="C41" i="4"/>
  <c r="E41" i="4"/>
  <c r="G41" i="4"/>
  <c r="C42" i="4"/>
  <c r="E42" i="4"/>
  <c r="G42" i="4"/>
  <c r="E9" i="4"/>
  <c r="C9" i="4"/>
  <c r="G8" i="4"/>
  <c r="E8" i="4"/>
  <c r="C8" i="4"/>
  <c r="G7" i="4"/>
  <c r="E7" i="4"/>
  <c r="C7" i="4"/>
  <c r="G6" i="4"/>
  <c r="E6" i="4"/>
  <c r="C6" i="4"/>
  <c r="G5" i="4"/>
  <c r="E5" i="4"/>
  <c r="C5" i="4"/>
  <c r="G4" i="4"/>
  <c r="E4" i="4"/>
  <c r="C4" i="4"/>
  <c r="M34" i="4" l="1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J30" i="4"/>
  <c r="K30" i="4" s="1"/>
  <c r="I20" i="6" l="1"/>
  <c r="M14" i="4" l="1"/>
  <c r="J14" i="4"/>
  <c r="K14" i="4" s="1"/>
  <c r="M13" i="4"/>
  <c r="J13" i="4"/>
  <c r="K13" i="4" s="1"/>
  <c r="M12" i="4"/>
  <c r="J12" i="4"/>
  <c r="K12" i="4" s="1"/>
  <c r="Y34" i="10" l="1"/>
  <c r="Y35" i="10"/>
  <c r="Y36" i="10"/>
  <c r="Y37" i="10"/>
  <c r="Y38" i="10"/>
  <c r="Y39" i="10"/>
  <c r="Y40" i="10"/>
  <c r="Y31" i="10"/>
  <c r="Y32" i="10"/>
  <c r="Y33" i="10"/>
  <c r="AC5" i="4" l="1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Z43" i="4"/>
  <c r="W43" i="4"/>
  <c r="T43" i="4"/>
  <c r="Q43" i="4"/>
  <c r="G48" i="6"/>
  <c r="C48" i="6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I8" i="4"/>
  <c r="M7" i="4"/>
  <c r="J7" i="4"/>
  <c r="K7" i="4" s="1"/>
  <c r="M6" i="4"/>
  <c r="J6" i="4"/>
  <c r="K6" i="4" s="1"/>
  <c r="M5" i="4"/>
  <c r="J5" i="4"/>
  <c r="K5" i="4" s="1"/>
  <c r="M4" i="4"/>
  <c r="J4" i="4"/>
  <c r="K4" i="4" s="1"/>
  <c r="C33" i="4" l="1"/>
  <c r="E33" i="4"/>
  <c r="G33" i="4"/>
  <c r="C11" i="4"/>
  <c r="G11" i="4"/>
  <c r="E11" i="4"/>
  <c r="G10" i="4"/>
  <c r="E10" i="4"/>
  <c r="C10" i="4"/>
  <c r="C13" i="4"/>
  <c r="E13" i="4"/>
  <c r="G13" i="4"/>
  <c r="I34" i="4"/>
  <c r="I33" i="4"/>
  <c r="I31" i="4"/>
  <c r="L31" i="4"/>
  <c r="N31" i="4" s="1"/>
  <c r="O31" i="4" s="1"/>
  <c r="I32" i="4"/>
  <c r="L32" i="4"/>
  <c r="N32" i="4" s="1"/>
  <c r="O32" i="4" s="1"/>
  <c r="L30" i="4"/>
  <c r="N30" i="4" s="1"/>
  <c r="O30" i="4" s="1"/>
  <c r="P30" i="4" s="1"/>
  <c r="I30" i="4"/>
  <c r="I13" i="4"/>
  <c r="I14" i="4"/>
  <c r="L12" i="4"/>
  <c r="N12" i="4" s="1"/>
  <c r="O12" i="4" s="1"/>
  <c r="U12" i="10" s="1"/>
  <c r="I12" i="4"/>
  <c r="E48" i="6"/>
  <c r="AC43" i="4"/>
  <c r="L8" i="4"/>
  <c r="N8" i="4" s="1"/>
  <c r="O8" i="4" s="1"/>
  <c r="P8" i="4" s="1"/>
  <c r="P31" i="4" l="1"/>
  <c r="W30" i="10"/>
  <c r="P32" i="4"/>
  <c r="W31" i="10"/>
  <c r="P12" i="4"/>
  <c r="M40" i="4"/>
  <c r="J40" i="4"/>
  <c r="K40" i="4" s="1"/>
  <c r="M39" i="4"/>
  <c r="J39" i="4"/>
  <c r="K39" i="4" s="1"/>
  <c r="I23" i="6" l="1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21" i="6"/>
  <c r="I22" i="6"/>
  <c r="I17" i="6" l="1"/>
  <c r="L12" i="10" s="1"/>
  <c r="I18" i="6"/>
  <c r="I19" i="6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I31" i="13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1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3" i="4"/>
  <c r="AE13" i="4"/>
  <c r="AD14" i="4"/>
  <c r="AE14" i="4"/>
  <c r="J15" i="4"/>
  <c r="K15" i="4" s="1"/>
  <c r="L14" i="4" s="1"/>
  <c r="N14" i="4" s="1"/>
  <c r="O14" i="4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AD19" i="4"/>
  <c r="AE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AD30" i="4"/>
  <c r="AE30" i="4"/>
  <c r="AD31" i="4"/>
  <c r="AE31" i="4"/>
  <c r="AD32" i="4"/>
  <c r="AE32" i="4"/>
  <c r="AD33" i="4"/>
  <c r="L33" i="4" s="1"/>
  <c r="N33" i="4" s="1"/>
  <c r="O33" i="4" s="1"/>
  <c r="AE33" i="4"/>
  <c r="AD34" i="4"/>
  <c r="AE34" i="4"/>
  <c r="J35" i="4"/>
  <c r="K35" i="4" s="1"/>
  <c r="L34" i="4" s="1"/>
  <c r="N34" i="4" s="1"/>
  <c r="O34" i="4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J41" i="4"/>
  <c r="K41" i="4" s="1"/>
  <c r="M41" i="4"/>
  <c r="AD41" i="4"/>
  <c r="AE41" i="4"/>
  <c r="J42" i="4"/>
  <c r="K42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P34" i="4" l="1"/>
  <c r="W33" i="10"/>
  <c r="P33" i="4"/>
  <c r="W32" i="10"/>
  <c r="P14" i="4"/>
  <c r="W13" i="10"/>
  <c r="L13" i="4"/>
  <c r="N13" i="4" s="1"/>
  <c r="O13" i="4" s="1"/>
  <c r="I48" i="6"/>
  <c r="L6" i="4"/>
  <c r="N6" i="4" s="1"/>
  <c r="O6" i="4" s="1"/>
  <c r="P6" i="4" s="1"/>
  <c r="I6" i="4"/>
  <c r="I4" i="4"/>
  <c r="L4" i="4"/>
  <c r="N4" i="4" s="1"/>
  <c r="O4" i="4" s="1"/>
  <c r="P4" i="4" s="1"/>
  <c r="I10" i="4"/>
  <c r="G43" i="4"/>
  <c r="E43" i="4"/>
  <c r="L10" i="4"/>
  <c r="N10" i="4" s="1"/>
  <c r="L7" i="4"/>
  <c r="N7" i="4" s="1"/>
  <c r="O7" i="4" s="1"/>
  <c r="P7" i="4" s="1"/>
  <c r="I7" i="4"/>
  <c r="I5" i="4"/>
  <c r="L5" i="4"/>
  <c r="N5" i="4" s="1"/>
  <c r="O5" i="4" s="1"/>
  <c r="P5" i="4" s="1"/>
  <c r="I11" i="4"/>
  <c r="L11" i="4"/>
  <c r="N11" i="4" s="1"/>
  <c r="O11" i="4" s="1"/>
  <c r="U11" i="10" s="1"/>
  <c r="W11" i="10" s="1"/>
  <c r="I9" i="4"/>
  <c r="L9" i="4"/>
  <c r="N9" i="4" s="1"/>
  <c r="O9" i="4" s="1"/>
  <c r="P9" i="4" s="1"/>
  <c r="I40" i="4"/>
  <c r="L40" i="4"/>
  <c r="N40" i="4" s="1"/>
  <c r="O40" i="4" s="1"/>
  <c r="I39" i="4"/>
  <c r="L39" i="4"/>
  <c r="N39" i="4" s="1"/>
  <c r="O39" i="4" s="1"/>
  <c r="K48" i="4"/>
  <c r="L48" i="4" s="1"/>
  <c r="M48" i="4" s="1"/>
  <c r="Z17" i="10"/>
  <c r="L26" i="4"/>
  <c r="N26" i="4" s="1"/>
  <c r="O26" i="4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I41" i="4"/>
  <c r="L25" i="4"/>
  <c r="N25" i="4" s="1"/>
  <c r="O25" i="4" s="1"/>
  <c r="I21" i="4"/>
  <c r="I18" i="4"/>
  <c r="I15" i="4"/>
  <c r="M40" i="10"/>
  <c r="Z38" i="10"/>
  <c r="L36" i="4"/>
  <c r="N36" i="4" s="1"/>
  <c r="O36" i="4" s="1"/>
  <c r="L24" i="4"/>
  <c r="N24" i="4" s="1"/>
  <c r="O24" i="4" s="1"/>
  <c r="L21" i="4"/>
  <c r="N21" i="4" s="1"/>
  <c r="O21" i="4" s="1"/>
  <c r="I17" i="4"/>
  <c r="I27" i="4"/>
  <c r="Z34" i="10"/>
  <c r="L23" i="4"/>
  <c r="N23" i="4" s="1"/>
  <c r="O23" i="4" s="1"/>
  <c r="L17" i="4"/>
  <c r="N17" i="4" s="1"/>
  <c r="O17" i="4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W14" i="10" s="1"/>
  <c r="L19" i="4"/>
  <c r="N19" i="4" s="1"/>
  <c r="O19" i="4" s="1"/>
  <c r="Z40" i="10"/>
  <c r="F39" i="10"/>
  <c r="K31" i="13"/>
  <c r="F24" i="10"/>
  <c r="F40" i="10"/>
  <c r="L37" i="4"/>
  <c r="N37" i="4" s="1"/>
  <c r="O37" i="4" s="1"/>
  <c r="L38" i="4"/>
  <c r="N38" i="4" s="1"/>
  <c r="O38" i="4" s="1"/>
  <c r="L35" i="4"/>
  <c r="N35" i="4" s="1"/>
  <c r="O35" i="4" s="1"/>
  <c r="L28" i="4"/>
  <c r="N28" i="4" s="1"/>
  <c r="O28" i="4" s="1"/>
  <c r="L29" i="4"/>
  <c r="N29" i="4" s="1"/>
  <c r="O29" i="4" s="1"/>
  <c r="L27" i="4"/>
  <c r="N27" i="4" s="1"/>
  <c r="O27" i="4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35" i="4"/>
  <c r="I29" i="4"/>
  <c r="I28" i="4"/>
  <c r="L41" i="4"/>
  <c r="N41" i="4" s="1"/>
  <c r="O41" i="4" s="1"/>
  <c r="I36" i="4"/>
  <c r="AC44" i="4"/>
  <c r="I42" i="4"/>
  <c r="I37" i="4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F34" i="10"/>
  <c r="D5" i="6"/>
  <c r="L20" i="4"/>
  <c r="N20" i="4" s="1"/>
  <c r="O20" i="4" s="1"/>
  <c r="L18" i="4"/>
  <c r="N18" i="4" s="1"/>
  <c r="O18" i="4" s="1"/>
  <c r="L16" i="4"/>
  <c r="N16" i="4" s="1"/>
  <c r="O16" i="4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W18" i="10" l="1"/>
  <c r="P19" i="4"/>
  <c r="W20" i="10"/>
  <c r="AJ20" i="10" s="1"/>
  <c r="AK20" i="10" s="1"/>
  <c r="P21" i="4"/>
  <c r="W16" i="10"/>
  <c r="P17" i="4"/>
  <c r="W23" i="10"/>
  <c r="P24" i="4"/>
  <c r="W21" i="10"/>
  <c r="P22" i="4"/>
  <c r="W15" i="10"/>
  <c r="P16" i="4"/>
  <c r="W22" i="10"/>
  <c r="P23" i="4"/>
  <c r="W24" i="10"/>
  <c r="P25" i="4"/>
  <c r="W27" i="10"/>
  <c r="P28" i="4"/>
  <c r="W26" i="10"/>
  <c r="P27" i="4"/>
  <c r="W19" i="10"/>
  <c r="P20" i="4"/>
  <c r="W17" i="10"/>
  <c r="P18" i="4"/>
  <c r="W25" i="10"/>
  <c r="P26" i="4"/>
  <c r="P41" i="4"/>
  <c r="W40" i="10"/>
  <c r="P40" i="4"/>
  <c r="W39" i="10"/>
  <c r="P39" i="4"/>
  <c r="W38" i="10"/>
  <c r="AJ38" i="10" s="1"/>
  <c r="AK38" i="10" s="1"/>
  <c r="P37" i="4"/>
  <c r="W36" i="10"/>
  <c r="P36" i="4"/>
  <c r="W35" i="10"/>
  <c r="AJ35" i="10" s="1"/>
  <c r="AK35" i="10" s="1"/>
  <c r="P38" i="4"/>
  <c r="W37" i="10"/>
  <c r="P35" i="4"/>
  <c r="W34" i="10"/>
  <c r="W28" i="10"/>
  <c r="AJ28" i="10" s="1"/>
  <c r="AK28" i="10" s="1"/>
  <c r="P29" i="4"/>
  <c r="P11" i="4"/>
  <c r="W10" i="10"/>
  <c r="P13" i="4"/>
  <c r="AJ24" i="10"/>
  <c r="AK24" i="10" s="1"/>
  <c r="AJ30" i="10"/>
  <c r="AK30" i="10" s="1"/>
  <c r="AJ22" i="10"/>
  <c r="AK22" i="10" s="1"/>
  <c r="AJ31" i="10"/>
  <c r="AK31" i="10" s="1"/>
  <c r="P15" i="4"/>
  <c r="G17" i="13"/>
  <c r="O17" i="13" s="1"/>
  <c r="I43" i="4"/>
  <c r="C43" i="4"/>
  <c r="O10" i="4"/>
  <c r="P10" i="4" s="1"/>
  <c r="N43" i="4"/>
  <c r="G24" i="13"/>
  <c r="O24" i="13" s="1"/>
  <c r="G8" i="13"/>
  <c r="O8" i="13" s="1"/>
  <c r="O25" i="10"/>
  <c r="M37" i="10"/>
  <c r="E29" i="13" s="1"/>
  <c r="M33" i="10"/>
  <c r="E25" i="13" s="1"/>
  <c r="O23" i="10"/>
  <c r="M38" i="10"/>
  <c r="E30" i="13" s="1"/>
  <c r="M35" i="10"/>
  <c r="E27" i="13" s="1"/>
  <c r="Z41" i="10"/>
  <c r="O16" i="10"/>
  <c r="L41" i="10"/>
  <c r="G45" i="10" s="1"/>
  <c r="J45" i="10" s="1"/>
  <c r="M39" i="10"/>
  <c r="E31" i="13" s="1"/>
  <c r="O39" i="10"/>
  <c r="M29" i="10"/>
  <c r="E21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W29" i="10" l="1"/>
  <c r="AJ29" i="10" s="1"/>
  <c r="AK29" i="10" s="1"/>
  <c r="W12" i="10"/>
  <c r="AJ12" i="10" s="1"/>
  <c r="AK12" i="10" s="1"/>
  <c r="G19" i="13"/>
  <c r="O19" i="13" s="1"/>
  <c r="G28" i="13"/>
  <c r="O28" i="13" s="1"/>
  <c r="G30" i="13"/>
  <c r="O30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U41" i="10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O41" i="10"/>
  <c r="M41" i="10"/>
  <c r="AJ39" i="10"/>
  <c r="AK39" i="10" s="1"/>
  <c r="G31" i="13"/>
  <c r="O31" i="13" s="1"/>
  <c r="AJ27" i="10"/>
  <c r="AK27" i="10" s="1"/>
  <c r="AJ33" i="10"/>
  <c r="AK33" i="10" s="1"/>
  <c r="G21" i="13"/>
  <c r="O21" i="13" s="1"/>
  <c r="AJ37" i="10"/>
  <c r="AK37" i="10" s="1"/>
  <c r="L43" i="10"/>
  <c r="E7" i="13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G2" i="13" l="1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<sst xmlns="http://schemas.openxmlformats.org/spreadsheetml/2006/main" count="127" uniqueCount="85">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</sst>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4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220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653248"/>
        <c:axId val="217654784"/>
      </c:lineChart>
      <c:dateAx>
        <c:axId val="21765324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7654784"/>
        <c:crosses val="autoZero"/>
        <c:auto val="1"/>
        <c:lblOffset val="100"/>
        <c:baseTimeUnit val="days"/>
      </c:dateAx>
      <c:valAx>
        <c:axId val="217654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765324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3907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5211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2388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694208"/>
        <c:axId val="217695744"/>
      </c:lineChart>
      <c:dateAx>
        <c:axId val="217694208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7695744"/>
        <c:crosses val="autoZero"/>
        <c:auto val="1"/>
        <c:lblOffset val="100"/>
        <c:baseTimeUnit val="days"/>
      </c:dateAx>
      <c:valAx>
        <c:axId val="2176957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7694208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  <c:pt idx="31">
                  <c:v>44197</c:v>
                </c:pt>
                <c:pt idx="32">
                  <c:v>44198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185.5</c:v>
                </c:pt>
                <c:pt idx="1">
                  <c:v>259.7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599808"/>
        <c:axId val="178601344"/>
      </c:lineChart>
      <c:dateAx>
        <c:axId val="17859980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601344"/>
        <c:crosses val="autoZero"/>
        <c:auto val="1"/>
        <c:lblOffset val="100"/>
        <c:baseTimeUnit val="days"/>
      </c:dateAx>
      <c:valAx>
        <c:axId val="1786013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599808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4" sqref="N4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12</v>
      </c>
      <c r="D2" s="160">
        <v>2020</v>
      </c>
      <c r="E2" s="161">
        <f>'Consommation du 01.12 au 31.12'!M10</f>
        <v>11011</v>
      </c>
      <c r="F2" s="161">
        <v>0.99</v>
      </c>
      <c r="G2" s="161">
        <f>'Consommation du 01.12 au 31.12'!U10</f>
        <v>185.5</v>
      </c>
      <c r="H2" s="161">
        <v>8.1757000000000009</v>
      </c>
      <c r="I2" s="161">
        <f>'Consommation du 01.12 au 31.12'!Y10*1000</f>
        <v>13569.999999999709</v>
      </c>
      <c r="J2" s="161">
        <v>0.53</v>
      </c>
      <c r="K2" s="161">
        <f>'Consommation du 01.12 au 31.12'!D10</f>
        <v>190</v>
      </c>
      <c r="L2" s="161">
        <v>12.67</v>
      </c>
      <c r="M2" s="160">
        <f>'Consommation du 01.12 au 31.12'!AC10</f>
        <v>13</v>
      </c>
      <c r="N2" s="160">
        <v>13</v>
      </c>
      <c r="O2" s="161">
        <f>E2*F2+G2*H2+I2*J2+K2*L2</f>
        <v>22016.882349999843</v>
      </c>
    </row>
    <row r="3" spans="1:15" x14ac:dyDescent="0.2">
      <c r="A3" s="158" t="s">
        <v>84</v>
      </c>
      <c r="B3" s="159">
        <f>B2+1</f>
        <v>2</v>
      </c>
      <c r="C3" s="159">
        <v>12</v>
      </c>
      <c r="D3" s="160">
        <v>2020</v>
      </c>
      <c r="E3" s="161">
        <f>'Consommation du 01.12 au 31.12'!M11</f>
        <v>11506</v>
      </c>
      <c r="F3" s="161">
        <v>0.99</v>
      </c>
      <c r="G3" s="161">
        <f>'Consommation du 01.12 au 31.12'!U11</f>
        <v>259.7</v>
      </c>
      <c r="H3" s="161">
        <v>8.1757000000000009</v>
      </c>
      <c r="I3" s="161">
        <f>'Consommation du 01.12 au 31.12'!Y11*1000</f>
        <v>14389.999999999418</v>
      </c>
      <c r="J3" s="161">
        <v>0.53</v>
      </c>
      <c r="K3" s="161">
        <f>'Consommation du 01.12 au 31.12'!D11</f>
        <v>220</v>
      </c>
      <c r="L3" s="161">
        <v>12.67</v>
      </c>
      <c r="M3" s="160">
        <f>'Consommation du 01.12 au 31.12'!AC11</f>
        <v>14</v>
      </c>
      <c r="N3" s="160">
        <v>14</v>
      </c>
      <c r="O3" s="161">
        <f t="shared" ref="O3:O31" si="0">E3*F3+G3*H3+I3*J3+K3*L3</f>
        <v>23928.269289999695</v>
      </c>
    </row>
    <row r="4" spans="1:15" x14ac:dyDescent="0.2">
      <c r="A4" s="158" t="s">
        <v>84</v>
      </c>
      <c r="B4" s="159">
        <f t="shared" ref="B4:B32" si="1">B3+1</f>
        <v>3</v>
      </c>
      <c r="C4" s="159">
        <v>12</v>
      </c>
      <c r="D4" s="160">
        <v>2020</v>
      </c>
      <c r="E4" s="161">
        <f>'Consommation du 01.12 au 31.12'!M12</f>
        <v>0</v>
      </c>
      <c r="F4" s="161">
        <v>0.99</v>
      </c>
      <c r="G4" s="161">
        <f>'Consommation du 01.12 au 31.12'!U12</f>
        <v>0</v>
      </c>
      <c r="H4" s="161">
        <v>8.1757000000000009</v>
      </c>
      <c r="I4" s="161">
        <f>'Consommation du 01.12 au 31.12'!Y12*1000</f>
        <v>0</v>
      </c>
      <c r="J4" s="161">
        <v>0.53</v>
      </c>
      <c r="K4" s="161">
        <f>'Consommation du 01.12 au 31.12'!D12</f>
        <v>0</v>
      </c>
      <c r="L4" s="161">
        <v>12.67</v>
      </c>
      <c r="M4" s="160">
        <f>'Consommation du 01.12 au 31.12'!AC12</f>
        <v>0</v>
      </c>
      <c r="N4" s="160"/>
      <c r="O4" s="161">
        <f t="shared" si="0"/>
        <v>0</v>
      </c>
    </row>
    <row r="5" spans="1:15" x14ac:dyDescent="0.2">
      <c r="A5" s="158" t="s">
        <v>84</v>
      </c>
      <c r="B5" s="159">
        <f t="shared" si="1"/>
        <v>4</v>
      </c>
      <c r="C5" s="159">
        <v>12</v>
      </c>
      <c r="D5" s="160">
        <v>2020</v>
      </c>
      <c r="E5" s="161">
        <f>'Consommation du 01.12 au 31.12'!M13</f>
        <v>0</v>
      </c>
      <c r="F5" s="161">
        <v>0.99</v>
      </c>
      <c r="G5" s="161">
        <f>'Consommation du 01.12 au 31.12'!U13</f>
        <v>0</v>
      </c>
      <c r="H5" s="161">
        <v>8.1757000000000009</v>
      </c>
      <c r="I5" s="161">
        <f>'Consommation du 01.12 au 31.12'!Y13*1000</f>
        <v>0</v>
      </c>
      <c r="J5" s="161">
        <v>0.53</v>
      </c>
      <c r="K5" s="161">
        <f>'Consommation du 01.12 au 31.12'!D13</f>
        <v>0</v>
      </c>
      <c r="L5" s="161">
        <v>12.67</v>
      </c>
      <c r="M5" s="160">
        <f>'Consommation du 01.12 au 31.12'!AC13</f>
        <v>0</v>
      </c>
      <c r="N5" s="160"/>
      <c r="O5" s="161">
        <f t="shared" si="0"/>
        <v>0</v>
      </c>
    </row>
    <row r="6" spans="1:15" x14ac:dyDescent="0.2">
      <c r="A6" s="158" t="s">
        <v>84</v>
      </c>
      <c r="B6" s="159">
        <f t="shared" si="1"/>
        <v>5</v>
      </c>
      <c r="C6" s="159">
        <v>12</v>
      </c>
      <c r="D6" s="160">
        <v>2020</v>
      </c>
      <c r="E6" s="161">
        <f>'Consommation du 01.12 au 31.12'!M14</f>
        <v>0</v>
      </c>
      <c r="F6" s="161">
        <v>0.99</v>
      </c>
      <c r="G6" s="161">
        <f>'Consommation du 01.12 au 31.12'!U14</f>
        <v>0</v>
      </c>
      <c r="H6" s="161">
        <v>8.1757000000000009</v>
      </c>
      <c r="I6" s="161">
        <f>'Consommation du 01.12 au 31.12'!Y14*1000</f>
        <v>0</v>
      </c>
      <c r="J6" s="161">
        <v>0.53</v>
      </c>
      <c r="K6" s="161">
        <f>'Consommation du 01.12 au 31.12'!D14</f>
        <v>0</v>
      </c>
      <c r="L6" s="161">
        <v>12.67</v>
      </c>
      <c r="M6" s="160">
        <f>'Consommation du 01.12 au 31.12'!AC14</f>
        <v>0</v>
      </c>
      <c r="N6" s="160"/>
      <c r="O6" s="161">
        <f t="shared" si="0"/>
        <v>0</v>
      </c>
    </row>
    <row r="7" spans="1:15" x14ac:dyDescent="0.2">
      <c r="A7" s="158" t="s">
        <v>84</v>
      </c>
      <c r="B7" s="159">
        <f t="shared" si="1"/>
        <v>6</v>
      </c>
      <c r="C7" s="159">
        <v>12</v>
      </c>
      <c r="D7" s="160">
        <v>2020</v>
      </c>
      <c r="E7" s="161">
        <f>'Consommation du 01.12 au 31.12'!M15</f>
        <v>0</v>
      </c>
      <c r="F7" s="161">
        <v>0.99</v>
      </c>
      <c r="G7" s="161">
        <f>'Consommation du 01.12 au 31.12'!U15</f>
        <v>0</v>
      </c>
      <c r="H7" s="161">
        <v>8.1757000000000009</v>
      </c>
      <c r="I7" s="161">
        <f>'Consommation du 01.12 au 31.12'!Y15*1000</f>
        <v>0</v>
      </c>
      <c r="J7" s="161">
        <v>0.53</v>
      </c>
      <c r="K7" s="161">
        <f>'Consommation du 01.12 au 31.12'!D15</f>
        <v>0</v>
      </c>
      <c r="L7" s="161">
        <v>12.67</v>
      </c>
      <c r="M7" s="160">
        <f>'Consommation du 01.12 au 31.12'!AC15</f>
        <v>0</v>
      </c>
      <c r="N7" s="160"/>
      <c r="O7" s="161">
        <f t="shared" si="0"/>
        <v>0</v>
      </c>
    </row>
    <row r="8" spans="1:15" x14ac:dyDescent="0.2">
      <c r="A8" s="158" t="s">
        <v>84</v>
      </c>
      <c r="B8" s="159">
        <f t="shared" si="1"/>
        <v>7</v>
      </c>
      <c r="C8" s="159">
        <v>12</v>
      </c>
      <c r="D8" s="160">
        <v>2020</v>
      </c>
      <c r="E8" s="161">
        <f>'Consommation du 01.12 au 31.12'!M16</f>
        <v>0</v>
      </c>
      <c r="F8" s="161">
        <v>0.99</v>
      </c>
      <c r="G8" s="161">
        <f>'Consommation du 01.12 au 31.12'!U16</f>
        <v>0</v>
      </c>
      <c r="H8" s="161">
        <v>8.1757000000000009</v>
      </c>
      <c r="I8" s="161">
        <f>'Consommation du 01.12 au 31.12'!Y16*1000</f>
        <v>0</v>
      </c>
      <c r="J8" s="161">
        <v>0.53</v>
      </c>
      <c r="K8" s="161">
        <f>'Consommation du 01.12 au 31.12'!D16</f>
        <v>0</v>
      </c>
      <c r="L8" s="161">
        <v>12.67</v>
      </c>
      <c r="M8" s="160">
        <f>'Consommation du 01.12 au 31.12'!AC16</f>
        <v>0</v>
      </c>
      <c r="N8" s="160"/>
      <c r="O8" s="161">
        <f t="shared" si="0"/>
        <v>0</v>
      </c>
    </row>
    <row r="9" spans="1:15" x14ac:dyDescent="0.2">
      <c r="A9" s="158" t="s">
        <v>84</v>
      </c>
      <c r="B9" s="159">
        <f t="shared" si="1"/>
        <v>8</v>
      </c>
      <c r="C9" s="159">
        <v>12</v>
      </c>
      <c r="D9" s="160">
        <v>2020</v>
      </c>
      <c r="E9" s="161">
        <f>'Consommation du 01.12 au 31.12'!M17</f>
        <v>0</v>
      </c>
      <c r="F9" s="161">
        <v>0.99</v>
      </c>
      <c r="G9" s="161">
        <f>'Consommation du 01.12 au 31.12'!U17</f>
        <v>0</v>
      </c>
      <c r="H9" s="161">
        <v>8.1757000000000009</v>
      </c>
      <c r="I9" s="161">
        <f>'Consommation du 01.12 au 31.12'!Y17*1000</f>
        <v>0</v>
      </c>
      <c r="J9" s="161">
        <v>0.53</v>
      </c>
      <c r="K9" s="161">
        <f>'Consommation du 01.12 au 31.12'!D17</f>
        <v>0</v>
      </c>
      <c r="L9" s="161">
        <v>12.67</v>
      </c>
      <c r="M9" s="160">
        <f>'Consommation du 01.12 au 31.12'!AC17</f>
        <v>0</v>
      </c>
      <c r="N9" s="160"/>
      <c r="O9" s="161">
        <f t="shared" si="0"/>
        <v>0</v>
      </c>
    </row>
    <row r="10" spans="1:15" x14ac:dyDescent="0.2">
      <c r="A10" s="158" t="s">
        <v>84</v>
      </c>
      <c r="B10" s="159">
        <f t="shared" si="1"/>
        <v>9</v>
      </c>
      <c r="C10" s="159">
        <v>12</v>
      </c>
      <c r="D10" s="160">
        <v>2020</v>
      </c>
      <c r="E10" s="161">
        <f>'Consommation du 01.12 au 31.12'!M18</f>
        <v>0</v>
      </c>
      <c r="F10" s="161">
        <v>0.99</v>
      </c>
      <c r="G10" s="161">
        <f>'Consommation du 01.12 au 31.12'!U18</f>
        <v>0</v>
      </c>
      <c r="H10" s="161">
        <v>8.1757000000000009</v>
      </c>
      <c r="I10" s="161">
        <f>'Consommation du 01.12 au 31.12'!Y18*1000</f>
        <v>0</v>
      </c>
      <c r="J10" s="161">
        <v>0.53</v>
      </c>
      <c r="K10" s="161">
        <f>'Consommation du 01.12 au 31.12'!D18</f>
        <v>0</v>
      </c>
      <c r="L10" s="161">
        <v>12.67</v>
      </c>
      <c r="M10" s="160">
        <f>'Consommation du 01.12 au 31.12'!AC18</f>
        <v>0</v>
      </c>
      <c r="N10" s="160"/>
      <c r="O10" s="161">
        <f t="shared" si="0"/>
        <v>0</v>
      </c>
    </row>
    <row r="11" spans="1:15" x14ac:dyDescent="0.2">
      <c r="A11" s="158" t="s">
        <v>84</v>
      </c>
      <c r="B11" s="159">
        <f t="shared" si="1"/>
        <v>10</v>
      </c>
      <c r="C11" s="159">
        <v>12</v>
      </c>
      <c r="D11" s="160">
        <v>2020</v>
      </c>
      <c r="E11" s="161">
        <f>'Consommation du 01.12 au 31.12'!M19</f>
        <v>0</v>
      </c>
      <c r="F11" s="161">
        <v>0.99</v>
      </c>
      <c r="G11" s="161">
        <f>'Consommation du 01.12 au 31.12'!U19</f>
        <v>0</v>
      </c>
      <c r="H11" s="161">
        <v>8.1757000000000009</v>
      </c>
      <c r="I11" s="161">
        <f>'Consommation du 01.12 au 31.12'!Y19*1000</f>
        <v>0</v>
      </c>
      <c r="J11" s="161">
        <v>0.53</v>
      </c>
      <c r="K11" s="161">
        <f>'Consommation du 01.12 au 31.12'!D19</f>
        <v>0</v>
      </c>
      <c r="L11" s="161">
        <v>12.67</v>
      </c>
      <c r="M11" s="160">
        <f>'Consommation du 01.12 au 31.12'!AC19</f>
        <v>0</v>
      </c>
      <c r="N11" s="160"/>
      <c r="O11" s="161">
        <f t="shared" si="0"/>
        <v>0</v>
      </c>
    </row>
    <row r="12" spans="1:15" x14ac:dyDescent="0.2">
      <c r="A12" s="158" t="s">
        <v>84</v>
      </c>
      <c r="B12" s="159">
        <f t="shared" si="1"/>
        <v>11</v>
      </c>
      <c r="C12" s="159">
        <v>12</v>
      </c>
      <c r="D12" s="160">
        <v>2020</v>
      </c>
      <c r="E12" s="161">
        <f>'Consommation du 01.12 au 31.12'!M20</f>
        <v>0</v>
      </c>
      <c r="F12" s="161">
        <v>0.99</v>
      </c>
      <c r="G12" s="161">
        <f>'Consommation du 01.12 au 31.12'!U20</f>
        <v>0</v>
      </c>
      <c r="H12" s="161">
        <v>8.1757000000000009</v>
      </c>
      <c r="I12" s="161">
        <f>'Consommation du 01.12 au 31.12'!Y20*1000</f>
        <v>0</v>
      </c>
      <c r="J12" s="161">
        <v>0.53</v>
      </c>
      <c r="K12" s="161">
        <f>'Consommation du 01.12 au 31.12'!D20</f>
        <v>0</v>
      </c>
      <c r="L12" s="161">
        <v>12.67</v>
      </c>
      <c r="M12" s="160">
        <f>'Consommation du 01.12 au 31.12'!AC20</f>
        <v>0</v>
      </c>
      <c r="N12" s="160"/>
      <c r="O12" s="161">
        <f t="shared" si="0"/>
        <v>0</v>
      </c>
    </row>
    <row r="13" spans="1:15" x14ac:dyDescent="0.2">
      <c r="A13" s="158" t="s">
        <v>84</v>
      </c>
      <c r="B13" s="159">
        <f t="shared" si="1"/>
        <v>12</v>
      </c>
      <c r="C13" s="159">
        <v>12</v>
      </c>
      <c r="D13" s="160">
        <v>2020</v>
      </c>
      <c r="E13" s="161">
        <f>'Consommation du 01.12 au 31.12'!M21</f>
        <v>0</v>
      </c>
      <c r="F13" s="161">
        <v>0.99</v>
      </c>
      <c r="G13" s="161">
        <f>'Consommation du 01.12 au 31.12'!U21</f>
        <v>0</v>
      </c>
      <c r="H13" s="161">
        <v>8.1757000000000009</v>
      </c>
      <c r="I13" s="161">
        <f>'Consommation du 01.12 au 31.12'!Y21*1000</f>
        <v>0</v>
      </c>
      <c r="J13" s="161">
        <v>0.53</v>
      </c>
      <c r="K13" s="161">
        <f>'Consommation du 01.12 au 31.12'!D21</f>
        <v>0</v>
      </c>
      <c r="L13" s="161">
        <v>12.67</v>
      </c>
      <c r="M13" s="160">
        <f>'Consommation du 01.12 au 31.12'!AC21</f>
        <v>0</v>
      </c>
      <c r="N13" s="160"/>
      <c r="O13" s="161">
        <f t="shared" si="0"/>
        <v>0</v>
      </c>
    </row>
    <row r="14" spans="1:15" x14ac:dyDescent="0.2">
      <c r="A14" s="158" t="s">
        <v>84</v>
      </c>
      <c r="B14" s="159">
        <f t="shared" si="1"/>
        <v>13</v>
      </c>
      <c r="C14" s="159">
        <v>12</v>
      </c>
      <c r="D14" s="160">
        <v>2020</v>
      </c>
      <c r="E14" s="161">
        <f>'Consommation du 01.12 au 31.12'!M22</f>
        <v>0</v>
      </c>
      <c r="F14" s="161">
        <v>0.99</v>
      </c>
      <c r="G14" s="161">
        <f>'Consommation du 01.12 au 31.12'!U22</f>
        <v>0</v>
      </c>
      <c r="H14" s="161">
        <v>8.1757000000000009</v>
      </c>
      <c r="I14" s="161">
        <f>'Consommation du 01.12 au 31.12'!Y22*1000</f>
        <v>0</v>
      </c>
      <c r="J14" s="161">
        <v>0.53</v>
      </c>
      <c r="K14" s="161">
        <f>'Consommation du 01.12 au 31.12'!D22</f>
        <v>0</v>
      </c>
      <c r="L14" s="161">
        <v>12.67</v>
      </c>
      <c r="M14" s="160">
        <f>'Consommation du 01.12 au 31.12'!AC22</f>
        <v>0</v>
      </c>
      <c r="N14" s="160"/>
      <c r="O14" s="161">
        <f t="shared" si="0"/>
        <v>0</v>
      </c>
    </row>
    <row r="15" spans="1:15" x14ac:dyDescent="0.2">
      <c r="A15" s="158" t="s">
        <v>84</v>
      </c>
      <c r="B15" s="159">
        <f t="shared" si="1"/>
        <v>14</v>
      </c>
      <c r="C15" s="159">
        <v>12</v>
      </c>
      <c r="D15" s="160">
        <v>2020</v>
      </c>
      <c r="E15" s="161">
        <f>'Consommation du 01.12 au 31.12'!M23</f>
        <v>0</v>
      </c>
      <c r="F15" s="161">
        <v>0.99</v>
      </c>
      <c r="G15" s="161">
        <f>'Consommation du 01.12 au 31.12'!U23</f>
        <v>0</v>
      </c>
      <c r="H15" s="161">
        <v>8.1757000000000009</v>
      </c>
      <c r="I15" s="161">
        <f>'Consommation du 01.12 au 31.12'!Y23*1000</f>
        <v>0</v>
      </c>
      <c r="J15" s="161">
        <v>0.53</v>
      </c>
      <c r="K15" s="161">
        <f>'Consommation du 01.12 au 31.12'!D23</f>
        <v>0</v>
      </c>
      <c r="L15" s="161">
        <v>12.67</v>
      </c>
      <c r="M15" s="160">
        <f>'Consommation du 01.12 au 31.12'!AC23</f>
        <v>0</v>
      </c>
      <c r="N15" s="160"/>
      <c r="O15" s="161">
        <f t="shared" si="0"/>
        <v>0</v>
      </c>
    </row>
    <row r="16" spans="1:15" x14ac:dyDescent="0.2">
      <c r="A16" s="158" t="s">
        <v>84</v>
      </c>
      <c r="B16" s="159">
        <f t="shared" si="1"/>
        <v>15</v>
      </c>
      <c r="C16" s="159">
        <v>12</v>
      </c>
      <c r="D16" s="160">
        <v>2020</v>
      </c>
      <c r="E16" s="161">
        <f>'Consommation du 01.12 au 31.12'!M24</f>
        <v>0</v>
      </c>
      <c r="F16" s="161">
        <v>0.99</v>
      </c>
      <c r="G16" s="161">
        <f>'Consommation du 01.12 au 31.12'!U24</f>
        <v>0</v>
      </c>
      <c r="H16" s="161">
        <v>8.1757000000000009</v>
      </c>
      <c r="I16" s="161">
        <f>'Consommation du 01.12 au 31.12'!Y24*1000</f>
        <v>0</v>
      </c>
      <c r="J16" s="161">
        <v>0.53</v>
      </c>
      <c r="K16" s="161">
        <f>'Consommation du 01.12 au 31.12'!D24</f>
        <v>0</v>
      </c>
      <c r="L16" s="161">
        <v>12.67</v>
      </c>
      <c r="M16" s="160">
        <f>'Consommation du 01.12 au 31.12'!AC24</f>
        <v>0</v>
      </c>
      <c r="N16" s="160"/>
      <c r="O16" s="161">
        <f t="shared" si="0"/>
        <v>0</v>
      </c>
    </row>
    <row r="17" spans="1:15" x14ac:dyDescent="0.2">
      <c r="A17" s="158" t="s">
        <v>84</v>
      </c>
      <c r="B17" s="159">
        <f t="shared" si="1"/>
        <v>16</v>
      </c>
      <c r="C17" s="159">
        <v>12</v>
      </c>
      <c r="D17" s="160">
        <v>2020</v>
      </c>
      <c r="E17" s="161">
        <f>'Consommation du 01.12 au 31.12'!M25</f>
        <v>0</v>
      </c>
      <c r="F17" s="161">
        <v>0.99</v>
      </c>
      <c r="G17" s="161">
        <f>'Consommation du 01.12 au 31.12'!U25</f>
        <v>0</v>
      </c>
      <c r="H17" s="161">
        <v>8.1757000000000009</v>
      </c>
      <c r="I17" s="161">
        <f>'Consommation du 01.12 au 31.12'!Y25*1000</f>
        <v>0</v>
      </c>
      <c r="J17" s="161">
        <v>0.53</v>
      </c>
      <c r="K17" s="161">
        <f>'Consommation du 01.12 au 31.12'!D25</f>
        <v>0</v>
      </c>
      <c r="L17" s="161">
        <v>12.67</v>
      </c>
      <c r="M17" s="160">
        <f>'Consommation du 01.12 au 31.12'!AC25</f>
        <v>0</v>
      </c>
      <c r="N17" s="160"/>
      <c r="O17" s="161">
        <f t="shared" si="0"/>
        <v>0</v>
      </c>
    </row>
    <row r="18" spans="1:15" x14ac:dyDescent="0.2">
      <c r="A18" s="158" t="s">
        <v>84</v>
      </c>
      <c r="B18" s="159">
        <f t="shared" si="1"/>
        <v>17</v>
      </c>
      <c r="C18" s="159">
        <v>12</v>
      </c>
      <c r="D18" s="160">
        <v>2020</v>
      </c>
      <c r="E18" s="161">
        <f>'Consommation du 01.12 au 31.12'!M26</f>
        <v>0</v>
      </c>
      <c r="F18" s="161">
        <v>0.99</v>
      </c>
      <c r="G18" s="161">
        <f>'Consommation du 01.12 au 31.12'!U26</f>
        <v>0</v>
      </c>
      <c r="H18" s="161">
        <v>8.1757000000000009</v>
      </c>
      <c r="I18" s="161">
        <f>'Consommation du 01.12 au 31.12'!Y26*1000</f>
        <v>0</v>
      </c>
      <c r="J18" s="161">
        <v>0.53</v>
      </c>
      <c r="K18" s="161">
        <f>'Consommation du 01.12 au 31.12'!D26</f>
        <v>0</v>
      </c>
      <c r="L18" s="161">
        <v>12.67</v>
      </c>
      <c r="M18" s="160">
        <f>'Consommation du 01.12 au 31.12'!AC26</f>
        <v>0</v>
      </c>
      <c r="N18" s="160"/>
      <c r="O18" s="161">
        <f t="shared" si="0"/>
        <v>0</v>
      </c>
    </row>
    <row r="19" spans="1:15" x14ac:dyDescent="0.2">
      <c r="A19" s="158" t="s">
        <v>84</v>
      </c>
      <c r="B19" s="159">
        <f t="shared" si="1"/>
        <v>18</v>
      </c>
      <c r="C19" s="159">
        <v>12</v>
      </c>
      <c r="D19" s="160">
        <v>2020</v>
      </c>
      <c r="E19" s="161">
        <f>'Consommation du 01.12 au 31.12'!M27</f>
        <v>0</v>
      </c>
      <c r="F19" s="161">
        <v>0.99</v>
      </c>
      <c r="G19" s="161">
        <f>'Consommation du 01.12 au 31.12'!U27</f>
        <v>0</v>
      </c>
      <c r="H19" s="161">
        <v>8.1757000000000009</v>
      </c>
      <c r="I19" s="161">
        <f>'Consommation du 01.12 au 31.12'!Y27*1000</f>
        <v>0</v>
      </c>
      <c r="J19" s="161">
        <v>0.53</v>
      </c>
      <c r="K19" s="161">
        <f>'Consommation du 01.12 au 31.12'!D27</f>
        <v>0</v>
      </c>
      <c r="L19" s="161">
        <v>12.67</v>
      </c>
      <c r="M19" s="160">
        <f>'Consommation du 01.12 au 31.12'!AC27</f>
        <v>0</v>
      </c>
      <c r="N19" s="160"/>
      <c r="O19" s="161">
        <f t="shared" si="0"/>
        <v>0</v>
      </c>
    </row>
    <row r="20" spans="1:15" x14ac:dyDescent="0.2">
      <c r="A20" s="158" t="s">
        <v>84</v>
      </c>
      <c r="B20" s="159">
        <f t="shared" si="1"/>
        <v>19</v>
      </c>
      <c r="C20" s="159">
        <v>12</v>
      </c>
      <c r="D20" s="160">
        <v>2020</v>
      </c>
      <c r="E20" s="161">
        <f>'Consommation du 01.12 au 31.12'!M28</f>
        <v>0</v>
      </c>
      <c r="F20" s="161">
        <v>0.99</v>
      </c>
      <c r="G20" s="161">
        <f>'Consommation du 01.12 au 31.12'!U28</f>
        <v>0</v>
      </c>
      <c r="H20" s="161">
        <v>8.1757000000000009</v>
      </c>
      <c r="I20" s="161">
        <f>'Consommation du 01.12 au 31.12'!Y28*1000</f>
        <v>0</v>
      </c>
      <c r="J20" s="161">
        <v>0.53</v>
      </c>
      <c r="K20" s="161">
        <f>'Consommation du 01.12 au 31.12'!D28</f>
        <v>0</v>
      </c>
      <c r="L20" s="161">
        <v>12.67</v>
      </c>
      <c r="M20" s="160">
        <f>'Consommation du 01.12 au 31.12'!AC28</f>
        <v>0</v>
      </c>
      <c r="N20" s="160"/>
      <c r="O20" s="161">
        <f t="shared" si="0"/>
        <v>0</v>
      </c>
    </row>
    <row r="21" spans="1:15" x14ac:dyDescent="0.2">
      <c r="A21" s="158" t="s">
        <v>84</v>
      </c>
      <c r="B21" s="159">
        <f t="shared" si="1"/>
        <v>20</v>
      </c>
      <c r="C21" s="159">
        <v>12</v>
      </c>
      <c r="D21" s="160">
        <v>2020</v>
      </c>
      <c r="E21" s="161">
        <f>'Consommation du 01.12 au 31.12'!M29</f>
        <v>0</v>
      </c>
      <c r="F21" s="161">
        <v>0.99</v>
      </c>
      <c r="G21" s="161">
        <f>'Consommation du 01.12 au 31.12'!U29</f>
        <v>0</v>
      </c>
      <c r="H21" s="161">
        <v>8.1757000000000009</v>
      </c>
      <c r="I21" s="161">
        <f>'Consommation du 01.12 au 31.12'!Y29*1000</f>
        <v>0</v>
      </c>
      <c r="J21" s="161">
        <v>0.53</v>
      </c>
      <c r="K21" s="161">
        <f>'Consommation du 01.12 au 31.12'!D29</f>
        <v>0</v>
      </c>
      <c r="L21" s="161">
        <v>12.67</v>
      </c>
      <c r="M21" s="160">
        <f>'Consommation du 01.12 au 31.12'!AC29</f>
        <v>0</v>
      </c>
      <c r="N21" s="160"/>
      <c r="O21" s="161">
        <f t="shared" si="0"/>
        <v>0</v>
      </c>
    </row>
    <row r="22" spans="1:15" x14ac:dyDescent="0.2">
      <c r="A22" s="158" t="s">
        <v>84</v>
      </c>
      <c r="B22" s="159">
        <f t="shared" si="1"/>
        <v>21</v>
      </c>
      <c r="C22" s="159">
        <v>12</v>
      </c>
      <c r="D22" s="160">
        <v>2020</v>
      </c>
      <c r="E22" s="161">
        <f>'Consommation du 01.12 au 31.12'!M30</f>
        <v>0</v>
      </c>
      <c r="F22" s="161">
        <v>0.99</v>
      </c>
      <c r="G22" s="161">
        <f>'Consommation du 01.12 au 31.12'!U30</f>
        <v>0</v>
      </c>
      <c r="H22" s="161">
        <v>8.1757000000000009</v>
      </c>
      <c r="I22" s="161">
        <f>'Consommation du 01.12 au 31.12'!Y30*1000</f>
        <v>0</v>
      </c>
      <c r="J22" s="161">
        <v>0.53</v>
      </c>
      <c r="K22" s="161">
        <f>'Consommation du 01.12 au 31.12'!D30</f>
        <v>0</v>
      </c>
      <c r="L22" s="161">
        <v>12.67</v>
      </c>
      <c r="M22" s="160">
        <f>'Consommation du 01.12 au 31.12'!AC30</f>
        <v>0</v>
      </c>
      <c r="N22" s="160"/>
      <c r="O22" s="161">
        <f t="shared" si="0"/>
        <v>0</v>
      </c>
    </row>
    <row r="23" spans="1:15" x14ac:dyDescent="0.2">
      <c r="A23" s="158" t="s">
        <v>84</v>
      </c>
      <c r="B23" s="159">
        <f t="shared" si="1"/>
        <v>22</v>
      </c>
      <c r="C23" s="159">
        <v>12</v>
      </c>
      <c r="D23" s="160">
        <v>2020</v>
      </c>
      <c r="E23" s="161">
        <f>'Consommation du 01.12 au 31.12'!M31</f>
        <v>0</v>
      </c>
      <c r="F23" s="161">
        <v>0.99</v>
      </c>
      <c r="G23" s="161">
        <f>'Consommation du 01.12 au 31.12'!U31</f>
        <v>0</v>
      </c>
      <c r="H23" s="161">
        <v>8.1757000000000009</v>
      </c>
      <c r="I23" s="161">
        <f>'Consommation du 01.12 au 31.12'!Y31*1000</f>
        <v>0</v>
      </c>
      <c r="J23" s="161">
        <v>0.53</v>
      </c>
      <c r="K23" s="161">
        <f>'Consommation du 01.12 au 31.12'!D31</f>
        <v>0</v>
      </c>
      <c r="L23" s="161">
        <v>12.67</v>
      </c>
      <c r="M23" s="160">
        <f>'Consommation du 01.12 au 31.12'!AC31</f>
        <v>0</v>
      </c>
      <c r="N23" s="160"/>
      <c r="O23" s="161">
        <f t="shared" si="0"/>
        <v>0</v>
      </c>
    </row>
    <row r="24" spans="1:15" x14ac:dyDescent="0.2">
      <c r="A24" s="158" t="s">
        <v>84</v>
      </c>
      <c r="B24" s="159">
        <f t="shared" si="1"/>
        <v>23</v>
      </c>
      <c r="C24" s="159">
        <v>12</v>
      </c>
      <c r="D24" s="160">
        <v>2020</v>
      </c>
      <c r="E24" s="161">
        <f>'Consommation du 01.12 au 31.12'!M32</f>
        <v>0</v>
      </c>
      <c r="F24" s="161">
        <v>0.99</v>
      </c>
      <c r="G24" s="161">
        <f>'Consommation du 01.12 au 31.12'!U32</f>
        <v>0</v>
      </c>
      <c r="H24" s="161">
        <v>8.1757000000000009</v>
      </c>
      <c r="I24" s="161">
        <f>'Consommation du 01.12 au 31.12'!Y32*1000</f>
        <v>0</v>
      </c>
      <c r="J24" s="161">
        <v>0.53</v>
      </c>
      <c r="K24" s="161">
        <f>'Consommation du 01.12 au 31.12'!D32</f>
        <v>0</v>
      </c>
      <c r="L24" s="161">
        <v>12.67</v>
      </c>
      <c r="M24" s="160">
        <f>'Consommation du 01.12 au 31.12'!AC32</f>
        <v>0</v>
      </c>
      <c r="N24" s="160"/>
      <c r="O24" s="161">
        <f t="shared" si="0"/>
        <v>0</v>
      </c>
    </row>
    <row r="25" spans="1:15" x14ac:dyDescent="0.2">
      <c r="A25" s="158" t="s">
        <v>84</v>
      </c>
      <c r="B25" s="159">
        <f t="shared" si="1"/>
        <v>24</v>
      </c>
      <c r="C25" s="159">
        <v>12</v>
      </c>
      <c r="D25" s="160">
        <v>2020</v>
      </c>
      <c r="E25" s="161">
        <f>'Consommation du 01.12 au 31.12'!M33</f>
        <v>0</v>
      </c>
      <c r="F25" s="161">
        <v>0.99</v>
      </c>
      <c r="G25" s="161">
        <f>'Consommation du 01.12 au 31.12'!U33</f>
        <v>0</v>
      </c>
      <c r="H25" s="161">
        <v>8.1757000000000009</v>
      </c>
      <c r="I25" s="161">
        <f>'Consommation du 01.12 au 31.12'!Y33*1000</f>
        <v>0</v>
      </c>
      <c r="J25" s="161">
        <v>0.53</v>
      </c>
      <c r="K25" s="161">
        <f>'Consommation du 01.12 au 31.12'!D33</f>
        <v>0</v>
      </c>
      <c r="L25" s="161">
        <v>12.67</v>
      </c>
      <c r="M25" s="160">
        <f>'Consommation du 01.12 au 31.12'!AC33</f>
        <v>0</v>
      </c>
      <c r="N25" s="160"/>
      <c r="O25" s="161">
        <f t="shared" si="0"/>
        <v>0</v>
      </c>
    </row>
    <row r="26" spans="1:15" x14ac:dyDescent="0.2">
      <c r="A26" s="158" t="s">
        <v>84</v>
      </c>
      <c r="B26" s="159">
        <f>B25+1</f>
        <v>25</v>
      </c>
      <c r="C26" s="159">
        <v>12</v>
      </c>
      <c r="D26" s="160">
        <v>2020</v>
      </c>
      <c r="E26" s="161">
        <f>'Consommation du 01.12 au 31.12'!M34</f>
        <v>0</v>
      </c>
      <c r="F26" s="161">
        <v>0.99</v>
      </c>
      <c r="G26" s="161">
        <f>'Consommation du 01.12 au 31.12'!U34</f>
        <v>0</v>
      </c>
      <c r="H26" s="161">
        <v>8.1757000000000009</v>
      </c>
      <c r="I26" s="161">
        <f>'Consommation du 01.12 au 31.12'!Y34*1000</f>
        <v>0</v>
      </c>
      <c r="J26" s="161">
        <v>0.53</v>
      </c>
      <c r="K26" s="161">
        <f>'Consommation du 01.12 au 31.12'!D34</f>
        <v>0</v>
      </c>
      <c r="L26" s="161">
        <v>12.67</v>
      </c>
      <c r="M26" s="160">
        <f>'Consommation du 01.12 au 31.12'!AC34</f>
        <v>0</v>
      </c>
      <c r="N26" s="160"/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12</v>
      </c>
      <c r="D27" s="160">
        <v>2020</v>
      </c>
      <c r="E27" s="161">
        <f>'Consommation du 01.12 au 31.12'!M35</f>
        <v>0</v>
      </c>
      <c r="F27" s="161">
        <v>0.99</v>
      </c>
      <c r="G27" s="161">
        <f>'Consommation du 01.12 au 31.12'!U35</f>
        <v>0</v>
      </c>
      <c r="H27" s="161">
        <v>8.1757000000000009</v>
      </c>
      <c r="I27" s="161">
        <f>'Consommation du 01.12 au 31.12'!Y35*1000</f>
        <v>0</v>
      </c>
      <c r="J27" s="161">
        <v>0.53</v>
      </c>
      <c r="K27" s="161">
        <f>'Consommation du 01.12 au 31.12'!D35</f>
        <v>0</v>
      </c>
      <c r="L27" s="161">
        <v>12.67</v>
      </c>
      <c r="M27" s="160">
        <f>'Consommation du 01.12 au 31.12'!AC35</f>
        <v>0</v>
      </c>
      <c r="N27" s="160"/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12</v>
      </c>
      <c r="D28" s="160">
        <v>2020</v>
      </c>
      <c r="E28" s="161">
        <f>'Consommation du 01.12 au 31.12'!M36</f>
        <v>0</v>
      </c>
      <c r="F28" s="161">
        <v>0.99</v>
      </c>
      <c r="G28" s="161">
        <f>'Consommation du 01.12 au 31.12'!U36</f>
        <v>0</v>
      </c>
      <c r="H28" s="161">
        <v>8.1757000000000009</v>
      </c>
      <c r="I28" s="161">
        <f>'Consommation du 01.12 au 31.12'!Y36*1000</f>
        <v>0</v>
      </c>
      <c r="J28" s="161">
        <v>0.53</v>
      </c>
      <c r="K28" s="161">
        <f>'Consommation du 01.12 au 31.12'!D36</f>
        <v>0</v>
      </c>
      <c r="L28" s="161">
        <v>12.67</v>
      </c>
      <c r="M28" s="160">
        <f>'Consommation du 01.12 au 31.12'!AC36</f>
        <v>0</v>
      </c>
      <c r="N28" s="160"/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12</v>
      </c>
      <c r="D29" s="160">
        <v>2020</v>
      </c>
      <c r="E29" s="161">
        <f>'Consommation du 01.12 au 31.12'!M37</f>
        <v>0</v>
      </c>
      <c r="F29" s="161">
        <v>0.99</v>
      </c>
      <c r="G29" s="161">
        <f>'Consommation du 01.12 au 31.12'!U37</f>
        <v>0</v>
      </c>
      <c r="H29" s="161">
        <v>8.1757000000000009</v>
      </c>
      <c r="I29" s="161">
        <f>'Consommation du 01.12 au 31.12'!Y37*1000</f>
        <v>0</v>
      </c>
      <c r="J29" s="161">
        <v>0.53</v>
      </c>
      <c r="K29" s="161">
        <f>'Consommation du 01.12 au 31.12'!D37</f>
        <v>0</v>
      </c>
      <c r="L29" s="161">
        <v>12.67</v>
      </c>
      <c r="M29" s="160">
        <f>'Consommation du 01.12 au 31.12'!AC37</f>
        <v>0</v>
      </c>
      <c r="N29" s="160"/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12</v>
      </c>
      <c r="D30" s="160">
        <v>2020</v>
      </c>
      <c r="E30" s="161">
        <f>'Consommation du 01.12 au 31.12'!M38</f>
        <v>0</v>
      </c>
      <c r="F30" s="161">
        <v>0.99</v>
      </c>
      <c r="G30" s="161">
        <f>'Consommation du 01.12 au 31.12'!U38</f>
        <v>0</v>
      </c>
      <c r="H30" s="161">
        <v>8.1757000000000009</v>
      </c>
      <c r="I30" s="161">
        <f>'Consommation du 01.12 au 31.12'!Y38*1000</f>
        <v>0</v>
      </c>
      <c r="J30" s="161">
        <v>0.53</v>
      </c>
      <c r="K30" s="161">
        <f>'Consommation du 01.12 au 31.12'!D38</f>
        <v>0</v>
      </c>
      <c r="L30" s="161">
        <v>12.67</v>
      </c>
      <c r="M30" s="160">
        <f>'Consommation du 01.12 au 31.12'!AC38</f>
        <v>0</v>
      </c>
      <c r="N30" s="160"/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12</v>
      </c>
      <c r="D31" s="160">
        <v>2020</v>
      </c>
      <c r="E31" s="161">
        <f>'Consommation du 01.12 au 31.12'!M39</f>
        <v>0</v>
      </c>
      <c r="F31" s="161">
        <v>0.99</v>
      </c>
      <c r="G31" s="161">
        <f>'Consommation du 01.12 au 31.12'!U39</f>
        <v>0</v>
      </c>
      <c r="H31" s="161">
        <v>8.1757000000000009</v>
      </c>
      <c r="I31" s="161">
        <f>'Consommation du 01.12 au 31.12'!Y39*1000</f>
        <v>0</v>
      </c>
      <c r="J31" s="161">
        <v>0.53</v>
      </c>
      <c r="K31" s="161">
        <f>'Consommation du 01.12 au 31.12'!D39</f>
        <v>0</v>
      </c>
      <c r="L31" s="161">
        <v>12.67</v>
      </c>
      <c r="M31" s="160">
        <f>'Consommation du 01.12 au 31.12'!AC39</f>
        <v>0</v>
      </c>
      <c r="N31" s="160"/>
      <c r="O31" s="161">
        <f t="shared" si="0"/>
        <v>0</v>
      </c>
    </row>
    <row r="32" spans="1:15" x14ac:dyDescent="0.2">
      <c r="A32" s="158" t="s">
        <v>84</v>
      </c>
      <c r="B32" s="159">
        <f t="shared" si="1"/>
        <v>31</v>
      </c>
      <c r="C32" s="159">
        <v>12</v>
      </c>
      <c r="D32" s="160">
        <v>2020</v>
      </c>
      <c r="E32" s="161">
        <f>'Consommation du 01.12 au 31.12'!M40</f>
        <v>0</v>
      </c>
      <c r="F32" s="161">
        <v>1.99</v>
      </c>
      <c r="G32" s="161">
        <f>'Consommation du 01.12 au 31.12'!U40</f>
        <v>0</v>
      </c>
      <c r="H32" s="161">
        <v>9.1757000000000009</v>
      </c>
      <c r="I32" s="161">
        <f>'Consommation du 01.12 au 31.12'!Y40*1000</f>
        <v>0</v>
      </c>
      <c r="J32" s="161">
        <v>1.53</v>
      </c>
      <c r="K32" s="161">
        <f>'Consommation du 01.12 au 31.12'!D40</f>
        <v>0</v>
      </c>
      <c r="L32" s="161">
        <v>13.67</v>
      </c>
      <c r="M32" s="160">
        <f>'Consommation du 01.12 au 31.12'!AC40</f>
        <v>0</v>
      </c>
      <c r="N32" s="160"/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45945.151639999538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zoomScale="60" zoomScaleNormal="60" workbookViewId="0">
      <selection activeCell="X12" sqref="X12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2"/>
      <c r="B2" s="163"/>
      <c r="C2" s="163"/>
      <c r="D2" s="163"/>
      <c r="E2" s="163"/>
      <c r="F2" s="164"/>
      <c r="G2" s="165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2"/>
      <c r="AE2" s="164"/>
      <c r="AF2" s="71"/>
      <c r="AH2" s="62"/>
      <c r="AJ2" s="70"/>
    </row>
    <row r="3" spans="1:40" ht="1.5" customHeight="1" x14ac:dyDescent="0.2"/>
    <row r="4" spans="1:40" ht="39" hidden="1" customHeight="1" x14ac:dyDescent="0.2">
      <c r="A4" s="167"/>
      <c r="B4" s="167"/>
      <c r="C4" s="167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67"/>
      <c r="B5" s="167"/>
      <c r="C5" s="167"/>
      <c r="D5" s="3"/>
      <c r="E5" s="3"/>
      <c r="F5" s="3"/>
      <c r="G5" s="3"/>
      <c r="H5" s="3"/>
      <c r="I5" s="3"/>
      <c r="J5" s="3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69"/>
      <c r="E7" s="169"/>
      <c r="F7" s="169"/>
      <c r="G7" s="169"/>
      <c r="H7" s="169"/>
      <c r="I7" s="169"/>
      <c r="J7" s="169"/>
      <c r="K7" s="169"/>
      <c r="L7" s="169"/>
      <c r="M7" s="170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1"/>
      <c r="B8" s="172" t="s">
        <v>1</v>
      </c>
      <c r="C8" s="77"/>
      <c r="D8" s="173" t="s">
        <v>3</v>
      </c>
      <c r="E8" s="73"/>
      <c r="F8" s="175" t="s">
        <v>11</v>
      </c>
      <c r="G8" s="176"/>
      <c r="H8" s="177"/>
      <c r="I8" s="73"/>
      <c r="J8" s="89"/>
      <c r="K8" s="89"/>
      <c r="L8" s="89"/>
      <c r="M8" s="181" t="s">
        <v>2</v>
      </c>
      <c r="N8" s="73"/>
      <c r="O8" s="189" t="s">
        <v>11</v>
      </c>
      <c r="P8" s="73"/>
      <c r="Q8" s="189" t="s">
        <v>4</v>
      </c>
      <c r="R8" s="73"/>
      <c r="S8" s="189" t="s">
        <v>5</v>
      </c>
      <c r="T8" s="73"/>
      <c r="U8" s="193" t="s">
        <v>38</v>
      </c>
      <c r="V8" s="73"/>
      <c r="W8" s="189" t="s">
        <v>11</v>
      </c>
      <c r="X8" s="195" t="s">
        <v>67</v>
      </c>
      <c r="Y8" s="197" t="s">
        <v>66</v>
      </c>
      <c r="Z8" s="199" t="s">
        <v>65</v>
      </c>
      <c r="AA8" s="201"/>
      <c r="AB8" s="202" t="s">
        <v>68</v>
      </c>
      <c r="AC8" s="189" t="s">
        <v>64</v>
      </c>
      <c r="AD8" s="191" t="s">
        <v>63</v>
      </c>
      <c r="AE8" s="182" t="s">
        <v>53</v>
      </c>
      <c r="AF8" s="182" t="s">
        <v>56</v>
      </c>
      <c r="AG8" s="184" t="s">
        <v>54</v>
      </c>
      <c r="AH8" s="184" t="s">
        <v>55</v>
      </c>
      <c r="AI8" s="62"/>
      <c r="AJ8" s="126"/>
      <c r="AK8" s="126"/>
      <c r="AL8" s="74"/>
    </row>
    <row r="9" spans="1:40" ht="77.25" customHeight="1" thickBot="1" x14ac:dyDescent="0.25">
      <c r="A9" s="171"/>
      <c r="B9" s="172"/>
      <c r="C9" s="77"/>
      <c r="D9" s="174"/>
      <c r="E9" s="73"/>
      <c r="F9" s="178"/>
      <c r="G9" s="179"/>
      <c r="H9" s="180"/>
      <c r="I9" s="153"/>
      <c r="J9" s="91" t="s">
        <v>6</v>
      </c>
      <c r="K9" s="91" t="s">
        <v>7</v>
      </c>
      <c r="L9" s="91" t="s">
        <v>8</v>
      </c>
      <c r="M9" s="181"/>
      <c r="N9" s="73"/>
      <c r="O9" s="190"/>
      <c r="P9" s="73"/>
      <c r="Q9" s="190"/>
      <c r="R9" s="73"/>
      <c r="S9" s="190"/>
      <c r="T9" s="73"/>
      <c r="U9" s="194"/>
      <c r="V9" s="73"/>
      <c r="W9" s="190"/>
      <c r="X9" s="196"/>
      <c r="Y9" s="198"/>
      <c r="Z9" s="200"/>
      <c r="AA9" s="201"/>
      <c r="AB9" s="203"/>
      <c r="AC9" s="204"/>
      <c r="AD9" s="192"/>
      <c r="AE9" s="183"/>
      <c r="AF9" s="183"/>
      <c r="AG9" s="185"/>
      <c r="AH9" s="185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44166</v>
      </c>
      <c r="C10" s="93"/>
      <c r="D10" s="148">
        <f>'Suivi EAU-ELEC'!C15</f>
        <v>190</v>
      </c>
      <c r="E10" s="152"/>
      <c r="F10" s="186">
        <f t="shared" ref="F10:F40" si="0">D10*12.67</f>
        <v>2407.3000000000002</v>
      </c>
      <c r="G10" s="187"/>
      <c r="H10" s="188"/>
      <c r="I10" s="143"/>
      <c r="J10" s="94">
        <f>'Suivi EAU-ELEC'!E15</f>
        <v>3638</v>
      </c>
      <c r="K10" s="95">
        <f>'Suivi EAU-ELEC'!G15</f>
        <v>4702</v>
      </c>
      <c r="L10" s="95">
        <f>'Suivi EAU-ELEC'!I15</f>
        <v>2671</v>
      </c>
      <c r="M10" s="82">
        <f>L10+K10+J10</f>
        <v>11011</v>
      </c>
      <c r="N10" s="58"/>
      <c r="O10" s="59">
        <f>J10*0.99+K10*0.99+L10*0.99</f>
        <v>10900.89</v>
      </c>
      <c r="P10" s="57"/>
      <c r="Q10" s="55"/>
      <c r="R10" s="56"/>
      <c r="S10" s="55"/>
      <c r="T10" s="96"/>
      <c r="U10" s="60">
        <f>'Suivi Gaz'!O10</f>
        <v>185.5</v>
      </c>
      <c r="V10" s="58"/>
      <c r="W10" s="59">
        <f t="shared" ref="W10:W19" si="1">U10*8.1757</f>
        <v>1516.5923500000001</v>
      </c>
      <c r="X10" s="65">
        <v>17827.68</v>
      </c>
      <c r="Y10" s="154">
        <f t="shared" ref="Y10:Y40" si="2">IF(X11&lt;X10,0,X11-X10)</f>
        <v>13.569999999999709</v>
      </c>
      <c r="Z10" s="64">
        <f>Y10*0.53*1000</f>
        <v>7192.0999999998467</v>
      </c>
      <c r="AA10" s="58"/>
      <c r="AB10" s="61">
        <v>22</v>
      </c>
      <c r="AC10" s="78">
        <v>13</v>
      </c>
      <c r="AD10" s="79">
        <v>9.4200000000000006E-2</v>
      </c>
      <c r="AE10" s="83">
        <v>28</v>
      </c>
      <c r="AF10" s="83">
        <v>29</v>
      </c>
      <c r="AG10" s="80">
        <v>20</v>
      </c>
      <c r="AH10" s="81">
        <v>21</v>
      </c>
      <c r="AI10" s="146"/>
      <c r="AJ10" s="128">
        <f t="shared" ref="AJ10:AJ40" si="3">(F10+O10+W10+Z10)</f>
        <v>22016.882349999847</v>
      </c>
      <c r="AK10" s="129">
        <f t="shared" ref="AK10:AK40" si="4">AJ10/AC10</f>
        <v>1693.6063346153728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44167</v>
      </c>
      <c r="C11" s="93"/>
      <c r="D11" s="148">
        <f>'Suivi EAU-ELEC'!C16</f>
        <v>220</v>
      </c>
      <c r="E11" s="96"/>
      <c r="F11" s="186">
        <f t="shared" si="0"/>
        <v>2787.4</v>
      </c>
      <c r="G11" s="187"/>
      <c r="H11" s="188"/>
      <c r="I11" s="143"/>
      <c r="J11" s="94">
        <f>'Suivi EAU-ELEC'!E16</f>
        <v>3907</v>
      </c>
      <c r="K11" s="95">
        <f>'Suivi EAU-ELEC'!G16</f>
        <v>5211</v>
      </c>
      <c r="L11" s="95">
        <f>'Suivi EAU-ELEC'!I16</f>
        <v>2388</v>
      </c>
      <c r="M11" s="82">
        <f t="shared" ref="M11:M40" si="5">L11+K11+J11</f>
        <v>11506</v>
      </c>
      <c r="N11" s="58"/>
      <c r="O11" s="59">
        <f t="shared" ref="O11:O40" si="6">J11*0.99+K11*0.99+L11*0.99</f>
        <v>11390.939999999999</v>
      </c>
      <c r="P11" s="57"/>
      <c r="Q11" s="55"/>
      <c r="R11" s="56"/>
      <c r="S11" s="55"/>
      <c r="T11" s="96"/>
      <c r="U11" s="60">
        <f>'Suivi Gaz'!O11</f>
        <v>259.7</v>
      </c>
      <c r="V11" s="58"/>
      <c r="W11" s="59">
        <f t="shared" si="1"/>
        <v>2123.2292900000002</v>
      </c>
      <c r="X11" s="65">
        <v>17841.25</v>
      </c>
      <c r="Y11" s="149">
        <f t="shared" si="2"/>
        <v>14.389999999999418</v>
      </c>
      <c r="Z11" s="64">
        <f t="shared" ref="Z11:Z40" si="7">Y11*0.53*1000</f>
        <v>7626.6999999996924</v>
      </c>
      <c r="AA11" s="58"/>
      <c r="AB11" s="61">
        <v>20</v>
      </c>
      <c r="AC11" s="78">
        <v>14</v>
      </c>
      <c r="AD11" s="79">
        <v>0.1007</v>
      </c>
      <c r="AE11" s="83">
        <v>28</v>
      </c>
      <c r="AF11" s="83">
        <v>29</v>
      </c>
      <c r="AG11" s="80">
        <v>17</v>
      </c>
      <c r="AH11" s="81">
        <v>19</v>
      </c>
      <c r="AI11" s="146"/>
      <c r="AJ11" s="130">
        <f t="shared" si="3"/>
        <v>23928.269289999691</v>
      </c>
      <c r="AK11" s="129">
        <f t="shared" si="4"/>
        <v>1709.162092142835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44168</v>
      </c>
      <c r="C12" s="93"/>
      <c r="D12" s="148">
        <f>'Suivi EAU-ELEC'!C17</f>
        <v>0</v>
      </c>
      <c r="E12" s="96"/>
      <c r="F12" s="186">
        <f t="shared" si="0"/>
        <v>0</v>
      </c>
      <c r="G12" s="187"/>
      <c r="H12" s="188"/>
      <c r="I12" s="143"/>
      <c r="J12" s="94">
        <f>'Suivi EAU-ELEC'!E17</f>
        <v>0</v>
      </c>
      <c r="K12" s="95">
        <f>'Suivi EAU-ELEC'!G17</f>
        <v>0</v>
      </c>
      <c r="L12" s="95">
        <f>'Suivi EAU-ELEC'!I17</f>
        <v>0</v>
      </c>
      <c r="M12" s="82">
        <f t="shared" si="5"/>
        <v>0</v>
      </c>
      <c r="N12" s="58"/>
      <c r="O12" s="59">
        <f t="shared" si="6"/>
        <v>0</v>
      </c>
      <c r="P12" s="57"/>
      <c r="Q12" s="55"/>
      <c r="R12" s="56"/>
      <c r="S12" s="55"/>
      <c r="T12" s="96"/>
      <c r="U12" s="60">
        <f>'Suivi Gaz'!O12</f>
        <v>0</v>
      </c>
      <c r="V12" s="58"/>
      <c r="W12" s="59">
        <f t="shared" si="1"/>
        <v>0</v>
      </c>
      <c r="X12" s="65">
        <v>17855.64</v>
      </c>
      <c r="Y12" s="149">
        <f t="shared" si="2"/>
        <v>0</v>
      </c>
      <c r="Z12" s="64">
        <f t="shared" si="7"/>
        <v>0</v>
      </c>
      <c r="AA12" s="58"/>
      <c r="AB12" s="84"/>
      <c r="AC12" s="78"/>
      <c r="AD12" s="79"/>
      <c r="AE12" s="83"/>
      <c r="AF12" s="83"/>
      <c r="AG12" s="80"/>
      <c r="AH12" s="81"/>
      <c r="AI12" s="44"/>
      <c r="AJ12" s="130">
        <f t="shared" si="3"/>
        <v>0</v>
      </c>
      <c r="AK12" s="129" t="e">
        <f t="shared" si="4"/>
        <v>#DIV/0!</v>
      </c>
      <c r="AL12" s="75"/>
    </row>
    <row r="13" spans="1:40" ht="32.25" customHeight="1" thickBot="1" x14ac:dyDescent="0.25">
      <c r="A13" s="73"/>
      <c r="B13" s="92">
        <f t="shared" si="8"/>
        <v>44169</v>
      </c>
      <c r="C13" s="93"/>
      <c r="D13" s="148">
        <f>'Suivi EAU-ELEC'!C18</f>
        <v>0</v>
      </c>
      <c r="E13" s="96"/>
      <c r="F13" s="205">
        <f t="shared" si="0"/>
        <v>0</v>
      </c>
      <c r="G13" s="206"/>
      <c r="H13" s="207"/>
      <c r="I13" s="143"/>
      <c r="J13" s="94">
        <f>'Suivi EAU-ELEC'!E18</f>
        <v>0</v>
      </c>
      <c r="K13" s="95">
        <f>'Suivi EAU-ELEC'!G18</f>
        <v>0</v>
      </c>
      <c r="L13" s="95">
        <f>'Suivi EAU-ELEC'!I18</f>
        <v>0</v>
      </c>
      <c r="M13" s="82">
        <f t="shared" si="5"/>
        <v>0</v>
      </c>
      <c r="N13" s="58"/>
      <c r="O13" s="59">
        <f t="shared" si="6"/>
        <v>0</v>
      </c>
      <c r="P13" s="57"/>
      <c r="Q13" s="55"/>
      <c r="R13" s="56"/>
      <c r="S13" s="55"/>
      <c r="T13" s="96"/>
      <c r="U13" s="60">
        <f>'Suivi Gaz'!O13</f>
        <v>0</v>
      </c>
      <c r="V13" s="58"/>
      <c r="W13" s="59">
        <f t="shared" si="1"/>
        <v>0</v>
      </c>
      <c r="X13" s="65"/>
      <c r="Y13" s="149">
        <f t="shared" si="2"/>
        <v>0</v>
      </c>
      <c r="Z13" s="64">
        <f t="shared" si="7"/>
        <v>0</v>
      </c>
      <c r="AA13" s="58"/>
      <c r="AB13" s="84"/>
      <c r="AC13" s="78"/>
      <c r="AD13" s="79"/>
      <c r="AE13" s="83"/>
      <c r="AF13" s="83"/>
      <c r="AG13" s="80"/>
      <c r="AH13" s="81"/>
      <c r="AI13" s="44"/>
      <c r="AJ13" s="130">
        <f t="shared" si="3"/>
        <v>0</v>
      </c>
      <c r="AK13" s="129" t="e">
        <f t="shared" si="4"/>
        <v>#DIV/0!</v>
      </c>
      <c r="AL13" s="74"/>
    </row>
    <row r="14" spans="1:40" ht="32.25" customHeight="1" thickBot="1" x14ac:dyDescent="0.25">
      <c r="A14" s="73"/>
      <c r="B14" s="92">
        <f t="shared" si="8"/>
        <v>44170</v>
      </c>
      <c r="C14" s="93"/>
      <c r="D14" s="148">
        <f>'Suivi EAU-ELEC'!C19</f>
        <v>0</v>
      </c>
      <c r="E14" s="96"/>
      <c r="F14" s="186">
        <f t="shared" si="0"/>
        <v>0</v>
      </c>
      <c r="G14" s="187"/>
      <c r="H14" s="188"/>
      <c r="I14" s="143"/>
      <c r="J14" s="94">
        <f>'Suivi EAU-ELEC'!E19</f>
        <v>0</v>
      </c>
      <c r="K14" s="95">
        <f>'Suivi EAU-ELEC'!G19</f>
        <v>0</v>
      </c>
      <c r="L14" s="95">
        <f>'Suivi EAU-ELEC'!I19</f>
        <v>0</v>
      </c>
      <c r="M14" s="82">
        <f t="shared" si="5"/>
        <v>0</v>
      </c>
      <c r="N14" s="58"/>
      <c r="O14" s="59">
        <f t="shared" si="6"/>
        <v>0</v>
      </c>
      <c r="P14" s="57"/>
      <c r="Q14" s="55"/>
      <c r="R14" s="56"/>
      <c r="S14" s="55"/>
      <c r="T14" s="96"/>
      <c r="U14" s="60">
        <f>'Suivi Gaz'!O14</f>
        <v>0</v>
      </c>
      <c r="V14" s="58"/>
      <c r="W14" s="59">
        <f t="shared" si="1"/>
        <v>0</v>
      </c>
      <c r="X14" s="65"/>
      <c r="Y14" s="149">
        <f t="shared" si="2"/>
        <v>0</v>
      </c>
      <c r="Z14" s="64">
        <f t="shared" si="7"/>
        <v>0</v>
      </c>
      <c r="AA14" s="58"/>
      <c r="AB14" s="84"/>
      <c r="AC14" s="78"/>
      <c r="AD14" s="79"/>
      <c r="AE14" s="83"/>
      <c r="AF14" s="83"/>
      <c r="AG14" s="80"/>
      <c r="AH14" s="81"/>
      <c r="AI14" s="44"/>
      <c r="AJ14" s="130">
        <f t="shared" si="3"/>
        <v>0</v>
      </c>
      <c r="AK14" s="129" t="e">
        <f t="shared" si="4"/>
        <v>#DIV/0!</v>
      </c>
      <c r="AL14" s="74"/>
    </row>
    <row r="15" spans="1:40" ht="32.25" customHeight="1" thickBot="1" x14ac:dyDescent="0.25">
      <c r="A15" s="73"/>
      <c r="B15" s="92">
        <f t="shared" si="8"/>
        <v>44171</v>
      </c>
      <c r="C15" s="93"/>
      <c r="D15" s="148">
        <f>'Suivi EAU-ELEC'!C20</f>
        <v>0</v>
      </c>
      <c r="E15" s="96"/>
      <c r="F15" s="208">
        <f t="shared" si="0"/>
        <v>0</v>
      </c>
      <c r="G15" s="209"/>
      <c r="H15" s="210"/>
      <c r="I15" s="145"/>
      <c r="J15" s="94">
        <f>'Suivi EAU-ELEC'!E20</f>
        <v>0</v>
      </c>
      <c r="K15" s="95">
        <f>'Suivi EAU-ELEC'!G20</f>
        <v>0</v>
      </c>
      <c r="L15" s="95">
        <f>'Suivi EAU-ELEC'!I20</f>
        <v>0</v>
      </c>
      <c r="M15" s="82">
        <f t="shared" si="5"/>
        <v>0</v>
      </c>
      <c r="N15" s="58"/>
      <c r="O15" s="59">
        <f t="shared" si="6"/>
        <v>0</v>
      </c>
      <c r="P15" s="57"/>
      <c r="Q15" s="55"/>
      <c r="R15" s="56"/>
      <c r="S15" s="55"/>
      <c r="T15" s="96"/>
      <c r="U15" s="60">
        <f>'Suivi Gaz'!O15</f>
        <v>0</v>
      </c>
      <c r="V15" s="58"/>
      <c r="W15" s="59">
        <f t="shared" si="1"/>
        <v>0</v>
      </c>
      <c r="X15" s="65"/>
      <c r="Y15" s="149">
        <f t="shared" si="2"/>
        <v>0</v>
      </c>
      <c r="Z15" s="64">
        <f t="shared" si="7"/>
        <v>0</v>
      </c>
      <c r="AA15" s="58"/>
      <c r="AB15" s="61"/>
      <c r="AC15" s="78"/>
      <c r="AD15" s="79"/>
      <c r="AE15" s="83"/>
      <c r="AF15" s="83"/>
      <c r="AG15" s="80"/>
      <c r="AH15" s="81"/>
      <c r="AI15" s="44"/>
      <c r="AJ15" s="130">
        <f t="shared" si="3"/>
        <v>0</v>
      </c>
      <c r="AK15" s="129" t="e">
        <f t="shared" si="4"/>
        <v>#DIV/0!</v>
      </c>
      <c r="AL15" s="74"/>
    </row>
    <row r="16" spans="1:40" ht="32.25" customHeight="1" thickBot="1" x14ac:dyDescent="0.25">
      <c r="A16" s="73"/>
      <c r="B16" s="92">
        <f t="shared" si="8"/>
        <v>44172</v>
      </c>
      <c r="C16" s="93"/>
      <c r="D16" s="148">
        <f>'Suivi EAU-ELEC'!C21</f>
        <v>0</v>
      </c>
      <c r="E16" s="96"/>
      <c r="F16" s="205">
        <f t="shared" si="0"/>
        <v>0</v>
      </c>
      <c r="G16" s="206"/>
      <c r="H16" s="207"/>
      <c r="I16" s="142"/>
      <c r="J16" s="94">
        <f>'Suivi EAU-ELEC'!E21</f>
        <v>0</v>
      </c>
      <c r="K16" s="95">
        <f>'Suivi EAU-ELEC'!G21</f>
        <v>0</v>
      </c>
      <c r="L16" s="95">
        <f>'Suivi EAU-ELEC'!I21</f>
        <v>0</v>
      </c>
      <c r="M16" s="82">
        <f t="shared" si="5"/>
        <v>0</v>
      </c>
      <c r="N16" s="58"/>
      <c r="O16" s="59">
        <f t="shared" si="6"/>
        <v>0</v>
      </c>
      <c r="P16" s="57"/>
      <c r="Q16" s="55"/>
      <c r="R16" s="56"/>
      <c r="S16" s="55"/>
      <c r="T16" s="96"/>
      <c r="U16" s="60">
        <f>'Suivi Gaz'!O16</f>
        <v>0</v>
      </c>
      <c r="V16" s="58"/>
      <c r="W16" s="59">
        <f t="shared" si="1"/>
        <v>0</v>
      </c>
      <c r="X16" s="65"/>
      <c r="Y16" s="149">
        <f t="shared" si="2"/>
        <v>0</v>
      </c>
      <c r="Z16" s="64">
        <f t="shared" si="7"/>
        <v>0</v>
      </c>
      <c r="AA16" s="58"/>
      <c r="AB16" s="61"/>
      <c r="AC16" s="78"/>
      <c r="AD16" s="79"/>
      <c r="AE16" s="83"/>
      <c r="AF16" s="83"/>
      <c r="AG16" s="80"/>
      <c r="AH16" s="81"/>
      <c r="AI16" s="44"/>
      <c r="AJ16" s="130">
        <f t="shared" si="3"/>
        <v>0</v>
      </c>
      <c r="AK16" s="129" t="e">
        <f t="shared" si="4"/>
        <v>#DIV/0!</v>
      </c>
      <c r="AL16" s="74"/>
    </row>
    <row r="17" spans="1:256" ht="32.25" customHeight="1" thickBot="1" x14ac:dyDescent="0.25">
      <c r="A17" s="73"/>
      <c r="B17" s="92">
        <f t="shared" si="8"/>
        <v>44173</v>
      </c>
      <c r="C17" s="93"/>
      <c r="D17" s="148">
        <f>'Suivi EAU-ELEC'!C22</f>
        <v>0</v>
      </c>
      <c r="E17" s="96"/>
      <c r="F17" s="186">
        <f t="shared" si="0"/>
        <v>0</v>
      </c>
      <c r="G17" s="187"/>
      <c r="H17" s="188"/>
      <c r="I17" s="143"/>
      <c r="J17" s="94">
        <f>'Suivi EAU-ELEC'!E22</f>
        <v>0</v>
      </c>
      <c r="K17" s="95">
        <f>'Suivi EAU-ELEC'!G22</f>
        <v>0</v>
      </c>
      <c r="L17" s="95">
        <f>'Suivi EAU-ELEC'!I22</f>
        <v>0</v>
      </c>
      <c r="M17" s="82">
        <f t="shared" si="5"/>
        <v>0</v>
      </c>
      <c r="N17" s="58"/>
      <c r="O17" s="59">
        <f t="shared" si="6"/>
        <v>0</v>
      </c>
      <c r="P17" s="57"/>
      <c r="Q17" s="55"/>
      <c r="R17" s="56"/>
      <c r="S17" s="55"/>
      <c r="T17" s="96"/>
      <c r="U17" s="60">
        <f>'Suivi Gaz'!O17</f>
        <v>0</v>
      </c>
      <c r="V17" s="58"/>
      <c r="W17" s="59">
        <f t="shared" si="1"/>
        <v>0</v>
      </c>
      <c r="X17" s="65"/>
      <c r="Y17" s="149">
        <f t="shared" si="2"/>
        <v>0</v>
      </c>
      <c r="Z17" s="64">
        <f t="shared" si="7"/>
        <v>0</v>
      </c>
      <c r="AA17" s="67"/>
      <c r="AB17" s="61"/>
      <c r="AC17" s="78"/>
      <c r="AD17" s="79"/>
      <c r="AE17" s="83"/>
      <c r="AF17" s="83"/>
      <c r="AG17" s="80"/>
      <c r="AH17" s="81"/>
      <c r="AI17" s="44"/>
      <c r="AJ17" s="130">
        <f t="shared" si="3"/>
        <v>0</v>
      </c>
      <c r="AK17" s="129" t="e">
        <f t="shared" si="4"/>
        <v>#DIV/0!</v>
      </c>
      <c r="AL17" s="74"/>
    </row>
    <row r="18" spans="1:256" ht="32.25" customHeight="1" thickBot="1" x14ac:dyDescent="0.25">
      <c r="A18" s="73"/>
      <c r="B18" s="92">
        <f t="shared" si="8"/>
        <v>44174</v>
      </c>
      <c r="C18" s="93"/>
      <c r="D18" s="148">
        <f>'Suivi EAU-ELEC'!C23</f>
        <v>0</v>
      </c>
      <c r="E18" s="96"/>
      <c r="F18" s="208">
        <f t="shared" si="0"/>
        <v>0</v>
      </c>
      <c r="G18" s="209"/>
      <c r="H18" s="210"/>
      <c r="I18" s="143"/>
      <c r="J18" s="94">
        <f>'Suivi EAU-ELEC'!E23</f>
        <v>0</v>
      </c>
      <c r="K18" s="95">
        <f>'Suivi EAU-ELEC'!G23</f>
        <v>0</v>
      </c>
      <c r="L18" s="95">
        <f>'Suivi EAU-ELEC'!I23</f>
        <v>0</v>
      </c>
      <c r="M18" s="82">
        <f t="shared" si="5"/>
        <v>0</v>
      </c>
      <c r="N18" s="58"/>
      <c r="O18" s="59">
        <f t="shared" si="6"/>
        <v>0</v>
      </c>
      <c r="P18" s="57"/>
      <c r="Q18" s="55"/>
      <c r="R18" s="56"/>
      <c r="S18" s="55"/>
      <c r="T18" s="96"/>
      <c r="U18" s="60">
        <f>'Suivi Gaz'!O18</f>
        <v>0</v>
      </c>
      <c r="V18" s="58"/>
      <c r="W18" s="59">
        <f t="shared" si="1"/>
        <v>0</v>
      </c>
      <c r="X18" s="65"/>
      <c r="Y18" s="149">
        <f t="shared" si="2"/>
        <v>0</v>
      </c>
      <c r="Z18" s="64">
        <f t="shared" si="7"/>
        <v>0</v>
      </c>
      <c r="AA18" s="67"/>
      <c r="AB18" s="61"/>
      <c r="AC18" s="78"/>
      <c r="AD18" s="79"/>
      <c r="AE18" s="83"/>
      <c r="AF18" s="83"/>
      <c r="AG18" s="80"/>
      <c r="AH18" s="81"/>
      <c r="AI18" s="44"/>
      <c r="AJ18" s="130">
        <f t="shared" si="3"/>
        <v>0</v>
      </c>
      <c r="AK18" s="129" t="e">
        <f t="shared" si="4"/>
        <v>#DIV/0!</v>
      </c>
      <c r="AL18" s="74"/>
    </row>
    <row r="19" spans="1:256" ht="32.25" customHeight="1" thickBot="1" x14ac:dyDescent="0.25">
      <c r="A19" s="73"/>
      <c r="B19" s="92">
        <f t="shared" si="8"/>
        <v>44175</v>
      </c>
      <c r="C19" s="93"/>
      <c r="D19" s="148">
        <f>'Suivi EAU-ELEC'!C24</f>
        <v>0</v>
      </c>
      <c r="E19" s="96"/>
      <c r="F19" s="186">
        <f t="shared" si="0"/>
        <v>0</v>
      </c>
      <c r="G19" s="187"/>
      <c r="H19" s="188"/>
      <c r="I19" s="143"/>
      <c r="J19" s="94">
        <f>'Suivi EAU-ELEC'!E24</f>
        <v>0</v>
      </c>
      <c r="K19" s="95">
        <f>'Suivi EAU-ELEC'!G24</f>
        <v>0</v>
      </c>
      <c r="L19" s="95">
        <f>'Suivi EAU-ELEC'!I24</f>
        <v>0</v>
      </c>
      <c r="M19" s="82">
        <f t="shared" si="5"/>
        <v>0</v>
      </c>
      <c r="N19" s="58"/>
      <c r="O19" s="59">
        <f t="shared" si="6"/>
        <v>0</v>
      </c>
      <c r="P19" s="57"/>
      <c r="Q19" s="55"/>
      <c r="R19" s="56"/>
      <c r="S19" s="55"/>
      <c r="T19" s="96"/>
      <c r="U19" s="60">
        <f>'Suivi Gaz'!O19</f>
        <v>0</v>
      </c>
      <c r="V19" s="58"/>
      <c r="W19" s="59">
        <f t="shared" si="1"/>
        <v>0</v>
      </c>
      <c r="X19" s="65"/>
      <c r="Y19" s="149">
        <f t="shared" si="2"/>
        <v>0</v>
      </c>
      <c r="Z19" s="64">
        <f t="shared" si="7"/>
        <v>0</v>
      </c>
      <c r="AA19" s="67"/>
      <c r="AB19" s="61"/>
      <c r="AC19" s="78"/>
      <c r="AD19" s="79"/>
      <c r="AE19" s="83"/>
      <c r="AF19" s="83"/>
      <c r="AG19" s="80"/>
      <c r="AH19" s="81"/>
      <c r="AI19" s="44"/>
      <c r="AJ19" s="130">
        <f t="shared" si="3"/>
        <v>0</v>
      </c>
      <c r="AK19" s="129" t="e">
        <f t="shared" si="4"/>
        <v>#DIV/0!</v>
      </c>
      <c r="AL19" s="74"/>
    </row>
    <row r="20" spans="1:256" ht="32.25" customHeight="1" thickBot="1" x14ac:dyDescent="0.25">
      <c r="A20" s="73"/>
      <c r="B20" s="92">
        <f t="shared" si="8"/>
        <v>44176</v>
      </c>
      <c r="C20" s="93"/>
      <c r="D20" s="148">
        <f>'Suivi EAU-ELEC'!C25</f>
        <v>0</v>
      </c>
      <c r="E20" s="96"/>
      <c r="F20" s="205">
        <f t="shared" si="0"/>
        <v>0</v>
      </c>
      <c r="G20" s="206"/>
      <c r="H20" s="207"/>
      <c r="I20" s="143"/>
      <c r="J20" s="94">
        <f>'Suivi EAU-ELEC'!E25</f>
        <v>0</v>
      </c>
      <c r="K20" s="95">
        <f>'Suivi EAU-ELEC'!G25</f>
        <v>0</v>
      </c>
      <c r="L20" s="95">
        <f>'Suivi EAU-ELEC'!I25</f>
        <v>0</v>
      </c>
      <c r="M20" s="82">
        <f t="shared" si="5"/>
        <v>0</v>
      </c>
      <c r="N20" s="58"/>
      <c r="O20" s="59">
        <f t="shared" si="6"/>
        <v>0</v>
      </c>
      <c r="P20" s="57"/>
      <c r="Q20" s="55"/>
      <c r="R20" s="56"/>
      <c r="S20" s="55"/>
      <c r="T20" s="96"/>
      <c r="U20" s="60">
        <f>'Suivi Gaz'!O20</f>
        <v>0</v>
      </c>
      <c r="V20" s="58"/>
      <c r="W20" s="59">
        <f>U20*8.1757</f>
        <v>0</v>
      </c>
      <c r="X20" s="65"/>
      <c r="Y20" s="149">
        <f t="shared" si="2"/>
        <v>0</v>
      </c>
      <c r="Z20" s="64">
        <f t="shared" si="7"/>
        <v>0</v>
      </c>
      <c r="AA20" s="67">
        <v>14</v>
      </c>
      <c r="AB20" s="61"/>
      <c r="AC20" s="78"/>
      <c r="AD20" s="79"/>
      <c r="AE20" s="83"/>
      <c r="AF20" s="83"/>
      <c r="AG20" s="80"/>
      <c r="AH20" s="81"/>
      <c r="AI20" s="44"/>
      <c r="AJ20" s="130">
        <f t="shared" si="3"/>
        <v>0</v>
      </c>
      <c r="AK20" s="129" t="e">
        <f t="shared" si="4"/>
        <v>#DIV/0!</v>
      </c>
      <c r="AL20" s="74"/>
    </row>
    <row r="21" spans="1:256" ht="32.25" customHeight="1" thickBot="1" x14ac:dyDescent="0.25">
      <c r="A21" s="73"/>
      <c r="B21" s="92">
        <f t="shared" si="8"/>
        <v>44177</v>
      </c>
      <c r="C21" s="93"/>
      <c r="D21" s="148">
        <f>'Suivi EAU-ELEC'!C26</f>
        <v>0</v>
      </c>
      <c r="E21" s="96"/>
      <c r="F21" s="186">
        <f t="shared" si="0"/>
        <v>0</v>
      </c>
      <c r="G21" s="187"/>
      <c r="H21" s="188"/>
      <c r="I21" s="143"/>
      <c r="J21" s="94">
        <f>'Suivi EAU-ELEC'!E26</f>
        <v>0</v>
      </c>
      <c r="K21" s="95">
        <f>'Suivi EAU-ELEC'!G26</f>
        <v>0</v>
      </c>
      <c r="L21" s="95">
        <f>'Suivi EAU-ELEC'!I26</f>
        <v>0</v>
      </c>
      <c r="M21" s="82">
        <f t="shared" si="5"/>
        <v>0</v>
      </c>
      <c r="N21" s="58"/>
      <c r="O21" s="59">
        <f t="shared" si="6"/>
        <v>0</v>
      </c>
      <c r="P21" s="57"/>
      <c r="Q21" s="55"/>
      <c r="R21" s="56"/>
      <c r="S21" s="55"/>
      <c r="T21" s="96"/>
      <c r="U21" s="60">
        <f>'Suivi Gaz'!O21</f>
        <v>0</v>
      </c>
      <c r="V21" s="58"/>
      <c r="W21" s="59">
        <f t="shared" ref="W21:W40" si="9">U21*8.1757</f>
        <v>0</v>
      </c>
      <c r="X21" s="65"/>
      <c r="Y21" s="149">
        <f t="shared" si="2"/>
        <v>0</v>
      </c>
      <c r="Z21" s="64">
        <f t="shared" si="7"/>
        <v>0</v>
      </c>
      <c r="AA21" s="67">
        <v>14</v>
      </c>
      <c r="AB21" s="61"/>
      <c r="AC21" s="78"/>
      <c r="AD21" s="79"/>
      <c r="AE21" s="83"/>
      <c r="AF21" s="83"/>
      <c r="AG21" s="80"/>
      <c r="AH21" s="81"/>
      <c r="AI21" s="44"/>
      <c r="AJ21" s="130">
        <f t="shared" si="3"/>
        <v>0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44178</v>
      </c>
      <c r="C22" s="93"/>
      <c r="D22" s="148">
        <f>'Suivi EAU-ELEC'!C27</f>
        <v>0</v>
      </c>
      <c r="E22" s="96"/>
      <c r="F22" s="208">
        <f t="shared" si="0"/>
        <v>0</v>
      </c>
      <c r="G22" s="209"/>
      <c r="H22" s="210"/>
      <c r="I22" s="143"/>
      <c r="J22" s="94">
        <f>'Suivi EAU-ELEC'!E27</f>
        <v>0</v>
      </c>
      <c r="K22" s="95">
        <f>'Suivi EAU-ELEC'!G27</f>
        <v>0</v>
      </c>
      <c r="L22" s="95">
        <f>'Suivi EAU-ELEC'!I27</f>
        <v>0</v>
      </c>
      <c r="M22" s="82">
        <f t="shared" si="5"/>
        <v>0</v>
      </c>
      <c r="N22" s="58"/>
      <c r="O22" s="59">
        <f t="shared" si="6"/>
        <v>0</v>
      </c>
      <c r="P22" s="57"/>
      <c r="Q22" s="55"/>
      <c r="R22" s="56"/>
      <c r="S22" s="55"/>
      <c r="T22" s="96"/>
      <c r="U22" s="60">
        <f>'Suivi Gaz'!O22</f>
        <v>0</v>
      </c>
      <c r="V22" s="58"/>
      <c r="W22" s="59">
        <f t="shared" si="9"/>
        <v>0</v>
      </c>
      <c r="X22" s="65"/>
      <c r="Y22" s="149">
        <f t="shared" si="2"/>
        <v>0</v>
      </c>
      <c r="Z22" s="64">
        <f t="shared" si="7"/>
        <v>0</v>
      </c>
      <c r="AA22" s="58"/>
      <c r="AB22" s="61"/>
      <c r="AC22" s="78"/>
      <c r="AD22" s="79"/>
      <c r="AE22" s="83"/>
      <c r="AF22" s="83"/>
      <c r="AG22" s="80"/>
      <c r="AH22" s="81"/>
      <c r="AI22" s="44"/>
      <c r="AJ22" s="130">
        <f t="shared" si="3"/>
        <v>0</v>
      </c>
      <c r="AK22" s="129" t="e">
        <f t="shared" si="4"/>
        <v>#DIV/0!</v>
      </c>
      <c r="AL22" s="74"/>
    </row>
    <row r="23" spans="1:256" ht="32.25" customHeight="1" thickBot="1" x14ac:dyDescent="0.25">
      <c r="A23" s="73"/>
      <c r="B23" s="92">
        <f t="shared" si="8"/>
        <v>44179</v>
      </c>
      <c r="C23" s="93"/>
      <c r="D23" s="148">
        <f>'Suivi EAU-ELEC'!C28</f>
        <v>0</v>
      </c>
      <c r="E23" s="96"/>
      <c r="F23" s="186">
        <f t="shared" si="0"/>
        <v>0</v>
      </c>
      <c r="G23" s="187"/>
      <c r="H23" s="188"/>
      <c r="I23" s="143"/>
      <c r="J23" s="94">
        <f>'Suivi EAU-ELEC'!E28</f>
        <v>0</v>
      </c>
      <c r="K23" s="95">
        <f>'Suivi EAU-ELEC'!G28</f>
        <v>0</v>
      </c>
      <c r="L23" s="95">
        <f>'Suivi EAU-ELEC'!I28</f>
        <v>0</v>
      </c>
      <c r="M23" s="82">
        <f t="shared" si="5"/>
        <v>0</v>
      </c>
      <c r="N23" s="58"/>
      <c r="O23" s="59">
        <f t="shared" si="6"/>
        <v>0</v>
      </c>
      <c r="P23" s="57"/>
      <c r="Q23" s="55"/>
      <c r="R23" s="56"/>
      <c r="S23" s="55"/>
      <c r="T23" s="96"/>
      <c r="U23" s="60">
        <f>'Suivi Gaz'!O23</f>
        <v>0</v>
      </c>
      <c r="V23" s="58"/>
      <c r="W23" s="59">
        <f t="shared" si="9"/>
        <v>0</v>
      </c>
      <c r="X23" s="65"/>
      <c r="Y23" s="149">
        <f t="shared" si="2"/>
        <v>0</v>
      </c>
      <c r="Z23" s="64">
        <f t="shared" si="7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30">
        <f t="shared" si="3"/>
        <v>0</v>
      </c>
      <c r="AK23" s="129" t="e">
        <f t="shared" si="4"/>
        <v>#DIV/0!</v>
      </c>
      <c r="AL23" s="74"/>
    </row>
    <row r="24" spans="1:256" ht="32.25" customHeight="1" thickBot="1" x14ac:dyDescent="0.25">
      <c r="A24" s="73"/>
      <c r="B24" s="92">
        <f t="shared" si="8"/>
        <v>44180</v>
      </c>
      <c r="C24" s="93"/>
      <c r="D24" s="148">
        <f>'Suivi EAU-ELEC'!C29</f>
        <v>0</v>
      </c>
      <c r="E24" s="96"/>
      <c r="F24" s="186">
        <f t="shared" si="0"/>
        <v>0</v>
      </c>
      <c r="G24" s="187"/>
      <c r="H24" s="188"/>
      <c r="I24" s="143"/>
      <c r="J24" s="94">
        <f>'Suivi EAU-ELEC'!E29</f>
        <v>0</v>
      </c>
      <c r="K24" s="95">
        <f>'Suivi EAU-ELEC'!G29</f>
        <v>0</v>
      </c>
      <c r="L24" s="95">
        <f>'Suivi EAU-ELEC'!I29</f>
        <v>0</v>
      </c>
      <c r="M24" s="82">
        <f t="shared" si="5"/>
        <v>0</v>
      </c>
      <c r="N24" s="58"/>
      <c r="O24" s="59">
        <f t="shared" si="6"/>
        <v>0</v>
      </c>
      <c r="P24" s="57"/>
      <c r="Q24" s="55"/>
      <c r="R24" s="56"/>
      <c r="S24" s="55"/>
      <c r="T24" s="96"/>
      <c r="U24" s="60">
        <f>'Suivi Gaz'!O24</f>
        <v>0</v>
      </c>
      <c r="V24" s="58"/>
      <c r="W24" s="59">
        <f t="shared" si="9"/>
        <v>0</v>
      </c>
      <c r="X24" s="65"/>
      <c r="Y24" s="149">
        <f t="shared" si="2"/>
        <v>0</v>
      </c>
      <c r="Z24" s="64">
        <f t="shared" si="7"/>
        <v>0</v>
      </c>
      <c r="AA24" s="58"/>
      <c r="AB24" s="61"/>
      <c r="AC24" s="78"/>
      <c r="AD24" s="79"/>
      <c r="AE24" s="83"/>
      <c r="AF24" s="83"/>
      <c r="AG24" s="80"/>
      <c r="AH24" s="81"/>
      <c r="AJ24" s="130">
        <f>(F24+O24+W24+Z24)</f>
        <v>0</v>
      </c>
      <c r="AK24" s="129" t="e">
        <f t="shared" si="4"/>
        <v>#DIV/0!</v>
      </c>
      <c r="AL24" s="74"/>
    </row>
    <row r="25" spans="1:256" ht="32.25" customHeight="1" thickBot="1" x14ac:dyDescent="0.25">
      <c r="A25" s="73"/>
      <c r="B25" s="92">
        <f t="shared" si="8"/>
        <v>44181</v>
      </c>
      <c r="C25" s="93"/>
      <c r="D25" s="148">
        <f>'Suivi EAU-ELEC'!C30</f>
        <v>0</v>
      </c>
      <c r="E25" s="96"/>
      <c r="F25" s="186">
        <f t="shared" si="0"/>
        <v>0</v>
      </c>
      <c r="G25" s="187"/>
      <c r="H25" s="188"/>
      <c r="I25" s="143"/>
      <c r="J25" s="94">
        <f>'Suivi EAU-ELEC'!E30</f>
        <v>0</v>
      </c>
      <c r="K25" s="95">
        <f>'Suivi EAU-ELEC'!G30</f>
        <v>0</v>
      </c>
      <c r="L25" s="95">
        <f>'Suivi EAU-ELEC'!I30</f>
        <v>0</v>
      </c>
      <c r="M25" s="82">
        <f t="shared" si="5"/>
        <v>0</v>
      </c>
      <c r="N25" s="58"/>
      <c r="O25" s="59">
        <f t="shared" si="6"/>
        <v>0</v>
      </c>
      <c r="P25" s="57"/>
      <c r="Q25" s="55"/>
      <c r="R25" s="56"/>
      <c r="S25" s="55"/>
      <c r="T25" s="96"/>
      <c r="U25" s="60">
        <f>'Suivi Gaz'!O25</f>
        <v>0</v>
      </c>
      <c r="V25" s="58"/>
      <c r="W25" s="59">
        <f t="shared" si="9"/>
        <v>0</v>
      </c>
      <c r="X25" s="65"/>
      <c r="Y25" s="149">
        <f t="shared" si="2"/>
        <v>0</v>
      </c>
      <c r="Z25" s="64">
        <f t="shared" si="7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30">
        <f>(F25+O25+W25+Z25)</f>
        <v>0</v>
      </c>
      <c r="AK25" s="129" t="e">
        <f t="shared" si="4"/>
        <v>#DIV/0!</v>
      </c>
      <c r="AL25" s="74"/>
    </row>
    <row r="26" spans="1:256" ht="32.25" customHeight="1" thickBot="1" x14ac:dyDescent="0.25">
      <c r="A26" s="73"/>
      <c r="B26" s="92">
        <f t="shared" si="8"/>
        <v>44182</v>
      </c>
      <c r="C26" s="93"/>
      <c r="D26" s="148">
        <f>'Suivi EAU-ELEC'!C31</f>
        <v>0</v>
      </c>
      <c r="E26" s="151"/>
      <c r="F26" s="186">
        <f t="shared" si="0"/>
        <v>0</v>
      </c>
      <c r="G26" s="187"/>
      <c r="H26" s="188"/>
      <c r="I26" s="143"/>
      <c r="J26" s="94">
        <f>'Suivi EAU-ELEC'!E31</f>
        <v>0</v>
      </c>
      <c r="K26" s="95">
        <f>'Suivi EAU-ELEC'!G31</f>
        <v>0</v>
      </c>
      <c r="L26" s="95">
        <f>'Suivi EAU-ELEC'!I31</f>
        <v>0</v>
      </c>
      <c r="M26" s="82">
        <f t="shared" si="5"/>
        <v>0</v>
      </c>
      <c r="N26" s="58"/>
      <c r="O26" s="59">
        <f t="shared" si="6"/>
        <v>0</v>
      </c>
      <c r="P26" s="57"/>
      <c r="Q26" s="55"/>
      <c r="R26" s="56"/>
      <c r="S26" s="55"/>
      <c r="T26" s="96"/>
      <c r="U26" s="60">
        <f>'Suivi Gaz'!O26</f>
        <v>0</v>
      </c>
      <c r="V26" s="85"/>
      <c r="W26" s="59">
        <f t="shared" si="9"/>
        <v>0</v>
      </c>
      <c r="X26" s="65"/>
      <c r="Y26" s="149">
        <f t="shared" si="2"/>
        <v>0</v>
      </c>
      <c r="Z26" s="64">
        <f t="shared" si="7"/>
        <v>0</v>
      </c>
      <c r="AA26" s="85"/>
      <c r="AB26" s="61"/>
      <c r="AC26" s="78"/>
      <c r="AD26" s="79"/>
      <c r="AE26" s="83"/>
      <c r="AF26" s="83"/>
      <c r="AG26" s="80"/>
      <c r="AH26" s="81"/>
      <c r="AI26" s="44"/>
      <c r="AJ26" s="130">
        <f>(F26+O26+W26+Z26)</f>
        <v>0</v>
      </c>
      <c r="AK26" s="129" t="e">
        <f t="shared" si="4"/>
        <v>#DIV/0!</v>
      </c>
      <c r="AL26" s="74"/>
    </row>
    <row r="27" spans="1:256" ht="32.25" customHeight="1" thickBot="1" x14ac:dyDescent="0.25">
      <c r="A27" s="73"/>
      <c r="B27" s="92">
        <f t="shared" si="8"/>
        <v>44183</v>
      </c>
      <c r="C27" s="93"/>
      <c r="D27" s="148">
        <f>'Suivi EAU-ELEC'!C32</f>
        <v>0</v>
      </c>
      <c r="E27" s="151"/>
      <c r="F27" s="186">
        <f t="shared" si="0"/>
        <v>0</v>
      </c>
      <c r="G27" s="187"/>
      <c r="H27" s="188"/>
      <c r="I27" s="143"/>
      <c r="J27" s="94">
        <f>'Suivi EAU-ELEC'!E32</f>
        <v>0</v>
      </c>
      <c r="K27" s="95">
        <f>'Suivi EAU-ELEC'!G32</f>
        <v>0</v>
      </c>
      <c r="L27" s="95">
        <f>'Suivi EAU-ELEC'!I32</f>
        <v>0</v>
      </c>
      <c r="M27" s="82">
        <f t="shared" si="5"/>
        <v>0</v>
      </c>
      <c r="N27" s="58"/>
      <c r="O27" s="59">
        <f t="shared" si="6"/>
        <v>0</v>
      </c>
      <c r="P27" s="57"/>
      <c r="Q27" s="55"/>
      <c r="R27" s="56"/>
      <c r="S27" s="55"/>
      <c r="T27" s="96"/>
      <c r="U27" s="60">
        <f>'Suivi Gaz'!O27</f>
        <v>0</v>
      </c>
      <c r="V27" s="85"/>
      <c r="W27" s="59">
        <f t="shared" si="9"/>
        <v>0</v>
      </c>
      <c r="X27" s="65"/>
      <c r="Y27" s="149">
        <f t="shared" si="2"/>
        <v>0</v>
      </c>
      <c r="Z27" s="64">
        <f t="shared" si="7"/>
        <v>0</v>
      </c>
      <c r="AA27" s="85"/>
      <c r="AB27" s="61"/>
      <c r="AC27" s="78"/>
      <c r="AD27" s="79"/>
      <c r="AE27" s="83"/>
      <c r="AF27" s="83"/>
      <c r="AG27" s="80"/>
      <c r="AH27" s="81"/>
      <c r="AI27" s="44"/>
      <c r="AJ27" s="130">
        <f t="shared" si="3"/>
        <v>0</v>
      </c>
      <c r="AK27" s="129" t="e">
        <f t="shared" si="4"/>
        <v>#DIV/0!</v>
      </c>
      <c r="AL27" s="74"/>
    </row>
    <row r="28" spans="1:256" ht="32.25" customHeight="1" thickBot="1" x14ac:dyDescent="0.25">
      <c r="A28" s="73"/>
      <c r="B28" s="92">
        <f t="shared" si="8"/>
        <v>44184</v>
      </c>
      <c r="C28" s="93"/>
      <c r="D28" s="148">
        <f>'Suivi EAU-ELEC'!C33</f>
        <v>0</v>
      </c>
      <c r="E28" s="151"/>
      <c r="F28" s="205">
        <f t="shared" si="0"/>
        <v>0</v>
      </c>
      <c r="G28" s="206"/>
      <c r="H28" s="207"/>
      <c r="I28" s="144"/>
      <c r="J28" s="94">
        <f>'Suivi EAU-ELEC'!E33</f>
        <v>0</v>
      </c>
      <c r="K28" s="95">
        <f>'Suivi EAU-ELEC'!G33</f>
        <v>0</v>
      </c>
      <c r="L28" s="95">
        <f>'Suivi EAU-ELEC'!I33</f>
        <v>0</v>
      </c>
      <c r="M28" s="82">
        <f t="shared" si="5"/>
        <v>0</v>
      </c>
      <c r="N28" s="58"/>
      <c r="O28" s="59">
        <f t="shared" si="6"/>
        <v>0</v>
      </c>
      <c r="P28" s="57"/>
      <c r="Q28" s="55"/>
      <c r="R28" s="56"/>
      <c r="S28" s="55"/>
      <c r="T28" s="96"/>
      <c r="U28" s="60">
        <f>'Suivi Gaz'!O28</f>
        <v>0</v>
      </c>
      <c r="V28" s="85"/>
      <c r="W28" s="59">
        <f t="shared" si="9"/>
        <v>0</v>
      </c>
      <c r="X28" s="65"/>
      <c r="Y28" s="149">
        <f t="shared" si="2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4"/>
        <v>#DIV/0!</v>
      </c>
      <c r="AL28" s="74"/>
    </row>
    <row r="29" spans="1:256" ht="32.25" customHeight="1" thickBot="1" x14ac:dyDescent="0.25">
      <c r="A29" s="73"/>
      <c r="B29" s="92">
        <f t="shared" si="8"/>
        <v>44185</v>
      </c>
      <c r="C29" s="93"/>
      <c r="D29" s="148">
        <f>'Suivi EAU-ELEC'!C34</f>
        <v>0</v>
      </c>
      <c r="E29" s="151"/>
      <c r="F29" s="186">
        <f t="shared" si="0"/>
        <v>0</v>
      </c>
      <c r="G29" s="187"/>
      <c r="H29" s="188"/>
      <c r="I29" s="144"/>
      <c r="J29" s="94">
        <f>'Suivi EAU-ELEC'!E34</f>
        <v>0</v>
      </c>
      <c r="K29" s="95">
        <f>'Suivi EAU-ELEC'!G34</f>
        <v>0</v>
      </c>
      <c r="L29" s="95">
        <f>'Suivi EAU-ELEC'!I34</f>
        <v>0</v>
      </c>
      <c r="M29" s="82">
        <f t="shared" si="5"/>
        <v>0</v>
      </c>
      <c r="N29" s="58"/>
      <c r="O29" s="59">
        <f t="shared" si="6"/>
        <v>0</v>
      </c>
      <c r="P29" s="57"/>
      <c r="Q29" s="55"/>
      <c r="R29" s="56"/>
      <c r="S29" s="55"/>
      <c r="T29" s="96"/>
      <c r="U29" s="60">
        <f>'Suivi Gaz'!O29</f>
        <v>0</v>
      </c>
      <c r="V29" s="85"/>
      <c r="W29" s="59">
        <f t="shared" si="9"/>
        <v>0</v>
      </c>
      <c r="X29" s="65"/>
      <c r="Y29" s="149">
        <f t="shared" si="2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3"/>
        <v>0</v>
      </c>
      <c r="AK29" s="129" t="e">
        <f t="shared" si="4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44186</v>
      </c>
      <c r="C30" s="98"/>
      <c r="D30" s="148">
        <f>'Suivi EAU-ELEC'!C35</f>
        <v>0</v>
      </c>
      <c r="E30" s="151"/>
      <c r="F30" s="205">
        <f t="shared" si="0"/>
        <v>0</v>
      </c>
      <c r="G30" s="206"/>
      <c r="H30" s="207"/>
      <c r="I30" s="144"/>
      <c r="J30" s="94">
        <f>'Suivi EAU-ELEC'!E35</f>
        <v>0</v>
      </c>
      <c r="K30" s="95">
        <f>'Suivi EAU-ELEC'!G35</f>
        <v>0</v>
      </c>
      <c r="L30" s="95">
        <f>'Suivi EAU-ELEC'!I35</f>
        <v>0</v>
      </c>
      <c r="M30" s="82">
        <f t="shared" si="5"/>
        <v>0</v>
      </c>
      <c r="N30" s="58"/>
      <c r="O30" s="59">
        <f t="shared" si="6"/>
        <v>0</v>
      </c>
      <c r="P30" s="57"/>
      <c r="Q30" s="55"/>
      <c r="R30" s="56"/>
      <c r="S30" s="55"/>
      <c r="T30" s="96"/>
      <c r="U30" s="60">
        <f>'Suivi Gaz'!O30</f>
        <v>0</v>
      </c>
      <c r="V30" s="85"/>
      <c r="W30" s="59">
        <f t="shared" si="9"/>
        <v>0</v>
      </c>
      <c r="X30" s="65"/>
      <c r="Y30" s="149">
        <f t="shared" si="2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3"/>
        <v>0</v>
      </c>
      <c r="AK30" s="129" t="e">
        <f t="shared" si="4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44187</v>
      </c>
      <c r="C31" s="93"/>
      <c r="D31" s="148">
        <f>'Suivi EAU-ELEC'!C36</f>
        <v>0</v>
      </c>
      <c r="E31" s="96"/>
      <c r="F31" s="186">
        <f t="shared" si="0"/>
        <v>0</v>
      </c>
      <c r="G31" s="187"/>
      <c r="H31" s="188"/>
      <c r="I31" s="145"/>
      <c r="J31" s="94">
        <f>'Suivi EAU-ELEC'!E36</f>
        <v>0</v>
      </c>
      <c r="K31" s="95">
        <f>'Suivi EAU-ELEC'!G36</f>
        <v>0</v>
      </c>
      <c r="L31" s="95">
        <f>'Suivi EAU-ELEC'!I36</f>
        <v>0</v>
      </c>
      <c r="M31" s="82">
        <f t="shared" si="5"/>
        <v>0</v>
      </c>
      <c r="N31" s="58"/>
      <c r="O31" s="59">
        <f t="shared" si="6"/>
        <v>0</v>
      </c>
      <c r="P31" s="57"/>
      <c r="Q31" s="55"/>
      <c r="R31" s="56"/>
      <c r="S31" s="55"/>
      <c r="T31" s="96"/>
      <c r="U31" s="60">
        <f>'Suivi Gaz'!O31</f>
        <v>0</v>
      </c>
      <c r="V31" s="58"/>
      <c r="W31" s="59">
        <f t="shared" si="9"/>
        <v>0</v>
      </c>
      <c r="X31" s="65"/>
      <c r="Y31" s="149">
        <f t="shared" si="2"/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3"/>
        <v>0</v>
      </c>
      <c r="AK31" s="129" t="e">
        <f t="shared" si="4"/>
        <v>#DIV/0!</v>
      </c>
      <c r="AL31" s="74"/>
    </row>
    <row r="32" spans="1:256" ht="32.25" customHeight="1" thickBot="1" x14ac:dyDescent="0.25">
      <c r="A32" s="73"/>
      <c r="B32" s="92">
        <f t="shared" si="8"/>
        <v>44188</v>
      </c>
      <c r="C32" s="93"/>
      <c r="D32" s="148">
        <f>'Suivi EAU-ELEC'!C37</f>
        <v>0</v>
      </c>
      <c r="E32" s="96"/>
      <c r="F32" s="186">
        <f t="shared" si="0"/>
        <v>0</v>
      </c>
      <c r="G32" s="187"/>
      <c r="H32" s="188"/>
      <c r="I32" s="142"/>
      <c r="J32" s="94">
        <f>'Suivi EAU-ELEC'!E37</f>
        <v>0</v>
      </c>
      <c r="K32" s="95">
        <f>'Suivi EAU-ELEC'!G37</f>
        <v>0</v>
      </c>
      <c r="L32" s="95">
        <f>'Suivi EAU-ELEC'!I37</f>
        <v>0</v>
      </c>
      <c r="M32" s="82">
        <f t="shared" si="5"/>
        <v>0</v>
      </c>
      <c r="N32" s="58"/>
      <c r="O32" s="59">
        <f t="shared" si="6"/>
        <v>0</v>
      </c>
      <c r="P32" s="57"/>
      <c r="Q32" s="55"/>
      <c r="R32" s="56"/>
      <c r="S32" s="55"/>
      <c r="T32" s="96"/>
      <c r="U32" s="60">
        <f>'Suivi Gaz'!O32</f>
        <v>0</v>
      </c>
      <c r="V32" s="58"/>
      <c r="W32" s="59">
        <f t="shared" si="9"/>
        <v>0</v>
      </c>
      <c r="X32" s="65"/>
      <c r="Y32" s="149">
        <f t="shared" si="2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3"/>
        <v>0</v>
      </c>
      <c r="AK32" s="129" t="e">
        <f t="shared" si="4"/>
        <v>#DIV/0!</v>
      </c>
      <c r="AL32" s="74"/>
    </row>
    <row r="33" spans="1:38" ht="32.25" customHeight="1" thickBot="1" x14ac:dyDescent="0.25">
      <c r="A33" s="73"/>
      <c r="B33" s="92">
        <f t="shared" si="8"/>
        <v>44189</v>
      </c>
      <c r="C33" s="93"/>
      <c r="D33" s="148">
        <f>'Suivi EAU-ELEC'!C38</f>
        <v>0</v>
      </c>
      <c r="E33" s="96"/>
      <c r="F33" s="186">
        <f t="shared" si="0"/>
        <v>0</v>
      </c>
      <c r="G33" s="187"/>
      <c r="H33" s="188"/>
      <c r="I33" s="143"/>
      <c r="J33" s="94">
        <f>'Suivi EAU-ELEC'!E38</f>
        <v>0</v>
      </c>
      <c r="K33" s="95">
        <f>'Suivi EAU-ELEC'!G38</f>
        <v>0</v>
      </c>
      <c r="L33" s="95">
        <f>'Suivi EAU-ELEC'!I38</f>
        <v>0</v>
      </c>
      <c r="M33" s="82">
        <f t="shared" si="5"/>
        <v>0</v>
      </c>
      <c r="N33" s="58"/>
      <c r="O33" s="59">
        <f t="shared" si="6"/>
        <v>0</v>
      </c>
      <c r="P33" s="57"/>
      <c r="Q33" s="55"/>
      <c r="R33" s="56"/>
      <c r="S33" s="55"/>
      <c r="T33" s="96"/>
      <c r="U33" s="60">
        <f>'Suivi Gaz'!O33</f>
        <v>0</v>
      </c>
      <c r="V33" s="58"/>
      <c r="W33" s="59">
        <f t="shared" si="9"/>
        <v>0</v>
      </c>
      <c r="X33" s="65"/>
      <c r="Y33" s="149">
        <f t="shared" si="2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3"/>
        <v>0</v>
      </c>
      <c r="AK33" s="129" t="e">
        <f t="shared" si="4"/>
        <v>#DIV/0!</v>
      </c>
      <c r="AL33" s="74"/>
    </row>
    <row r="34" spans="1:38" ht="32.25" customHeight="1" thickBot="1" x14ac:dyDescent="0.25">
      <c r="A34" s="99"/>
      <c r="B34" s="92">
        <f t="shared" si="8"/>
        <v>44190</v>
      </c>
      <c r="C34" s="93"/>
      <c r="D34" s="148">
        <f>'Suivi EAU-ELEC'!C39</f>
        <v>0</v>
      </c>
      <c r="E34" s="96"/>
      <c r="F34" s="186">
        <f t="shared" si="0"/>
        <v>0</v>
      </c>
      <c r="G34" s="187"/>
      <c r="H34" s="188"/>
      <c r="I34" s="143"/>
      <c r="J34" s="94">
        <f>'Suivi EAU-ELEC'!E39</f>
        <v>0</v>
      </c>
      <c r="K34" s="95">
        <f>'Suivi EAU-ELEC'!G39</f>
        <v>0</v>
      </c>
      <c r="L34" s="95">
        <f>'Suivi EAU-ELEC'!I39</f>
        <v>0</v>
      </c>
      <c r="M34" s="82">
        <f t="shared" si="5"/>
        <v>0</v>
      </c>
      <c r="N34" s="58"/>
      <c r="O34" s="59">
        <f t="shared" si="6"/>
        <v>0</v>
      </c>
      <c r="P34" s="57"/>
      <c r="Q34" s="55"/>
      <c r="R34" s="56"/>
      <c r="S34" s="55"/>
      <c r="T34" s="96"/>
      <c r="U34" s="60">
        <f>'Suivi Gaz'!O34</f>
        <v>0</v>
      </c>
      <c r="V34" s="58"/>
      <c r="W34" s="59">
        <f t="shared" si="9"/>
        <v>0</v>
      </c>
      <c r="X34" s="65"/>
      <c r="Y34" s="149">
        <f t="shared" si="2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3"/>
        <v>0</v>
      </c>
      <c r="AK34" s="129" t="e">
        <f t="shared" si="4"/>
        <v>#DIV/0!</v>
      </c>
      <c r="AL34" s="74"/>
    </row>
    <row r="35" spans="1:38" ht="32.25" customHeight="1" thickBot="1" x14ac:dyDescent="0.25">
      <c r="A35" s="73"/>
      <c r="B35" s="92">
        <f t="shared" si="8"/>
        <v>44191</v>
      </c>
      <c r="C35" s="93"/>
      <c r="D35" s="148">
        <f>'Suivi EAU-ELEC'!C40</f>
        <v>0</v>
      </c>
      <c r="E35" s="96"/>
      <c r="F35" s="208">
        <f t="shared" si="0"/>
        <v>0</v>
      </c>
      <c r="G35" s="209"/>
      <c r="H35" s="210"/>
      <c r="I35" s="143"/>
      <c r="J35" s="94">
        <f>'Suivi EAU-ELEC'!E40</f>
        <v>0</v>
      </c>
      <c r="K35" s="95">
        <f>'Suivi EAU-ELEC'!G40</f>
        <v>0</v>
      </c>
      <c r="L35" s="95">
        <f>'Suivi EAU-ELEC'!I40</f>
        <v>0</v>
      </c>
      <c r="M35" s="82">
        <f t="shared" si="5"/>
        <v>0</v>
      </c>
      <c r="N35" s="58"/>
      <c r="O35" s="59">
        <f t="shared" si="6"/>
        <v>0</v>
      </c>
      <c r="P35" s="57"/>
      <c r="Q35" s="55"/>
      <c r="R35" s="56"/>
      <c r="S35" s="55"/>
      <c r="T35" s="96"/>
      <c r="U35" s="60">
        <f>'Suivi Gaz'!O35</f>
        <v>0</v>
      </c>
      <c r="V35" s="58"/>
      <c r="W35" s="59">
        <f t="shared" si="9"/>
        <v>0</v>
      </c>
      <c r="X35" s="65"/>
      <c r="Y35" s="149">
        <f t="shared" si="2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3"/>
        <v>0</v>
      </c>
      <c r="AK35" s="129" t="e">
        <f t="shared" si="4"/>
        <v>#DIV/0!</v>
      </c>
      <c r="AL35" s="74"/>
    </row>
    <row r="36" spans="1:38" ht="32.25" customHeight="1" thickBot="1" x14ac:dyDescent="0.25">
      <c r="A36" s="73"/>
      <c r="B36" s="92">
        <f t="shared" si="8"/>
        <v>44192</v>
      </c>
      <c r="C36" s="93"/>
      <c r="D36" s="148">
        <f>'Suivi EAU-ELEC'!C41</f>
        <v>0</v>
      </c>
      <c r="E36" s="96"/>
      <c r="F36" s="211">
        <f t="shared" si="0"/>
        <v>0</v>
      </c>
      <c r="G36" s="212"/>
      <c r="H36" s="213"/>
      <c r="I36" s="143"/>
      <c r="J36" s="94">
        <f>'Suivi EAU-ELEC'!E41</f>
        <v>0</v>
      </c>
      <c r="K36" s="95">
        <f>'Suivi EAU-ELEC'!G41</f>
        <v>0</v>
      </c>
      <c r="L36" s="95">
        <f>'Suivi EAU-ELEC'!I41</f>
        <v>0</v>
      </c>
      <c r="M36" s="82">
        <f t="shared" si="5"/>
        <v>0</v>
      </c>
      <c r="N36" s="58"/>
      <c r="O36" s="59">
        <f t="shared" si="6"/>
        <v>0</v>
      </c>
      <c r="P36" s="57"/>
      <c r="Q36" s="55"/>
      <c r="R36" s="56"/>
      <c r="S36" s="55"/>
      <c r="T36" s="96"/>
      <c r="U36" s="60">
        <f>'Suivi Gaz'!O36</f>
        <v>0</v>
      </c>
      <c r="V36" s="58"/>
      <c r="W36" s="59">
        <f t="shared" si="9"/>
        <v>0</v>
      </c>
      <c r="X36" s="65"/>
      <c r="Y36" s="149">
        <f t="shared" si="2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3"/>
        <v>0</v>
      </c>
      <c r="AK36" s="129" t="e">
        <f t="shared" si="4"/>
        <v>#DIV/0!</v>
      </c>
      <c r="AL36" s="74"/>
    </row>
    <row r="37" spans="1:38" ht="32.25" customHeight="1" thickBot="1" x14ac:dyDescent="0.25">
      <c r="A37" s="73"/>
      <c r="B37" s="92">
        <f t="shared" si="8"/>
        <v>44193</v>
      </c>
      <c r="C37" s="93"/>
      <c r="D37" s="148">
        <f>'Suivi EAU-ELEC'!C42</f>
        <v>0</v>
      </c>
      <c r="E37" s="96"/>
      <c r="F37" s="214">
        <f t="shared" si="0"/>
        <v>0</v>
      </c>
      <c r="G37" s="215"/>
      <c r="H37" s="216"/>
      <c r="I37" s="143"/>
      <c r="J37" s="94">
        <f>'Suivi EAU-ELEC'!E42</f>
        <v>0</v>
      </c>
      <c r="K37" s="95">
        <f>'Suivi EAU-ELEC'!G42</f>
        <v>0</v>
      </c>
      <c r="L37" s="95">
        <f>'Suivi EAU-ELEC'!I42</f>
        <v>0</v>
      </c>
      <c r="M37" s="82">
        <f t="shared" si="5"/>
        <v>0</v>
      </c>
      <c r="N37" s="58"/>
      <c r="O37" s="59">
        <f t="shared" si="6"/>
        <v>0</v>
      </c>
      <c r="P37" s="57"/>
      <c r="Q37" s="55"/>
      <c r="R37" s="56"/>
      <c r="S37" s="55"/>
      <c r="T37" s="96"/>
      <c r="U37" s="60">
        <f>'Suivi Gaz'!O37</f>
        <v>0</v>
      </c>
      <c r="V37" s="58"/>
      <c r="W37" s="59">
        <f t="shared" si="9"/>
        <v>0</v>
      </c>
      <c r="X37" s="65"/>
      <c r="Y37" s="149">
        <f t="shared" si="2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3"/>
        <v>0</v>
      </c>
      <c r="AK37" s="129" t="e">
        <f t="shared" si="4"/>
        <v>#DIV/0!</v>
      </c>
      <c r="AL37" s="74"/>
    </row>
    <row r="38" spans="1:38" ht="32.25" customHeight="1" thickBot="1" x14ac:dyDescent="0.25">
      <c r="A38" s="73"/>
      <c r="B38" s="92">
        <f t="shared" si="8"/>
        <v>44194</v>
      </c>
      <c r="C38" s="93"/>
      <c r="D38" s="148">
        <f>'Suivi EAU-ELEC'!C43</f>
        <v>0</v>
      </c>
      <c r="E38" s="96"/>
      <c r="F38" s="205">
        <f t="shared" si="0"/>
        <v>0</v>
      </c>
      <c r="G38" s="206"/>
      <c r="H38" s="207"/>
      <c r="I38" s="143"/>
      <c r="J38" s="94">
        <f>'Suivi EAU-ELEC'!E43</f>
        <v>0</v>
      </c>
      <c r="K38" s="95">
        <f>'Suivi EAU-ELEC'!G43</f>
        <v>0</v>
      </c>
      <c r="L38" s="95">
        <f>'Suivi EAU-ELEC'!I43</f>
        <v>0</v>
      </c>
      <c r="M38" s="82">
        <f t="shared" si="5"/>
        <v>0</v>
      </c>
      <c r="N38" s="58"/>
      <c r="O38" s="59">
        <f t="shared" si="6"/>
        <v>0</v>
      </c>
      <c r="P38" s="57"/>
      <c r="Q38" s="55"/>
      <c r="R38" s="56"/>
      <c r="S38" s="55"/>
      <c r="T38" s="96"/>
      <c r="U38" s="60">
        <f>'Suivi Gaz'!O38</f>
        <v>0</v>
      </c>
      <c r="V38" s="58"/>
      <c r="W38" s="59">
        <f t="shared" si="9"/>
        <v>0</v>
      </c>
      <c r="X38" s="65"/>
      <c r="Y38" s="149">
        <f t="shared" si="2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3"/>
        <v>0</v>
      </c>
      <c r="AK38" s="129" t="e">
        <f t="shared" si="4"/>
        <v>#DIV/0!</v>
      </c>
      <c r="AL38" s="74"/>
    </row>
    <row r="39" spans="1:38" ht="32.25" customHeight="1" thickBot="1" x14ac:dyDescent="0.25">
      <c r="A39" s="73"/>
      <c r="B39" s="92">
        <f t="shared" si="8"/>
        <v>44195</v>
      </c>
      <c r="C39" s="93"/>
      <c r="D39" s="148">
        <f>'Suivi EAU-ELEC'!C44</f>
        <v>0</v>
      </c>
      <c r="E39" s="96"/>
      <c r="F39" s="186">
        <f t="shared" si="0"/>
        <v>0</v>
      </c>
      <c r="G39" s="187"/>
      <c r="H39" s="188"/>
      <c r="I39" s="143"/>
      <c r="J39" s="94">
        <f>'Suivi EAU-ELEC'!E44</f>
        <v>0</v>
      </c>
      <c r="K39" s="95">
        <f>'Suivi EAU-ELEC'!G44</f>
        <v>0</v>
      </c>
      <c r="L39" s="95">
        <f>'Suivi EAU-ELEC'!I44</f>
        <v>0</v>
      </c>
      <c r="M39" s="82">
        <f t="shared" si="5"/>
        <v>0</v>
      </c>
      <c r="N39" s="58"/>
      <c r="O39" s="59">
        <f t="shared" si="6"/>
        <v>0</v>
      </c>
      <c r="P39" s="57"/>
      <c r="Q39" s="55"/>
      <c r="R39" s="56"/>
      <c r="S39" s="55"/>
      <c r="T39" s="96"/>
      <c r="U39" s="60">
        <f>'Suivi Gaz'!O39</f>
        <v>0</v>
      </c>
      <c r="V39" s="58"/>
      <c r="W39" s="59">
        <f t="shared" si="9"/>
        <v>0</v>
      </c>
      <c r="X39" s="65"/>
      <c r="Y39" s="149">
        <f t="shared" si="2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3"/>
        <v>0</v>
      </c>
      <c r="AK39" s="129" t="e">
        <f t="shared" si="4"/>
        <v>#DIV/0!</v>
      </c>
      <c r="AL39" s="74"/>
    </row>
    <row r="40" spans="1:38" ht="32.25" customHeight="1" thickBot="1" x14ac:dyDescent="0.25">
      <c r="A40" s="73"/>
      <c r="B40" s="92">
        <f t="shared" si="8"/>
        <v>44196</v>
      </c>
      <c r="C40" s="93"/>
      <c r="D40" s="148">
        <f>'Suivi EAU-ELEC'!C45</f>
        <v>0</v>
      </c>
      <c r="E40" s="150"/>
      <c r="F40" s="208">
        <f t="shared" si="0"/>
        <v>0</v>
      </c>
      <c r="G40" s="209"/>
      <c r="H40" s="210"/>
      <c r="I40" s="143"/>
      <c r="J40" s="94">
        <f>'Suivi EAU-ELEC'!E45</f>
        <v>0</v>
      </c>
      <c r="K40" s="95">
        <f>'Suivi EAU-ELEC'!G45</f>
        <v>0</v>
      </c>
      <c r="L40" s="95">
        <f>'Suivi EAU-ELEC'!I45</f>
        <v>0</v>
      </c>
      <c r="M40" s="82">
        <f t="shared" si="5"/>
        <v>0</v>
      </c>
      <c r="N40" s="58"/>
      <c r="O40" s="59">
        <f t="shared" si="6"/>
        <v>0</v>
      </c>
      <c r="P40" s="57"/>
      <c r="Q40" s="55"/>
      <c r="R40" s="56"/>
      <c r="S40" s="55"/>
      <c r="T40" s="96"/>
      <c r="U40" s="60">
        <f>'Suivi Gaz'!O40</f>
        <v>0</v>
      </c>
      <c r="V40" s="58"/>
      <c r="W40" s="59">
        <f t="shared" si="9"/>
        <v>0</v>
      </c>
      <c r="X40" s="65"/>
      <c r="Y40" s="149">
        <f t="shared" si="2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3"/>
        <v>0</v>
      </c>
      <c r="AK40" s="129" t="e">
        <f t="shared" si="4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7">
        <f>SUM(F10:H40)</f>
        <v>5194.7000000000007</v>
      </c>
      <c r="G41" s="218"/>
      <c r="H41" s="219"/>
      <c r="I41" s="102"/>
      <c r="J41" s="104">
        <f>SUM(J10:J40)</f>
        <v>7545</v>
      </c>
      <c r="K41" s="104">
        <f>SUM(K10:K40)</f>
        <v>9913</v>
      </c>
      <c r="L41" s="104">
        <f>SUM(L10:L40)</f>
        <v>5059</v>
      </c>
      <c r="M41" s="104">
        <f>SUM(M10:M40)</f>
        <v>22517</v>
      </c>
      <c r="N41" s="103"/>
      <c r="O41" s="104">
        <f>SUM(O10:O40)</f>
        <v>22291.829999999998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445.2</v>
      </c>
      <c r="V41" s="58"/>
      <c r="W41" s="104">
        <f>SUM(W10:W40)</f>
        <v>3639.8216400000001</v>
      </c>
      <c r="X41" s="140"/>
      <c r="Y41" s="104">
        <f>SUM(Y10:Y40)</f>
        <v>27.959999999999127</v>
      </c>
      <c r="Z41" s="104">
        <f>SUM(Z10:Z40)</f>
        <v>14818.799999999539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45945.151639999538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0"/>
      <c r="G42" s="220"/>
      <c r="H42" s="220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1" t="s">
        <v>9</v>
      </c>
      <c r="B43" s="222"/>
      <c r="C43" s="223"/>
      <c r="D43" s="110" t="s">
        <v>6</v>
      </c>
      <c r="E43" s="111"/>
      <c r="F43" s="112">
        <v>0.64895000000000003</v>
      </c>
      <c r="G43" s="227">
        <f>J41</f>
        <v>7545</v>
      </c>
      <c r="H43" s="228"/>
      <c r="I43" s="229"/>
      <c r="J43" s="230">
        <f>G43*F43</f>
        <v>4896.3277500000004</v>
      </c>
      <c r="K43" s="231"/>
      <c r="L43" s="232">
        <f>J43+J44+J45</f>
        <v>19962.20996</v>
      </c>
      <c r="M43" s="233"/>
      <c r="N43" s="233"/>
      <c r="O43" s="233"/>
      <c r="P43" s="233"/>
      <c r="Q43" s="233"/>
      <c r="R43" s="233"/>
      <c r="S43" s="233"/>
      <c r="T43" s="233"/>
      <c r="U43" s="234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4"/>
      <c r="B44" s="225"/>
      <c r="C44" s="226"/>
      <c r="D44" s="113" t="s">
        <v>7</v>
      </c>
      <c r="E44" s="111"/>
      <c r="F44" s="117">
        <v>0.88605</v>
      </c>
      <c r="G44" s="227">
        <f>K41</f>
        <v>9913</v>
      </c>
      <c r="H44" s="228"/>
      <c r="I44" s="229"/>
      <c r="J44" s="230">
        <f>G44*F44</f>
        <v>8783.4136500000004</v>
      </c>
      <c r="K44" s="231"/>
      <c r="L44" s="235"/>
      <c r="M44" s="236"/>
      <c r="N44" s="236"/>
      <c r="O44" s="236"/>
      <c r="P44" s="236"/>
      <c r="Q44" s="236"/>
      <c r="R44" s="236"/>
      <c r="S44" s="236"/>
      <c r="T44" s="236"/>
      <c r="U44" s="237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4"/>
      <c r="B45" s="225"/>
      <c r="C45" s="226"/>
      <c r="D45" s="118" t="s">
        <v>8</v>
      </c>
      <c r="E45" s="119"/>
      <c r="F45" s="120">
        <v>1.2418400000000001</v>
      </c>
      <c r="G45" s="241">
        <f>L41</f>
        <v>5059</v>
      </c>
      <c r="H45" s="242"/>
      <c r="I45" s="243"/>
      <c r="J45" s="230">
        <f>G45*F45</f>
        <v>6282.4685600000003</v>
      </c>
      <c r="K45" s="231"/>
      <c r="L45" s="238"/>
      <c r="M45" s="239"/>
      <c r="N45" s="239"/>
      <c r="O45" s="239"/>
      <c r="P45" s="239"/>
      <c r="Q45" s="239"/>
      <c r="R45" s="239"/>
      <c r="S45" s="239"/>
      <c r="T45" s="239"/>
      <c r="U45" s="240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5" t="s">
        <v>10</v>
      </c>
      <c r="B46" s="246"/>
      <c r="C46" s="246"/>
      <c r="D46" s="247"/>
      <c r="E46" s="111"/>
      <c r="F46" s="121">
        <v>12.67</v>
      </c>
      <c r="G46" s="245">
        <f>D41</f>
        <v>0</v>
      </c>
      <c r="H46" s="246"/>
      <c r="I46" s="247"/>
      <c r="J46" s="248">
        <f>G46*F46</f>
        <v>0</v>
      </c>
      <c r="K46" s="249"/>
      <c r="L46" s="250">
        <f>J46</f>
        <v>0</v>
      </c>
      <c r="M46" s="251"/>
      <c r="N46" s="251"/>
      <c r="O46" s="251"/>
      <c r="P46" s="251"/>
      <c r="Q46" s="251"/>
      <c r="R46" s="251"/>
      <c r="S46" s="251"/>
      <c r="T46" s="251"/>
      <c r="U46" s="252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3" t="s">
        <v>12</v>
      </c>
      <c r="B47" s="254"/>
      <c r="C47" s="254"/>
      <c r="D47" s="255"/>
      <c r="E47" s="111"/>
      <c r="F47" s="122">
        <v>8.1757000000000009</v>
      </c>
      <c r="G47" s="256">
        <f>U41</f>
        <v>445.2</v>
      </c>
      <c r="H47" s="257"/>
      <c r="I47" s="258"/>
      <c r="J47" s="256">
        <f>G47*F47</f>
        <v>3639.8216400000001</v>
      </c>
      <c r="K47" s="258"/>
      <c r="L47" s="259">
        <f>J47</f>
        <v>3639.8216400000001</v>
      </c>
      <c r="M47" s="260"/>
      <c r="N47" s="260"/>
      <c r="O47" s="260"/>
      <c r="P47" s="260"/>
      <c r="Q47" s="260"/>
      <c r="R47" s="260"/>
      <c r="S47" s="260"/>
      <c r="T47" s="260"/>
      <c r="U47" s="261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3" sqref="B13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2"/>
      <c r="B1" s="262"/>
      <c r="C1" s="263"/>
      <c r="D1" s="264" t="s">
        <v>57</v>
      </c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6"/>
      <c r="AA1" s="267"/>
      <c r="AB1" s="268"/>
      <c r="AC1" s="268"/>
    </row>
    <row r="2" spans="1:31" ht="41.25" customHeight="1" thickBot="1" x14ac:dyDescent="0.4">
      <c r="A2" s="48"/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2"/>
      <c r="Q2" s="269">
        <v>803</v>
      </c>
      <c r="R2" s="270"/>
      <c r="S2" s="270"/>
      <c r="T2" s="270">
        <v>519</v>
      </c>
      <c r="U2" s="270"/>
      <c r="V2" s="270"/>
      <c r="W2" s="270">
        <v>800</v>
      </c>
      <c r="X2" s="270"/>
      <c r="Y2" s="270"/>
      <c r="Z2" s="270">
        <v>802</v>
      </c>
      <c r="AA2" s="270"/>
      <c r="AB2" s="27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44160</v>
      </c>
      <c r="B4" s="20">
        <v>77</v>
      </c>
      <c r="C4" s="18">
        <f t="shared" ref="C4:C12" si="0">IF(AC4&gt;0,((B4-R4)+(S4-B5)),IF(B5=0, ,(B4-B5)))</f>
        <v>0</v>
      </c>
      <c r="D4" s="20">
        <v>73</v>
      </c>
      <c r="E4" s="18">
        <f t="shared" ref="E4:E12" si="1">IF(AC4&gt;0,((D4-U4)+(V4-D5)),IF(D5=0, ,(D4-D5)))</f>
        <v>0</v>
      </c>
      <c r="F4" s="20">
        <v>80</v>
      </c>
      <c r="G4" s="18">
        <f t="shared" ref="G4:G8" si="2">IF(AC4&gt;0,((F4-X4)+(Y4-F5)),IF(F5=0, ,(F4-F5)))</f>
        <v>2</v>
      </c>
      <c r="H4" s="20">
        <v>76</v>
      </c>
      <c r="I4" s="18">
        <f t="shared" ref="I4:I14" si="3">IF(AC4&gt;0,((H4-AA4)+(AB4-H5)),IF(H5=0, ,(H4-H5)))</f>
        <v>1</v>
      </c>
      <c r="J4" s="18">
        <f t="shared" ref="J4:J14" si="4">B4+D4+F4+H4</f>
        <v>306</v>
      </c>
      <c r="K4" s="18">
        <f t="shared" ref="K4:K14" si="5">J4/4</f>
        <v>76.5</v>
      </c>
      <c r="L4" s="18">
        <f t="shared" ref="L4:L14" si="6">IF(AC4&gt;0,((K4-AD4)+(AE4-K5)),IF(K5=0, ,(K4-K5)))</f>
        <v>0.75</v>
      </c>
      <c r="M4" s="18">
        <f t="shared" ref="M4:M42" si="7">7000*4</f>
        <v>28000</v>
      </c>
      <c r="N4" s="18">
        <f t="shared" ref="N4:N14" si="8">L4*M4/100</f>
        <v>210</v>
      </c>
      <c r="O4" s="18">
        <f t="shared" ref="O4:O14" si="9">N4*0.53</f>
        <v>111.30000000000001</v>
      </c>
      <c r="P4" s="21">
        <f t="shared" ref="P4:P9" si="10">O4*7.8338</f>
        <v>871.90194000000008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44161</v>
      </c>
      <c r="B5" s="20">
        <v>77</v>
      </c>
      <c r="C5" s="18">
        <f t="shared" si="0"/>
        <v>3</v>
      </c>
      <c r="D5" s="20">
        <v>73</v>
      </c>
      <c r="E5" s="18">
        <f t="shared" si="1"/>
        <v>0</v>
      </c>
      <c r="F5" s="20">
        <v>78</v>
      </c>
      <c r="G5" s="18">
        <f t="shared" si="2"/>
        <v>6</v>
      </c>
      <c r="H5" s="20">
        <v>75</v>
      </c>
      <c r="I5" s="18">
        <f t="shared" si="3"/>
        <v>1</v>
      </c>
      <c r="J5" s="18">
        <f t="shared" si="4"/>
        <v>303</v>
      </c>
      <c r="K5" s="18">
        <f t="shared" si="5"/>
        <v>75.75</v>
      </c>
      <c r="L5" s="18">
        <f t="shared" si="6"/>
        <v>2.5</v>
      </c>
      <c r="M5" s="18">
        <f t="shared" si="7"/>
        <v>28000</v>
      </c>
      <c r="N5" s="18">
        <f t="shared" si="8"/>
        <v>700</v>
      </c>
      <c r="O5" s="18">
        <f t="shared" si="9"/>
        <v>371</v>
      </c>
      <c r="P5" s="21">
        <f t="shared" si="10"/>
        <v>2906.3398000000002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44162</v>
      </c>
      <c r="B6" s="20">
        <v>74</v>
      </c>
      <c r="C6" s="18">
        <f t="shared" si="0"/>
        <v>2</v>
      </c>
      <c r="D6" s="20">
        <v>73</v>
      </c>
      <c r="E6" s="18">
        <f t="shared" si="1"/>
        <v>2</v>
      </c>
      <c r="F6" s="20">
        <v>72</v>
      </c>
      <c r="G6" s="18">
        <f t="shared" si="2"/>
        <v>2</v>
      </c>
      <c r="H6" s="20">
        <v>74</v>
      </c>
      <c r="I6" s="18">
        <f t="shared" si="3"/>
        <v>2</v>
      </c>
      <c r="J6" s="18">
        <f t="shared" si="4"/>
        <v>293</v>
      </c>
      <c r="K6" s="18">
        <f t="shared" si="5"/>
        <v>73.25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2325.0718400000001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44163</v>
      </c>
      <c r="B7" s="20">
        <v>72</v>
      </c>
      <c r="C7" s="18">
        <f t="shared" si="0"/>
        <v>0</v>
      </c>
      <c r="D7" s="20">
        <v>71</v>
      </c>
      <c r="E7" s="18">
        <f t="shared" si="1"/>
        <v>1</v>
      </c>
      <c r="F7" s="20">
        <v>70</v>
      </c>
      <c r="G7" s="18">
        <f t="shared" si="2"/>
        <v>1</v>
      </c>
      <c r="H7" s="20">
        <v>72</v>
      </c>
      <c r="I7" s="18">
        <f t="shared" si="3"/>
        <v>1</v>
      </c>
      <c r="J7" s="18">
        <f t="shared" si="4"/>
        <v>285</v>
      </c>
      <c r="K7" s="18">
        <f t="shared" si="5"/>
        <v>71.25</v>
      </c>
      <c r="L7" s="18">
        <f t="shared" si="6"/>
        <v>0.75</v>
      </c>
      <c r="M7" s="18">
        <f t="shared" si="7"/>
        <v>28000</v>
      </c>
      <c r="N7" s="18">
        <f t="shared" si="8"/>
        <v>210</v>
      </c>
      <c r="O7" s="18">
        <f t="shared" si="9"/>
        <v>111.30000000000001</v>
      </c>
      <c r="P7" s="21">
        <f t="shared" si="10"/>
        <v>871.90194000000008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44164</v>
      </c>
      <c r="B8" s="20">
        <v>72</v>
      </c>
      <c r="C8" s="18">
        <f t="shared" si="0"/>
        <v>2</v>
      </c>
      <c r="D8" s="20">
        <v>70</v>
      </c>
      <c r="E8" s="18">
        <f t="shared" si="1"/>
        <v>1</v>
      </c>
      <c r="F8" s="20">
        <v>69</v>
      </c>
      <c r="G8" s="18">
        <f t="shared" si="2"/>
        <v>2</v>
      </c>
      <c r="H8" s="20">
        <v>71</v>
      </c>
      <c r="I8" s="18">
        <f t="shared" si="3"/>
        <v>1</v>
      </c>
      <c r="J8" s="18">
        <f t="shared" si="4"/>
        <v>282</v>
      </c>
      <c r="K8" s="18">
        <f t="shared" si="5"/>
        <v>70.5</v>
      </c>
      <c r="L8" s="18">
        <f t="shared" si="6"/>
        <v>1.5</v>
      </c>
      <c r="M8" s="18">
        <f t="shared" si="7"/>
        <v>28000</v>
      </c>
      <c r="N8" s="18">
        <f t="shared" si="8"/>
        <v>420</v>
      </c>
      <c r="O8" s="18">
        <f t="shared" si="9"/>
        <v>222.60000000000002</v>
      </c>
      <c r="P8" s="21">
        <f t="shared" si="10"/>
        <v>1743.8038800000002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44165</v>
      </c>
      <c r="B9" s="20">
        <v>70</v>
      </c>
      <c r="C9" s="18">
        <f t="shared" si="0"/>
        <v>2</v>
      </c>
      <c r="D9" s="20">
        <v>69</v>
      </c>
      <c r="E9" s="18">
        <f t="shared" si="1"/>
        <v>1</v>
      </c>
      <c r="F9" s="20">
        <v>67</v>
      </c>
      <c r="G9" s="18"/>
      <c r="H9" s="20">
        <v>70</v>
      </c>
      <c r="I9" s="18">
        <f t="shared" si="3"/>
        <v>1</v>
      </c>
      <c r="J9" s="18">
        <f t="shared" si="4"/>
        <v>276</v>
      </c>
      <c r="K9" s="18">
        <f t="shared" si="5"/>
        <v>69</v>
      </c>
      <c r="L9" s="18">
        <f t="shared" si="6"/>
        <v>1.25</v>
      </c>
      <c r="M9" s="18">
        <f t="shared" si="7"/>
        <v>28000</v>
      </c>
      <c r="N9" s="18">
        <f t="shared" si="8"/>
        <v>350</v>
      </c>
      <c r="O9" s="18">
        <f t="shared" si="9"/>
        <v>185.5</v>
      </c>
      <c r="P9" s="21">
        <f t="shared" si="10"/>
        <v>1453.1699000000001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44166</v>
      </c>
      <c r="B10" s="20">
        <v>68</v>
      </c>
      <c r="C10" s="18">
        <f t="shared" si="0"/>
        <v>0</v>
      </c>
      <c r="D10" s="20">
        <v>68</v>
      </c>
      <c r="E10" s="18">
        <f t="shared" si="1"/>
        <v>0</v>
      </c>
      <c r="F10" s="20">
        <v>66</v>
      </c>
      <c r="G10" s="18">
        <f t="shared" ref="G10:G12" si="15">IF(AC10&gt;0,((F10-X10)+(Y10-F11)),IF(F11=0, ,(F10-F11)))</f>
        <v>1</v>
      </c>
      <c r="H10" s="20">
        <v>69</v>
      </c>
      <c r="I10" s="18">
        <f t="shared" si="3"/>
        <v>4</v>
      </c>
      <c r="J10" s="18">
        <f t="shared" si="4"/>
        <v>271</v>
      </c>
      <c r="K10" s="18">
        <f t="shared" si="5"/>
        <v>67.75</v>
      </c>
      <c r="L10" s="18">
        <f t="shared" si="6"/>
        <v>1.25</v>
      </c>
      <c r="M10" s="18">
        <f t="shared" si="7"/>
        <v>28000</v>
      </c>
      <c r="N10" s="18">
        <f t="shared" si="8"/>
        <v>350</v>
      </c>
      <c r="O10" s="18">
        <f t="shared" si="9"/>
        <v>185.5</v>
      </c>
      <c r="P10" s="21">
        <f>O10*7.9432</f>
        <v>1473.4636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44167</v>
      </c>
      <c r="B11" s="20">
        <v>68</v>
      </c>
      <c r="C11" s="18">
        <f t="shared" si="0"/>
        <v>1</v>
      </c>
      <c r="D11" s="20">
        <v>68</v>
      </c>
      <c r="E11" s="18">
        <f t="shared" si="1"/>
        <v>0</v>
      </c>
      <c r="F11" s="20">
        <v>65</v>
      </c>
      <c r="G11" s="18">
        <f t="shared" si="15"/>
        <v>3</v>
      </c>
      <c r="H11" s="20">
        <v>65</v>
      </c>
      <c r="I11" s="18">
        <f t="shared" si="3"/>
        <v>3</v>
      </c>
      <c r="J11" s="18">
        <f t="shared" si="4"/>
        <v>266</v>
      </c>
      <c r="K11" s="18">
        <f t="shared" si="5"/>
        <v>66.5</v>
      </c>
      <c r="L11" s="18">
        <f t="shared" si="6"/>
        <v>1.75</v>
      </c>
      <c r="M11" s="18">
        <f t="shared" si="7"/>
        <v>28000</v>
      </c>
      <c r="N11" s="18">
        <f t="shared" si="8"/>
        <v>490</v>
      </c>
      <c r="O11" s="18">
        <f t="shared" si="9"/>
        <v>259.7</v>
      </c>
      <c r="P11" s="21">
        <f t="shared" ref="P11:P15" si="16">O11*7.9432</f>
        <v>2062.8490400000001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7">(R11+U11+X11+AA11)/4</f>
        <v>0</v>
      </c>
      <c r="AE11" s="49">
        <f t="shared" si="17"/>
        <v>0</v>
      </c>
    </row>
    <row r="12" spans="1:31" ht="32.25" customHeight="1" x14ac:dyDescent="0.3">
      <c r="A12" s="19">
        <f t="shared" si="14"/>
        <v>44168</v>
      </c>
      <c r="B12" s="20">
        <v>67</v>
      </c>
      <c r="C12" s="18">
        <f t="shared" si="0"/>
        <v>0</v>
      </c>
      <c r="D12" s="20">
        <v>68</v>
      </c>
      <c r="E12" s="18">
        <f t="shared" si="1"/>
        <v>0</v>
      </c>
      <c r="F12" s="20">
        <v>62</v>
      </c>
      <c r="G12" s="18">
        <f t="shared" si="15"/>
        <v>0</v>
      </c>
      <c r="H12" s="20">
        <v>62</v>
      </c>
      <c r="I12" s="18">
        <f t="shared" si="3"/>
        <v>0</v>
      </c>
      <c r="J12" s="18">
        <f t="shared" si="4"/>
        <v>259</v>
      </c>
      <c r="K12" s="18">
        <f t="shared" si="5"/>
        <v>64.75</v>
      </c>
      <c r="L12" s="18">
        <f t="shared" si="6"/>
        <v>0</v>
      </c>
      <c r="M12" s="18">
        <f t="shared" si="7"/>
        <v>28000</v>
      </c>
      <c r="N12" s="18">
        <f t="shared" si="8"/>
        <v>0</v>
      </c>
      <c r="O12" s="18">
        <f t="shared" si="9"/>
        <v>0</v>
      </c>
      <c r="P12" s="21">
        <f t="shared" si="16"/>
        <v>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7"/>
        <v>0</v>
      </c>
      <c r="AE12" s="49">
        <f t="shared" si="17"/>
        <v>0</v>
      </c>
    </row>
    <row r="13" spans="1:31" ht="32.25" customHeight="1" x14ac:dyDescent="0.3">
      <c r="A13" s="19">
        <f t="shared" si="14"/>
        <v>44169</v>
      </c>
      <c r="B13" s="20"/>
      <c r="C13" s="18">
        <f t="shared" ref="C12:C42" si="18">IF(AC13&gt;0,((B13-R13)+(S13-B14)),IF(B14=0, ,(B13-B14)))</f>
        <v>0</v>
      </c>
      <c r="D13" s="20"/>
      <c r="E13" s="18">
        <f t="shared" ref="E12:E42" si="19">IF(AC13&gt;0,((D13-U13)+(V13-D14)),IF(D14=0, ,(D13-D14)))</f>
        <v>0</v>
      </c>
      <c r="F13" s="20"/>
      <c r="G13" s="18">
        <f t="shared" ref="G12:G42" si="20">IF(AC13&gt;0,((F13-X13)+(Y13-F14)),IF(F14=0, ,(F13-F14)))</f>
        <v>0</v>
      </c>
      <c r="H13" s="20"/>
      <c r="I13" s="18">
        <f t="shared" si="3"/>
        <v>0</v>
      </c>
      <c r="J13" s="18">
        <f t="shared" si="4"/>
        <v>0</v>
      </c>
      <c r="K13" s="18">
        <f t="shared" si="5"/>
        <v>0</v>
      </c>
      <c r="L13" s="18">
        <f t="shared" si="6"/>
        <v>0</v>
      </c>
      <c r="M13" s="18">
        <f t="shared" si="7"/>
        <v>28000</v>
      </c>
      <c r="N13" s="18">
        <f t="shared" si="8"/>
        <v>0</v>
      </c>
      <c r="O13" s="18">
        <f t="shared" si="9"/>
        <v>0</v>
      </c>
      <c r="P13" s="21">
        <f t="shared" si="16"/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7"/>
        <v>0</v>
      </c>
      <c r="AE13" s="49">
        <f t="shared" si="17"/>
        <v>0</v>
      </c>
    </row>
    <row r="14" spans="1:31" ht="32.25" customHeight="1" x14ac:dyDescent="0.3">
      <c r="A14" s="19">
        <f t="shared" si="14"/>
        <v>44170</v>
      </c>
      <c r="B14" s="20"/>
      <c r="C14" s="18">
        <f t="shared" si="18"/>
        <v>0</v>
      </c>
      <c r="D14" s="20"/>
      <c r="E14" s="18">
        <f t="shared" si="19"/>
        <v>0</v>
      </c>
      <c r="F14" s="20"/>
      <c r="G14" s="18">
        <f t="shared" si="20"/>
        <v>0</v>
      </c>
      <c r="H14" s="20"/>
      <c r="I14" s="18">
        <f t="shared" si="3"/>
        <v>0</v>
      </c>
      <c r="J14" s="18">
        <f t="shared" si="4"/>
        <v>0</v>
      </c>
      <c r="K14" s="18">
        <f t="shared" si="5"/>
        <v>0</v>
      </c>
      <c r="L14" s="18">
        <f t="shared" si="6"/>
        <v>0</v>
      </c>
      <c r="M14" s="18">
        <f t="shared" si="7"/>
        <v>28000</v>
      </c>
      <c r="N14" s="18">
        <f t="shared" si="8"/>
        <v>0</v>
      </c>
      <c r="O14" s="18">
        <f t="shared" si="9"/>
        <v>0</v>
      </c>
      <c r="P14" s="21">
        <f t="shared" si="16"/>
        <v>0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1">(R14+U14+X14+AA14)/4</f>
        <v>0</v>
      </c>
      <c r="AE14" s="49">
        <f t="shared" ref="AE14:AE42" si="22">(S14+V14+Y14+AB14)/4</f>
        <v>0</v>
      </c>
    </row>
    <row r="15" spans="1:31" ht="32.25" customHeight="1" x14ac:dyDescent="0.3">
      <c r="A15" s="19">
        <f t="shared" si="14"/>
        <v>44171</v>
      </c>
      <c r="B15" s="20"/>
      <c r="C15" s="18">
        <f t="shared" si="18"/>
        <v>0</v>
      </c>
      <c r="D15" s="20"/>
      <c r="E15" s="18">
        <f t="shared" si="19"/>
        <v>0</v>
      </c>
      <c r="F15" s="20"/>
      <c r="G15" s="18">
        <f t="shared" si="20"/>
        <v>0</v>
      </c>
      <c r="H15" s="20"/>
      <c r="I15" s="18">
        <f t="shared" ref="I15:I17" si="23">IF(AC15&gt;0,((H15-AA15)+(AB15-H16)),IF(H16=0, ,(H15-H16)))</f>
        <v>0</v>
      </c>
      <c r="J15" s="18">
        <f t="shared" ref="J15:J42" si="24">B15+D15+F15+H15</f>
        <v>0</v>
      </c>
      <c r="K15" s="18">
        <f t="shared" ref="K15:K42" si="25">J15/4</f>
        <v>0</v>
      </c>
      <c r="L15" s="18">
        <f t="shared" ref="L15:L16" si="26">IF(AC15&gt;0,((K15-AD15)+(AE15-K16)),IF(K16=0, ,(K15-K16)))</f>
        <v>0</v>
      </c>
      <c r="M15" s="18">
        <f t="shared" si="7"/>
        <v>28000</v>
      </c>
      <c r="N15" s="18">
        <f t="shared" ref="N15" si="27">L15*M15/100</f>
        <v>0</v>
      </c>
      <c r="O15" s="18">
        <f t="shared" ref="O15" si="28">N15*0.53</f>
        <v>0</v>
      </c>
      <c r="P15" s="21">
        <f t="shared" si="16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1"/>
        <v>0</v>
      </c>
      <c r="AE15" s="49">
        <f t="shared" si="22"/>
        <v>0</v>
      </c>
    </row>
    <row r="16" spans="1:31" ht="32.25" customHeight="1" x14ac:dyDescent="0.3">
      <c r="A16" s="19">
        <f t="shared" si="14"/>
        <v>44172</v>
      </c>
      <c r="B16" s="20"/>
      <c r="C16" s="18">
        <f t="shared" si="18"/>
        <v>0</v>
      </c>
      <c r="D16" s="20"/>
      <c r="E16" s="18">
        <f t="shared" si="19"/>
        <v>0</v>
      </c>
      <c r="F16" s="20"/>
      <c r="G16" s="18">
        <f t="shared" si="20"/>
        <v>0</v>
      </c>
      <c r="H16" s="20"/>
      <c r="I16" s="18">
        <f t="shared" si="23"/>
        <v>0</v>
      </c>
      <c r="J16" s="18">
        <f t="shared" si="24"/>
        <v>0</v>
      </c>
      <c r="K16" s="18">
        <f t="shared" si="25"/>
        <v>0</v>
      </c>
      <c r="L16" s="18">
        <f t="shared" si="26"/>
        <v>0</v>
      </c>
      <c r="M16" s="18">
        <f t="shared" si="7"/>
        <v>28000</v>
      </c>
      <c r="N16" s="18">
        <f t="shared" ref="N16:N42" si="29">L16*M16/100</f>
        <v>0</v>
      </c>
      <c r="O16" s="18">
        <f t="shared" ref="O16:O42" si="30">N16*0.53</f>
        <v>0</v>
      </c>
      <c r="P16" s="21">
        <f>O16*8.1757</f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1"/>
        <v>0</v>
      </c>
      <c r="AE16" s="49">
        <f t="shared" si="22"/>
        <v>0</v>
      </c>
    </row>
    <row r="17" spans="1:31" ht="32.25" customHeight="1" x14ac:dyDescent="0.3">
      <c r="A17" s="19">
        <f t="shared" si="14"/>
        <v>44173</v>
      </c>
      <c r="B17" s="20"/>
      <c r="C17" s="18">
        <f t="shared" si="18"/>
        <v>0</v>
      </c>
      <c r="D17" s="20"/>
      <c r="E17" s="18">
        <f t="shared" si="19"/>
        <v>0</v>
      </c>
      <c r="F17" s="20"/>
      <c r="G17" s="18">
        <f t="shared" si="20"/>
        <v>0</v>
      </c>
      <c r="H17" s="20"/>
      <c r="I17" s="18">
        <f t="shared" si="23"/>
        <v>0</v>
      </c>
      <c r="J17" s="18">
        <f t="shared" si="24"/>
        <v>0</v>
      </c>
      <c r="K17" s="18">
        <f t="shared" si="25"/>
        <v>0</v>
      </c>
      <c r="L17" s="18">
        <f t="shared" ref="L17:L42" si="31">IF(AC17&gt;0,((K17-AD17)+(AE17-K18)),IF(K18=0, ,(K17-K18)))</f>
        <v>0</v>
      </c>
      <c r="M17" s="18">
        <f t="shared" si="7"/>
        <v>28000</v>
      </c>
      <c r="N17" s="18">
        <f t="shared" si="29"/>
        <v>0</v>
      </c>
      <c r="O17" s="18">
        <f t="shared" si="30"/>
        <v>0</v>
      </c>
      <c r="P17" s="21">
        <f t="shared" ref="P17:P43" si="32">O17*8.1757</f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1"/>
        <v>0</v>
      </c>
      <c r="AE17" s="49">
        <f t="shared" si="22"/>
        <v>0</v>
      </c>
    </row>
    <row r="18" spans="1:31" ht="32.25" customHeight="1" x14ac:dyDescent="0.3">
      <c r="A18" s="19">
        <f t="shared" si="14"/>
        <v>44174</v>
      </c>
      <c r="B18" s="20"/>
      <c r="C18" s="18">
        <f t="shared" si="18"/>
        <v>0</v>
      </c>
      <c r="D18" s="20"/>
      <c r="E18" s="18">
        <f t="shared" si="19"/>
        <v>0</v>
      </c>
      <c r="F18" s="20"/>
      <c r="G18" s="18">
        <f t="shared" si="20"/>
        <v>0</v>
      </c>
      <c r="H18" s="20"/>
      <c r="I18" s="18">
        <f t="shared" ref="I18:I42" si="33">IF(AC18&gt;0,((H18-AA18)+(AB18-H19)),IF(H19=0, ,(H18-H19)))</f>
        <v>0</v>
      </c>
      <c r="J18" s="18">
        <f t="shared" si="24"/>
        <v>0</v>
      </c>
      <c r="K18" s="18">
        <f t="shared" si="25"/>
        <v>0</v>
      </c>
      <c r="L18" s="18">
        <f t="shared" si="31"/>
        <v>0</v>
      </c>
      <c r="M18" s="18">
        <f t="shared" si="7"/>
        <v>28000</v>
      </c>
      <c r="N18" s="18">
        <f t="shared" si="29"/>
        <v>0</v>
      </c>
      <c r="O18" s="18">
        <f t="shared" si="30"/>
        <v>0</v>
      </c>
      <c r="P18" s="21">
        <f t="shared" si="32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3"/>
        <v>0</v>
      </c>
      <c r="AD18" s="49">
        <f t="shared" si="21"/>
        <v>0</v>
      </c>
      <c r="AE18" s="49">
        <f t="shared" si="22"/>
        <v>0</v>
      </c>
    </row>
    <row r="19" spans="1:31" ht="32.25" customHeight="1" x14ac:dyDescent="0.3">
      <c r="A19" s="19">
        <f t="shared" si="14"/>
        <v>44175</v>
      </c>
      <c r="B19" s="20"/>
      <c r="C19" s="18">
        <f t="shared" si="18"/>
        <v>0</v>
      </c>
      <c r="D19" s="20"/>
      <c r="E19" s="18">
        <f t="shared" si="19"/>
        <v>0</v>
      </c>
      <c r="F19" s="20"/>
      <c r="G19" s="18">
        <f t="shared" si="20"/>
        <v>0</v>
      </c>
      <c r="H19" s="20"/>
      <c r="I19" s="18">
        <f t="shared" si="33"/>
        <v>0</v>
      </c>
      <c r="J19" s="18">
        <f t="shared" si="24"/>
        <v>0</v>
      </c>
      <c r="K19" s="18">
        <f t="shared" si="25"/>
        <v>0</v>
      </c>
      <c r="L19" s="18">
        <f t="shared" si="31"/>
        <v>0</v>
      </c>
      <c r="M19" s="18">
        <f t="shared" si="7"/>
        <v>28000</v>
      </c>
      <c r="N19" s="18">
        <f t="shared" si="29"/>
        <v>0</v>
      </c>
      <c r="O19" s="18">
        <f t="shared" si="30"/>
        <v>0</v>
      </c>
      <c r="P19" s="21">
        <f t="shared" si="32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21"/>
        <v>0</v>
      </c>
      <c r="AE19" s="49">
        <f t="shared" si="22"/>
        <v>0</v>
      </c>
    </row>
    <row r="20" spans="1:31" ht="32.25" customHeight="1" x14ac:dyDescent="0.3">
      <c r="A20" s="19">
        <f t="shared" si="14"/>
        <v>44176</v>
      </c>
      <c r="B20" s="20"/>
      <c r="C20" s="18">
        <f t="shared" si="18"/>
        <v>0</v>
      </c>
      <c r="D20" s="20"/>
      <c r="E20" s="18">
        <f t="shared" si="19"/>
        <v>0</v>
      </c>
      <c r="F20" s="20"/>
      <c r="G20" s="18">
        <f t="shared" si="20"/>
        <v>0</v>
      </c>
      <c r="H20" s="20"/>
      <c r="I20" s="18">
        <f t="shared" si="33"/>
        <v>0</v>
      </c>
      <c r="J20" s="18">
        <f t="shared" si="24"/>
        <v>0</v>
      </c>
      <c r="K20" s="18">
        <f t="shared" si="25"/>
        <v>0</v>
      </c>
      <c r="L20" s="18">
        <f t="shared" si="31"/>
        <v>0</v>
      </c>
      <c r="M20" s="18">
        <f t="shared" si="7"/>
        <v>28000</v>
      </c>
      <c r="N20" s="18">
        <f t="shared" si="29"/>
        <v>0</v>
      </c>
      <c r="O20" s="18">
        <f t="shared" si="30"/>
        <v>0</v>
      </c>
      <c r="P20" s="21">
        <f t="shared" si="32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1"/>
        <v>0</v>
      </c>
      <c r="AE20" s="49">
        <f t="shared" si="22"/>
        <v>0</v>
      </c>
    </row>
    <row r="21" spans="1:31" ht="32.25" customHeight="1" x14ac:dyDescent="0.3">
      <c r="A21" s="19">
        <f t="shared" si="14"/>
        <v>44177</v>
      </c>
      <c r="B21" s="20"/>
      <c r="C21" s="18">
        <f t="shared" si="18"/>
        <v>0</v>
      </c>
      <c r="D21" s="20"/>
      <c r="E21" s="18">
        <f t="shared" si="19"/>
        <v>0</v>
      </c>
      <c r="F21" s="20"/>
      <c r="G21" s="18">
        <f t="shared" si="20"/>
        <v>0</v>
      </c>
      <c r="H21" s="20"/>
      <c r="I21" s="18">
        <f t="shared" si="33"/>
        <v>0</v>
      </c>
      <c r="J21" s="18">
        <f t="shared" si="24"/>
        <v>0</v>
      </c>
      <c r="K21" s="18">
        <f t="shared" si="25"/>
        <v>0</v>
      </c>
      <c r="L21" s="18">
        <f t="shared" si="31"/>
        <v>0</v>
      </c>
      <c r="M21" s="18">
        <f t="shared" si="7"/>
        <v>28000</v>
      </c>
      <c r="N21" s="18">
        <f t="shared" si="29"/>
        <v>0</v>
      </c>
      <c r="O21" s="18">
        <f t="shared" si="30"/>
        <v>0</v>
      </c>
      <c r="P21" s="21">
        <f t="shared" si="32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1"/>
        <v>0</v>
      </c>
      <c r="AE21" s="49">
        <f t="shared" si="22"/>
        <v>0</v>
      </c>
    </row>
    <row r="22" spans="1:31" ht="32.25" customHeight="1" x14ac:dyDescent="0.3">
      <c r="A22" s="19">
        <f t="shared" si="14"/>
        <v>44178</v>
      </c>
      <c r="B22" s="20"/>
      <c r="C22" s="18">
        <f t="shared" si="18"/>
        <v>0</v>
      </c>
      <c r="D22" s="20"/>
      <c r="E22" s="18">
        <f t="shared" si="19"/>
        <v>0</v>
      </c>
      <c r="F22" s="20"/>
      <c r="G22" s="18">
        <f t="shared" si="20"/>
        <v>0</v>
      </c>
      <c r="H22" s="20"/>
      <c r="I22" s="18">
        <f t="shared" si="33"/>
        <v>0</v>
      </c>
      <c r="J22" s="18">
        <f t="shared" si="24"/>
        <v>0</v>
      </c>
      <c r="K22" s="18">
        <f t="shared" si="25"/>
        <v>0</v>
      </c>
      <c r="L22" s="18">
        <f t="shared" si="31"/>
        <v>0</v>
      </c>
      <c r="M22" s="18">
        <f t="shared" si="7"/>
        <v>28000</v>
      </c>
      <c r="N22" s="18">
        <f t="shared" si="29"/>
        <v>0</v>
      </c>
      <c r="O22" s="18">
        <f t="shared" si="30"/>
        <v>0</v>
      </c>
      <c r="P22" s="21">
        <f t="shared" si="32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1"/>
        <v>0</v>
      </c>
      <c r="AE22" s="49">
        <f t="shared" si="22"/>
        <v>0</v>
      </c>
    </row>
    <row r="23" spans="1:31" ht="32.25" customHeight="1" x14ac:dyDescent="0.3">
      <c r="A23" s="19">
        <f t="shared" si="14"/>
        <v>44179</v>
      </c>
      <c r="B23" s="20"/>
      <c r="C23" s="18">
        <f t="shared" si="18"/>
        <v>0</v>
      </c>
      <c r="D23" s="20"/>
      <c r="E23" s="18">
        <f t="shared" si="19"/>
        <v>0</v>
      </c>
      <c r="F23" s="20"/>
      <c r="G23" s="18">
        <f t="shared" si="20"/>
        <v>0</v>
      </c>
      <c r="H23" s="20"/>
      <c r="I23" s="18">
        <f t="shared" si="33"/>
        <v>0</v>
      </c>
      <c r="J23" s="18">
        <f t="shared" si="24"/>
        <v>0</v>
      </c>
      <c r="K23" s="18">
        <f t="shared" si="25"/>
        <v>0</v>
      </c>
      <c r="L23" s="18">
        <f t="shared" si="31"/>
        <v>0</v>
      </c>
      <c r="M23" s="18">
        <f t="shared" si="7"/>
        <v>28000</v>
      </c>
      <c r="N23" s="18">
        <f t="shared" si="29"/>
        <v>0</v>
      </c>
      <c r="O23" s="18">
        <f t="shared" si="30"/>
        <v>0</v>
      </c>
      <c r="P23" s="21">
        <f t="shared" si="32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1"/>
        <v>0</v>
      </c>
      <c r="AE23" s="49">
        <f t="shared" si="22"/>
        <v>0</v>
      </c>
    </row>
    <row r="24" spans="1:31" ht="32.25" customHeight="1" x14ac:dyDescent="0.3">
      <c r="A24" s="19">
        <f t="shared" si="14"/>
        <v>44180</v>
      </c>
      <c r="B24" s="20"/>
      <c r="C24" s="18">
        <f t="shared" si="18"/>
        <v>0</v>
      </c>
      <c r="D24" s="20"/>
      <c r="E24" s="18">
        <f t="shared" si="19"/>
        <v>0</v>
      </c>
      <c r="F24" s="20"/>
      <c r="G24" s="18">
        <f t="shared" si="20"/>
        <v>0</v>
      </c>
      <c r="H24" s="20"/>
      <c r="I24" s="18">
        <f t="shared" si="33"/>
        <v>0</v>
      </c>
      <c r="J24" s="18">
        <f t="shared" si="24"/>
        <v>0</v>
      </c>
      <c r="K24" s="18">
        <f t="shared" si="25"/>
        <v>0</v>
      </c>
      <c r="L24" s="18">
        <f t="shared" si="31"/>
        <v>0</v>
      </c>
      <c r="M24" s="18">
        <f t="shared" si="7"/>
        <v>28000</v>
      </c>
      <c r="N24" s="18">
        <f t="shared" si="29"/>
        <v>0</v>
      </c>
      <c r="O24" s="18">
        <f t="shared" si="30"/>
        <v>0</v>
      </c>
      <c r="P24" s="21">
        <f t="shared" si="32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1"/>
        <v>0</v>
      </c>
      <c r="AE24" s="49">
        <f t="shared" si="22"/>
        <v>0</v>
      </c>
    </row>
    <row r="25" spans="1:31" ht="32.25" customHeight="1" x14ac:dyDescent="0.3">
      <c r="A25" s="19">
        <f t="shared" si="14"/>
        <v>44181</v>
      </c>
      <c r="B25" s="20"/>
      <c r="C25" s="18">
        <f t="shared" si="18"/>
        <v>0</v>
      </c>
      <c r="D25" s="20"/>
      <c r="E25" s="18">
        <f t="shared" si="19"/>
        <v>0</v>
      </c>
      <c r="F25" s="20"/>
      <c r="G25" s="18">
        <f t="shared" si="20"/>
        <v>0</v>
      </c>
      <c r="H25" s="20"/>
      <c r="I25" s="18">
        <f t="shared" si="33"/>
        <v>0</v>
      </c>
      <c r="J25" s="18">
        <f t="shared" si="24"/>
        <v>0</v>
      </c>
      <c r="K25" s="18">
        <f t="shared" si="25"/>
        <v>0</v>
      </c>
      <c r="L25" s="18">
        <f t="shared" si="31"/>
        <v>0</v>
      </c>
      <c r="M25" s="18">
        <f t="shared" si="7"/>
        <v>28000</v>
      </c>
      <c r="N25" s="18">
        <f t="shared" si="29"/>
        <v>0</v>
      </c>
      <c r="O25" s="18">
        <f t="shared" si="30"/>
        <v>0</v>
      </c>
      <c r="P25" s="21">
        <f t="shared" si="32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1"/>
        <v>0</v>
      </c>
      <c r="AE25" s="49">
        <f t="shared" si="22"/>
        <v>0</v>
      </c>
    </row>
    <row r="26" spans="1:31" ht="32.25" customHeight="1" x14ac:dyDescent="0.3">
      <c r="A26" s="19">
        <f t="shared" si="14"/>
        <v>44182</v>
      </c>
      <c r="B26" s="20"/>
      <c r="C26" s="18">
        <f t="shared" si="18"/>
        <v>0</v>
      </c>
      <c r="D26" s="20"/>
      <c r="E26" s="18">
        <f t="shared" si="19"/>
        <v>0</v>
      </c>
      <c r="F26" s="20"/>
      <c r="G26" s="18">
        <f t="shared" si="20"/>
        <v>0</v>
      </c>
      <c r="H26" s="20"/>
      <c r="I26" s="18">
        <f t="shared" si="33"/>
        <v>0</v>
      </c>
      <c r="J26" s="18">
        <f t="shared" si="24"/>
        <v>0</v>
      </c>
      <c r="K26" s="18">
        <f t="shared" si="25"/>
        <v>0</v>
      </c>
      <c r="L26" s="18">
        <f t="shared" si="31"/>
        <v>0</v>
      </c>
      <c r="M26" s="18">
        <f t="shared" si="7"/>
        <v>28000</v>
      </c>
      <c r="N26" s="18">
        <f t="shared" si="29"/>
        <v>0</v>
      </c>
      <c r="O26" s="18">
        <f t="shared" si="30"/>
        <v>0</v>
      </c>
      <c r="P26" s="21">
        <f t="shared" si="32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1"/>
        <v>0</v>
      </c>
      <c r="AE26" s="49">
        <f t="shared" si="22"/>
        <v>0</v>
      </c>
    </row>
    <row r="27" spans="1:31" ht="32.25" customHeight="1" x14ac:dyDescent="0.3">
      <c r="A27" s="19">
        <f t="shared" si="14"/>
        <v>44183</v>
      </c>
      <c r="B27" s="20"/>
      <c r="C27" s="18">
        <f t="shared" si="18"/>
        <v>0</v>
      </c>
      <c r="D27" s="20"/>
      <c r="E27" s="18">
        <f t="shared" si="19"/>
        <v>0</v>
      </c>
      <c r="F27" s="20"/>
      <c r="G27" s="18">
        <f t="shared" si="20"/>
        <v>0</v>
      </c>
      <c r="H27" s="20"/>
      <c r="I27" s="18">
        <f t="shared" si="33"/>
        <v>0</v>
      </c>
      <c r="J27" s="18">
        <f t="shared" si="24"/>
        <v>0</v>
      </c>
      <c r="K27" s="18">
        <f t="shared" si="25"/>
        <v>0</v>
      </c>
      <c r="L27" s="18">
        <f t="shared" si="31"/>
        <v>0</v>
      </c>
      <c r="M27" s="18">
        <f t="shared" si="7"/>
        <v>28000</v>
      </c>
      <c r="N27" s="18">
        <f t="shared" si="29"/>
        <v>0</v>
      </c>
      <c r="O27" s="18">
        <f t="shared" si="30"/>
        <v>0</v>
      </c>
      <c r="P27" s="21">
        <f t="shared" si="32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1"/>
        <v>0</v>
      </c>
      <c r="AE27" s="49">
        <f t="shared" si="22"/>
        <v>0</v>
      </c>
    </row>
    <row r="28" spans="1:31" ht="32.25" customHeight="1" x14ac:dyDescent="0.3">
      <c r="A28" s="19">
        <f t="shared" si="14"/>
        <v>44184</v>
      </c>
      <c r="B28" s="20"/>
      <c r="C28" s="18">
        <f t="shared" si="18"/>
        <v>0</v>
      </c>
      <c r="D28" s="20"/>
      <c r="E28" s="18">
        <f t="shared" si="19"/>
        <v>0</v>
      </c>
      <c r="F28" s="20"/>
      <c r="G28" s="18">
        <f t="shared" si="20"/>
        <v>0</v>
      </c>
      <c r="H28" s="20"/>
      <c r="I28" s="18">
        <f t="shared" si="33"/>
        <v>0</v>
      </c>
      <c r="J28" s="18">
        <f t="shared" si="24"/>
        <v>0</v>
      </c>
      <c r="K28" s="18">
        <f t="shared" si="25"/>
        <v>0</v>
      </c>
      <c r="L28" s="18">
        <f t="shared" si="31"/>
        <v>0</v>
      </c>
      <c r="M28" s="18">
        <f t="shared" si="7"/>
        <v>28000</v>
      </c>
      <c r="N28" s="18">
        <f t="shared" si="29"/>
        <v>0</v>
      </c>
      <c r="O28" s="18">
        <f t="shared" si="30"/>
        <v>0</v>
      </c>
      <c r="P28" s="21">
        <f t="shared" si="32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1"/>
        <v>0</v>
      </c>
      <c r="AE28" s="49">
        <f t="shared" si="22"/>
        <v>0</v>
      </c>
    </row>
    <row r="29" spans="1:31" ht="32.25" customHeight="1" x14ac:dyDescent="0.3">
      <c r="A29" s="19">
        <f t="shared" si="14"/>
        <v>44185</v>
      </c>
      <c r="B29" s="20"/>
      <c r="C29" s="18">
        <f t="shared" si="18"/>
        <v>0</v>
      </c>
      <c r="D29" s="20"/>
      <c r="E29" s="18">
        <f t="shared" si="19"/>
        <v>0</v>
      </c>
      <c r="F29" s="20"/>
      <c r="G29" s="18">
        <f t="shared" si="20"/>
        <v>0</v>
      </c>
      <c r="H29" s="20"/>
      <c r="I29" s="18">
        <f t="shared" si="33"/>
        <v>0</v>
      </c>
      <c r="J29" s="18">
        <f t="shared" si="24"/>
        <v>0</v>
      </c>
      <c r="K29" s="18">
        <f t="shared" si="25"/>
        <v>0</v>
      </c>
      <c r="L29" s="18">
        <f t="shared" si="31"/>
        <v>0</v>
      </c>
      <c r="M29" s="18">
        <f t="shared" si="7"/>
        <v>28000</v>
      </c>
      <c r="N29" s="18">
        <f t="shared" si="29"/>
        <v>0</v>
      </c>
      <c r="O29" s="18">
        <f t="shared" si="30"/>
        <v>0</v>
      </c>
      <c r="P29" s="21">
        <f t="shared" si="32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1"/>
        <v>0</v>
      </c>
      <c r="AE29" s="49">
        <f t="shared" si="22"/>
        <v>0</v>
      </c>
    </row>
    <row r="30" spans="1:31" ht="32.25" customHeight="1" x14ac:dyDescent="0.3">
      <c r="A30" s="19">
        <f t="shared" si="14"/>
        <v>44186</v>
      </c>
      <c r="B30" s="20"/>
      <c r="C30" s="18">
        <f t="shared" si="18"/>
        <v>0</v>
      </c>
      <c r="D30" s="20"/>
      <c r="E30" s="18">
        <f t="shared" si="19"/>
        <v>0</v>
      </c>
      <c r="F30" s="20"/>
      <c r="G30" s="18">
        <f t="shared" si="20"/>
        <v>0</v>
      </c>
      <c r="H30" s="20"/>
      <c r="I30" s="18">
        <f t="shared" si="33"/>
        <v>0</v>
      </c>
      <c r="J30" s="18">
        <f t="shared" si="24"/>
        <v>0</v>
      </c>
      <c r="K30" s="18">
        <f t="shared" si="25"/>
        <v>0</v>
      </c>
      <c r="L30" s="18">
        <f t="shared" si="31"/>
        <v>0</v>
      </c>
      <c r="M30" s="18">
        <f t="shared" si="7"/>
        <v>28000</v>
      </c>
      <c r="N30" s="18">
        <f t="shared" si="29"/>
        <v>0</v>
      </c>
      <c r="O30" s="18">
        <f t="shared" si="30"/>
        <v>0</v>
      </c>
      <c r="P30" s="21">
        <f t="shared" si="32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1"/>
        <v>0</v>
      </c>
      <c r="AE30" s="49">
        <f t="shared" si="22"/>
        <v>0</v>
      </c>
    </row>
    <row r="31" spans="1:31" ht="32.25" customHeight="1" x14ac:dyDescent="0.3">
      <c r="A31" s="19">
        <f t="shared" si="14"/>
        <v>44187</v>
      </c>
      <c r="B31" s="20"/>
      <c r="C31" s="18">
        <f t="shared" si="18"/>
        <v>0</v>
      </c>
      <c r="D31" s="20"/>
      <c r="E31" s="18">
        <f t="shared" si="19"/>
        <v>0</v>
      </c>
      <c r="F31" s="20"/>
      <c r="G31" s="18">
        <f t="shared" si="20"/>
        <v>0</v>
      </c>
      <c r="H31" s="20"/>
      <c r="I31" s="18">
        <f t="shared" si="33"/>
        <v>0</v>
      </c>
      <c r="J31" s="18">
        <f t="shared" si="24"/>
        <v>0</v>
      </c>
      <c r="K31" s="18">
        <f t="shared" si="25"/>
        <v>0</v>
      </c>
      <c r="L31" s="18">
        <f t="shared" si="31"/>
        <v>0</v>
      </c>
      <c r="M31" s="18">
        <f t="shared" si="7"/>
        <v>28000</v>
      </c>
      <c r="N31" s="18">
        <f t="shared" si="29"/>
        <v>0</v>
      </c>
      <c r="O31" s="18">
        <f t="shared" si="30"/>
        <v>0</v>
      </c>
      <c r="P31" s="21">
        <f t="shared" si="32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1"/>
        <v>0</v>
      </c>
      <c r="AE31" s="49">
        <f t="shared" si="22"/>
        <v>0</v>
      </c>
    </row>
    <row r="32" spans="1:31" ht="32.25" customHeight="1" x14ac:dyDescent="0.3">
      <c r="A32" s="19">
        <f t="shared" si="14"/>
        <v>44188</v>
      </c>
      <c r="B32" s="20"/>
      <c r="C32" s="18">
        <f t="shared" si="18"/>
        <v>0</v>
      </c>
      <c r="D32" s="20"/>
      <c r="E32" s="18">
        <f t="shared" si="19"/>
        <v>0</v>
      </c>
      <c r="F32" s="20"/>
      <c r="G32" s="18">
        <f t="shared" si="20"/>
        <v>0</v>
      </c>
      <c r="H32" s="20"/>
      <c r="I32" s="18">
        <f t="shared" si="33"/>
        <v>0</v>
      </c>
      <c r="J32" s="18">
        <f t="shared" si="24"/>
        <v>0</v>
      </c>
      <c r="K32" s="18">
        <f t="shared" si="25"/>
        <v>0</v>
      </c>
      <c r="L32" s="18">
        <f t="shared" si="31"/>
        <v>0</v>
      </c>
      <c r="M32" s="18">
        <f t="shared" si="7"/>
        <v>28000</v>
      </c>
      <c r="N32" s="18">
        <f t="shared" si="29"/>
        <v>0</v>
      </c>
      <c r="O32" s="18">
        <f t="shared" si="30"/>
        <v>0</v>
      </c>
      <c r="P32" s="21">
        <f t="shared" si="32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1"/>
        <v>0</v>
      </c>
      <c r="AE32" s="49">
        <f t="shared" si="22"/>
        <v>0</v>
      </c>
    </row>
    <row r="33" spans="1:31" ht="32.25" customHeight="1" x14ac:dyDescent="0.3">
      <c r="A33" s="19">
        <f t="shared" si="14"/>
        <v>44189</v>
      </c>
      <c r="B33" s="20"/>
      <c r="C33" s="18">
        <f t="shared" si="18"/>
        <v>0</v>
      </c>
      <c r="D33" s="20"/>
      <c r="E33" s="18">
        <f t="shared" si="19"/>
        <v>0</v>
      </c>
      <c r="F33" s="20"/>
      <c r="G33" s="18">
        <f t="shared" si="20"/>
        <v>0</v>
      </c>
      <c r="H33" s="20"/>
      <c r="I33" s="18">
        <f t="shared" si="33"/>
        <v>0</v>
      </c>
      <c r="J33" s="18">
        <f t="shared" si="24"/>
        <v>0</v>
      </c>
      <c r="K33" s="18">
        <f t="shared" si="25"/>
        <v>0</v>
      </c>
      <c r="L33" s="18">
        <f t="shared" si="31"/>
        <v>0</v>
      </c>
      <c r="M33" s="18">
        <f t="shared" si="7"/>
        <v>28000</v>
      </c>
      <c r="N33" s="18">
        <f t="shared" si="29"/>
        <v>0</v>
      </c>
      <c r="O33" s="18">
        <f t="shared" si="30"/>
        <v>0</v>
      </c>
      <c r="P33" s="21">
        <f t="shared" si="32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1"/>
        <v>0</v>
      </c>
      <c r="AE33" s="49">
        <f t="shared" si="22"/>
        <v>0</v>
      </c>
    </row>
    <row r="34" spans="1:31" ht="32.25" customHeight="1" x14ac:dyDescent="0.3">
      <c r="A34" s="19">
        <f t="shared" si="14"/>
        <v>44190</v>
      </c>
      <c r="B34" s="20"/>
      <c r="C34" s="18">
        <f t="shared" si="18"/>
        <v>0</v>
      </c>
      <c r="D34" s="20"/>
      <c r="E34" s="18">
        <f t="shared" si="19"/>
        <v>0</v>
      </c>
      <c r="F34" s="20"/>
      <c r="G34" s="18">
        <f t="shared" si="20"/>
        <v>0</v>
      </c>
      <c r="H34" s="20"/>
      <c r="I34" s="18">
        <f t="shared" si="33"/>
        <v>0</v>
      </c>
      <c r="J34" s="18">
        <f t="shared" si="24"/>
        <v>0</v>
      </c>
      <c r="K34" s="18">
        <f t="shared" si="25"/>
        <v>0</v>
      </c>
      <c r="L34" s="18">
        <f t="shared" si="31"/>
        <v>0</v>
      </c>
      <c r="M34" s="18">
        <f t="shared" si="7"/>
        <v>28000</v>
      </c>
      <c r="N34" s="18">
        <f t="shared" si="29"/>
        <v>0</v>
      </c>
      <c r="O34" s="18">
        <f t="shared" si="30"/>
        <v>0</v>
      </c>
      <c r="P34" s="21">
        <f t="shared" si="32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1"/>
        <v>0</v>
      </c>
      <c r="AE34" s="49">
        <f t="shared" si="22"/>
        <v>0</v>
      </c>
    </row>
    <row r="35" spans="1:31" ht="32.25" customHeight="1" x14ac:dyDescent="0.3">
      <c r="A35" s="19">
        <f t="shared" si="14"/>
        <v>44191</v>
      </c>
      <c r="B35" s="20"/>
      <c r="C35" s="18">
        <f t="shared" si="18"/>
        <v>0</v>
      </c>
      <c r="D35" s="20"/>
      <c r="E35" s="18">
        <f t="shared" si="19"/>
        <v>0</v>
      </c>
      <c r="F35" s="20"/>
      <c r="G35" s="18">
        <f t="shared" si="20"/>
        <v>0</v>
      </c>
      <c r="H35" s="20"/>
      <c r="I35" s="18">
        <f t="shared" si="33"/>
        <v>0</v>
      </c>
      <c r="J35" s="18">
        <f t="shared" si="24"/>
        <v>0</v>
      </c>
      <c r="K35" s="18">
        <f t="shared" si="25"/>
        <v>0</v>
      </c>
      <c r="L35" s="18">
        <f t="shared" si="31"/>
        <v>0</v>
      </c>
      <c r="M35" s="18">
        <f t="shared" si="7"/>
        <v>28000</v>
      </c>
      <c r="N35" s="18">
        <f t="shared" si="29"/>
        <v>0</v>
      </c>
      <c r="O35" s="18">
        <f t="shared" si="30"/>
        <v>0</v>
      </c>
      <c r="P35" s="21">
        <f t="shared" si="32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1"/>
        <v>0</v>
      </c>
      <c r="AE35" s="49">
        <f t="shared" si="22"/>
        <v>0</v>
      </c>
    </row>
    <row r="36" spans="1:31" ht="32.25" customHeight="1" x14ac:dyDescent="0.3">
      <c r="A36" s="19">
        <f t="shared" si="14"/>
        <v>44192</v>
      </c>
      <c r="B36" s="20"/>
      <c r="C36" s="18">
        <f t="shared" si="18"/>
        <v>0</v>
      </c>
      <c r="D36" s="20"/>
      <c r="E36" s="18">
        <f t="shared" si="19"/>
        <v>0</v>
      </c>
      <c r="F36" s="20"/>
      <c r="G36" s="18">
        <f t="shared" si="20"/>
        <v>0</v>
      </c>
      <c r="H36" s="20"/>
      <c r="I36" s="18">
        <f t="shared" si="33"/>
        <v>0</v>
      </c>
      <c r="J36" s="18">
        <f t="shared" si="24"/>
        <v>0</v>
      </c>
      <c r="K36" s="18">
        <f t="shared" si="25"/>
        <v>0</v>
      </c>
      <c r="L36" s="18">
        <f t="shared" si="31"/>
        <v>0</v>
      </c>
      <c r="M36" s="18">
        <f t="shared" si="7"/>
        <v>28000</v>
      </c>
      <c r="N36" s="18">
        <f t="shared" si="29"/>
        <v>0</v>
      </c>
      <c r="O36" s="18">
        <f t="shared" si="30"/>
        <v>0</v>
      </c>
      <c r="P36" s="21">
        <f t="shared" si="32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1"/>
        <v>0</v>
      </c>
      <c r="AE36" s="49">
        <f t="shared" si="22"/>
        <v>0</v>
      </c>
    </row>
    <row r="37" spans="1:31" ht="32.25" customHeight="1" x14ac:dyDescent="0.3">
      <c r="A37" s="19">
        <f t="shared" si="14"/>
        <v>44193</v>
      </c>
      <c r="B37" s="20"/>
      <c r="C37" s="18">
        <f t="shared" si="18"/>
        <v>0</v>
      </c>
      <c r="D37" s="20"/>
      <c r="E37" s="18">
        <f t="shared" si="19"/>
        <v>0</v>
      </c>
      <c r="F37" s="20"/>
      <c r="G37" s="18">
        <f t="shared" si="20"/>
        <v>0</v>
      </c>
      <c r="H37" s="20"/>
      <c r="I37" s="18">
        <f t="shared" si="33"/>
        <v>0</v>
      </c>
      <c r="J37" s="18">
        <f t="shared" si="24"/>
        <v>0</v>
      </c>
      <c r="K37" s="18">
        <f t="shared" si="25"/>
        <v>0</v>
      </c>
      <c r="L37" s="18">
        <f t="shared" si="31"/>
        <v>0</v>
      </c>
      <c r="M37" s="18">
        <f t="shared" si="7"/>
        <v>28000</v>
      </c>
      <c r="N37" s="18">
        <f t="shared" si="29"/>
        <v>0</v>
      </c>
      <c r="O37" s="18">
        <f t="shared" si="30"/>
        <v>0</v>
      </c>
      <c r="P37" s="21">
        <f t="shared" si="32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1"/>
        <v>0</v>
      </c>
      <c r="AE37" s="49">
        <f t="shared" si="22"/>
        <v>0</v>
      </c>
    </row>
    <row r="38" spans="1:31" ht="32.25" customHeight="1" x14ac:dyDescent="0.3">
      <c r="A38" s="19">
        <f t="shared" si="14"/>
        <v>44194</v>
      </c>
      <c r="B38" s="20"/>
      <c r="C38" s="18">
        <f t="shared" si="18"/>
        <v>0</v>
      </c>
      <c r="D38" s="20"/>
      <c r="E38" s="18">
        <f t="shared" si="19"/>
        <v>0</v>
      </c>
      <c r="F38" s="20"/>
      <c r="G38" s="18">
        <f t="shared" si="20"/>
        <v>0</v>
      </c>
      <c r="H38" s="20"/>
      <c r="I38" s="18">
        <f t="shared" si="33"/>
        <v>0</v>
      </c>
      <c r="J38" s="18">
        <f t="shared" si="24"/>
        <v>0</v>
      </c>
      <c r="K38" s="18">
        <f t="shared" si="25"/>
        <v>0</v>
      </c>
      <c r="L38" s="18">
        <f t="shared" si="31"/>
        <v>0</v>
      </c>
      <c r="M38" s="18">
        <f t="shared" si="7"/>
        <v>28000</v>
      </c>
      <c r="N38" s="18">
        <f t="shared" si="29"/>
        <v>0</v>
      </c>
      <c r="O38" s="18">
        <f t="shared" si="30"/>
        <v>0</v>
      </c>
      <c r="P38" s="21">
        <f t="shared" si="32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1"/>
        <v>0</v>
      </c>
      <c r="AE38" s="49">
        <f t="shared" si="22"/>
        <v>0</v>
      </c>
    </row>
    <row r="39" spans="1:31" ht="32.25" customHeight="1" x14ac:dyDescent="0.3">
      <c r="A39" s="19">
        <f t="shared" si="14"/>
        <v>44195</v>
      </c>
      <c r="B39" s="20"/>
      <c r="C39" s="18">
        <f t="shared" si="18"/>
        <v>0</v>
      </c>
      <c r="D39" s="20"/>
      <c r="E39" s="18">
        <f t="shared" si="19"/>
        <v>0</v>
      </c>
      <c r="F39" s="20"/>
      <c r="G39" s="18">
        <f t="shared" si="20"/>
        <v>0</v>
      </c>
      <c r="H39" s="20"/>
      <c r="I39" s="18">
        <f t="shared" si="33"/>
        <v>0</v>
      </c>
      <c r="J39" s="18">
        <f t="shared" si="24"/>
        <v>0</v>
      </c>
      <c r="K39" s="18">
        <f t="shared" si="25"/>
        <v>0</v>
      </c>
      <c r="L39" s="18">
        <f t="shared" si="31"/>
        <v>0</v>
      </c>
      <c r="M39" s="18">
        <f t="shared" si="7"/>
        <v>28000</v>
      </c>
      <c r="N39" s="18">
        <f t="shared" si="29"/>
        <v>0</v>
      </c>
      <c r="O39" s="18">
        <f t="shared" si="30"/>
        <v>0</v>
      </c>
      <c r="P39" s="21">
        <f t="shared" si="32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1"/>
        <v>0</v>
      </c>
      <c r="AE39" s="49">
        <f t="shared" si="22"/>
        <v>0</v>
      </c>
    </row>
    <row r="40" spans="1:31" ht="32.25" customHeight="1" x14ac:dyDescent="0.3">
      <c r="A40" s="19">
        <f t="shared" si="14"/>
        <v>44196</v>
      </c>
      <c r="B40" s="20"/>
      <c r="C40" s="18">
        <f t="shared" si="18"/>
        <v>0</v>
      </c>
      <c r="D40" s="20"/>
      <c r="E40" s="18">
        <f t="shared" si="19"/>
        <v>0</v>
      </c>
      <c r="F40" s="20"/>
      <c r="G40" s="18">
        <f t="shared" si="20"/>
        <v>0</v>
      </c>
      <c r="H40" s="20"/>
      <c r="I40" s="18">
        <f t="shared" si="33"/>
        <v>0</v>
      </c>
      <c r="J40" s="18">
        <f t="shared" si="24"/>
        <v>0</v>
      </c>
      <c r="K40" s="18">
        <f t="shared" si="25"/>
        <v>0</v>
      </c>
      <c r="L40" s="18">
        <f t="shared" si="31"/>
        <v>0</v>
      </c>
      <c r="M40" s="18">
        <f t="shared" si="7"/>
        <v>28000</v>
      </c>
      <c r="N40" s="18">
        <f t="shared" si="29"/>
        <v>0</v>
      </c>
      <c r="O40" s="18">
        <f t="shared" si="30"/>
        <v>0</v>
      </c>
      <c r="P40" s="21">
        <f t="shared" si="32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1"/>
        <v>0</v>
      </c>
      <c r="AE40" s="49">
        <f t="shared" si="22"/>
        <v>0</v>
      </c>
    </row>
    <row r="41" spans="1:31" ht="32.25" customHeight="1" x14ac:dyDescent="0.3">
      <c r="A41" s="19">
        <f t="shared" si="14"/>
        <v>44197</v>
      </c>
      <c r="B41" s="20"/>
      <c r="C41" s="18">
        <f t="shared" si="18"/>
        <v>0</v>
      </c>
      <c r="D41" s="20"/>
      <c r="E41" s="18">
        <f t="shared" si="19"/>
        <v>0</v>
      </c>
      <c r="F41" s="20"/>
      <c r="G41" s="18">
        <f t="shared" si="20"/>
        <v>0</v>
      </c>
      <c r="H41" s="20"/>
      <c r="I41" s="18">
        <f t="shared" si="33"/>
        <v>0</v>
      </c>
      <c r="J41" s="18">
        <f t="shared" si="24"/>
        <v>0</v>
      </c>
      <c r="K41" s="18">
        <f t="shared" si="25"/>
        <v>0</v>
      </c>
      <c r="L41" s="18">
        <f t="shared" si="31"/>
        <v>0</v>
      </c>
      <c r="M41" s="18">
        <f t="shared" si="7"/>
        <v>28000</v>
      </c>
      <c r="N41" s="18">
        <f t="shared" si="29"/>
        <v>0</v>
      </c>
      <c r="O41" s="18">
        <f t="shared" si="30"/>
        <v>0</v>
      </c>
      <c r="P41" s="21">
        <f t="shared" si="32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1"/>
        <v>0</v>
      </c>
      <c r="AE41" s="49">
        <f t="shared" si="22"/>
        <v>0</v>
      </c>
    </row>
    <row r="42" spans="1:31" ht="32.25" customHeight="1" x14ac:dyDescent="0.3">
      <c r="A42" s="19">
        <f t="shared" si="14"/>
        <v>44198</v>
      </c>
      <c r="B42" s="20"/>
      <c r="C42" s="18">
        <f t="shared" si="18"/>
        <v>0</v>
      </c>
      <c r="D42" s="20"/>
      <c r="E42" s="18">
        <f t="shared" si="19"/>
        <v>0</v>
      </c>
      <c r="F42" s="20"/>
      <c r="G42" s="18">
        <f t="shared" si="20"/>
        <v>0</v>
      </c>
      <c r="H42" s="20"/>
      <c r="I42" s="18">
        <f t="shared" si="33"/>
        <v>0</v>
      </c>
      <c r="J42" s="18">
        <f t="shared" si="24"/>
        <v>0</v>
      </c>
      <c r="K42" s="18">
        <f t="shared" si="25"/>
        <v>0</v>
      </c>
      <c r="L42" s="18">
        <f t="shared" si="31"/>
        <v>0</v>
      </c>
      <c r="M42" s="18">
        <f t="shared" si="7"/>
        <v>28000</v>
      </c>
      <c r="N42" s="18">
        <f t="shared" si="29"/>
        <v>0</v>
      </c>
      <c r="O42" s="18">
        <f t="shared" si="30"/>
        <v>0</v>
      </c>
      <c r="P42" s="21">
        <f t="shared" si="32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1"/>
        <v>0</v>
      </c>
      <c r="AE42" s="49">
        <f t="shared" si="22"/>
        <v>0</v>
      </c>
    </row>
    <row r="43" spans="1:31" ht="32.25" customHeight="1" thickBot="1" x14ac:dyDescent="0.35">
      <c r="B43" s="20"/>
      <c r="C43" s="18">
        <f>SUM(C10:C40)</f>
        <v>1</v>
      </c>
      <c r="D43" s="20"/>
      <c r="E43" s="18">
        <f>SUM(E10:E40)</f>
        <v>0</v>
      </c>
      <c r="F43" s="20"/>
      <c r="G43" s="18">
        <f>SUM(G10:G40)</f>
        <v>4</v>
      </c>
      <c r="H43" s="20"/>
      <c r="I43" s="18">
        <f>SUM(I10:I40)</f>
        <v>7</v>
      </c>
      <c r="J43" s="16"/>
      <c r="K43" s="16"/>
      <c r="L43" s="16"/>
      <c r="M43" s="16"/>
      <c r="N43" s="18">
        <f>SUM(N10:N40)</f>
        <v>840</v>
      </c>
      <c r="O43" s="18">
        <f>N43*0.53</f>
        <v>445.20000000000005</v>
      </c>
      <c r="P43" s="21">
        <f t="shared" si="32"/>
        <v>3639.8216400000006</v>
      </c>
      <c r="Q43" s="277">
        <f>SUM(Q10:Q40)</f>
        <v>0</v>
      </c>
      <c r="R43" s="278"/>
      <c r="S43" s="279"/>
      <c r="T43" s="277">
        <f>SUM(T10:T40)</f>
        <v>0</v>
      </c>
      <c r="U43" s="278"/>
      <c r="V43" s="279"/>
      <c r="W43" s="277">
        <f>SUM(W10:W40)</f>
        <v>0</v>
      </c>
      <c r="X43" s="278"/>
      <c r="Y43" s="279"/>
      <c r="Z43" s="277">
        <f>SUM(Z10:Z40)</f>
        <v>0</v>
      </c>
      <c r="AA43" s="278"/>
      <c r="AB43" s="279"/>
      <c r="AC43" s="138">
        <f>SUM(AC10:AC40)</f>
        <v>0</v>
      </c>
      <c r="AD43" s="139"/>
      <c r="AE43" s="136"/>
    </row>
    <row r="44" spans="1:31" ht="35.25" customHeight="1" thickBot="1" x14ac:dyDescent="0.35">
      <c r="B44" s="280"/>
      <c r="C44" s="281"/>
      <c r="D44" s="281"/>
      <c r="E44" s="281"/>
      <c r="F44" s="281"/>
      <c r="G44" s="281"/>
      <c r="H44" s="281"/>
      <c r="I44" s="282"/>
      <c r="J44" s="16"/>
      <c r="K44" s="16"/>
      <c r="L44" s="16"/>
      <c r="M44" s="16"/>
      <c r="N44" s="16"/>
      <c r="O44" s="16"/>
      <c r="P44" s="16"/>
      <c r="Q44" s="283">
        <f>Q43+T43+W43+Z43</f>
        <v>0</v>
      </c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5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86" t="s">
        <v>36</v>
      </c>
      <c r="I47" s="287"/>
      <c r="J47" s="288"/>
      <c r="K47" s="28">
        <f>N43</f>
        <v>840</v>
      </c>
      <c r="L47" s="29">
        <f>O43</f>
        <v>445.20000000000005</v>
      </c>
      <c r="M47" s="29">
        <f>P43</f>
        <v>3639.8216400000006</v>
      </c>
    </row>
    <row r="48" spans="1:31" ht="54.75" customHeight="1" thickBot="1" x14ac:dyDescent="0.35">
      <c r="H48" s="274" t="s">
        <v>37</v>
      </c>
      <c r="I48" s="275"/>
      <c r="J48" s="276"/>
      <c r="K48" s="26">
        <f>AC43</f>
        <v>0</v>
      </c>
      <c r="L48" s="27">
        <f>K48*0.53</f>
        <v>0</v>
      </c>
      <c r="M48" s="27">
        <f>L48*8.1757</f>
        <v>0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15" activePane="bottomRight" state="frozen"/>
      <selection pane="topRight" activeCell="B1" sqref="B1"/>
      <selection pane="bottomLeft" activeCell="A9" sqref="A9"/>
      <selection pane="bottomRight" activeCell="B18" sqref="B18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220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44160</v>
      </c>
      <c r="B9" s="40">
        <v>126692</v>
      </c>
      <c r="C9" s="41">
        <f t="shared" ref="C9:C15" si="0">IF(B10&lt;B9,0,B10-B9)*10</f>
        <v>400</v>
      </c>
      <c r="D9" s="42">
        <v>18807948</v>
      </c>
      <c r="E9" s="41">
        <f t="shared" ref="E9:E15" si="1">IF(D10&lt;D9,0,D10-D9)</f>
        <v>3032</v>
      </c>
      <c r="F9" s="42">
        <v>33731953</v>
      </c>
      <c r="G9" s="41">
        <f t="shared" ref="G9:G15" si="2">IF(F10&lt;F9,0,F10-F9)</f>
        <v>4542</v>
      </c>
      <c r="H9" s="42">
        <v>14940535</v>
      </c>
      <c r="I9" s="41">
        <f t="shared" ref="I9:I47" si="3">IF(H10&lt;H9,0,H10-H9)</f>
        <v>2066</v>
      </c>
    </row>
    <row r="10" spans="1:20" ht="21" thickTop="1" thickBot="1" x14ac:dyDescent="0.35">
      <c r="A10" s="39">
        <f>(A9+1)</f>
        <v>44161</v>
      </c>
      <c r="B10" s="40">
        <v>126732</v>
      </c>
      <c r="C10" s="41">
        <f t="shared" si="0"/>
        <v>150</v>
      </c>
      <c r="D10" s="42">
        <v>18810980</v>
      </c>
      <c r="E10" s="41">
        <f t="shared" si="1"/>
        <v>3226</v>
      </c>
      <c r="F10" s="42">
        <v>33736495</v>
      </c>
      <c r="G10" s="41">
        <f t="shared" si="2"/>
        <v>4478</v>
      </c>
      <c r="H10" s="42">
        <v>14942601</v>
      </c>
      <c r="I10" s="41">
        <f t="shared" si="3"/>
        <v>2195</v>
      </c>
    </row>
    <row r="11" spans="1:20" ht="21" thickTop="1" thickBot="1" x14ac:dyDescent="0.35">
      <c r="A11" s="39">
        <f t="shared" ref="A11:A47" si="4">(A10+1)</f>
        <v>44162</v>
      </c>
      <c r="B11" s="40">
        <v>126747</v>
      </c>
      <c r="C11" s="41">
        <f t="shared" si="0"/>
        <v>270</v>
      </c>
      <c r="D11" s="42">
        <v>18814206</v>
      </c>
      <c r="E11" s="41">
        <f t="shared" si="1"/>
        <v>3035</v>
      </c>
      <c r="F11" s="42">
        <v>33740973</v>
      </c>
      <c r="G11" s="41">
        <f t="shared" si="2"/>
        <v>4503</v>
      </c>
      <c r="H11" s="42">
        <v>14944796</v>
      </c>
      <c r="I11" s="41">
        <f t="shared" si="3"/>
        <v>1980</v>
      </c>
    </row>
    <row r="12" spans="1:20" ht="21" thickTop="1" thickBot="1" x14ac:dyDescent="0.35">
      <c r="A12" s="39">
        <f t="shared" si="4"/>
        <v>44163</v>
      </c>
      <c r="B12" s="40">
        <v>126774</v>
      </c>
      <c r="C12" s="41">
        <f t="shared" si="0"/>
        <v>200</v>
      </c>
      <c r="D12" s="42">
        <v>18817241</v>
      </c>
      <c r="E12" s="41">
        <f t="shared" si="1"/>
        <v>3102</v>
      </c>
      <c r="F12" s="42">
        <v>33745476</v>
      </c>
      <c r="G12" s="41">
        <f t="shared" si="2"/>
        <v>4519</v>
      </c>
      <c r="H12" s="42">
        <v>14946776</v>
      </c>
      <c r="I12" s="41">
        <f t="shared" si="3"/>
        <v>2022</v>
      </c>
    </row>
    <row r="13" spans="1:20" ht="21" thickTop="1" thickBot="1" x14ac:dyDescent="0.35">
      <c r="A13" s="39">
        <f t="shared" si="4"/>
        <v>44164</v>
      </c>
      <c r="B13" s="40">
        <v>126794</v>
      </c>
      <c r="C13" s="41">
        <f t="shared" si="0"/>
        <v>350</v>
      </c>
      <c r="D13" s="42">
        <v>18820343</v>
      </c>
      <c r="E13" s="41">
        <f t="shared" si="1"/>
        <v>3035</v>
      </c>
      <c r="F13" s="42">
        <v>33749995</v>
      </c>
      <c r="G13" s="41">
        <f t="shared" si="2"/>
        <v>4409</v>
      </c>
      <c r="H13" s="42">
        <v>14948798</v>
      </c>
      <c r="I13" s="41">
        <f t="shared" si="3"/>
        <v>1902</v>
      </c>
    </row>
    <row r="14" spans="1:20" ht="21" thickTop="1" thickBot="1" x14ac:dyDescent="0.35">
      <c r="A14" s="39">
        <f t="shared" si="4"/>
        <v>44165</v>
      </c>
      <c r="B14" s="40">
        <v>126829</v>
      </c>
      <c r="C14" s="41">
        <f t="shared" si="0"/>
        <v>240</v>
      </c>
      <c r="D14" s="42">
        <v>18823378</v>
      </c>
      <c r="E14" s="41">
        <f t="shared" si="1"/>
        <v>3165</v>
      </c>
      <c r="F14" s="42">
        <v>33754404</v>
      </c>
      <c r="G14" s="41">
        <f t="shared" si="2"/>
        <v>4653</v>
      </c>
      <c r="H14" s="42">
        <v>14950700</v>
      </c>
      <c r="I14" s="41">
        <f t="shared" si="3"/>
        <v>2055</v>
      </c>
    </row>
    <row r="15" spans="1:20" ht="21" thickTop="1" thickBot="1" x14ac:dyDescent="0.35">
      <c r="A15" s="39">
        <f t="shared" si="4"/>
        <v>44166</v>
      </c>
      <c r="B15" s="40">
        <v>126853</v>
      </c>
      <c r="C15" s="41">
        <f t="shared" si="0"/>
        <v>190</v>
      </c>
      <c r="D15" s="42">
        <v>18826543</v>
      </c>
      <c r="E15" s="41">
        <f t="shared" si="1"/>
        <v>3638</v>
      </c>
      <c r="F15" s="42">
        <v>33759057</v>
      </c>
      <c r="G15" s="41">
        <f t="shared" si="2"/>
        <v>4702</v>
      </c>
      <c r="H15" s="42">
        <v>14952755</v>
      </c>
      <c r="I15" s="41">
        <f t="shared" si="3"/>
        <v>2671</v>
      </c>
    </row>
    <row r="16" spans="1:20" ht="21" thickTop="1" thickBot="1" x14ac:dyDescent="0.35">
      <c r="A16" s="39">
        <f t="shared" si="4"/>
        <v>44167</v>
      </c>
      <c r="B16" s="40">
        <v>126872</v>
      </c>
      <c r="C16" s="41">
        <f>IF(B17&lt;B16,0,B17-B16)*10</f>
        <v>220</v>
      </c>
      <c r="D16" s="42">
        <v>18830181</v>
      </c>
      <c r="E16" s="41">
        <f>IF(D17&lt;D16,0,D17-D16)</f>
        <v>3907</v>
      </c>
      <c r="F16" s="42">
        <v>33763759</v>
      </c>
      <c r="G16" s="41">
        <f>IF(F17&lt;F16,0,F17-F16)</f>
        <v>5211</v>
      </c>
      <c r="H16" s="42">
        <v>14955426</v>
      </c>
      <c r="I16" s="41">
        <f t="shared" si="3"/>
        <v>2388</v>
      </c>
    </row>
    <row r="17" spans="1:9" ht="21" thickTop="1" thickBot="1" x14ac:dyDescent="0.35">
      <c r="A17" s="39">
        <f t="shared" si="4"/>
        <v>44168</v>
      </c>
      <c r="B17" s="40">
        <v>126894</v>
      </c>
      <c r="C17" s="41">
        <f t="shared" ref="C17" si="5">IF(B18&lt;B17,0,B18-B17)*10</f>
        <v>0</v>
      </c>
      <c r="D17" s="42">
        <v>18834088</v>
      </c>
      <c r="E17" s="41">
        <f t="shared" ref="E17" si="6">IF(D18&lt;D17,0,D18-D17)</f>
        <v>0</v>
      </c>
      <c r="F17" s="42">
        <v>33768970</v>
      </c>
      <c r="G17" s="41">
        <f t="shared" ref="G17" si="7">IF(F18&lt;F17,0,F18-F17)</f>
        <v>0</v>
      </c>
      <c r="H17" s="42">
        <v>14957814</v>
      </c>
      <c r="I17" s="41">
        <f t="shared" si="3"/>
        <v>0</v>
      </c>
    </row>
    <row r="18" spans="1:9" ht="21" thickTop="1" thickBot="1" x14ac:dyDescent="0.35">
      <c r="A18" s="39">
        <f t="shared" si="4"/>
        <v>44169</v>
      </c>
      <c r="B18" s="40"/>
      <c r="C18" s="41">
        <f t="shared" ref="C17:C47" si="8">IF(B19&lt;B18,0,B19-B18)*10</f>
        <v>0</v>
      </c>
      <c r="D18" s="42"/>
      <c r="E18" s="41">
        <f t="shared" ref="E17:E47" si="9">IF(D19&lt;D18,0,D19-D18)</f>
        <v>0</v>
      </c>
      <c r="F18" s="42"/>
      <c r="G18" s="41">
        <f t="shared" ref="G17:G47" si="10">IF(F19&lt;F18,0,F19-F18)</f>
        <v>0</v>
      </c>
      <c r="H18" s="42"/>
      <c r="I18" s="41">
        <f t="shared" si="3"/>
        <v>0</v>
      </c>
    </row>
    <row r="19" spans="1:9" ht="21" thickTop="1" thickBot="1" x14ac:dyDescent="0.35">
      <c r="A19" s="39">
        <f t="shared" si="4"/>
        <v>44170</v>
      </c>
      <c r="B19" s="40"/>
      <c r="C19" s="41">
        <f t="shared" si="8"/>
        <v>0</v>
      </c>
      <c r="D19" s="42"/>
      <c r="E19" s="41">
        <f t="shared" si="9"/>
        <v>0</v>
      </c>
      <c r="F19" s="42"/>
      <c r="G19" s="41">
        <f t="shared" si="10"/>
        <v>0</v>
      </c>
      <c r="H19" s="42"/>
      <c r="I19" s="41">
        <f t="shared" si="3"/>
        <v>0</v>
      </c>
    </row>
    <row r="20" spans="1:9" ht="21" thickTop="1" thickBot="1" x14ac:dyDescent="0.35">
      <c r="A20" s="39">
        <f t="shared" si="4"/>
        <v>44171</v>
      </c>
      <c r="B20" s="40"/>
      <c r="C20" s="41">
        <f t="shared" si="8"/>
        <v>0</v>
      </c>
      <c r="D20" s="42"/>
      <c r="E20" s="41">
        <f t="shared" si="9"/>
        <v>0</v>
      </c>
      <c r="F20" s="42"/>
      <c r="G20" s="41">
        <f t="shared" si="10"/>
        <v>0</v>
      </c>
      <c r="H20" s="42"/>
      <c r="I20" s="41">
        <f t="shared" si="3"/>
        <v>0</v>
      </c>
    </row>
    <row r="21" spans="1:9" ht="21" thickTop="1" thickBot="1" x14ac:dyDescent="0.35">
      <c r="A21" s="39">
        <f t="shared" si="4"/>
        <v>44172</v>
      </c>
      <c r="B21" s="40"/>
      <c r="C21" s="41">
        <f t="shared" si="8"/>
        <v>0</v>
      </c>
      <c r="D21" s="42"/>
      <c r="E21" s="41">
        <f t="shared" si="9"/>
        <v>0</v>
      </c>
      <c r="F21" s="42"/>
      <c r="G21" s="41">
        <f t="shared" si="10"/>
        <v>0</v>
      </c>
      <c r="H21" s="42"/>
      <c r="I21" s="41">
        <f t="shared" si="3"/>
        <v>0</v>
      </c>
    </row>
    <row r="22" spans="1:9" ht="21" thickTop="1" thickBot="1" x14ac:dyDescent="0.35">
      <c r="A22" s="39">
        <f t="shared" si="4"/>
        <v>44173</v>
      </c>
      <c r="B22" s="40"/>
      <c r="C22" s="41">
        <f t="shared" si="8"/>
        <v>0</v>
      </c>
      <c r="D22" s="42"/>
      <c r="E22" s="41">
        <f t="shared" si="9"/>
        <v>0</v>
      </c>
      <c r="F22" s="42"/>
      <c r="G22" s="41">
        <f t="shared" si="10"/>
        <v>0</v>
      </c>
      <c r="H22" s="42"/>
      <c r="I22" s="41">
        <f t="shared" si="3"/>
        <v>0</v>
      </c>
    </row>
    <row r="23" spans="1:9" ht="21" thickTop="1" thickBot="1" x14ac:dyDescent="0.35">
      <c r="A23" s="39">
        <f t="shared" si="4"/>
        <v>44174</v>
      </c>
      <c r="B23" s="40"/>
      <c r="C23" s="41">
        <f t="shared" si="8"/>
        <v>0</v>
      </c>
      <c r="D23" s="42"/>
      <c r="E23" s="41">
        <f t="shared" si="9"/>
        <v>0</v>
      </c>
      <c r="F23" s="42"/>
      <c r="G23" s="41">
        <f t="shared" si="10"/>
        <v>0</v>
      </c>
      <c r="H23" s="42"/>
      <c r="I23" s="41">
        <f t="shared" si="3"/>
        <v>0</v>
      </c>
    </row>
    <row r="24" spans="1:9" ht="21" thickTop="1" thickBot="1" x14ac:dyDescent="0.35">
      <c r="A24" s="39">
        <f t="shared" si="4"/>
        <v>44175</v>
      </c>
      <c r="B24" s="40"/>
      <c r="C24" s="41">
        <f t="shared" si="8"/>
        <v>0</v>
      </c>
      <c r="D24" s="42"/>
      <c r="E24" s="41">
        <f t="shared" si="9"/>
        <v>0</v>
      </c>
      <c r="F24" s="42"/>
      <c r="G24" s="41">
        <f t="shared" si="10"/>
        <v>0</v>
      </c>
      <c r="H24" s="42"/>
      <c r="I24" s="41">
        <f t="shared" si="3"/>
        <v>0</v>
      </c>
    </row>
    <row r="25" spans="1:9" ht="21" thickTop="1" thickBot="1" x14ac:dyDescent="0.35">
      <c r="A25" s="39">
        <f t="shared" si="4"/>
        <v>44176</v>
      </c>
      <c r="B25" s="40"/>
      <c r="C25" s="41">
        <f t="shared" si="8"/>
        <v>0</v>
      </c>
      <c r="D25" s="42"/>
      <c r="E25" s="41">
        <f t="shared" si="9"/>
        <v>0</v>
      </c>
      <c r="F25" s="42"/>
      <c r="G25" s="41">
        <f t="shared" si="10"/>
        <v>0</v>
      </c>
      <c r="H25" s="42"/>
      <c r="I25" s="41">
        <f t="shared" si="3"/>
        <v>0</v>
      </c>
    </row>
    <row r="26" spans="1:9" ht="21" thickTop="1" thickBot="1" x14ac:dyDescent="0.35">
      <c r="A26" s="39">
        <f t="shared" si="4"/>
        <v>44177</v>
      </c>
      <c r="B26" s="40"/>
      <c r="C26" s="41">
        <f t="shared" si="8"/>
        <v>0</v>
      </c>
      <c r="D26" s="42"/>
      <c r="E26" s="41">
        <f t="shared" si="9"/>
        <v>0</v>
      </c>
      <c r="F26" s="42"/>
      <c r="G26" s="41">
        <f t="shared" si="10"/>
        <v>0</v>
      </c>
      <c r="H26" s="42"/>
      <c r="I26" s="41">
        <f t="shared" si="3"/>
        <v>0</v>
      </c>
    </row>
    <row r="27" spans="1:9" ht="21" thickTop="1" thickBot="1" x14ac:dyDescent="0.35">
      <c r="A27" s="39">
        <f t="shared" si="4"/>
        <v>44178</v>
      </c>
      <c r="B27" s="40"/>
      <c r="C27" s="41">
        <f t="shared" si="8"/>
        <v>0</v>
      </c>
      <c r="D27" s="42"/>
      <c r="E27" s="41">
        <f t="shared" si="9"/>
        <v>0</v>
      </c>
      <c r="F27" s="42"/>
      <c r="G27" s="41">
        <f t="shared" si="10"/>
        <v>0</v>
      </c>
      <c r="H27" s="42"/>
      <c r="I27" s="41">
        <f t="shared" si="3"/>
        <v>0</v>
      </c>
    </row>
    <row r="28" spans="1:9" ht="21" thickTop="1" thickBot="1" x14ac:dyDescent="0.35">
      <c r="A28" s="39">
        <f t="shared" si="4"/>
        <v>44179</v>
      </c>
      <c r="B28" s="40"/>
      <c r="C28" s="41">
        <f t="shared" si="8"/>
        <v>0</v>
      </c>
      <c r="D28" s="42"/>
      <c r="E28" s="41">
        <f t="shared" si="9"/>
        <v>0</v>
      </c>
      <c r="F28" s="42"/>
      <c r="G28" s="41">
        <f t="shared" si="10"/>
        <v>0</v>
      </c>
      <c r="H28" s="42"/>
      <c r="I28" s="41">
        <f t="shared" si="3"/>
        <v>0</v>
      </c>
    </row>
    <row r="29" spans="1:9" ht="21" thickTop="1" thickBot="1" x14ac:dyDescent="0.35">
      <c r="A29" s="39">
        <f t="shared" si="4"/>
        <v>44180</v>
      </c>
      <c r="B29" s="40"/>
      <c r="C29" s="41">
        <f t="shared" si="8"/>
        <v>0</v>
      </c>
      <c r="D29" s="42"/>
      <c r="E29" s="41">
        <f t="shared" si="9"/>
        <v>0</v>
      </c>
      <c r="F29" s="42"/>
      <c r="G29" s="41">
        <f t="shared" si="10"/>
        <v>0</v>
      </c>
      <c r="H29" s="42"/>
      <c r="I29" s="41">
        <f t="shared" si="3"/>
        <v>0</v>
      </c>
    </row>
    <row r="30" spans="1:9" ht="21" thickTop="1" thickBot="1" x14ac:dyDescent="0.35">
      <c r="A30" s="39">
        <f t="shared" si="4"/>
        <v>44181</v>
      </c>
      <c r="B30" s="40"/>
      <c r="C30" s="41">
        <f t="shared" si="8"/>
        <v>0</v>
      </c>
      <c r="D30" s="42"/>
      <c r="E30" s="41">
        <f t="shared" si="9"/>
        <v>0</v>
      </c>
      <c r="F30" s="42"/>
      <c r="G30" s="41">
        <f t="shared" si="10"/>
        <v>0</v>
      </c>
      <c r="H30" s="42"/>
      <c r="I30" s="41">
        <f t="shared" si="3"/>
        <v>0</v>
      </c>
    </row>
    <row r="31" spans="1:9" ht="21" thickTop="1" thickBot="1" x14ac:dyDescent="0.35">
      <c r="A31" s="39">
        <f t="shared" si="4"/>
        <v>44182</v>
      </c>
      <c r="B31" s="40"/>
      <c r="C31" s="41">
        <f t="shared" si="8"/>
        <v>0</v>
      </c>
      <c r="D31" s="42"/>
      <c r="E31" s="41">
        <f t="shared" si="9"/>
        <v>0</v>
      </c>
      <c r="F31" s="42"/>
      <c r="G31" s="41">
        <f t="shared" si="10"/>
        <v>0</v>
      </c>
      <c r="H31" s="42"/>
      <c r="I31" s="41">
        <f t="shared" si="3"/>
        <v>0</v>
      </c>
    </row>
    <row r="32" spans="1:9" ht="21" thickTop="1" thickBot="1" x14ac:dyDescent="0.35">
      <c r="A32" s="39">
        <f t="shared" si="4"/>
        <v>44183</v>
      </c>
      <c r="B32" s="40"/>
      <c r="C32" s="41">
        <f t="shared" si="8"/>
        <v>0</v>
      </c>
      <c r="D32" s="42"/>
      <c r="E32" s="41">
        <f t="shared" si="9"/>
        <v>0</v>
      </c>
      <c r="F32" s="42"/>
      <c r="G32" s="41">
        <f t="shared" si="10"/>
        <v>0</v>
      </c>
      <c r="H32" s="42"/>
      <c r="I32" s="41">
        <f t="shared" si="3"/>
        <v>0</v>
      </c>
    </row>
    <row r="33" spans="1:9" ht="21" thickTop="1" thickBot="1" x14ac:dyDescent="0.35">
      <c r="A33" s="39">
        <f t="shared" si="4"/>
        <v>44184</v>
      </c>
      <c r="B33" s="40"/>
      <c r="C33" s="41">
        <f t="shared" si="8"/>
        <v>0</v>
      </c>
      <c r="D33" s="42"/>
      <c r="E33" s="41">
        <f t="shared" si="9"/>
        <v>0</v>
      </c>
      <c r="F33" s="42"/>
      <c r="G33" s="41">
        <f t="shared" si="10"/>
        <v>0</v>
      </c>
      <c r="H33" s="42"/>
      <c r="I33" s="41">
        <f t="shared" si="3"/>
        <v>0</v>
      </c>
    </row>
    <row r="34" spans="1:9" ht="21" thickTop="1" thickBot="1" x14ac:dyDescent="0.35">
      <c r="A34" s="39">
        <f t="shared" si="4"/>
        <v>44185</v>
      </c>
      <c r="B34" s="40"/>
      <c r="C34" s="41">
        <f t="shared" si="8"/>
        <v>0</v>
      </c>
      <c r="D34" s="42"/>
      <c r="E34" s="41">
        <f t="shared" si="9"/>
        <v>0</v>
      </c>
      <c r="F34" s="42"/>
      <c r="G34" s="41">
        <f t="shared" si="10"/>
        <v>0</v>
      </c>
      <c r="H34" s="42"/>
      <c r="I34" s="41">
        <f t="shared" si="3"/>
        <v>0</v>
      </c>
    </row>
    <row r="35" spans="1:9" ht="21" thickTop="1" thickBot="1" x14ac:dyDescent="0.35">
      <c r="A35" s="39">
        <f t="shared" si="4"/>
        <v>44186</v>
      </c>
      <c r="B35" s="40"/>
      <c r="C35" s="41">
        <f t="shared" si="8"/>
        <v>0</v>
      </c>
      <c r="D35" s="42"/>
      <c r="E35" s="41">
        <f t="shared" si="9"/>
        <v>0</v>
      </c>
      <c r="F35" s="42"/>
      <c r="G35" s="41">
        <f t="shared" si="10"/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44187</v>
      </c>
      <c r="B36" s="40"/>
      <c r="C36" s="41">
        <f t="shared" si="8"/>
        <v>0</v>
      </c>
      <c r="D36" s="42"/>
      <c r="E36" s="41">
        <f t="shared" si="9"/>
        <v>0</v>
      </c>
      <c r="F36" s="42"/>
      <c r="G36" s="41">
        <f t="shared" si="10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44188</v>
      </c>
      <c r="B37" s="40"/>
      <c r="C37" s="41">
        <f t="shared" si="8"/>
        <v>0</v>
      </c>
      <c r="D37" s="42"/>
      <c r="E37" s="41">
        <f t="shared" si="9"/>
        <v>0</v>
      </c>
      <c r="F37" s="42"/>
      <c r="G37" s="41">
        <f t="shared" si="10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44189</v>
      </c>
      <c r="B38" s="40"/>
      <c r="C38" s="41">
        <f t="shared" si="8"/>
        <v>0</v>
      </c>
      <c r="D38" s="42"/>
      <c r="E38" s="41">
        <f t="shared" si="9"/>
        <v>0</v>
      </c>
      <c r="F38" s="42"/>
      <c r="G38" s="41">
        <f t="shared" si="10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44190</v>
      </c>
      <c r="B39" s="40"/>
      <c r="C39" s="41">
        <f t="shared" si="8"/>
        <v>0</v>
      </c>
      <c r="D39" s="42"/>
      <c r="E39" s="41">
        <f t="shared" si="9"/>
        <v>0</v>
      </c>
      <c r="F39" s="42"/>
      <c r="G39" s="41">
        <f t="shared" si="10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44191</v>
      </c>
      <c r="B40" s="40"/>
      <c r="C40" s="41">
        <f t="shared" si="8"/>
        <v>0</v>
      </c>
      <c r="D40" s="42"/>
      <c r="E40" s="41">
        <f t="shared" si="9"/>
        <v>0</v>
      </c>
      <c r="F40" s="42"/>
      <c r="G40" s="41">
        <f t="shared" si="10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44192</v>
      </c>
      <c r="B41" s="40"/>
      <c r="C41" s="41">
        <f t="shared" si="8"/>
        <v>0</v>
      </c>
      <c r="D41" s="42"/>
      <c r="E41" s="41">
        <f t="shared" si="9"/>
        <v>0</v>
      </c>
      <c r="F41" s="42"/>
      <c r="G41" s="41">
        <f t="shared" si="10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44193</v>
      </c>
      <c r="B42" s="40"/>
      <c r="C42" s="41">
        <f t="shared" si="8"/>
        <v>0</v>
      </c>
      <c r="D42" s="42"/>
      <c r="E42" s="41">
        <f t="shared" si="9"/>
        <v>0</v>
      </c>
      <c r="F42" s="42"/>
      <c r="G42" s="41">
        <f t="shared" si="10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44194</v>
      </c>
      <c r="B43" s="40"/>
      <c r="C43" s="41">
        <f t="shared" si="8"/>
        <v>0</v>
      </c>
      <c r="D43" s="42"/>
      <c r="E43" s="41">
        <f t="shared" si="9"/>
        <v>0</v>
      </c>
      <c r="F43" s="42"/>
      <c r="G43" s="41">
        <f t="shared" si="10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44195</v>
      </c>
      <c r="B44" s="40"/>
      <c r="C44" s="41">
        <f t="shared" si="8"/>
        <v>0</v>
      </c>
      <c r="D44" s="42"/>
      <c r="E44" s="41">
        <f t="shared" si="9"/>
        <v>0</v>
      </c>
      <c r="F44" s="42"/>
      <c r="G44" s="41">
        <f t="shared" si="10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44196</v>
      </c>
      <c r="B45" s="40"/>
      <c r="C45" s="41">
        <f t="shared" si="8"/>
        <v>0</v>
      </c>
      <c r="D45" s="42"/>
      <c r="E45" s="41">
        <f t="shared" si="9"/>
        <v>0</v>
      </c>
      <c r="F45" s="42"/>
      <c r="G45" s="41">
        <f t="shared" si="10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44197</v>
      </c>
      <c r="B46" s="40"/>
      <c r="C46" s="41">
        <f t="shared" si="8"/>
        <v>0</v>
      </c>
      <c r="D46" s="42"/>
      <c r="E46" s="41">
        <f t="shared" si="9"/>
        <v>0</v>
      </c>
      <c r="F46" s="42"/>
      <c r="G46" s="41">
        <f t="shared" si="10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44198</v>
      </c>
      <c r="B47" s="40"/>
      <c r="C47" s="41">
        <f t="shared" si="8"/>
        <v>0</v>
      </c>
      <c r="D47" s="42"/>
      <c r="E47" s="41">
        <f t="shared" si="9"/>
        <v>0</v>
      </c>
      <c r="F47" s="42"/>
      <c r="G47" s="41">
        <f t="shared" si="10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410</v>
      </c>
      <c r="E48" s="41">
        <f>SUM(E15:E45)</f>
        <v>7545</v>
      </c>
      <c r="F48" s="53"/>
      <c r="G48" s="41">
        <f>SUM(G15:G45)</f>
        <v>9913</v>
      </c>
      <c r="H48" s="53"/>
      <c r="I48" s="41">
        <f>SUM(I15:I45)</f>
        <v>5059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48" priority="1018" stopIfTrue="1" operator="lessThanOrEqual">
      <formula>0</formula>
    </cfRule>
  </conditionalFormatting>
  <conditionalFormatting sqref="C48">
    <cfRule type="cellIs" dxfId="47" priority="680" stopIfTrue="1" operator="lessThanOrEqual">
      <formula>0</formula>
    </cfRule>
  </conditionalFormatting>
  <conditionalFormatting sqref="C48">
    <cfRule type="cellIs" dxfId="46" priority="679" stopIfTrue="1" operator="lessThanOrEqual">
      <formula>0</formula>
    </cfRule>
  </conditionalFormatting>
  <conditionalFormatting sqref="C48">
    <cfRule type="cellIs" dxfId="45" priority="678" stopIfTrue="1" operator="lessThanOrEqual">
      <formula>0</formula>
    </cfRule>
  </conditionalFormatting>
  <conditionalFormatting sqref="C48">
    <cfRule type="cellIs" dxfId="44" priority="677" stopIfTrue="1" operator="lessThanOrEqual">
      <formula>0</formula>
    </cfRule>
  </conditionalFormatting>
  <conditionalFormatting sqref="E48">
    <cfRule type="cellIs" dxfId="43" priority="204" stopIfTrue="1" operator="lessThanOrEqual">
      <formula>0</formula>
    </cfRule>
  </conditionalFormatting>
  <conditionalFormatting sqref="E48">
    <cfRule type="cellIs" dxfId="42" priority="203" stopIfTrue="1" operator="lessThanOrEqual">
      <formula>0</formula>
    </cfRule>
  </conditionalFormatting>
  <conditionalFormatting sqref="E48">
    <cfRule type="cellIs" dxfId="41" priority="202" stopIfTrue="1" operator="lessThanOrEqual">
      <formula>0</formula>
    </cfRule>
  </conditionalFormatting>
  <conditionalFormatting sqref="E48">
    <cfRule type="cellIs" dxfId="40" priority="201" stopIfTrue="1" operator="lessThanOrEqual">
      <formula>0</formula>
    </cfRule>
  </conditionalFormatting>
  <conditionalFormatting sqref="G48">
    <cfRule type="cellIs" dxfId="39" priority="200" stopIfTrue="1" operator="lessThanOrEqual">
      <formula>0</formula>
    </cfRule>
  </conditionalFormatting>
  <conditionalFormatting sqref="G48">
    <cfRule type="cellIs" dxfId="38" priority="199" stopIfTrue="1" operator="lessThanOrEqual">
      <formula>0</formula>
    </cfRule>
  </conditionalFormatting>
  <conditionalFormatting sqref="G48">
    <cfRule type="cellIs" dxfId="37" priority="198" stopIfTrue="1" operator="lessThanOrEqual">
      <formula>0</formula>
    </cfRule>
  </conditionalFormatting>
  <conditionalFormatting sqref="G48">
    <cfRule type="cellIs" dxfId="36" priority="197" stopIfTrue="1" operator="lessThanOrEqual">
      <formula>0</formula>
    </cfRule>
  </conditionalFormatting>
  <conditionalFormatting sqref="I48">
    <cfRule type="cellIs" dxfId="35" priority="196" stopIfTrue="1" operator="lessThanOrEqual">
      <formula>0</formula>
    </cfRule>
  </conditionalFormatting>
  <conditionalFormatting sqref="I48">
    <cfRule type="cellIs" dxfId="34" priority="195" stopIfTrue="1" operator="lessThanOrEqual">
      <formula>0</formula>
    </cfRule>
  </conditionalFormatting>
  <conditionalFormatting sqref="I48">
    <cfRule type="cellIs" dxfId="33" priority="194" stopIfTrue="1" operator="lessThanOrEqual">
      <formula>0</formula>
    </cfRule>
  </conditionalFormatting>
  <conditionalFormatting sqref="I48">
    <cfRule type="cellIs" dxfId="32" priority="193" stopIfTrue="1" operator="lessThanOrEqual">
      <formula>0</formula>
    </cfRule>
  </conditionalFormatting>
  <conditionalFormatting sqref="C18:C47">
    <cfRule type="cellIs" dxfId="31" priority="32" stopIfTrue="1" operator="lessThanOrEqual">
      <formula>0</formula>
    </cfRule>
  </conditionalFormatting>
  <conditionalFormatting sqref="C18:C47">
    <cfRule type="cellIs" dxfId="30" priority="31" stopIfTrue="1" operator="lessThanOrEqual">
      <formula>0</formula>
    </cfRule>
  </conditionalFormatting>
  <conditionalFormatting sqref="C18:C47">
    <cfRule type="cellIs" dxfId="29" priority="30" stopIfTrue="1" operator="lessThanOrEqual">
      <formula>0</formula>
    </cfRule>
  </conditionalFormatting>
  <conditionalFormatting sqref="C18:C47">
    <cfRule type="cellIs" dxfId="28" priority="29" stopIfTrue="1" operator="lessThanOrEqual">
      <formula>0</formula>
    </cfRule>
  </conditionalFormatting>
  <conditionalFormatting sqref="C9">
    <cfRule type="cellIs" dxfId="27" priority="28" stopIfTrue="1" operator="lessThanOrEqual">
      <formula>0</formula>
    </cfRule>
  </conditionalFormatting>
  <conditionalFormatting sqref="C9">
    <cfRule type="cellIs" dxfId="26" priority="27" stopIfTrue="1" operator="lessThanOrEqual">
      <formula>0</formula>
    </cfRule>
  </conditionalFormatting>
  <conditionalFormatting sqref="C9">
    <cfRule type="cellIs" dxfId="25" priority="26" stopIfTrue="1" operator="lessThanOrEqual">
      <formula>0</formula>
    </cfRule>
  </conditionalFormatting>
  <conditionalFormatting sqref="C9">
    <cfRule type="cellIs" dxfId="24" priority="25" stopIfTrue="1" operator="lessThanOrEqual">
      <formula>0</formula>
    </cfRule>
  </conditionalFormatting>
  <conditionalFormatting sqref="C10:C12">
    <cfRule type="cellIs" dxfId="23" priority="24" stopIfTrue="1" operator="lessThanOrEqual">
      <formula>0</formula>
    </cfRule>
  </conditionalFormatting>
  <conditionalFormatting sqref="C10:C12">
    <cfRule type="cellIs" dxfId="22" priority="23" stopIfTrue="1" operator="lessThanOrEqual">
      <formula>0</formula>
    </cfRule>
  </conditionalFormatting>
  <conditionalFormatting sqref="C10:C12">
    <cfRule type="cellIs" dxfId="21" priority="22" stopIfTrue="1" operator="lessThanOrEqual">
      <formula>0</formula>
    </cfRule>
  </conditionalFormatting>
  <conditionalFormatting sqref="C10:C12">
    <cfRule type="cellIs" dxfId="20" priority="21" stopIfTrue="1" operator="lessThanOrEqual">
      <formula>0</formula>
    </cfRule>
  </conditionalFormatting>
  <conditionalFormatting sqref="C13">
    <cfRule type="cellIs" dxfId="19" priority="20" stopIfTrue="1" operator="lessThanOrEqual">
      <formula>0</formula>
    </cfRule>
  </conditionalFormatting>
  <conditionalFormatting sqref="C13">
    <cfRule type="cellIs" dxfId="18" priority="19" stopIfTrue="1" operator="lessThanOrEqual">
      <formula>0</formula>
    </cfRule>
  </conditionalFormatting>
  <conditionalFormatting sqref="C13">
    <cfRule type="cellIs" dxfId="17" priority="18" stopIfTrue="1" operator="lessThanOrEqual">
      <formula>0</formula>
    </cfRule>
  </conditionalFormatting>
  <conditionalFormatting sqref="C13">
    <cfRule type="cellIs" dxfId="16" priority="17" stopIfTrue="1" operator="lessThanOrEqual">
      <formula>0</formula>
    </cfRule>
  </conditionalFormatting>
  <conditionalFormatting sqref="C14">
    <cfRule type="cellIs" dxfId="15" priority="16" stopIfTrue="1" operator="lessThanOrEqual">
      <formula>0</formula>
    </cfRule>
  </conditionalFormatting>
  <conditionalFormatting sqref="C14">
    <cfRule type="cellIs" dxfId="14" priority="15" stopIfTrue="1" operator="lessThanOrEqual">
      <formula>0</formula>
    </cfRule>
  </conditionalFormatting>
  <conditionalFormatting sqref="C14">
    <cfRule type="cellIs" dxfId="13" priority="14" stopIfTrue="1" operator="lessThanOrEqual">
      <formula>0</formula>
    </cfRule>
  </conditionalFormatting>
  <conditionalFormatting sqref="C14">
    <cfRule type="cellIs" dxfId="12" priority="13" stopIfTrue="1" operator="lessThanOrEqual">
      <formula>0</formula>
    </cfRule>
  </conditionalFormatting>
  <conditionalFormatting sqref="C15">
    <cfRule type="cellIs" dxfId="11" priority="12" stopIfTrue="1" operator="lessThanOrEqual">
      <formula>0</formula>
    </cfRule>
  </conditionalFormatting>
  <conditionalFormatting sqref="C15">
    <cfRule type="cellIs" dxfId="10" priority="11" stopIfTrue="1" operator="lessThanOrEqual">
      <formula>0</formula>
    </cfRule>
  </conditionalFormatting>
  <conditionalFormatting sqref="C15">
    <cfRule type="cellIs" dxfId="9" priority="10" stopIfTrue="1" operator="lessThanOrEqual">
      <formula>0</formula>
    </cfRule>
  </conditionalFormatting>
  <conditionalFormatting sqref="C15">
    <cfRule type="cellIs" dxfId="8" priority="9" stopIfTrue="1" operator="lessThanOrEqual">
      <formula>0</formula>
    </cfRule>
  </conditionalFormatting>
  <conditionalFormatting sqref="C16">
    <cfRule type="cellIs" dxfId="7" priority="8" stopIfTrue="1" operator="lessThanOrEqual">
      <formula>0</formula>
    </cfRule>
  </conditionalFormatting>
  <conditionalFormatting sqref="C16">
    <cfRule type="cellIs" dxfId="6" priority="7" stopIfTrue="1" operator="lessThanOrEqual">
      <formula>0</formula>
    </cfRule>
  </conditionalFormatting>
  <conditionalFormatting sqref="C16">
    <cfRule type="cellIs" dxfId="5" priority="6" stopIfTrue="1" operator="lessThanOrEqual">
      <formula>0</formula>
    </cfRule>
  </conditionalFormatting>
  <conditionalFormatting sqref="C16">
    <cfRule type="cellIs" dxfId="4" priority="5" stopIfTrue="1" operator="lessThanOrEqual">
      <formula>0</formula>
    </cfRule>
  </conditionalFormatting>
  <conditionalFormatting sqref="C17">
    <cfRule type="cellIs" dxfId="3" priority="4" stopIfTrue="1" operator="lessThanOrEqual">
      <formula>0</formula>
    </cfRule>
  </conditionalFormatting>
  <conditionalFormatting sqref="C17">
    <cfRule type="cellIs" dxfId="2" priority="3" stopIfTrue="1" operator="lessThanOrEqual">
      <formula>0</formula>
    </cfRule>
  </conditionalFormatting>
  <conditionalFormatting sqref="C17">
    <cfRule type="cellIs" dxfId="1" priority="2" stopIfTrue="1" operator="lessThanOrEqual">
      <formula>0</formula>
    </cfRule>
  </conditionalFormatting>
  <conditionalFormatting sqref="C17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01.12 au 31.12</vt:lpstr>
      <vt:lpstr>Suivi Gaz</vt:lpstr>
      <vt:lpstr>Suivi EAU-ELEC</vt:lpstr>
      <vt:lpstr>Feuil1</vt:lpstr>
      <vt:lpstr>'Consommation du 01.12 au 31.12'!Print_Area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2020-12-03T08:12:27Z</dcterms:modified>
</cp:coreProperties>
</file>