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45" i="7" l="1"/>
  <c r="AU44" i="7"/>
  <c r="AW37" i="7"/>
  <c r="AV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AW36" i="7"/>
  <c r="AV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AW35" i="7"/>
  <c r="AV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D35" i="7"/>
  <c r="AC35" i="7"/>
  <c r="AA35" i="7"/>
  <c r="Z35" i="7"/>
  <c r="Y35" i="7"/>
  <c r="X35" i="7"/>
  <c r="W35" i="7"/>
  <c r="V35" i="7"/>
  <c r="U35" i="7"/>
  <c r="T35" i="7"/>
  <c r="S35" i="7"/>
  <c r="R35" i="7"/>
  <c r="Q35" i="7"/>
  <c r="AW34" i="7"/>
  <c r="AV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D34" i="7"/>
  <c r="AC34" i="7"/>
  <c r="AA34" i="7"/>
  <c r="Z34" i="7"/>
  <c r="Y34" i="7"/>
  <c r="X34" i="7"/>
  <c r="W34" i="7"/>
  <c r="V34" i="7"/>
  <c r="U34" i="7"/>
  <c r="T34" i="7"/>
  <c r="S34" i="7"/>
  <c r="R34" i="7"/>
  <c r="Q34" i="7"/>
  <c r="AW33" i="7"/>
  <c r="AV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AW32" i="7"/>
  <c r="AV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AW31" i="7"/>
  <c r="AV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AW30" i="7"/>
  <c r="AV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AW29" i="7"/>
  <c r="AV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AW28" i="7"/>
  <c r="AV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AW27" i="7"/>
  <c r="AV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AW26" i="7"/>
  <c r="AV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AW25" i="7"/>
  <c r="AV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AV24" i="7"/>
  <c r="AW24" i="7" s="1"/>
  <c r="AO24" i="7"/>
  <c r="AL24" i="7"/>
  <c r="AC24" i="7"/>
  <c r="AR24" i="7" s="1"/>
  <c r="AB24" i="7"/>
  <c r="AQ24" i="7" s="1"/>
  <c r="AA24" i="7"/>
  <c r="AP24" i="7" s="1"/>
  <c r="Z24" i="7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W23" i="7"/>
  <c r="AV23" i="7"/>
  <c r="AM23" i="7"/>
  <c r="AJ23" i="7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AK23" i="7" s="1"/>
  <c r="U23" i="7"/>
  <c r="T23" i="7"/>
  <c r="AI23" i="7" s="1"/>
  <c r="S23" i="7"/>
  <c r="AH23" i="7" s="1"/>
  <c r="R23" i="7"/>
  <c r="AG23" i="7" s="1"/>
  <c r="Q23" i="7"/>
  <c r="AF23" i="7" s="1"/>
  <c r="AV22" i="7"/>
  <c r="AW22" i="7" s="1"/>
  <c r="AL22" i="7"/>
  <c r="AC22" i="7"/>
  <c r="Q17" i="9" s="1"/>
  <c r="AB22" i="7"/>
  <c r="AQ22" i="7" s="1"/>
  <c r="AA22" i="7"/>
  <c r="AP22" i="7" s="1"/>
  <c r="Z22" i="7"/>
  <c r="AO22" i="7" s="1"/>
  <c r="Y22" i="7"/>
  <c r="AN22" i="7" s="1"/>
  <c r="X22" i="7"/>
  <c r="AM22" i="7" s="1"/>
  <c r="W22" i="7"/>
  <c r="V22" i="7"/>
  <c r="AK22" i="7" s="1"/>
  <c r="U22" i="7"/>
  <c r="AJ22" i="7" s="1"/>
  <c r="T22" i="7"/>
  <c r="AI22" i="7" s="1"/>
  <c r="S22" i="7"/>
  <c r="AH22" i="7" s="1"/>
  <c r="R22" i="7"/>
  <c r="AG22" i="7" s="1"/>
  <c r="Q22" i="7"/>
  <c r="AF22" i="7" s="1"/>
  <c r="AV21" i="7"/>
  <c r="AW21" i="7" s="1"/>
  <c r="AN21" i="7"/>
  <c r="AJ21" i="7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T21" i="7"/>
  <c r="S21" i="7"/>
  <c r="AH21" i="7" s="1"/>
  <c r="R21" i="7"/>
  <c r="Q21" i="7"/>
  <c r="AF21" i="7" s="1"/>
  <c r="AW20" i="7"/>
  <c r="AV20" i="7"/>
  <c r="AK20" i="7"/>
  <c r="AJ20" i="7"/>
  <c r="AI20" i="7"/>
  <c r="AH20" i="7"/>
  <c r="AG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U20" i="7"/>
  <c r="T20" i="7"/>
  <c r="S20" i="7"/>
  <c r="R20" i="7"/>
  <c r="Q20" i="7"/>
  <c r="AW19" i="7"/>
  <c r="AV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AW18" i="7"/>
  <c r="AV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AW17" i="7"/>
  <c r="AV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AW16" i="7"/>
  <c r="AV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AW15" i="7"/>
  <c r="AV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AW14" i="7"/>
  <c r="AV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AW13" i="7"/>
  <c r="AV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AW12" i="7"/>
  <c r="AV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AW11" i="7"/>
  <c r="AV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AW10" i="7"/>
  <c r="AV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AW9" i="7"/>
  <c r="AV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AV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AV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B32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B31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B30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B29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B28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B27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B26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B25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B24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B23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B22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B21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B20" i="9"/>
  <c r="S19" i="9"/>
  <c r="P19" i="9"/>
  <c r="N19" i="9"/>
  <c r="M19" i="9"/>
  <c r="L19" i="9"/>
  <c r="I19" i="9"/>
  <c r="G19" i="9"/>
  <c r="B19" i="9"/>
  <c r="S18" i="9"/>
  <c r="R18" i="9"/>
  <c r="G18" i="5" s="1"/>
  <c r="Q18" i="9"/>
  <c r="O18" i="9"/>
  <c r="J18" i="9"/>
  <c r="I18" i="9"/>
  <c r="G18" i="9"/>
  <c r="E18" i="9"/>
  <c r="B18" i="9"/>
  <c r="R17" i="9"/>
  <c r="G17" i="5" s="1"/>
  <c r="O17" i="9"/>
  <c r="N17" i="9"/>
  <c r="M17" i="9"/>
  <c r="L17" i="9"/>
  <c r="K17" i="9"/>
  <c r="I17" i="9"/>
  <c r="H17" i="9"/>
  <c r="F17" i="9"/>
  <c r="B17" i="9"/>
  <c r="R16" i="9"/>
  <c r="M16" i="9"/>
  <c r="K16" i="9"/>
  <c r="I16" i="9"/>
  <c r="H16" i="9"/>
  <c r="F16" i="9"/>
  <c r="B16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B14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B13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B12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B11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B10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B9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B8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B7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B6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B5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B4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B3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I32" i="5"/>
  <c r="G32" i="5"/>
  <c r="E32" i="5"/>
  <c r="B32" i="5"/>
  <c r="I31" i="5"/>
  <c r="G31" i="5"/>
  <c r="E31" i="5"/>
  <c r="B31" i="5"/>
  <c r="I30" i="5"/>
  <c r="G30" i="5"/>
  <c r="E30" i="5"/>
  <c r="B30" i="5"/>
  <c r="I29" i="5"/>
  <c r="G29" i="5"/>
  <c r="E29" i="5"/>
  <c r="B29" i="5"/>
  <c r="I28" i="5"/>
  <c r="G28" i="5"/>
  <c r="E28" i="5"/>
  <c r="B28" i="5"/>
  <c r="I27" i="5"/>
  <c r="G27" i="5"/>
  <c r="E27" i="5"/>
  <c r="B27" i="5"/>
  <c r="I26" i="5"/>
  <c r="G26" i="5"/>
  <c r="E26" i="5"/>
  <c r="B26" i="5"/>
  <c r="I25" i="5"/>
  <c r="G25" i="5"/>
  <c r="E25" i="5"/>
  <c r="B25" i="5"/>
  <c r="I24" i="5"/>
  <c r="G24" i="5"/>
  <c r="E24" i="5"/>
  <c r="B24" i="5"/>
  <c r="I23" i="5"/>
  <c r="G23" i="5"/>
  <c r="E23" i="5"/>
  <c r="B23" i="5"/>
  <c r="I22" i="5"/>
  <c r="G22" i="5"/>
  <c r="E22" i="5"/>
  <c r="B22" i="5"/>
  <c r="I21" i="5"/>
  <c r="G21" i="5"/>
  <c r="E21" i="5"/>
  <c r="B21" i="5"/>
  <c r="I20" i="5"/>
  <c r="G20" i="5"/>
  <c r="E20" i="5"/>
  <c r="B20" i="5"/>
  <c r="I19" i="5"/>
  <c r="B19" i="5"/>
  <c r="I18" i="5"/>
  <c r="B18" i="5"/>
  <c r="I17" i="5"/>
  <c r="B17" i="5"/>
  <c r="I16" i="5"/>
  <c r="G16" i="5"/>
  <c r="B16" i="5"/>
  <c r="I15" i="5"/>
  <c r="G15" i="5"/>
  <c r="B15" i="5"/>
  <c r="I14" i="5"/>
  <c r="G14" i="5"/>
  <c r="E14" i="5"/>
  <c r="B14" i="5"/>
  <c r="I13" i="5"/>
  <c r="G13" i="5"/>
  <c r="E13" i="5"/>
  <c r="B13" i="5"/>
  <c r="I12" i="5"/>
  <c r="G12" i="5"/>
  <c r="E12" i="5"/>
  <c r="B12" i="5"/>
  <c r="I11" i="5"/>
  <c r="G11" i="5"/>
  <c r="E11" i="5"/>
  <c r="B11" i="5"/>
  <c r="I10" i="5"/>
  <c r="G10" i="5"/>
  <c r="E10" i="5"/>
  <c r="B10" i="5"/>
  <c r="I9" i="5"/>
  <c r="G9" i="5"/>
  <c r="E9" i="5"/>
  <c r="B9" i="5"/>
  <c r="I8" i="5"/>
  <c r="G8" i="5"/>
  <c r="E8" i="5"/>
  <c r="B8" i="5"/>
  <c r="I7" i="5"/>
  <c r="G7" i="5"/>
  <c r="E7" i="5"/>
  <c r="B7" i="5"/>
  <c r="I6" i="5"/>
  <c r="G6" i="5"/>
  <c r="E6" i="5"/>
  <c r="B6" i="5"/>
  <c r="I5" i="5"/>
  <c r="G5" i="5"/>
  <c r="E5" i="5"/>
  <c r="B5" i="5"/>
  <c r="I4" i="5"/>
  <c r="G4" i="5"/>
  <c r="E4" i="5"/>
  <c r="B4" i="5"/>
  <c r="I3" i="5"/>
  <c r="G3" i="5"/>
  <c r="E3" i="5"/>
  <c r="B3" i="5"/>
  <c r="I2" i="5"/>
  <c r="G2" i="5"/>
  <c r="E2" i="5"/>
  <c r="R19" i="9" l="1"/>
  <c r="G19" i="5" s="1"/>
  <c r="AV38" i="7"/>
  <c r="AW38" i="7"/>
  <c r="Q19" i="9"/>
  <c r="O19" i="9"/>
  <c r="M18" i="9"/>
  <c r="K18" i="9"/>
  <c r="J19" i="9"/>
  <c r="H19" i="9"/>
  <c r="T38" i="7"/>
  <c r="H18" i="9"/>
  <c r="AG24" i="7"/>
  <c r="R38" i="7"/>
  <c r="F18" i="9"/>
  <c r="AS24" i="7"/>
  <c r="E19" i="9"/>
  <c r="E19" i="5" s="1"/>
  <c r="AD24" i="7"/>
  <c r="P17" i="9"/>
  <c r="P18" i="9"/>
  <c r="N18" i="9"/>
  <c r="AJ38" i="7"/>
  <c r="U38" i="7"/>
  <c r="AI38" i="7"/>
  <c r="AS23" i="7"/>
  <c r="AD23" i="7"/>
  <c r="AF38" i="7"/>
  <c r="AC38" i="7"/>
  <c r="AR22" i="7"/>
  <c r="AS22" i="7" s="1"/>
  <c r="P16" i="9"/>
  <c r="AQ38" i="7"/>
  <c r="AA38" i="7"/>
  <c r="N16" i="9"/>
  <c r="AO38" i="7"/>
  <c r="AN38" i="7"/>
  <c r="L16" i="9"/>
  <c r="AM38" i="7"/>
  <c r="J17" i="9"/>
  <c r="AH38" i="7"/>
  <c r="G16" i="9"/>
  <c r="S38" i="7"/>
  <c r="G17" i="9"/>
  <c r="AG21" i="7"/>
  <c r="AG38" i="7" s="1"/>
  <c r="AD22" i="7"/>
  <c r="Q38" i="7"/>
  <c r="E16" i="9"/>
  <c r="E17" i="9"/>
  <c r="AV39" i="7"/>
  <c r="AV40" i="7" s="1"/>
  <c r="AV41" i="7"/>
  <c r="Q16" i="9"/>
  <c r="AR20" i="7"/>
  <c r="AB38" i="7"/>
  <c r="AP20" i="7"/>
  <c r="AP21" i="7"/>
  <c r="Z38" i="7"/>
  <c r="E15" i="5"/>
  <c r="Y38" i="7"/>
  <c r="X38" i="7"/>
  <c r="AD20" i="7"/>
  <c r="AL38" i="7"/>
  <c r="W38" i="7"/>
  <c r="AK21" i="7"/>
  <c r="AS21" i="7" s="1"/>
  <c r="AK38" i="7"/>
  <c r="AD21" i="7"/>
  <c r="V38" i="7"/>
  <c r="E18" i="5" l="1"/>
  <c r="AR38" i="7"/>
  <c r="E17" i="5"/>
  <c r="E16" i="5"/>
  <c r="AS20" i="7"/>
  <c r="AS38" i="7" s="1"/>
  <c r="AP38" i="7"/>
  <c r="AD38" i="7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<sst xmlns="http://schemas.openxmlformats.org/spreadsheetml/2006/main" count="128" uniqueCount="49">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</sst>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Submetering!R5</f>
        <v>908.87694099999999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Submetering!R6</f>
        <v>718.09227699999997</v>
      </c>
      <c r="H6" s="11">
        <v>0.52800000000000002</v>
      </c>
      <c r="I6" s="12">
        <f>Hotel!B11</f>
        <v>57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Submetering!R7</f>
        <v>791.15069000000005</v>
      </c>
      <c r="H7" s="11">
        <v>0.52800000000000002</v>
      </c>
      <c r="I7" s="12">
        <f>Hotel!B12</f>
        <v>61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Submetering!R8</f>
        <v>1016.0040439999999</v>
      </c>
      <c r="H8" s="11">
        <v>0.52800000000000002</v>
      </c>
      <c r="I8" s="12">
        <f>Hotel!B13</f>
        <v>63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58710</v>
      </c>
      <c r="F9" s="11">
        <v>5.0000000000000001E-3</v>
      </c>
      <c r="G9" s="12">
        <f>Submetering!R9</f>
        <v>582.19605799999999</v>
      </c>
      <c r="H9" s="11">
        <v>0.52800000000000002</v>
      </c>
      <c r="I9" s="12">
        <f>Hotel!B14</f>
        <v>136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63490</v>
      </c>
      <c r="F10" s="11">
        <v>5.0000000000000001E-3</v>
      </c>
      <c r="G10" s="12">
        <f>Submetering!R10</f>
        <v>1003.13365</v>
      </c>
      <c r="H10" s="11">
        <v>0.52800000000000002</v>
      </c>
      <c r="I10" s="12">
        <f>Hotel!B15</f>
        <v>172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62400</v>
      </c>
      <c r="F11" s="11">
        <v>5.0000000000000001E-3</v>
      </c>
      <c r="G11" s="12">
        <f>Submetering!R11</f>
        <v>797.58588699999996</v>
      </c>
      <c r="H11" s="11">
        <v>0.52800000000000002</v>
      </c>
      <c r="I11" s="12">
        <f>Hotel!B16</f>
        <v>101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59900</v>
      </c>
      <c r="F12" s="11">
        <v>5.0000000000000001E-3</v>
      </c>
      <c r="G12" s="12">
        <f>Submetering!R12</f>
        <v>812.34898599999997</v>
      </c>
      <c r="H12" s="11">
        <v>0.52800000000000002</v>
      </c>
      <c r="I12" s="12">
        <f>Hotel!B17</f>
        <v>71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60690</v>
      </c>
      <c r="F13" s="11">
        <v>5.0000000000000001E-3</v>
      </c>
      <c r="G13" s="12">
        <f>Submetering!R13</f>
        <v>847.17475800000011</v>
      </c>
      <c r="H13" s="11">
        <v>0.52800000000000002</v>
      </c>
      <c r="I13" s="12">
        <f>Hotel!B18</f>
        <v>69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59680</v>
      </c>
      <c r="F14" s="11">
        <v>5.0000000000000001E-3</v>
      </c>
      <c r="G14" s="12">
        <f>Submetering!R14</f>
        <v>741.56181900000001</v>
      </c>
      <c r="H14" s="11">
        <v>0.52800000000000002</v>
      </c>
      <c r="I14" s="12">
        <f>Hotel!B19</f>
        <v>59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59280</v>
      </c>
      <c r="F15" s="11">
        <v>5.0000000000000001E-3</v>
      </c>
      <c r="G15" s="12">
        <f>Submetering!R15</f>
        <v>735.126622</v>
      </c>
      <c r="H15" s="11">
        <v>0.52800000000000002</v>
      </c>
      <c r="I15" s="12">
        <f>Hotel!B20</f>
        <v>71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58980</v>
      </c>
      <c r="F16" s="11">
        <v>5.0000000000000001E-3</v>
      </c>
      <c r="G16" s="12">
        <f>Submetering!R16</f>
        <v>596.959157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63900</v>
      </c>
      <c r="F17" s="11">
        <v>5.0000000000000001E-3</v>
      </c>
      <c r="G17" s="12">
        <f>Submetering!R17</f>
        <v>851.71724999999992</v>
      </c>
      <c r="H17" s="11">
        <v>0.52800000000000002</v>
      </c>
      <c r="I17" s="12">
        <f>Hotel!B22</f>
        <v>137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63090</v>
      </c>
      <c r="F18" s="11">
        <v>5.0000000000000001E-3</v>
      </c>
      <c r="G18" s="12">
        <f>Submetering!R18</f>
        <v>774.49488599999995</v>
      </c>
      <c r="H18" s="11">
        <v>0.52800000000000002</v>
      </c>
      <c r="I18" s="12">
        <f>Hotel!B23</f>
        <v>61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Hotel!AV10*0.00378541*100</f>
        <v>908.87694099999999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Hotel!AV11*0.00378541*100</f>
        <v>718.09227699999997</v>
      </c>
      <c r="S6" s="4">
        <f>Hotel!B11</f>
        <v>57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Hotel!AV12*0.00378541*100</f>
        <v>791.15069000000005</v>
      </c>
      <c r="S7" s="4">
        <f>Hotel!B12</f>
        <v>61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Hotel!AV13*0.00378541*100</f>
        <v>1016.0040439999999</v>
      </c>
      <c r="S8" s="4">
        <f>Hotel!B13</f>
        <v>63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990</v>
      </c>
      <c r="F9" s="4">
        <f>Hotel!R14</f>
        <v>12370</v>
      </c>
      <c r="G9" s="4">
        <f>Hotel!S14</f>
        <v>3010</v>
      </c>
      <c r="H9" s="4">
        <f>Hotel!T14</f>
        <v>1500</v>
      </c>
      <c r="I9" s="4">
        <f>Hotel!U14</f>
        <v>4440</v>
      </c>
      <c r="J9" s="4">
        <f>Hotel!V14</f>
        <v>3230</v>
      </c>
      <c r="K9" s="4">
        <f>Hotel!W14</f>
        <v>2260</v>
      </c>
      <c r="L9" s="4">
        <f>Hotel!X14</f>
        <v>3490</v>
      </c>
      <c r="M9" s="4">
        <f>Hotel!Y14</f>
        <v>4740</v>
      </c>
      <c r="N9" s="4">
        <f>Hotel!Z14</f>
        <v>2640</v>
      </c>
      <c r="O9" s="4">
        <f>Hotel!AA14</f>
        <v>3210</v>
      </c>
      <c r="P9" s="4">
        <f>Hotel!AB14</f>
        <v>6740</v>
      </c>
      <c r="Q9" s="4">
        <f>Hotel!AC14</f>
        <v>10090</v>
      </c>
      <c r="R9" s="4">
        <f>Hotel!AV14*0.00378541*100</f>
        <v>582.19605799999999</v>
      </c>
      <c r="S9" s="4">
        <f>Hotel!B14</f>
        <v>136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1040</v>
      </c>
      <c r="F10" s="4">
        <f>Hotel!R15</f>
        <v>12930</v>
      </c>
      <c r="G10" s="4">
        <f>Hotel!S15</f>
        <v>3160</v>
      </c>
      <c r="H10" s="4">
        <f>Hotel!T15</f>
        <v>1590</v>
      </c>
      <c r="I10" s="4">
        <f>Hotel!U15</f>
        <v>4910</v>
      </c>
      <c r="J10" s="4">
        <f>Hotel!V15</f>
        <v>3500</v>
      </c>
      <c r="K10" s="4">
        <f>Hotel!W15</f>
        <v>2380</v>
      </c>
      <c r="L10" s="4">
        <f>Hotel!X15</f>
        <v>3880</v>
      </c>
      <c r="M10" s="4">
        <f>Hotel!Y15</f>
        <v>5370</v>
      </c>
      <c r="N10" s="4">
        <f>Hotel!Z15</f>
        <v>2930</v>
      </c>
      <c r="O10" s="4">
        <f>Hotel!AA15</f>
        <v>3850</v>
      </c>
      <c r="P10" s="4">
        <f>Hotel!AB15</f>
        <v>7140</v>
      </c>
      <c r="Q10" s="4">
        <f>Hotel!AC15</f>
        <v>10810</v>
      </c>
      <c r="R10" s="4">
        <f>Hotel!AV15*0.00378541*100</f>
        <v>1003.13365</v>
      </c>
      <c r="S10" s="4">
        <f>Hotel!B15</f>
        <v>172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1010</v>
      </c>
      <c r="F11" s="4">
        <f>Hotel!R16</f>
        <v>12360</v>
      </c>
      <c r="G11" s="4">
        <f>Hotel!S16</f>
        <v>3010</v>
      </c>
      <c r="H11" s="4">
        <f>Hotel!T16</f>
        <v>1550</v>
      </c>
      <c r="I11" s="4">
        <f>Hotel!U16</f>
        <v>4830</v>
      </c>
      <c r="J11" s="4">
        <f>Hotel!V16</f>
        <v>3400</v>
      </c>
      <c r="K11" s="4">
        <f>Hotel!W16</f>
        <v>2370</v>
      </c>
      <c r="L11" s="4">
        <f>Hotel!X16</f>
        <v>3810</v>
      </c>
      <c r="M11" s="4">
        <f>Hotel!Y16</f>
        <v>5290</v>
      </c>
      <c r="N11" s="4">
        <f>Hotel!Z16</f>
        <v>2750</v>
      </c>
      <c r="O11" s="4">
        <f>Hotel!AA16</f>
        <v>3620</v>
      </c>
      <c r="P11" s="4">
        <f>Hotel!AB16</f>
        <v>6980</v>
      </c>
      <c r="Q11" s="4">
        <f>Hotel!AC16</f>
        <v>11420</v>
      </c>
      <c r="R11" s="4">
        <f>Hotel!AV16*0.00378541*100</f>
        <v>797.58588699999996</v>
      </c>
      <c r="S11" s="4">
        <f>Hotel!B16</f>
        <v>101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1000</v>
      </c>
      <c r="F12" s="4">
        <f>Hotel!R17</f>
        <v>12050</v>
      </c>
      <c r="G12" s="4">
        <f>Hotel!S17</f>
        <v>2930</v>
      </c>
      <c r="H12" s="4">
        <f>Hotel!T17</f>
        <v>1520</v>
      </c>
      <c r="I12" s="4">
        <f>Hotel!U17</f>
        <v>4290</v>
      </c>
      <c r="J12" s="4">
        <f>Hotel!V17</f>
        <v>3160</v>
      </c>
      <c r="K12" s="4">
        <f>Hotel!W17</f>
        <v>2350</v>
      </c>
      <c r="L12" s="4">
        <f>Hotel!X17</f>
        <v>3390</v>
      </c>
      <c r="M12" s="4">
        <f>Hotel!Y17</f>
        <v>5070</v>
      </c>
      <c r="N12" s="4">
        <f>Hotel!Z17</f>
        <v>2490</v>
      </c>
      <c r="O12" s="4">
        <f>Hotel!AA17</f>
        <v>3360</v>
      </c>
      <c r="P12" s="4">
        <f>Hotel!AB17</f>
        <v>6680</v>
      </c>
      <c r="Q12" s="4">
        <f>Hotel!AC17</f>
        <v>11610</v>
      </c>
      <c r="R12" s="4">
        <f>Hotel!AV17*0.00378541*100</f>
        <v>812.34898599999997</v>
      </c>
      <c r="S12" s="4">
        <f>Hotel!B17</f>
        <v>71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1020</v>
      </c>
      <c r="F13" s="4">
        <f>Hotel!R18</f>
        <v>12220</v>
      </c>
      <c r="G13" s="4">
        <f>Hotel!S18</f>
        <v>2970</v>
      </c>
      <c r="H13" s="4">
        <f>Hotel!T18</f>
        <v>1550</v>
      </c>
      <c r="I13" s="4">
        <f>Hotel!U18</f>
        <v>4580</v>
      </c>
      <c r="J13" s="4">
        <f>Hotel!V18</f>
        <v>3250</v>
      </c>
      <c r="K13" s="4">
        <f>Hotel!W18</f>
        <v>2420</v>
      </c>
      <c r="L13" s="4">
        <f>Hotel!X18</f>
        <v>3720</v>
      </c>
      <c r="M13" s="4">
        <f>Hotel!Y18</f>
        <v>5210</v>
      </c>
      <c r="N13" s="4">
        <f>Hotel!Z18</f>
        <v>2530</v>
      </c>
      <c r="O13" s="4">
        <f>Hotel!AA18</f>
        <v>3260</v>
      </c>
      <c r="P13" s="4">
        <f>Hotel!AB18</f>
        <v>6700</v>
      </c>
      <c r="Q13" s="4">
        <f>Hotel!AC18</f>
        <v>11260</v>
      </c>
      <c r="R13" s="4">
        <f>Hotel!AV18*0.00378541*100</f>
        <v>847.17475800000011</v>
      </c>
      <c r="S13" s="4">
        <f>Hotel!B18</f>
        <v>69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1000</v>
      </c>
      <c r="F14" s="4">
        <f>Hotel!R19</f>
        <v>12030</v>
      </c>
      <c r="G14" s="4">
        <f>Hotel!S19</f>
        <v>2900</v>
      </c>
      <c r="H14" s="4">
        <f>Hotel!T19</f>
        <v>1550</v>
      </c>
      <c r="I14" s="4">
        <f>Hotel!U19</f>
        <v>4510</v>
      </c>
      <c r="J14" s="4">
        <f>Hotel!V19</f>
        <v>3310</v>
      </c>
      <c r="K14" s="4">
        <f>Hotel!W19</f>
        <v>2430</v>
      </c>
      <c r="L14" s="4">
        <f>Hotel!X19</f>
        <v>3820</v>
      </c>
      <c r="M14" s="4">
        <f>Hotel!Y19</f>
        <v>5230</v>
      </c>
      <c r="N14" s="4">
        <f>Hotel!Z19</f>
        <v>2470</v>
      </c>
      <c r="O14" s="4">
        <f>Hotel!AA19</f>
        <v>3000</v>
      </c>
      <c r="P14" s="4">
        <f>Hotel!AB19</f>
        <v>6850</v>
      </c>
      <c r="Q14" s="4">
        <f>Hotel!AC19</f>
        <v>10580</v>
      </c>
      <c r="R14" s="4">
        <f>Hotel!AV19*0.00378541*100</f>
        <v>741.56181900000001</v>
      </c>
      <c r="S14" s="4">
        <f>Hotel!B19</f>
        <v>59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1020</v>
      </c>
      <c r="F15" s="4">
        <f>Hotel!R20</f>
        <v>12190</v>
      </c>
      <c r="G15" s="4">
        <f>Hotel!S20</f>
        <v>2950</v>
      </c>
      <c r="H15" s="4">
        <f>Hotel!T20</f>
        <v>1570</v>
      </c>
      <c r="I15" s="4">
        <f>Hotel!U20</f>
        <v>4500</v>
      </c>
      <c r="J15" s="4">
        <f>Hotel!V20</f>
        <v>3120</v>
      </c>
      <c r="K15" s="4">
        <f>Hotel!W20</f>
        <v>2430</v>
      </c>
      <c r="L15" s="4">
        <f>Hotel!X20</f>
        <v>3720</v>
      </c>
      <c r="M15" s="4">
        <f>Hotel!Y20</f>
        <v>5150</v>
      </c>
      <c r="N15" s="4">
        <f>Hotel!Z20</f>
        <v>2530</v>
      </c>
      <c r="O15" s="4">
        <f>Hotel!AA20</f>
        <v>3220</v>
      </c>
      <c r="P15" s="4">
        <f>Hotel!AB20</f>
        <v>6820</v>
      </c>
      <c r="Q15" s="4">
        <f>Hotel!AC20</f>
        <v>10060</v>
      </c>
      <c r="R15" s="4">
        <f>Hotel!AV20*0.00378541*100</f>
        <v>735.126622</v>
      </c>
      <c r="S15" s="4">
        <f>Hotel!B20</f>
        <v>71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1010</v>
      </c>
      <c r="F16" s="4">
        <f>Hotel!R21</f>
        <v>11990</v>
      </c>
      <c r="G16" s="4">
        <f>Hotel!S21</f>
        <v>2880</v>
      </c>
      <c r="H16" s="4">
        <f>Hotel!T21</f>
        <v>1540</v>
      </c>
      <c r="I16" s="4">
        <f>Hotel!U21</f>
        <v>4660</v>
      </c>
      <c r="J16" s="4">
        <f>Hotel!V21</f>
        <v>3130</v>
      </c>
      <c r="K16" s="4">
        <f>Hotel!W21</f>
        <v>2380</v>
      </c>
      <c r="L16" s="4">
        <f>Hotel!X21</f>
        <v>3740</v>
      </c>
      <c r="M16" s="4">
        <f>Hotel!Y21</f>
        <v>5200</v>
      </c>
      <c r="N16" s="4">
        <f>Hotel!Z21</f>
        <v>2660</v>
      </c>
      <c r="O16" s="4">
        <f>Hotel!AA21</f>
        <v>3210</v>
      </c>
      <c r="P16" s="4">
        <f>Hotel!AB21</f>
        <v>6720</v>
      </c>
      <c r="Q16" s="4">
        <f>Hotel!AC21</f>
        <v>9860</v>
      </c>
      <c r="R16" s="4">
        <f>Hotel!AV21*0.00378541*100</f>
        <v>596.959157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1060</v>
      </c>
      <c r="F17" s="4">
        <f>Hotel!R22</f>
        <v>13440</v>
      </c>
      <c r="G17" s="4">
        <f>Hotel!S22</f>
        <v>2410</v>
      </c>
      <c r="H17" s="4">
        <f>Hotel!T22</f>
        <v>1630</v>
      </c>
      <c r="I17" s="4">
        <f>Hotel!U22</f>
        <v>5100</v>
      </c>
      <c r="J17" s="4">
        <f>Hotel!V22</f>
        <v>3320</v>
      </c>
      <c r="K17" s="4">
        <f>Hotel!W22</f>
        <v>2470</v>
      </c>
      <c r="L17" s="4">
        <f>Hotel!X22</f>
        <v>3980</v>
      </c>
      <c r="M17" s="4">
        <f>Hotel!Y22</f>
        <v>5810</v>
      </c>
      <c r="N17" s="4">
        <f>Hotel!Z22</f>
        <v>2910</v>
      </c>
      <c r="O17" s="4">
        <f>Hotel!AA22</f>
        <v>3730</v>
      </c>
      <c r="P17" s="4">
        <f>Hotel!AB22</f>
        <v>7200</v>
      </c>
      <c r="Q17" s="4">
        <f>Hotel!AC22</f>
        <v>10840</v>
      </c>
      <c r="R17" s="4">
        <f>Hotel!AV22*0.00378541*100</f>
        <v>851.71724999999992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1060</v>
      </c>
      <c r="F18" s="4">
        <f>Hotel!R23</f>
        <v>12610</v>
      </c>
      <c r="G18" s="4">
        <f>Hotel!S23</f>
        <v>3050</v>
      </c>
      <c r="H18" s="4">
        <f>Hotel!T23</f>
        <v>1640</v>
      </c>
      <c r="I18" s="4">
        <f>Hotel!U23</f>
        <v>4960</v>
      </c>
      <c r="J18" s="4">
        <f>Hotel!V23</f>
        <v>3300</v>
      </c>
      <c r="K18" s="4">
        <f>Hotel!W23</f>
        <v>2490</v>
      </c>
      <c r="L18" s="4">
        <f>Hotel!X23</f>
        <v>3870</v>
      </c>
      <c r="M18" s="4">
        <f>Hotel!Y23</f>
        <v>5860</v>
      </c>
      <c r="N18" s="4">
        <f>Hotel!Z23</f>
        <v>2810</v>
      </c>
      <c r="O18" s="4">
        <f>Hotel!AA23</f>
        <v>3430</v>
      </c>
      <c r="P18" s="4">
        <f>Hotel!AB23</f>
        <v>7180</v>
      </c>
      <c r="Q18" s="4">
        <f>Hotel!AC23</f>
        <v>10830</v>
      </c>
      <c r="R18" s="4">
        <f>Hotel!AV23*0.00378541*100</f>
        <v>774.49488599999995</v>
      </c>
      <c r="S18" s="4">
        <f>Hotel!B23</f>
        <v>61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R18" sqref="AR1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16"/>
        <v>1100</v>
      </c>
      <c r="R10" s="37">
        <f t="shared" si="17"/>
        <v>14960</v>
      </c>
      <c r="S10" s="37">
        <f t="shared" si="15"/>
        <v>3810</v>
      </c>
      <c r="T10" s="37">
        <f t="shared" si="18"/>
        <v>1720</v>
      </c>
      <c r="U10" s="37">
        <f t="shared" si="19"/>
        <v>4920</v>
      </c>
      <c r="V10" s="37">
        <f t="shared" si="20"/>
        <v>3590</v>
      </c>
      <c r="W10" s="37">
        <f t="shared" si="21"/>
        <v>2570</v>
      </c>
      <c r="X10" s="37">
        <f t="shared" si="22"/>
        <v>3780</v>
      </c>
      <c r="Y10" s="37">
        <f t="shared" si="23"/>
        <v>5570</v>
      </c>
      <c r="Z10" s="37">
        <f t="shared" si="24"/>
        <v>2860</v>
      </c>
      <c r="AA10" s="37">
        <f t="shared" si="25"/>
        <v>3520</v>
      </c>
      <c r="AB10" s="37">
        <f t="shared" si="26"/>
        <v>7360</v>
      </c>
      <c r="AC10" s="37">
        <f t="shared" si="27"/>
        <v>10440</v>
      </c>
      <c r="AD10" s="35">
        <f t="shared" si="28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29"/>
        <v>330.99999999999994</v>
      </c>
      <c r="AU10" s="47">
        <v>220926</v>
      </c>
      <c r="AV10" s="37">
        <f t="shared" ref="AV10:AV26" si="31">IF((AU10-AU9&lt;0),"0",AU10-AU9)</f>
        <v>2401</v>
      </c>
      <c r="AW10" s="35">
        <f t="shared" si="30"/>
        <v>4.8020000000000005</v>
      </c>
    </row>
    <row r="11" spans="1:49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16"/>
        <v>910</v>
      </c>
      <c r="R11" s="37">
        <f t="shared" si="17"/>
        <v>13620</v>
      </c>
      <c r="S11" s="37">
        <f t="shared" si="15"/>
        <v>3580</v>
      </c>
      <c r="T11" s="37">
        <f t="shared" si="18"/>
        <v>1430</v>
      </c>
      <c r="U11" s="37">
        <f t="shared" si="19"/>
        <v>4210</v>
      </c>
      <c r="V11" s="37">
        <f t="shared" si="20"/>
        <v>3110</v>
      </c>
      <c r="W11" s="37">
        <f t="shared" si="21"/>
        <v>2170</v>
      </c>
      <c r="X11" s="37">
        <f t="shared" si="22"/>
        <v>3500</v>
      </c>
      <c r="Y11" s="37">
        <f t="shared" si="23"/>
        <v>4730</v>
      </c>
      <c r="Z11" s="37">
        <f t="shared" si="24"/>
        <v>2270</v>
      </c>
      <c r="AA11" s="37">
        <f t="shared" si="25"/>
        <v>2730</v>
      </c>
      <c r="AB11" s="37">
        <f t="shared" si="26"/>
        <v>6160</v>
      </c>
      <c r="AC11" s="37">
        <f t="shared" si="27"/>
        <v>8890</v>
      </c>
      <c r="AD11" s="35">
        <f t="shared" si="28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29"/>
        <v>286.55</v>
      </c>
      <c r="AU11" s="47">
        <v>222823</v>
      </c>
      <c r="AV11" s="37">
        <f t="shared" si="31"/>
        <v>1897</v>
      </c>
      <c r="AW11" s="35">
        <f t="shared" si="30"/>
        <v>3.794</v>
      </c>
    </row>
    <row r="12" spans="1:49" x14ac:dyDescent="0.25">
      <c r="A12" s="23">
        <v>44110</v>
      </c>
      <c r="B12" s="40">
        <v>61</v>
      </c>
      <c r="C12" s="49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16"/>
        <v>1020</v>
      </c>
      <c r="R12" s="37">
        <f t="shared" si="17"/>
        <v>15190</v>
      </c>
      <c r="S12" s="37">
        <f t="shared" si="15"/>
        <v>3980</v>
      </c>
      <c r="T12" s="37">
        <f t="shared" ref="T12:W14" si="32">IF((F12-F11&lt;0), "0",F12-F11)</f>
        <v>1610</v>
      </c>
      <c r="U12" s="37">
        <f t="shared" si="32"/>
        <v>4540</v>
      </c>
      <c r="V12" s="37">
        <f t="shared" si="32"/>
        <v>3350</v>
      </c>
      <c r="W12" s="37">
        <f t="shared" si="32"/>
        <v>2370</v>
      </c>
      <c r="X12" s="37">
        <f t="shared" si="22"/>
        <v>3730</v>
      </c>
      <c r="Y12" s="37">
        <f t="shared" si="23"/>
        <v>5050</v>
      </c>
      <c r="Z12" s="37">
        <f>IF((L12-L11&lt;0), "0",L12-L11)</f>
        <v>2510</v>
      </c>
      <c r="AA12" s="37">
        <f t="shared" si="25"/>
        <v>3050</v>
      </c>
      <c r="AB12" s="37">
        <f t="shared" si="26"/>
        <v>6650</v>
      </c>
      <c r="AC12" s="37">
        <f t="shared" si="27"/>
        <v>9840</v>
      </c>
      <c r="AD12" s="35">
        <f t="shared" si="28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29"/>
        <v>314.45</v>
      </c>
      <c r="AU12" s="47">
        <v>224913</v>
      </c>
      <c r="AV12" s="37">
        <f t="shared" si="31"/>
        <v>2090</v>
      </c>
      <c r="AW12" s="35">
        <f t="shared" si="30"/>
        <v>4.18</v>
      </c>
    </row>
    <row r="13" spans="1:49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16"/>
        <v>1040</v>
      </c>
      <c r="R13" s="37">
        <f t="shared" si="17"/>
        <v>13460</v>
      </c>
      <c r="S13" s="37">
        <f t="shared" si="15"/>
        <v>3320</v>
      </c>
      <c r="T13" s="37">
        <f t="shared" si="32"/>
        <v>1610</v>
      </c>
      <c r="U13" s="37">
        <f t="shared" si="32"/>
        <v>4650</v>
      </c>
      <c r="V13" s="37">
        <f t="shared" si="32"/>
        <v>3330</v>
      </c>
      <c r="W13" s="37">
        <f t="shared" si="32"/>
        <v>2450</v>
      </c>
      <c r="X13" s="37">
        <f t="shared" si="22"/>
        <v>3770</v>
      </c>
      <c r="Y13" s="37">
        <f t="shared" si="23"/>
        <v>5070</v>
      </c>
      <c r="Z13" s="37">
        <f>IF((L13-L12&lt;0), "0",L13-L12)</f>
        <v>2660</v>
      </c>
      <c r="AA13" s="37">
        <f t="shared" si="25"/>
        <v>3030</v>
      </c>
      <c r="AB13" s="37">
        <f t="shared" si="26"/>
        <v>6880</v>
      </c>
      <c r="AC13" s="37">
        <f t="shared" si="27"/>
        <v>10780</v>
      </c>
      <c r="AD13" s="35">
        <f t="shared" si="28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29"/>
        <v>310.24999999999994</v>
      </c>
      <c r="AU13" s="47">
        <v>227597</v>
      </c>
      <c r="AV13" s="37">
        <f t="shared" si="31"/>
        <v>2684</v>
      </c>
      <c r="AW13" s="35">
        <f t="shared" si="30"/>
        <v>5.3680000000000003</v>
      </c>
    </row>
    <row r="14" spans="1:49" x14ac:dyDescent="0.25">
      <c r="A14" s="23">
        <v>44112</v>
      </c>
      <c r="B14" s="40">
        <v>136</v>
      </c>
      <c r="C14" s="24">
        <v>6380990</v>
      </c>
      <c r="D14" s="24">
        <v>14450270</v>
      </c>
      <c r="E14" s="24">
        <v>2110120</v>
      </c>
      <c r="F14" s="24">
        <v>3060200</v>
      </c>
      <c r="G14" s="24">
        <v>9284370</v>
      </c>
      <c r="H14" s="24">
        <v>4732000</v>
      </c>
      <c r="I14" s="24">
        <v>4507710</v>
      </c>
      <c r="J14" s="24">
        <v>5067730</v>
      </c>
      <c r="K14" s="24">
        <v>7952590</v>
      </c>
      <c r="L14" s="24">
        <v>3224020</v>
      </c>
      <c r="M14" s="24">
        <v>7100430</v>
      </c>
      <c r="N14" s="24">
        <v>10375510</v>
      </c>
      <c r="O14" s="24">
        <v>14021410</v>
      </c>
      <c r="P14" s="54"/>
      <c r="Q14" s="37">
        <f t="shared" si="16"/>
        <v>990</v>
      </c>
      <c r="R14" s="37">
        <f t="shared" si="17"/>
        <v>12370</v>
      </c>
      <c r="S14" s="37">
        <f t="shared" si="15"/>
        <v>3010</v>
      </c>
      <c r="T14" s="37">
        <f t="shared" si="32"/>
        <v>1500</v>
      </c>
      <c r="U14" s="37">
        <f t="shared" si="32"/>
        <v>4440</v>
      </c>
      <c r="V14" s="37">
        <f t="shared" si="32"/>
        <v>3230</v>
      </c>
      <c r="W14" s="37">
        <f t="shared" si="32"/>
        <v>2260</v>
      </c>
      <c r="X14" s="37">
        <f t="shared" si="22"/>
        <v>3490</v>
      </c>
      <c r="Y14" s="37">
        <f t="shared" si="23"/>
        <v>4740</v>
      </c>
      <c r="Z14" s="37">
        <f>IF((L14-L13&lt;0), "0",L14-L13)</f>
        <v>2640</v>
      </c>
      <c r="AA14" s="37">
        <f t="shared" si="25"/>
        <v>3210</v>
      </c>
      <c r="AB14" s="37">
        <f t="shared" si="26"/>
        <v>6740</v>
      </c>
      <c r="AC14" s="37">
        <f t="shared" si="27"/>
        <v>10090</v>
      </c>
      <c r="AD14" s="35">
        <f t="shared" si="28"/>
        <v>58710</v>
      </c>
      <c r="AF14" s="20">
        <f t="shared" si="1"/>
        <v>4.95</v>
      </c>
      <c r="AG14" s="20">
        <f t="shared" si="2"/>
        <v>61.85</v>
      </c>
      <c r="AH14" s="20">
        <f t="shared" si="3"/>
        <v>15.05</v>
      </c>
      <c r="AI14" s="20">
        <f t="shared" si="4"/>
        <v>7.5</v>
      </c>
      <c r="AJ14" s="20">
        <f t="shared" si="5"/>
        <v>22.2</v>
      </c>
      <c r="AK14" s="20">
        <f t="shared" si="6"/>
        <v>16.149999999999999</v>
      </c>
      <c r="AL14" s="20">
        <f t="shared" si="7"/>
        <v>11.3</v>
      </c>
      <c r="AM14" s="20">
        <f t="shared" si="8"/>
        <v>17.45</v>
      </c>
      <c r="AN14" s="20">
        <f t="shared" si="9"/>
        <v>23.7</v>
      </c>
      <c r="AO14" s="20">
        <f t="shared" si="10"/>
        <v>13.200000000000001</v>
      </c>
      <c r="AP14" s="20">
        <f t="shared" si="11"/>
        <v>16.05</v>
      </c>
      <c r="AQ14" s="20">
        <f t="shared" si="12"/>
        <v>33.700000000000003</v>
      </c>
      <c r="AR14" s="20">
        <f t="shared" si="13"/>
        <v>50.45</v>
      </c>
      <c r="AS14" s="35">
        <f t="shared" si="29"/>
        <v>293.54999999999995</v>
      </c>
      <c r="AU14" s="47">
        <v>229135</v>
      </c>
      <c r="AV14" s="37">
        <f t="shared" si="31"/>
        <v>1538</v>
      </c>
      <c r="AW14" s="35">
        <f t="shared" si="30"/>
        <v>3.0760000000000001</v>
      </c>
    </row>
    <row r="15" spans="1:49" x14ac:dyDescent="0.25">
      <c r="A15" s="23">
        <v>44113</v>
      </c>
      <c r="B15" s="40">
        <v>172</v>
      </c>
      <c r="C15" s="24">
        <v>6382030</v>
      </c>
      <c r="D15" s="24">
        <v>14463200</v>
      </c>
      <c r="E15" s="24">
        <v>2113280</v>
      </c>
      <c r="F15" s="24">
        <v>3061790</v>
      </c>
      <c r="G15" s="24">
        <v>9289280</v>
      </c>
      <c r="H15" s="24">
        <v>4735500</v>
      </c>
      <c r="I15" s="24">
        <v>4510090</v>
      </c>
      <c r="J15" s="24">
        <v>5071610</v>
      </c>
      <c r="K15" s="24">
        <v>7957960</v>
      </c>
      <c r="L15" s="24">
        <v>3226950</v>
      </c>
      <c r="M15" s="24">
        <v>7104280</v>
      </c>
      <c r="N15" s="24">
        <v>10382650</v>
      </c>
      <c r="O15" s="24">
        <v>14032220</v>
      </c>
      <c r="Q15" s="37">
        <f t="shared" si="16"/>
        <v>1040</v>
      </c>
      <c r="R15" s="37">
        <f t="shared" si="17"/>
        <v>12930</v>
      </c>
      <c r="S15" s="37">
        <f t="shared" si="15"/>
        <v>3160</v>
      </c>
      <c r="T15" s="37">
        <f t="shared" si="18"/>
        <v>1590</v>
      </c>
      <c r="U15" s="37">
        <f t="shared" si="19"/>
        <v>4910</v>
      </c>
      <c r="V15" s="37">
        <f t="shared" si="20"/>
        <v>3500</v>
      </c>
      <c r="W15" s="37">
        <f t="shared" si="21"/>
        <v>2380</v>
      </c>
      <c r="X15" s="37">
        <f t="shared" si="22"/>
        <v>3880</v>
      </c>
      <c r="Y15" s="37">
        <f t="shared" si="23"/>
        <v>5370</v>
      </c>
      <c r="Z15" s="37">
        <f t="shared" si="24"/>
        <v>2930</v>
      </c>
      <c r="AA15" s="37">
        <f t="shared" si="25"/>
        <v>3850</v>
      </c>
      <c r="AB15" s="37">
        <f t="shared" si="26"/>
        <v>7140</v>
      </c>
      <c r="AC15" s="37">
        <f t="shared" si="27"/>
        <v>10810</v>
      </c>
      <c r="AD15" s="35">
        <f t="shared" si="28"/>
        <v>63490</v>
      </c>
      <c r="AF15" s="20">
        <f t="shared" si="1"/>
        <v>5.2</v>
      </c>
      <c r="AG15" s="20">
        <f t="shared" si="2"/>
        <v>64.650000000000006</v>
      </c>
      <c r="AH15" s="20">
        <f t="shared" si="3"/>
        <v>15.8</v>
      </c>
      <c r="AI15" s="20">
        <f t="shared" si="4"/>
        <v>7.95</v>
      </c>
      <c r="AJ15" s="20">
        <f t="shared" si="5"/>
        <v>24.55</v>
      </c>
      <c r="AK15" s="20">
        <f t="shared" si="6"/>
        <v>17.5</v>
      </c>
      <c r="AL15" s="20">
        <f t="shared" si="7"/>
        <v>11.9</v>
      </c>
      <c r="AM15" s="20">
        <f t="shared" si="8"/>
        <v>19.400000000000002</v>
      </c>
      <c r="AN15" s="20">
        <f t="shared" si="9"/>
        <v>26.85</v>
      </c>
      <c r="AO15" s="20">
        <f t="shared" si="10"/>
        <v>14.65</v>
      </c>
      <c r="AP15" s="20">
        <f t="shared" si="11"/>
        <v>19.25</v>
      </c>
      <c r="AQ15" s="20">
        <f t="shared" si="12"/>
        <v>35.700000000000003</v>
      </c>
      <c r="AR15" s="20">
        <f t="shared" si="13"/>
        <v>54.050000000000004</v>
      </c>
      <c r="AS15" s="35">
        <f t="shared" si="29"/>
        <v>317.45000000000005</v>
      </c>
      <c r="AU15" s="47">
        <v>231785</v>
      </c>
      <c r="AV15" s="37">
        <f t="shared" si="31"/>
        <v>2650</v>
      </c>
      <c r="AW15" s="35">
        <f t="shared" si="30"/>
        <v>5.3</v>
      </c>
    </row>
    <row r="16" spans="1:49" x14ac:dyDescent="0.25">
      <c r="A16" s="23">
        <v>44114</v>
      </c>
      <c r="B16" s="40">
        <v>101</v>
      </c>
      <c r="C16" s="24">
        <v>6383040</v>
      </c>
      <c r="D16" s="24">
        <v>14475560</v>
      </c>
      <c r="E16" s="24">
        <v>2116290</v>
      </c>
      <c r="F16" s="24">
        <v>3063340</v>
      </c>
      <c r="G16" s="24">
        <v>9294110</v>
      </c>
      <c r="H16" s="24">
        <v>4738900</v>
      </c>
      <c r="I16" s="24">
        <v>4512460</v>
      </c>
      <c r="J16" s="24">
        <v>5075420</v>
      </c>
      <c r="K16" s="24">
        <v>7963250</v>
      </c>
      <c r="L16" s="24">
        <v>3229700</v>
      </c>
      <c r="M16" s="24">
        <v>7107900</v>
      </c>
      <c r="N16" s="24">
        <v>10389630</v>
      </c>
      <c r="O16" s="24">
        <v>14043640</v>
      </c>
      <c r="Q16" s="37">
        <f t="shared" si="16"/>
        <v>1010</v>
      </c>
      <c r="R16" s="37">
        <f t="shared" si="17"/>
        <v>12360</v>
      </c>
      <c r="S16" s="37">
        <f t="shared" si="15"/>
        <v>3010</v>
      </c>
      <c r="T16" s="37">
        <f t="shared" si="18"/>
        <v>1550</v>
      </c>
      <c r="U16" s="37">
        <f t="shared" si="19"/>
        <v>4830</v>
      </c>
      <c r="V16" s="37">
        <f t="shared" si="20"/>
        <v>3400</v>
      </c>
      <c r="W16" s="37">
        <f t="shared" si="21"/>
        <v>2370</v>
      </c>
      <c r="X16" s="37">
        <f t="shared" si="22"/>
        <v>3810</v>
      </c>
      <c r="Y16" s="37">
        <f t="shared" si="23"/>
        <v>5290</v>
      </c>
      <c r="Z16" s="37">
        <f t="shared" si="24"/>
        <v>2750</v>
      </c>
      <c r="AA16" s="37">
        <f t="shared" si="25"/>
        <v>3620</v>
      </c>
      <c r="AB16" s="37">
        <f t="shared" si="26"/>
        <v>6980</v>
      </c>
      <c r="AC16" s="37">
        <f t="shared" si="27"/>
        <v>11420</v>
      </c>
      <c r="AD16" s="35">
        <f t="shared" si="28"/>
        <v>62400</v>
      </c>
      <c r="AF16" s="20">
        <f t="shared" si="1"/>
        <v>5.05</v>
      </c>
      <c r="AG16" s="20">
        <f t="shared" si="2"/>
        <v>61.800000000000004</v>
      </c>
      <c r="AH16" s="20">
        <f t="shared" si="3"/>
        <v>15.05</v>
      </c>
      <c r="AI16" s="20">
        <f t="shared" si="4"/>
        <v>7.75</v>
      </c>
      <c r="AJ16" s="20">
        <f t="shared" si="5"/>
        <v>24.150000000000002</v>
      </c>
      <c r="AK16" s="20">
        <f t="shared" si="6"/>
        <v>17</v>
      </c>
      <c r="AL16" s="20">
        <f t="shared" si="7"/>
        <v>11.85</v>
      </c>
      <c r="AM16" s="20">
        <f t="shared" si="8"/>
        <v>19.05</v>
      </c>
      <c r="AN16" s="20">
        <f t="shared" si="9"/>
        <v>26.45</v>
      </c>
      <c r="AO16" s="20">
        <f t="shared" si="10"/>
        <v>13.75</v>
      </c>
      <c r="AP16" s="20">
        <f t="shared" si="11"/>
        <v>18.100000000000001</v>
      </c>
      <c r="AQ16" s="20">
        <f t="shared" si="12"/>
        <v>34.9</v>
      </c>
      <c r="AR16" s="20">
        <f t="shared" si="13"/>
        <v>57.1</v>
      </c>
      <c r="AS16" s="35">
        <f t="shared" si="29"/>
        <v>312</v>
      </c>
      <c r="AU16" s="47">
        <v>233892</v>
      </c>
      <c r="AV16" s="37">
        <f t="shared" si="31"/>
        <v>2107</v>
      </c>
      <c r="AW16" s="35">
        <f t="shared" si="30"/>
        <v>4.2140000000000004</v>
      </c>
    </row>
    <row r="17" spans="1:49" x14ac:dyDescent="0.25">
      <c r="A17" s="23">
        <v>44115</v>
      </c>
      <c r="B17" s="40">
        <v>71</v>
      </c>
      <c r="C17" s="24">
        <v>6384040</v>
      </c>
      <c r="D17" s="24">
        <v>14487610</v>
      </c>
      <c r="E17" s="24">
        <v>2119220</v>
      </c>
      <c r="F17" s="24">
        <v>3064860</v>
      </c>
      <c r="G17" s="24">
        <v>9298400</v>
      </c>
      <c r="H17" s="24">
        <v>4742060</v>
      </c>
      <c r="I17" s="24">
        <v>4514810</v>
      </c>
      <c r="J17" s="24">
        <v>5078810</v>
      </c>
      <c r="K17" s="24">
        <v>7968320</v>
      </c>
      <c r="L17" s="24">
        <v>3232190</v>
      </c>
      <c r="M17" s="24">
        <v>7111260</v>
      </c>
      <c r="N17" s="24">
        <v>10396310</v>
      </c>
      <c r="O17" s="24">
        <v>14055250</v>
      </c>
      <c r="Q17" s="37">
        <f t="shared" si="16"/>
        <v>1000</v>
      </c>
      <c r="R17" s="37">
        <f t="shared" si="17"/>
        <v>12050</v>
      </c>
      <c r="S17" s="37">
        <f t="shared" si="15"/>
        <v>2930</v>
      </c>
      <c r="T17" s="37">
        <f t="shared" si="18"/>
        <v>1520</v>
      </c>
      <c r="U17" s="37">
        <f t="shared" si="19"/>
        <v>4290</v>
      </c>
      <c r="V17" s="37">
        <f t="shared" si="20"/>
        <v>3160</v>
      </c>
      <c r="W17" s="37">
        <f t="shared" si="21"/>
        <v>2350</v>
      </c>
      <c r="X17" s="37">
        <f t="shared" si="22"/>
        <v>3390</v>
      </c>
      <c r="Y17" s="37">
        <f t="shared" si="23"/>
        <v>5070</v>
      </c>
      <c r="Z17" s="37">
        <f t="shared" si="24"/>
        <v>2490</v>
      </c>
      <c r="AA17" s="37">
        <f t="shared" si="25"/>
        <v>3360</v>
      </c>
      <c r="AB17" s="37">
        <f t="shared" si="26"/>
        <v>6680</v>
      </c>
      <c r="AC17" s="37">
        <f t="shared" si="27"/>
        <v>11610</v>
      </c>
      <c r="AD17" s="35">
        <f t="shared" si="28"/>
        <v>59900</v>
      </c>
      <c r="AF17" s="20">
        <f t="shared" si="1"/>
        <v>5</v>
      </c>
      <c r="AG17" s="20">
        <f t="shared" si="2"/>
        <v>60.25</v>
      </c>
      <c r="AH17" s="20">
        <f t="shared" si="3"/>
        <v>14.65</v>
      </c>
      <c r="AI17" s="20">
        <f t="shared" si="4"/>
        <v>7.6000000000000005</v>
      </c>
      <c r="AJ17" s="20">
        <f t="shared" si="5"/>
        <v>21.45</v>
      </c>
      <c r="AK17" s="20">
        <f t="shared" si="6"/>
        <v>15.8</v>
      </c>
      <c r="AL17" s="20">
        <f t="shared" si="7"/>
        <v>11.75</v>
      </c>
      <c r="AM17" s="20">
        <f t="shared" si="8"/>
        <v>16.95</v>
      </c>
      <c r="AN17" s="20">
        <f t="shared" si="9"/>
        <v>25.35</v>
      </c>
      <c r="AO17" s="20">
        <f t="shared" si="10"/>
        <v>12.450000000000001</v>
      </c>
      <c r="AP17" s="20">
        <f t="shared" si="11"/>
        <v>16.8</v>
      </c>
      <c r="AQ17" s="20">
        <f t="shared" si="12"/>
        <v>33.4</v>
      </c>
      <c r="AR17" s="20">
        <f t="shared" si="13"/>
        <v>58.050000000000004</v>
      </c>
      <c r="AS17" s="35">
        <f t="shared" si="29"/>
        <v>299.5</v>
      </c>
      <c r="AU17" s="47">
        <v>236038</v>
      </c>
      <c r="AV17" s="37">
        <f t="shared" si="31"/>
        <v>2146</v>
      </c>
      <c r="AW17" s="35">
        <f t="shared" si="30"/>
        <v>4.2919999999999998</v>
      </c>
    </row>
    <row r="18" spans="1:49" x14ac:dyDescent="0.25">
      <c r="A18" s="23">
        <v>44116</v>
      </c>
      <c r="B18" s="40">
        <v>69</v>
      </c>
      <c r="C18" s="24">
        <v>6385060</v>
      </c>
      <c r="D18" s="24">
        <v>14499830</v>
      </c>
      <c r="E18" s="24">
        <v>2122190</v>
      </c>
      <c r="F18" s="24">
        <v>3066410</v>
      </c>
      <c r="G18" s="24">
        <v>9302980</v>
      </c>
      <c r="H18" s="24">
        <v>4745310</v>
      </c>
      <c r="I18" s="24">
        <v>4517230</v>
      </c>
      <c r="J18" s="24">
        <v>5082530</v>
      </c>
      <c r="K18" s="24">
        <v>7973530</v>
      </c>
      <c r="L18" s="24">
        <v>3234720</v>
      </c>
      <c r="M18" s="24">
        <v>7114520</v>
      </c>
      <c r="N18" s="24">
        <v>10403010</v>
      </c>
      <c r="O18" s="24">
        <v>14066510</v>
      </c>
      <c r="Q18" s="37">
        <f t="shared" si="16"/>
        <v>1020</v>
      </c>
      <c r="R18" s="37">
        <f t="shared" si="17"/>
        <v>12220</v>
      </c>
      <c r="S18" s="37">
        <f t="shared" si="15"/>
        <v>2970</v>
      </c>
      <c r="T18" s="37">
        <f t="shared" si="18"/>
        <v>1550</v>
      </c>
      <c r="U18" s="37">
        <f t="shared" si="19"/>
        <v>4580</v>
      </c>
      <c r="V18" s="37">
        <f t="shared" si="20"/>
        <v>3250</v>
      </c>
      <c r="W18" s="37">
        <f t="shared" si="21"/>
        <v>2420</v>
      </c>
      <c r="X18" s="37">
        <f t="shared" si="22"/>
        <v>3720</v>
      </c>
      <c r="Y18" s="37">
        <f t="shared" si="23"/>
        <v>5210</v>
      </c>
      <c r="Z18" s="37">
        <f t="shared" si="24"/>
        <v>2530</v>
      </c>
      <c r="AA18" s="37">
        <f t="shared" si="25"/>
        <v>3260</v>
      </c>
      <c r="AB18" s="37">
        <f t="shared" si="26"/>
        <v>6700</v>
      </c>
      <c r="AC18" s="37">
        <f t="shared" si="27"/>
        <v>11260</v>
      </c>
      <c r="AD18" s="35">
        <f t="shared" si="28"/>
        <v>60690</v>
      </c>
      <c r="AF18" s="20">
        <f t="shared" si="1"/>
        <v>5.1000000000000005</v>
      </c>
      <c r="AG18" s="20">
        <f t="shared" si="2"/>
        <v>61.1</v>
      </c>
      <c r="AH18" s="20">
        <f t="shared" si="3"/>
        <v>14.85</v>
      </c>
      <c r="AI18" s="20">
        <f t="shared" si="4"/>
        <v>7.75</v>
      </c>
      <c r="AJ18" s="20">
        <f t="shared" si="5"/>
        <v>22.900000000000002</v>
      </c>
      <c r="AK18" s="20">
        <f t="shared" si="6"/>
        <v>16.25</v>
      </c>
      <c r="AL18" s="20">
        <f t="shared" si="7"/>
        <v>12.1</v>
      </c>
      <c r="AM18" s="20">
        <f t="shared" si="8"/>
        <v>18.600000000000001</v>
      </c>
      <c r="AN18" s="20">
        <f t="shared" si="9"/>
        <v>26.05</v>
      </c>
      <c r="AO18" s="20">
        <f t="shared" si="10"/>
        <v>12.65</v>
      </c>
      <c r="AP18" s="20">
        <f t="shared" si="11"/>
        <v>16.3</v>
      </c>
      <c r="AQ18" s="20">
        <f t="shared" si="12"/>
        <v>33.5</v>
      </c>
      <c r="AR18" s="20">
        <f t="shared" si="13"/>
        <v>56.300000000000004</v>
      </c>
      <c r="AS18" s="35">
        <f t="shared" si="29"/>
        <v>303.45000000000005</v>
      </c>
      <c r="AU18" s="47">
        <v>238276</v>
      </c>
      <c r="AV18" s="37">
        <f t="shared" si="31"/>
        <v>2238</v>
      </c>
      <c r="AW18" s="35">
        <f t="shared" si="30"/>
        <v>4.476</v>
      </c>
    </row>
    <row r="19" spans="1:49" x14ac:dyDescent="0.25">
      <c r="A19" s="23">
        <v>44117</v>
      </c>
      <c r="B19" s="40">
        <v>59</v>
      </c>
      <c r="C19" s="24">
        <v>6386060</v>
      </c>
      <c r="D19" s="24">
        <v>14511860</v>
      </c>
      <c r="E19" s="24">
        <v>2125090</v>
      </c>
      <c r="F19" s="24">
        <v>3067960</v>
      </c>
      <c r="G19" s="24">
        <v>9307490</v>
      </c>
      <c r="H19" s="24">
        <v>4748620</v>
      </c>
      <c r="I19" s="24">
        <v>4519660</v>
      </c>
      <c r="J19" s="24">
        <v>5086350</v>
      </c>
      <c r="K19" s="24">
        <v>7978760</v>
      </c>
      <c r="L19" s="24">
        <v>3237190</v>
      </c>
      <c r="M19" s="24">
        <v>7117520</v>
      </c>
      <c r="N19" s="24">
        <v>10409860</v>
      </c>
      <c r="O19" s="24">
        <v>14077090</v>
      </c>
      <c r="Q19" s="37">
        <f t="shared" si="16"/>
        <v>1000</v>
      </c>
      <c r="R19" s="37">
        <f t="shared" si="17"/>
        <v>12030</v>
      </c>
      <c r="S19" s="37">
        <f t="shared" si="15"/>
        <v>2900</v>
      </c>
      <c r="T19" s="37">
        <f t="shared" si="18"/>
        <v>1550</v>
      </c>
      <c r="U19" s="37">
        <f t="shared" si="19"/>
        <v>4510</v>
      </c>
      <c r="V19" s="37">
        <f t="shared" si="20"/>
        <v>3310</v>
      </c>
      <c r="W19" s="37">
        <f t="shared" si="21"/>
        <v>2430</v>
      </c>
      <c r="X19" s="37">
        <f t="shared" si="22"/>
        <v>3820</v>
      </c>
      <c r="Y19" s="37">
        <f t="shared" si="23"/>
        <v>5230</v>
      </c>
      <c r="Z19" s="37">
        <f t="shared" si="24"/>
        <v>2470</v>
      </c>
      <c r="AA19" s="37">
        <f t="shared" si="25"/>
        <v>3000</v>
      </c>
      <c r="AB19" s="37">
        <f t="shared" si="26"/>
        <v>6850</v>
      </c>
      <c r="AC19" s="37">
        <f t="shared" si="27"/>
        <v>10580</v>
      </c>
      <c r="AD19" s="35">
        <f t="shared" si="28"/>
        <v>59680</v>
      </c>
      <c r="AF19" s="20">
        <f t="shared" si="1"/>
        <v>5</v>
      </c>
      <c r="AG19" s="20">
        <f t="shared" si="2"/>
        <v>60.15</v>
      </c>
      <c r="AH19" s="20">
        <f t="shared" si="3"/>
        <v>14.5</v>
      </c>
      <c r="AI19" s="20">
        <f t="shared" si="4"/>
        <v>7.75</v>
      </c>
      <c r="AJ19" s="20">
        <f t="shared" si="5"/>
        <v>22.55</v>
      </c>
      <c r="AK19" s="20">
        <f t="shared" si="6"/>
        <v>16.55</v>
      </c>
      <c r="AL19" s="20">
        <f t="shared" si="7"/>
        <v>12.15</v>
      </c>
      <c r="AM19" s="20">
        <f t="shared" si="8"/>
        <v>19.100000000000001</v>
      </c>
      <c r="AN19" s="20">
        <f t="shared" si="9"/>
        <v>26.150000000000002</v>
      </c>
      <c r="AO19" s="20">
        <f t="shared" si="10"/>
        <v>12.35</v>
      </c>
      <c r="AP19" s="20">
        <f t="shared" si="11"/>
        <v>15</v>
      </c>
      <c r="AQ19" s="20">
        <f t="shared" si="12"/>
        <v>34.25</v>
      </c>
      <c r="AR19" s="20">
        <f t="shared" si="13"/>
        <v>52.9</v>
      </c>
      <c r="AS19" s="35">
        <f t="shared" si="29"/>
        <v>298.39999999999998</v>
      </c>
      <c r="AU19" s="47">
        <v>240235</v>
      </c>
      <c r="AV19" s="37">
        <f t="shared" si="31"/>
        <v>1959</v>
      </c>
      <c r="AW19" s="35">
        <f t="shared" si="30"/>
        <v>3.9180000000000001</v>
      </c>
    </row>
    <row r="20" spans="1:49" x14ac:dyDescent="0.25">
      <c r="A20" s="23">
        <v>44118</v>
      </c>
      <c r="B20" s="40">
        <v>71</v>
      </c>
      <c r="C20" s="24">
        <v>6387080</v>
      </c>
      <c r="D20" s="24">
        <v>14524050</v>
      </c>
      <c r="E20" s="24">
        <v>2128040</v>
      </c>
      <c r="F20" s="24">
        <v>3069530</v>
      </c>
      <c r="G20" s="24">
        <v>9311990</v>
      </c>
      <c r="H20" s="24">
        <v>4751740</v>
      </c>
      <c r="I20" s="24">
        <v>4522090</v>
      </c>
      <c r="J20" s="24">
        <v>5090070</v>
      </c>
      <c r="K20" s="24">
        <v>7983910</v>
      </c>
      <c r="L20" s="24">
        <v>3239720</v>
      </c>
      <c r="M20" s="24">
        <v>7120740</v>
      </c>
      <c r="N20" s="24">
        <v>10416680</v>
      </c>
      <c r="O20" s="24">
        <v>14087150</v>
      </c>
      <c r="Q20" s="37">
        <f t="shared" si="16"/>
        <v>1020</v>
      </c>
      <c r="R20" s="37">
        <f t="shared" si="17"/>
        <v>12190</v>
      </c>
      <c r="S20" s="37">
        <f t="shared" si="15"/>
        <v>2950</v>
      </c>
      <c r="T20" s="37">
        <f t="shared" si="18"/>
        <v>1570</v>
      </c>
      <c r="U20" s="37">
        <f t="shared" si="19"/>
        <v>4500</v>
      </c>
      <c r="V20" s="37">
        <f t="shared" si="20"/>
        <v>3120</v>
      </c>
      <c r="W20" s="37">
        <f t="shared" si="21"/>
        <v>2430</v>
      </c>
      <c r="X20" s="37">
        <f t="shared" si="22"/>
        <v>3720</v>
      </c>
      <c r="Y20" s="37">
        <f t="shared" si="23"/>
        <v>5150</v>
      </c>
      <c r="Z20" s="37">
        <f t="shared" si="24"/>
        <v>2530</v>
      </c>
      <c r="AA20" s="37">
        <f t="shared" si="25"/>
        <v>3220</v>
      </c>
      <c r="AB20" s="37">
        <f t="shared" si="26"/>
        <v>6820</v>
      </c>
      <c r="AC20" s="37">
        <f t="shared" si="27"/>
        <v>10060</v>
      </c>
      <c r="AD20" s="35">
        <f t="shared" si="28"/>
        <v>59280</v>
      </c>
      <c r="AF20" s="20">
        <f t="shared" si="1"/>
        <v>5.1000000000000005</v>
      </c>
      <c r="AG20" s="20">
        <f t="shared" si="2"/>
        <v>60.95</v>
      </c>
      <c r="AH20" s="20">
        <f t="shared" si="3"/>
        <v>14.75</v>
      </c>
      <c r="AI20" s="20">
        <f t="shared" si="4"/>
        <v>7.8500000000000005</v>
      </c>
      <c r="AJ20" s="20">
        <f t="shared" si="5"/>
        <v>22.5</v>
      </c>
      <c r="AK20" s="20">
        <f t="shared" si="6"/>
        <v>15.6</v>
      </c>
      <c r="AL20" s="20">
        <f t="shared" si="7"/>
        <v>12.15</v>
      </c>
      <c r="AM20" s="20">
        <f t="shared" si="8"/>
        <v>18.600000000000001</v>
      </c>
      <c r="AN20" s="20">
        <f t="shared" si="9"/>
        <v>25.75</v>
      </c>
      <c r="AO20" s="20">
        <f t="shared" si="10"/>
        <v>12.65</v>
      </c>
      <c r="AP20" s="20">
        <f t="shared" si="11"/>
        <v>16.100000000000001</v>
      </c>
      <c r="AQ20" s="20">
        <f t="shared" si="12"/>
        <v>34.1</v>
      </c>
      <c r="AR20" s="20">
        <f t="shared" si="13"/>
        <v>50.300000000000004</v>
      </c>
      <c r="AS20" s="35">
        <f t="shared" si="29"/>
        <v>296.39999999999998</v>
      </c>
      <c r="AU20" s="47">
        <v>242177</v>
      </c>
      <c r="AV20" s="37">
        <f t="shared" si="31"/>
        <v>1942</v>
      </c>
      <c r="AW20" s="35">
        <f t="shared" si="30"/>
        <v>3.8839999999999999</v>
      </c>
    </row>
    <row r="21" spans="1:49" x14ac:dyDescent="0.25">
      <c r="A21" s="23">
        <v>44119</v>
      </c>
      <c r="B21" s="40">
        <v>109</v>
      </c>
      <c r="C21" s="24">
        <v>6388090</v>
      </c>
      <c r="D21" s="24">
        <v>14536040</v>
      </c>
      <c r="E21" s="24">
        <v>2130920</v>
      </c>
      <c r="F21" s="24">
        <v>3071070</v>
      </c>
      <c r="G21" s="24">
        <v>9316650</v>
      </c>
      <c r="H21" s="24">
        <v>4754870</v>
      </c>
      <c r="I21" s="24">
        <v>4524470</v>
      </c>
      <c r="J21" s="24">
        <v>5093810</v>
      </c>
      <c r="K21" s="24">
        <v>7989110</v>
      </c>
      <c r="L21" s="24">
        <v>3242380</v>
      </c>
      <c r="M21" s="24">
        <v>7123950</v>
      </c>
      <c r="N21" s="24">
        <v>10423400</v>
      </c>
      <c r="O21" s="24">
        <v>14097010</v>
      </c>
      <c r="Q21" s="37">
        <f t="shared" si="16"/>
        <v>1010</v>
      </c>
      <c r="R21" s="37">
        <f t="shared" si="17"/>
        <v>11990</v>
      </c>
      <c r="S21" s="37">
        <f t="shared" si="15"/>
        <v>2880</v>
      </c>
      <c r="T21" s="37">
        <f t="shared" si="18"/>
        <v>1540</v>
      </c>
      <c r="U21" s="37">
        <f t="shared" si="19"/>
        <v>4660</v>
      </c>
      <c r="V21" s="37">
        <f t="shared" si="20"/>
        <v>3130</v>
      </c>
      <c r="W21" s="37">
        <f t="shared" si="21"/>
        <v>2380</v>
      </c>
      <c r="X21" s="37">
        <f t="shared" si="22"/>
        <v>3740</v>
      </c>
      <c r="Y21" s="37">
        <f t="shared" si="23"/>
        <v>5200</v>
      </c>
      <c r="Z21" s="37">
        <f t="shared" si="24"/>
        <v>2660</v>
      </c>
      <c r="AA21" s="37">
        <f t="shared" si="25"/>
        <v>3210</v>
      </c>
      <c r="AB21" s="37">
        <f t="shared" si="26"/>
        <v>6720</v>
      </c>
      <c r="AC21" s="37">
        <f t="shared" si="27"/>
        <v>9860</v>
      </c>
      <c r="AD21" s="35">
        <f t="shared" si="28"/>
        <v>58980</v>
      </c>
      <c r="AF21" s="20">
        <f t="shared" si="1"/>
        <v>5.05</v>
      </c>
      <c r="AG21" s="20">
        <f t="shared" si="2"/>
        <v>59.95</v>
      </c>
      <c r="AH21" s="20">
        <f t="shared" si="3"/>
        <v>14.4</v>
      </c>
      <c r="AI21" s="20">
        <f t="shared" si="4"/>
        <v>7.7</v>
      </c>
      <c r="AJ21" s="20">
        <f t="shared" si="5"/>
        <v>23.3</v>
      </c>
      <c r="AK21" s="20">
        <f t="shared" si="6"/>
        <v>15.65</v>
      </c>
      <c r="AL21" s="20">
        <f t="shared" si="7"/>
        <v>11.9</v>
      </c>
      <c r="AM21" s="20">
        <f t="shared" si="8"/>
        <v>18.7</v>
      </c>
      <c r="AN21" s="20">
        <f t="shared" si="9"/>
        <v>26</v>
      </c>
      <c r="AO21" s="20">
        <f t="shared" si="10"/>
        <v>13.3</v>
      </c>
      <c r="AP21" s="20">
        <f t="shared" si="11"/>
        <v>16.05</v>
      </c>
      <c r="AQ21" s="20">
        <f t="shared" si="12"/>
        <v>33.6</v>
      </c>
      <c r="AR21" s="20">
        <f t="shared" si="13"/>
        <v>49.300000000000004</v>
      </c>
      <c r="AS21" s="35">
        <f t="shared" si="29"/>
        <v>294.90000000000003</v>
      </c>
      <c r="AU21" s="47">
        <v>243754</v>
      </c>
      <c r="AV21" s="37">
        <f t="shared" si="31"/>
        <v>1577</v>
      </c>
      <c r="AW21" s="35">
        <f t="shared" si="30"/>
        <v>3.1539999999999999</v>
      </c>
    </row>
    <row r="22" spans="1:49" x14ac:dyDescent="0.25">
      <c r="A22" s="23">
        <v>44120</v>
      </c>
      <c r="B22" s="40">
        <v>137</v>
      </c>
      <c r="C22" s="24">
        <v>6389150</v>
      </c>
      <c r="D22" s="24">
        <v>14549480</v>
      </c>
      <c r="E22" s="24">
        <v>2133330</v>
      </c>
      <c r="F22" s="24">
        <v>3072700</v>
      </c>
      <c r="G22" s="24">
        <v>9321750</v>
      </c>
      <c r="H22" s="24">
        <v>4758190</v>
      </c>
      <c r="I22" s="24">
        <v>4526940</v>
      </c>
      <c r="J22" s="44">
        <v>5097790</v>
      </c>
      <c r="K22" s="24">
        <v>7994920</v>
      </c>
      <c r="L22" s="24">
        <v>3245290</v>
      </c>
      <c r="M22" s="24">
        <v>7127680</v>
      </c>
      <c r="N22" s="24">
        <v>10430600</v>
      </c>
      <c r="O22" s="44">
        <v>14107850</v>
      </c>
      <c r="Q22" s="37">
        <f t="shared" si="16"/>
        <v>1060</v>
      </c>
      <c r="R22" s="37">
        <f t="shared" si="17"/>
        <v>13440</v>
      </c>
      <c r="S22" s="37">
        <f t="shared" si="15"/>
        <v>2410</v>
      </c>
      <c r="T22" s="37">
        <f t="shared" si="18"/>
        <v>1630</v>
      </c>
      <c r="U22" s="37">
        <f t="shared" si="19"/>
        <v>5100</v>
      </c>
      <c r="V22" s="37">
        <f t="shared" si="20"/>
        <v>3320</v>
      </c>
      <c r="W22" s="37">
        <f t="shared" si="21"/>
        <v>2470</v>
      </c>
      <c r="X22" s="37">
        <f t="shared" si="22"/>
        <v>3980</v>
      </c>
      <c r="Y22" s="37">
        <f t="shared" si="23"/>
        <v>5810</v>
      </c>
      <c r="Z22" s="37">
        <f t="shared" si="24"/>
        <v>2910</v>
      </c>
      <c r="AA22" s="37">
        <f t="shared" si="25"/>
        <v>3730</v>
      </c>
      <c r="AB22" s="37">
        <f t="shared" si="26"/>
        <v>7200</v>
      </c>
      <c r="AC22" s="37">
        <f t="shared" si="27"/>
        <v>10840</v>
      </c>
      <c r="AD22" s="35">
        <f t="shared" si="28"/>
        <v>63900</v>
      </c>
      <c r="AF22" s="20">
        <f t="shared" si="1"/>
        <v>5.3</v>
      </c>
      <c r="AG22" s="20">
        <f t="shared" si="2"/>
        <v>67.2</v>
      </c>
      <c r="AH22" s="20">
        <f t="shared" si="3"/>
        <v>12.05</v>
      </c>
      <c r="AI22" s="20">
        <f t="shared" si="4"/>
        <v>8.15</v>
      </c>
      <c r="AJ22" s="20">
        <f t="shared" si="5"/>
        <v>25.5</v>
      </c>
      <c r="AK22" s="20">
        <f t="shared" si="6"/>
        <v>16.600000000000001</v>
      </c>
      <c r="AL22" s="20">
        <f t="shared" si="7"/>
        <v>12.35</v>
      </c>
      <c r="AM22" s="20">
        <f t="shared" si="8"/>
        <v>19.900000000000002</v>
      </c>
      <c r="AN22" s="20">
        <f t="shared" si="9"/>
        <v>29.05</v>
      </c>
      <c r="AO22" s="20">
        <f t="shared" si="10"/>
        <v>14.55</v>
      </c>
      <c r="AP22" s="20">
        <f t="shared" si="11"/>
        <v>18.650000000000002</v>
      </c>
      <c r="AQ22" s="20">
        <f t="shared" si="12"/>
        <v>36</v>
      </c>
      <c r="AR22" s="20">
        <f t="shared" si="13"/>
        <v>54.2</v>
      </c>
      <c r="AS22" s="35">
        <f t="shared" si="29"/>
        <v>319.50000000000006</v>
      </c>
      <c r="AU22" s="47">
        <v>246004</v>
      </c>
      <c r="AV22" s="37">
        <f t="shared" si="31"/>
        <v>2250</v>
      </c>
      <c r="AW22" s="35">
        <f t="shared" si="30"/>
        <v>4.5</v>
      </c>
    </row>
    <row r="23" spans="1:49" x14ac:dyDescent="0.25">
      <c r="A23" s="23">
        <v>44121</v>
      </c>
      <c r="B23" s="40">
        <v>61</v>
      </c>
      <c r="C23" s="24">
        <v>6390210</v>
      </c>
      <c r="D23" s="24">
        <v>14562090</v>
      </c>
      <c r="E23" s="24">
        <v>2136380</v>
      </c>
      <c r="F23" s="24">
        <v>3074340</v>
      </c>
      <c r="G23" s="24">
        <v>9326710</v>
      </c>
      <c r="H23" s="24">
        <v>4761490</v>
      </c>
      <c r="I23" s="24">
        <v>4529430</v>
      </c>
      <c r="J23" s="24">
        <v>5101660</v>
      </c>
      <c r="K23" s="24">
        <v>8000780</v>
      </c>
      <c r="L23" s="24">
        <v>3248100</v>
      </c>
      <c r="M23" s="24">
        <v>7131110</v>
      </c>
      <c r="N23" s="24">
        <v>10437780</v>
      </c>
      <c r="O23" s="24">
        <v>14118680</v>
      </c>
      <c r="Q23" s="37">
        <f t="shared" si="16"/>
        <v>1060</v>
      </c>
      <c r="R23" s="37">
        <f t="shared" si="17"/>
        <v>12610</v>
      </c>
      <c r="S23" s="37">
        <f t="shared" si="15"/>
        <v>3050</v>
      </c>
      <c r="T23" s="37">
        <f t="shared" si="18"/>
        <v>1640</v>
      </c>
      <c r="U23" s="37">
        <f t="shared" si="19"/>
        <v>4960</v>
      </c>
      <c r="V23" s="37">
        <f t="shared" si="20"/>
        <v>3300</v>
      </c>
      <c r="W23" s="37">
        <f t="shared" si="21"/>
        <v>2490</v>
      </c>
      <c r="X23" s="37">
        <f t="shared" si="22"/>
        <v>3870</v>
      </c>
      <c r="Y23" s="37">
        <f t="shared" si="23"/>
        <v>5860</v>
      </c>
      <c r="Z23" s="37">
        <f t="shared" si="24"/>
        <v>2810</v>
      </c>
      <c r="AA23" s="37">
        <f t="shared" si="25"/>
        <v>3430</v>
      </c>
      <c r="AB23" s="37">
        <f t="shared" si="26"/>
        <v>7180</v>
      </c>
      <c r="AC23" s="37">
        <f t="shared" si="27"/>
        <v>10830</v>
      </c>
      <c r="AD23" s="35">
        <f t="shared" si="28"/>
        <v>63090</v>
      </c>
      <c r="AF23" s="20">
        <f t="shared" si="1"/>
        <v>5.3</v>
      </c>
      <c r="AG23" s="20">
        <f t="shared" si="2"/>
        <v>63.050000000000004</v>
      </c>
      <c r="AH23" s="20">
        <f t="shared" si="3"/>
        <v>15.25</v>
      </c>
      <c r="AI23" s="20">
        <f t="shared" si="4"/>
        <v>8.1999999999999993</v>
      </c>
      <c r="AJ23" s="20">
        <f t="shared" si="5"/>
        <v>24.8</v>
      </c>
      <c r="AK23" s="20">
        <f t="shared" si="6"/>
        <v>16.5</v>
      </c>
      <c r="AL23" s="20">
        <f t="shared" si="7"/>
        <v>12.450000000000001</v>
      </c>
      <c r="AM23" s="20">
        <f t="shared" si="8"/>
        <v>19.350000000000001</v>
      </c>
      <c r="AN23" s="20">
        <f t="shared" si="9"/>
        <v>29.3</v>
      </c>
      <c r="AO23" s="20">
        <f t="shared" si="10"/>
        <v>14.05</v>
      </c>
      <c r="AP23" s="20">
        <f t="shared" si="11"/>
        <v>17.150000000000002</v>
      </c>
      <c r="AQ23" s="20">
        <f t="shared" si="12"/>
        <v>35.9</v>
      </c>
      <c r="AR23" s="20">
        <f t="shared" si="13"/>
        <v>54.15</v>
      </c>
      <c r="AS23" s="35">
        <f t="shared" si="29"/>
        <v>315.45</v>
      </c>
      <c r="AU23" s="47">
        <v>248050</v>
      </c>
      <c r="AV23" s="37">
        <f t="shared" si="31"/>
        <v>2046</v>
      </c>
      <c r="AW23" s="35">
        <f t="shared" si="30"/>
        <v>4.0920000000000005</v>
      </c>
    </row>
    <row r="24" spans="1:49" x14ac:dyDescent="0.25">
      <c r="A24" s="23">
        <v>44122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6"/>
        <v>0</v>
      </c>
      <c r="R24" s="37" t="str">
        <f t="shared" si="17"/>
        <v>0</v>
      </c>
      <c r="S24" s="37" t="str">
        <f t="shared" si="15"/>
        <v>0</v>
      </c>
      <c r="T24" s="37" t="str">
        <f t="shared" si="18"/>
        <v>0</v>
      </c>
      <c r="U24" s="37" t="str">
        <f t="shared" si="19"/>
        <v>0</v>
      </c>
      <c r="V24" s="37" t="str">
        <f t="shared" si="20"/>
        <v>0</v>
      </c>
      <c r="W24" s="37" t="str">
        <f t="shared" si="21"/>
        <v>0</v>
      </c>
      <c r="X24" s="37" t="str">
        <f t="shared" si="22"/>
        <v>0</v>
      </c>
      <c r="Y24" s="37" t="str">
        <f t="shared" si="23"/>
        <v>0</v>
      </c>
      <c r="Z24" s="37" t="str">
        <f t="shared" si="24"/>
        <v>0</v>
      </c>
      <c r="AA24" s="37" t="str">
        <f t="shared" si="25"/>
        <v>0</v>
      </c>
      <c r="AB24" s="37" t="str">
        <f t="shared" si="26"/>
        <v>0</v>
      </c>
      <c r="AC24" s="37" t="str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 t="str">
        <f t="shared" si="31"/>
        <v>0</v>
      </c>
      <c r="AW24" s="35">
        <f t="shared" si="30"/>
        <v>0</v>
      </c>
    </row>
    <row r="25" spans="1:49" x14ac:dyDescent="0.25">
      <c r="A25" s="23">
        <v>44123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44127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44128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44129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17260</v>
      </c>
      <c r="R38" s="30">
        <f t="shared" si="38"/>
        <v>228630</v>
      </c>
      <c r="S38" s="30">
        <f t="shared" si="38"/>
        <v>56580</v>
      </c>
      <c r="T38" s="30">
        <f t="shared" si="38"/>
        <v>26840</v>
      </c>
      <c r="U38" s="30">
        <f t="shared" si="38"/>
        <v>80670</v>
      </c>
      <c r="V38" s="30">
        <f t="shared" si="38"/>
        <v>56380</v>
      </c>
      <c r="W38" s="30">
        <f t="shared" si="38"/>
        <v>40620</v>
      </c>
      <c r="X38" s="30">
        <f t="shared" si="38"/>
        <v>63140</v>
      </c>
      <c r="Y38" s="30">
        <f t="shared" si="38"/>
        <v>89460</v>
      </c>
      <c r="Z38" s="30">
        <f t="shared" si="38"/>
        <v>46070</v>
      </c>
      <c r="AA38" s="30">
        <f t="shared" si="38"/>
        <v>57190</v>
      </c>
      <c r="AB38" s="30">
        <f t="shared" si="38"/>
        <v>117050</v>
      </c>
      <c r="AC38" s="30">
        <f t="shared" si="38"/>
        <v>174490</v>
      </c>
      <c r="AD38" s="35">
        <f t="shared" si="38"/>
        <v>1054380</v>
      </c>
      <c r="AF38" s="35">
        <f t="shared" ref="AF38:AS38" si="39">SUM(AF7:AF34)</f>
        <v>86.3</v>
      </c>
      <c r="AG38" s="35">
        <f t="shared" si="39"/>
        <v>1143.1500000000001</v>
      </c>
      <c r="AH38" s="35">
        <f t="shared" si="39"/>
        <v>282.90000000000003</v>
      </c>
      <c r="AI38" s="35">
        <f t="shared" si="39"/>
        <v>134.19999999999999</v>
      </c>
      <c r="AJ38" s="35">
        <f t="shared" si="39"/>
        <v>403.35</v>
      </c>
      <c r="AK38" s="35">
        <f t="shared" si="39"/>
        <v>281.90000000000003</v>
      </c>
      <c r="AL38" s="35">
        <f t="shared" si="39"/>
        <v>203.1</v>
      </c>
      <c r="AM38" s="35">
        <f t="shared" si="39"/>
        <v>315.7</v>
      </c>
      <c r="AN38" s="35">
        <f t="shared" si="39"/>
        <v>447.3</v>
      </c>
      <c r="AO38" s="35">
        <f t="shared" si="39"/>
        <v>230.35000000000002</v>
      </c>
      <c r="AP38" s="35">
        <f t="shared" si="39"/>
        <v>285.95000000000005</v>
      </c>
      <c r="AQ38" s="35">
        <f t="shared" si="39"/>
        <v>585.25</v>
      </c>
      <c r="AR38" s="35">
        <f t="shared" si="39"/>
        <v>872.44999999999982</v>
      </c>
      <c r="AS38" s="35">
        <f t="shared" si="39"/>
        <v>5271.8999999999987</v>
      </c>
      <c r="AU38" s="48"/>
      <c r="AV38" s="35">
        <f>SUM(AV7:AV34)</f>
        <v>36855</v>
      </c>
      <c r="AW38" s="35">
        <f>SUM(AW7:AW34)</f>
        <v>64.625999999999991</v>
      </c>
    </row>
    <row r="39" spans="1:49" x14ac:dyDescent="0.25">
      <c r="D39">
        <v>5.0000000000000001E-3</v>
      </c>
      <c r="AV39" s="36">
        <f>AV38*0.00378541*1000</f>
        <v>139511.28555</v>
      </c>
    </row>
    <row r="40" spans="1:49" x14ac:dyDescent="0.25">
      <c r="D40">
        <v>2E-3</v>
      </c>
      <c r="AV40">
        <f>AV39/31</f>
        <v>4500.3640500000001</v>
      </c>
    </row>
    <row r="41" spans="1:49" x14ac:dyDescent="0.25">
      <c r="AV41">
        <f>AV38*0.00378541</f>
        <v>139.51128555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2020-10-18T06:22:09Z</dcterms:modified>
</cp:coreProperties>
</file>