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53709082-5BA4-4864-842A-7C4479C934D7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E6" i="2"/>
  <c r="E5" i="2"/>
  <c r="E4" i="2"/>
  <c r="E3" i="2"/>
  <c r="P32" i="3"/>
  <c r="O32" i="3"/>
  <c r="M32" i="3"/>
  <c r="K32" i="3"/>
  <c r="I32" i="3"/>
  <c r="G32" i="3"/>
  <c r="F32" i="3"/>
  <c r="E32" i="3"/>
  <c r="C32" i="2"/>
  <c r="C31" i="2"/>
  <c r="H31" i="2" s="1"/>
  <c r="I31" i="2" s="1"/>
  <c r="C30" i="2"/>
  <c r="E32" i="2"/>
  <c r="E31" i="2"/>
  <c r="E30" i="2"/>
  <c r="G32" i="2"/>
  <c r="G31" i="2"/>
  <c r="G30" i="2"/>
  <c r="N33" i="2"/>
  <c r="N32" i="2"/>
  <c r="N31" i="2"/>
  <c r="N30" i="2"/>
  <c r="W31" i="2"/>
  <c r="W30" i="2"/>
  <c r="U31" i="2"/>
  <c r="U30" i="2"/>
  <c r="AB31" i="2"/>
  <c r="Y31" i="2"/>
  <c r="S31" i="2"/>
  <c r="K31" i="2"/>
  <c r="P31" i="3"/>
  <c r="O31" i="3"/>
  <c r="M31" i="3"/>
  <c r="Y26" i="2"/>
  <c r="AB32" i="2"/>
  <c r="K31" i="3" s="1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K32" i="2"/>
  <c r="I32" i="2" s="1"/>
  <c r="J32" i="2" l="1"/>
  <c r="J31" i="2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S29" i="2"/>
  <c r="S28" i="2"/>
  <c r="S27" i="2"/>
  <c r="S26" i="2"/>
  <c r="S25" i="2"/>
  <c r="S24" i="2"/>
  <c r="S23" i="2"/>
  <c r="S22" i="2"/>
  <c r="U22" i="2" s="1"/>
  <c r="S21" i="2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1" i="2" l="1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<sst xmlns="http://schemas.openxmlformats.org/spreadsheetml/2006/main" count="77" uniqueCount="40">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</sst>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G11" sqref="G11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4129</v>
      </c>
      <c r="F2" s="110">
        <f>('December 2025'!C2*0.27)/('December 2025'!C2+'December 2025'!E2)</f>
        <v>0.23115766529426013</v>
      </c>
      <c r="G2" s="97">
        <f>'December 2025'!U2</f>
        <v>101</v>
      </c>
      <c r="H2" s="113">
        <v>0.62</v>
      </c>
      <c r="I2" s="98">
        <f>'December 2025'!W2</f>
        <v>49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54</v>
      </c>
      <c r="P2" s="100">
        <f>'December 2025'!AD2</f>
        <v>78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4182</v>
      </c>
      <c r="F3" s="110">
        <f>('December 2025'!C3*0.27)/('December 2025'!C3+'December 2025'!E3)</f>
        <v>0.22357962697274034</v>
      </c>
      <c r="G3" s="97">
        <f>'December 2025'!U3</f>
        <v>75</v>
      </c>
      <c r="H3" s="113">
        <v>0.62</v>
      </c>
      <c r="I3" s="98">
        <f>'December 2025'!W3</f>
        <v>60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50</v>
      </c>
      <c r="P3" s="100">
        <f>'December 2025'!AD3</f>
        <v>69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4338</v>
      </c>
      <c r="F4" s="110">
        <f>('December 2025'!C4*0.27)/('December 2025'!C4+'December 2025'!E4)</f>
        <v>0.23881742738589212</v>
      </c>
      <c r="G4" s="97">
        <f>'December 2025'!U4</f>
        <v>100</v>
      </c>
      <c r="H4" s="113">
        <v>0.62</v>
      </c>
      <c r="I4" s="98">
        <f>'December 2025'!W4</f>
        <v>41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48</v>
      </c>
      <c r="P4" s="100">
        <f>'December 2025'!AD4</f>
        <v>64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4089</v>
      </c>
      <c r="F5" s="110">
        <f>('December 2025'!C5*0.27)/('December 2025'!C5+'December 2025'!E5)</f>
        <v>0.22892883345561263</v>
      </c>
      <c r="G5" s="97">
        <f>'December 2025'!U5</f>
        <v>25</v>
      </c>
      <c r="H5" s="113">
        <v>0.62</v>
      </c>
      <c r="I5" s="98">
        <f>'December 2025'!W5</f>
        <v>50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51</v>
      </c>
      <c r="P5" s="100">
        <f>'December 2025'!AD5</f>
        <v>68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4422</v>
      </c>
      <c r="F6" s="110">
        <f>('December 2025'!C6*0.27)/('December 2025'!C6+'December 2025'!E6)</f>
        <v>0.24331750339213026</v>
      </c>
      <c r="G6" s="97">
        <f>'December 2025'!U6</f>
        <v>125</v>
      </c>
      <c r="H6" s="113">
        <v>0.62</v>
      </c>
      <c r="I6" s="98">
        <f>'December 2025'!W6</f>
        <v>71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65</v>
      </c>
      <c r="P6" s="100">
        <f>'December 2025'!AD6</f>
        <v>97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4487</v>
      </c>
      <c r="F7" s="110">
        <f>('December 2025'!C7*0.27)/('December 2025'!C7+'December 2025'!E7)</f>
        <v>0.2546556719411634</v>
      </c>
      <c r="G7" s="97">
        <f>'December 2025'!U7</f>
        <v>25</v>
      </c>
      <c r="H7" s="113">
        <v>0.62</v>
      </c>
      <c r="I7" s="98">
        <f>'December 2025'!W7</f>
        <v>60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81</v>
      </c>
      <c r="P7" s="100">
        <f>'December 2025'!AD7</f>
        <v>140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4665</v>
      </c>
      <c r="F8" s="110">
        <f>('December 2025'!C8*0.27)/('December 2025'!C8+'December 2025'!E8)</f>
        <v>0.25437299035369776</v>
      </c>
      <c r="G8" s="97">
        <f>'December 2025'!U8</f>
        <v>175</v>
      </c>
      <c r="H8" s="113">
        <v>0.62</v>
      </c>
      <c r="I8" s="98">
        <f>'December 2025'!W8</f>
        <v>58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54</v>
      </c>
      <c r="P8" s="100">
        <f>'December 2025'!AD8</f>
        <v>80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3919</v>
      </c>
      <c r="F9" s="110">
        <f>('December 2025'!C9*0.27)/('December 2025'!C9+'December 2025'!E9)</f>
        <v>0.24333758611890791</v>
      </c>
      <c r="G9" s="97">
        <f>'December 2025'!U9</f>
        <v>25</v>
      </c>
      <c r="H9" s="113">
        <v>0.62</v>
      </c>
      <c r="I9" s="98">
        <f>'December 2025'!W9</f>
        <v>35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33</v>
      </c>
      <c r="P9" s="100">
        <f>'December 2025'!AD9</f>
        <v>49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4152</v>
      </c>
      <c r="F10" s="110">
        <f>('December 2025'!C10*0.27)/('December 2025'!C10+'December 2025'!E10)</f>
        <v>0.23924132947976878</v>
      </c>
      <c r="G10" s="97">
        <f>'December 2025'!U10</f>
        <v>50</v>
      </c>
      <c r="H10" s="113">
        <v>0.62</v>
      </c>
      <c r="I10" s="98">
        <f>'December 2025'!W10</f>
        <v>26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37</v>
      </c>
      <c r="P10" s="100">
        <f>'December 2025'!AD10</f>
        <v>54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4164</v>
      </c>
      <c r="F11" s="110">
        <f>('December 2025'!C11*0.27)/('December 2025'!C11+'December 2025'!E11)</f>
        <v>0.26150576368876083</v>
      </c>
      <c r="G11" s="97">
        <f>'December 2025'!U11</f>
        <v>25</v>
      </c>
      <c r="H11" s="113">
        <v>0.62</v>
      </c>
      <c r="I11" s="98">
        <f>'December 2025'!W11</f>
        <v>42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34</v>
      </c>
      <c r="P11" s="100">
        <f>'December 2025'!AD11</f>
        <v>49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0</v>
      </c>
      <c r="F12" s="110" t="e">
        <f>('December 2025'!C12*0.27)/('December 2025'!C12+'December 2025'!E12)</f>
        <v>#DIV/0!</v>
      </c>
      <c r="G12" s="97" t="str">
        <f>'December 2025'!U12</f>
        <v>0</v>
      </c>
      <c r="H12" s="113">
        <v>0.62</v>
      </c>
      <c r="I12" s="98" t="str">
        <f>'December 2025'!W12</f>
        <v>0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39</v>
      </c>
      <c r="P12" s="100">
        <f>'December 2025'!AD12</f>
        <v>59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0</v>
      </c>
      <c r="F13" s="110" t="e">
        <f>('December 2025'!C13*0.27)/('December 2025'!C13+'December 2025'!E13)</f>
        <v>#DIV/0!</v>
      </c>
      <c r="G13" s="97" t="str">
        <f>'December 2025'!U13</f>
        <v>0</v>
      </c>
      <c r="H13" s="113">
        <v>0.62</v>
      </c>
      <c r="I13" s="98">
        <f>'December 2025'!W13</f>
        <v>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0</v>
      </c>
      <c r="P13" s="100">
        <f>'December 2025'!AD13</f>
        <v>0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0</v>
      </c>
      <c r="F14" s="110" t="e">
        <f>('December 2025'!C14*0.27)/('December 2025'!C14+'December 2025'!E14)</f>
        <v>#DIV/0!</v>
      </c>
      <c r="G14" s="97" t="str">
        <f>'December 2025'!U14</f>
        <v>0</v>
      </c>
      <c r="H14" s="113">
        <v>0.62</v>
      </c>
      <c r="I14" s="98">
        <f>'December 2025'!W14</f>
        <v>0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0</v>
      </c>
      <c r="P14" s="100">
        <f>'December 2025'!AD14</f>
        <v>0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0</v>
      </c>
      <c r="F15" s="110" t="e">
        <f>('December 2025'!C15*0.27)/('December 2025'!C15+'December 2025'!E15)</f>
        <v>#DIV/0!</v>
      </c>
      <c r="G15" s="97" t="str">
        <f>'December 2025'!U15</f>
        <v>0</v>
      </c>
      <c r="H15" s="113">
        <v>0.62</v>
      </c>
      <c r="I15" s="98">
        <f>'December 2025'!W15</f>
        <v>0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0</v>
      </c>
      <c r="P15" s="100">
        <f>'December 2025'!AD15</f>
        <v>0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0</v>
      </c>
      <c r="F16" s="110" t="e">
        <f>('December 2025'!C16*0.27)/('December 2025'!C16+'December 2025'!E16)</f>
        <v>#DIV/0!</v>
      </c>
      <c r="G16" s="97" t="str">
        <f>'December 2025'!U16</f>
        <v>0</v>
      </c>
      <c r="H16" s="113">
        <v>0.62</v>
      </c>
      <c r="I16" s="98">
        <f>'December 2025'!W16</f>
        <v>0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0</v>
      </c>
      <c r="P16" s="100">
        <f>'December 2025'!AD16</f>
        <v>0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0</v>
      </c>
      <c r="F17" s="110" t="e">
        <f>('December 2025'!C17*0.27)/('December 2025'!C17+'December 2025'!E17)</f>
        <v>#DIV/0!</v>
      </c>
      <c r="G17" s="97" t="str">
        <f>'December 2025'!U17</f>
        <v>0</v>
      </c>
      <c r="H17" s="113">
        <v>0.62</v>
      </c>
      <c r="I17" s="98">
        <f>'December 2025'!W17</f>
        <v>0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0</v>
      </c>
      <c r="P17" s="100">
        <f>'December 2025'!AD17</f>
        <v>0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0</v>
      </c>
      <c r="F18" s="110" t="e">
        <f>('December 2025'!C18*0.27)/('December 2025'!C18+'December 2025'!E18)</f>
        <v>#DIV/0!</v>
      </c>
      <c r="G18" s="97" t="str">
        <f>'December 2025'!U18</f>
        <v>0</v>
      </c>
      <c r="H18" s="113">
        <v>0.62</v>
      </c>
      <c r="I18" s="98">
        <f>'December 2025'!W18</f>
        <v>0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0</v>
      </c>
      <c r="P18" s="100">
        <f>'December 2025'!AD18</f>
        <v>0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0</v>
      </c>
      <c r="F19" s="110" t="e">
        <f>('December 2025'!C19*0.27)/('December 2025'!C19+'December 2025'!E19)</f>
        <v>#DIV/0!</v>
      </c>
      <c r="G19" s="97" t="str">
        <f>'December 2025'!U19</f>
        <v>0</v>
      </c>
      <c r="H19" s="113">
        <v>0.62</v>
      </c>
      <c r="I19" s="98">
        <f>'December 2025'!W19</f>
        <v>0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0</v>
      </c>
      <c r="P19" s="100">
        <f>'December 2025'!AD19</f>
        <v>0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0</v>
      </c>
      <c r="F20" s="110" t="e">
        <f>('December 2025'!C20*0.27)/('December 2025'!C20+'December 2025'!E20)</f>
        <v>#DIV/0!</v>
      </c>
      <c r="G20" s="97" t="str">
        <f>'December 2025'!U20</f>
        <v>0</v>
      </c>
      <c r="H20" s="113">
        <v>0.62</v>
      </c>
      <c r="I20" s="98">
        <f>'December 2025'!W20</f>
        <v>0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0</v>
      </c>
      <c r="P20" s="100">
        <f>'December 2025'!AD20</f>
        <v>0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0</v>
      </c>
      <c r="F21" s="110" t="e">
        <f>('December 2025'!C21*0.27)/('December 2025'!C21+'December 2025'!E21)</f>
        <v>#DIV/0!</v>
      </c>
      <c r="G21" s="97" t="str">
        <f>'December 2025'!U21</f>
        <v>0</v>
      </c>
      <c r="H21" s="113">
        <v>0.62</v>
      </c>
      <c r="I21" s="98">
        <f>'December 2025'!W21</f>
        <v>0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0</v>
      </c>
      <c r="P21" s="100">
        <f>'December 2025'!AD21</f>
        <v>0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0</v>
      </c>
      <c r="F22" s="110" t="e">
        <f>('December 2025'!C22*0.27)/('December 2025'!C22+'December 2025'!E22)</f>
        <v>#DIV/0!</v>
      </c>
      <c r="G22" s="97" t="str">
        <f>'December 2025'!U22</f>
        <v>0</v>
      </c>
      <c r="H22" s="113">
        <v>0.62</v>
      </c>
      <c r="I22" s="98">
        <f>'December 2025'!W22</f>
        <v>0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0</v>
      </c>
      <c r="P22" s="100">
        <f>'December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0</v>
      </c>
      <c r="F23" s="110" t="e">
        <f>('December 2025'!C23*0.27)/('December 2025'!C23+'December 2025'!E23)</f>
        <v>#DIV/0!</v>
      </c>
      <c r="G23" s="97" t="str">
        <f>'December 2025'!U23</f>
        <v>0</v>
      </c>
      <c r="H23" s="113">
        <v>0.62</v>
      </c>
      <c r="I23" s="98">
        <f>'December 2025'!W23</f>
        <v>0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0</v>
      </c>
      <c r="P23" s="100">
        <f>'December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0</v>
      </c>
      <c r="F24" s="110" t="e">
        <f>('December 2025'!C24*0.27)/('December 2025'!C24+'December 2025'!E24)</f>
        <v>#DIV/0!</v>
      </c>
      <c r="G24" s="97" t="str">
        <f>'December 2025'!U24</f>
        <v>0</v>
      </c>
      <c r="H24" s="113">
        <v>0.62</v>
      </c>
      <c r="I24" s="98">
        <f>'December 2025'!W24</f>
        <v>0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0</v>
      </c>
      <c r="P24" s="100">
        <f>'December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0</v>
      </c>
      <c r="F25" s="110" t="e">
        <f>('December 2025'!C25*0.27)/('December 2025'!C25+'December 2025'!E25)</f>
        <v>#DIV/0!</v>
      </c>
      <c r="G25" s="97" t="str">
        <f>'December 2025'!U25</f>
        <v>0</v>
      </c>
      <c r="H25" s="113">
        <v>0.62</v>
      </c>
      <c r="I25" s="98">
        <f>'December 2025'!W25</f>
        <v>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0</v>
      </c>
      <c r="N25" s="119">
        <v>0.88</v>
      </c>
      <c r="O25" s="100">
        <f>'December 2025'!AC25</f>
        <v>0</v>
      </c>
      <c r="P25" s="100">
        <f>'December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0</v>
      </c>
      <c r="F26" s="110" t="e">
        <f>('December 2025'!C26*0.27)/('December 2025'!C26+'December 2025'!E26)</f>
        <v>#DIV/0!</v>
      </c>
      <c r="G26" s="97" t="str">
        <f>'December 2025'!U26</f>
        <v>0</v>
      </c>
      <c r="H26" s="113">
        <v>0.62</v>
      </c>
      <c r="I26" s="98">
        <f>'December 2025'!W26</f>
        <v>0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0</v>
      </c>
      <c r="P26" s="100">
        <f>'December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0</v>
      </c>
      <c r="F27" s="110" t="e">
        <f>('December 2025'!C27*0.27)/('December 2025'!C27+'December 2025'!E27)</f>
        <v>#DIV/0!</v>
      </c>
      <c r="G27" s="97" t="str">
        <f>'December 2025'!U27</f>
        <v>0</v>
      </c>
      <c r="H27" s="113">
        <v>0.62</v>
      </c>
      <c r="I27" s="98">
        <f>'December 2025'!W27</f>
        <v>0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0</v>
      </c>
      <c r="P27" s="100">
        <f>'December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0</v>
      </c>
      <c r="F28" s="110" t="e">
        <f>('December 2025'!C28*0.27)/('December 2025'!C28+'December 2025'!E28)</f>
        <v>#DIV/0!</v>
      </c>
      <c r="G28" s="97" t="str">
        <f>'December 2025'!U28</f>
        <v>0</v>
      </c>
      <c r="H28" s="113">
        <v>0.62</v>
      </c>
      <c r="I28" s="98">
        <f>'December 2025'!W28</f>
        <v>0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0</v>
      </c>
      <c r="P28" s="100">
        <f>'December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0</v>
      </c>
      <c r="F29" s="110" t="e">
        <f>('December 2025'!C29*0.27)/('December 2025'!C29+'December 2025'!E29)</f>
        <v>#DIV/0!</v>
      </c>
      <c r="G29" s="97" t="str">
        <f>'December 2025'!U29</f>
        <v>0</v>
      </c>
      <c r="H29" s="113">
        <v>0.62</v>
      </c>
      <c r="I29" s="98">
        <f>'December 2025'!W29</f>
        <v>0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0</v>
      </c>
      <c r="P29" s="100">
        <f>'December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0</v>
      </c>
      <c r="F30" s="110" t="e">
        <f>('December 2025'!C30*0.27)/('December 2025'!C30+'December 2025'!E30)</f>
        <v>#DIV/0!</v>
      </c>
      <c r="G30" s="97" t="str">
        <f>'December 2025'!U30</f>
        <v>0</v>
      </c>
      <c r="H30" s="113">
        <v>0.62</v>
      </c>
      <c r="I30" s="98">
        <f>'December 2025'!W30</f>
        <v>0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0</v>
      </c>
      <c r="P30" s="100">
        <f>'December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0</v>
      </c>
      <c r="F31" s="110" t="e">
        <f>('December 2025'!C32*0.27)/('December 2025'!C32+'December 2025'!E32)</f>
        <v>#DIV/0!</v>
      </c>
      <c r="G31" s="97" t="str">
        <f>'December 2025'!U32</f>
        <v>0</v>
      </c>
      <c r="H31" s="113">
        <v>0.62</v>
      </c>
      <c r="I31" s="98">
        <f>'December 2025'!W32</f>
        <v>0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0</v>
      </c>
      <c r="P31" s="100">
        <f>'December 2025'!AD32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zoomScale="115" zoomScaleNormal="115" workbookViewId="0">
      <selection activeCell="T16" sqref="T16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>
        <f>IF((B3-B2)&lt;0,"0",B3-B2)</f>
        <v>3535</v>
      </c>
      <c r="D2" s="9">
        <v>994074</v>
      </c>
      <c r="E2" s="14">
        <f>IF((D3-D2)&lt;0,"0",D3-D2)</f>
        <v>594</v>
      </c>
      <c r="F2" s="27">
        <v>1704</v>
      </c>
      <c r="G2" s="67">
        <f>F3-F2</f>
        <v>0</v>
      </c>
      <c r="H2" s="69">
        <f>C2+E2-G2</f>
        <v>4129</v>
      </c>
      <c r="I2" s="73">
        <f>H2-K2-M2-O2-Q2</f>
        <v>-41864.400000000001</v>
      </c>
      <c r="J2" s="32">
        <f t="shared" ref="J2:J32" si="0">I3-I2</f>
        <v>51.779999999998836</v>
      </c>
      <c r="K2" s="19">
        <f>A2</f>
        <v>45992</v>
      </c>
      <c r="L2" s="30">
        <v>8122</v>
      </c>
      <c r="M2" s="31">
        <v>0</v>
      </c>
      <c r="N2" s="32">
        <f>IF((L2-L3+M2)=L2,"0",(L2-L3+M2))</f>
        <v>186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101</v>
      </c>
      <c r="V2" s="40">
        <v>38182</v>
      </c>
      <c r="W2" s="32">
        <f t="shared" ref="W2:W32" si="1">IF(V3-V2&lt;0,"0",V3-V2)</f>
        <v>49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54</v>
      </c>
      <c r="AD2" s="17">
        <v>78</v>
      </c>
    </row>
    <row r="3" spans="1:30" ht="20.65" customHeight="1" x14ac:dyDescent="0.2">
      <c r="A3" s="19">
        <v>45993</v>
      </c>
      <c r="B3" s="10">
        <v>1404128</v>
      </c>
      <c r="C3" s="14">
        <f t="shared" ref="C3:C32" si="2">IF((B4-B3)&lt;0,"0",B4-B3)</f>
        <v>3463</v>
      </c>
      <c r="D3" s="11">
        <v>994668</v>
      </c>
      <c r="E3" s="14">
        <f t="shared" ref="E3:E13" si="3">IF((D4-D3)&lt;0,"0",D4-D3)</f>
        <v>719</v>
      </c>
      <c r="F3" s="27">
        <v>1704</v>
      </c>
      <c r="G3" s="67">
        <f t="shared" ref="G3:G32" si="4">F4-F3</f>
        <v>0</v>
      </c>
      <c r="H3" s="69">
        <f t="shared" ref="H3:H31" si="5">C3+E3-G3</f>
        <v>4182</v>
      </c>
      <c r="I3" s="73">
        <f t="shared" ref="I3:I31" si="6">H3-K3-M3-O3-Q3</f>
        <v>-41812.620000000003</v>
      </c>
      <c r="J3" s="32">
        <f t="shared" si="0"/>
        <v>155.01000000000204</v>
      </c>
      <c r="K3" s="20">
        <f t="shared" ref="K3:K33" si="7">A3</f>
        <v>45993</v>
      </c>
      <c r="L3" s="33">
        <v>7936</v>
      </c>
      <c r="M3" s="31">
        <v>0</v>
      </c>
      <c r="N3" s="32">
        <f t="shared" ref="N3:N33" si="8">IF((L3-L4+M3)=L3,"0",(L3-L4+M3))</f>
        <v>145</v>
      </c>
      <c r="O3" s="85">
        <v>0.82</v>
      </c>
      <c r="P3" s="86">
        <v>0.8</v>
      </c>
      <c r="Q3" s="85">
        <v>0.8</v>
      </c>
      <c r="R3" s="86">
        <v>0.74</v>
      </c>
      <c r="S3" s="38">
        <f t="shared" ref="S3:S33" si="9">(2500*O3)+(2500*P3)+(500*Q3)+(500*R3)</f>
        <v>4820</v>
      </c>
      <c r="T3" s="123"/>
      <c r="U3" s="32">
        <f t="shared" ref="U3:U32" si="10">IF((S3-S4+T3)=S3,"0",(S3-S4+T3))</f>
        <v>75</v>
      </c>
      <c r="V3" s="41">
        <v>38231</v>
      </c>
      <c r="W3" s="32">
        <f t="shared" si="1"/>
        <v>60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50</v>
      </c>
      <c r="AD3" s="18">
        <v>69</v>
      </c>
    </row>
    <row r="4" spans="1:30" ht="20.65" customHeight="1" x14ac:dyDescent="0.2">
      <c r="A4" s="19">
        <v>45994</v>
      </c>
      <c r="B4" s="10">
        <v>1407591</v>
      </c>
      <c r="C4" s="14">
        <f t="shared" si="2"/>
        <v>3837</v>
      </c>
      <c r="D4" s="11">
        <v>995387</v>
      </c>
      <c r="E4" s="14">
        <f t="shared" si="3"/>
        <v>501</v>
      </c>
      <c r="F4" s="27">
        <v>1704</v>
      </c>
      <c r="G4" s="67">
        <f t="shared" si="4"/>
        <v>0</v>
      </c>
      <c r="H4" s="69">
        <f t="shared" si="5"/>
        <v>4338</v>
      </c>
      <c r="I4" s="73">
        <f t="shared" si="6"/>
        <v>-41657.61</v>
      </c>
      <c r="J4" s="32">
        <f t="shared" si="0"/>
        <v>-249.9800000000032</v>
      </c>
      <c r="K4" s="20">
        <f t="shared" si="7"/>
        <v>45994</v>
      </c>
      <c r="L4" s="33">
        <v>7791</v>
      </c>
      <c r="M4" s="31">
        <v>0</v>
      </c>
      <c r="N4" s="32">
        <f t="shared" si="8"/>
        <v>138</v>
      </c>
      <c r="O4" s="85">
        <v>0.81</v>
      </c>
      <c r="P4" s="86">
        <v>0.78</v>
      </c>
      <c r="Q4" s="85">
        <v>0.8</v>
      </c>
      <c r="R4" s="86">
        <v>0.74</v>
      </c>
      <c r="S4" s="38">
        <f t="shared" si="9"/>
        <v>4745</v>
      </c>
      <c r="T4" s="123"/>
      <c r="U4" s="32">
        <f t="shared" si="10"/>
        <v>100</v>
      </c>
      <c r="V4" s="41">
        <v>38291</v>
      </c>
      <c r="W4" s="32">
        <f t="shared" si="1"/>
        <v>41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48</v>
      </c>
      <c r="AD4" s="18">
        <v>64</v>
      </c>
    </row>
    <row r="5" spans="1:30" ht="20.65" customHeight="1" x14ac:dyDescent="0.2">
      <c r="A5" s="19">
        <v>45995</v>
      </c>
      <c r="B5" s="10">
        <v>1411428</v>
      </c>
      <c r="C5" s="14">
        <f t="shared" si="2"/>
        <v>3467</v>
      </c>
      <c r="D5" s="11">
        <v>995888</v>
      </c>
      <c r="E5" s="14">
        <f t="shared" si="3"/>
        <v>622</v>
      </c>
      <c r="F5" s="27">
        <v>1704</v>
      </c>
      <c r="G5" s="67">
        <f t="shared" si="4"/>
        <v>0</v>
      </c>
      <c r="H5" s="69">
        <f t="shared" si="5"/>
        <v>4089</v>
      </c>
      <c r="I5" s="73">
        <f t="shared" si="6"/>
        <v>-41907.590000000004</v>
      </c>
      <c r="J5" s="32">
        <f t="shared" si="0"/>
        <v>332.01000000000204</v>
      </c>
      <c r="K5" s="20">
        <f t="shared" si="7"/>
        <v>45995</v>
      </c>
      <c r="L5" s="33">
        <v>7653</v>
      </c>
      <c r="M5" s="31">
        <v>0</v>
      </c>
      <c r="N5" s="32">
        <f t="shared" si="8"/>
        <v>135</v>
      </c>
      <c r="O5" s="85">
        <v>0.79</v>
      </c>
      <c r="P5" s="86">
        <v>0.76</v>
      </c>
      <c r="Q5" s="85">
        <v>0.8</v>
      </c>
      <c r="R5" s="86">
        <v>0.74</v>
      </c>
      <c r="S5" s="38">
        <f t="shared" si="9"/>
        <v>4645</v>
      </c>
      <c r="T5" s="123"/>
      <c r="U5" s="32">
        <f t="shared" si="10"/>
        <v>25</v>
      </c>
      <c r="V5" s="41">
        <v>38332</v>
      </c>
      <c r="W5" s="32">
        <f t="shared" si="1"/>
        <v>50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51</v>
      </c>
      <c r="AD5" s="18">
        <v>68</v>
      </c>
    </row>
    <row r="6" spans="1:30" ht="20.65" customHeight="1" x14ac:dyDescent="0.2">
      <c r="A6" s="19">
        <v>45996</v>
      </c>
      <c r="B6" s="10">
        <v>1414895</v>
      </c>
      <c r="C6" s="14">
        <f t="shared" si="2"/>
        <v>3985</v>
      </c>
      <c r="D6" s="11">
        <v>996510</v>
      </c>
      <c r="E6" s="14">
        <f t="shared" si="3"/>
        <v>437</v>
      </c>
      <c r="F6" s="27">
        <v>1704</v>
      </c>
      <c r="G6" s="67">
        <f t="shared" si="4"/>
        <v>0</v>
      </c>
      <c r="H6" s="69">
        <f t="shared" si="5"/>
        <v>4422</v>
      </c>
      <c r="I6" s="73">
        <f t="shared" si="6"/>
        <v>-41575.58</v>
      </c>
      <c r="J6" s="32">
        <f t="shared" si="0"/>
        <v>64.029999999998836</v>
      </c>
      <c r="K6" s="20">
        <f t="shared" si="7"/>
        <v>45996</v>
      </c>
      <c r="L6" s="33">
        <v>7518</v>
      </c>
      <c r="M6" s="31">
        <v>0</v>
      </c>
      <c r="N6" s="32">
        <f t="shared" si="8"/>
        <v>135</v>
      </c>
      <c r="O6" s="85">
        <v>0.78</v>
      </c>
      <c r="P6" s="86">
        <v>0.76</v>
      </c>
      <c r="Q6" s="85">
        <v>0.8</v>
      </c>
      <c r="R6" s="86">
        <v>0.74</v>
      </c>
      <c r="S6" s="38">
        <f t="shared" si="9"/>
        <v>4620</v>
      </c>
      <c r="T6" s="123"/>
      <c r="U6" s="32">
        <f t="shared" si="10"/>
        <v>125</v>
      </c>
      <c r="V6" s="41">
        <v>38382</v>
      </c>
      <c r="W6" s="32">
        <f t="shared" si="1"/>
        <v>71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65</v>
      </c>
      <c r="AD6" s="18">
        <v>97</v>
      </c>
    </row>
    <row r="7" spans="1:30" ht="20.65" customHeight="1" x14ac:dyDescent="0.2">
      <c r="A7" s="19">
        <v>45997</v>
      </c>
      <c r="B7" s="10">
        <v>1418880</v>
      </c>
      <c r="C7" s="14">
        <f t="shared" si="2"/>
        <v>4232</v>
      </c>
      <c r="D7" s="11">
        <v>996947</v>
      </c>
      <c r="E7" s="14">
        <f t="shared" si="3"/>
        <v>255</v>
      </c>
      <c r="F7" s="27">
        <v>1704</v>
      </c>
      <c r="G7" s="67">
        <f t="shared" si="4"/>
        <v>0</v>
      </c>
      <c r="H7" s="69">
        <f t="shared" si="5"/>
        <v>4487</v>
      </c>
      <c r="I7" s="73">
        <f t="shared" si="6"/>
        <v>-41511.550000000003</v>
      </c>
      <c r="J7" s="32">
        <f t="shared" si="0"/>
        <v>177.01000000000204</v>
      </c>
      <c r="K7" s="20">
        <f t="shared" si="7"/>
        <v>45997</v>
      </c>
      <c r="L7" s="33">
        <v>7383</v>
      </c>
      <c r="M7" s="31">
        <v>0</v>
      </c>
      <c r="N7" s="32">
        <f t="shared" si="8"/>
        <v>142</v>
      </c>
      <c r="O7" s="85">
        <v>0.75</v>
      </c>
      <c r="P7" s="86">
        <v>0.74</v>
      </c>
      <c r="Q7" s="85">
        <v>0.8</v>
      </c>
      <c r="R7" s="86">
        <v>0.74</v>
      </c>
      <c r="S7" s="38">
        <f t="shared" si="9"/>
        <v>4495</v>
      </c>
      <c r="T7" s="123"/>
      <c r="U7" s="32">
        <f t="shared" si="10"/>
        <v>25</v>
      </c>
      <c r="V7" s="41">
        <v>38453</v>
      </c>
      <c r="W7" s="32">
        <f t="shared" si="1"/>
        <v>60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81</v>
      </c>
      <c r="AD7" s="18">
        <v>140</v>
      </c>
    </row>
    <row r="8" spans="1:30" ht="20.65" customHeight="1" x14ac:dyDescent="0.2">
      <c r="A8" s="19">
        <v>45998</v>
      </c>
      <c r="B8" s="10">
        <v>1423112</v>
      </c>
      <c r="C8" s="14">
        <f t="shared" si="2"/>
        <v>4395</v>
      </c>
      <c r="D8" s="11">
        <v>997202</v>
      </c>
      <c r="E8" s="14">
        <f t="shared" si="3"/>
        <v>270</v>
      </c>
      <c r="F8" s="27">
        <v>1704</v>
      </c>
      <c r="G8" s="67">
        <f t="shared" si="4"/>
        <v>0</v>
      </c>
      <c r="H8" s="69">
        <f t="shared" si="5"/>
        <v>4665</v>
      </c>
      <c r="I8" s="73">
        <f t="shared" si="6"/>
        <v>-41334.54</v>
      </c>
      <c r="J8" s="32">
        <f t="shared" si="0"/>
        <v>-746.95999999999913</v>
      </c>
      <c r="K8" s="20">
        <f t="shared" si="7"/>
        <v>45998</v>
      </c>
      <c r="L8" s="33">
        <v>7241</v>
      </c>
      <c r="M8" s="31">
        <v>0</v>
      </c>
      <c r="N8" s="32">
        <f t="shared" si="8"/>
        <v>153</v>
      </c>
      <c r="O8" s="85">
        <v>0.74</v>
      </c>
      <c r="P8" s="86">
        <v>0.74</v>
      </c>
      <c r="Q8" s="85">
        <v>0.8</v>
      </c>
      <c r="R8" s="86">
        <v>0.74</v>
      </c>
      <c r="S8" s="38">
        <f t="shared" si="9"/>
        <v>4470</v>
      </c>
      <c r="T8" s="123"/>
      <c r="U8" s="32">
        <f t="shared" si="10"/>
        <v>175</v>
      </c>
      <c r="V8" s="41">
        <v>38513</v>
      </c>
      <c r="W8" s="32">
        <f t="shared" si="1"/>
        <v>58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54</v>
      </c>
      <c r="AD8" s="18">
        <v>80</v>
      </c>
    </row>
    <row r="9" spans="1:30" ht="20.65" customHeight="1" x14ac:dyDescent="0.2">
      <c r="A9" s="19">
        <v>45999</v>
      </c>
      <c r="B9" s="10">
        <v>1427507</v>
      </c>
      <c r="C9" s="14">
        <f t="shared" si="2"/>
        <v>3532</v>
      </c>
      <c r="D9" s="11">
        <v>997472</v>
      </c>
      <c r="E9" s="14">
        <f t="shared" si="3"/>
        <v>387</v>
      </c>
      <c r="F9" s="27">
        <v>1704</v>
      </c>
      <c r="G9" s="67">
        <f t="shared" si="4"/>
        <v>0</v>
      </c>
      <c r="H9" s="69">
        <f t="shared" si="5"/>
        <v>3919</v>
      </c>
      <c r="I9" s="73">
        <f t="shared" si="6"/>
        <v>-42081.5</v>
      </c>
      <c r="J9" s="32">
        <f t="shared" si="0"/>
        <v>232.00999999999476</v>
      </c>
      <c r="K9" s="20">
        <f t="shared" si="7"/>
        <v>45999</v>
      </c>
      <c r="L9" s="33">
        <v>7088</v>
      </c>
      <c r="M9" s="31">
        <v>0</v>
      </c>
      <c r="N9" s="32">
        <f t="shared" si="8"/>
        <v>325</v>
      </c>
      <c r="O9" s="85">
        <v>0.7</v>
      </c>
      <c r="P9" s="86">
        <v>0.71</v>
      </c>
      <c r="Q9" s="85">
        <v>0.8</v>
      </c>
      <c r="R9" s="86">
        <v>0.74</v>
      </c>
      <c r="S9" s="38">
        <f t="shared" si="9"/>
        <v>4295</v>
      </c>
      <c r="T9" s="123"/>
      <c r="U9" s="32">
        <f t="shared" si="10"/>
        <v>25</v>
      </c>
      <c r="V9" s="41">
        <v>38571</v>
      </c>
      <c r="W9" s="32">
        <f t="shared" si="1"/>
        <v>35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33</v>
      </c>
      <c r="AD9" s="18">
        <v>49</v>
      </c>
    </row>
    <row r="10" spans="1:30" ht="20.65" customHeight="1" x14ac:dyDescent="0.2">
      <c r="A10" s="19">
        <v>46000</v>
      </c>
      <c r="B10" s="10">
        <v>1431039</v>
      </c>
      <c r="C10" s="14">
        <f t="shared" si="2"/>
        <v>3679</v>
      </c>
      <c r="D10" s="11">
        <v>997859</v>
      </c>
      <c r="E10" s="14">
        <f t="shared" si="3"/>
        <v>473</v>
      </c>
      <c r="F10" s="27">
        <v>1704</v>
      </c>
      <c r="G10" s="67">
        <f t="shared" si="4"/>
        <v>0</v>
      </c>
      <c r="H10" s="69">
        <f t="shared" si="5"/>
        <v>4152</v>
      </c>
      <c r="I10" s="73">
        <f t="shared" si="6"/>
        <v>-41849.490000000005</v>
      </c>
      <c r="J10" s="32">
        <f t="shared" si="0"/>
        <v>11.010000000002037</v>
      </c>
      <c r="K10" s="20">
        <f t="shared" si="7"/>
        <v>46000</v>
      </c>
      <c r="L10" s="33">
        <v>6763</v>
      </c>
      <c r="M10" s="31">
        <v>0</v>
      </c>
      <c r="N10" s="32">
        <f t="shared" si="8"/>
        <v>316</v>
      </c>
      <c r="O10" s="85">
        <v>0.69</v>
      </c>
      <c r="P10" s="86">
        <v>0.71</v>
      </c>
      <c r="Q10" s="85">
        <v>0.8</v>
      </c>
      <c r="R10" s="86">
        <v>0.74</v>
      </c>
      <c r="S10" s="38">
        <f t="shared" si="9"/>
        <v>4270</v>
      </c>
      <c r="T10" s="123"/>
      <c r="U10" s="32">
        <f t="shared" si="10"/>
        <v>50</v>
      </c>
      <c r="V10" s="41">
        <v>38606</v>
      </c>
      <c r="W10" s="32">
        <f t="shared" si="1"/>
        <v>26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37</v>
      </c>
      <c r="AD10" s="18">
        <v>54</v>
      </c>
    </row>
    <row r="11" spans="1:30" ht="20.65" customHeight="1" x14ac:dyDescent="0.2">
      <c r="A11" s="19">
        <v>46001</v>
      </c>
      <c r="B11" s="10">
        <v>1434718</v>
      </c>
      <c r="C11" s="14">
        <f t="shared" si="2"/>
        <v>4033</v>
      </c>
      <c r="D11" s="11">
        <v>998332</v>
      </c>
      <c r="E11" s="14">
        <f t="shared" si="3"/>
        <v>131</v>
      </c>
      <c r="F11" s="27">
        <v>1704</v>
      </c>
      <c r="G11" s="67">
        <f t="shared" si="4"/>
        <v>0</v>
      </c>
      <c r="H11" s="69">
        <f t="shared" si="5"/>
        <v>4164</v>
      </c>
      <c r="I11" s="73">
        <f t="shared" si="6"/>
        <v>-41838.480000000003</v>
      </c>
      <c r="J11" s="32">
        <f t="shared" si="0"/>
        <v>-4164.989999999998</v>
      </c>
      <c r="K11" s="20">
        <f t="shared" si="7"/>
        <v>46001</v>
      </c>
      <c r="L11" s="33">
        <v>6447</v>
      </c>
      <c r="M11" s="31">
        <v>0</v>
      </c>
      <c r="N11" s="32">
        <f t="shared" si="8"/>
        <v>314</v>
      </c>
      <c r="O11" s="85">
        <v>0.68</v>
      </c>
      <c r="P11" s="86">
        <v>0.7</v>
      </c>
      <c r="Q11" s="85">
        <v>0.8</v>
      </c>
      <c r="R11" s="86">
        <v>0.74</v>
      </c>
      <c r="S11" s="38">
        <f t="shared" si="9"/>
        <v>4220</v>
      </c>
      <c r="T11" s="123"/>
      <c r="U11" s="32">
        <f t="shared" si="10"/>
        <v>25</v>
      </c>
      <c r="V11" s="41">
        <v>38632</v>
      </c>
      <c r="W11" s="32">
        <f t="shared" si="1"/>
        <v>42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34</v>
      </c>
      <c r="AD11" s="18">
        <v>49</v>
      </c>
    </row>
    <row r="12" spans="1:30" ht="21.4" customHeight="1" x14ac:dyDescent="0.2">
      <c r="A12" s="19">
        <v>46002</v>
      </c>
      <c r="B12" s="10">
        <v>1438751</v>
      </c>
      <c r="C12" s="14" t="str">
        <f t="shared" si="2"/>
        <v>0</v>
      </c>
      <c r="D12" s="11">
        <v>998463</v>
      </c>
      <c r="E12" s="14" t="str">
        <f t="shared" si="3"/>
        <v>0</v>
      </c>
      <c r="F12" s="27">
        <v>1704</v>
      </c>
      <c r="G12" s="67">
        <f t="shared" si="4"/>
        <v>0</v>
      </c>
      <c r="H12" s="69">
        <f t="shared" si="5"/>
        <v>0</v>
      </c>
      <c r="I12" s="73">
        <f t="shared" si="6"/>
        <v>-46003.47</v>
      </c>
      <c r="J12" s="32">
        <f t="shared" si="0"/>
        <v>0.47000000000116415</v>
      </c>
      <c r="K12" s="20">
        <f t="shared" si="7"/>
        <v>46002</v>
      </c>
      <c r="L12" s="33">
        <v>6133</v>
      </c>
      <c r="M12" s="31">
        <v>0</v>
      </c>
      <c r="N12" s="32" t="str">
        <f t="shared" si="8"/>
        <v>0</v>
      </c>
      <c r="O12" s="85">
        <v>0.67</v>
      </c>
      <c r="P12" s="86">
        <v>0.7</v>
      </c>
      <c r="Q12" s="85">
        <v>0.8</v>
      </c>
      <c r="R12" s="86">
        <v>0.74</v>
      </c>
      <c r="S12" s="38">
        <f t="shared" si="9"/>
        <v>4195</v>
      </c>
      <c r="T12" s="123"/>
      <c r="U12" s="32" t="str">
        <f t="shared" si="10"/>
        <v>0</v>
      </c>
      <c r="V12" s="41">
        <v>38674</v>
      </c>
      <c r="W12" s="32" t="str">
        <f t="shared" si="1"/>
        <v>0</v>
      </c>
      <c r="X12" s="43">
        <v>61265</v>
      </c>
      <c r="Y12" s="14" t="str">
        <f t="shared" si="11"/>
        <v>0</v>
      </c>
      <c r="Z12" s="47">
        <v>2405</v>
      </c>
      <c r="AA12" s="52"/>
      <c r="AB12" s="32" t="str">
        <f t="shared" si="12"/>
        <v>0</v>
      </c>
      <c r="AC12" s="13">
        <v>39</v>
      </c>
      <c r="AD12" s="18">
        <v>59</v>
      </c>
    </row>
    <row r="13" spans="1:30" ht="20.65" customHeight="1" x14ac:dyDescent="0.2">
      <c r="A13" s="19">
        <v>46003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7">
        <f t="shared" si="4"/>
        <v>0</v>
      </c>
      <c r="H13" s="69">
        <f t="shared" si="5"/>
        <v>0</v>
      </c>
      <c r="I13" s="73">
        <f t="shared" si="6"/>
        <v>-46003</v>
      </c>
      <c r="J13" s="32">
        <f t="shared" si="0"/>
        <v>-1</v>
      </c>
      <c r="K13" s="20">
        <f t="shared" si="7"/>
        <v>46003</v>
      </c>
      <c r="L13" s="33"/>
      <c r="M13" s="31">
        <v>0</v>
      </c>
      <c r="N13" s="32" t="str">
        <f t="shared" si="8"/>
        <v>0</v>
      </c>
      <c r="O13" s="85"/>
      <c r="P13" s="86"/>
      <c r="Q13" s="85"/>
      <c r="R13" s="86"/>
      <c r="S13" s="38">
        <f t="shared" si="9"/>
        <v>0</v>
      </c>
      <c r="T13" s="123"/>
      <c r="U13" s="32" t="str">
        <f t="shared" si="10"/>
        <v>0</v>
      </c>
      <c r="V13" s="41"/>
      <c r="W13" s="32">
        <f t="shared" si="1"/>
        <v>0</v>
      </c>
      <c r="X13" s="43"/>
      <c r="Y13" s="14">
        <f t="shared" si="11"/>
        <v>0</v>
      </c>
      <c r="Z13" s="47"/>
      <c r="AA13" s="52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46004</v>
      </c>
      <c r="B14" s="10"/>
      <c r="C14" s="14">
        <f t="shared" si="2"/>
        <v>0</v>
      </c>
      <c r="D14" s="11"/>
      <c r="E14" s="14">
        <f t="shared" ref="E3:E32" si="13">IF((D15-D14)&lt;0,"0",D15-D14)</f>
        <v>0</v>
      </c>
      <c r="F14" s="27">
        <v>1704</v>
      </c>
      <c r="G14" s="67">
        <f t="shared" si="4"/>
        <v>0</v>
      </c>
      <c r="H14" s="69">
        <f t="shared" si="5"/>
        <v>0</v>
      </c>
      <c r="I14" s="73">
        <f t="shared" si="6"/>
        <v>-46004</v>
      </c>
      <c r="J14" s="32">
        <f t="shared" si="0"/>
        <v>-1</v>
      </c>
      <c r="K14" s="20">
        <f t="shared" si="7"/>
        <v>46004</v>
      </c>
      <c r="L14" s="33"/>
      <c r="M14" s="31">
        <v>0</v>
      </c>
      <c r="N14" s="32" t="str">
        <f t="shared" si="8"/>
        <v>0</v>
      </c>
      <c r="O14" s="85"/>
      <c r="P14" s="86"/>
      <c r="Q14" s="85"/>
      <c r="R14" s="86"/>
      <c r="S14" s="38">
        <f t="shared" si="9"/>
        <v>0</v>
      </c>
      <c r="T14" s="123"/>
      <c r="U14" s="32" t="str">
        <f t="shared" si="10"/>
        <v>0</v>
      </c>
      <c r="V14" s="41"/>
      <c r="W14" s="32">
        <f t="shared" si="1"/>
        <v>0</v>
      </c>
      <c r="X14" s="43"/>
      <c r="Y14" s="14">
        <f t="shared" si="11"/>
        <v>0</v>
      </c>
      <c r="Z14" s="47"/>
      <c r="AA14" s="52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46005</v>
      </c>
      <c r="B15" s="10"/>
      <c r="C15" s="14">
        <f t="shared" si="2"/>
        <v>0</v>
      </c>
      <c r="D15" s="11"/>
      <c r="E15" s="14">
        <f t="shared" si="13"/>
        <v>0</v>
      </c>
      <c r="F15" s="27">
        <v>1704</v>
      </c>
      <c r="G15" s="67">
        <f t="shared" si="4"/>
        <v>0</v>
      </c>
      <c r="H15" s="69">
        <f t="shared" si="5"/>
        <v>0</v>
      </c>
      <c r="I15" s="73">
        <f t="shared" si="6"/>
        <v>-46005</v>
      </c>
      <c r="J15" s="32">
        <f t="shared" si="0"/>
        <v>-1</v>
      </c>
      <c r="K15" s="20">
        <f t="shared" si="7"/>
        <v>46005</v>
      </c>
      <c r="L15" s="33"/>
      <c r="M15" s="31">
        <v>0</v>
      </c>
      <c r="N15" s="32" t="str">
        <f t="shared" si="8"/>
        <v>0</v>
      </c>
      <c r="O15" s="85"/>
      <c r="P15" s="86"/>
      <c r="Q15" s="85"/>
      <c r="R15" s="86"/>
      <c r="S15" s="38">
        <f t="shared" si="9"/>
        <v>0</v>
      </c>
      <c r="T15" s="123"/>
      <c r="U15" s="32" t="str">
        <f t="shared" si="10"/>
        <v>0</v>
      </c>
      <c r="V15" s="41"/>
      <c r="W15" s="32">
        <f t="shared" si="1"/>
        <v>0</v>
      </c>
      <c r="X15" s="44"/>
      <c r="Y15" s="14">
        <f t="shared" si="11"/>
        <v>0</v>
      </c>
      <c r="Z15" s="47"/>
      <c r="AA15" s="52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46006</v>
      </c>
      <c r="B16" s="10"/>
      <c r="C16" s="14">
        <f t="shared" si="2"/>
        <v>0</v>
      </c>
      <c r="D16" s="11"/>
      <c r="E16" s="14">
        <f t="shared" si="13"/>
        <v>0</v>
      </c>
      <c r="F16" s="27">
        <v>1704</v>
      </c>
      <c r="G16" s="67">
        <f t="shared" si="4"/>
        <v>0</v>
      </c>
      <c r="H16" s="69">
        <f t="shared" si="5"/>
        <v>0</v>
      </c>
      <c r="I16" s="73">
        <f t="shared" si="6"/>
        <v>-46006</v>
      </c>
      <c r="J16" s="32">
        <f t="shared" si="0"/>
        <v>-1</v>
      </c>
      <c r="K16" s="20">
        <f t="shared" si="7"/>
        <v>46006</v>
      </c>
      <c r="L16" s="33"/>
      <c r="M16" s="31">
        <v>0</v>
      </c>
      <c r="N16" s="32" t="str">
        <f t="shared" si="8"/>
        <v>0</v>
      </c>
      <c r="O16" s="85"/>
      <c r="P16" s="86"/>
      <c r="Q16" s="85"/>
      <c r="R16" s="86"/>
      <c r="S16" s="38">
        <f t="shared" si="9"/>
        <v>0</v>
      </c>
      <c r="T16" s="123"/>
      <c r="U16" s="32" t="str">
        <f t="shared" si="10"/>
        <v>0</v>
      </c>
      <c r="V16" s="41"/>
      <c r="W16" s="32">
        <f t="shared" si="1"/>
        <v>0</v>
      </c>
      <c r="X16" s="124"/>
      <c r="Y16" s="14">
        <f t="shared" si="11"/>
        <v>0</v>
      </c>
      <c r="Z16" s="47"/>
      <c r="AA16" s="52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46007</v>
      </c>
      <c r="B17" s="10"/>
      <c r="C17" s="14">
        <f t="shared" si="2"/>
        <v>0</v>
      </c>
      <c r="D17" s="11"/>
      <c r="E17" s="14">
        <f t="shared" si="13"/>
        <v>0</v>
      </c>
      <c r="F17" s="27">
        <v>1704</v>
      </c>
      <c r="G17" s="67">
        <f t="shared" si="4"/>
        <v>0</v>
      </c>
      <c r="H17" s="69">
        <f t="shared" si="5"/>
        <v>0</v>
      </c>
      <c r="I17" s="73">
        <f t="shared" si="6"/>
        <v>-46007</v>
      </c>
      <c r="J17" s="32">
        <f t="shared" si="0"/>
        <v>-1</v>
      </c>
      <c r="K17" s="20">
        <f t="shared" si="7"/>
        <v>46007</v>
      </c>
      <c r="L17" s="33"/>
      <c r="M17" s="31">
        <v>0</v>
      </c>
      <c r="N17" s="32" t="str">
        <f t="shared" si="8"/>
        <v>0</v>
      </c>
      <c r="O17" s="85"/>
      <c r="P17" s="86"/>
      <c r="Q17" s="85"/>
      <c r="R17" s="86"/>
      <c r="S17" s="38">
        <f t="shared" si="9"/>
        <v>0</v>
      </c>
      <c r="T17" s="123"/>
      <c r="U17" s="32" t="str">
        <f t="shared" si="10"/>
        <v>0</v>
      </c>
      <c r="V17" s="41"/>
      <c r="W17" s="32">
        <f t="shared" si="1"/>
        <v>0</v>
      </c>
      <c r="X17" s="44"/>
      <c r="Y17" s="14">
        <f t="shared" si="11"/>
        <v>0</v>
      </c>
      <c r="Z17" s="47"/>
      <c r="AA17" s="52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46008</v>
      </c>
      <c r="B18" s="10"/>
      <c r="C18" s="14">
        <f t="shared" si="2"/>
        <v>0</v>
      </c>
      <c r="D18" s="11"/>
      <c r="E18" s="14">
        <f t="shared" si="13"/>
        <v>0</v>
      </c>
      <c r="F18" s="27">
        <v>1704</v>
      </c>
      <c r="G18" s="67">
        <f t="shared" si="4"/>
        <v>0</v>
      </c>
      <c r="H18" s="69">
        <f t="shared" si="5"/>
        <v>0</v>
      </c>
      <c r="I18" s="73">
        <f t="shared" si="6"/>
        <v>-46008</v>
      </c>
      <c r="J18" s="32">
        <f t="shared" si="0"/>
        <v>-1</v>
      </c>
      <c r="K18" s="20">
        <f t="shared" si="7"/>
        <v>46008</v>
      </c>
      <c r="L18" s="33"/>
      <c r="M18" s="31">
        <v>0</v>
      </c>
      <c r="N18" s="32" t="str">
        <f t="shared" si="8"/>
        <v>0</v>
      </c>
      <c r="O18" s="85"/>
      <c r="P18" s="86"/>
      <c r="Q18" s="85"/>
      <c r="R18" s="86"/>
      <c r="S18" s="38">
        <f t="shared" si="9"/>
        <v>0</v>
      </c>
      <c r="T18" s="123"/>
      <c r="U18" s="32" t="str">
        <f t="shared" si="10"/>
        <v>0</v>
      </c>
      <c r="V18" s="41"/>
      <c r="W18" s="32">
        <f t="shared" si="1"/>
        <v>0</v>
      </c>
      <c r="X18" s="44"/>
      <c r="Y18" s="14">
        <f t="shared" si="11"/>
        <v>0</v>
      </c>
      <c r="Z18" s="47"/>
      <c r="AA18" s="52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46009</v>
      </c>
      <c r="B19" s="10"/>
      <c r="C19" s="14">
        <f t="shared" si="2"/>
        <v>0</v>
      </c>
      <c r="D19" s="11"/>
      <c r="E19" s="14">
        <f t="shared" si="13"/>
        <v>0</v>
      </c>
      <c r="F19" s="27">
        <v>1704</v>
      </c>
      <c r="G19" s="67">
        <f t="shared" si="4"/>
        <v>0</v>
      </c>
      <c r="H19" s="69">
        <f t="shared" si="5"/>
        <v>0</v>
      </c>
      <c r="I19" s="73">
        <f t="shared" si="6"/>
        <v>-46009</v>
      </c>
      <c r="J19" s="32">
        <f t="shared" si="0"/>
        <v>-1</v>
      </c>
      <c r="K19" s="20">
        <f t="shared" si="7"/>
        <v>46009</v>
      </c>
      <c r="L19" s="33"/>
      <c r="M19" s="34">
        <v>0</v>
      </c>
      <c r="N19" s="32" t="str">
        <f t="shared" si="8"/>
        <v>0</v>
      </c>
      <c r="O19" s="85"/>
      <c r="P19" s="86"/>
      <c r="Q19" s="85"/>
      <c r="R19" s="86"/>
      <c r="S19" s="38">
        <f t="shared" si="9"/>
        <v>0</v>
      </c>
      <c r="T19" s="123"/>
      <c r="U19" s="32" t="str">
        <f t="shared" si="10"/>
        <v>0</v>
      </c>
      <c r="V19" s="41"/>
      <c r="W19" s="32">
        <f t="shared" si="1"/>
        <v>0</v>
      </c>
      <c r="X19" s="44"/>
      <c r="Y19" s="14">
        <v>0</v>
      </c>
      <c r="Z19" s="47"/>
      <c r="AA19" s="52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46010</v>
      </c>
      <c r="B20" s="10"/>
      <c r="C20" s="14">
        <f t="shared" si="2"/>
        <v>0</v>
      </c>
      <c r="D20" s="11"/>
      <c r="E20" s="14">
        <f t="shared" si="13"/>
        <v>0</v>
      </c>
      <c r="F20" s="27">
        <v>1704</v>
      </c>
      <c r="G20" s="67">
        <f t="shared" si="4"/>
        <v>0</v>
      </c>
      <c r="H20" s="69">
        <f t="shared" si="5"/>
        <v>0</v>
      </c>
      <c r="I20" s="73">
        <f t="shared" si="6"/>
        <v>-46010</v>
      </c>
      <c r="J20" s="32">
        <f t="shared" si="0"/>
        <v>-1</v>
      </c>
      <c r="K20" s="20">
        <f t="shared" si="7"/>
        <v>46010</v>
      </c>
      <c r="L20" s="33"/>
      <c r="M20" s="34">
        <v>0</v>
      </c>
      <c r="N20" s="32" t="str">
        <f t="shared" si="8"/>
        <v>0</v>
      </c>
      <c r="O20" s="85"/>
      <c r="P20" s="86"/>
      <c r="Q20" s="85"/>
      <c r="R20" s="86"/>
      <c r="S20" s="38">
        <f t="shared" si="9"/>
        <v>0</v>
      </c>
      <c r="T20" s="123"/>
      <c r="U20" s="32" t="str">
        <f t="shared" si="10"/>
        <v>0</v>
      </c>
      <c r="V20" s="41"/>
      <c r="W20" s="32">
        <f t="shared" si="1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46011</v>
      </c>
      <c r="B21" s="10"/>
      <c r="C21" s="14">
        <f t="shared" si="2"/>
        <v>0</v>
      </c>
      <c r="D21" s="11"/>
      <c r="E21" s="14">
        <f t="shared" si="1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-46011</v>
      </c>
      <c r="J21" s="32">
        <f t="shared" si="0"/>
        <v>-1</v>
      </c>
      <c r="K21" s="20">
        <f t="shared" si="7"/>
        <v>46011</v>
      </c>
      <c r="L21" s="33"/>
      <c r="M21" s="34">
        <v>0</v>
      </c>
      <c r="N21" s="32" t="str">
        <f t="shared" si="8"/>
        <v>0</v>
      </c>
      <c r="O21" s="85"/>
      <c r="P21" s="86"/>
      <c r="Q21" s="85"/>
      <c r="R21" s="86"/>
      <c r="S21" s="38">
        <f t="shared" si="9"/>
        <v>0</v>
      </c>
      <c r="T21" s="123"/>
      <c r="U21" s="32" t="str">
        <f t="shared" si="10"/>
        <v>0</v>
      </c>
      <c r="V21" s="41"/>
      <c r="W21" s="32">
        <f t="shared" si="1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46012</v>
      </c>
      <c r="B22" s="10"/>
      <c r="C22" s="14">
        <f t="shared" si="2"/>
        <v>0</v>
      </c>
      <c r="D22" s="11"/>
      <c r="E22" s="14">
        <f t="shared" si="1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-46012</v>
      </c>
      <c r="J22" s="32">
        <f t="shared" si="0"/>
        <v>-1</v>
      </c>
      <c r="K22" s="20">
        <f t="shared" si="7"/>
        <v>46012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46013</v>
      </c>
      <c r="B23" s="10"/>
      <c r="C23" s="14">
        <f t="shared" si="2"/>
        <v>0</v>
      </c>
      <c r="D23" s="11"/>
      <c r="E23" s="14">
        <f t="shared" si="1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-46013</v>
      </c>
      <c r="J23" s="32">
        <f t="shared" si="0"/>
        <v>-1</v>
      </c>
      <c r="K23" s="20">
        <f t="shared" si="7"/>
        <v>46013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46014</v>
      </c>
      <c r="B24" s="10"/>
      <c r="C24" s="14">
        <f t="shared" si="2"/>
        <v>0</v>
      </c>
      <c r="D24" s="11"/>
      <c r="E24" s="14">
        <f t="shared" si="1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-46014</v>
      </c>
      <c r="J24" s="32">
        <f t="shared" si="0"/>
        <v>-1</v>
      </c>
      <c r="K24" s="20">
        <f t="shared" si="7"/>
        <v>46014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46015</v>
      </c>
      <c r="B25" s="10"/>
      <c r="C25" s="14">
        <f t="shared" si="2"/>
        <v>0</v>
      </c>
      <c r="D25" s="11"/>
      <c r="E25" s="14">
        <f t="shared" si="1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-46015</v>
      </c>
      <c r="J25" s="32">
        <f t="shared" si="0"/>
        <v>-1</v>
      </c>
      <c r="K25" s="20">
        <f t="shared" si="7"/>
        <v>46015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46016</v>
      </c>
      <c r="B26" s="10"/>
      <c r="C26" s="14">
        <f t="shared" si="2"/>
        <v>0</v>
      </c>
      <c r="D26" s="11"/>
      <c r="E26" s="14">
        <f t="shared" si="1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-46016</v>
      </c>
      <c r="J26" s="32">
        <f t="shared" si="0"/>
        <v>-1</v>
      </c>
      <c r="K26" s="20">
        <f t="shared" si="7"/>
        <v>46016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>IF((X27-X26)&lt;0,"0",X27-X26)</f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46017</v>
      </c>
      <c r="B27" s="10"/>
      <c r="C27" s="14">
        <f t="shared" si="2"/>
        <v>0</v>
      </c>
      <c r="D27" s="11"/>
      <c r="E27" s="14">
        <f t="shared" si="1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-46017</v>
      </c>
      <c r="J27" s="32">
        <f t="shared" si="0"/>
        <v>-1</v>
      </c>
      <c r="K27" s="20">
        <f t="shared" si="7"/>
        <v>46017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46018</v>
      </c>
      <c r="B28" s="10"/>
      <c r="C28" s="14">
        <f t="shared" si="2"/>
        <v>0</v>
      </c>
      <c r="D28" s="11"/>
      <c r="E28" s="14">
        <f t="shared" si="1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-46018</v>
      </c>
      <c r="J28" s="32">
        <f t="shared" si="0"/>
        <v>-1</v>
      </c>
      <c r="K28" s="20">
        <f t="shared" si="7"/>
        <v>46018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46019</v>
      </c>
      <c r="B29" s="10"/>
      <c r="C29" s="14">
        <f t="shared" si="2"/>
        <v>0</v>
      </c>
      <c r="D29" s="11"/>
      <c r="E29" s="14">
        <f t="shared" si="1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-46019</v>
      </c>
      <c r="J29" s="32">
        <f t="shared" si="0"/>
        <v>-1</v>
      </c>
      <c r="K29" s="20">
        <f t="shared" si="7"/>
        <v>46019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46020</v>
      </c>
      <c r="B30" s="10"/>
      <c r="C30" s="14">
        <f t="shared" si="2"/>
        <v>0</v>
      </c>
      <c r="D30" s="11"/>
      <c r="E30" s="14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-46020</v>
      </c>
      <c r="J30" s="32">
        <f>I32-I30</f>
        <v>-2</v>
      </c>
      <c r="K30" s="20">
        <f t="shared" si="7"/>
        <v>46020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>IF((X32-X30)&lt;0,"0",X32-X30)</f>
        <v>0</v>
      </c>
      <c r="Z30" s="47"/>
      <c r="AA30" s="52"/>
      <c r="AB30" s="32" t="str">
        <f>IF((Z30-Z32+AA30)=Z30,"0",(Z30-Z32+AA30))</f>
        <v>0</v>
      </c>
      <c r="AC30" s="13"/>
      <c r="AD30" s="18"/>
    </row>
    <row r="31" spans="1:30" ht="20.65" customHeight="1" x14ac:dyDescent="0.2">
      <c r="A31" s="19">
        <v>46021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-46021</v>
      </c>
      <c r="J31" s="32">
        <f t="shared" ref="J31" si="14">I32-I31</f>
        <v>-1</v>
      </c>
      <c r="K31" s="20">
        <f t="shared" ref="K31" si="15">A31</f>
        <v>46021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" si="17">IF((Z31-Z32+AA31)=Z31,"0",(Z31-Z32+AA31))</f>
        <v>0</v>
      </c>
      <c r="AC31" s="13"/>
      <c r="AD31" s="18"/>
    </row>
    <row r="32" spans="1:30" ht="20.65" customHeight="1" thickBot="1" x14ac:dyDescent="0.25">
      <c r="A32" s="19">
        <v>46022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-46022</v>
      </c>
      <c r="J32" s="32">
        <f t="shared" si="0"/>
        <v>46022</v>
      </c>
      <c r="K32" s="20">
        <f t="shared" si="7"/>
        <v>46022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46023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38158</v>
      </c>
      <c r="D34" s="77"/>
      <c r="E34" s="76">
        <f>SUM(E2:E33)</f>
        <v>4389</v>
      </c>
      <c r="F34" s="78"/>
      <c r="G34" s="76">
        <f>SUM(G2:G33)</f>
        <v>0</v>
      </c>
      <c r="H34" s="77">
        <f>SUM(H2:H33)</f>
        <v>42547</v>
      </c>
      <c r="I34" s="76">
        <f>SUM(I2:I32)</f>
        <v>-1383686.83</v>
      </c>
      <c r="J34" s="76">
        <f>SUM(J2:J33)</f>
        <v>41863.4</v>
      </c>
      <c r="K34" s="75"/>
      <c r="L34" s="77"/>
      <c r="M34" s="77"/>
      <c r="N34" s="76">
        <f>SUM(N2:N33)</f>
        <v>1989</v>
      </c>
      <c r="O34" s="75"/>
      <c r="P34" s="75"/>
      <c r="Q34" s="75"/>
      <c r="R34" s="75"/>
      <c r="S34" s="75"/>
      <c r="T34" s="77">
        <f>SUM(T2:T33)</f>
        <v>1076</v>
      </c>
      <c r="U34" s="76">
        <f>SUM(U2:U33)</f>
        <v>726</v>
      </c>
      <c r="V34" s="75"/>
      <c r="W34" s="76">
        <f>SUM(W2:W33)</f>
        <v>492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546</v>
      </c>
      <c r="AD34" s="80">
        <f>SUM(AD2:AD33)</f>
        <v>807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2025-12-11T06:52:34Z</dcterms:modified>
  <cp:category/>
  <cp:contentStatus/>
</cp:coreProperties>
</file>