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5" i="10" l="1"/>
  <c r="H33" i="10"/>
  <c r="I33" i="10" s="1"/>
  <c r="H32" i="10"/>
  <c r="H31" i="10"/>
  <c r="H30" i="10"/>
  <c r="H29" i="10"/>
  <c r="H28" i="10"/>
  <c r="H27" i="10"/>
  <c r="I28" i="10" s="1"/>
  <c r="H26" i="10"/>
  <c r="H25" i="10"/>
  <c r="H24" i="10"/>
  <c r="H23" i="10"/>
  <c r="I24" i="10" s="1"/>
  <c r="H22" i="10"/>
  <c r="H21" i="10"/>
  <c r="I22" i="10" s="1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I8" i="10" s="1"/>
  <c r="H7" i="10"/>
  <c r="H6" i="10"/>
  <c r="H5" i="10"/>
  <c r="I5" i="10" s="1"/>
  <c r="H4" i="10"/>
  <c r="K34" i="9"/>
  <c r="G33" i="9"/>
  <c r="I33" i="9" s="1"/>
  <c r="G32" i="9"/>
  <c r="I32" i="9" s="1"/>
  <c r="G31" i="9"/>
  <c r="I31" i="9" s="1"/>
  <c r="G30" i="9"/>
  <c r="I30" i="9" s="1"/>
  <c r="G29" i="9"/>
  <c r="I29" i="9" s="1"/>
  <c r="J30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I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H4" i="8" s="1"/>
  <c r="I17" i="10" l="1"/>
  <c r="I15" i="10"/>
  <c r="I14" i="10"/>
  <c r="I11" i="10"/>
  <c r="J9" i="9"/>
  <c r="I9" i="10"/>
  <c r="I7" i="10"/>
  <c r="I13" i="10"/>
  <c r="I20" i="10"/>
  <c r="I26" i="10"/>
  <c r="I32" i="10"/>
  <c r="H15" i="8"/>
  <c r="J17" i="9"/>
  <c r="I6" i="10"/>
  <c r="I12" i="10"/>
  <c r="I18" i="10"/>
  <c r="H11" i="8"/>
  <c r="H23" i="8"/>
  <c r="I30" i="10"/>
  <c r="H27" i="8"/>
  <c r="H7" i="8"/>
  <c r="H19" i="8"/>
  <c r="H31" i="8"/>
  <c r="J25" i="9"/>
  <c r="J31" i="9"/>
  <c r="I10" i="10"/>
  <c r="I16" i="10"/>
  <c r="I19" i="10"/>
  <c r="I21" i="10"/>
  <c r="I23" i="10"/>
  <c r="I25" i="10"/>
  <c r="I27" i="10"/>
  <c r="I29" i="10"/>
  <c r="I31" i="10"/>
  <c r="J5" i="9"/>
  <c r="J6" i="9"/>
  <c r="J11" i="9"/>
  <c r="J14" i="9"/>
  <c r="J19" i="9"/>
  <c r="J22" i="9"/>
  <c r="J27" i="9"/>
  <c r="J32" i="9"/>
  <c r="J12" i="9"/>
  <c r="J20" i="9"/>
  <c r="J28" i="9"/>
  <c r="J10" i="9"/>
  <c r="J18" i="9"/>
  <c r="J26" i="9"/>
  <c r="J8" i="9"/>
  <c r="J16" i="9"/>
  <c r="J24" i="9"/>
  <c r="J7" i="9"/>
  <c r="J15" i="9"/>
  <c r="J23" i="9"/>
  <c r="J33" i="9"/>
  <c r="J13" i="9"/>
  <c r="G11" i="5" s="1"/>
  <c r="J21" i="9"/>
  <c r="J29" i="9"/>
  <c r="H8" i="8"/>
  <c r="H12" i="8"/>
  <c r="H16" i="8"/>
  <c r="H20" i="8"/>
  <c r="H24" i="8"/>
  <c r="H28" i="8"/>
  <c r="H32" i="8"/>
  <c r="H5" i="8"/>
  <c r="H9" i="8"/>
  <c r="H13" i="8"/>
  <c r="H17" i="8"/>
  <c r="H21" i="8"/>
  <c r="H25" i="8"/>
  <c r="H29" i="8"/>
  <c r="H33" i="8"/>
  <c r="H6" i="8"/>
  <c r="H10" i="8"/>
  <c r="H14" i="8"/>
  <c r="H18" i="8"/>
  <c r="H22" i="8"/>
  <c r="H26" i="8"/>
  <c r="H30" i="8"/>
  <c r="H34" i="8" l="1"/>
  <c r="I35" i="10"/>
  <c r="V35" i="10" s="1"/>
  <c r="W35" i="10" s="1"/>
  <c r="J34" i="9"/>
  <c r="AV35" i="10" l="1"/>
  <c r="AS35" i="10"/>
  <c r="AQ35" i="10"/>
  <c r="AO35" i="10"/>
  <c r="AC35" i="10"/>
  <c r="AX34" i="10"/>
  <c r="AV34" i="10"/>
  <c r="AS34" i="10"/>
  <c r="AQ34" i="10"/>
  <c r="AO34" i="10"/>
  <c r="AC34" i="10"/>
  <c r="AD35" i="10" s="1"/>
  <c r="AX33" i="10"/>
  <c r="AV33" i="10"/>
  <c r="AS33" i="10"/>
  <c r="AQ33" i="10"/>
  <c r="AO33" i="10"/>
  <c r="AC33" i="10"/>
  <c r="T33" i="10"/>
  <c r="AX32" i="10"/>
  <c r="AV32" i="10"/>
  <c r="AS32" i="10"/>
  <c r="AQ32" i="10"/>
  <c r="AO32" i="10"/>
  <c r="AC32" i="10"/>
  <c r="AD33" i="10" s="1"/>
  <c r="T32" i="10"/>
  <c r="AX31" i="10"/>
  <c r="AV31" i="10"/>
  <c r="AS31" i="10"/>
  <c r="AQ31" i="10"/>
  <c r="AO31" i="10"/>
  <c r="AC31" i="10"/>
  <c r="T31" i="10"/>
  <c r="AX30" i="10"/>
  <c r="AV30" i="10"/>
  <c r="AS30" i="10"/>
  <c r="AQ30" i="10"/>
  <c r="AO30" i="10"/>
  <c r="AC30" i="10"/>
  <c r="AD31" i="10" s="1"/>
  <c r="T30" i="10"/>
  <c r="AX29" i="10"/>
  <c r="AV29" i="10"/>
  <c r="AS29" i="10"/>
  <c r="AT29" i="10" s="1"/>
  <c r="AQ29" i="10"/>
  <c r="AO29" i="10"/>
  <c r="AC29" i="10"/>
  <c r="T29" i="10"/>
  <c r="U30" i="10" s="1"/>
  <c r="AX28" i="10"/>
  <c r="AV28" i="10"/>
  <c r="AS28" i="10"/>
  <c r="AQ28" i="10"/>
  <c r="AO28" i="10"/>
  <c r="AC28" i="10"/>
  <c r="T28" i="10"/>
  <c r="AX27" i="10"/>
  <c r="AV27" i="10"/>
  <c r="AS27" i="10"/>
  <c r="AQ27" i="10"/>
  <c r="AO27" i="10"/>
  <c r="AC27" i="10"/>
  <c r="AD28" i="10" s="1"/>
  <c r="T27" i="10"/>
  <c r="AX26" i="10"/>
  <c r="AV26" i="10"/>
  <c r="AS26" i="10"/>
  <c r="AQ26" i="10"/>
  <c r="AR27" i="10" s="1"/>
  <c r="AO26" i="10"/>
  <c r="AC26" i="10"/>
  <c r="AD27" i="10" s="1"/>
  <c r="T26" i="10"/>
  <c r="AX25" i="10"/>
  <c r="AV25" i="10"/>
  <c r="AS25" i="10"/>
  <c r="AQ25" i="10"/>
  <c r="AR26" i="10" s="1"/>
  <c r="AO25" i="10"/>
  <c r="AP25" i="10" s="1"/>
  <c r="AC25" i="10"/>
  <c r="T25" i="10"/>
  <c r="U26" i="10" s="1"/>
  <c r="AX24" i="10"/>
  <c r="AV24" i="10"/>
  <c r="AS24" i="10"/>
  <c r="AQ24" i="10"/>
  <c r="AO24" i="10"/>
  <c r="AC24" i="10"/>
  <c r="T24" i="10"/>
  <c r="AX23" i="10"/>
  <c r="AV23" i="10"/>
  <c r="AS23" i="10"/>
  <c r="AT24" i="10" s="1"/>
  <c r="AQ23" i="10"/>
  <c r="AO23" i="10"/>
  <c r="AP24" i="10" s="1"/>
  <c r="AC23" i="10"/>
  <c r="T23" i="10"/>
  <c r="AX22" i="10"/>
  <c r="AV22" i="10"/>
  <c r="AS22" i="10"/>
  <c r="AQ22" i="10"/>
  <c r="AR23" i="10" s="1"/>
  <c r="AO22" i="10"/>
  <c r="AC22" i="10"/>
  <c r="AD23" i="10" s="1"/>
  <c r="T22" i="10"/>
  <c r="AX21" i="10"/>
  <c r="AV21" i="10"/>
  <c r="AS21" i="10"/>
  <c r="AT21" i="10" s="1"/>
  <c r="AQ21" i="10"/>
  <c r="AO21" i="10"/>
  <c r="AC21" i="10"/>
  <c r="T21" i="10"/>
  <c r="U22" i="10" s="1"/>
  <c r="AX20" i="10"/>
  <c r="AV20" i="10"/>
  <c r="AS20" i="10"/>
  <c r="AQ20" i="10"/>
  <c r="AO20" i="10"/>
  <c r="AC20" i="10"/>
  <c r="T20" i="10"/>
  <c r="U20" i="10" s="1"/>
  <c r="AX19" i="10"/>
  <c r="AV19" i="10"/>
  <c r="AS19" i="10"/>
  <c r="AQ19" i="10"/>
  <c r="AO19" i="10"/>
  <c r="AC19" i="10"/>
  <c r="T19" i="10"/>
  <c r="AX18" i="10"/>
  <c r="AV18" i="10"/>
  <c r="AS18" i="10"/>
  <c r="AQ18" i="10"/>
  <c r="AO18" i="10"/>
  <c r="AC18" i="10"/>
  <c r="AD19" i="10" s="1"/>
  <c r="T18" i="10"/>
  <c r="AX17" i="10"/>
  <c r="AV17" i="10"/>
  <c r="AS17" i="10"/>
  <c r="AT18" i="10" s="1"/>
  <c r="AQ17" i="10"/>
  <c r="AO17" i="10"/>
  <c r="AC17" i="10"/>
  <c r="T17" i="10"/>
  <c r="U18" i="10" s="1"/>
  <c r="AX16" i="10"/>
  <c r="AV16" i="10"/>
  <c r="AS16" i="10"/>
  <c r="AT16" i="10" s="1"/>
  <c r="AQ16" i="10"/>
  <c r="AO16" i="10"/>
  <c r="AC16" i="10"/>
  <c r="T16" i="10"/>
  <c r="E14" i="5"/>
  <c r="AX15" i="10"/>
  <c r="AV15" i="10"/>
  <c r="AS15" i="10"/>
  <c r="AQ15" i="10"/>
  <c r="AO15" i="10"/>
  <c r="AC15" i="10"/>
  <c r="T15" i="10"/>
  <c r="AX14" i="10"/>
  <c r="AV14" i="10"/>
  <c r="AS14" i="10"/>
  <c r="AQ14" i="10"/>
  <c r="AO14" i="10"/>
  <c r="AC14" i="10"/>
  <c r="T14" i="10"/>
  <c r="AX13" i="10"/>
  <c r="AV13" i="10"/>
  <c r="AS13" i="10"/>
  <c r="AT14" i="10" s="1"/>
  <c r="AQ13" i="10"/>
  <c r="AR13" i="10" s="1"/>
  <c r="AO13" i="10"/>
  <c r="AC13" i="10"/>
  <c r="T13" i="10"/>
  <c r="E11" i="5"/>
  <c r="AX12" i="10"/>
  <c r="AV12" i="10"/>
  <c r="AS12" i="10"/>
  <c r="AQ12" i="10"/>
  <c r="AR12" i="10" s="1"/>
  <c r="AO12" i="10"/>
  <c r="AC12" i="10"/>
  <c r="T12" i="10"/>
  <c r="AX11" i="10"/>
  <c r="AV11" i="10"/>
  <c r="AS11" i="10"/>
  <c r="AQ11" i="10"/>
  <c r="AO11" i="10"/>
  <c r="AC11" i="10"/>
  <c r="T11" i="10"/>
  <c r="E9" i="5"/>
  <c r="AX10" i="10"/>
  <c r="AV10" i="10"/>
  <c r="AS10" i="10"/>
  <c r="AQ10" i="10"/>
  <c r="AO10" i="10"/>
  <c r="AC10" i="10"/>
  <c r="T10" i="10"/>
  <c r="AX9" i="10"/>
  <c r="AV9" i="10"/>
  <c r="AS9" i="10"/>
  <c r="AR9" i="10"/>
  <c r="AQ9" i="10"/>
  <c r="AO9" i="10"/>
  <c r="AC9" i="10"/>
  <c r="T9" i="10"/>
  <c r="E7" i="5"/>
  <c r="AX8" i="10"/>
  <c r="AV8" i="10"/>
  <c r="AS8" i="10"/>
  <c r="AT9" i="10" s="1"/>
  <c r="AQ8" i="10"/>
  <c r="AO8" i="10"/>
  <c r="AC8" i="10"/>
  <c r="T8" i="10"/>
  <c r="E6" i="5"/>
  <c r="AX7" i="10"/>
  <c r="AV7" i="10"/>
  <c r="AS7" i="10"/>
  <c r="AQ7" i="10"/>
  <c r="AO7" i="10"/>
  <c r="AC7" i="10"/>
  <c r="T7" i="10"/>
  <c r="E5" i="5"/>
  <c r="AX6" i="10"/>
  <c r="AV6" i="10"/>
  <c r="AS6" i="10"/>
  <c r="AQ6" i="10"/>
  <c r="AO6" i="10"/>
  <c r="AC6" i="10"/>
  <c r="T6" i="10"/>
  <c r="AX5" i="10"/>
  <c r="AV5" i="10"/>
  <c r="AS5" i="10"/>
  <c r="AQ5" i="10"/>
  <c r="AO5" i="10"/>
  <c r="AC5" i="10"/>
  <c r="T5" i="10"/>
  <c r="E3" i="5"/>
  <c r="AX4" i="10"/>
  <c r="AV4" i="10"/>
  <c r="AU4" i="10"/>
  <c r="AS4" i="10"/>
  <c r="AQ4" i="10"/>
  <c r="AO4" i="10"/>
  <c r="AC4" i="10"/>
  <c r="AD4" i="10" s="1"/>
  <c r="T4" i="10"/>
  <c r="U4" i="10" s="1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U14" i="10"/>
  <c r="U17" i="10"/>
  <c r="U23" i="10"/>
  <c r="U28" i="10"/>
  <c r="U31" i="10"/>
  <c r="AW8" i="10"/>
  <c r="AR11" i="10"/>
  <c r="V8" i="10"/>
  <c r="AD17" i="10"/>
  <c r="AD21" i="10"/>
  <c r="AD25" i="10"/>
  <c r="AD29" i="10"/>
  <c r="AT23" i="10"/>
  <c r="AT31" i="10"/>
  <c r="AT34" i="10"/>
  <c r="AP21" i="10"/>
  <c r="AP35" i="10"/>
  <c r="AW13" i="10"/>
  <c r="V13" i="10"/>
  <c r="AD5" i="10" l="1"/>
  <c r="AT25" i="10"/>
  <c r="U8" i="10"/>
  <c r="AP6" i="10"/>
  <c r="AU6" i="10" s="1"/>
  <c r="AD6" i="10"/>
  <c r="AD24" i="10"/>
  <c r="AT27" i="10"/>
  <c r="AT6" i="10"/>
  <c r="AR18" i="10"/>
  <c r="AR30" i="10"/>
  <c r="AT30" i="10"/>
  <c r="AT22" i="10"/>
  <c r="AR5" i="10"/>
  <c r="AD11" i="10"/>
  <c r="AP13" i="10"/>
  <c r="AR15" i="10"/>
  <c r="U15" i="10"/>
  <c r="AT17" i="10"/>
  <c r="AD18" i="10"/>
  <c r="AD22" i="10"/>
  <c r="U29" i="10"/>
  <c r="AD30" i="10"/>
  <c r="AP31" i="10"/>
  <c r="AT33" i="10"/>
  <c r="AD34" i="10"/>
  <c r="AD7" i="10"/>
  <c r="AT5" i="10"/>
  <c r="AR6" i="10"/>
  <c r="AP10" i="10"/>
  <c r="U19" i="10"/>
  <c r="U27" i="10"/>
  <c r="AP29" i="10"/>
  <c r="U32" i="10"/>
  <c r="AP33" i="10"/>
  <c r="AR35" i="10"/>
  <c r="AU35" i="10" s="1"/>
  <c r="AT26" i="10"/>
  <c r="AR8" i="10"/>
  <c r="AR10" i="10"/>
  <c r="U12" i="10"/>
  <c r="AT12" i="10"/>
  <c r="AD14" i="10"/>
  <c r="AP15" i="10"/>
  <c r="AP16" i="10"/>
  <c r="AP20" i="10"/>
  <c r="AP32" i="10"/>
  <c r="G29" i="5"/>
  <c r="I28" i="5"/>
  <c r="G21" i="5"/>
  <c r="I24" i="5"/>
  <c r="AT20" i="10"/>
  <c r="U25" i="10"/>
  <c r="AT32" i="10"/>
  <c r="AT19" i="10"/>
  <c r="G23" i="5"/>
  <c r="AD8" i="10"/>
  <c r="AD10" i="10"/>
  <c r="AP17" i="10"/>
  <c r="U24" i="10"/>
  <c r="U11" i="10"/>
  <c r="AP14" i="10"/>
  <c r="AR19" i="10"/>
  <c r="AD20" i="10"/>
  <c r="AR22" i="10"/>
  <c r="AD26" i="10"/>
  <c r="AR31" i="10"/>
  <c r="AU31" i="10" s="1"/>
  <c r="AD32" i="10"/>
  <c r="AR34" i="10"/>
  <c r="G30" i="5"/>
  <c r="AP5" i="10"/>
  <c r="AU5" i="10" s="1"/>
  <c r="AP9" i="10"/>
  <c r="AU9" i="10" s="1"/>
  <c r="AP19" i="10"/>
  <c r="U21" i="10"/>
  <c r="AT28" i="10"/>
  <c r="AP28" i="10"/>
  <c r="U33" i="10"/>
  <c r="AP11" i="10"/>
  <c r="G19" i="5"/>
  <c r="G27" i="5"/>
  <c r="G10" i="5"/>
  <c r="V9" i="10"/>
  <c r="I23" i="5"/>
  <c r="G26" i="5"/>
  <c r="U16" i="10"/>
  <c r="I13" i="5"/>
  <c r="I19" i="5"/>
  <c r="I18" i="5"/>
  <c r="I29" i="5"/>
  <c r="G15" i="5"/>
  <c r="G20" i="5"/>
  <c r="AT13" i="10"/>
  <c r="AR14" i="10"/>
  <c r="AD15" i="10"/>
  <c r="AP22" i="10"/>
  <c r="AP34" i="10"/>
  <c r="I9" i="5"/>
  <c r="I15" i="5"/>
  <c r="I14" i="5"/>
  <c r="I25" i="5"/>
  <c r="I31" i="5"/>
  <c r="I30" i="5"/>
  <c r="U9" i="10"/>
  <c r="AD12" i="10"/>
  <c r="U13" i="10"/>
  <c r="W13" i="10" s="1"/>
  <c r="AR16" i="10"/>
  <c r="AU16" i="10" s="1"/>
  <c r="AR20" i="10"/>
  <c r="AU20" i="10" s="1"/>
  <c r="AR24" i="10"/>
  <c r="AU24" i="10" s="1"/>
  <c r="AR28" i="10"/>
  <c r="AR32" i="10"/>
  <c r="AW9" i="10"/>
  <c r="I20" i="5"/>
  <c r="G17" i="5"/>
  <c r="G22" i="5"/>
  <c r="G28" i="5"/>
  <c r="E4" i="5"/>
  <c r="AP7" i="10"/>
  <c r="AD9" i="10"/>
  <c r="U10" i="10"/>
  <c r="AT10" i="10"/>
  <c r="AP12" i="10"/>
  <c r="AU12" i="10" s="1"/>
  <c r="AT15" i="10"/>
  <c r="AT35" i="10"/>
  <c r="AP18" i="10"/>
  <c r="AU18" i="10" s="1"/>
  <c r="AP27" i="10"/>
  <c r="AU27" i="10" s="1"/>
  <c r="I11" i="5"/>
  <c r="I10" i="5"/>
  <c r="I21" i="5"/>
  <c r="I26" i="5"/>
  <c r="G6" i="5"/>
  <c r="G12" i="5"/>
  <c r="AR7" i="10"/>
  <c r="AE13" i="10"/>
  <c r="AP26" i="10"/>
  <c r="I16" i="5"/>
  <c r="I27" i="5"/>
  <c r="G24" i="5"/>
  <c r="AT7" i="10"/>
  <c r="E13" i="5"/>
  <c r="I6" i="5"/>
  <c r="I22" i="5"/>
  <c r="AU13" i="10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AT8" i="10"/>
  <c r="AR25" i="10"/>
  <c r="AU25" i="10" s="1"/>
  <c r="AR33" i="10"/>
  <c r="AP23" i="10"/>
  <c r="AU23" i="10" s="1"/>
  <c r="AT11" i="10"/>
  <c r="AP8" i="10"/>
  <c r="AR17" i="10"/>
  <c r="AR21" i="10"/>
  <c r="AU21" i="10" s="1"/>
  <c r="AR29" i="10"/>
  <c r="AU29" i="10" s="1"/>
  <c r="AP30" i="10"/>
  <c r="AD16" i="10"/>
  <c r="AD13" i="10"/>
  <c r="U6" i="10"/>
  <c r="U7" i="10"/>
  <c r="W8" i="10"/>
  <c r="U5" i="10"/>
  <c r="V7" i="10"/>
  <c r="AW6" i="10"/>
  <c r="AE5" i="10"/>
  <c r="AF5" i="10" s="1"/>
  <c r="I5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AW21" i="10"/>
  <c r="V21" i="10"/>
  <c r="W21" i="10" s="1"/>
  <c r="AE21" i="10"/>
  <c r="AF21" i="10" s="1"/>
  <c r="AE22" i="10"/>
  <c r="AF22" i="10" s="1"/>
  <c r="V11" i="10"/>
  <c r="AE11" i="10"/>
  <c r="AW11" i="10"/>
  <c r="AE6" i="10"/>
  <c r="AE17" i="10"/>
  <c r="AF17" i="10" s="1"/>
  <c r="V17" i="10"/>
  <c r="W17" i="10" s="1"/>
  <c r="AW17" i="10"/>
  <c r="AW25" i="10"/>
  <c r="AW18" i="10"/>
  <c r="AE18" i="10"/>
  <c r="AF18" i="10" s="1"/>
  <c r="V18" i="10"/>
  <c r="W18" i="10" s="1"/>
  <c r="AE28" i="10"/>
  <c r="AF28" i="10" s="1"/>
  <c r="AW28" i="10"/>
  <c r="V28" i="10"/>
  <c r="W28" i="10" s="1"/>
  <c r="V16" i="10"/>
  <c r="AW16" i="10"/>
  <c r="AE16" i="10"/>
  <c r="AW27" i="10"/>
  <c r="AE27" i="10"/>
  <c r="AF27" i="10" s="1"/>
  <c r="V27" i="10"/>
  <c r="W27" i="10" s="1"/>
  <c r="AW7" i="10"/>
  <c r="AW5" i="10"/>
  <c r="AE7" i="10"/>
  <c r="AE8" i="10"/>
  <c r="AF8" i="10" s="1"/>
  <c r="AE9" i="10"/>
  <c r="V10" i="10"/>
  <c r="AU17" i="10" l="1"/>
  <c r="AF6" i="10"/>
  <c r="AU22" i="10"/>
  <c r="AU30" i="10"/>
  <c r="AU28" i="10"/>
  <c r="W11" i="10"/>
  <c r="AU33" i="10"/>
  <c r="AU26" i="10"/>
  <c r="AU15" i="10"/>
  <c r="AU32" i="10"/>
  <c r="AU10" i="10"/>
  <c r="AF7" i="10"/>
  <c r="AF11" i="10"/>
  <c r="AE35" i="10"/>
  <c r="AF35" i="10" s="1"/>
  <c r="AW35" i="10"/>
  <c r="AW34" i="10"/>
  <c r="AW33" i="10"/>
  <c r="AE33" i="10"/>
  <c r="AF33" i="10" s="1"/>
  <c r="V33" i="10"/>
  <c r="W33" i="10" s="1"/>
  <c r="V30" i="10"/>
  <c r="W30" i="10" s="1"/>
  <c r="AW30" i="10"/>
  <c r="V29" i="10"/>
  <c r="W29" i="10" s="1"/>
  <c r="AW26" i="10"/>
  <c r="V24" i="10"/>
  <c r="W24" i="10" s="1"/>
  <c r="AE24" i="10"/>
  <c r="AF24" i="10" s="1"/>
  <c r="AW24" i="10"/>
  <c r="W10" i="10"/>
  <c r="AE25" i="10"/>
  <c r="AF25" i="10" s="1"/>
  <c r="AW20" i="10"/>
  <c r="V26" i="10"/>
  <c r="W26" i="10" s="1"/>
  <c r="AE29" i="10"/>
  <c r="AF29" i="10" s="1"/>
  <c r="AE20" i="10"/>
  <c r="AF20" i="10" s="1"/>
  <c r="AF13" i="10"/>
  <c r="W9" i="10"/>
  <c r="V32" i="10"/>
  <c r="W32" i="10" s="1"/>
  <c r="W16" i="10"/>
  <c r="AW32" i="10"/>
  <c r="AE26" i="10"/>
  <c r="AF26" i="10" s="1"/>
  <c r="AW29" i="10"/>
  <c r="V20" i="10"/>
  <c r="W20" i="10" s="1"/>
  <c r="AU7" i="10"/>
  <c r="AU34" i="10"/>
  <c r="AU8" i="10"/>
  <c r="AF9" i="10"/>
  <c r="AE34" i="10"/>
  <c r="AF34" i="10" s="1"/>
  <c r="V25" i="10"/>
  <c r="W25" i="10" s="1"/>
  <c r="AE32" i="10"/>
  <c r="AF32" i="10" s="1"/>
  <c r="V23" i="10"/>
  <c r="W23" i="10" s="1"/>
  <c r="V22" i="10"/>
  <c r="W22" i="10" s="1"/>
  <c r="AU11" i="10"/>
  <c r="AU19" i="10"/>
  <c r="AU14" i="10"/>
  <c r="V19" i="10"/>
  <c r="W19" i="10" s="1"/>
  <c r="AW19" i="10"/>
  <c r="AE19" i="10"/>
  <c r="AF19" i="10" s="1"/>
  <c r="I17" i="5"/>
  <c r="AE23" i="10"/>
  <c r="AF23" i="10" s="1"/>
  <c r="E8" i="5"/>
  <c r="AE10" i="10"/>
  <c r="AF10" i="10" s="1"/>
  <c r="AW10" i="10"/>
  <c r="AW31" i="10"/>
  <c r="E2" i="5"/>
  <c r="V4" i="10"/>
  <c r="W4" i="10" s="1"/>
  <c r="AE4" i="10"/>
  <c r="AF4" i="10" s="1"/>
  <c r="AF16" i="10"/>
  <c r="V31" i="10"/>
  <c r="W31" i="10" s="1"/>
  <c r="AE30" i="10"/>
  <c r="AF30" i="10" s="1"/>
  <c r="I7" i="5"/>
  <c r="AW4" i="10"/>
  <c r="E10" i="5"/>
  <c r="V12" i="10"/>
  <c r="W12" i="10" s="1"/>
  <c r="AW12" i="10"/>
  <c r="AE12" i="10"/>
  <c r="AF12" i="10" s="1"/>
  <c r="E12" i="5"/>
  <c r="AW14" i="10"/>
  <c r="AE14" i="10"/>
  <c r="AF14" i="10" s="1"/>
  <c r="V14" i="10"/>
  <c r="W14" i="10" s="1"/>
  <c r="AE31" i="10"/>
  <c r="AF31" i="10" s="1"/>
  <c r="AW23" i="10"/>
  <c r="AW22" i="10"/>
  <c r="W7" i="10"/>
  <c r="V5" i="10"/>
  <c r="W5" i="10" s="1"/>
  <c r="V6" i="10"/>
  <c r="W6" i="10" s="1"/>
  <c r="AE15" i="10"/>
  <c r="AF15" i="10" s="1"/>
  <c r="AW15" i="10"/>
  <c r="V15" i="10"/>
  <c r="W15" i="10" s="1"/>
  <c r="AX35" i="10"/>
</calcChain>
</file>

<file path=xl/sharedStrings.xml><?xml version="1.0" encoding="utf-8"?>
<sst xmlns="http://schemas.openxmlformats.org/spreadsheetml/2006/main" count="110" uniqueCount="57">
  <si>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</si>
  <si>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</si>
  <si>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</si>
  <si>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</si>
  <si>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</si>
  <si>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</si>
  <si>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</si>
  <si>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</si>
  <si>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</si>
  <si>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</si>
  <si>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</si>
  <si>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</si>
  <si>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</si>
  <si>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</si>
  <si>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</si>
  <si>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</si>
  <si>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</si>
  <si>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</si>
  <si>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</si>
  <si>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</si>
  <si>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</si>
  <si>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</si>
  <si>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</si>
  <si>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</si>
  <si>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</si>
  <si>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</si>
  <si>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</si>
  <si>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</si>
  <si>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</si>
  <si>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</si>
  <si>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</si>
  <si>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</si>
  <si>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</si>
  <si>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</si>
  <si>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</si>
  <si>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</si>
  <si>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</si>
  <si>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</si>
  <si>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</si>
  <si>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</si>
  <si>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</si>
  <si>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</si>
  <si>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</si>
  <si>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</si>
  <si>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</si>
  <si>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</si>
  <si>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</si>
  <si>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REACTIVE / ACTIVE CONSUMPTIONS , MART.2021</t>
  </si>
  <si>
    <t>CAPACITIVE / ACTIVE CONSUMPTIONS , MART.2021</t>
  </si>
  <si>
    <t>ELECTRICITY CONSUMPTION , MART.2021</t>
  </si>
  <si>
    <t>BİRİM FİYAT : 1.655 TL/m3 + KDV  x 1764,5 = 2796,4 TL + KDV</t>
  </si>
  <si>
    <t>Istanbul at Sultanahmet</t>
  </si>
  <si>
    <t>BİRİM FİYAT : 0.70  x 44794,8 =28668,6 TL/Kwh+KDV</t>
  </si>
  <si>
    <t>BİRİM FİYAT :   12.93 TL/m3 + KDV x  91,0 = 1116,6 TL + KDV</t>
  </si>
  <si>
    <t>WATER CONSUMPTION , APRIL.2021</t>
  </si>
  <si>
    <t>NATURAL GAS CONSUMPTION , APRIL.2021</t>
  </si>
  <si>
    <t>ELECTRICITY CONSUMPTION , APRIL.2021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</si>
</sst>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8" borderId="2" xfId="0" quotePrefix="1" applyFont="1" applyFill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66" fontId="20" fillId="11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166" fontId="26" fillId="10" borderId="2" xfId="0" applyNumberFormat="1" applyFont="1" applyFill="1" applyBorder="1" applyAlignment="1">
      <alignment vertical="center"/>
    </xf>
    <xf numFmtId="166" fontId="17" fillId="1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[2]Dec.2020!$J$3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[2]Dec.2020!$D$4:$D$34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[2]Dec.2020!$J$4:$J$34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[2]Dec.2020!$K$3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[2]Dec.2020!$D$4:$D$34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[2]Dec.2020!$K$4:$K$34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296168"/>
        <c:axId val="253296952"/>
      </c:lineChart>
      <c:dateAx>
        <c:axId val="253296168"/>
        <c:scaling>
          <c:orientation val="minMax"/>
          <c:max val="44316"/>
          <c:min val="44287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253296952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253296952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3296168"/>
        <c:crossesAt val="44287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'[4]Aralık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'[4]Aralık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'[4]Aralık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'[4]Aralık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299696"/>
        <c:axId val="253298128"/>
      </c:lineChart>
      <c:dateAx>
        <c:axId val="25329969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3298128"/>
        <c:crosses val="autoZero"/>
        <c:auto val="0"/>
        <c:lblOffset val="100"/>
        <c:baseTimeUnit val="days"/>
      </c:dateAx>
      <c:valAx>
        <c:axId val="253298128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3299696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'[4]Aralık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'[4]Aralık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'[4]Aralık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'[4]Aralık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'[4]Aralık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'[4]Aralık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3293816"/>
        <c:axId val="253297344"/>
      </c:lineChart>
      <c:dateAx>
        <c:axId val="25329381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3297344"/>
        <c:crosses val="autoZero"/>
        <c:auto val="0"/>
        <c:lblOffset val="100"/>
        <c:baseTimeUnit val="days"/>
        <c:majorUnit val="1"/>
        <c:majorTimeUnit val="days"/>
      </c:dateAx>
      <c:valAx>
        <c:axId val="253297344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3293816"/>
        <c:crossesAt val="44256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39</xdr:row>
      <xdr:rowOff>104775</xdr:rowOff>
    </xdr:from>
    <xdr:to>
      <xdr:col>11</xdr:col>
      <xdr:colOff>0</xdr:colOff>
      <xdr:row>52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38</xdr:row>
      <xdr:rowOff>180975</xdr:rowOff>
    </xdr:from>
    <xdr:to>
      <xdr:col>16</xdr:col>
      <xdr:colOff>238126</xdr:colOff>
      <xdr:row>57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Natural%20Gas%20Consumption%20202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/>
      <sheetData sheetId="2">
        <row r="34">
          <cell r="G34">
            <v>10104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>
        <row r="31">
          <cell r="R31">
            <v>342148.92</v>
          </cell>
          <cell r="AA31">
            <v>454395.36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1"/>
  <sheetViews>
    <sheetView tabSelected="1" zoomScale="110" zoomScaleNormal="110" workbookViewId="0">
      <selection activeCell="G22" sqref="G22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51</v>
      </c>
      <c r="B2" s="12">
        <v>1</v>
      </c>
      <c r="C2" s="3">
        <v>4</v>
      </c>
      <c r="D2" s="12">
        <v>2021</v>
      </c>
      <c r="E2" s="13">
        <f>Electricity!I4</f>
        <v>1771.9</v>
      </c>
      <c r="F2" s="3">
        <v>0.72</v>
      </c>
      <c r="G2" s="13">
        <v>0</v>
      </c>
      <c r="H2" s="3">
        <v>1.66</v>
      </c>
      <c r="I2" s="13">
        <v>2</v>
      </c>
      <c r="J2" s="3">
        <v>12.93</v>
      </c>
      <c r="K2" s="12">
        <v>0</v>
      </c>
    </row>
    <row r="3" spans="1:11" s="16" customFormat="1" x14ac:dyDescent="0.25">
      <c r="A3" s="26" t="s">
        <v>51</v>
      </c>
      <c r="B3" s="15">
        <f>B2+1</f>
        <v>2</v>
      </c>
      <c r="C3" s="3">
        <v>4</v>
      </c>
      <c r="D3" s="12">
        <v>2021</v>
      </c>
      <c r="E3" s="13">
        <f>Electricity!I5</f>
        <v>1863.0000000018626</v>
      </c>
      <c r="F3" s="3">
        <v>0.72</v>
      </c>
      <c r="G3" s="13">
        <f>Gas!J5</f>
        <v>0</v>
      </c>
      <c r="H3" s="3">
        <v>1.66</v>
      </c>
      <c r="I3" s="13">
        <v>2</v>
      </c>
      <c r="J3" s="3">
        <v>12.93</v>
      </c>
      <c r="K3" s="12">
        <v>0</v>
      </c>
    </row>
    <row r="4" spans="1:11" s="16" customFormat="1" x14ac:dyDescent="0.25">
      <c r="A4" s="26" t="s">
        <v>51</v>
      </c>
      <c r="B4" s="15">
        <f t="shared" ref="B4:B31" si="0">B3+1</f>
        <v>3</v>
      </c>
      <c r="C4" s="3">
        <v>4</v>
      </c>
      <c r="D4" s="12">
        <v>2021</v>
      </c>
      <c r="E4" s="13">
        <f>Electricity!I6</f>
        <v>1534.5600000005215</v>
      </c>
      <c r="F4" s="3">
        <v>0.72</v>
      </c>
      <c r="G4" s="13">
        <f>Gas!J6</f>
        <v>0</v>
      </c>
      <c r="H4" s="3">
        <v>1.66</v>
      </c>
      <c r="I4" s="13">
        <v>4</v>
      </c>
      <c r="J4" s="3">
        <v>12.93</v>
      </c>
      <c r="K4" s="12">
        <v>0</v>
      </c>
    </row>
    <row r="5" spans="1:11" s="16" customFormat="1" x14ac:dyDescent="0.25">
      <c r="A5" s="26" t="s">
        <v>51</v>
      </c>
      <c r="B5" s="15">
        <f t="shared" si="0"/>
        <v>4</v>
      </c>
      <c r="C5" s="3">
        <v>4</v>
      </c>
      <c r="D5" s="12">
        <v>2021</v>
      </c>
      <c r="E5" s="13">
        <f>Electricity!I7</f>
        <v>1297.1999999973923</v>
      </c>
      <c r="F5" s="3">
        <v>0.72</v>
      </c>
      <c r="G5" s="13">
        <f>Gas!J7</f>
        <v>0</v>
      </c>
      <c r="H5" s="3">
        <v>1.66</v>
      </c>
      <c r="I5" s="13">
        <f>Water!H7</f>
        <v>2</v>
      </c>
      <c r="J5" s="3">
        <v>12.93</v>
      </c>
      <c r="K5" s="12">
        <v>0</v>
      </c>
    </row>
    <row r="6" spans="1:11" s="16" customFormat="1" x14ac:dyDescent="0.25">
      <c r="A6" s="26" t="s">
        <v>51</v>
      </c>
      <c r="B6" s="15">
        <f t="shared" si="0"/>
        <v>5</v>
      </c>
      <c r="C6" s="3">
        <v>4</v>
      </c>
      <c r="D6" s="12">
        <v>2021</v>
      </c>
      <c r="E6" s="13">
        <f>Electricity!I8</f>
        <v>1752.6000000014901</v>
      </c>
      <c r="F6" s="3">
        <v>0.72</v>
      </c>
      <c r="G6" s="13">
        <f>Gas!J8</f>
        <v>0</v>
      </c>
      <c r="H6" s="3">
        <v>1.66</v>
      </c>
      <c r="I6" s="13">
        <f>Water!H8</f>
        <v>2</v>
      </c>
      <c r="J6" s="3">
        <v>12.93</v>
      </c>
      <c r="K6" s="12">
        <v>0</v>
      </c>
    </row>
    <row r="7" spans="1:11" s="16" customFormat="1" x14ac:dyDescent="0.25">
      <c r="A7" s="26" t="s">
        <v>51</v>
      </c>
      <c r="B7" s="15">
        <f t="shared" si="0"/>
        <v>6</v>
      </c>
      <c r="C7" s="3">
        <v>4</v>
      </c>
      <c r="D7" s="12">
        <v>2021</v>
      </c>
      <c r="E7" s="13">
        <f>Electricity!I9</f>
        <v>1349.640000000596</v>
      </c>
      <c r="F7" s="3">
        <v>0.72</v>
      </c>
      <c r="G7" s="13">
        <f>Gas!J9</f>
        <v>0</v>
      </c>
      <c r="H7" s="3">
        <v>1.66</v>
      </c>
      <c r="I7" s="13">
        <f>Water!H9</f>
        <v>3</v>
      </c>
      <c r="J7" s="3">
        <v>12.93</v>
      </c>
      <c r="K7" s="12">
        <v>0</v>
      </c>
    </row>
    <row r="8" spans="1:11" s="16" customFormat="1" x14ac:dyDescent="0.25">
      <c r="A8" s="26" t="s">
        <v>51</v>
      </c>
      <c r="B8" s="15">
        <f t="shared" si="0"/>
        <v>7</v>
      </c>
      <c r="C8" s="3">
        <v>4</v>
      </c>
      <c r="D8" s="12">
        <v>2021</v>
      </c>
      <c r="E8" s="13">
        <f>Electricity!I10</f>
        <v>1587</v>
      </c>
      <c r="F8" s="3">
        <v>0.72</v>
      </c>
      <c r="G8" s="13">
        <f>Gas!J10</f>
        <v>0</v>
      </c>
      <c r="H8" s="3">
        <v>1.66</v>
      </c>
      <c r="I8" s="13">
        <f>Water!H10</f>
        <v>2</v>
      </c>
      <c r="J8" s="3">
        <v>12.93</v>
      </c>
      <c r="K8" s="12">
        <v>0</v>
      </c>
    </row>
    <row r="9" spans="1:11" s="16" customFormat="1" x14ac:dyDescent="0.25">
      <c r="A9" s="26" t="s">
        <v>51</v>
      </c>
      <c r="B9" s="15">
        <f t="shared" si="0"/>
        <v>8</v>
      </c>
      <c r="C9" s="3">
        <v>4</v>
      </c>
      <c r="D9" s="12">
        <v>2021</v>
      </c>
      <c r="E9" s="13">
        <f>Electricity!I11</f>
        <v>1410.359999999404</v>
      </c>
      <c r="F9" s="3">
        <v>0.72</v>
      </c>
      <c r="G9" s="13">
        <f>Gas!J11</f>
        <v>0</v>
      </c>
      <c r="H9" s="3">
        <v>1.66</v>
      </c>
      <c r="I9" s="13">
        <f>Water!H11</f>
        <v>2</v>
      </c>
      <c r="J9" s="3">
        <v>12.93</v>
      </c>
      <c r="K9" s="12">
        <v>0</v>
      </c>
    </row>
    <row r="10" spans="1:11" s="16" customFormat="1" x14ac:dyDescent="0.25">
      <c r="A10" s="26" t="s">
        <v>51</v>
      </c>
      <c r="B10" s="15">
        <f t="shared" si="0"/>
        <v>9</v>
      </c>
      <c r="C10" s="3">
        <v>4</v>
      </c>
      <c r="D10" s="12">
        <v>2021</v>
      </c>
      <c r="E10" s="13">
        <f>Electricity!I12</f>
        <v>1661.5200000014156</v>
      </c>
      <c r="F10" s="3">
        <v>0.72</v>
      </c>
      <c r="G10" s="13">
        <f>Gas!J12</f>
        <v>0</v>
      </c>
      <c r="H10" s="3">
        <v>1.66</v>
      </c>
      <c r="I10" s="13">
        <f>Water!H12</f>
        <v>3</v>
      </c>
      <c r="J10" s="3">
        <v>12.93</v>
      </c>
      <c r="K10" s="12">
        <v>0</v>
      </c>
    </row>
    <row r="11" spans="1:11" s="16" customFormat="1" x14ac:dyDescent="0.25">
      <c r="A11" s="26" t="s">
        <v>51</v>
      </c>
      <c r="B11" s="15">
        <f t="shared" si="0"/>
        <v>10</v>
      </c>
      <c r="C11" s="3">
        <v>4</v>
      </c>
      <c r="D11" s="12">
        <v>2021</v>
      </c>
      <c r="E11" s="13">
        <f>Electricity!I13</f>
        <v>1592.5199999976903</v>
      </c>
      <c r="F11" s="3">
        <v>0.72</v>
      </c>
      <c r="G11" s="13">
        <f>Gas!J13</f>
        <v>0</v>
      </c>
      <c r="H11" s="3">
        <v>1.66</v>
      </c>
      <c r="I11" s="13">
        <f>Water!H13</f>
        <v>3</v>
      </c>
      <c r="J11" s="3">
        <v>12.93</v>
      </c>
      <c r="K11" s="12">
        <v>0</v>
      </c>
    </row>
    <row r="12" spans="1:11" s="16" customFormat="1" x14ac:dyDescent="0.25">
      <c r="A12" s="26" t="s">
        <v>51</v>
      </c>
      <c r="B12" s="15">
        <f t="shared" si="0"/>
        <v>11</v>
      </c>
      <c r="C12" s="3">
        <v>4</v>
      </c>
      <c r="D12" s="12">
        <v>2021</v>
      </c>
      <c r="E12" s="13">
        <f>Electricity!I14</f>
        <v>1504.2000000011176</v>
      </c>
      <c r="F12" s="3">
        <v>0.72</v>
      </c>
      <c r="G12" s="13">
        <f>Gas!J14</f>
        <v>0</v>
      </c>
      <c r="H12" s="3">
        <v>1.66</v>
      </c>
      <c r="I12" s="13">
        <f>Water!H14</f>
        <v>4</v>
      </c>
      <c r="J12" s="3">
        <v>12.93</v>
      </c>
      <c r="K12" s="12">
        <v>0</v>
      </c>
    </row>
    <row r="13" spans="1:11" s="16" customFormat="1" x14ac:dyDescent="0.25">
      <c r="A13" s="26" t="s">
        <v>51</v>
      </c>
      <c r="B13" s="15">
        <f t="shared" si="0"/>
        <v>12</v>
      </c>
      <c r="C13" s="3">
        <v>4</v>
      </c>
      <c r="D13" s="12">
        <v>2021</v>
      </c>
      <c r="E13" s="13">
        <f>Electricity!I15</f>
        <v>1255.7999999988824</v>
      </c>
      <c r="F13" s="3">
        <v>0.72</v>
      </c>
      <c r="G13" s="13">
        <f>Gas!J15</f>
        <v>23.180111999856308</v>
      </c>
      <c r="H13" s="3">
        <v>1.66</v>
      </c>
      <c r="I13" s="13">
        <f>Water!H15</f>
        <v>2</v>
      </c>
      <c r="J13" s="3">
        <v>12.93</v>
      </c>
      <c r="K13" s="12">
        <v>0</v>
      </c>
    </row>
    <row r="14" spans="1:11" s="16" customFormat="1" x14ac:dyDescent="0.25">
      <c r="A14" s="26" t="s">
        <v>51</v>
      </c>
      <c r="B14" s="15">
        <f t="shared" si="0"/>
        <v>13</v>
      </c>
      <c r="C14" s="3">
        <v>4</v>
      </c>
      <c r="D14" s="12">
        <v>2021</v>
      </c>
      <c r="E14" s="13">
        <f>Electricity!I16</f>
        <v>1468.320000000298</v>
      </c>
      <c r="F14" s="3">
        <v>0.72</v>
      </c>
      <c r="G14" s="13">
        <f>Gas!J16</f>
        <v>15.453408000059426</v>
      </c>
      <c r="H14" s="3">
        <v>1.66</v>
      </c>
      <c r="I14" s="13">
        <f>Water!H16</f>
        <v>3</v>
      </c>
      <c r="J14" s="3">
        <v>12.93</v>
      </c>
      <c r="K14" s="12">
        <v>0</v>
      </c>
    </row>
    <row r="15" spans="1:11" s="16" customFormat="1" x14ac:dyDescent="0.25">
      <c r="A15" s="26" t="s">
        <v>51</v>
      </c>
      <c r="B15" s="15">
        <f t="shared" si="0"/>
        <v>14</v>
      </c>
      <c r="C15" s="3">
        <v>4</v>
      </c>
      <c r="D15" s="12">
        <v>2021</v>
      </c>
      <c r="E15" s="13">
        <f>Electricity!I17</f>
        <v>-12870581.039999999</v>
      </c>
      <c r="F15" s="3">
        <v>0.72</v>
      </c>
      <c r="G15" s="13">
        <f>Gas!J17</f>
        <v>-1201400.737064</v>
      </c>
      <c r="H15" s="3">
        <v>1.66</v>
      </c>
      <c r="I15" s="13">
        <f>Water!H17</f>
        <v>-9073</v>
      </c>
      <c r="J15" s="3">
        <v>12.93</v>
      </c>
      <c r="K15" s="12">
        <v>0</v>
      </c>
    </row>
    <row r="16" spans="1:11" s="16" customFormat="1" x14ac:dyDescent="0.25">
      <c r="A16" s="26" t="s">
        <v>51</v>
      </c>
      <c r="B16" s="15">
        <f t="shared" si="0"/>
        <v>15</v>
      </c>
      <c r="C16" s="3">
        <v>4</v>
      </c>
      <c r="D16" s="12">
        <v>2021</v>
      </c>
      <c r="E16" s="13">
        <f>Electricity!I18</f>
        <v>0</v>
      </c>
      <c r="F16" s="3">
        <v>0.72</v>
      </c>
      <c r="G16" s="13">
        <f>Gas!J18</f>
        <v>0</v>
      </c>
      <c r="H16" s="3">
        <v>1.66</v>
      </c>
      <c r="I16" s="13">
        <f>Water!H18</f>
        <v>0</v>
      </c>
      <c r="J16" s="3">
        <v>12.93</v>
      </c>
      <c r="K16" s="12">
        <v>0</v>
      </c>
    </row>
    <row r="17" spans="1:11" s="16" customFormat="1" x14ac:dyDescent="0.25">
      <c r="A17" s="26" t="s">
        <v>51</v>
      </c>
      <c r="B17" s="15">
        <f t="shared" si="0"/>
        <v>16</v>
      </c>
      <c r="C17" s="3">
        <v>4</v>
      </c>
      <c r="D17" s="12">
        <v>2021</v>
      </c>
      <c r="E17" s="13">
        <f>Electricity!I19</f>
        <v>0</v>
      </c>
      <c r="F17" s="3">
        <v>0.72</v>
      </c>
      <c r="G17" s="13">
        <f>Gas!J19</f>
        <v>0</v>
      </c>
      <c r="H17" s="3">
        <v>1.66</v>
      </c>
      <c r="I17" s="13">
        <f>Water!H19</f>
        <v>0</v>
      </c>
      <c r="J17" s="3">
        <v>12.93</v>
      </c>
      <c r="K17" s="12">
        <v>0</v>
      </c>
    </row>
    <row r="18" spans="1:11" s="16" customFormat="1" x14ac:dyDescent="0.25">
      <c r="A18" s="26" t="s">
        <v>51</v>
      </c>
      <c r="B18" s="15">
        <f t="shared" si="0"/>
        <v>17</v>
      </c>
      <c r="C18" s="3">
        <v>4</v>
      </c>
      <c r="D18" s="12">
        <v>2021</v>
      </c>
      <c r="E18" s="13">
        <f>Electricity!I20</f>
        <v>0</v>
      </c>
      <c r="F18" s="3">
        <v>0.72</v>
      </c>
      <c r="G18" s="13">
        <f>Gas!J20</f>
        <v>0</v>
      </c>
      <c r="H18" s="3">
        <v>1.66</v>
      </c>
      <c r="I18" s="13">
        <f>Water!H20</f>
        <v>0</v>
      </c>
      <c r="J18" s="3">
        <v>12.93</v>
      </c>
      <c r="K18" s="12">
        <v>0</v>
      </c>
    </row>
    <row r="19" spans="1:11" s="16" customFormat="1" x14ac:dyDescent="0.25">
      <c r="A19" s="26" t="s">
        <v>51</v>
      </c>
      <c r="B19" s="15">
        <f t="shared" si="0"/>
        <v>18</v>
      </c>
      <c r="C19" s="3">
        <v>4</v>
      </c>
      <c r="D19" s="12">
        <v>2021</v>
      </c>
      <c r="E19" s="13">
        <f>Electricity!I21</f>
        <v>0</v>
      </c>
      <c r="F19" s="3">
        <v>0.72</v>
      </c>
      <c r="G19" s="13">
        <f>Gas!J21</f>
        <v>0</v>
      </c>
      <c r="H19" s="3">
        <v>1.66</v>
      </c>
      <c r="I19" s="13">
        <f>Water!H21</f>
        <v>0</v>
      </c>
      <c r="J19" s="3">
        <v>12.93</v>
      </c>
      <c r="K19" s="12">
        <v>0</v>
      </c>
    </row>
    <row r="20" spans="1:11" s="16" customFormat="1" x14ac:dyDescent="0.25">
      <c r="A20" s="26" t="s">
        <v>51</v>
      </c>
      <c r="B20" s="15">
        <f t="shared" si="0"/>
        <v>19</v>
      </c>
      <c r="C20" s="3">
        <v>4</v>
      </c>
      <c r="D20" s="12">
        <v>2021</v>
      </c>
      <c r="E20" s="13">
        <f>Electricity!I22</f>
        <v>0</v>
      </c>
      <c r="F20" s="3">
        <v>0.72</v>
      </c>
      <c r="G20" s="13">
        <f>Gas!J22</f>
        <v>0</v>
      </c>
      <c r="H20" s="3">
        <v>1.66</v>
      </c>
      <c r="I20" s="13">
        <f>Water!H22</f>
        <v>0</v>
      </c>
      <c r="J20" s="3">
        <v>12.93</v>
      </c>
      <c r="K20" s="12">
        <v>0</v>
      </c>
    </row>
    <row r="21" spans="1:11" s="16" customFormat="1" x14ac:dyDescent="0.25">
      <c r="A21" s="26" t="s">
        <v>51</v>
      </c>
      <c r="B21" s="15">
        <f t="shared" si="0"/>
        <v>20</v>
      </c>
      <c r="C21" s="3">
        <v>4</v>
      </c>
      <c r="D21" s="12">
        <v>2021</v>
      </c>
      <c r="E21" s="13">
        <f>Electricity!I23</f>
        <v>0</v>
      </c>
      <c r="F21" s="3">
        <v>0.72</v>
      </c>
      <c r="G21" s="13">
        <f>Gas!J23</f>
        <v>0</v>
      </c>
      <c r="H21" s="3">
        <v>1.66</v>
      </c>
      <c r="I21" s="13">
        <f>Water!H23</f>
        <v>0</v>
      </c>
      <c r="J21" s="3">
        <v>12.93</v>
      </c>
      <c r="K21" s="12">
        <v>0</v>
      </c>
    </row>
    <row r="22" spans="1:11" s="16" customFormat="1" x14ac:dyDescent="0.25">
      <c r="A22" s="26" t="s">
        <v>51</v>
      </c>
      <c r="B22" s="15">
        <f t="shared" si="0"/>
        <v>21</v>
      </c>
      <c r="C22" s="3">
        <v>4</v>
      </c>
      <c r="D22" s="12">
        <v>2021</v>
      </c>
      <c r="E22" s="13">
        <f>Electricity!I24</f>
        <v>0</v>
      </c>
      <c r="F22" s="3">
        <v>0.72</v>
      </c>
      <c r="G22" s="13">
        <f>Gas!J24</f>
        <v>0</v>
      </c>
      <c r="H22" s="3">
        <v>1.66</v>
      </c>
      <c r="I22" s="13">
        <f>Water!H24</f>
        <v>0</v>
      </c>
      <c r="J22" s="3">
        <v>12.93</v>
      </c>
      <c r="K22" s="12">
        <v>0</v>
      </c>
    </row>
    <row r="23" spans="1:11" s="16" customFormat="1" x14ac:dyDescent="0.25">
      <c r="A23" s="26" t="s">
        <v>51</v>
      </c>
      <c r="B23" s="15">
        <f t="shared" si="0"/>
        <v>22</v>
      </c>
      <c r="C23" s="3">
        <v>4</v>
      </c>
      <c r="D23" s="12">
        <v>2021</v>
      </c>
      <c r="E23" s="13">
        <f>Electricity!I25</f>
        <v>0</v>
      </c>
      <c r="F23" s="3">
        <v>0.72</v>
      </c>
      <c r="G23" s="13">
        <f>Gas!J25</f>
        <v>0</v>
      </c>
      <c r="H23" s="3">
        <v>1.66</v>
      </c>
      <c r="I23" s="13">
        <f>Water!H25</f>
        <v>0</v>
      </c>
      <c r="J23" s="3">
        <v>12.93</v>
      </c>
      <c r="K23" s="12">
        <v>0</v>
      </c>
    </row>
    <row r="24" spans="1:11" s="16" customFormat="1" x14ac:dyDescent="0.25">
      <c r="A24" s="26" t="s">
        <v>51</v>
      </c>
      <c r="B24" s="15">
        <f t="shared" si="0"/>
        <v>23</v>
      </c>
      <c r="C24" s="3">
        <v>4</v>
      </c>
      <c r="D24" s="12">
        <v>2021</v>
      </c>
      <c r="E24" s="13">
        <f>Electricity!I26</f>
        <v>0</v>
      </c>
      <c r="F24" s="3">
        <v>0.72</v>
      </c>
      <c r="G24" s="13">
        <f>Gas!J26</f>
        <v>0</v>
      </c>
      <c r="H24" s="3">
        <v>1.66</v>
      </c>
      <c r="I24" s="13">
        <f>Water!H26</f>
        <v>0</v>
      </c>
      <c r="J24" s="3">
        <v>12.93</v>
      </c>
      <c r="K24" s="12">
        <v>0</v>
      </c>
    </row>
    <row r="25" spans="1:11" s="16" customFormat="1" x14ac:dyDescent="0.25">
      <c r="A25" s="26" t="s">
        <v>51</v>
      </c>
      <c r="B25" s="15">
        <f t="shared" si="0"/>
        <v>24</v>
      </c>
      <c r="C25" s="3">
        <v>4</v>
      </c>
      <c r="D25" s="12">
        <v>2021</v>
      </c>
      <c r="E25" s="13">
        <f>Electricity!I27</f>
        <v>0</v>
      </c>
      <c r="F25" s="3">
        <v>0.72</v>
      </c>
      <c r="G25" s="13">
        <f>Gas!J27</f>
        <v>0</v>
      </c>
      <c r="H25" s="3">
        <v>1.66</v>
      </c>
      <c r="I25" s="13">
        <f>Water!H27</f>
        <v>0</v>
      </c>
      <c r="J25" s="3">
        <v>12.93</v>
      </c>
      <c r="K25" s="12">
        <v>0</v>
      </c>
    </row>
    <row r="26" spans="1:11" s="16" customFormat="1" x14ac:dyDescent="0.25">
      <c r="A26" s="26" t="s">
        <v>51</v>
      </c>
      <c r="B26" s="15">
        <f>B25+1</f>
        <v>25</v>
      </c>
      <c r="C26" s="3">
        <v>4</v>
      </c>
      <c r="D26" s="12">
        <v>2021</v>
      </c>
      <c r="E26" s="13">
        <f>Electricity!I28</f>
        <v>0</v>
      </c>
      <c r="F26" s="3">
        <v>0.72</v>
      </c>
      <c r="G26" s="13">
        <f>Gas!J28</f>
        <v>0</v>
      </c>
      <c r="H26" s="3">
        <v>1.66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6" t="s">
        <v>51</v>
      </c>
      <c r="B27" s="15">
        <f t="shared" si="0"/>
        <v>26</v>
      </c>
      <c r="C27" s="3">
        <v>4</v>
      </c>
      <c r="D27" s="12">
        <v>2021</v>
      </c>
      <c r="E27" s="13">
        <f>Electricity!I29</f>
        <v>0</v>
      </c>
      <c r="F27" s="3">
        <v>0.72</v>
      </c>
      <c r="G27" s="13">
        <f>Gas!J29</f>
        <v>0</v>
      </c>
      <c r="H27" s="3">
        <v>1.66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6" t="s">
        <v>51</v>
      </c>
      <c r="B28" s="15">
        <f t="shared" si="0"/>
        <v>27</v>
      </c>
      <c r="C28" s="3">
        <v>4</v>
      </c>
      <c r="D28" s="12">
        <v>2021</v>
      </c>
      <c r="E28" s="13">
        <f>Electricity!I30</f>
        <v>0</v>
      </c>
      <c r="F28" s="3">
        <v>0.72</v>
      </c>
      <c r="G28" s="13">
        <f>Gas!J30</f>
        <v>0</v>
      </c>
      <c r="H28" s="3">
        <v>1.66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6" t="s">
        <v>51</v>
      </c>
      <c r="B29" s="15">
        <f t="shared" si="0"/>
        <v>28</v>
      </c>
      <c r="C29" s="3">
        <v>4</v>
      </c>
      <c r="D29" s="12">
        <v>2021</v>
      </c>
      <c r="E29" s="13">
        <f>Electricity!I31</f>
        <v>0</v>
      </c>
      <c r="F29" s="3">
        <v>0.72</v>
      </c>
      <c r="G29" s="13">
        <f>Gas!J31</f>
        <v>0</v>
      </c>
      <c r="H29" s="3">
        <v>1.66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6" t="s">
        <v>51</v>
      </c>
      <c r="B30" s="15">
        <f t="shared" si="0"/>
        <v>29</v>
      </c>
      <c r="C30" s="3">
        <v>4</v>
      </c>
      <c r="D30" s="12">
        <v>2021</v>
      </c>
      <c r="E30" s="13">
        <f>Electricity!I32</f>
        <v>0</v>
      </c>
      <c r="F30" s="3">
        <v>0.72</v>
      </c>
      <c r="G30" s="13">
        <f>Gas!J32</f>
        <v>0</v>
      </c>
      <c r="H30" s="3">
        <v>1.66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6" t="s">
        <v>51</v>
      </c>
      <c r="B31" s="15">
        <f t="shared" si="0"/>
        <v>30</v>
      </c>
      <c r="C31" s="3">
        <v>4</v>
      </c>
      <c r="D31" s="12">
        <v>2021</v>
      </c>
      <c r="E31" s="13">
        <f>Electricity!I33</f>
        <v>0</v>
      </c>
      <c r="F31" s="3">
        <v>0.72</v>
      </c>
      <c r="G31" s="13">
        <f>Gas!J33</f>
        <v>0</v>
      </c>
      <c r="H31" s="3">
        <v>1.66</v>
      </c>
      <c r="I31" s="13">
        <f>Water!H33</f>
        <v>0</v>
      </c>
      <c r="J31" s="3">
        <v>12.93</v>
      </c>
      <c r="K31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E17" sqref="E17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7" t="s">
        <v>54</v>
      </c>
      <c r="E1" s="107"/>
      <c r="F1" s="107"/>
      <c r="G1" s="107"/>
      <c r="H1" s="107"/>
      <c r="I1" s="107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35">
        <v>2019</v>
      </c>
      <c r="L3" s="36">
        <v>2018</v>
      </c>
      <c r="M3" s="37">
        <v>2017</v>
      </c>
      <c r="N3" s="38"/>
    </row>
    <row r="4" spans="2:15" s="33" customFormat="1" ht="11.25" x14ac:dyDescent="0.25">
      <c r="D4" s="39">
        <v>44287</v>
      </c>
      <c r="E4" s="24">
        <v>9041</v>
      </c>
      <c r="F4" s="24">
        <v>1065</v>
      </c>
      <c r="G4" s="24">
        <f>E4+F4</f>
        <v>10106</v>
      </c>
      <c r="H4" s="25">
        <f>+(G4-[1]Mar.2021!G34)</f>
        <v>2</v>
      </c>
      <c r="I4" s="25">
        <v>64.16</v>
      </c>
      <c r="J4" s="40">
        <v>16</v>
      </c>
      <c r="K4" s="40">
        <v>63</v>
      </c>
      <c r="L4" s="41">
        <v>71</v>
      </c>
      <c r="M4" s="42">
        <v>45</v>
      </c>
      <c r="N4" s="43"/>
    </row>
    <row r="5" spans="2:15" s="33" customFormat="1" ht="11.25" x14ac:dyDescent="0.25">
      <c r="D5" s="39">
        <v>44288</v>
      </c>
      <c r="E5" s="24">
        <v>9045</v>
      </c>
      <c r="F5" s="24">
        <v>1065</v>
      </c>
      <c r="G5" s="24">
        <f>E5+F5</f>
        <v>10110</v>
      </c>
      <c r="H5" s="25">
        <f t="shared" ref="H5:H33" si="0">G5-G4</f>
        <v>4</v>
      </c>
      <c r="I5" s="25">
        <v>64.16</v>
      </c>
      <c r="J5" s="40">
        <v>11</v>
      </c>
      <c r="K5" s="40">
        <v>70</v>
      </c>
      <c r="L5" s="41">
        <v>63</v>
      </c>
      <c r="M5" s="42">
        <v>42</v>
      </c>
      <c r="N5" s="43"/>
    </row>
    <row r="6" spans="2:15" s="33" customFormat="1" ht="11.25" x14ac:dyDescent="0.25">
      <c r="D6" s="39">
        <v>44289</v>
      </c>
      <c r="E6" s="24">
        <v>9047</v>
      </c>
      <c r="F6" s="24">
        <v>1065</v>
      </c>
      <c r="G6" s="24">
        <f>E6+F6</f>
        <v>10112</v>
      </c>
      <c r="H6" s="25">
        <f t="shared" si="0"/>
        <v>2</v>
      </c>
      <c r="I6" s="25">
        <v>64.16</v>
      </c>
      <c r="J6" s="40">
        <v>0</v>
      </c>
      <c r="K6" s="40">
        <v>57</v>
      </c>
      <c r="L6" s="41">
        <v>62</v>
      </c>
      <c r="M6" s="42">
        <v>44</v>
      </c>
      <c r="N6" s="43"/>
    </row>
    <row r="7" spans="2:15" s="33" customFormat="1" ht="11.25" x14ac:dyDescent="0.25">
      <c r="D7" s="39">
        <v>44290</v>
      </c>
      <c r="E7" s="24">
        <v>9049</v>
      </c>
      <c r="F7" s="24">
        <v>1065</v>
      </c>
      <c r="G7" s="24">
        <f>E7+F7</f>
        <v>10114</v>
      </c>
      <c r="H7" s="25">
        <f t="shared" si="0"/>
        <v>2</v>
      </c>
      <c r="I7" s="25">
        <v>64.16</v>
      </c>
      <c r="J7" s="40">
        <v>10</v>
      </c>
      <c r="K7" s="40">
        <v>67</v>
      </c>
      <c r="L7" s="41">
        <v>58</v>
      </c>
      <c r="M7" s="42">
        <v>40</v>
      </c>
      <c r="N7" s="43"/>
    </row>
    <row r="8" spans="2:15" s="33" customFormat="1" ht="11.25" x14ac:dyDescent="0.25">
      <c r="D8" s="39">
        <v>44291</v>
      </c>
      <c r="E8" s="24">
        <v>9051</v>
      </c>
      <c r="F8" s="24">
        <v>1065</v>
      </c>
      <c r="G8" s="24">
        <f>E8+F8</f>
        <v>10116</v>
      </c>
      <c r="H8" s="25">
        <f t="shared" si="0"/>
        <v>2</v>
      </c>
      <c r="I8" s="25">
        <v>64.16</v>
      </c>
      <c r="J8" s="40">
        <v>11</v>
      </c>
      <c r="K8" s="40">
        <v>60</v>
      </c>
      <c r="L8" s="41">
        <v>66</v>
      </c>
      <c r="M8" s="42">
        <v>45</v>
      </c>
      <c r="N8" s="43"/>
    </row>
    <row r="9" spans="2:15" s="33" customFormat="1" ht="11.25" x14ac:dyDescent="0.25">
      <c r="D9" s="39">
        <v>44292</v>
      </c>
      <c r="E9" s="24">
        <v>9054</v>
      </c>
      <c r="F9" s="24">
        <v>1065</v>
      </c>
      <c r="G9" s="24">
        <f t="shared" ref="G9:G33" si="1">E9+F9</f>
        <v>10119</v>
      </c>
      <c r="H9" s="25">
        <f t="shared" si="0"/>
        <v>3</v>
      </c>
      <c r="I9" s="25">
        <v>64.16</v>
      </c>
      <c r="J9" s="40">
        <v>0</v>
      </c>
      <c r="K9" s="40">
        <v>61</v>
      </c>
      <c r="L9" s="41">
        <v>46</v>
      </c>
      <c r="M9" s="42">
        <v>52</v>
      </c>
      <c r="N9" s="43"/>
    </row>
    <row r="10" spans="2:15" s="33" customFormat="1" ht="11.25" x14ac:dyDescent="0.25">
      <c r="D10" s="39">
        <v>44293</v>
      </c>
      <c r="E10" s="24">
        <v>9056</v>
      </c>
      <c r="F10" s="24">
        <v>1065</v>
      </c>
      <c r="G10" s="24">
        <f t="shared" si="1"/>
        <v>10121</v>
      </c>
      <c r="H10" s="25">
        <f t="shared" si="0"/>
        <v>2</v>
      </c>
      <c r="I10" s="25">
        <v>64.16</v>
      </c>
      <c r="J10" s="40">
        <v>5</v>
      </c>
      <c r="K10" s="40">
        <v>68</v>
      </c>
      <c r="L10" s="41">
        <v>61</v>
      </c>
      <c r="M10" s="42">
        <v>41</v>
      </c>
      <c r="N10" s="43"/>
    </row>
    <row r="11" spans="2:15" s="33" customFormat="1" ht="11.25" x14ac:dyDescent="0.25">
      <c r="D11" s="39">
        <v>44294</v>
      </c>
      <c r="E11" s="24">
        <v>9058</v>
      </c>
      <c r="F11" s="24">
        <v>1065</v>
      </c>
      <c r="G11" s="24">
        <f t="shared" si="1"/>
        <v>10123</v>
      </c>
      <c r="H11" s="25">
        <f t="shared" si="0"/>
        <v>2</v>
      </c>
      <c r="I11" s="25">
        <v>64.16</v>
      </c>
      <c r="J11" s="40">
        <v>14</v>
      </c>
      <c r="K11" s="40">
        <v>56</v>
      </c>
      <c r="L11" s="41">
        <v>54</v>
      </c>
      <c r="M11" s="42">
        <v>54</v>
      </c>
      <c r="N11" s="43"/>
    </row>
    <row r="12" spans="2:15" s="33" customFormat="1" ht="11.25" x14ac:dyDescent="0.25">
      <c r="D12" s="39">
        <v>44295</v>
      </c>
      <c r="E12" s="24">
        <v>9061</v>
      </c>
      <c r="F12" s="24">
        <v>1065</v>
      </c>
      <c r="G12" s="24">
        <f t="shared" si="1"/>
        <v>10126</v>
      </c>
      <c r="H12" s="25">
        <f t="shared" si="0"/>
        <v>3</v>
      </c>
      <c r="I12" s="25">
        <v>64.16</v>
      </c>
      <c r="J12" s="40">
        <v>0</v>
      </c>
      <c r="K12" s="40">
        <v>65</v>
      </c>
      <c r="L12" s="41">
        <v>64</v>
      </c>
      <c r="M12" s="42">
        <v>53</v>
      </c>
      <c r="N12" s="43"/>
    </row>
    <row r="13" spans="2:15" s="33" customFormat="1" ht="11.25" x14ac:dyDescent="0.25">
      <c r="D13" s="39">
        <v>44296</v>
      </c>
      <c r="E13" s="24">
        <v>9064</v>
      </c>
      <c r="F13" s="24">
        <v>1065</v>
      </c>
      <c r="G13" s="24">
        <f t="shared" si="1"/>
        <v>10129</v>
      </c>
      <c r="H13" s="25">
        <f t="shared" si="0"/>
        <v>3</v>
      </c>
      <c r="I13" s="25">
        <v>64.16</v>
      </c>
      <c r="J13" s="40">
        <v>9</v>
      </c>
      <c r="K13" s="40">
        <v>43</v>
      </c>
      <c r="L13" s="41">
        <v>49</v>
      </c>
      <c r="M13" s="42">
        <v>49</v>
      </c>
      <c r="N13" s="43"/>
    </row>
    <row r="14" spans="2:15" s="33" customFormat="1" ht="11.25" x14ac:dyDescent="0.25">
      <c r="D14" s="39">
        <v>44297</v>
      </c>
      <c r="E14" s="24">
        <v>9068</v>
      </c>
      <c r="F14" s="24">
        <v>1065</v>
      </c>
      <c r="G14" s="24">
        <f t="shared" si="1"/>
        <v>10133</v>
      </c>
      <c r="H14" s="25">
        <f t="shared" si="0"/>
        <v>4</v>
      </c>
      <c r="I14" s="25">
        <v>64.16</v>
      </c>
      <c r="J14" s="40">
        <v>15</v>
      </c>
      <c r="K14" s="40">
        <v>57</v>
      </c>
      <c r="L14" s="41">
        <v>66</v>
      </c>
      <c r="M14" s="42">
        <v>50</v>
      </c>
      <c r="N14" s="43"/>
    </row>
    <row r="15" spans="2:15" s="44" customFormat="1" ht="11.25" x14ac:dyDescent="0.25">
      <c r="D15" s="39">
        <v>44298</v>
      </c>
      <c r="E15" s="24">
        <v>9070</v>
      </c>
      <c r="F15" s="24">
        <v>1065</v>
      </c>
      <c r="G15" s="24">
        <f t="shared" si="1"/>
        <v>10135</v>
      </c>
      <c r="H15" s="25">
        <f t="shared" si="0"/>
        <v>2</v>
      </c>
      <c r="I15" s="25">
        <v>64.16</v>
      </c>
      <c r="J15" s="40">
        <v>10</v>
      </c>
      <c r="K15" s="40">
        <v>53</v>
      </c>
      <c r="L15" s="41">
        <v>41</v>
      </c>
      <c r="M15" s="42">
        <v>59</v>
      </c>
      <c r="N15" s="43"/>
      <c r="O15" s="44" t="s">
        <v>28</v>
      </c>
    </row>
    <row r="16" spans="2:15" s="33" customFormat="1" ht="11.25" x14ac:dyDescent="0.25">
      <c r="D16" s="39">
        <v>44299</v>
      </c>
      <c r="E16" s="24">
        <v>9073</v>
      </c>
      <c r="F16" s="24">
        <v>1065</v>
      </c>
      <c r="G16" s="24">
        <f t="shared" si="1"/>
        <v>10138</v>
      </c>
      <c r="H16" s="25">
        <f t="shared" si="0"/>
        <v>3</v>
      </c>
      <c r="I16" s="25">
        <v>64.16</v>
      </c>
      <c r="J16" s="40">
        <v>0</v>
      </c>
      <c r="K16" s="40">
        <v>66</v>
      </c>
      <c r="L16" s="41">
        <v>52</v>
      </c>
      <c r="M16" s="42">
        <v>62</v>
      </c>
      <c r="N16" s="43"/>
    </row>
    <row r="17" spans="4:14" s="33" customFormat="1" ht="11.25" customHeight="1" x14ac:dyDescent="0.25">
      <c r="D17" s="39">
        <v>44300</v>
      </c>
      <c r="E17" s="24"/>
      <c r="F17" s="24">
        <v>1065</v>
      </c>
      <c r="G17" s="24">
        <f t="shared" si="1"/>
        <v>1065</v>
      </c>
      <c r="H17" s="25">
        <f t="shared" si="0"/>
        <v>-9073</v>
      </c>
      <c r="I17" s="25">
        <v>64.16</v>
      </c>
      <c r="J17" s="40">
        <v>15</v>
      </c>
      <c r="K17" s="40">
        <v>63</v>
      </c>
      <c r="L17" s="41">
        <v>54</v>
      </c>
      <c r="M17" s="42">
        <v>50</v>
      </c>
      <c r="N17" s="43"/>
    </row>
    <row r="18" spans="4:14" s="33" customFormat="1" ht="11.25" customHeight="1" x14ac:dyDescent="0.25">
      <c r="D18" s="39">
        <v>44301</v>
      </c>
      <c r="E18" s="24"/>
      <c r="F18" s="24">
        <v>1065</v>
      </c>
      <c r="G18" s="24">
        <f t="shared" si="1"/>
        <v>1065</v>
      </c>
      <c r="H18" s="25">
        <f t="shared" si="0"/>
        <v>0</v>
      </c>
      <c r="I18" s="25">
        <v>64.16</v>
      </c>
      <c r="J18" s="40">
        <v>13</v>
      </c>
      <c r="K18" s="40">
        <v>47</v>
      </c>
      <c r="L18" s="41">
        <v>54</v>
      </c>
      <c r="M18" s="42">
        <v>60</v>
      </c>
      <c r="N18" s="43"/>
    </row>
    <row r="19" spans="4:14" s="33" customFormat="1" ht="11.25" customHeight="1" x14ac:dyDescent="0.25">
      <c r="D19" s="39">
        <v>44302</v>
      </c>
      <c r="E19" s="24"/>
      <c r="F19" s="24">
        <v>1065</v>
      </c>
      <c r="G19" s="24">
        <f>E19+F19</f>
        <v>1065</v>
      </c>
      <c r="H19" s="25">
        <f t="shared" si="0"/>
        <v>0</v>
      </c>
      <c r="I19" s="25">
        <v>64.16</v>
      </c>
      <c r="J19" s="40">
        <v>14</v>
      </c>
      <c r="K19" s="40">
        <v>55</v>
      </c>
      <c r="L19" s="41">
        <v>51</v>
      </c>
      <c r="M19" s="42">
        <v>50</v>
      </c>
      <c r="N19" s="43"/>
    </row>
    <row r="20" spans="4:14" s="33" customFormat="1" ht="11.25" customHeight="1" x14ac:dyDescent="0.25">
      <c r="D20" s="39">
        <v>44303</v>
      </c>
      <c r="E20" s="24"/>
      <c r="F20" s="24">
        <v>1065</v>
      </c>
      <c r="G20" s="24">
        <f t="shared" si="1"/>
        <v>1065</v>
      </c>
      <c r="H20" s="25">
        <f t="shared" si="0"/>
        <v>0</v>
      </c>
      <c r="I20" s="25">
        <v>64.16</v>
      </c>
      <c r="J20" s="40">
        <v>22</v>
      </c>
      <c r="K20" s="40">
        <v>49</v>
      </c>
      <c r="L20" s="41">
        <v>40</v>
      </c>
      <c r="M20" s="42">
        <v>50</v>
      </c>
      <c r="N20" s="43"/>
    </row>
    <row r="21" spans="4:14" s="33" customFormat="1" ht="11.25" customHeight="1" x14ac:dyDescent="0.25">
      <c r="D21" s="39">
        <v>44304</v>
      </c>
      <c r="E21" s="24"/>
      <c r="F21" s="24">
        <v>1065</v>
      </c>
      <c r="G21" s="24">
        <f t="shared" si="1"/>
        <v>1065</v>
      </c>
      <c r="H21" s="25">
        <f t="shared" si="0"/>
        <v>0</v>
      </c>
      <c r="I21" s="25">
        <v>64.16</v>
      </c>
      <c r="J21" s="40">
        <v>16</v>
      </c>
      <c r="K21" s="40">
        <v>65</v>
      </c>
      <c r="L21" s="41">
        <v>37</v>
      </c>
      <c r="M21" s="42">
        <v>54</v>
      </c>
      <c r="N21" s="43"/>
    </row>
    <row r="22" spans="4:14" s="33" customFormat="1" ht="11.25" customHeight="1" x14ac:dyDescent="0.25">
      <c r="D22" s="39">
        <v>44305</v>
      </c>
      <c r="E22" s="24"/>
      <c r="F22" s="24">
        <v>1065</v>
      </c>
      <c r="G22" s="24">
        <f t="shared" si="1"/>
        <v>1065</v>
      </c>
      <c r="H22" s="25">
        <f t="shared" si="0"/>
        <v>0</v>
      </c>
      <c r="I22" s="25">
        <v>64.16</v>
      </c>
      <c r="J22" s="40">
        <v>16</v>
      </c>
      <c r="K22" s="40">
        <v>54</v>
      </c>
      <c r="L22" s="41">
        <v>55</v>
      </c>
      <c r="M22" s="42">
        <v>31</v>
      </c>
      <c r="N22" s="43"/>
    </row>
    <row r="23" spans="4:14" s="33" customFormat="1" ht="11.25" customHeight="1" x14ac:dyDescent="0.25">
      <c r="D23" s="39">
        <v>44306</v>
      </c>
      <c r="E23" s="24"/>
      <c r="F23" s="24">
        <v>1065</v>
      </c>
      <c r="G23" s="24">
        <f t="shared" si="1"/>
        <v>1065</v>
      </c>
      <c r="H23" s="25">
        <f t="shared" si="0"/>
        <v>0</v>
      </c>
      <c r="I23" s="25">
        <v>64.16</v>
      </c>
      <c r="J23" s="40">
        <v>21</v>
      </c>
      <c r="K23" s="40">
        <v>63</v>
      </c>
      <c r="L23" s="41">
        <v>42</v>
      </c>
      <c r="M23" s="42">
        <v>48</v>
      </c>
      <c r="N23" s="43"/>
    </row>
    <row r="24" spans="4:14" s="33" customFormat="1" ht="11.25" customHeight="1" x14ac:dyDescent="0.25">
      <c r="D24" s="39">
        <v>44307</v>
      </c>
      <c r="E24" s="24"/>
      <c r="F24" s="24">
        <v>1065</v>
      </c>
      <c r="G24" s="24">
        <f t="shared" si="1"/>
        <v>1065</v>
      </c>
      <c r="H24" s="25">
        <f t="shared" si="0"/>
        <v>0</v>
      </c>
      <c r="I24" s="25">
        <v>64.16</v>
      </c>
      <c r="J24" s="40">
        <v>18</v>
      </c>
      <c r="K24" s="40">
        <v>64</v>
      </c>
      <c r="L24" s="41">
        <v>35</v>
      </c>
      <c r="M24" s="42">
        <v>48</v>
      </c>
      <c r="N24" s="43"/>
    </row>
    <row r="25" spans="4:14" s="33" customFormat="1" ht="11.25" customHeight="1" x14ac:dyDescent="0.25">
      <c r="D25" s="39">
        <v>44308</v>
      </c>
      <c r="E25" s="24"/>
      <c r="F25" s="24">
        <v>1065</v>
      </c>
      <c r="G25" s="24">
        <f t="shared" si="1"/>
        <v>1065</v>
      </c>
      <c r="H25" s="25">
        <f t="shared" si="0"/>
        <v>0</v>
      </c>
      <c r="I25" s="25">
        <v>64.16</v>
      </c>
      <c r="J25" s="40">
        <v>25</v>
      </c>
      <c r="K25" s="40">
        <v>63</v>
      </c>
      <c r="L25" s="41">
        <v>58</v>
      </c>
      <c r="M25" s="42">
        <v>42</v>
      </c>
      <c r="N25" s="43"/>
    </row>
    <row r="26" spans="4:14" s="33" customFormat="1" ht="11.25" customHeight="1" x14ac:dyDescent="0.25">
      <c r="D26" s="39">
        <v>44309</v>
      </c>
      <c r="E26" s="24"/>
      <c r="F26" s="24">
        <v>1065</v>
      </c>
      <c r="G26" s="24">
        <f t="shared" si="1"/>
        <v>1065</v>
      </c>
      <c r="H26" s="25">
        <f t="shared" si="0"/>
        <v>0</v>
      </c>
      <c r="I26" s="25">
        <v>64.16</v>
      </c>
      <c r="J26" s="40">
        <v>20</v>
      </c>
      <c r="K26" s="40">
        <v>86</v>
      </c>
      <c r="L26" s="41">
        <v>56</v>
      </c>
      <c r="M26" s="42">
        <v>55</v>
      </c>
      <c r="N26" s="43"/>
    </row>
    <row r="27" spans="4:14" s="33" customFormat="1" ht="11.25" customHeight="1" x14ac:dyDescent="0.25">
      <c r="D27" s="39">
        <v>44310</v>
      </c>
      <c r="E27" s="24"/>
      <c r="F27" s="24">
        <v>1065</v>
      </c>
      <c r="G27" s="24">
        <f t="shared" si="1"/>
        <v>1065</v>
      </c>
      <c r="H27" s="25">
        <f t="shared" si="0"/>
        <v>0</v>
      </c>
      <c r="I27" s="25">
        <v>64.16</v>
      </c>
      <c r="J27" s="40">
        <v>18</v>
      </c>
      <c r="K27" s="40">
        <v>69</v>
      </c>
      <c r="L27" s="41">
        <v>54</v>
      </c>
      <c r="M27" s="42">
        <v>32</v>
      </c>
      <c r="N27" s="43"/>
    </row>
    <row r="28" spans="4:14" s="33" customFormat="1" ht="11.25" customHeight="1" x14ac:dyDescent="0.25">
      <c r="D28" s="39">
        <v>44311</v>
      </c>
      <c r="E28" s="24"/>
      <c r="F28" s="24">
        <v>1065</v>
      </c>
      <c r="G28" s="24">
        <f t="shared" si="1"/>
        <v>1065</v>
      </c>
      <c r="H28" s="25">
        <f t="shared" si="0"/>
        <v>0</v>
      </c>
      <c r="I28" s="25">
        <v>64.16</v>
      </c>
      <c r="J28" s="40">
        <v>21</v>
      </c>
      <c r="K28" s="40">
        <v>64</v>
      </c>
      <c r="L28" s="41">
        <v>52</v>
      </c>
      <c r="M28" s="42">
        <v>47</v>
      </c>
      <c r="N28" s="43"/>
    </row>
    <row r="29" spans="4:14" s="33" customFormat="1" ht="11.25" customHeight="1" x14ac:dyDescent="0.25">
      <c r="D29" s="39">
        <v>44312</v>
      </c>
      <c r="E29" s="24"/>
      <c r="F29" s="24">
        <v>1065</v>
      </c>
      <c r="G29" s="24">
        <f t="shared" si="1"/>
        <v>1065</v>
      </c>
      <c r="H29" s="25">
        <f t="shared" si="0"/>
        <v>0</v>
      </c>
      <c r="I29" s="25">
        <v>64.16</v>
      </c>
      <c r="J29" s="40">
        <v>17</v>
      </c>
      <c r="K29" s="40">
        <v>71</v>
      </c>
      <c r="L29" s="41">
        <v>64</v>
      </c>
      <c r="M29" s="42">
        <v>36</v>
      </c>
      <c r="N29" s="43"/>
    </row>
    <row r="30" spans="4:14" s="33" customFormat="1" ht="11.25" customHeight="1" x14ac:dyDescent="0.25">
      <c r="D30" s="39">
        <v>44313</v>
      </c>
      <c r="E30" s="24"/>
      <c r="F30" s="24">
        <v>1065</v>
      </c>
      <c r="G30" s="24">
        <f t="shared" si="1"/>
        <v>1065</v>
      </c>
      <c r="H30" s="25">
        <f t="shared" si="0"/>
        <v>0</v>
      </c>
      <c r="I30" s="25">
        <v>64.16</v>
      </c>
      <c r="J30" s="40">
        <v>15</v>
      </c>
      <c r="K30" s="40">
        <v>68</v>
      </c>
      <c r="L30" s="41">
        <v>53</v>
      </c>
      <c r="M30" s="42">
        <v>39</v>
      </c>
      <c r="N30" s="43"/>
    </row>
    <row r="31" spans="4:14" s="33" customFormat="1" ht="11.25" customHeight="1" x14ac:dyDescent="0.25">
      <c r="D31" s="39">
        <v>44314</v>
      </c>
      <c r="E31" s="24"/>
      <c r="F31" s="24">
        <v>1065</v>
      </c>
      <c r="G31" s="24">
        <f t="shared" si="1"/>
        <v>1065</v>
      </c>
      <c r="H31" s="25">
        <f t="shared" si="0"/>
        <v>0</v>
      </c>
      <c r="I31" s="25">
        <v>64.16</v>
      </c>
      <c r="J31" s="40">
        <v>28</v>
      </c>
      <c r="K31" s="40">
        <v>71</v>
      </c>
      <c r="L31" s="41">
        <v>62</v>
      </c>
      <c r="M31" s="42">
        <v>46</v>
      </c>
      <c r="N31" s="43"/>
    </row>
    <row r="32" spans="4:14" s="33" customFormat="1" ht="11.25" customHeight="1" x14ac:dyDescent="0.25">
      <c r="D32" s="39">
        <v>44315</v>
      </c>
      <c r="E32" s="24"/>
      <c r="F32" s="24">
        <v>1065</v>
      </c>
      <c r="G32" s="24">
        <f t="shared" si="1"/>
        <v>1065</v>
      </c>
      <c r="H32" s="25">
        <f t="shared" si="0"/>
        <v>0</v>
      </c>
      <c r="I32" s="25">
        <v>64.16</v>
      </c>
      <c r="J32" s="40">
        <v>21</v>
      </c>
      <c r="K32" s="40">
        <v>81</v>
      </c>
      <c r="L32" s="41">
        <v>67</v>
      </c>
      <c r="M32" s="42">
        <v>48</v>
      </c>
      <c r="N32" s="43"/>
    </row>
    <row r="33" spans="2:14" s="33" customFormat="1" ht="11.25" customHeight="1" x14ac:dyDescent="0.25">
      <c r="B33" s="34"/>
      <c r="C33" s="34"/>
      <c r="D33" s="39">
        <v>44316</v>
      </c>
      <c r="E33" s="24"/>
      <c r="F33" s="24">
        <v>1065</v>
      </c>
      <c r="G33" s="24">
        <f t="shared" si="1"/>
        <v>1065</v>
      </c>
      <c r="H33" s="25">
        <f t="shared" si="0"/>
        <v>0</v>
      </c>
      <c r="I33" s="25">
        <v>64.16</v>
      </c>
      <c r="J33" s="40">
        <v>4</v>
      </c>
      <c r="K33" s="40">
        <v>79</v>
      </c>
      <c r="L33" s="41">
        <v>53</v>
      </c>
      <c r="M33" s="42">
        <v>59</v>
      </c>
      <c r="N33" s="43"/>
    </row>
    <row r="34" spans="2:14" s="33" customFormat="1" ht="11.25" customHeight="1" x14ac:dyDescent="0.25">
      <c r="D34" s="45" t="s">
        <v>29</v>
      </c>
      <c r="E34" s="60"/>
      <c r="F34" s="60"/>
      <c r="G34" s="61"/>
      <c r="H34" s="47">
        <f>SUM(H4:H33)</f>
        <v>-9039</v>
      </c>
      <c r="I34" s="93">
        <f>SUM(I4:I33)</f>
        <v>1924.8000000000009</v>
      </c>
      <c r="J34" s="40">
        <v>405</v>
      </c>
      <c r="K34" s="40">
        <v>1898</v>
      </c>
      <c r="L34" s="41">
        <v>1640</v>
      </c>
      <c r="M34" s="42">
        <v>1431</v>
      </c>
      <c r="N34" s="43"/>
    </row>
    <row r="35" spans="2:14" x14ac:dyDescent="0.25">
      <c r="H35" s="49"/>
      <c r="L35" s="32"/>
    </row>
    <row r="36" spans="2:14" x14ac:dyDescent="0.25">
      <c r="D36" s="50" t="s">
        <v>53</v>
      </c>
      <c r="L36" s="32"/>
    </row>
    <row r="37" spans="2:14" x14ac:dyDescent="0.25">
      <c r="L37" s="32"/>
    </row>
    <row r="38" spans="2:14" x14ac:dyDescent="0.25">
      <c r="D38" s="51"/>
      <c r="L38" s="32"/>
    </row>
    <row r="39" spans="2:14" x14ac:dyDescent="0.25"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17" sqref="F17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7" t="s">
        <v>55</v>
      </c>
      <c r="E1" s="107"/>
      <c r="F1" s="107"/>
      <c r="G1" s="107"/>
      <c r="H1" s="107"/>
      <c r="I1" s="107"/>
      <c r="J1" s="107"/>
      <c r="K1" s="107"/>
    </row>
    <row r="2" spans="2:18" ht="8.1" customHeight="1" x14ac:dyDescent="0.25">
      <c r="D2" s="52"/>
      <c r="E2" s="52"/>
      <c r="F2" s="52"/>
      <c r="G2" s="52"/>
      <c r="H2" s="52"/>
      <c r="I2" s="52"/>
      <c r="J2" s="52"/>
      <c r="K2" s="52"/>
    </row>
    <row r="3" spans="2:18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3">
        <v>2015</v>
      </c>
      <c r="M3" s="54">
        <v>2014</v>
      </c>
      <c r="N3" s="55">
        <v>2013</v>
      </c>
      <c r="O3" s="56">
        <v>2020</v>
      </c>
      <c r="P3" s="41">
        <v>2019</v>
      </c>
      <c r="Q3" s="42">
        <v>2018</v>
      </c>
      <c r="R3" s="43">
        <v>2017</v>
      </c>
    </row>
    <row r="4" spans="2:18" s="33" customFormat="1" ht="11.25" customHeight="1" x14ac:dyDescent="0.25">
      <c r="D4" s="39">
        <v>44287</v>
      </c>
      <c r="E4" s="24">
        <v>760788</v>
      </c>
      <c r="F4" s="24">
        <v>172103</v>
      </c>
      <c r="G4" s="24">
        <f>E4+F4</f>
        <v>932891</v>
      </c>
      <c r="H4" s="18">
        <v>1.287784</v>
      </c>
      <c r="I4" s="24">
        <f t="shared" ref="I4:I33" si="0">H4*G4</f>
        <v>1201362.1035440001</v>
      </c>
      <c r="J4" s="25">
        <v>0</v>
      </c>
      <c r="K4" s="23">
        <v>641.66</v>
      </c>
      <c r="L4" s="94">
        <v>288</v>
      </c>
      <c r="M4" s="95">
        <v>658</v>
      </c>
      <c r="N4" s="96">
        <v>569.85437899990939</v>
      </c>
      <c r="O4" s="97">
        <v>486</v>
      </c>
      <c r="P4" s="57"/>
      <c r="Q4" s="58"/>
      <c r="R4" s="59"/>
    </row>
    <row r="5" spans="2:18" s="33" customFormat="1" ht="11.25" customHeight="1" x14ac:dyDescent="0.25">
      <c r="D5" s="39">
        <v>44288</v>
      </c>
      <c r="E5" s="24">
        <v>760788</v>
      </c>
      <c r="F5" s="24">
        <v>172103</v>
      </c>
      <c r="G5" s="24">
        <f t="shared" ref="G5:G33" si="1">E5+F5</f>
        <v>932891</v>
      </c>
      <c r="H5" s="18">
        <v>1.287784</v>
      </c>
      <c r="I5" s="24">
        <f t="shared" si="0"/>
        <v>1201362.1035440001</v>
      </c>
      <c r="J5" s="25">
        <f t="shared" ref="J5:J31" si="2">I5-I4</f>
        <v>0</v>
      </c>
      <c r="K5" s="23">
        <v>641.66</v>
      </c>
      <c r="L5" s="94">
        <v>276.87355999997817</v>
      </c>
      <c r="M5" s="95">
        <v>618.85055999993347</v>
      </c>
      <c r="N5" s="96">
        <v>545.41367200005334</v>
      </c>
      <c r="O5" s="97">
        <v>490.48398699995596</v>
      </c>
      <c r="P5" s="57"/>
      <c r="Q5" s="58"/>
      <c r="R5" s="59"/>
    </row>
    <row r="6" spans="2:18" s="33" customFormat="1" ht="11.25" customHeight="1" x14ac:dyDescent="0.25">
      <c r="D6" s="39">
        <v>44289</v>
      </c>
      <c r="E6" s="24">
        <v>760788</v>
      </c>
      <c r="F6" s="24">
        <v>172103</v>
      </c>
      <c r="G6" s="24">
        <f t="shared" si="1"/>
        <v>932891</v>
      </c>
      <c r="H6" s="18">
        <v>1.287784</v>
      </c>
      <c r="I6" s="24">
        <f t="shared" si="0"/>
        <v>1201362.1035440001</v>
      </c>
      <c r="J6" s="25">
        <f t="shared" si="2"/>
        <v>0</v>
      </c>
      <c r="K6" s="23">
        <v>641.66</v>
      </c>
      <c r="L6" s="94">
        <v>320.6582159998361</v>
      </c>
      <c r="M6" s="95">
        <v>617.56128799996804</v>
      </c>
      <c r="N6" s="96">
        <v>564.70896700001322</v>
      </c>
      <c r="O6" s="97">
        <v>433.54125500004739</v>
      </c>
      <c r="P6" s="57"/>
      <c r="Q6" s="58"/>
      <c r="R6" s="59"/>
    </row>
    <row r="7" spans="2:18" s="33" customFormat="1" ht="11.25" customHeight="1" x14ac:dyDescent="0.25">
      <c r="D7" s="39">
        <v>44290</v>
      </c>
      <c r="E7" s="24">
        <v>760788</v>
      </c>
      <c r="F7" s="24">
        <v>172103</v>
      </c>
      <c r="G7" s="24">
        <f t="shared" si="1"/>
        <v>932891</v>
      </c>
      <c r="H7" s="18">
        <v>1.287784</v>
      </c>
      <c r="I7" s="24">
        <f t="shared" si="0"/>
        <v>1201362.1035440001</v>
      </c>
      <c r="J7" s="25">
        <f t="shared" si="2"/>
        <v>0</v>
      </c>
      <c r="K7" s="23">
        <v>641.66</v>
      </c>
      <c r="L7" s="94">
        <v>146.80737600009888</v>
      </c>
      <c r="M7" s="95">
        <v>594.35439200000837</v>
      </c>
      <c r="N7" s="96">
        <v>591.72237999993376</v>
      </c>
      <c r="O7" s="97">
        <v>388.2</v>
      </c>
      <c r="P7" s="57"/>
      <c r="Q7" s="58"/>
      <c r="R7" s="59"/>
    </row>
    <row r="8" spans="2:18" s="33" customFormat="1" ht="11.25" customHeight="1" x14ac:dyDescent="0.25">
      <c r="D8" s="39">
        <v>44291</v>
      </c>
      <c r="E8" s="24">
        <v>760788</v>
      </c>
      <c r="F8" s="24">
        <v>172103</v>
      </c>
      <c r="G8" s="24">
        <f t="shared" si="1"/>
        <v>932891</v>
      </c>
      <c r="H8" s="18">
        <v>1.287784</v>
      </c>
      <c r="I8" s="24">
        <f t="shared" si="0"/>
        <v>1201362.1035440001</v>
      </c>
      <c r="J8" s="25">
        <f t="shared" si="2"/>
        <v>0</v>
      </c>
      <c r="K8" s="23">
        <v>641.66</v>
      </c>
      <c r="L8" s="94">
        <v>82.418176000006497</v>
      </c>
      <c r="M8" s="95">
        <v>560.8333200000925</v>
      </c>
      <c r="N8" s="96">
        <v>593.00873300002422</v>
      </c>
      <c r="O8" s="97">
        <v>188.9</v>
      </c>
      <c r="P8" s="57"/>
      <c r="Q8" s="58"/>
      <c r="R8" s="59"/>
    </row>
    <row r="9" spans="2:18" s="33" customFormat="1" ht="11.25" customHeight="1" x14ac:dyDescent="0.25">
      <c r="D9" s="39">
        <v>44292</v>
      </c>
      <c r="E9" s="24">
        <v>760788</v>
      </c>
      <c r="F9" s="24">
        <v>172103</v>
      </c>
      <c r="G9" s="24">
        <f t="shared" si="1"/>
        <v>932891</v>
      </c>
      <c r="H9" s="18">
        <v>1.287784</v>
      </c>
      <c r="I9" s="24">
        <f t="shared" si="0"/>
        <v>1201362.1035440001</v>
      </c>
      <c r="J9" s="25">
        <f t="shared" si="2"/>
        <v>0</v>
      </c>
      <c r="K9" s="23">
        <v>641.66</v>
      </c>
      <c r="L9" s="94">
        <v>72.115903999889269</v>
      </c>
      <c r="M9" s="95">
        <v>581.46167200000491</v>
      </c>
      <c r="N9" s="96">
        <v>559.56355500000063</v>
      </c>
      <c r="O9" s="97">
        <v>883.9</v>
      </c>
      <c r="P9" s="57"/>
      <c r="Q9" s="58"/>
      <c r="R9" s="59"/>
    </row>
    <row r="10" spans="2:18" s="33" customFormat="1" ht="11.25" x14ac:dyDescent="0.25">
      <c r="D10" s="39">
        <v>44293</v>
      </c>
      <c r="E10" s="24">
        <v>760788</v>
      </c>
      <c r="F10" s="24">
        <v>172103</v>
      </c>
      <c r="G10" s="24">
        <f t="shared" si="1"/>
        <v>932891</v>
      </c>
      <c r="H10" s="18">
        <v>1.287784</v>
      </c>
      <c r="I10" s="24">
        <f t="shared" si="0"/>
        <v>1201362.1035440001</v>
      </c>
      <c r="J10" s="25">
        <f t="shared" si="2"/>
        <v>0</v>
      </c>
      <c r="K10" s="23">
        <v>641.66</v>
      </c>
      <c r="L10" s="94">
        <v>78.55482399999164</v>
      </c>
      <c r="M10" s="95">
        <v>568.56895200000145</v>
      </c>
      <c r="N10" s="96">
        <v>545.79999999999995</v>
      </c>
      <c r="O10" s="97">
        <v>545.55124999990221</v>
      </c>
      <c r="P10" s="57"/>
      <c r="Q10" s="58"/>
      <c r="R10" s="59"/>
    </row>
    <row r="11" spans="2:18" s="33" customFormat="1" ht="11.25" customHeight="1" x14ac:dyDescent="0.25">
      <c r="D11" s="39">
        <v>44294</v>
      </c>
      <c r="E11" s="24">
        <v>760788</v>
      </c>
      <c r="F11" s="24">
        <v>172103</v>
      </c>
      <c r="G11" s="24">
        <f t="shared" si="1"/>
        <v>932891</v>
      </c>
      <c r="H11" s="18">
        <v>1.287784</v>
      </c>
      <c r="I11" s="24">
        <f t="shared" si="0"/>
        <v>1201362.1035440001</v>
      </c>
      <c r="J11" s="25">
        <f t="shared" si="2"/>
        <v>0</v>
      </c>
      <c r="K11" s="23">
        <v>641.66</v>
      </c>
      <c r="L11" s="94">
        <v>75.979256000136957</v>
      </c>
      <c r="M11" s="95">
        <v>545.36205599992536</v>
      </c>
      <c r="N11" s="96">
        <v>572.42708499997389</v>
      </c>
      <c r="O11" s="97">
        <v>598.18090000003576</v>
      </c>
      <c r="P11" s="57"/>
      <c r="Q11" s="58"/>
      <c r="R11" s="59"/>
    </row>
    <row r="12" spans="2:18" s="33" customFormat="1" ht="11.25" customHeight="1" x14ac:dyDescent="0.25">
      <c r="D12" s="39">
        <v>44295</v>
      </c>
      <c r="E12" s="24">
        <v>760788</v>
      </c>
      <c r="F12" s="24">
        <v>172103</v>
      </c>
      <c r="G12" s="24">
        <f>E12+F12</f>
        <v>932891</v>
      </c>
      <c r="H12" s="18">
        <v>1.287784</v>
      </c>
      <c r="I12" s="24">
        <f t="shared" si="0"/>
        <v>1201362.1035440001</v>
      </c>
      <c r="J12" s="25">
        <f t="shared" si="2"/>
        <v>0</v>
      </c>
      <c r="K12" s="23">
        <v>641.66</v>
      </c>
      <c r="L12" s="94">
        <v>56.662496000062674</v>
      </c>
      <c r="M12" s="95">
        <v>529.89079199999105</v>
      </c>
      <c r="N12" s="96">
        <v>585.29061500006355</v>
      </c>
      <c r="O12" s="97">
        <v>539.13300000003073</v>
      </c>
      <c r="P12" s="57"/>
      <c r="Q12" s="58"/>
      <c r="R12" s="59"/>
    </row>
    <row r="13" spans="2:18" s="33" customFormat="1" ht="11.25" customHeight="1" x14ac:dyDescent="0.25">
      <c r="D13" s="39">
        <v>44296</v>
      </c>
      <c r="E13" s="24">
        <v>760788</v>
      </c>
      <c r="F13" s="24">
        <v>172103</v>
      </c>
      <c r="G13" s="24">
        <f>E13+F13</f>
        <v>932891</v>
      </c>
      <c r="H13" s="18">
        <v>1.287784</v>
      </c>
      <c r="I13" s="24">
        <f t="shared" si="0"/>
        <v>1201362.1035440001</v>
      </c>
      <c r="J13" s="25">
        <f>I13-I12</f>
        <v>0</v>
      </c>
      <c r="K13" s="23">
        <v>641.66</v>
      </c>
      <c r="L13" s="94">
        <v>72.115903999889269</v>
      </c>
      <c r="M13" s="95">
        <v>564.70113599998876</v>
      </c>
      <c r="N13" s="96">
        <v>541.5546130000148</v>
      </c>
      <c r="O13" s="97">
        <v>559.67139999999199</v>
      </c>
      <c r="P13" s="57"/>
      <c r="Q13" s="58"/>
      <c r="R13" s="59"/>
    </row>
    <row r="14" spans="2:18" s="33" customFormat="1" ht="11.25" customHeight="1" x14ac:dyDescent="0.25">
      <c r="D14" s="39">
        <v>44297</v>
      </c>
      <c r="E14" s="24">
        <v>760788</v>
      </c>
      <c r="F14" s="24">
        <v>172103</v>
      </c>
      <c r="G14" s="24">
        <f t="shared" si="1"/>
        <v>932891</v>
      </c>
      <c r="H14" s="18">
        <v>1.287784</v>
      </c>
      <c r="I14" s="24">
        <f t="shared" si="0"/>
        <v>1201362.1035440001</v>
      </c>
      <c r="J14" s="25">
        <f t="shared" si="2"/>
        <v>0</v>
      </c>
      <c r="K14" s="23">
        <v>641.66</v>
      </c>
      <c r="L14" s="94">
        <v>159.6852160000708</v>
      </c>
      <c r="M14" s="95">
        <v>581.46167200000491</v>
      </c>
      <c r="N14" s="96">
        <v>586.57696799992118</v>
      </c>
      <c r="O14" s="97">
        <v>505.75809999997728</v>
      </c>
      <c r="P14" s="57"/>
      <c r="Q14" s="58"/>
      <c r="R14" s="59"/>
    </row>
    <row r="15" spans="2:18" s="33" customFormat="1" ht="11.25" customHeight="1" x14ac:dyDescent="0.25">
      <c r="D15" s="39">
        <v>44298</v>
      </c>
      <c r="E15" s="24">
        <v>760788</v>
      </c>
      <c r="F15" s="24">
        <v>172121</v>
      </c>
      <c r="G15" s="24">
        <f>E15+F15</f>
        <v>932909</v>
      </c>
      <c r="H15" s="18">
        <v>1.287784</v>
      </c>
      <c r="I15" s="24">
        <f t="shared" si="0"/>
        <v>1201385.2836559999</v>
      </c>
      <c r="J15" s="25">
        <f t="shared" si="2"/>
        <v>23.180111999856308</v>
      </c>
      <c r="K15" s="23">
        <v>641.66</v>
      </c>
      <c r="L15" s="94">
        <v>248.54231199994683</v>
      </c>
      <c r="M15" s="95">
        <v>572.43676800001413</v>
      </c>
      <c r="N15" s="96">
        <v>528.69108300004154</v>
      </c>
      <c r="O15" s="97">
        <v>526.29650000005495</v>
      </c>
      <c r="P15" s="57"/>
      <c r="Q15" s="58"/>
      <c r="R15" s="59"/>
    </row>
    <row r="16" spans="2:18" s="33" customFormat="1" ht="11.25" customHeight="1" x14ac:dyDescent="0.25">
      <c r="D16" s="39">
        <v>44299</v>
      </c>
      <c r="E16" s="24">
        <v>760788</v>
      </c>
      <c r="F16" s="24">
        <v>172133</v>
      </c>
      <c r="G16" s="24">
        <f>E16+F16</f>
        <v>932921</v>
      </c>
      <c r="H16" s="18">
        <v>1.287784</v>
      </c>
      <c r="I16" s="24">
        <f t="shared" si="0"/>
        <v>1201400.737064</v>
      </c>
      <c r="J16" s="25">
        <f t="shared" si="2"/>
        <v>15.453408000059426</v>
      </c>
      <c r="K16" s="23">
        <v>641.66</v>
      </c>
      <c r="L16" s="94">
        <v>167.41192000010051</v>
      </c>
      <c r="M16" s="95">
        <v>589.19730400003027</v>
      </c>
      <c r="N16" s="96">
        <v>472.09155100001954</v>
      </c>
      <c r="O16" s="97">
        <v>562.23869999998715</v>
      </c>
      <c r="P16" s="57"/>
      <c r="Q16" s="58"/>
      <c r="R16" s="59"/>
    </row>
    <row r="17" spans="4:18" s="33" customFormat="1" ht="11.25" customHeight="1" x14ac:dyDescent="0.25">
      <c r="D17" s="39">
        <v>44300</v>
      </c>
      <c r="E17" s="24"/>
      <c r="F17" s="24"/>
      <c r="G17" s="24">
        <f t="shared" si="1"/>
        <v>0</v>
      </c>
      <c r="H17" s="18">
        <v>1.287784</v>
      </c>
      <c r="I17" s="24">
        <f t="shared" si="0"/>
        <v>0</v>
      </c>
      <c r="J17" s="25">
        <f t="shared" si="2"/>
        <v>-1201400.737064</v>
      </c>
      <c r="K17" s="23">
        <v>641.66</v>
      </c>
      <c r="L17" s="94">
        <v>28.331247999798506</v>
      </c>
      <c r="M17" s="95">
        <v>560.83331999997608</v>
      </c>
      <c r="N17" s="96">
        <v>499.10496399994008</v>
      </c>
      <c r="O17" s="97">
        <v>436.44099999999162</v>
      </c>
      <c r="P17" s="57"/>
      <c r="Q17" s="58"/>
      <c r="R17" s="59"/>
    </row>
    <row r="18" spans="4:18" s="33" customFormat="1" ht="11.25" customHeight="1" x14ac:dyDescent="0.25">
      <c r="D18" s="39">
        <v>44301</v>
      </c>
      <c r="E18" s="24"/>
      <c r="F18" s="24"/>
      <c r="G18" s="24">
        <f t="shared" si="1"/>
        <v>0</v>
      </c>
      <c r="H18" s="18">
        <v>1.287784</v>
      </c>
      <c r="I18" s="24">
        <f t="shared" si="0"/>
        <v>0</v>
      </c>
      <c r="J18" s="25">
        <f t="shared" si="2"/>
        <v>0</v>
      </c>
      <c r="K18" s="23">
        <v>641.66</v>
      </c>
      <c r="L18" s="94">
        <v>173.85084000020288</v>
      </c>
      <c r="M18" s="95">
        <v>526.02297599997837</v>
      </c>
      <c r="N18" s="96">
        <v>595.58143900008872</v>
      </c>
      <c r="O18" s="97">
        <v>408.20069999992847</v>
      </c>
      <c r="P18" s="57"/>
      <c r="Q18" s="58"/>
      <c r="R18" s="59"/>
    </row>
    <row r="19" spans="4:18" s="33" customFormat="1" ht="11.25" customHeight="1" x14ac:dyDescent="0.25">
      <c r="D19" s="39">
        <v>44302</v>
      </c>
      <c r="E19" s="24"/>
      <c r="F19" s="24"/>
      <c r="G19" s="24">
        <f t="shared" si="1"/>
        <v>0</v>
      </c>
      <c r="H19" s="18">
        <v>1.287784</v>
      </c>
      <c r="I19" s="24">
        <f t="shared" si="0"/>
        <v>0</v>
      </c>
      <c r="J19" s="25">
        <f t="shared" si="2"/>
        <v>0</v>
      </c>
      <c r="K19" s="23">
        <v>641.66</v>
      </c>
      <c r="L19" s="94">
        <v>88.857095999876037</v>
      </c>
      <c r="M19" s="95">
        <v>645.92527200002223</v>
      </c>
      <c r="N19" s="96">
        <v>514.54119999997783</v>
      </c>
      <c r="O19" s="97">
        <v>358.13835000002291</v>
      </c>
      <c r="P19" s="57"/>
      <c r="Q19" s="58"/>
      <c r="R19" s="59"/>
    </row>
    <row r="20" spans="4:18" s="33" customFormat="1" ht="11.25" customHeight="1" x14ac:dyDescent="0.25">
      <c r="D20" s="39">
        <v>44303</v>
      </c>
      <c r="E20" s="24"/>
      <c r="F20" s="24"/>
      <c r="G20" s="24">
        <f t="shared" si="1"/>
        <v>0</v>
      </c>
      <c r="H20" s="18">
        <v>1.287784</v>
      </c>
      <c r="I20" s="24">
        <f t="shared" si="0"/>
        <v>0</v>
      </c>
      <c r="J20" s="25">
        <f t="shared" si="2"/>
        <v>0</v>
      </c>
      <c r="K20" s="23">
        <v>641.66</v>
      </c>
      <c r="L20" s="94">
        <v>83.705959999933839</v>
      </c>
      <c r="M20" s="95">
        <v>630.45400799997151</v>
      </c>
      <c r="N20" s="96">
        <v>504.25037599995267</v>
      </c>
      <c r="O20" s="97">
        <v>347.86915000004228</v>
      </c>
      <c r="P20" s="57"/>
      <c r="Q20" s="58"/>
      <c r="R20" s="59"/>
    </row>
    <row r="21" spans="4:18" s="33" customFormat="1" ht="11.25" customHeight="1" x14ac:dyDescent="0.25">
      <c r="D21" s="39">
        <v>44304</v>
      </c>
      <c r="E21" s="24"/>
      <c r="F21" s="24"/>
      <c r="G21" s="24">
        <f t="shared" si="1"/>
        <v>0</v>
      </c>
      <c r="H21" s="18">
        <v>1.287784</v>
      </c>
      <c r="I21" s="24">
        <f t="shared" si="0"/>
        <v>0</v>
      </c>
      <c r="J21" s="25">
        <f t="shared" si="2"/>
        <v>0</v>
      </c>
      <c r="K21" s="23">
        <v>641.66</v>
      </c>
      <c r="L21" s="94">
        <v>60.525848000077531</v>
      </c>
      <c r="M21" s="95">
        <v>613.69347200007178</v>
      </c>
      <c r="N21" s="96">
        <v>508.10943499999121</v>
      </c>
      <c r="O21" s="97">
        <v>344.01819999993313</v>
      </c>
      <c r="P21" s="57"/>
      <c r="Q21" s="58"/>
      <c r="R21" s="59"/>
    </row>
    <row r="22" spans="4:18" s="33" customFormat="1" ht="11.25" customHeight="1" x14ac:dyDescent="0.25">
      <c r="D22" s="39">
        <v>44305</v>
      </c>
      <c r="E22" s="24"/>
      <c r="F22" s="24"/>
      <c r="G22" s="24">
        <f t="shared" si="1"/>
        <v>0</v>
      </c>
      <c r="H22" s="18">
        <v>1.287784</v>
      </c>
      <c r="I22" s="24">
        <f t="shared" si="0"/>
        <v>0</v>
      </c>
      <c r="J22" s="25">
        <f t="shared" si="2"/>
        <v>0</v>
      </c>
      <c r="K22" s="23">
        <v>641.66</v>
      </c>
      <c r="L22" s="94">
        <v>64.389200000092387</v>
      </c>
      <c r="M22" s="95">
        <v>604.66856799996458</v>
      </c>
      <c r="N22" s="96">
        <v>532.55014200008009</v>
      </c>
      <c r="O22" s="97">
        <v>491.63795000000391</v>
      </c>
      <c r="P22" s="57"/>
      <c r="Q22" s="58"/>
      <c r="R22" s="59"/>
    </row>
    <row r="23" spans="4:18" s="33" customFormat="1" ht="11.25" customHeight="1" x14ac:dyDescent="0.25">
      <c r="D23" s="39">
        <v>44306</v>
      </c>
      <c r="E23" s="24"/>
      <c r="F23" s="24"/>
      <c r="G23" s="24">
        <f t="shared" si="1"/>
        <v>0</v>
      </c>
      <c r="H23" s="18">
        <v>1.287784</v>
      </c>
      <c r="I23" s="24">
        <f t="shared" si="0"/>
        <v>0</v>
      </c>
      <c r="J23" s="25">
        <f t="shared" si="2"/>
        <v>0</v>
      </c>
      <c r="K23" s="23">
        <v>641.66</v>
      </c>
      <c r="L23" s="94">
        <v>61.813632000004873</v>
      </c>
      <c r="M23" s="95">
        <v>698.78542400000151</v>
      </c>
      <c r="N23" s="96">
        <v>464.37343299994245</v>
      </c>
      <c r="O23" s="97">
        <v>458.26305000006687</v>
      </c>
      <c r="P23" s="57"/>
      <c r="Q23" s="58"/>
      <c r="R23" s="59"/>
    </row>
    <row r="24" spans="4:18" s="33" customFormat="1" ht="11.25" customHeight="1" x14ac:dyDescent="0.25">
      <c r="D24" s="39">
        <v>44307</v>
      </c>
      <c r="E24" s="24"/>
      <c r="F24" s="24"/>
      <c r="G24" s="24">
        <f t="shared" si="1"/>
        <v>0</v>
      </c>
      <c r="H24" s="18">
        <v>1.287784</v>
      </c>
      <c r="I24" s="24">
        <f t="shared" si="0"/>
        <v>0</v>
      </c>
      <c r="J24" s="25">
        <f t="shared" si="2"/>
        <v>0</v>
      </c>
      <c r="K24" s="23">
        <v>641.66</v>
      </c>
      <c r="L24" s="94">
        <v>66.964767999947071</v>
      </c>
      <c r="M24" s="95">
        <v>697.49615200003609</v>
      </c>
      <c r="N24" s="96">
        <v>501.67767000000458</v>
      </c>
      <c r="O24" s="97">
        <v>406.9170499999309</v>
      </c>
      <c r="P24" s="57"/>
      <c r="Q24" s="58"/>
      <c r="R24" s="59"/>
    </row>
    <row r="25" spans="4:18" s="33" customFormat="1" ht="11.25" customHeight="1" x14ac:dyDescent="0.25">
      <c r="D25" s="39">
        <v>44308</v>
      </c>
      <c r="E25" s="24"/>
      <c r="F25" s="24"/>
      <c r="G25" s="24">
        <f t="shared" si="1"/>
        <v>0</v>
      </c>
      <c r="H25" s="18">
        <v>1.287784</v>
      </c>
      <c r="I25" s="24">
        <f t="shared" si="0"/>
        <v>0</v>
      </c>
      <c r="J25" s="25">
        <f>I25-I24</f>
        <v>0</v>
      </c>
      <c r="K25" s="23">
        <v>641.66</v>
      </c>
      <c r="L25" s="94">
        <v>82.418176000006497</v>
      </c>
      <c r="M25" s="95">
        <v>711.67814400000498</v>
      </c>
      <c r="N25" s="96">
        <v>514.54119999997783</v>
      </c>
      <c r="O25" s="97">
        <v>482.65240000002086</v>
      </c>
      <c r="P25" s="57"/>
      <c r="Q25" s="58"/>
      <c r="R25" s="59"/>
    </row>
    <row r="26" spans="4:18" s="33" customFormat="1" ht="11.25" customHeight="1" x14ac:dyDescent="0.25">
      <c r="D26" s="39">
        <v>44309</v>
      </c>
      <c r="E26" s="24"/>
      <c r="F26" s="24"/>
      <c r="G26" s="24">
        <f t="shared" si="1"/>
        <v>0</v>
      </c>
      <c r="H26" s="18">
        <v>1.287784</v>
      </c>
      <c r="I26" s="24">
        <f t="shared" si="0"/>
        <v>0</v>
      </c>
      <c r="J26" s="25">
        <f>I26-I25</f>
        <v>0</v>
      </c>
      <c r="K26" s="23">
        <v>641.66</v>
      </c>
      <c r="L26" s="94">
        <v>99.159367999993265</v>
      </c>
      <c r="M26" s="95">
        <v>639.5</v>
      </c>
      <c r="N26" s="96">
        <v>504.25037600006908</v>
      </c>
      <c r="O26" s="97">
        <v>557.10409999999683</v>
      </c>
      <c r="P26" s="57"/>
      <c r="Q26" s="58"/>
      <c r="R26" s="59"/>
    </row>
    <row r="27" spans="4:18" s="33" customFormat="1" ht="11.25" customHeight="1" x14ac:dyDescent="0.25">
      <c r="D27" s="39">
        <v>44310</v>
      </c>
      <c r="E27" s="24"/>
      <c r="F27" s="24"/>
      <c r="G27" s="24">
        <f t="shared" si="1"/>
        <v>0</v>
      </c>
      <c r="H27" s="18">
        <v>1.287784</v>
      </c>
      <c r="I27" s="24">
        <f t="shared" si="0"/>
        <v>0</v>
      </c>
      <c r="J27" s="25">
        <f t="shared" si="2"/>
        <v>0</v>
      </c>
      <c r="K27" s="23">
        <v>641.66</v>
      </c>
      <c r="L27" s="94">
        <v>121.05169599992223</v>
      </c>
      <c r="M27" s="95">
        <v>591.61670400004368</v>
      </c>
      <c r="N27" s="96">
        <v>472.09155100001954</v>
      </c>
      <c r="O27" s="97">
        <v>505.75810000009369</v>
      </c>
      <c r="P27" s="57"/>
      <c r="Q27" s="58"/>
      <c r="R27" s="59"/>
    </row>
    <row r="28" spans="4:18" s="33" customFormat="1" ht="11.25" customHeight="1" x14ac:dyDescent="0.25">
      <c r="D28" s="39">
        <v>44311</v>
      </c>
      <c r="E28" s="24"/>
      <c r="F28" s="24"/>
      <c r="G28" s="24">
        <f t="shared" si="1"/>
        <v>0</v>
      </c>
      <c r="H28" s="18">
        <v>1.287784</v>
      </c>
      <c r="I28" s="24">
        <f t="shared" si="0"/>
        <v>0</v>
      </c>
      <c r="J28" s="25">
        <f t="shared" si="2"/>
        <v>0</v>
      </c>
      <c r="K28" s="23">
        <v>641.66</v>
      </c>
      <c r="L28" s="94">
        <v>126.20283200009726</v>
      </c>
      <c r="M28" s="95">
        <v>539.34022799995728</v>
      </c>
      <c r="N28" s="96">
        <v>457.94166799995583</v>
      </c>
      <c r="O28" s="97">
        <v>435.15734999999404</v>
      </c>
      <c r="P28" s="57"/>
      <c r="Q28" s="58"/>
      <c r="R28" s="59"/>
    </row>
    <row r="29" spans="4:18" s="33" customFormat="1" ht="11.25" customHeight="1" x14ac:dyDescent="0.25">
      <c r="D29" s="39">
        <v>44312</v>
      </c>
      <c r="E29" s="24"/>
      <c r="F29" s="24"/>
      <c r="G29" s="24">
        <f t="shared" si="1"/>
        <v>0</v>
      </c>
      <c r="H29" s="18">
        <v>1.287784</v>
      </c>
      <c r="I29" s="24">
        <f t="shared" si="0"/>
        <v>0</v>
      </c>
      <c r="J29" s="25">
        <f t="shared" si="2"/>
        <v>0</v>
      </c>
      <c r="K29" s="23">
        <v>641.66</v>
      </c>
      <c r="L29" s="94">
        <v>66.964767999947071</v>
      </c>
      <c r="M29" s="95">
        <v>541.89029999997001</v>
      </c>
      <c r="N29" s="96">
        <v>442.50543200003449</v>
      </c>
      <c r="O29" s="97">
        <v>414.61894999991637</v>
      </c>
      <c r="P29" s="57"/>
      <c r="Q29" s="58"/>
      <c r="R29" s="59"/>
    </row>
    <row r="30" spans="4:18" s="33" customFormat="1" ht="11.25" customHeight="1" x14ac:dyDescent="0.25">
      <c r="D30" s="39">
        <v>44313</v>
      </c>
      <c r="E30" s="24"/>
      <c r="F30" s="24"/>
      <c r="G30" s="24">
        <f t="shared" si="1"/>
        <v>0</v>
      </c>
      <c r="H30" s="18">
        <v>1.287784</v>
      </c>
      <c r="I30" s="24">
        <f t="shared" si="0"/>
        <v>0</v>
      </c>
      <c r="J30" s="25">
        <f t="shared" si="2"/>
        <v>0</v>
      </c>
      <c r="K30" s="23">
        <v>641.66</v>
      </c>
      <c r="L30" s="94">
        <v>60.525848000077531</v>
      </c>
      <c r="M30" s="95">
        <v>600.54195600003004</v>
      </c>
      <c r="N30" s="96">
        <v>464.37343299994245</v>
      </c>
      <c r="O30" s="97">
        <v>391.51325000007637</v>
      </c>
      <c r="P30" s="57"/>
      <c r="Q30" s="58"/>
      <c r="R30" s="59"/>
    </row>
    <row r="31" spans="4:18" s="33" customFormat="1" ht="11.25" customHeight="1" x14ac:dyDescent="0.25">
      <c r="D31" s="39">
        <v>44314</v>
      </c>
      <c r="E31" s="24"/>
      <c r="F31" s="24"/>
      <c r="G31" s="24">
        <f t="shared" si="1"/>
        <v>0</v>
      </c>
      <c r="H31" s="18">
        <v>1.287784</v>
      </c>
      <c r="I31" s="24">
        <f t="shared" si="0"/>
        <v>0</v>
      </c>
      <c r="J31" s="25">
        <f t="shared" si="2"/>
        <v>0</v>
      </c>
      <c r="K31" s="23">
        <v>641.66</v>
      </c>
      <c r="L31" s="94">
        <v>63.101415999932215</v>
      </c>
      <c r="M31" s="95">
        <v>541.89029999997001</v>
      </c>
      <c r="N31" s="96">
        <v>479.8</v>
      </c>
      <c r="O31" s="97">
        <v>363.27295000001322</v>
      </c>
      <c r="P31" s="57"/>
      <c r="Q31" s="58"/>
      <c r="R31" s="59"/>
    </row>
    <row r="32" spans="4:18" s="33" customFormat="1" ht="11.25" customHeight="1" x14ac:dyDescent="0.25">
      <c r="D32" s="39">
        <v>44315</v>
      </c>
      <c r="E32" s="24"/>
      <c r="F32" s="24"/>
      <c r="G32" s="24">
        <f t="shared" si="1"/>
        <v>0</v>
      </c>
      <c r="H32" s="18">
        <v>1.287784</v>
      </c>
      <c r="I32" s="24">
        <f t="shared" si="0"/>
        <v>0</v>
      </c>
      <c r="J32" s="25">
        <f>I32-I31</f>
        <v>0</v>
      </c>
      <c r="K32" s="23">
        <v>641.66</v>
      </c>
      <c r="L32" s="94">
        <v>65.676984000019729</v>
      </c>
      <c r="M32" s="95">
        <v>552.09058800002094</v>
      </c>
      <c r="N32" s="96">
        <v>542.38007000007201</v>
      </c>
      <c r="O32" s="97">
        <v>422.32084999990184</v>
      </c>
      <c r="P32" s="57"/>
      <c r="Q32" s="58"/>
      <c r="R32" s="59"/>
    </row>
    <row r="33" spans="4:18" s="33" customFormat="1" ht="11.25" customHeight="1" x14ac:dyDescent="0.25">
      <c r="D33" s="39">
        <v>44316</v>
      </c>
      <c r="E33" s="24"/>
      <c r="F33" s="24"/>
      <c r="G33" s="24">
        <f t="shared" si="1"/>
        <v>0</v>
      </c>
      <c r="H33" s="18">
        <v>1.287784</v>
      </c>
      <c r="I33" s="24">
        <f t="shared" si="0"/>
        <v>0</v>
      </c>
      <c r="J33" s="25">
        <f>I33-I32</f>
        <v>0</v>
      </c>
      <c r="K33" s="23">
        <v>641.66</v>
      </c>
      <c r="L33" s="94">
        <v>51.511359999887645</v>
      </c>
      <c r="M33" s="95">
        <v>513.83950799994636</v>
      </c>
      <c r="N33" s="96">
        <v>465.43778099992778</v>
      </c>
      <c r="O33" s="97">
        <v>422.32085000001825</v>
      </c>
      <c r="P33" s="57"/>
      <c r="Q33" s="58"/>
      <c r="R33" s="59"/>
    </row>
    <row r="34" spans="4:18" s="33" customFormat="1" ht="11.25" customHeight="1" x14ac:dyDescent="0.25">
      <c r="D34" s="45" t="s">
        <v>29</v>
      </c>
      <c r="E34" s="60"/>
      <c r="F34" s="60"/>
      <c r="G34" s="60"/>
      <c r="H34" s="60"/>
      <c r="I34" s="61"/>
      <c r="J34" s="47">
        <f>SUM(J4:J33)</f>
        <v>-1201362.1035440001</v>
      </c>
      <c r="K34" s="93">
        <f>SUM(K4:K33)</f>
        <v>19249.8</v>
      </c>
      <c r="L34" s="98">
        <v>3410.8761999998242</v>
      </c>
      <c r="M34" s="99">
        <v>17792.946831999929</v>
      </c>
      <c r="N34" s="100">
        <v>15720.213770999944</v>
      </c>
      <c r="O34" s="101">
        <v>13954.059341999935</v>
      </c>
      <c r="P34" s="57"/>
      <c r="Q34" s="58"/>
      <c r="R34" s="59"/>
    </row>
    <row r="35" spans="4:18" ht="12" customHeight="1" x14ac:dyDescent="0.25"/>
    <row r="36" spans="4:18" ht="12.75" customHeight="1" x14ac:dyDescent="0.25">
      <c r="L36" s="49">
        <f>+AVERAGE(J4:J8)</f>
        <v>0</v>
      </c>
      <c r="M36" s="17">
        <f>+(L36*31)</f>
        <v>0</v>
      </c>
    </row>
    <row r="37" spans="4:18" ht="12.75" customHeight="1" x14ac:dyDescent="0.25">
      <c r="D37" s="50" t="s">
        <v>50</v>
      </c>
    </row>
    <row r="38" spans="4:18" ht="12.75" customHeight="1" x14ac:dyDescent="0.25">
      <c r="D38" s="51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workbookViewId="0">
      <selection activeCell="F17" sqref="F17"/>
    </sheetView>
  </sheetViews>
  <sheetFormatPr defaultRowHeight="15" x14ac:dyDescent="0.25"/>
  <cols>
    <col min="2" max="2" width="3.140625" customWidth="1"/>
    <col min="3" max="3" width="9.140625" style="62" hidden="1" customWidth="1"/>
    <col min="4" max="4" width="7.7109375" style="62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07" t="s">
        <v>56</v>
      </c>
      <c r="F1" s="107"/>
      <c r="G1" s="107"/>
      <c r="H1" s="107"/>
      <c r="I1" s="107"/>
      <c r="J1" s="107"/>
      <c r="K1" s="31"/>
      <c r="L1" s="31"/>
      <c r="M1" s="31"/>
      <c r="N1" s="31"/>
      <c r="O1" s="17"/>
      <c r="P1" s="17"/>
      <c r="Q1" s="107" t="s">
        <v>47</v>
      </c>
      <c r="R1" s="107"/>
      <c r="S1" s="107"/>
      <c r="T1" s="107"/>
      <c r="U1" s="107"/>
      <c r="V1" s="107"/>
      <c r="W1" s="107"/>
      <c r="X1" s="107"/>
      <c r="Y1" s="17"/>
      <c r="Z1" s="107" t="s">
        <v>48</v>
      </c>
      <c r="AA1" s="107"/>
      <c r="AB1" s="107"/>
      <c r="AC1" s="107"/>
      <c r="AD1" s="107"/>
      <c r="AE1" s="107"/>
      <c r="AF1" s="107"/>
      <c r="AG1" s="107"/>
      <c r="AI1" s="107" t="s">
        <v>49</v>
      </c>
      <c r="AJ1" s="107"/>
      <c r="AK1" s="107"/>
      <c r="AL1" s="107"/>
      <c r="AM1" s="107"/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63" t="s">
        <v>32</v>
      </c>
      <c r="D3" s="63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64">
        <v>2020</v>
      </c>
      <c r="L3" s="35">
        <v>2019</v>
      </c>
      <c r="M3" s="65">
        <v>2018</v>
      </c>
      <c r="N3" s="66">
        <v>2017</v>
      </c>
      <c r="O3" s="44"/>
      <c r="P3" s="33"/>
      <c r="Q3" s="18" t="s">
        <v>11</v>
      </c>
      <c r="R3" s="19" t="s">
        <v>35</v>
      </c>
      <c r="S3" s="19" t="s">
        <v>13</v>
      </c>
      <c r="T3" s="19" t="s">
        <v>36</v>
      </c>
      <c r="U3" s="19" t="s">
        <v>37</v>
      </c>
      <c r="V3" s="19" t="s">
        <v>38</v>
      </c>
      <c r="W3" s="19" t="s">
        <v>39</v>
      </c>
      <c r="X3" s="67" t="s">
        <v>40</v>
      </c>
      <c r="Y3" s="33"/>
      <c r="Z3" s="18" t="s">
        <v>11</v>
      </c>
      <c r="AA3" s="19" t="s">
        <v>35</v>
      </c>
      <c r="AB3" s="19" t="s">
        <v>13</v>
      </c>
      <c r="AC3" s="19" t="s">
        <v>36</v>
      </c>
      <c r="AD3" s="19" t="s">
        <v>41</v>
      </c>
      <c r="AE3" s="19" t="s">
        <v>38</v>
      </c>
      <c r="AF3" s="19" t="s">
        <v>42</v>
      </c>
      <c r="AG3" s="67" t="s">
        <v>40</v>
      </c>
      <c r="AI3" s="18" t="s">
        <v>11</v>
      </c>
      <c r="AJ3" s="19" t="s">
        <v>12</v>
      </c>
      <c r="AK3" s="67" t="s">
        <v>43</v>
      </c>
      <c r="AL3" s="67" t="s">
        <v>44</v>
      </c>
      <c r="AM3" s="67" t="s">
        <v>45</v>
      </c>
      <c r="AN3" s="19" t="s">
        <v>13</v>
      </c>
      <c r="AO3" s="108" t="s">
        <v>43</v>
      </c>
      <c r="AP3" s="109"/>
      <c r="AQ3" s="108" t="s">
        <v>44</v>
      </c>
      <c r="AR3" s="109"/>
      <c r="AS3" s="108" t="s">
        <v>45</v>
      </c>
      <c r="AT3" s="109"/>
      <c r="AU3" s="19"/>
      <c r="AV3" s="19" t="s">
        <v>14</v>
      </c>
      <c r="AW3" s="19" t="s">
        <v>15</v>
      </c>
      <c r="AX3" s="19" t="s">
        <v>34</v>
      </c>
    </row>
    <row r="4" spans="3:50" x14ac:dyDescent="0.25">
      <c r="C4" s="68">
        <v>1300</v>
      </c>
      <c r="D4" s="68">
        <v>3200</v>
      </c>
      <c r="E4" s="39">
        <v>44287</v>
      </c>
      <c r="F4" s="92">
        <v>4656.6319999999996</v>
      </c>
      <c r="G4" s="23">
        <v>2760</v>
      </c>
      <c r="H4" s="24">
        <f>G4*F4</f>
        <v>12852304.319999998</v>
      </c>
      <c r="I4" s="25">
        <v>1771.9</v>
      </c>
      <c r="J4" s="47">
        <v>6695.1329999999998</v>
      </c>
      <c r="K4" s="48"/>
      <c r="L4" s="69"/>
      <c r="M4" s="70"/>
      <c r="N4" s="97">
        <v>4584.3600000003353</v>
      </c>
      <c r="O4" s="71"/>
      <c r="P4" s="72"/>
      <c r="Q4" s="39">
        <v>44256</v>
      </c>
      <c r="R4" s="73">
        <v>123.986</v>
      </c>
      <c r="S4" s="73">
        <v>2760</v>
      </c>
      <c r="T4" s="73">
        <f t="shared" ref="T4:T9" si="0">S4*R4</f>
        <v>342201.36</v>
      </c>
      <c r="U4" s="25">
        <f>+(T4-[3]Feb.2021!$R$31)</f>
        <v>52.440000000002328</v>
      </c>
      <c r="V4" s="25">
        <f t="shared" ref="V4:V9" si="1">I4</f>
        <v>1771.9</v>
      </c>
      <c r="W4" s="74">
        <f t="shared" ref="W4:W33" si="2">U4/V4</f>
        <v>2.9595349624697967E-2</v>
      </c>
      <c r="X4" s="75">
        <v>0.2</v>
      </c>
      <c r="Y4" s="33"/>
      <c r="Z4" s="39">
        <v>44256</v>
      </c>
      <c r="AA4" s="73">
        <v>164.654</v>
      </c>
      <c r="AB4" s="73">
        <v>2760</v>
      </c>
      <c r="AC4" s="73">
        <f t="shared" ref="AC4:AC9" si="3">AB4*AA4</f>
        <v>454445.04</v>
      </c>
      <c r="AD4" s="25">
        <f>+(AC4-[3]Feb.2021!$AA$31)</f>
        <v>49.679999999993015</v>
      </c>
      <c r="AE4" s="25">
        <f t="shared" ref="AE4:AE9" si="4">I4</f>
        <v>1771.9</v>
      </c>
      <c r="AF4" s="74">
        <f t="shared" ref="AF4:AF9" si="5">AD4/AE4</f>
        <v>2.8037699644445517E-2</v>
      </c>
      <c r="AG4" s="75">
        <v>0.15</v>
      </c>
      <c r="AI4" s="39">
        <v>44256</v>
      </c>
      <c r="AJ4" s="22">
        <v>4586.8320000000003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76">
        <v>4523.6400000000003</v>
      </c>
      <c r="AQ4" s="23">
        <f t="shared" ref="AQ4:AQ35" si="6">+(AL4*$AN$4)</f>
        <v>2797654.68</v>
      </c>
      <c r="AR4" s="77">
        <v>1686.36</v>
      </c>
      <c r="AS4" s="23">
        <f t="shared" ref="AS4:AS35" si="7">+(AM4*$AN$4)</f>
        <v>3382391.0399999996</v>
      </c>
      <c r="AT4" s="78">
        <v>1959.6</v>
      </c>
      <c r="AU4" s="79">
        <f t="shared" ref="AU4:AU35" si="8">+(AP4+AR4+AT4)</f>
        <v>8169.6</v>
      </c>
      <c r="AV4" s="24">
        <f t="shared" ref="AV4:AV35" si="9">AN4*AJ4</f>
        <v>12659656.32</v>
      </c>
      <c r="AW4" s="25">
        <f t="shared" ref="AW4:AX19" si="10">+(I4)</f>
        <v>1771.9</v>
      </c>
      <c r="AX4" s="25">
        <f t="shared" si="10"/>
        <v>6695.1329999999998</v>
      </c>
    </row>
    <row r="5" spans="3:50" x14ac:dyDescent="0.25">
      <c r="C5" s="68">
        <v>1000</v>
      </c>
      <c r="D5" s="68">
        <v>3400</v>
      </c>
      <c r="E5" s="39">
        <v>44288</v>
      </c>
      <c r="F5" s="92">
        <v>4657.3069999999998</v>
      </c>
      <c r="G5" s="23">
        <v>2760</v>
      </c>
      <c r="H5" s="24">
        <f t="shared" ref="H5:H33" si="11">G5*F5</f>
        <v>12854167.32</v>
      </c>
      <c r="I5" s="25">
        <f>H5-H4</f>
        <v>1863.0000000018626</v>
      </c>
      <c r="J5" s="47">
        <v>6695.1329999999998</v>
      </c>
      <c r="K5" s="102">
        <v>2550.2400000002235</v>
      </c>
      <c r="L5" s="69">
        <v>6102.359999999404</v>
      </c>
      <c r="M5" s="70">
        <v>5760.1200000001118</v>
      </c>
      <c r="N5" s="97">
        <v>4730.6399999996647</v>
      </c>
      <c r="O5" s="71"/>
      <c r="P5" s="72"/>
      <c r="Q5" s="39">
        <v>44257</v>
      </c>
      <c r="R5" s="73">
        <v>124.027</v>
      </c>
      <c r="S5" s="73">
        <v>2760</v>
      </c>
      <c r="T5" s="73">
        <f t="shared" si="0"/>
        <v>342314.52</v>
      </c>
      <c r="U5" s="25">
        <f t="shared" ref="U5:U10" si="12">T5-T4</f>
        <v>113.1600000000326</v>
      </c>
      <c r="V5" s="25">
        <f t="shared" si="1"/>
        <v>1863.0000000018626</v>
      </c>
      <c r="W5" s="74">
        <f t="shared" si="2"/>
        <v>6.0740740740697512E-2</v>
      </c>
      <c r="X5" s="75">
        <v>0.2</v>
      </c>
      <c r="Y5" s="33"/>
      <c r="Z5" s="39">
        <v>44257</v>
      </c>
      <c r="AA5" s="73">
        <v>164.67400000000001</v>
      </c>
      <c r="AB5" s="73">
        <v>2760</v>
      </c>
      <c r="AC5" s="18">
        <f t="shared" si="3"/>
        <v>454500.24</v>
      </c>
      <c r="AD5" s="25">
        <f t="shared" ref="AD5:AD10" si="13">AC5-AC4</f>
        <v>55.200000000011642</v>
      </c>
      <c r="AE5" s="25">
        <f t="shared" si="4"/>
        <v>1863.0000000018626</v>
      </c>
      <c r="AF5" s="74">
        <f t="shared" si="5"/>
        <v>2.9629629629606254E-2</v>
      </c>
      <c r="AG5" s="75">
        <v>0.15</v>
      </c>
      <c r="AI5" s="39">
        <v>44257</v>
      </c>
      <c r="AJ5" s="22">
        <v>4587.4769999999999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4">+(AK5*$AN$4)</f>
        <v>6480493.8000000007</v>
      </c>
      <c r="AP5" s="76">
        <f t="shared" ref="AP5:AP33" si="15">+(AO5-AO4)</f>
        <v>883.20000000111759</v>
      </c>
      <c r="AQ5" s="23">
        <f t="shared" si="6"/>
        <v>2798005.1999999997</v>
      </c>
      <c r="AR5" s="77">
        <f t="shared" ref="AR5:AR33" si="16">+(AQ5-AQ4)</f>
        <v>350.51999999955297</v>
      </c>
      <c r="AS5" s="23">
        <f t="shared" si="7"/>
        <v>3382940.28</v>
      </c>
      <c r="AT5" s="78">
        <f t="shared" ref="AT5:AT33" si="17">+(AS5-AS4)</f>
        <v>549.24000000022352</v>
      </c>
      <c r="AU5" s="79">
        <f t="shared" si="8"/>
        <v>1782.9600000008941</v>
      </c>
      <c r="AV5" s="24">
        <f t="shared" si="9"/>
        <v>12661436.52</v>
      </c>
      <c r="AW5" s="25">
        <f t="shared" si="10"/>
        <v>1863.0000000018626</v>
      </c>
      <c r="AX5" s="25">
        <f t="shared" si="10"/>
        <v>6695.1329999999998</v>
      </c>
    </row>
    <row r="6" spans="3:50" x14ac:dyDescent="0.25">
      <c r="C6" s="68">
        <v>1000</v>
      </c>
      <c r="D6" s="68">
        <v>3200</v>
      </c>
      <c r="E6" s="39">
        <v>44289</v>
      </c>
      <c r="F6" s="92">
        <v>4657.8630000000003</v>
      </c>
      <c r="G6" s="23">
        <v>2760</v>
      </c>
      <c r="H6" s="24">
        <f t="shared" si="11"/>
        <v>12855701.880000001</v>
      </c>
      <c r="I6" s="25">
        <f t="shared" ref="I6:I32" si="18">H6-H5</f>
        <v>1534.5600000005215</v>
      </c>
      <c r="J6" s="47">
        <v>6695.1329999999998</v>
      </c>
      <c r="K6" s="102">
        <v>2553</v>
      </c>
      <c r="L6" s="69">
        <v>5892.5999999996275</v>
      </c>
      <c r="M6" s="70">
        <v>5760.1200000001118</v>
      </c>
      <c r="N6" s="97">
        <v>4661.6400000001304</v>
      </c>
      <c r="O6" s="71"/>
      <c r="P6" s="72"/>
      <c r="Q6" s="39">
        <v>44258</v>
      </c>
      <c r="R6" s="73">
        <v>124.063</v>
      </c>
      <c r="S6" s="73">
        <v>2760</v>
      </c>
      <c r="T6" s="73">
        <f t="shared" si="0"/>
        <v>342413.88</v>
      </c>
      <c r="U6" s="25">
        <f t="shared" si="12"/>
        <v>99.35999999998603</v>
      </c>
      <c r="V6" s="25">
        <f t="shared" si="1"/>
        <v>1534.5600000005215</v>
      </c>
      <c r="W6" s="74">
        <f t="shared" si="2"/>
        <v>6.4748201438817807E-2</v>
      </c>
      <c r="X6" s="75">
        <v>0.2</v>
      </c>
      <c r="Y6" s="33"/>
      <c r="Z6" s="39">
        <v>44258</v>
      </c>
      <c r="AA6" s="73">
        <v>164.69300000000001</v>
      </c>
      <c r="AB6" s="73">
        <v>2760</v>
      </c>
      <c r="AC6" s="73">
        <f t="shared" si="3"/>
        <v>454552.68000000005</v>
      </c>
      <c r="AD6" s="25">
        <f t="shared" si="13"/>
        <v>52.440000000060536</v>
      </c>
      <c r="AE6" s="25">
        <f t="shared" si="4"/>
        <v>1534.5600000005215</v>
      </c>
      <c r="AF6" s="74">
        <f t="shared" si="5"/>
        <v>3.4172661870531432E-2</v>
      </c>
      <c r="AG6" s="75">
        <v>0.15</v>
      </c>
      <c r="AI6" s="39">
        <v>44258</v>
      </c>
      <c r="AJ6" s="22">
        <v>4588.0680000000002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4"/>
        <v>6481374.2400000002</v>
      </c>
      <c r="AP6" s="76">
        <f t="shared" si="15"/>
        <v>880.43999999947846</v>
      </c>
      <c r="AQ6" s="23">
        <f t="shared" si="6"/>
        <v>2798300.52</v>
      </c>
      <c r="AR6" s="77">
        <f t="shared" si="16"/>
        <v>295.32000000029802</v>
      </c>
      <c r="AS6" s="23">
        <f t="shared" si="7"/>
        <v>3383387.4</v>
      </c>
      <c r="AT6" s="78">
        <f t="shared" si="17"/>
        <v>447.12000000011176</v>
      </c>
      <c r="AU6" s="79">
        <f t="shared" si="8"/>
        <v>1622.8799999998882</v>
      </c>
      <c r="AV6" s="24">
        <f t="shared" si="9"/>
        <v>12663067.68</v>
      </c>
      <c r="AW6" s="25">
        <f t="shared" si="10"/>
        <v>1534.5600000005215</v>
      </c>
      <c r="AX6" s="25">
        <f t="shared" si="10"/>
        <v>6695.1329999999998</v>
      </c>
    </row>
    <row r="7" spans="3:50" x14ac:dyDescent="0.25">
      <c r="C7" s="68">
        <v>700</v>
      </c>
      <c r="D7" s="68">
        <v>3300</v>
      </c>
      <c r="E7" s="39">
        <v>44290</v>
      </c>
      <c r="F7" s="92">
        <v>4658.3329999999996</v>
      </c>
      <c r="G7" s="23">
        <v>2760</v>
      </c>
      <c r="H7" s="24">
        <f t="shared" si="11"/>
        <v>12856999.079999998</v>
      </c>
      <c r="I7" s="25">
        <f t="shared" si="18"/>
        <v>1297.1999999973923</v>
      </c>
      <c r="J7" s="47">
        <v>6695.1329999999998</v>
      </c>
      <c r="K7" s="102">
        <v>1934.7599999997765</v>
      </c>
      <c r="L7" s="69">
        <v>6096.839999999851</v>
      </c>
      <c r="M7" s="70">
        <v>5922.9600000008941</v>
      </c>
      <c r="N7" s="97">
        <v>4355.2800000002608</v>
      </c>
      <c r="O7" s="71"/>
      <c r="P7" s="72"/>
      <c r="Q7" s="39">
        <v>44259</v>
      </c>
      <c r="R7" s="73"/>
      <c r="S7" s="73">
        <v>2760</v>
      </c>
      <c r="T7" s="73">
        <f t="shared" si="0"/>
        <v>0</v>
      </c>
      <c r="U7" s="25">
        <f t="shared" si="12"/>
        <v>-342413.88</v>
      </c>
      <c r="V7" s="25">
        <f t="shared" si="1"/>
        <v>1297.1999999973923</v>
      </c>
      <c r="W7" s="74">
        <f t="shared" si="2"/>
        <v>-263.96382978776467</v>
      </c>
      <c r="X7" s="75">
        <v>0.2</v>
      </c>
      <c r="Y7" s="33"/>
      <c r="Z7" s="39">
        <v>44259</v>
      </c>
      <c r="AA7" s="80"/>
      <c r="AB7" s="73">
        <v>2760</v>
      </c>
      <c r="AC7" s="73">
        <f t="shared" si="3"/>
        <v>0</v>
      </c>
      <c r="AD7" s="25">
        <f t="shared" si="13"/>
        <v>-454552.68000000005</v>
      </c>
      <c r="AE7" s="25">
        <f t="shared" si="4"/>
        <v>1297.1999999973923</v>
      </c>
      <c r="AF7" s="74">
        <f t="shared" si="5"/>
        <v>-350.41063829857677</v>
      </c>
      <c r="AG7" s="75">
        <v>0.15</v>
      </c>
      <c r="AI7" s="39">
        <v>44259</v>
      </c>
      <c r="AJ7" s="22"/>
      <c r="AK7" s="22"/>
      <c r="AL7" s="22"/>
      <c r="AM7" s="22"/>
      <c r="AN7" s="23">
        <v>2760</v>
      </c>
      <c r="AO7" s="23">
        <f t="shared" si="14"/>
        <v>0</v>
      </c>
      <c r="AP7" s="76">
        <f t="shared" si="15"/>
        <v>-6481374.2400000002</v>
      </c>
      <c r="AQ7" s="23">
        <f t="shared" si="6"/>
        <v>0</v>
      </c>
      <c r="AR7" s="77">
        <f t="shared" si="16"/>
        <v>-2798300.52</v>
      </c>
      <c r="AS7" s="23">
        <f t="shared" si="7"/>
        <v>0</v>
      </c>
      <c r="AT7" s="78">
        <f t="shared" si="17"/>
        <v>-3383387.4</v>
      </c>
      <c r="AU7" s="79">
        <f t="shared" si="8"/>
        <v>-12663062.16</v>
      </c>
      <c r="AV7" s="24">
        <f t="shared" si="9"/>
        <v>0</v>
      </c>
      <c r="AW7" s="25">
        <f t="shared" si="10"/>
        <v>1297.1999999973923</v>
      </c>
      <c r="AX7" s="25">
        <f t="shared" si="10"/>
        <v>6695.1329999999998</v>
      </c>
    </row>
    <row r="8" spans="3:50" x14ac:dyDescent="0.25">
      <c r="C8" s="68">
        <v>700</v>
      </c>
      <c r="D8" s="68">
        <v>2900</v>
      </c>
      <c r="E8" s="39">
        <v>44291</v>
      </c>
      <c r="F8" s="92">
        <v>4658.9679999999998</v>
      </c>
      <c r="G8" s="23">
        <v>2760</v>
      </c>
      <c r="H8" s="24">
        <f t="shared" si="11"/>
        <v>12858751.68</v>
      </c>
      <c r="I8" s="25">
        <f t="shared" si="18"/>
        <v>1752.6000000014901</v>
      </c>
      <c r="J8" s="47">
        <v>6695.1329999999998</v>
      </c>
      <c r="K8" s="102">
        <v>1854.7199999988079</v>
      </c>
      <c r="L8" s="69">
        <v>6403.2000000011176</v>
      </c>
      <c r="M8" s="70">
        <v>6254.160000000149</v>
      </c>
      <c r="N8" s="97">
        <v>3397.5599999995902</v>
      </c>
      <c r="O8" s="71"/>
      <c r="P8" s="72"/>
      <c r="Q8" s="39">
        <v>44260</v>
      </c>
      <c r="R8" s="73"/>
      <c r="S8" s="73">
        <v>2760</v>
      </c>
      <c r="T8" s="73">
        <f t="shared" si="0"/>
        <v>0</v>
      </c>
      <c r="U8" s="25">
        <f t="shared" si="12"/>
        <v>0</v>
      </c>
      <c r="V8" s="25">
        <f t="shared" si="1"/>
        <v>1752.6000000014901</v>
      </c>
      <c r="W8" s="74">
        <f t="shared" si="2"/>
        <v>0</v>
      </c>
      <c r="X8" s="75">
        <v>0.2</v>
      </c>
      <c r="Y8" s="33"/>
      <c r="Z8" s="39">
        <v>44260</v>
      </c>
      <c r="AA8" s="80"/>
      <c r="AB8" s="73">
        <v>2760</v>
      </c>
      <c r="AC8" s="73">
        <f t="shared" si="3"/>
        <v>0</v>
      </c>
      <c r="AD8" s="25">
        <f t="shared" si="13"/>
        <v>0</v>
      </c>
      <c r="AE8" s="25">
        <f t="shared" si="4"/>
        <v>1752.6000000014901</v>
      </c>
      <c r="AF8" s="74">
        <f t="shared" si="5"/>
        <v>0</v>
      </c>
      <c r="AG8" s="75">
        <v>0.15</v>
      </c>
      <c r="AI8" s="39">
        <v>44260</v>
      </c>
      <c r="AJ8" s="22"/>
      <c r="AK8" s="22"/>
      <c r="AL8" s="22"/>
      <c r="AM8" s="22"/>
      <c r="AN8" s="23">
        <v>2760</v>
      </c>
      <c r="AO8" s="23">
        <f t="shared" si="14"/>
        <v>0</v>
      </c>
      <c r="AP8" s="76">
        <f t="shared" si="15"/>
        <v>0</v>
      </c>
      <c r="AQ8" s="23">
        <f t="shared" si="6"/>
        <v>0</v>
      </c>
      <c r="AR8" s="77">
        <f t="shared" si="16"/>
        <v>0</v>
      </c>
      <c r="AS8" s="23">
        <f t="shared" si="7"/>
        <v>0</v>
      </c>
      <c r="AT8" s="78">
        <f t="shared" si="17"/>
        <v>0</v>
      </c>
      <c r="AU8" s="79">
        <f>+(AP8+AR8+AT8)</f>
        <v>0</v>
      </c>
      <c r="AV8" s="24">
        <f t="shared" si="9"/>
        <v>0</v>
      </c>
      <c r="AW8" s="25">
        <f t="shared" si="10"/>
        <v>1752.6000000014901</v>
      </c>
      <c r="AX8" s="25" t="e">
        <f>+(#REF!)</f>
        <v>#REF!</v>
      </c>
    </row>
    <row r="9" spans="3:50" x14ac:dyDescent="0.25">
      <c r="C9" s="68">
        <v>1500</v>
      </c>
      <c r="D9" s="68">
        <v>2600</v>
      </c>
      <c r="E9" s="39">
        <v>44292</v>
      </c>
      <c r="F9" s="92">
        <v>4659.4570000000003</v>
      </c>
      <c r="G9" s="23">
        <v>2760</v>
      </c>
      <c r="H9" s="24">
        <f t="shared" si="11"/>
        <v>12860101.32</v>
      </c>
      <c r="I9" s="25">
        <f t="shared" si="18"/>
        <v>1349.640000000596</v>
      </c>
      <c r="J9" s="47">
        <v>6695.1329999999998</v>
      </c>
      <c r="K9" s="102">
        <v>1818.839999999851</v>
      </c>
      <c r="L9" s="69">
        <v>6132.7199999988079</v>
      </c>
      <c r="M9" s="70">
        <v>5795.9999999990687</v>
      </c>
      <c r="N9" s="97">
        <v>4852.0800000005402</v>
      </c>
      <c r="O9" s="71"/>
      <c r="P9" s="72"/>
      <c r="Q9" s="39">
        <v>44261</v>
      </c>
      <c r="R9" s="73"/>
      <c r="S9" s="73">
        <v>2760</v>
      </c>
      <c r="T9" s="73">
        <f t="shared" si="0"/>
        <v>0</v>
      </c>
      <c r="U9" s="25">
        <f t="shared" si="12"/>
        <v>0</v>
      </c>
      <c r="V9" s="25">
        <f t="shared" si="1"/>
        <v>1349.640000000596</v>
      </c>
      <c r="W9" s="74">
        <f t="shared" si="2"/>
        <v>0</v>
      </c>
      <c r="X9" s="75">
        <v>0.2</v>
      </c>
      <c r="Y9" s="33"/>
      <c r="Z9" s="39">
        <v>44261</v>
      </c>
      <c r="AA9" s="80"/>
      <c r="AB9" s="73">
        <v>2760</v>
      </c>
      <c r="AC9" s="73">
        <f t="shared" si="3"/>
        <v>0</v>
      </c>
      <c r="AD9" s="25">
        <f t="shared" si="13"/>
        <v>0</v>
      </c>
      <c r="AE9" s="25">
        <f t="shared" si="4"/>
        <v>1349.640000000596</v>
      </c>
      <c r="AF9" s="74">
        <f t="shared" si="5"/>
        <v>0</v>
      </c>
      <c r="AG9" s="75">
        <v>0.15</v>
      </c>
      <c r="AI9" s="39">
        <v>44261</v>
      </c>
      <c r="AJ9" s="22"/>
      <c r="AK9" s="22"/>
      <c r="AL9" s="22"/>
      <c r="AM9" s="22"/>
      <c r="AN9" s="23">
        <v>2760</v>
      </c>
      <c r="AO9" s="23">
        <f t="shared" si="14"/>
        <v>0</v>
      </c>
      <c r="AP9" s="76">
        <f t="shared" si="15"/>
        <v>0</v>
      </c>
      <c r="AQ9" s="23">
        <f t="shared" si="6"/>
        <v>0</v>
      </c>
      <c r="AR9" s="77">
        <f t="shared" si="16"/>
        <v>0</v>
      </c>
      <c r="AS9" s="23">
        <f t="shared" si="7"/>
        <v>0</v>
      </c>
      <c r="AT9" s="78">
        <f t="shared" si="17"/>
        <v>0</v>
      </c>
      <c r="AU9" s="79">
        <f t="shared" si="8"/>
        <v>0</v>
      </c>
      <c r="AV9" s="24">
        <f>AN9*AJ9</f>
        <v>0</v>
      </c>
      <c r="AW9" s="25">
        <f t="shared" si="10"/>
        <v>1349.640000000596</v>
      </c>
      <c r="AX9" s="25">
        <f>+(J9)</f>
        <v>6695.1329999999998</v>
      </c>
    </row>
    <row r="10" spans="3:50" x14ac:dyDescent="0.25">
      <c r="C10" s="68">
        <v>1900</v>
      </c>
      <c r="D10" s="68">
        <v>2700</v>
      </c>
      <c r="E10" s="39">
        <v>44293</v>
      </c>
      <c r="F10" s="92">
        <v>4660.0320000000002</v>
      </c>
      <c r="G10" s="23">
        <v>2760</v>
      </c>
      <c r="H10" s="24">
        <f t="shared" si="11"/>
        <v>12861688.32</v>
      </c>
      <c r="I10" s="25">
        <f t="shared" si="18"/>
        <v>1587</v>
      </c>
      <c r="J10" s="47">
        <v>6695.1329999999998</v>
      </c>
      <c r="K10" s="102">
        <v>1805.0400000009686</v>
      </c>
      <c r="L10" s="69">
        <v>6055.4399999994785</v>
      </c>
      <c r="M10" s="70">
        <v>6003.0000000009313</v>
      </c>
      <c r="N10" s="97">
        <v>4824.4799999995157</v>
      </c>
      <c r="O10" s="71"/>
      <c r="P10" s="72"/>
      <c r="Q10" s="39">
        <v>44262</v>
      </c>
      <c r="R10" s="73"/>
      <c r="S10" s="73">
        <v>2760</v>
      </c>
      <c r="T10" s="73">
        <f>S10*R10</f>
        <v>0</v>
      </c>
      <c r="U10" s="25">
        <f t="shared" si="12"/>
        <v>0</v>
      </c>
      <c r="V10" s="25">
        <f>I10</f>
        <v>1587</v>
      </c>
      <c r="W10" s="74">
        <f t="shared" si="2"/>
        <v>0</v>
      </c>
      <c r="X10" s="75">
        <v>0.2</v>
      </c>
      <c r="Y10" s="33"/>
      <c r="Z10" s="39">
        <v>44262</v>
      </c>
      <c r="AA10" s="80"/>
      <c r="AB10" s="73">
        <v>2760</v>
      </c>
      <c r="AC10" s="73">
        <f>AB10*AA10</f>
        <v>0</v>
      </c>
      <c r="AD10" s="25">
        <f t="shared" si="13"/>
        <v>0</v>
      </c>
      <c r="AE10" s="25">
        <f>I10</f>
        <v>1587</v>
      </c>
      <c r="AF10" s="74">
        <f>AD10/AE10</f>
        <v>0</v>
      </c>
      <c r="AG10" s="75">
        <v>0.15</v>
      </c>
      <c r="AI10" s="39">
        <v>44262</v>
      </c>
      <c r="AJ10" s="22"/>
      <c r="AK10" s="22"/>
      <c r="AL10" s="22"/>
      <c r="AM10" s="22"/>
      <c r="AN10" s="23">
        <v>2760</v>
      </c>
      <c r="AO10" s="23">
        <f t="shared" si="14"/>
        <v>0</v>
      </c>
      <c r="AP10" s="76">
        <f t="shared" si="15"/>
        <v>0</v>
      </c>
      <c r="AQ10" s="23">
        <f t="shared" si="6"/>
        <v>0</v>
      </c>
      <c r="AR10" s="77">
        <f t="shared" si="16"/>
        <v>0</v>
      </c>
      <c r="AS10" s="23">
        <f t="shared" si="7"/>
        <v>0</v>
      </c>
      <c r="AT10" s="78">
        <f t="shared" si="17"/>
        <v>0</v>
      </c>
      <c r="AU10" s="79">
        <f t="shared" si="8"/>
        <v>0</v>
      </c>
      <c r="AV10" s="24">
        <f t="shared" si="9"/>
        <v>0</v>
      </c>
      <c r="AW10" s="25">
        <f t="shared" si="10"/>
        <v>1587</v>
      </c>
      <c r="AX10" s="25">
        <f t="shared" si="10"/>
        <v>6695.1329999999998</v>
      </c>
    </row>
    <row r="11" spans="3:50" x14ac:dyDescent="0.25">
      <c r="C11" s="68">
        <v>2200</v>
      </c>
      <c r="D11" s="68">
        <v>2700</v>
      </c>
      <c r="E11" s="39">
        <v>44294</v>
      </c>
      <c r="F11" s="92">
        <v>4660.5429999999997</v>
      </c>
      <c r="G11" s="23">
        <v>2760</v>
      </c>
      <c r="H11" s="24">
        <f t="shared" si="11"/>
        <v>12863098.68</v>
      </c>
      <c r="I11" s="25">
        <f t="shared" si="18"/>
        <v>1410.359999999404</v>
      </c>
      <c r="J11" s="47">
        <v>6695.1329999999998</v>
      </c>
      <c r="K11" s="102">
        <v>1683.5999999996275</v>
      </c>
      <c r="L11" s="69">
        <v>6077.5200000014156</v>
      </c>
      <c r="M11" s="70">
        <v>6041.6399999996647</v>
      </c>
      <c r="N11" s="97">
        <v>4545.7200000002049</v>
      </c>
      <c r="O11" s="71"/>
      <c r="P11" s="72"/>
      <c r="Q11" s="39">
        <v>44263</v>
      </c>
      <c r="R11" s="73"/>
      <c r="S11" s="73">
        <v>2760</v>
      </c>
      <c r="T11" s="73">
        <f>S11*R11</f>
        <v>0</v>
      </c>
      <c r="U11" s="25">
        <f>T11-T10</f>
        <v>0</v>
      </c>
      <c r="V11" s="25">
        <f>I11</f>
        <v>1410.359999999404</v>
      </c>
      <c r="W11" s="74">
        <f t="shared" si="2"/>
        <v>0</v>
      </c>
      <c r="X11" s="75">
        <v>0.2</v>
      </c>
      <c r="Y11" s="33"/>
      <c r="Z11" s="39">
        <v>44263</v>
      </c>
      <c r="AA11" s="80"/>
      <c r="AB11" s="73">
        <v>2760</v>
      </c>
      <c r="AC11" s="73">
        <f>AB11*AA11</f>
        <v>0</v>
      </c>
      <c r="AD11" s="25">
        <f>AC11-AC10</f>
        <v>0</v>
      </c>
      <c r="AE11" s="25">
        <f>I11</f>
        <v>1410.359999999404</v>
      </c>
      <c r="AF11" s="74">
        <f>AD11/AE11</f>
        <v>0</v>
      </c>
      <c r="AG11" s="75">
        <v>0.15</v>
      </c>
      <c r="AI11" s="39">
        <v>44263</v>
      </c>
      <c r="AJ11" s="22"/>
      <c r="AK11" s="22"/>
      <c r="AL11" s="22"/>
      <c r="AM11" s="22"/>
      <c r="AN11" s="23">
        <v>2760</v>
      </c>
      <c r="AO11" s="23">
        <f t="shared" si="14"/>
        <v>0</v>
      </c>
      <c r="AP11" s="76">
        <f>+(AO11-AO10)</f>
        <v>0</v>
      </c>
      <c r="AQ11" s="23">
        <f t="shared" si="6"/>
        <v>0</v>
      </c>
      <c r="AR11" s="77">
        <f t="shared" si="16"/>
        <v>0</v>
      </c>
      <c r="AS11" s="23">
        <f>+(AM11*$AN$4)</f>
        <v>0</v>
      </c>
      <c r="AT11" s="78">
        <f>+(AS11-AS10)</f>
        <v>0</v>
      </c>
      <c r="AU11" s="79">
        <f>+(AP11+AR11+AT11)</f>
        <v>0</v>
      </c>
      <c r="AV11" s="24">
        <f>AN11*AJ11</f>
        <v>0</v>
      </c>
      <c r="AW11" s="25">
        <f t="shared" si="10"/>
        <v>1410.359999999404</v>
      </c>
      <c r="AX11" s="25">
        <f t="shared" si="10"/>
        <v>6695.1329999999998</v>
      </c>
    </row>
    <row r="12" spans="3:50" x14ac:dyDescent="0.25">
      <c r="C12" s="68">
        <v>2600</v>
      </c>
      <c r="D12" s="68">
        <v>2700</v>
      </c>
      <c r="E12" s="39">
        <v>44295</v>
      </c>
      <c r="F12" s="92">
        <v>4661.1450000000004</v>
      </c>
      <c r="G12" s="23">
        <v>2760</v>
      </c>
      <c r="H12" s="24">
        <f t="shared" si="11"/>
        <v>12864760.200000001</v>
      </c>
      <c r="I12" s="25">
        <f t="shared" si="18"/>
        <v>1661.5200000014156</v>
      </c>
      <c r="J12" s="47">
        <v>6695.1329999999998</v>
      </c>
      <c r="K12" s="102">
        <v>1741.5600000005215</v>
      </c>
      <c r="L12" s="69">
        <v>5967.1199999991804</v>
      </c>
      <c r="M12" s="70">
        <v>5909.160000000149</v>
      </c>
      <c r="N12" s="97">
        <v>4553.9999999995343</v>
      </c>
      <c r="O12" s="71"/>
      <c r="P12" s="72"/>
      <c r="Q12" s="39">
        <v>44264</v>
      </c>
      <c r="R12" s="73"/>
      <c r="S12" s="73">
        <v>2760</v>
      </c>
      <c r="T12" s="73">
        <f>S12*R12</f>
        <v>0</v>
      </c>
      <c r="U12" s="25">
        <f>T12-T11</f>
        <v>0</v>
      </c>
      <c r="V12" s="25">
        <f>I12</f>
        <v>1661.5200000014156</v>
      </c>
      <c r="W12" s="74">
        <f t="shared" si="2"/>
        <v>0</v>
      </c>
      <c r="X12" s="75">
        <v>0.2</v>
      </c>
      <c r="Y12" s="33"/>
      <c r="Z12" s="39">
        <v>44264</v>
      </c>
      <c r="AA12" s="46"/>
      <c r="AB12" s="73">
        <v>2760</v>
      </c>
      <c r="AC12" s="73">
        <f>AB12*AA12</f>
        <v>0</v>
      </c>
      <c r="AD12" s="25">
        <f>AC12-AC11</f>
        <v>0</v>
      </c>
      <c r="AE12" s="25">
        <f>I12</f>
        <v>1661.5200000014156</v>
      </c>
      <c r="AF12" s="74">
        <f>AD12/AE12</f>
        <v>0</v>
      </c>
      <c r="AG12" s="75">
        <v>0.15</v>
      </c>
      <c r="AI12" s="39">
        <v>44264</v>
      </c>
      <c r="AJ12" s="22"/>
      <c r="AK12" s="22"/>
      <c r="AL12" s="22"/>
      <c r="AM12" s="22"/>
      <c r="AN12" s="23">
        <v>2760</v>
      </c>
      <c r="AO12" s="23">
        <f t="shared" si="14"/>
        <v>0</v>
      </c>
      <c r="AP12" s="76">
        <f t="shared" si="15"/>
        <v>0</v>
      </c>
      <c r="AQ12" s="23">
        <f t="shared" si="6"/>
        <v>0</v>
      </c>
      <c r="AR12" s="77">
        <f t="shared" si="16"/>
        <v>0</v>
      </c>
      <c r="AS12" s="23">
        <f t="shared" si="7"/>
        <v>0</v>
      </c>
      <c r="AT12" s="78">
        <f t="shared" si="17"/>
        <v>0</v>
      </c>
      <c r="AU12" s="79">
        <f t="shared" si="8"/>
        <v>0</v>
      </c>
      <c r="AV12" s="24">
        <f t="shared" si="9"/>
        <v>0</v>
      </c>
      <c r="AW12" s="25">
        <f t="shared" si="10"/>
        <v>1661.5200000014156</v>
      </c>
      <c r="AX12" s="25">
        <f t="shared" si="10"/>
        <v>6695.1329999999998</v>
      </c>
    </row>
    <row r="13" spans="3:50" x14ac:dyDescent="0.25">
      <c r="C13" s="68">
        <v>1500</v>
      </c>
      <c r="D13" s="68">
        <v>2700</v>
      </c>
      <c r="E13" s="39">
        <v>44296</v>
      </c>
      <c r="F13" s="92">
        <v>4661.7219999999998</v>
      </c>
      <c r="G13" s="23">
        <v>2760</v>
      </c>
      <c r="H13" s="24">
        <f t="shared" si="11"/>
        <v>12866352.719999999</v>
      </c>
      <c r="I13" s="25">
        <f t="shared" si="18"/>
        <v>1592.5199999976903</v>
      </c>
      <c r="J13" s="47">
        <v>6695.1329999999998</v>
      </c>
      <c r="K13" s="102">
        <v>1780.2000000011176</v>
      </c>
      <c r="L13" s="69">
        <v>6320.4000000003725</v>
      </c>
      <c r="M13" s="70">
        <v>5492.3999999994412</v>
      </c>
      <c r="N13" s="97">
        <v>4529.160000000149</v>
      </c>
      <c r="O13" s="71"/>
      <c r="P13" s="72"/>
      <c r="Q13" s="39">
        <v>44265</v>
      </c>
      <c r="R13" s="73"/>
      <c r="S13" s="73">
        <v>2760</v>
      </c>
      <c r="T13" s="73">
        <f>S13*R13</f>
        <v>0</v>
      </c>
      <c r="U13" s="25">
        <f>T13-T12</f>
        <v>0</v>
      </c>
      <c r="V13" s="25">
        <f>I13</f>
        <v>1592.5199999976903</v>
      </c>
      <c r="W13" s="74">
        <f t="shared" si="2"/>
        <v>0</v>
      </c>
      <c r="X13" s="75">
        <v>0.2</v>
      </c>
      <c r="Y13" s="33"/>
      <c r="Z13" s="39">
        <v>44265</v>
      </c>
      <c r="AA13" s="80"/>
      <c r="AB13" s="73">
        <v>2760</v>
      </c>
      <c r="AC13" s="73">
        <f>AB13*AA13</f>
        <v>0</v>
      </c>
      <c r="AD13" s="25">
        <f>AC13-AC12</f>
        <v>0</v>
      </c>
      <c r="AE13" s="25">
        <f>I13</f>
        <v>1592.5199999976903</v>
      </c>
      <c r="AF13" s="74">
        <f>AD13/AE13</f>
        <v>0</v>
      </c>
      <c r="AG13" s="75">
        <v>0.15</v>
      </c>
      <c r="AI13" s="39">
        <v>44265</v>
      </c>
      <c r="AJ13" s="22"/>
      <c r="AK13" s="22"/>
      <c r="AL13" s="22"/>
      <c r="AM13" s="22"/>
      <c r="AN13" s="23">
        <v>2760</v>
      </c>
      <c r="AO13" s="23">
        <f t="shared" si="14"/>
        <v>0</v>
      </c>
      <c r="AP13" s="76">
        <f t="shared" si="15"/>
        <v>0</v>
      </c>
      <c r="AQ13" s="23">
        <f t="shared" si="6"/>
        <v>0</v>
      </c>
      <c r="AR13" s="77">
        <f t="shared" si="16"/>
        <v>0</v>
      </c>
      <c r="AS13" s="23">
        <f t="shared" si="7"/>
        <v>0</v>
      </c>
      <c r="AT13" s="78">
        <f t="shared" si="17"/>
        <v>0</v>
      </c>
      <c r="AU13" s="79">
        <f t="shared" si="8"/>
        <v>0</v>
      </c>
      <c r="AV13" s="24">
        <f t="shared" si="9"/>
        <v>0</v>
      </c>
      <c r="AW13" s="25">
        <f t="shared" si="10"/>
        <v>1592.5199999976903</v>
      </c>
      <c r="AX13" s="25">
        <f t="shared" si="10"/>
        <v>6695.1329999999998</v>
      </c>
    </row>
    <row r="14" spans="3:50" x14ac:dyDescent="0.25">
      <c r="C14" s="68">
        <v>1800</v>
      </c>
      <c r="D14" s="68">
        <v>2700</v>
      </c>
      <c r="E14" s="39">
        <v>44297</v>
      </c>
      <c r="F14" s="92">
        <v>4662.2669999999998</v>
      </c>
      <c r="G14" s="23">
        <v>2760</v>
      </c>
      <c r="H14" s="24">
        <f t="shared" si="11"/>
        <v>12867856.92</v>
      </c>
      <c r="I14" s="25">
        <f t="shared" si="18"/>
        <v>1504.2000000011176</v>
      </c>
      <c r="J14" s="47">
        <v>6695.1329999999998</v>
      </c>
      <c r="K14" s="102">
        <v>2086.5599999986589</v>
      </c>
      <c r="L14" s="69">
        <v>6342.480000000447</v>
      </c>
      <c r="M14" s="70">
        <v>5950.5599999995902</v>
      </c>
      <c r="N14" s="97">
        <v>4805.160000000149</v>
      </c>
      <c r="O14" s="71"/>
      <c r="P14" s="33"/>
      <c r="Q14" s="39">
        <v>44266</v>
      </c>
      <c r="R14" s="73"/>
      <c r="S14" s="73">
        <v>2760</v>
      </c>
      <c r="T14" s="73">
        <f>S14*R14</f>
        <v>0</v>
      </c>
      <c r="U14" s="25">
        <f>T14-T13</f>
        <v>0</v>
      </c>
      <c r="V14" s="25">
        <f>I14</f>
        <v>1504.2000000011176</v>
      </c>
      <c r="W14" s="74">
        <f t="shared" si="2"/>
        <v>0</v>
      </c>
      <c r="X14" s="75">
        <v>0.2</v>
      </c>
      <c r="Y14" s="33"/>
      <c r="Z14" s="39">
        <v>44266</v>
      </c>
      <c r="AA14" s="80"/>
      <c r="AB14" s="73">
        <v>2760</v>
      </c>
      <c r="AC14" s="73">
        <f>AB14*AA14</f>
        <v>0</v>
      </c>
      <c r="AD14" s="25">
        <f>AC14-AC13</f>
        <v>0</v>
      </c>
      <c r="AE14" s="25">
        <f>I14</f>
        <v>1504.2000000011176</v>
      </c>
      <c r="AF14" s="74">
        <f>AD14/AE14</f>
        <v>0</v>
      </c>
      <c r="AG14" s="75">
        <v>0.15</v>
      </c>
      <c r="AI14" s="39">
        <v>44266</v>
      </c>
      <c r="AJ14" s="22"/>
      <c r="AK14" s="22"/>
      <c r="AL14" s="22"/>
      <c r="AM14" s="22"/>
      <c r="AN14" s="23">
        <v>2760</v>
      </c>
      <c r="AO14" s="23">
        <f t="shared" si="14"/>
        <v>0</v>
      </c>
      <c r="AP14" s="76">
        <f t="shared" si="15"/>
        <v>0</v>
      </c>
      <c r="AQ14" s="23">
        <f t="shared" si="6"/>
        <v>0</v>
      </c>
      <c r="AR14" s="77">
        <f t="shared" si="16"/>
        <v>0</v>
      </c>
      <c r="AS14" s="23">
        <f t="shared" si="7"/>
        <v>0</v>
      </c>
      <c r="AT14" s="78">
        <f t="shared" si="17"/>
        <v>0</v>
      </c>
      <c r="AU14" s="79">
        <f t="shared" si="8"/>
        <v>0</v>
      </c>
      <c r="AV14" s="24">
        <f t="shared" si="9"/>
        <v>0</v>
      </c>
      <c r="AW14" s="25">
        <f>+(I14)</f>
        <v>1504.2000000011176</v>
      </c>
      <c r="AX14" s="25">
        <f t="shared" si="10"/>
        <v>6695.1329999999998</v>
      </c>
    </row>
    <row r="15" spans="3:50" x14ac:dyDescent="0.25">
      <c r="C15" s="68">
        <v>1400</v>
      </c>
      <c r="D15" s="68">
        <v>2800</v>
      </c>
      <c r="E15" s="39">
        <v>44298</v>
      </c>
      <c r="F15" s="92">
        <v>4662.7219999999998</v>
      </c>
      <c r="G15" s="23">
        <v>2760</v>
      </c>
      <c r="H15" s="24">
        <f t="shared" si="11"/>
        <v>12869112.719999999</v>
      </c>
      <c r="I15" s="25">
        <f t="shared" si="18"/>
        <v>1255.7999999988824</v>
      </c>
      <c r="J15" s="47">
        <v>6695.1329999999998</v>
      </c>
      <c r="K15" s="102">
        <v>1749.839999999851</v>
      </c>
      <c r="L15" s="69">
        <v>6411.4799999985844</v>
      </c>
      <c r="M15" s="70">
        <v>5760.1200000001118</v>
      </c>
      <c r="N15" s="97">
        <v>5856.7200000002049</v>
      </c>
      <c r="O15" s="71"/>
      <c r="P15" s="33"/>
      <c r="Q15" s="39">
        <v>44267</v>
      </c>
      <c r="R15" s="73"/>
      <c r="S15" s="73">
        <v>2760</v>
      </c>
      <c r="T15" s="73">
        <f t="shared" ref="T15:T33" si="19">S15*R15</f>
        <v>0</v>
      </c>
      <c r="U15" s="25">
        <f t="shared" ref="U15:U23" si="20">T15-T14</f>
        <v>0</v>
      </c>
      <c r="V15" s="25">
        <f t="shared" ref="V15:V35" si="21">I15</f>
        <v>1255.7999999988824</v>
      </c>
      <c r="W15" s="81">
        <f t="shared" si="2"/>
        <v>0</v>
      </c>
      <c r="X15" s="75">
        <v>0.2</v>
      </c>
      <c r="Y15" s="33"/>
      <c r="Z15" s="39">
        <v>44267</v>
      </c>
      <c r="AA15" s="80"/>
      <c r="AB15" s="73">
        <v>2760</v>
      </c>
      <c r="AC15" s="73">
        <f t="shared" ref="AC15:AC35" si="22">AB15*AA15</f>
        <v>0</v>
      </c>
      <c r="AD15" s="25">
        <f t="shared" ref="AD15:AD35" si="23">AC15-AC14</f>
        <v>0</v>
      </c>
      <c r="AE15" s="25">
        <f t="shared" ref="AE15:AE35" si="24">I15</f>
        <v>1255.7999999988824</v>
      </c>
      <c r="AF15" s="74">
        <f t="shared" ref="AF15:AF35" si="25">AD15/AE15</f>
        <v>0</v>
      </c>
      <c r="AG15" s="75">
        <v>0.15</v>
      </c>
      <c r="AI15" s="39">
        <v>44267</v>
      </c>
      <c r="AJ15" s="22"/>
      <c r="AK15" s="22"/>
      <c r="AL15" s="22"/>
      <c r="AM15" s="22"/>
      <c r="AN15" s="23">
        <v>2760</v>
      </c>
      <c r="AO15" s="23">
        <f t="shared" si="14"/>
        <v>0</v>
      </c>
      <c r="AP15" s="76">
        <f t="shared" si="15"/>
        <v>0</v>
      </c>
      <c r="AQ15" s="23">
        <f t="shared" si="6"/>
        <v>0</v>
      </c>
      <c r="AR15" s="77">
        <f t="shared" si="16"/>
        <v>0</v>
      </c>
      <c r="AS15" s="23">
        <f t="shared" si="7"/>
        <v>0</v>
      </c>
      <c r="AT15" s="78">
        <f t="shared" si="17"/>
        <v>0</v>
      </c>
      <c r="AU15" s="79">
        <f t="shared" si="8"/>
        <v>0</v>
      </c>
      <c r="AV15" s="24">
        <f t="shared" si="9"/>
        <v>0</v>
      </c>
      <c r="AW15" s="25">
        <f t="shared" ref="AW15:AX35" si="26">+(I15)</f>
        <v>1255.7999999988824</v>
      </c>
      <c r="AX15" s="25">
        <f t="shared" si="10"/>
        <v>6695.1329999999998</v>
      </c>
    </row>
    <row r="16" spans="3:50" x14ac:dyDescent="0.25">
      <c r="C16" s="68">
        <v>1600</v>
      </c>
      <c r="D16" s="68">
        <v>2900</v>
      </c>
      <c r="E16" s="39">
        <v>44299</v>
      </c>
      <c r="F16" s="92">
        <v>4663.2539999999999</v>
      </c>
      <c r="G16" s="23">
        <v>2760</v>
      </c>
      <c r="H16" s="24">
        <f t="shared" si="11"/>
        <v>12870581.039999999</v>
      </c>
      <c r="I16" s="25">
        <f t="shared" si="18"/>
        <v>1468.320000000298</v>
      </c>
      <c r="J16" s="47">
        <v>6695.1329999999998</v>
      </c>
      <c r="K16" s="102">
        <v>1818.8400000017136</v>
      </c>
      <c r="L16" s="69">
        <v>6303.839999999851</v>
      </c>
      <c r="M16" s="70">
        <v>6138.2400000002235</v>
      </c>
      <c r="N16" s="97">
        <v>5036.9999999995343</v>
      </c>
      <c r="O16" s="71"/>
      <c r="P16" s="33"/>
      <c r="Q16" s="39">
        <v>44268</v>
      </c>
      <c r="R16" s="73"/>
      <c r="S16" s="73">
        <v>2760</v>
      </c>
      <c r="T16" s="73">
        <f t="shared" si="19"/>
        <v>0</v>
      </c>
      <c r="U16" s="25">
        <f t="shared" si="20"/>
        <v>0</v>
      </c>
      <c r="V16" s="25">
        <f t="shared" si="21"/>
        <v>1468.320000000298</v>
      </c>
      <c r="W16" s="81">
        <f t="shared" si="2"/>
        <v>0</v>
      </c>
      <c r="X16" s="75">
        <v>0.2</v>
      </c>
      <c r="Y16" s="33"/>
      <c r="Z16" s="39">
        <v>44268</v>
      </c>
      <c r="AA16" s="80"/>
      <c r="AB16" s="73">
        <v>2760</v>
      </c>
      <c r="AC16" s="73">
        <f t="shared" si="22"/>
        <v>0</v>
      </c>
      <c r="AD16" s="25">
        <f t="shared" si="23"/>
        <v>0</v>
      </c>
      <c r="AE16" s="25">
        <f t="shared" si="24"/>
        <v>1468.320000000298</v>
      </c>
      <c r="AF16" s="74">
        <f t="shared" si="25"/>
        <v>0</v>
      </c>
      <c r="AG16" s="75">
        <v>0.15</v>
      </c>
      <c r="AI16" s="39">
        <v>44268</v>
      </c>
      <c r="AJ16" s="22"/>
      <c r="AK16" s="22"/>
      <c r="AL16" s="22"/>
      <c r="AM16" s="22"/>
      <c r="AN16" s="23">
        <v>2760</v>
      </c>
      <c r="AO16" s="23">
        <f t="shared" si="14"/>
        <v>0</v>
      </c>
      <c r="AP16" s="76">
        <f t="shared" si="15"/>
        <v>0</v>
      </c>
      <c r="AQ16" s="23">
        <f t="shared" si="6"/>
        <v>0</v>
      </c>
      <c r="AR16" s="77">
        <f t="shared" si="16"/>
        <v>0</v>
      </c>
      <c r="AS16" s="23">
        <f t="shared" si="7"/>
        <v>0</v>
      </c>
      <c r="AT16" s="78">
        <f t="shared" si="17"/>
        <v>0</v>
      </c>
      <c r="AU16" s="79">
        <f t="shared" si="8"/>
        <v>0</v>
      </c>
      <c r="AV16" s="24">
        <f t="shared" si="9"/>
        <v>0</v>
      </c>
      <c r="AW16" s="25">
        <f t="shared" si="26"/>
        <v>1468.320000000298</v>
      </c>
      <c r="AX16" s="25">
        <f t="shared" si="10"/>
        <v>6695.1329999999998</v>
      </c>
    </row>
    <row r="17" spans="3:50" x14ac:dyDescent="0.25">
      <c r="C17" s="68">
        <v>1700</v>
      </c>
      <c r="D17" s="68">
        <v>3000</v>
      </c>
      <c r="E17" s="39">
        <v>44300</v>
      </c>
      <c r="F17" s="92"/>
      <c r="G17" s="23">
        <v>2760</v>
      </c>
      <c r="H17" s="24">
        <f t="shared" si="11"/>
        <v>0</v>
      </c>
      <c r="I17" s="25">
        <f t="shared" si="18"/>
        <v>-12870581.039999999</v>
      </c>
      <c r="J17" s="47">
        <v>6695.1329999999998</v>
      </c>
      <c r="K17" s="102">
        <v>1777.4399999976158</v>
      </c>
      <c r="L17" s="69">
        <v>6350.7599999997765</v>
      </c>
      <c r="M17" s="70">
        <v>6085.7999999998137</v>
      </c>
      <c r="N17" s="97">
        <v>4995.6000000005588</v>
      </c>
      <c r="O17" s="71"/>
      <c r="P17" s="33"/>
      <c r="Q17" s="39">
        <v>44269</v>
      </c>
      <c r="R17" s="73"/>
      <c r="S17" s="73">
        <v>2760</v>
      </c>
      <c r="T17" s="73">
        <f t="shared" si="19"/>
        <v>0</v>
      </c>
      <c r="U17" s="25">
        <f t="shared" si="20"/>
        <v>0</v>
      </c>
      <c r="V17" s="25">
        <f t="shared" si="21"/>
        <v>-12870581.039999999</v>
      </c>
      <c r="W17" s="74">
        <f t="shared" si="2"/>
        <v>0</v>
      </c>
      <c r="X17" s="75">
        <v>0.2</v>
      </c>
      <c r="Y17" s="33"/>
      <c r="Z17" s="39">
        <v>44269</v>
      </c>
      <c r="AA17" s="80"/>
      <c r="AB17" s="73">
        <v>2760</v>
      </c>
      <c r="AC17" s="73">
        <f t="shared" si="22"/>
        <v>0</v>
      </c>
      <c r="AD17" s="25">
        <f t="shared" si="23"/>
        <v>0</v>
      </c>
      <c r="AE17" s="25">
        <f t="shared" si="24"/>
        <v>-12870581.039999999</v>
      </c>
      <c r="AF17" s="74">
        <f t="shared" si="25"/>
        <v>0</v>
      </c>
      <c r="AG17" s="75">
        <v>0.15</v>
      </c>
      <c r="AI17" s="39">
        <v>44269</v>
      </c>
      <c r="AJ17" s="22"/>
      <c r="AK17" s="22"/>
      <c r="AL17" s="22"/>
      <c r="AM17" s="22"/>
      <c r="AN17" s="23">
        <v>2760</v>
      </c>
      <c r="AO17" s="23">
        <f t="shared" si="14"/>
        <v>0</v>
      </c>
      <c r="AP17" s="76">
        <f t="shared" si="15"/>
        <v>0</v>
      </c>
      <c r="AQ17" s="23">
        <f t="shared" si="6"/>
        <v>0</v>
      </c>
      <c r="AR17" s="77">
        <f t="shared" si="16"/>
        <v>0</v>
      </c>
      <c r="AS17" s="23">
        <f t="shared" si="7"/>
        <v>0</v>
      </c>
      <c r="AT17" s="78">
        <f t="shared" si="17"/>
        <v>0</v>
      </c>
      <c r="AU17" s="79">
        <f t="shared" si="8"/>
        <v>0</v>
      </c>
      <c r="AV17" s="24">
        <f t="shared" si="9"/>
        <v>0</v>
      </c>
      <c r="AW17" s="25">
        <f t="shared" si="26"/>
        <v>-12870581.039999999</v>
      </c>
      <c r="AX17" s="25">
        <f t="shared" si="10"/>
        <v>6695.1329999999998</v>
      </c>
    </row>
    <row r="18" spans="3:50" x14ac:dyDescent="0.25">
      <c r="C18" s="68">
        <v>1100</v>
      </c>
      <c r="D18" s="68">
        <v>3000</v>
      </c>
      <c r="E18" s="39">
        <v>44301</v>
      </c>
      <c r="F18" s="92"/>
      <c r="G18" s="23">
        <v>2760</v>
      </c>
      <c r="H18" s="24">
        <f t="shared" si="11"/>
        <v>0</v>
      </c>
      <c r="I18" s="25">
        <f t="shared" si="18"/>
        <v>0</v>
      </c>
      <c r="J18" s="47">
        <v>6695.1329999999998</v>
      </c>
      <c r="K18" s="102">
        <v>1711.1999999992549</v>
      </c>
      <c r="L18" s="69">
        <v>6096.8400000017136</v>
      </c>
      <c r="M18" s="70">
        <v>6568.8000000007451</v>
      </c>
      <c r="N18" s="97">
        <v>4915.5599999995902</v>
      </c>
      <c r="O18" s="71"/>
      <c r="P18" s="33"/>
      <c r="Q18" s="39">
        <v>44270</v>
      </c>
      <c r="R18" s="73"/>
      <c r="S18" s="73">
        <v>2760</v>
      </c>
      <c r="T18" s="73">
        <f t="shared" si="19"/>
        <v>0</v>
      </c>
      <c r="U18" s="25">
        <f t="shared" si="20"/>
        <v>0</v>
      </c>
      <c r="V18" s="25">
        <f t="shared" si="21"/>
        <v>0</v>
      </c>
      <c r="W18" s="74" t="e">
        <f>U18/V18</f>
        <v>#DIV/0!</v>
      </c>
      <c r="X18" s="75">
        <v>0.2</v>
      </c>
      <c r="Y18" s="33"/>
      <c r="Z18" s="39">
        <v>44270</v>
      </c>
      <c r="AA18" s="80"/>
      <c r="AB18" s="73">
        <v>2760</v>
      </c>
      <c r="AC18" s="73">
        <f t="shared" si="22"/>
        <v>0</v>
      </c>
      <c r="AD18" s="25">
        <f t="shared" si="23"/>
        <v>0</v>
      </c>
      <c r="AE18" s="25">
        <f t="shared" si="24"/>
        <v>0</v>
      </c>
      <c r="AF18" s="74" t="e">
        <f t="shared" si="25"/>
        <v>#DIV/0!</v>
      </c>
      <c r="AG18" s="75">
        <v>0.15</v>
      </c>
      <c r="AI18" s="39">
        <v>44270</v>
      </c>
      <c r="AJ18" s="22"/>
      <c r="AK18" s="22"/>
      <c r="AL18" s="22"/>
      <c r="AM18" s="22"/>
      <c r="AN18" s="23">
        <v>2760</v>
      </c>
      <c r="AO18" s="23">
        <f t="shared" si="14"/>
        <v>0</v>
      </c>
      <c r="AP18" s="76">
        <f t="shared" si="15"/>
        <v>0</v>
      </c>
      <c r="AQ18" s="23">
        <f t="shared" si="6"/>
        <v>0</v>
      </c>
      <c r="AR18" s="77">
        <f t="shared" si="16"/>
        <v>0</v>
      </c>
      <c r="AS18" s="23">
        <f t="shared" si="7"/>
        <v>0</v>
      </c>
      <c r="AT18" s="78">
        <f t="shared" si="17"/>
        <v>0</v>
      </c>
      <c r="AU18" s="79">
        <f t="shared" si="8"/>
        <v>0</v>
      </c>
      <c r="AV18" s="24">
        <f t="shared" si="9"/>
        <v>0</v>
      </c>
      <c r="AW18" s="25">
        <f t="shared" si="26"/>
        <v>0</v>
      </c>
      <c r="AX18" s="25">
        <f t="shared" si="10"/>
        <v>6695.1329999999998</v>
      </c>
    </row>
    <row r="19" spans="3:50" x14ac:dyDescent="0.25">
      <c r="C19" s="68">
        <v>500</v>
      </c>
      <c r="D19" s="68">
        <v>3500</v>
      </c>
      <c r="E19" s="39">
        <v>44302</v>
      </c>
      <c r="F19" s="92"/>
      <c r="G19" s="23">
        <v>2760</v>
      </c>
      <c r="H19" s="24">
        <f t="shared" si="11"/>
        <v>0</v>
      </c>
      <c r="I19" s="25">
        <f t="shared" si="18"/>
        <v>0</v>
      </c>
      <c r="J19" s="47">
        <v>6695.1329999999998</v>
      </c>
      <c r="K19" s="102">
        <v>1857.4800000023097</v>
      </c>
      <c r="L19" s="69">
        <v>6025.0800000000745</v>
      </c>
      <c r="M19" s="70">
        <v>5848.4400000004098</v>
      </c>
      <c r="N19" s="97">
        <v>4308.3599999998696</v>
      </c>
      <c r="O19" s="71"/>
      <c r="P19" s="33"/>
      <c r="Q19" s="39">
        <v>44271</v>
      </c>
      <c r="R19" s="73"/>
      <c r="S19" s="73">
        <v>2760</v>
      </c>
      <c r="T19" s="73">
        <f t="shared" si="19"/>
        <v>0</v>
      </c>
      <c r="U19" s="25">
        <f t="shared" si="20"/>
        <v>0</v>
      </c>
      <c r="V19" s="25">
        <f t="shared" si="21"/>
        <v>0</v>
      </c>
      <c r="W19" s="74" t="e">
        <f>U19/V19</f>
        <v>#DIV/0!</v>
      </c>
      <c r="X19" s="75">
        <v>0.2</v>
      </c>
      <c r="Y19" s="33"/>
      <c r="Z19" s="39">
        <v>44271</v>
      </c>
      <c r="AA19" s="80"/>
      <c r="AB19" s="73">
        <v>2760</v>
      </c>
      <c r="AC19" s="73">
        <f t="shared" si="22"/>
        <v>0</v>
      </c>
      <c r="AD19" s="25">
        <f t="shared" si="23"/>
        <v>0</v>
      </c>
      <c r="AE19" s="25">
        <f t="shared" si="24"/>
        <v>0</v>
      </c>
      <c r="AF19" s="74" t="e">
        <f t="shared" si="25"/>
        <v>#DIV/0!</v>
      </c>
      <c r="AG19" s="75">
        <v>0.15</v>
      </c>
      <c r="AI19" s="39">
        <v>44271</v>
      </c>
      <c r="AJ19" s="22"/>
      <c r="AK19" s="22"/>
      <c r="AL19" s="22"/>
      <c r="AM19" s="22"/>
      <c r="AN19" s="23">
        <v>2760</v>
      </c>
      <c r="AO19" s="23">
        <f t="shared" si="14"/>
        <v>0</v>
      </c>
      <c r="AP19" s="76">
        <f t="shared" si="15"/>
        <v>0</v>
      </c>
      <c r="AQ19" s="23">
        <f t="shared" si="6"/>
        <v>0</v>
      </c>
      <c r="AR19" s="77">
        <f t="shared" si="16"/>
        <v>0</v>
      </c>
      <c r="AS19" s="23">
        <f t="shared" si="7"/>
        <v>0</v>
      </c>
      <c r="AT19" s="78">
        <f>+(AS19-AS18)</f>
        <v>0</v>
      </c>
      <c r="AU19" s="79">
        <f>+(AP19+AR19+AT19)</f>
        <v>0</v>
      </c>
      <c r="AV19" s="24">
        <f t="shared" si="9"/>
        <v>0</v>
      </c>
      <c r="AW19" s="25">
        <f t="shared" si="26"/>
        <v>0</v>
      </c>
      <c r="AX19" s="25">
        <f t="shared" si="10"/>
        <v>6695.1329999999998</v>
      </c>
    </row>
    <row r="20" spans="3:50" x14ac:dyDescent="0.25">
      <c r="C20" s="68">
        <v>500</v>
      </c>
      <c r="D20" s="68">
        <v>2700</v>
      </c>
      <c r="E20" s="39">
        <v>44303</v>
      </c>
      <c r="F20" s="92"/>
      <c r="G20" s="23">
        <v>2760</v>
      </c>
      <c r="H20" s="24">
        <f t="shared" si="11"/>
        <v>0</v>
      </c>
      <c r="I20" s="25">
        <f t="shared" si="18"/>
        <v>0</v>
      </c>
      <c r="J20" s="47">
        <v>6695.1329999999998</v>
      </c>
      <c r="K20" s="102">
        <v>1471.0799999982119</v>
      </c>
      <c r="L20" s="69">
        <v>6041.6399999987334</v>
      </c>
      <c r="M20" s="70">
        <v>5566.9199999989942</v>
      </c>
      <c r="N20" s="97">
        <v>4992.839999999851</v>
      </c>
      <c r="O20" s="71"/>
      <c r="P20" s="33"/>
      <c r="Q20" s="39">
        <v>44272</v>
      </c>
      <c r="R20" s="73"/>
      <c r="S20" s="73">
        <v>2760</v>
      </c>
      <c r="T20" s="73">
        <f t="shared" si="19"/>
        <v>0</v>
      </c>
      <c r="U20" s="25">
        <f t="shared" si="20"/>
        <v>0</v>
      </c>
      <c r="V20" s="25">
        <f t="shared" si="21"/>
        <v>0</v>
      </c>
      <c r="W20" s="74" t="e">
        <f t="shared" si="2"/>
        <v>#DIV/0!</v>
      </c>
      <c r="X20" s="75">
        <v>0.2</v>
      </c>
      <c r="Y20" s="33"/>
      <c r="Z20" s="39">
        <v>44272</v>
      </c>
      <c r="AA20" s="80"/>
      <c r="AB20" s="73">
        <v>2760</v>
      </c>
      <c r="AC20" s="73">
        <f t="shared" si="22"/>
        <v>0</v>
      </c>
      <c r="AD20" s="25">
        <f t="shared" si="23"/>
        <v>0</v>
      </c>
      <c r="AE20" s="25">
        <f t="shared" si="24"/>
        <v>0</v>
      </c>
      <c r="AF20" s="74" t="e">
        <f t="shared" si="25"/>
        <v>#DIV/0!</v>
      </c>
      <c r="AG20" s="75">
        <v>0.15</v>
      </c>
      <c r="AI20" s="39">
        <v>44272</v>
      </c>
      <c r="AJ20" s="22"/>
      <c r="AK20" s="22"/>
      <c r="AL20" s="22"/>
      <c r="AM20" s="22"/>
      <c r="AN20" s="23">
        <v>2760</v>
      </c>
      <c r="AO20" s="23">
        <f t="shared" si="14"/>
        <v>0</v>
      </c>
      <c r="AP20" s="76">
        <f t="shared" si="15"/>
        <v>0</v>
      </c>
      <c r="AQ20" s="23">
        <f t="shared" si="6"/>
        <v>0</v>
      </c>
      <c r="AR20" s="77">
        <f t="shared" si="16"/>
        <v>0</v>
      </c>
      <c r="AS20" s="23">
        <f t="shared" si="7"/>
        <v>0</v>
      </c>
      <c r="AT20" s="78">
        <f>+(AS20-AS19)</f>
        <v>0</v>
      </c>
      <c r="AU20" s="79">
        <f>+(AP20+AR20+AT20)</f>
        <v>0</v>
      </c>
      <c r="AV20" s="24">
        <f t="shared" si="9"/>
        <v>0</v>
      </c>
      <c r="AW20" s="25">
        <f t="shared" si="26"/>
        <v>0</v>
      </c>
      <c r="AX20" s="25">
        <f t="shared" si="26"/>
        <v>6695.1329999999998</v>
      </c>
    </row>
    <row r="21" spans="3:50" x14ac:dyDescent="0.25">
      <c r="C21" s="68">
        <v>900</v>
      </c>
      <c r="D21" s="68">
        <v>2700</v>
      </c>
      <c r="E21" s="39">
        <v>44304</v>
      </c>
      <c r="F21" s="92"/>
      <c r="G21" s="23">
        <v>2760</v>
      </c>
      <c r="H21" s="24">
        <f t="shared" si="11"/>
        <v>0</v>
      </c>
      <c r="I21" s="25">
        <f t="shared" si="18"/>
        <v>0</v>
      </c>
      <c r="J21" s="47">
        <v>6695.1329999999998</v>
      </c>
      <c r="K21" s="102">
        <v>1785.7200000006706</v>
      </c>
      <c r="L21" s="69">
        <v>6499.8000000007451</v>
      </c>
      <c r="M21" s="70">
        <v>5925.7199999997392</v>
      </c>
      <c r="N21" s="97">
        <v>4515.3600000008009</v>
      </c>
      <c r="O21" s="71"/>
      <c r="P21" s="33"/>
      <c r="Q21" s="39">
        <v>44273</v>
      </c>
      <c r="R21" s="73"/>
      <c r="S21" s="73">
        <v>2760</v>
      </c>
      <c r="T21" s="73">
        <f t="shared" si="19"/>
        <v>0</v>
      </c>
      <c r="U21" s="25">
        <f>T21-T20</f>
        <v>0</v>
      </c>
      <c r="V21" s="25">
        <f>I21</f>
        <v>0</v>
      </c>
      <c r="W21" s="74" t="e">
        <f t="shared" si="2"/>
        <v>#DIV/0!</v>
      </c>
      <c r="X21" s="75">
        <v>0.2</v>
      </c>
      <c r="Y21" s="33"/>
      <c r="Z21" s="39">
        <v>44273</v>
      </c>
      <c r="AA21" s="80"/>
      <c r="AB21" s="73">
        <v>2760</v>
      </c>
      <c r="AC21" s="73">
        <f t="shared" si="22"/>
        <v>0</v>
      </c>
      <c r="AD21" s="25">
        <f t="shared" si="23"/>
        <v>0</v>
      </c>
      <c r="AE21" s="25">
        <f>I21</f>
        <v>0</v>
      </c>
      <c r="AF21" s="74" t="e">
        <f>AD21/AE21</f>
        <v>#DIV/0!</v>
      </c>
      <c r="AG21" s="75">
        <v>0.15</v>
      </c>
      <c r="AI21" s="39">
        <v>44273</v>
      </c>
      <c r="AJ21" s="22"/>
      <c r="AK21" s="22"/>
      <c r="AL21" s="22"/>
      <c r="AM21" s="22"/>
      <c r="AN21" s="23">
        <v>2760</v>
      </c>
      <c r="AO21" s="23">
        <f t="shared" si="14"/>
        <v>0</v>
      </c>
      <c r="AP21" s="76">
        <f t="shared" si="15"/>
        <v>0</v>
      </c>
      <c r="AQ21" s="23">
        <f t="shared" si="6"/>
        <v>0</v>
      </c>
      <c r="AR21" s="77">
        <f t="shared" si="16"/>
        <v>0</v>
      </c>
      <c r="AS21" s="23">
        <f t="shared" si="7"/>
        <v>0</v>
      </c>
      <c r="AT21" s="78">
        <f>+(AS21-AS20)</f>
        <v>0</v>
      </c>
      <c r="AU21" s="79">
        <f>+(AP21+AR21+AT21)</f>
        <v>0</v>
      </c>
      <c r="AV21" s="24">
        <f t="shared" si="9"/>
        <v>0</v>
      </c>
      <c r="AW21" s="25">
        <f t="shared" si="26"/>
        <v>0</v>
      </c>
      <c r="AX21" s="25">
        <f t="shared" si="26"/>
        <v>6695.1329999999998</v>
      </c>
    </row>
    <row r="22" spans="3:50" x14ac:dyDescent="0.25">
      <c r="C22" s="68">
        <v>300</v>
      </c>
      <c r="D22" s="68">
        <v>2700</v>
      </c>
      <c r="E22" s="39">
        <v>44305</v>
      </c>
      <c r="F22" s="92"/>
      <c r="G22" s="23">
        <v>2760</v>
      </c>
      <c r="H22" s="24">
        <f t="shared" si="11"/>
        <v>0</v>
      </c>
      <c r="I22" s="25">
        <f t="shared" si="18"/>
        <v>0</v>
      </c>
      <c r="J22" s="47">
        <v>6695.1329999999998</v>
      </c>
      <c r="K22" s="102">
        <v>1672.5600000023842</v>
      </c>
      <c r="L22" s="69">
        <v>6234.839999999851</v>
      </c>
      <c r="M22" s="70">
        <v>5815.320000000298</v>
      </c>
      <c r="N22" s="97">
        <v>4479.4799999995157</v>
      </c>
      <c r="O22" s="71"/>
      <c r="P22" s="33"/>
      <c r="Q22" s="39">
        <v>44274</v>
      </c>
      <c r="R22" s="73"/>
      <c r="S22" s="73">
        <v>2760</v>
      </c>
      <c r="T22" s="73">
        <f t="shared" si="19"/>
        <v>0</v>
      </c>
      <c r="U22" s="25">
        <f t="shared" si="20"/>
        <v>0</v>
      </c>
      <c r="V22" s="25">
        <f t="shared" si="21"/>
        <v>0</v>
      </c>
      <c r="W22" s="74" t="e">
        <f t="shared" si="2"/>
        <v>#DIV/0!</v>
      </c>
      <c r="X22" s="75">
        <v>0.2</v>
      </c>
      <c r="Y22" s="33"/>
      <c r="Z22" s="39">
        <v>44274</v>
      </c>
      <c r="AA22" s="80"/>
      <c r="AB22" s="73">
        <v>2760</v>
      </c>
      <c r="AC22" s="73">
        <f t="shared" si="22"/>
        <v>0</v>
      </c>
      <c r="AD22" s="25">
        <f t="shared" si="23"/>
        <v>0</v>
      </c>
      <c r="AE22" s="25">
        <f t="shared" si="24"/>
        <v>0</v>
      </c>
      <c r="AF22" s="74" t="e">
        <f t="shared" si="25"/>
        <v>#DIV/0!</v>
      </c>
      <c r="AG22" s="75">
        <v>0.15</v>
      </c>
      <c r="AI22" s="39">
        <v>44274</v>
      </c>
      <c r="AJ22" s="22"/>
      <c r="AK22" s="22"/>
      <c r="AL22" s="22"/>
      <c r="AM22" s="22"/>
      <c r="AN22" s="23">
        <v>2760</v>
      </c>
      <c r="AO22" s="23">
        <f t="shared" si="14"/>
        <v>0</v>
      </c>
      <c r="AP22" s="76">
        <f t="shared" si="15"/>
        <v>0</v>
      </c>
      <c r="AQ22" s="23">
        <f t="shared" si="6"/>
        <v>0</v>
      </c>
      <c r="AR22" s="77">
        <f t="shared" si="16"/>
        <v>0</v>
      </c>
      <c r="AS22" s="23">
        <f t="shared" si="7"/>
        <v>0</v>
      </c>
      <c r="AT22" s="78">
        <f t="shared" si="17"/>
        <v>0</v>
      </c>
      <c r="AU22" s="79">
        <f t="shared" si="8"/>
        <v>0</v>
      </c>
      <c r="AV22" s="24">
        <f t="shared" si="9"/>
        <v>0</v>
      </c>
      <c r="AW22" s="25">
        <f t="shared" si="26"/>
        <v>0</v>
      </c>
      <c r="AX22" s="25">
        <f t="shared" si="26"/>
        <v>6695.1329999999998</v>
      </c>
    </row>
    <row r="23" spans="3:50" x14ac:dyDescent="0.25">
      <c r="C23" s="68">
        <v>300</v>
      </c>
      <c r="D23" s="68">
        <v>2700</v>
      </c>
      <c r="E23" s="39">
        <v>44306</v>
      </c>
      <c r="F23" s="92"/>
      <c r="G23" s="23">
        <v>2760</v>
      </c>
      <c r="H23" s="24">
        <f t="shared" si="11"/>
        <v>0</v>
      </c>
      <c r="I23" s="25">
        <f>H23-H22</f>
        <v>0</v>
      </c>
      <c r="J23" s="47">
        <v>6695.1329999999998</v>
      </c>
      <c r="K23" s="102">
        <v>1628.3999999966472</v>
      </c>
      <c r="L23" s="69">
        <v>6717.839999999851</v>
      </c>
      <c r="M23" s="70">
        <v>5710.4399999994785</v>
      </c>
      <c r="N23" s="97">
        <v>4830</v>
      </c>
      <c r="O23" s="71"/>
      <c r="P23" s="33"/>
      <c r="Q23" s="39">
        <v>44275</v>
      </c>
      <c r="R23" s="73"/>
      <c r="S23" s="73">
        <v>2760</v>
      </c>
      <c r="T23" s="73">
        <f t="shared" si="19"/>
        <v>0</v>
      </c>
      <c r="U23" s="25">
        <f t="shared" si="20"/>
        <v>0</v>
      </c>
      <c r="V23" s="25">
        <f t="shared" si="21"/>
        <v>0</v>
      </c>
      <c r="W23" s="74" t="e">
        <f t="shared" si="2"/>
        <v>#DIV/0!</v>
      </c>
      <c r="X23" s="75">
        <v>0.2</v>
      </c>
      <c r="Y23" s="33"/>
      <c r="Z23" s="39">
        <v>44275</v>
      </c>
      <c r="AA23" s="80"/>
      <c r="AB23" s="73">
        <v>2760</v>
      </c>
      <c r="AC23" s="73">
        <f t="shared" si="22"/>
        <v>0</v>
      </c>
      <c r="AD23" s="25">
        <f t="shared" si="23"/>
        <v>0</v>
      </c>
      <c r="AE23" s="25">
        <f t="shared" si="24"/>
        <v>0</v>
      </c>
      <c r="AF23" s="74" t="e">
        <f t="shared" si="25"/>
        <v>#DIV/0!</v>
      </c>
      <c r="AG23" s="75">
        <v>0.15</v>
      </c>
      <c r="AI23" s="39">
        <v>44275</v>
      </c>
      <c r="AJ23" s="22"/>
      <c r="AK23" s="22"/>
      <c r="AL23" s="22"/>
      <c r="AM23" s="22"/>
      <c r="AN23" s="23">
        <v>2760</v>
      </c>
      <c r="AO23" s="23">
        <f t="shared" si="14"/>
        <v>0</v>
      </c>
      <c r="AP23" s="76">
        <f t="shared" si="15"/>
        <v>0</v>
      </c>
      <c r="AQ23" s="23">
        <f t="shared" si="6"/>
        <v>0</v>
      </c>
      <c r="AR23" s="77">
        <f t="shared" si="16"/>
        <v>0</v>
      </c>
      <c r="AS23" s="23">
        <f t="shared" si="7"/>
        <v>0</v>
      </c>
      <c r="AT23" s="78">
        <f t="shared" si="17"/>
        <v>0</v>
      </c>
      <c r="AU23" s="79">
        <f t="shared" si="8"/>
        <v>0</v>
      </c>
      <c r="AV23" s="24">
        <f t="shared" si="9"/>
        <v>0</v>
      </c>
      <c r="AW23" s="25">
        <f t="shared" si="26"/>
        <v>0</v>
      </c>
      <c r="AX23" s="25">
        <f t="shared" si="26"/>
        <v>6695.1329999999998</v>
      </c>
    </row>
    <row r="24" spans="3:50" x14ac:dyDescent="0.25">
      <c r="C24" s="68">
        <v>1800</v>
      </c>
      <c r="D24" s="68">
        <v>2700</v>
      </c>
      <c r="E24" s="39">
        <v>44307</v>
      </c>
      <c r="F24" s="92"/>
      <c r="G24" s="23">
        <v>2760</v>
      </c>
      <c r="H24" s="24">
        <f t="shared" si="11"/>
        <v>0</v>
      </c>
      <c r="I24" s="25">
        <f t="shared" si="18"/>
        <v>0</v>
      </c>
      <c r="J24" s="47">
        <v>6695.1329999999998</v>
      </c>
      <c r="K24" s="102">
        <v>1818.8400000017136</v>
      </c>
      <c r="L24" s="69">
        <v>6585.359999999404</v>
      </c>
      <c r="M24" s="70">
        <v>5820.8400000017136</v>
      </c>
      <c r="N24" s="97">
        <v>5784.9599999999627</v>
      </c>
      <c r="O24" s="71"/>
      <c r="P24" s="33"/>
      <c r="Q24" s="39">
        <v>44276</v>
      </c>
      <c r="R24" s="73"/>
      <c r="S24" s="73">
        <v>2760</v>
      </c>
      <c r="T24" s="73">
        <f t="shared" si="19"/>
        <v>0</v>
      </c>
      <c r="U24" s="25">
        <f>T24-T23</f>
        <v>0</v>
      </c>
      <c r="V24" s="25">
        <f t="shared" si="21"/>
        <v>0</v>
      </c>
      <c r="W24" s="74" t="e">
        <f t="shared" si="2"/>
        <v>#DIV/0!</v>
      </c>
      <c r="X24" s="75">
        <v>0.2</v>
      </c>
      <c r="Y24" s="33"/>
      <c r="Z24" s="39">
        <v>44276</v>
      </c>
      <c r="AA24" s="80"/>
      <c r="AB24" s="73">
        <v>2760</v>
      </c>
      <c r="AC24" s="73">
        <f t="shared" si="22"/>
        <v>0</v>
      </c>
      <c r="AD24" s="25">
        <f t="shared" si="23"/>
        <v>0</v>
      </c>
      <c r="AE24" s="25">
        <f t="shared" si="24"/>
        <v>0</v>
      </c>
      <c r="AF24" s="74" t="e">
        <f t="shared" si="25"/>
        <v>#DIV/0!</v>
      </c>
      <c r="AG24" s="75">
        <v>0.15</v>
      </c>
      <c r="AI24" s="39">
        <v>44276</v>
      </c>
      <c r="AJ24" s="22"/>
      <c r="AK24" s="22"/>
      <c r="AL24" s="22"/>
      <c r="AM24" s="22"/>
      <c r="AN24" s="23">
        <v>2760</v>
      </c>
      <c r="AO24" s="23">
        <f t="shared" si="14"/>
        <v>0</v>
      </c>
      <c r="AP24" s="76">
        <f t="shared" si="15"/>
        <v>0</v>
      </c>
      <c r="AQ24" s="23">
        <f t="shared" si="6"/>
        <v>0</v>
      </c>
      <c r="AR24" s="77">
        <f t="shared" si="16"/>
        <v>0</v>
      </c>
      <c r="AS24" s="23">
        <f t="shared" si="7"/>
        <v>0</v>
      </c>
      <c r="AT24" s="78">
        <f t="shared" si="17"/>
        <v>0</v>
      </c>
      <c r="AU24" s="79">
        <f t="shared" si="8"/>
        <v>0</v>
      </c>
      <c r="AV24" s="24">
        <f t="shared" si="9"/>
        <v>0</v>
      </c>
      <c r="AW24" s="25">
        <f t="shared" si="26"/>
        <v>0</v>
      </c>
      <c r="AX24" s="25">
        <f t="shared" si="26"/>
        <v>6695.1329999999998</v>
      </c>
    </row>
    <row r="25" spans="3:50" x14ac:dyDescent="0.25">
      <c r="C25" s="68">
        <v>600</v>
      </c>
      <c r="D25" s="68">
        <v>2700</v>
      </c>
      <c r="E25" s="39">
        <v>44308</v>
      </c>
      <c r="F25" s="92"/>
      <c r="G25" s="23">
        <v>2760</v>
      </c>
      <c r="H25" s="24">
        <f t="shared" si="11"/>
        <v>0</v>
      </c>
      <c r="I25" s="25">
        <f t="shared" si="18"/>
        <v>0</v>
      </c>
      <c r="J25" s="47">
        <v>6695.1329999999998</v>
      </c>
      <c r="K25" s="102">
        <v>1675.320000000298</v>
      </c>
      <c r="L25" s="69">
        <v>6538.4400000013411</v>
      </c>
      <c r="M25" s="70">
        <v>5751.8399999989197</v>
      </c>
      <c r="N25" s="97">
        <v>4882.4399999999441</v>
      </c>
      <c r="O25" s="71"/>
      <c r="P25" s="33"/>
      <c r="Q25" s="39">
        <v>44277</v>
      </c>
      <c r="R25" s="73"/>
      <c r="S25" s="73">
        <v>2760</v>
      </c>
      <c r="T25" s="73">
        <f t="shared" si="19"/>
        <v>0</v>
      </c>
      <c r="U25" s="25">
        <f t="shared" ref="U25:U33" si="27">T25-T24</f>
        <v>0</v>
      </c>
      <c r="V25" s="25">
        <f t="shared" si="21"/>
        <v>0</v>
      </c>
      <c r="W25" s="74" t="e">
        <f t="shared" si="2"/>
        <v>#DIV/0!</v>
      </c>
      <c r="X25" s="75">
        <v>0.2</v>
      </c>
      <c r="Y25" s="33"/>
      <c r="Z25" s="39">
        <v>44277</v>
      </c>
      <c r="AA25" s="80"/>
      <c r="AB25" s="73">
        <v>2760</v>
      </c>
      <c r="AC25" s="73">
        <f t="shared" si="22"/>
        <v>0</v>
      </c>
      <c r="AD25" s="25">
        <f t="shared" si="23"/>
        <v>0</v>
      </c>
      <c r="AE25" s="25">
        <f t="shared" si="24"/>
        <v>0</v>
      </c>
      <c r="AF25" s="74" t="e">
        <f t="shared" si="25"/>
        <v>#DIV/0!</v>
      </c>
      <c r="AG25" s="75">
        <v>0.15</v>
      </c>
      <c r="AI25" s="39">
        <v>44277</v>
      </c>
      <c r="AJ25" s="22"/>
      <c r="AK25" s="22"/>
      <c r="AL25" s="22"/>
      <c r="AM25" s="22"/>
      <c r="AN25" s="23">
        <v>2760</v>
      </c>
      <c r="AO25" s="23">
        <f t="shared" si="14"/>
        <v>0</v>
      </c>
      <c r="AP25" s="76">
        <f t="shared" si="15"/>
        <v>0</v>
      </c>
      <c r="AQ25" s="23">
        <f t="shared" si="6"/>
        <v>0</v>
      </c>
      <c r="AR25" s="77">
        <f t="shared" si="16"/>
        <v>0</v>
      </c>
      <c r="AS25" s="23">
        <f t="shared" si="7"/>
        <v>0</v>
      </c>
      <c r="AT25" s="78">
        <f t="shared" si="17"/>
        <v>0</v>
      </c>
      <c r="AU25" s="79">
        <f t="shared" si="8"/>
        <v>0</v>
      </c>
      <c r="AV25" s="24">
        <f t="shared" si="9"/>
        <v>0</v>
      </c>
      <c r="AW25" s="25">
        <f t="shared" si="26"/>
        <v>0</v>
      </c>
      <c r="AX25" s="25">
        <f t="shared" si="26"/>
        <v>6695.1329999999998</v>
      </c>
    </row>
    <row r="26" spans="3:50" x14ac:dyDescent="0.25">
      <c r="C26" s="68">
        <v>1100</v>
      </c>
      <c r="D26" s="68">
        <v>2700</v>
      </c>
      <c r="E26" s="39">
        <v>44309</v>
      </c>
      <c r="F26" s="103"/>
      <c r="G26" s="23">
        <v>2760</v>
      </c>
      <c r="H26" s="24">
        <f t="shared" si="11"/>
        <v>0</v>
      </c>
      <c r="I26" s="25">
        <f t="shared" si="18"/>
        <v>0</v>
      </c>
      <c r="J26" s="47">
        <v>6695.1329999999998</v>
      </c>
      <c r="K26" s="102">
        <v>1669.7999999988824</v>
      </c>
      <c r="L26" s="69">
        <v>5964.359999999404</v>
      </c>
      <c r="M26" s="70">
        <v>5898.1200000010431</v>
      </c>
      <c r="N26" s="104">
        <v>5268.8400000003166</v>
      </c>
      <c r="O26" s="82"/>
      <c r="P26" s="83"/>
      <c r="Q26" s="39">
        <v>44278</v>
      </c>
      <c r="R26" s="73"/>
      <c r="S26" s="84">
        <v>2760</v>
      </c>
      <c r="T26" s="73">
        <f t="shared" si="19"/>
        <v>0</v>
      </c>
      <c r="U26" s="25">
        <f t="shared" si="27"/>
        <v>0</v>
      </c>
      <c r="V26" s="85">
        <f t="shared" si="21"/>
        <v>0</v>
      </c>
      <c r="W26" s="86" t="e">
        <f t="shared" si="2"/>
        <v>#DIV/0!</v>
      </c>
      <c r="X26" s="75">
        <v>0.2</v>
      </c>
      <c r="Y26" s="33"/>
      <c r="Z26" s="39">
        <v>44278</v>
      </c>
      <c r="AA26" s="80"/>
      <c r="AB26" s="73">
        <v>2760</v>
      </c>
      <c r="AC26" s="73">
        <f t="shared" si="22"/>
        <v>0</v>
      </c>
      <c r="AD26" s="25">
        <f t="shared" si="23"/>
        <v>0</v>
      </c>
      <c r="AE26" s="25">
        <f t="shared" si="24"/>
        <v>0</v>
      </c>
      <c r="AF26" s="86" t="e">
        <f>AD26/AE26</f>
        <v>#DIV/0!</v>
      </c>
      <c r="AG26" s="75">
        <v>0.15</v>
      </c>
      <c r="AI26" s="39">
        <v>44278</v>
      </c>
      <c r="AJ26" s="22"/>
      <c r="AK26" s="22"/>
      <c r="AL26" s="22"/>
      <c r="AM26" s="22"/>
      <c r="AN26" s="28">
        <v>2760</v>
      </c>
      <c r="AO26" s="28">
        <f t="shared" si="14"/>
        <v>0</v>
      </c>
      <c r="AP26" s="76">
        <f t="shared" si="15"/>
        <v>0</v>
      </c>
      <c r="AQ26" s="28">
        <f t="shared" si="6"/>
        <v>0</v>
      </c>
      <c r="AR26" s="77">
        <f t="shared" si="16"/>
        <v>0</v>
      </c>
      <c r="AS26" s="28">
        <f t="shared" si="7"/>
        <v>0</v>
      </c>
      <c r="AT26" s="78">
        <f t="shared" si="17"/>
        <v>0</v>
      </c>
      <c r="AU26" s="79">
        <f t="shared" si="8"/>
        <v>0</v>
      </c>
      <c r="AV26" s="29">
        <f t="shared" si="9"/>
        <v>0</v>
      </c>
      <c r="AW26" s="25">
        <f t="shared" si="26"/>
        <v>0</v>
      </c>
      <c r="AX26" s="25">
        <f t="shared" si="26"/>
        <v>6695.1329999999998</v>
      </c>
    </row>
    <row r="27" spans="3:50" x14ac:dyDescent="0.25">
      <c r="C27" s="68">
        <v>700</v>
      </c>
      <c r="D27" s="68">
        <v>3000</v>
      </c>
      <c r="E27" s="39">
        <v>44310</v>
      </c>
      <c r="F27" s="103"/>
      <c r="G27" s="23">
        <v>2760</v>
      </c>
      <c r="H27" s="24">
        <f t="shared" si="11"/>
        <v>0</v>
      </c>
      <c r="I27" s="25">
        <f t="shared" si="18"/>
        <v>0</v>
      </c>
      <c r="J27" s="47">
        <v>6695.1329999999998</v>
      </c>
      <c r="K27" s="102">
        <v>1686.359999999404</v>
      </c>
      <c r="L27" s="69">
        <v>6083.0400000009686</v>
      </c>
      <c r="M27" s="70">
        <v>5704.9199999999255</v>
      </c>
      <c r="N27" s="104">
        <v>4529.160000000149</v>
      </c>
      <c r="O27" s="82"/>
      <c r="P27" s="83"/>
      <c r="Q27" s="39">
        <v>44279</v>
      </c>
      <c r="R27" s="84"/>
      <c r="S27" s="84">
        <v>2760</v>
      </c>
      <c r="T27" s="73">
        <f t="shared" si="19"/>
        <v>0</v>
      </c>
      <c r="U27" s="25">
        <f t="shared" si="27"/>
        <v>0</v>
      </c>
      <c r="V27" s="85">
        <f t="shared" si="21"/>
        <v>0</v>
      </c>
      <c r="W27" s="86" t="e">
        <f t="shared" si="2"/>
        <v>#DIV/0!</v>
      </c>
      <c r="X27" s="75">
        <v>0.2</v>
      </c>
      <c r="Y27" s="33"/>
      <c r="Z27" s="39">
        <v>44279</v>
      </c>
      <c r="AA27" s="80"/>
      <c r="AB27" s="73">
        <v>2760</v>
      </c>
      <c r="AC27" s="73">
        <f>AB27*AA27</f>
        <v>0</v>
      </c>
      <c r="AD27" s="25">
        <f t="shared" si="23"/>
        <v>0</v>
      </c>
      <c r="AE27" s="25">
        <f>I27</f>
        <v>0</v>
      </c>
      <c r="AF27" s="86" t="e">
        <f>AD27/AE27</f>
        <v>#DIV/0!</v>
      </c>
      <c r="AG27" s="75">
        <v>0.15</v>
      </c>
      <c r="AI27" s="39">
        <v>44279</v>
      </c>
      <c r="AJ27" s="22"/>
      <c r="AK27" s="22"/>
      <c r="AL27" s="27"/>
      <c r="AM27" s="27"/>
      <c r="AN27" s="28">
        <v>2760</v>
      </c>
      <c r="AO27" s="28">
        <f t="shared" si="14"/>
        <v>0</v>
      </c>
      <c r="AP27" s="76">
        <f t="shared" si="15"/>
        <v>0</v>
      </c>
      <c r="AQ27" s="28">
        <f t="shared" si="6"/>
        <v>0</v>
      </c>
      <c r="AR27" s="77">
        <f t="shared" si="16"/>
        <v>0</v>
      </c>
      <c r="AS27" s="28">
        <f t="shared" si="7"/>
        <v>0</v>
      </c>
      <c r="AT27" s="78">
        <f t="shared" si="17"/>
        <v>0</v>
      </c>
      <c r="AU27" s="79">
        <f t="shared" si="8"/>
        <v>0</v>
      </c>
      <c r="AV27" s="29">
        <f t="shared" si="9"/>
        <v>0</v>
      </c>
      <c r="AW27" s="25">
        <f t="shared" si="26"/>
        <v>0</v>
      </c>
      <c r="AX27" s="25">
        <f t="shared" si="26"/>
        <v>6695.1329999999998</v>
      </c>
    </row>
    <row r="28" spans="3:50" x14ac:dyDescent="0.25">
      <c r="C28" s="68">
        <v>700</v>
      </c>
      <c r="D28" s="68">
        <v>3000</v>
      </c>
      <c r="E28" s="39">
        <v>44311</v>
      </c>
      <c r="F28" s="103"/>
      <c r="G28" s="23">
        <v>2760</v>
      </c>
      <c r="H28" s="24">
        <f t="shared" si="11"/>
        <v>0</v>
      </c>
      <c r="I28" s="25">
        <f t="shared" si="18"/>
        <v>0</v>
      </c>
      <c r="J28" s="47">
        <v>6695.1329999999998</v>
      </c>
      <c r="K28" s="102">
        <v>1727.7599999997765</v>
      </c>
      <c r="L28" s="69">
        <v>6223.7999999988824</v>
      </c>
      <c r="M28" s="70">
        <v>6008.5199999986216</v>
      </c>
      <c r="N28" s="104">
        <v>4769.2799999993294</v>
      </c>
      <c r="O28" s="82"/>
      <c r="P28" s="83"/>
      <c r="Q28" s="39">
        <v>44280</v>
      </c>
      <c r="R28" s="84"/>
      <c r="S28" s="84">
        <v>2760</v>
      </c>
      <c r="T28" s="73">
        <f t="shared" si="19"/>
        <v>0</v>
      </c>
      <c r="U28" s="25">
        <f t="shared" si="27"/>
        <v>0</v>
      </c>
      <c r="V28" s="85">
        <f t="shared" si="21"/>
        <v>0</v>
      </c>
      <c r="W28" s="86" t="e">
        <f t="shared" si="2"/>
        <v>#DIV/0!</v>
      </c>
      <c r="X28" s="75">
        <v>0.2</v>
      </c>
      <c r="Y28" s="33"/>
      <c r="Z28" s="39">
        <v>44280</v>
      </c>
      <c r="AA28" s="80"/>
      <c r="AB28" s="73">
        <v>2760</v>
      </c>
      <c r="AC28" s="73">
        <f>AB28*AA28</f>
        <v>0</v>
      </c>
      <c r="AD28" s="25">
        <f>AC28-AC27</f>
        <v>0</v>
      </c>
      <c r="AE28" s="25">
        <f>I28</f>
        <v>0</v>
      </c>
      <c r="AF28" s="86" t="e">
        <f>AD28/AE28</f>
        <v>#DIV/0!</v>
      </c>
      <c r="AG28" s="75">
        <v>0.15</v>
      </c>
      <c r="AI28" s="39">
        <v>44280</v>
      </c>
      <c r="AJ28" s="22"/>
      <c r="AK28" s="27"/>
      <c r="AL28" s="27"/>
      <c r="AM28" s="27"/>
      <c r="AN28" s="28">
        <v>2760</v>
      </c>
      <c r="AO28" s="28">
        <f t="shared" si="14"/>
        <v>0</v>
      </c>
      <c r="AP28" s="76">
        <f t="shared" si="15"/>
        <v>0</v>
      </c>
      <c r="AQ28" s="28">
        <f t="shared" si="6"/>
        <v>0</v>
      </c>
      <c r="AR28" s="77">
        <f t="shared" si="16"/>
        <v>0</v>
      </c>
      <c r="AS28" s="28">
        <f t="shared" si="7"/>
        <v>0</v>
      </c>
      <c r="AT28" s="78">
        <f t="shared" si="17"/>
        <v>0</v>
      </c>
      <c r="AU28" s="79">
        <f t="shared" si="8"/>
        <v>0</v>
      </c>
      <c r="AV28" s="29">
        <f>AN28*AJ28</f>
        <v>0</v>
      </c>
      <c r="AW28" s="25">
        <f t="shared" si="26"/>
        <v>0</v>
      </c>
      <c r="AX28" s="25">
        <f t="shared" si="26"/>
        <v>6695.1329999999998</v>
      </c>
    </row>
    <row r="29" spans="3:50" x14ac:dyDescent="0.25">
      <c r="C29" s="68">
        <v>900</v>
      </c>
      <c r="D29" s="68">
        <v>3000</v>
      </c>
      <c r="E29" s="39">
        <v>44312</v>
      </c>
      <c r="F29" s="103"/>
      <c r="G29" s="23">
        <v>2760</v>
      </c>
      <c r="H29" s="24">
        <f t="shared" si="11"/>
        <v>0</v>
      </c>
      <c r="I29" s="25">
        <f t="shared" si="18"/>
        <v>0</v>
      </c>
      <c r="J29" s="47">
        <v>6695.1329999999998</v>
      </c>
      <c r="K29" s="102">
        <v>1669.8000000026077</v>
      </c>
      <c r="L29" s="69">
        <v>6814.4399999994785</v>
      </c>
      <c r="M29" s="70">
        <v>6254.160000000149</v>
      </c>
      <c r="N29" s="104">
        <v>4901.7600000002421</v>
      </c>
      <c r="O29" s="82"/>
      <c r="P29" s="83"/>
      <c r="Q29" s="39">
        <v>44281</v>
      </c>
      <c r="R29" s="84"/>
      <c r="S29" s="84">
        <v>2760</v>
      </c>
      <c r="T29" s="73">
        <f t="shared" si="19"/>
        <v>0</v>
      </c>
      <c r="U29" s="85">
        <f t="shared" si="27"/>
        <v>0</v>
      </c>
      <c r="V29" s="85">
        <f t="shared" si="21"/>
        <v>0</v>
      </c>
      <c r="W29" s="86" t="e">
        <f t="shared" si="2"/>
        <v>#DIV/0!</v>
      </c>
      <c r="X29" s="75">
        <v>0.2</v>
      </c>
      <c r="Y29" s="33"/>
      <c r="Z29" s="39">
        <v>44281</v>
      </c>
      <c r="AA29" s="80"/>
      <c r="AB29" s="73">
        <v>2760</v>
      </c>
      <c r="AC29" s="73">
        <f t="shared" si="22"/>
        <v>0</v>
      </c>
      <c r="AD29" s="25">
        <f t="shared" si="23"/>
        <v>0</v>
      </c>
      <c r="AE29" s="25">
        <f t="shared" si="24"/>
        <v>0</v>
      </c>
      <c r="AF29" s="86" t="e">
        <f t="shared" si="25"/>
        <v>#DIV/0!</v>
      </c>
      <c r="AG29" s="75">
        <v>0.15</v>
      </c>
      <c r="AI29" s="39">
        <v>44281</v>
      </c>
      <c r="AJ29" s="22"/>
      <c r="AK29" s="27"/>
      <c r="AL29" s="27"/>
      <c r="AM29" s="27"/>
      <c r="AN29" s="28">
        <v>2760</v>
      </c>
      <c r="AO29" s="28">
        <f t="shared" si="14"/>
        <v>0</v>
      </c>
      <c r="AP29" s="76">
        <f t="shared" si="15"/>
        <v>0</v>
      </c>
      <c r="AQ29" s="28">
        <f t="shared" si="6"/>
        <v>0</v>
      </c>
      <c r="AR29" s="77">
        <f t="shared" si="16"/>
        <v>0</v>
      </c>
      <c r="AS29" s="28">
        <f t="shared" si="7"/>
        <v>0</v>
      </c>
      <c r="AT29" s="78">
        <f t="shared" si="17"/>
        <v>0</v>
      </c>
      <c r="AU29" s="79">
        <f t="shared" si="8"/>
        <v>0</v>
      </c>
      <c r="AV29" s="29">
        <f t="shared" si="9"/>
        <v>0</v>
      </c>
      <c r="AW29" s="25">
        <f t="shared" si="26"/>
        <v>0</v>
      </c>
      <c r="AX29" s="25">
        <f t="shared" si="26"/>
        <v>6695.1329999999998</v>
      </c>
    </row>
    <row r="30" spans="3:50" x14ac:dyDescent="0.25">
      <c r="C30" s="68">
        <v>800</v>
      </c>
      <c r="D30" s="68">
        <v>3000</v>
      </c>
      <c r="E30" s="39">
        <v>44313</v>
      </c>
      <c r="F30" s="103"/>
      <c r="G30" s="23">
        <v>2760</v>
      </c>
      <c r="H30" s="24">
        <f t="shared" si="11"/>
        <v>0</v>
      </c>
      <c r="I30" s="25">
        <f t="shared" si="18"/>
        <v>0</v>
      </c>
      <c r="J30" s="47">
        <v>6695.1329999999998</v>
      </c>
      <c r="K30" s="102">
        <v>1584.2399999983609</v>
      </c>
      <c r="L30" s="69">
        <v>6480.480000000447</v>
      </c>
      <c r="M30" s="70">
        <v>6618.480000000447</v>
      </c>
      <c r="N30" s="104">
        <v>4352.5200000000186</v>
      </c>
      <c r="O30" s="82"/>
      <c r="P30" s="83"/>
      <c r="Q30" s="39">
        <v>44282</v>
      </c>
      <c r="R30" s="84"/>
      <c r="S30" s="84">
        <v>2760</v>
      </c>
      <c r="T30" s="73">
        <f t="shared" si="19"/>
        <v>0</v>
      </c>
      <c r="U30" s="85">
        <f t="shared" si="27"/>
        <v>0</v>
      </c>
      <c r="V30" s="85">
        <f t="shared" si="21"/>
        <v>0</v>
      </c>
      <c r="W30" s="86" t="e">
        <f t="shared" si="2"/>
        <v>#DIV/0!</v>
      </c>
      <c r="X30" s="75">
        <v>0.2</v>
      </c>
      <c r="Y30" s="33"/>
      <c r="Z30" s="39">
        <v>44282</v>
      </c>
      <c r="AA30" s="80"/>
      <c r="AB30" s="73">
        <v>2760</v>
      </c>
      <c r="AC30" s="73">
        <f t="shared" si="22"/>
        <v>0</v>
      </c>
      <c r="AD30" s="25">
        <f t="shared" si="23"/>
        <v>0</v>
      </c>
      <c r="AE30" s="25">
        <f t="shared" si="24"/>
        <v>0</v>
      </c>
      <c r="AF30" s="86" t="e">
        <f t="shared" si="25"/>
        <v>#DIV/0!</v>
      </c>
      <c r="AG30" s="75">
        <v>0.15</v>
      </c>
      <c r="AI30" s="39">
        <v>44282</v>
      </c>
      <c r="AJ30" s="22"/>
      <c r="AK30" s="27"/>
      <c r="AL30" s="27"/>
      <c r="AM30" s="27"/>
      <c r="AN30" s="28">
        <v>2760</v>
      </c>
      <c r="AO30" s="28">
        <f t="shared" si="14"/>
        <v>0</v>
      </c>
      <c r="AP30" s="76">
        <f t="shared" si="15"/>
        <v>0</v>
      </c>
      <c r="AQ30" s="28">
        <f t="shared" si="6"/>
        <v>0</v>
      </c>
      <c r="AR30" s="77">
        <f t="shared" si="16"/>
        <v>0</v>
      </c>
      <c r="AS30" s="28">
        <f t="shared" si="7"/>
        <v>0</v>
      </c>
      <c r="AT30" s="78">
        <f t="shared" si="17"/>
        <v>0</v>
      </c>
      <c r="AU30" s="79">
        <f t="shared" si="8"/>
        <v>0</v>
      </c>
      <c r="AV30" s="29">
        <f t="shared" si="9"/>
        <v>0</v>
      </c>
      <c r="AW30" s="25">
        <f t="shared" si="26"/>
        <v>0</v>
      </c>
      <c r="AX30" s="25">
        <f t="shared" si="26"/>
        <v>6695.1329999999998</v>
      </c>
    </row>
    <row r="31" spans="3:50" x14ac:dyDescent="0.25">
      <c r="C31" s="68">
        <v>700</v>
      </c>
      <c r="D31" s="68">
        <v>3000</v>
      </c>
      <c r="E31" s="39">
        <v>44314</v>
      </c>
      <c r="F31" s="103"/>
      <c r="G31" s="23">
        <v>2760</v>
      </c>
      <c r="H31" s="24">
        <f t="shared" si="11"/>
        <v>0</v>
      </c>
      <c r="I31" s="25">
        <f t="shared" si="18"/>
        <v>0</v>
      </c>
      <c r="J31" s="47">
        <v>6695.1329999999998</v>
      </c>
      <c r="K31" s="102">
        <v>1838.160000000149</v>
      </c>
      <c r="L31" s="69">
        <v>6927.5999999996275</v>
      </c>
      <c r="M31" s="70">
        <v>7261.5599999995902</v>
      </c>
      <c r="N31" s="104">
        <v>4369.0800000005402</v>
      </c>
      <c r="O31" s="82"/>
      <c r="P31" s="83"/>
      <c r="Q31" s="39">
        <v>44283</v>
      </c>
      <c r="R31" s="84"/>
      <c r="S31" s="84">
        <v>2760</v>
      </c>
      <c r="T31" s="73">
        <f t="shared" si="19"/>
        <v>0</v>
      </c>
      <c r="U31" s="85">
        <f t="shared" si="27"/>
        <v>0</v>
      </c>
      <c r="V31" s="85">
        <f t="shared" si="21"/>
        <v>0</v>
      </c>
      <c r="W31" s="86" t="e">
        <f t="shared" si="2"/>
        <v>#DIV/0!</v>
      </c>
      <c r="X31" s="75">
        <v>0.2</v>
      </c>
      <c r="Y31" s="33"/>
      <c r="Z31" s="39">
        <v>44283</v>
      </c>
      <c r="AA31" s="80"/>
      <c r="AB31" s="73">
        <v>2760</v>
      </c>
      <c r="AC31" s="73">
        <f t="shared" si="22"/>
        <v>0</v>
      </c>
      <c r="AD31" s="25">
        <f t="shared" si="23"/>
        <v>0</v>
      </c>
      <c r="AE31" s="25">
        <f t="shared" si="24"/>
        <v>0</v>
      </c>
      <c r="AF31" s="86" t="e">
        <f t="shared" si="25"/>
        <v>#DIV/0!</v>
      </c>
      <c r="AG31" s="75">
        <v>0.15</v>
      </c>
      <c r="AI31" s="39">
        <v>44283</v>
      </c>
      <c r="AJ31" s="22"/>
      <c r="AK31" s="27"/>
      <c r="AL31" s="27"/>
      <c r="AM31" s="27"/>
      <c r="AN31" s="28">
        <v>2760</v>
      </c>
      <c r="AO31" s="28">
        <f t="shared" si="14"/>
        <v>0</v>
      </c>
      <c r="AP31" s="76">
        <f t="shared" si="15"/>
        <v>0</v>
      </c>
      <c r="AQ31" s="28">
        <f t="shared" si="6"/>
        <v>0</v>
      </c>
      <c r="AR31" s="77">
        <f t="shared" si="16"/>
        <v>0</v>
      </c>
      <c r="AS31" s="28">
        <f t="shared" si="7"/>
        <v>0</v>
      </c>
      <c r="AT31" s="78">
        <f t="shared" si="17"/>
        <v>0</v>
      </c>
      <c r="AU31" s="79">
        <f t="shared" si="8"/>
        <v>0</v>
      </c>
      <c r="AV31" s="29">
        <f t="shared" si="9"/>
        <v>0</v>
      </c>
      <c r="AW31" s="25">
        <f t="shared" si="26"/>
        <v>0</v>
      </c>
      <c r="AX31" s="25">
        <f t="shared" si="26"/>
        <v>6695.1329999999998</v>
      </c>
    </row>
    <row r="32" spans="3:50" x14ac:dyDescent="0.25">
      <c r="C32" s="68">
        <v>800</v>
      </c>
      <c r="D32" s="68">
        <v>3000</v>
      </c>
      <c r="E32" s="39">
        <v>44315</v>
      </c>
      <c r="F32" s="103"/>
      <c r="G32" s="23">
        <v>2760</v>
      </c>
      <c r="H32" s="24">
        <f t="shared" si="11"/>
        <v>0</v>
      </c>
      <c r="I32" s="25">
        <f t="shared" si="18"/>
        <v>0</v>
      </c>
      <c r="J32" s="47">
        <v>6695.1329999999998</v>
      </c>
      <c r="K32" s="102">
        <v>1631.1600000020117</v>
      </c>
      <c r="L32" s="69">
        <v>7068.3600000012666</v>
      </c>
      <c r="M32" s="70">
        <v>8004.0000000009313</v>
      </c>
      <c r="N32" s="104">
        <v>5495.1599999996834</v>
      </c>
      <c r="O32" s="82"/>
      <c r="P32" s="83"/>
      <c r="Q32" s="39">
        <v>44284</v>
      </c>
      <c r="R32" s="84"/>
      <c r="S32" s="84">
        <v>2760</v>
      </c>
      <c r="T32" s="73">
        <f t="shared" si="19"/>
        <v>0</v>
      </c>
      <c r="U32" s="85">
        <f t="shared" si="27"/>
        <v>0</v>
      </c>
      <c r="V32" s="85">
        <f t="shared" si="21"/>
        <v>0</v>
      </c>
      <c r="W32" s="86" t="e">
        <f t="shared" si="2"/>
        <v>#DIV/0!</v>
      </c>
      <c r="X32" s="75">
        <v>0.2</v>
      </c>
      <c r="Y32" s="33"/>
      <c r="Z32" s="39">
        <v>44284</v>
      </c>
      <c r="AA32" s="80"/>
      <c r="AB32" s="73">
        <v>2760</v>
      </c>
      <c r="AC32" s="73">
        <f t="shared" si="22"/>
        <v>0</v>
      </c>
      <c r="AD32" s="25">
        <f t="shared" si="23"/>
        <v>0</v>
      </c>
      <c r="AE32" s="25">
        <f t="shared" si="24"/>
        <v>0</v>
      </c>
      <c r="AF32" s="86" t="e">
        <f t="shared" si="25"/>
        <v>#DIV/0!</v>
      </c>
      <c r="AG32" s="75">
        <v>0.15</v>
      </c>
      <c r="AI32" s="39">
        <v>44284</v>
      </c>
      <c r="AJ32" s="22"/>
      <c r="AK32" s="27"/>
      <c r="AL32" s="27"/>
      <c r="AM32" s="27"/>
      <c r="AN32" s="28">
        <v>2760</v>
      </c>
      <c r="AO32" s="28">
        <f t="shared" si="14"/>
        <v>0</v>
      </c>
      <c r="AP32" s="76">
        <f t="shared" si="15"/>
        <v>0</v>
      </c>
      <c r="AQ32" s="28">
        <f t="shared" si="6"/>
        <v>0</v>
      </c>
      <c r="AR32" s="77">
        <f t="shared" si="16"/>
        <v>0</v>
      </c>
      <c r="AS32" s="28">
        <f t="shared" si="7"/>
        <v>0</v>
      </c>
      <c r="AT32" s="78">
        <f t="shared" si="17"/>
        <v>0</v>
      </c>
      <c r="AU32" s="79">
        <f t="shared" si="8"/>
        <v>0</v>
      </c>
      <c r="AV32" s="29">
        <f t="shared" si="9"/>
        <v>0</v>
      </c>
      <c r="AW32" s="25">
        <f t="shared" si="26"/>
        <v>0</v>
      </c>
      <c r="AX32" s="25">
        <f t="shared" si="26"/>
        <v>6695.1329999999998</v>
      </c>
    </row>
    <row r="33" spans="3:50" x14ac:dyDescent="0.25">
      <c r="C33" s="68">
        <v>900</v>
      </c>
      <c r="D33" s="68">
        <v>3000</v>
      </c>
      <c r="E33" s="39">
        <v>44316</v>
      </c>
      <c r="F33" s="103"/>
      <c r="G33" s="23">
        <v>2760</v>
      </c>
      <c r="H33" s="24">
        <f t="shared" si="11"/>
        <v>0</v>
      </c>
      <c r="I33" s="25">
        <f>H33-H32</f>
        <v>0</v>
      </c>
      <c r="J33" s="47">
        <v>6695.1329999999998</v>
      </c>
      <c r="K33" s="102">
        <v>1600.7999999988824</v>
      </c>
      <c r="L33" s="69">
        <v>6941.4000000003725</v>
      </c>
      <c r="M33" s="70">
        <v>7145.6399999996647</v>
      </c>
      <c r="N33" s="104">
        <v>6441.839999999851</v>
      </c>
      <c r="O33" s="82"/>
      <c r="P33" s="83"/>
      <c r="Q33" s="39">
        <v>44285</v>
      </c>
      <c r="R33" s="84"/>
      <c r="S33" s="84">
        <v>2760</v>
      </c>
      <c r="T33" s="73">
        <f t="shared" si="19"/>
        <v>0</v>
      </c>
      <c r="U33" s="85">
        <f t="shared" si="27"/>
        <v>0</v>
      </c>
      <c r="V33" s="85">
        <f t="shared" si="21"/>
        <v>0</v>
      </c>
      <c r="W33" s="86" t="e">
        <f t="shared" si="2"/>
        <v>#DIV/0!</v>
      </c>
      <c r="X33" s="75">
        <v>0.2</v>
      </c>
      <c r="Y33" s="33"/>
      <c r="Z33" s="39">
        <v>44285</v>
      </c>
      <c r="AA33" s="80"/>
      <c r="AB33" s="73">
        <v>2760</v>
      </c>
      <c r="AC33" s="73">
        <f t="shared" si="22"/>
        <v>0</v>
      </c>
      <c r="AD33" s="25">
        <f t="shared" si="23"/>
        <v>0</v>
      </c>
      <c r="AE33" s="25">
        <f t="shared" si="24"/>
        <v>0</v>
      </c>
      <c r="AF33" s="86" t="e">
        <f t="shared" si="25"/>
        <v>#DIV/0!</v>
      </c>
      <c r="AG33" s="75">
        <v>0.15</v>
      </c>
      <c r="AI33" s="39">
        <v>44285</v>
      </c>
      <c r="AJ33" s="22"/>
      <c r="AK33" s="27"/>
      <c r="AL33" s="27"/>
      <c r="AM33" s="27"/>
      <c r="AN33" s="28">
        <v>2760</v>
      </c>
      <c r="AO33" s="28">
        <f t="shared" si="14"/>
        <v>0</v>
      </c>
      <c r="AP33" s="76">
        <f t="shared" si="15"/>
        <v>0</v>
      </c>
      <c r="AQ33" s="28">
        <f t="shared" si="6"/>
        <v>0</v>
      </c>
      <c r="AR33" s="77">
        <f t="shared" si="16"/>
        <v>0</v>
      </c>
      <c r="AS33" s="28">
        <f t="shared" si="7"/>
        <v>0</v>
      </c>
      <c r="AT33" s="78">
        <f t="shared" si="17"/>
        <v>0</v>
      </c>
      <c r="AU33" s="79">
        <f t="shared" si="8"/>
        <v>0</v>
      </c>
      <c r="AV33" s="29">
        <f t="shared" si="9"/>
        <v>0</v>
      </c>
      <c r="AW33" s="25">
        <f t="shared" si="26"/>
        <v>0</v>
      </c>
      <c r="AX33" s="25">
        <f t="shared" si="26"/>
        <v>6695.1329999999998</v>
      </c>
    </row>
    <row r="34" spans="3:50" x14ac:dyDescent="0.25">
      <c r="C34" s="68"/>
      <c r="D34" s="68"/>
      <c r="E34" s="39"/>
      <c r="F34" s="103"/>
      <c r="G34" s="23"/>
      <c r="H34" s="24"/>
      <c r="I34" s="25"/>
      <c r="J34" s="47"/>
      <c r="K34" s="102">
        <v>1661.519999999553</v>
      </c>
      <c r="L34" s="69">
        <v>7153.9199999999255</v>
      </c>
      <c r="M34" s="70">
        <v>6847.5600000005215</v>
      </c>
      <c r="N34" s="104">
        <v>5914.679999999702</v>
      </c>
      <c r="O34" s="82"/>
      <c r="P34" s="83"/>
      <c r="Q34" s="39"/>
      <c r="R34" s="84"/>
      <c r="S34" s="84"/>
      <c r="T34" s="73"/>
      <c r="U34" s="85"/>
      <c r="V34" s="85"/>
      <c r="W34" s="86"/>
      <c r="X34" s="75"/>
      <c r="Y34" s="33"/>
      <c r="Z34" s="39">
        <v>44286</v>
      </c>
      <c r="AA34" s="80"/>
      <c r="AB34" s="73">
        <v>2760</v>
      </c>
      <c r="AC34" s="73">
        <f t="shared" si="22"/>
        <v>0</v>
      </c>
      <c r="AD34" s="25">
        <f t="shared" si="23"/>
        <v>0</v>
      </c>
      <c r="AE34" s="25">
        <f t="shared" si="24"/>
        <v>0</v>
      </c>
      <c r="AF34" s="86" t="e">
        <f t="shared" si="25"/>
        <v>#DIV/0!</v>
      </c>
      <c r="AG34" s="75">
        <v>0.15</v>
      </c>
      <c r="AI34" s="39">
        <v>44286</v>
      </c>
      <c r="AJ34" s="22"/>
      <c r="AK34" s="27"/>
      <c r="AL34" s="27"/>
      <c r="AM34" s="27"/>
      <c r="AN34" s="28">
        <v>2760</v>
      </c>
      <c r="AO34" s="28">
        <f t="shared" si="14"/>
        <v>0</v>
      </c>
      <c r="AP34" s="76">
        <f>+(AO34-AO33)</f>
        <v>0</v>
      </c>
      <c r="AQ34" s="28">
        <f t="shared" si="6"/>
        <v>0</v>
      </c>
      <c r="AR34" s="77">
        <f>+(AQ34-AQ33)</f>
        <v>0</v>
      </c>
      <c r="AS34" s="28">
        <f t="shared" si="7"/>
        <v>0</v>
      </c>
      <c r="AT34" s="78">
        <f>+(AS34-AS33)</f>
        <v>0</v>
      </c>
      <c r="AU34" s="79">
        <f t="shared" si="8"/>
        <v>0</v>
      </c>
      <c r="AV34" s="29">
        <f t="shared" si="9"/>
        <v>0</v>
      </c>
      <c r="AW34" s="25">
        <f t="shared" si="26"/>
        <v>0</v>
      </c>
      <c r="AX34" s="25">
        <f t="shared" si="26"/>
        <v>0</v>
      </c>
    </row>
    <row r="35" spans="3:50" x14ac:dyDescent="0.25">
      <c r="C35" s="68"/>
      <c r="D35" s="68"/>
      <c r="E35" s="45" t="s">
        <v>29</v>
      </c>
      <c r="F35" s="46"/>
      <c r="G35" s="46"/>
      <c r="H35" s="29"/>
      <c r="I35" s="105">
        <f>SUM(I4:I34)</f>
        <v>-12850532.419999998</v>
      </c>
      <c r="J35" s="93">
        <f>SUM(J5:J34)</f>
        <v>194158.85700000002</v>
      </c>
      <c r="K35" s="102">
        <v>53844.839999999851</v>
      </c>
      <c r="L35" s="87">
        <v>190854</v>
      </c>
      <c r="M35" s="106">
        <v>183625.56000000145</v>
      </c>
      <c r="N35" s="104">
        <v>150480.71999999974</v>
      </c>
      <c r="O35" s="82"/>
      <c r="P35" s="83"/>
      <c r="Q35" s="88" t="s">
        <v>29</v>
      </c>
      <c r="R35" s="84"/>
      <c r="S35" s="84"/>
      <c r="T35" s="73"/>
      <c r="U35" s="85"/>
      <c r="V35" s="85">
        <f t="shared" si="21"/>
        <v>-12850532.419999998</v>
      </c>
      <c r="W35" s="86">
        <f>U35/V35</f>
        <v>0</v>
      </c>
      <c r="X35" s="75">
        <v>0.2</v>
      </c>
      <c r="Y35" s="33"/>
      <c r="Z35" s="39"/>
      <c r="AA35" s="80"/>
      <c r="AB35" s="73">
        <v>2760</v>
      </c>
      <c r="AC35" s="73">
        <f t="shared" si="22"/>
        <v>0</v>
      </c>
      <c r="AD35" s="25">
        <f t="shared" si="23"/>
        <v>0</v>
      </c>
      <c r="AE35" s="25">
        <f t="shared" si="24"/>
        <v>-12850532.419999998</v>
      </c>
      <c r="AF35" s="86">
        <f t="shared" si="25"/>
        <v>0</v>
      </c>
      <c r="AG35" s="75">
        <v>0.15</v>
      </c>
      <c r="AI35" s="39"/>
      <c r="AJ35" s="22"/>
      <c r="AK35" s="27"/>
      <c r="AL35" s="27"/>
      <c r="AM35" s="27"/>
      <c r="AN35" s="28">
        <v>2760</v>
      </c>
      <c r="AO35" s="28">
        <f t="shared" si="14"/>
        <v>0</v>
      </c>
      <c r="AP35" s="76">
        <f>+(AO35-AO34)</f>
        <v>0</v>
      </c>
      <c r="AQ35" s="28">
        <f t="shared" si="6"/>
        <v>0</v>
      </c>
      <c r="AR35" s="77">
        <f>+(AQ35-AQ34)</f>
        <v>0</v>
      </c>
      <c r="AS35" s="28">
        <f t="shared" si="7"/>
        <v>0</v>
      </c>
      <c r="AT35" s="78">
        <f>+(AS35-AS34)</f>
        <v>0</v>
      </c>
      <c r="AU35" s="79">
        <f t="shared" si="8"/>
        <v>0</v>
      </c>
      <c r="AV35" s="29">
        <f t="shared" si="9"/>
        <v>0</v>
      </c>
      <c r="AW35" s="25">
        <f t="shared" si="26"/>
        <v>-12850532.419999998</v>
      </c>
      <c r="AX35" s="25">
        <f t="shared" si="26"/>
        <v>194158.85700000002</v>
      </c>
    </row>
    <row r="36" spans="3:50" x14ac:dyDescent="0.25">
      <c r="E36" s="17"/>
      <c r="F36" s="17"/>
      <c r="G36" s="17"/>
      <c r="H36" s="17"/>
      <c r="I36" s="49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89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9"/>
      <c r="AX36" s="17"/>
    </row>
    <row r="37" spans="3:50" x14ac:dyDescent="0.25">
      <c r="D37" s="50" t="s">
        <v>46</v>
      </c>
      <c r="E37" s="50" t="s">
        <v>52</v>
      </c>
      <c r="F37" s="90"/>
      <c r="G37" s="32"/>
      <c r="H37" s="17"/>
      <c r="I37" s="17"/>
      <c r="N37" s="91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50"/>
      <c r="AK37" s="50"/>
      <c r="AL37" s="50"/>
      <c r="AM37" s="50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9"/>
    </row>
    <row r="38" spans="3:50" x14ac:dyDescent="0.25">
      <c r="E38" s="17"/>
      <c r="F38" s="17"/>
      <c r="G38" s="17"/>
      <c r="H38" s="17"/>
      <c r="I38" s="17"/>
      <c r="J38" s="49"/>
      <c r="K38" s="49"/>
      <c r="L38" s="49"/>
      <c r="M38" s="49"/>
      <c r="N38" s="49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1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1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1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1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1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1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1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2021-04-13T12:36:13Z</dcterms:modified>
</cp:coreProperties>
</file>