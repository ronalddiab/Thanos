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<sst xmlns="http://schemas.openxmlformats.org/spreadsheetml/2006/main" count="106" uniqueCount="33">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</sst>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</v>
      </c>
      <c r="G2" s="20">
        <f>Submetering!F2+Submetering!G2</f>
        <v>144.32</v>
      </c>
      <c r="H2" s="16">
        <v>0.71</v>
      </c>
      <c r="I2" s="20">
        <f>Submetering!J2+Submetering!I2+Submetering!H2</f>
        <v>99.52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v>0.12</v>
      </c>
      <c r="G3" s="20">
        <f>Submetering!F3+Submetering!G3</f>
        <v>115.94</v>
      </c>
      <c r="H3" s="16">
        <v>0.71</v>
      </c>
      <c r="I3" s="20">
        <f>Submetering!J3+Submetering!I3+Submetering!H3</f>
        <v>87.17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v>0.12</v>
      </c>
      <c r="G4" s="20">
        <f>Submetering!F4+Submetering!G4</f>
        <v>119.47999999999999</v>
      </c>
      <c r="H4" s="16">
        <v>0.71</v>
      </c>
      <c r="I4" s="20">
        <f>Submetering!J4+Submetering!I4+Submetering!H4</f>
        <v>105.52</v>
      </c>
      <c r="J4" s="16">
        <v>2.3196172978505634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v>0.12</v>
      </c>
      <c r="G5" s="20">
        <f>Submetering!F5+Submetering!G5</f>
        <v>172.12</v>
      </c>
      <c r="H5" s="16">
        <v>0.71</v>
      </c>
      <c r="I5" s="20">
        <f>Submetering!J5+Submetering!I5+Submetering!H5</f>
        <v>99.35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v>0.12</v>
      </c>
      <c r="G6" s="20">
        <f>Submetering!F6+Submetering!G6</f>
        <v>137</v>
      </c>
      <c r="H6" s="16">
        <v>0.71</v>
      </c>
      <c r="I6" s="20">
        <f>Submetering!J6+Submetering!I6+Submetering!H6</f>
        <v>86.87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v>0.12</v>
      </c>
      <c r="G7" s="20">
        <f>Submetering!F7+Submetering!G7</f>
        <v>150.30000000000001</v>
      </c>
      <c r="H7" s="16">
        <v>0.71</v>
      </c>
      <c r="I7" s="20">
        <f>Submetering!J7+Submetering!I7+Submetering!H7</f>
        <v>83.31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v>0.12</v>
      </c>
      <c r="G8" s="20">
        <f>Submetering!F8+Submetering!G8</f>
        <v>150.31</v>
      </c>
      <c r="H8" s="16">
        <v>0.71</v>
      </c>
      <c r="I8" s="20">
        <f>Submetering!J8+Submetering!I8+Submetering!H8</f>
        <v>96.5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v>0.12</v>
      </c>
      <c r="G9" s="20">
        <f>Submetering!F9+Submetering!G9</f>
        <v>156.68</v>
      </c>
      <c r="H9" s="16">
        <v>0.71</v>
      </c>
      <c r="I9" s="20">
        <f>Submetering!J9+Submetering!I9+Submetering!H9</f>
        <v>109.08</v>
      </c>
      <c r="J9" s="16">
        <v>2.3196172978505634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v>0.12</v>
      </c>
      <c r="G10" s="20">
        <f>Submetering!F10+Submetering!G10</f>
        <v>175.61</v>
      </c>
      <c r="H10" s="16">
        <v>0.71</v>
      </c>
      <c r="I10" s="20">
        <f>Submetering!J10+Submetering!I10+Submetering!H10</f>
        <v>117.4</v>
      </c>
      <c r="J10" s="16">
        <v>2.3196172978505634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v>0.12</v>
      </c>
      <c r="G11" s="20">
        <f>Submetering!F11+Submetering!G11</f>
        <v>172.82</v>
      </c>
      <c r="H11" s="16">
        <v>0.71</v>
      </c>
      <c r="I11" s="20">
        <f>Submetering!J11+Submetering!I11+Submetering!H11</f>
        <v>101.8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v>0.12</v>
      </c>
      <c r="G12" s="20">
        <f>Submetering!F12+Submetering!G12</f>
        <v>111.7</v>
      </c>
      <c r="H12" s="16">
        <v>0.71</v>
      </c>
      <c r="I12" s="20">
        <f>Submetering!J12+Submetering!I12+Submetering!H12</f>
        <v>98.26</v>
      </c>
      <c r="J12" s="16">
        <v>2.3196172978505634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v>0.12</v>
      </c>
      <c r="G13" s="20">
        <f>Submetering!F13+Submetering!G13</f>
        <v>77.739999999999995</v>
      </c>
      <c r="H13" s="16">
        <v>0.71</v>
      </c>
      <c r="I13" s="20">
        <f>Submetering!J13+Submetering!I13+Submetering!H13</f>
        <v>81.62</v>
      </c>
      <c r="J13" s="16">
        <v>2.3196172978505634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v>0.12</v>
      </c>
      <c r="G14" s="20">
        <f>Submetering!F14+Submetering!G14</f>
        <v>107.32</v>
      </c>
      <c r="H14" s="16">
        <v>0.71</v>
      </c>
      <c r="I14" s="20">
        <f>Submetering!J14+Submetering!I14+Submetering!H14</f>
        <v>96.42</v>
      </c>
      <c r="J14" s="16">
        <v>2.3196172978505634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v>0.12</v>
      </c>
      <c r="G15" s="20">
        <f>Submetering!F15+Submetering!G15</f>
        <v>137.46</v>
      </c>
      <c r="H15" s="16">
        <v>0.71</v>
      </c>
      <c r="I15" s="20">
        <f>Submetering!J15+Submetering!I15+Submetering!H15</f>
        <v>97.65</v>
      </c>
      <c r="J15" s="16">
        <v>2.3196172978505634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v>0.12</v>
      </c>
      <c r="G16" s="20">
        <f>Submetering!F16+Submetering!G16</f>
        <v>98.16</v>
      </c>
      <c r="H16" s="16">
        <v>0.71</v>
      </c>
      <c r="I16" s="20">
        <f>Submetering!J16+Submetering!I16+Submetering!H16</f>
        <v>91.18</v>
      </c>
      <c r="J16" s="16">
        <v>2.3196172978505634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9963.23</v>
      </c>
      <c r="F17" s="16">
        <v>0.12</v>
      </c>
      <c r="G17" s="20">
        <f>Submetering!F17+Submetering!G17</f>
        <v>103.74</v>
      </c>
      <c r="H17" s="16">
        <v>0.71</v>
      </c>
      <c r="I17" s="20">
        <f>Submetering!J17+Submetering!I17+Submetering!H17</f>
        <v>92.06</v>
      </c>
      <c r="J17" s="16">
        <v>2.3196172978505634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9955.16</v>
      </c>
      <c r="F18" s="16">
        <v>0.12</v>
      </c>
      <c r="G18" s="20">
        <f>Submetering!F18+Submetering!G18</f>
        <v>130.09</v>
      </c>
      <c r="H18" s="16">
        <v>0.71</v>
      </c>
      <c r="I18" s="20">
        <f>Submetering!J18+Submetering!I18+Submetering!H18</f>
        <v>101.14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10380.49</v>
      </c>
      <c r="F19" s="16">
        <v>0.12</v>
      </c>
      <c r="G19" s="20">
        <f>Submetering!F19+Submetering!G19</f>
        <v>84.06</v>
      </c>
      <c r="H19" s="16">
        <v>0.71</v>
      </c>
      <c r="I19" s="20">
        <f>Submetering!J19+Submetering!I19+Submetering!H19</f>
        <v>95.19</v>
      </c>
      <c r="J19" s="16">
        <v>2.3196172978505634</v>
      </c>
      <c r="K19" s="20">
        <f>Submetering!K19</f>
        <v>95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10798.28</v>
      </c>
      <c r="F20" s="16">
        <v>0.12</v>
      </c>
      <c r="G20" s="20">
        <f>Submetering!F20+Submetering!G20</f>
        <v>111.46</v>
      </c>
      <c r="H20" s="16">
        <v>0.71</v>
      </c>
      <c r="I20" s="20">
        <f>Submetering!J20+Submetering!I20+Submetering!H20</f>
        <v>87.76</v>
      </c>
      <c r="J20" s="16">
        <v>2.3196172978505634</v>
      </c>
      <c r="K20" s="20">
        <f>Submetering!K20</f>
        <v>104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9838.81</v>
      </c>
      <c r="F21" s="16">
        <v>0.12</v>
      </c>
      <c r="G21" s="20">
        <f>Submetering!F21+Submetering!G21</f>
        <v>96.16</v>
      </c>
      <c r="H21" s="16">
        <v>0.71</v>
      </c>
      <c r="I21" s="20">
        <f>Submetering!J21+Submetering!I21+Submetering!H21</f>
        <v>87.67</v>
      </c>
      <c r="J21" s="16">
        <v>2.3196172978505634</v>
      </c>
      <c r="K21" s="20">
        <f>Submetering!K21</f>
        <v>104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9616.65</v>
      </c>
      <c r="F22" s="16">
        <v>0.12</v>
      </c>
      <c r="G22" s="20">
        <f>Submetering!F22+Submetering!G22</f>
        <v>113.06</v>
      </c>
      <c r="H22" s="16">
        <v>0.71</v>
      </c>
      <c r="I22" s="20">
        <f>Submetering!J22+Submetering!I22+Submetering!H22</f>
        <v>88.31</v>
      </c>
      <c r="J22" s="16">
        <v>2.3196172978505634</v>
      </c>
      <c r="K22" s="20">
        <f>Submetering!K22</f>
        <v>112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93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11" activePane="bottomRight" state="frozen"/>
      <selection pane="topRight" activeCell="C1" sqref="C1"/>
      <selection pane="bottomLeft" activeCell="A2" sqref="A2"/>
      <selection pane="bottomRight" activeCell="M16" sqref="M1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4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42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42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42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42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42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42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42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42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42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42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43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43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>
        <v>2.15</v>
      </c>
      <c r="I15" s="37">
        <v>33</v>
      </c>
      <c r="J15" s="37">
        <v>62.5</v>
      </c>
      <c r="K15" s="43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9679.8799999999992</v>
      </c>
      <c r="F16" s="37">
        <v>83.72</v>
      </c>
      <c r="G16" s="37">
        <v>14.44</v>
      </c>
      <c r="H16" s="37">
        <v>4.18</v>
      </c>
      <c r="I16" s="37">
        <v>32.5</v>
      </c>
      <c r="J16" s="37">
        <v>54.5</v>
      </c>
      <c r="K16" s="43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9963.23</v>
      </c>
      <c r="F17" s="37">
        <v>89.3</v>
      </c>
      <c r="G17" s="37">
        <v>14.44</v>
      </c>
      <c r="H17" s="37">
        <v>2.56</v>
      </c>
      <c r="I17" s="37">
        <v>32.5</v>
      </c>
      <c r="J17" s="37">
        <v>57</v>
      </c>
      <c r="K17" s="42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9955.16</v>
      </c>
      <c r="F18" s="37">
        <v>115.15</v>
      </c>
      <c r="G18" s="37">
        <v>14.94</v>
      </c>
      <c r="H18" s="37">
        <v>2.64</v>
      </c>
      <c r="I18" s="37">
        <v>38</v>
      </c>
      <c r="J18" s="37">
        <v>60.5</v>
      </c>
      <c r="K18" s="42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10380.49</v>
      </c>
      <c r="F19" s="37">
        <v>69.62</v>
      </c>
      <c r="G19" s="37">
        <v>14.44</v>
      </c>
      <c r="H19" s="37">
        <v>0.69</v>
      </c>
      <c r="I19" s="37">
        <v>34</v>
      </c>
      <c r="J19" s="37">
        <v>60.5</v>
      </c>
      <c r="K19" s="42">
        <v>95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10798.28</v>
      </c>
      <c r="F20" s="37">
        <v>97.02</v>
      </c>
      <c r="G20" s="37">
        <v>14.44</v>
      </c>
      <c r="H20" s="37">
        <v>2.2599999999999998</v>
      </c>
      <c r="I20" s="37">
        <v>32</v>
      </c>
      <c r="J20" s="37">
        <v>53.5</v>
      </c>
      <c r="K20" s="42">
        <v>104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9838.81</v>
      </c>
      <c r="F21" s="37">
        <v>82.22</v>
      </c>
      <c r="G21" s="37">
        <v>13.94</v>
      </c>
      <c r="H21" s="37">
        <v>2.67</v>
      </c>
      <c r="I21" s="37">
        <v>38</v>
      </c>
      <c r="J21" s="37">
        <v>47</v>
      </c>
      <c r="K21">
        <v>104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9616.65</v>
      </c>
      <c r="F22" s="37">
        <v>99.12</v>
      </c>
      <c r="G22" s="37">
        <v>13.94</v>
      </c>
      <c r="H22" s="37">
        <v>2.31</v>
      </c>
      <c r="I22" s="37">
        <v>33</v>
      </c>
      <c r="J22" s="37">
        <v>53</v>
      </c>
      <c r="K22" s="42">
        <v>112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K23" s="42">
        <v>93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2022-06-23T06:51:20Z</dcterms:modified>
</cp:coreProperties>
</file>