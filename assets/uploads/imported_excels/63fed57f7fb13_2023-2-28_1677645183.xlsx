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8\"/>
    </mc:Choice>
  </mc:AlternateContent>
  <xr:revisionPtr revIDLastSave="0" documentId="13_ncr:1_{3BCBA1FB-985C-4912-B58A-3E934224B830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TOTAL" sheetId="4" r:id="rId1"/>
    <sheet name="Electricity" sheetId="1" r:id="rId2"/>
    <sheet name="Water" sheetId="2" r:id="rId3"/>
  </sheets>
  <externalReferences>
    <externalReference r:id="rId4"/>
  </externalReferences>
  <definedNames>
    <definedName name="_xlnm.Print_Area" localSheetId="1">Electricity!$B$1:$R$54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2" i="4"/>
  <c r="N1" i="4" l="1"/>
  <c r="C37" i="1" l="1"/>
  <c r="I6" i="1"/>
  <c r="H6" i="1"/>
  <c r="G6" i="1"/>
  <c r="E2" i="4" s="1"/>
  <c r="E37" i="2"/>
  <c r="G41" i="2" s="1"/>
  <c r="G47" i="2" s="1"/>
  <c r="F37" i="2"/>
  <c r="G6" i="2"/>
  <c r="K3" i="4" s="1"/>
  <c r="M3" i="4" s="1"/>
  <c r="G7" i="2"/>
  <c r="K4" i="4" s="1"/>
  <c r="M4" i="4" s="1"/>
  <c r="G8" i="2"/>
  <c r="K5" i="4" s="1"/>
  <c r="M5" i="4" s="1"/>
  <c r="G9" i="2"/>
  <c r="K6" i="4" s="1"/>
  <c r="M6" i="4" s="1"/>
  <c r="G10" i="2"/>
  <c r="K7" i="4" s="1"/>
  <c r="M7" i="4" s="1"/>
  <c r="G11" i="2"/>
  <c r="K8" i="4" s="1"/>
  <c r="M8" i="4" s="1"/>
  <c r="G12" i="2"/>
  <c r="K9" i="4" s="1"/>
  <c r="M9" i="4" s="1"/>
  <c r="G13" i="2"/>
  <c r="K10" i="4" s="1"/>
  <c r="M10" i="4" s="1"/>
  <c r="G14" i="2"/>
  <c r="K11" i="4" s="1"/>
  <c r="M11" i="4" s="1"/>
  <c r="G15" i="2"/>
  <c r="K12" i="4" s="1"/>
  <c r="M12" i="4" s="1"/>
  <c r="G16" i="2"/>
  <c r="K13" i="4" s="1"/>
  <c r="M13" i="4" s="1"/>
  <c r="G17" i="2"/>
  <c r="K14" i="4" s="1"/>
  <c r="M14" i="4" s="1"/>
  <c r="G18" i="2"/>
  <c r="K15" i="4" s="1"/>
  <c r="M15" i="4" s="1"/>
  <c r="G19" i="2"/>
  <c r="K16" i="4" s="1"/>
  <c r="M16" i="4" s="1"/>
  <c r="G20" i="2"/>
  <c r="K17" i="4" s="1"/>
  <c r="M17" i="4" s="1"/>
  <c r="G21" i="2"/>
  <c r="K18" i="4" s="1"/>
  <c r="M18" i="4" s="1"/>
  <c r="G22" i="2"/>
  <c r="K19" i="4" s="1"/>
  <c r="M19" i="4" s="1"/>
  <c r="G23" i="2"/>
  <c r="K20" i="4" s="1"/>
  <c r="M20" i="4" s="1"/>
  <c r="G24" i="2"/>
  <c r="K21" i="4" s="1"/>
  <c r="M21" i="4" s="1"/>
  <c r="G25" i="2"/>
  <c r="K22" i="4" s="1"/>
  <c r="M22" i="4" s="1"/>
  <c r="G26" i="2"/>
  <c r="K23" i="4" s="1"/>
  <c r="M23" i="4" s="1"/>
  <c r="G27" i="2"/>
  <c r="K24" i="4" s="1"/>
  <c r="M24" i="4" s="1"/>
  <c r="G28" i="2"/>
  <c r="K25" i="4" s="1"/>
  <c r="M25" i="4" s="1"/>
  <c r="G29" i="2"/>
  <c r="K26" i="4" s="1"/>
  <c r="M26" i="4" s="1"/>
  <c r="G30" i="2"/>
  <c r="K27" i="4" s="1"/>
  <c r="M27" i="4" s="1"/>
  <c r="G31" i="2"/>
  <c r="K28" i="4" s="1"/>
  <c r="M28" i="4" s="1"/>
  <c r="G32" i="2"/>
  <c r="K29" i="4" s="1"/>
  <c r="M29" i="4" s="1"/>
  <c r="G33" i="2"/>
  <c r="K30" i="4" s="1"/>
  <c r="M30" i="4" s="1"/>
  <c r="G34" i="2"/>
  <c r="K31" i="4" s="1"/>
  <c r="M31" i="4" s="1"/>
  <c r="G35" i="2"/>
  <c r="K32" i="4" s="1"/>
  <c r="M32" i="4" s="1"/>
  <c r="G5" i="2"/>
  <c r="G37" i="2" l="1"/>
  <c r="K2" i="4"/>
  <c r="M2" i="4" s="1"/>
  <c r="F30" i="4"/>
  <c r="G30" i="4"/>
  <c r="F31" i="4"/>
  <c r="G31" i="4"/>
  <c r="F32" i="4"/>
  <c r="G32" i="4"/>
  <c r="G35" i="1"/>
  <c r="H35" i="1"/>
  <c r="I35" i="1"/>
  <c r="G36" i="1"/>
  <c r="H36" i="1"/>
  <c r="I36" i="1"/>
  <c r="J35" i="1" l="1"/>
  <c r="E32" i="4"/>
  <c r="E31" i="4"/>
  <c r="J36" i="1"/>
  <c r="K36" i="1" s="1"/>
  <c r="K35" i="1" l="1"/>
  <c r="L35" i="1" s="1"/>
  <c r="J31" i="4" s="1"/>
  <c r="L36" i="1"/>
  <c r="J32" i="4" s="1"/>
  <c r="H34" i="1" l="1"/>
  <c r="I34" i="1"/>
  <c r="J34" i="1" l="1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K34" i="1" l="1"/>
  <c r="L34" i="1" s="1"/>
  <c r="J30" i="4" s="1"/>
  <c r="H31" i="1"/>
  <c r="I31" i="1"/>
  <c r="H32" i="1"/>
  <c r="I32" i="1"/>
  <c r="H33" i="1"/>
  <c r="I33" i="1"/>
  <c r="G31" i="1"/>
  <c r="G32" i="1"/>
  <c r="G33" i="1"/>
  <c r="G34" i="1"/>
  <c r="E30" i="4" l="1"/>
  <c r="J32" i="1"/>
  <c r="K32" i="1" s="1"/>
  <c r="E29" i="4"/>
  <c r="E28" i="4"/>
  <c r="E27" i="4"/>
  <c r="J33" i="1"/>
  <c r="K33" i="1" s="1"/>
  <c r="J31" i="1"/>
  <c r="K31" i="1" l="1"/>
  <c r="L31" i="1" s="1"/>
  <c r="J27" i="4" s="1"/>
  <c r="L32" i="1"/>
  <c r="J28" i="4" s="1"/>
  <c r="L33" i="1"/>
  <c r="J29" i="4" s="1"/>
  <c r="F37" i="1" l="1"/>
  <c r="E37" i="1"/>
  <c r="G27" i="1" l="1"/>
  <c r="E23" i="4" s="1"/>
  <c r="G28" i="1"/>
  <c r="E24" i="4" s="1"/>
  <c r="G29" i="1"/>
  <c r="E25" i="4" s="1"/>
  <c r="G30" i="1"/>
  <c r="E26" i="4" s="1"/>
  <c r="G2" i="4" l="1"/>
  <c r="F2" i="4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E3" i="4" s="1"/>
  <c r="I7" i="1"/>
  <c r="I37" i="1" l="1"/>
  <c r="G37" i="1"/>
  <c r="J29" i="1"/>
  <c r="J19" i="1"/>
  <c r="J27" i="1"/>
  <c r="J25" i="1"/>
  <c r="J7" i="1"/>
  <c r="J22" i="1"/>
  <c r="J8" i="1"/>
  <c r="J16" i="1"/>
  <c r="J9" i="1"/>
  <c r="J30" i="1"/>
  <c r="J28" i="1"/>
  <c r="J26" i="1"/>
  <c r="K26" i="1" s="1"/>
  <c r="J24" i="1"/>
  <c r="J23" i="1"/>
  <c r="J21" i="1"/>
  <c r="J20" i="1"/>
  <c r="J18" i="1"/>
  <c r="J17" i="1"/>
  <c r="J15" i="1"/>
  <c r="J14" i="1"/>
  <c r="J13" i="1"/>
  <c r="J12" i="1"/>
  <c r="J11" i="1"/>
  <c r="J10" i="1"/>
  <c r="J6" i="1"/>
  <c r="K6" i="1" s="1"/>
  <c r="K25" i="1" l="1"/>
  <c r="L25" i="1" s="1"/>
  <c r="J21" i="4" s="1"/>
  <c r="K12" i="1"/>
  <c r="L12" i="1" s="1"/>
  <c r="J8" i="4" s="1"/>
  <c r="K20" i="1"/>
  <c r="L20" i="1" s="1"/>
  <c r="J16" i="4" s="1"/>
  <c r="K21" i="1"/>
  <c r="L21" i="1" s="1"/>
  <c r="J17" i="4" s="1"/>
  <c r="K29" i="1"/>
  <c r="L29" i="1" s="1"/>
  <c r="J25" i="4" s="1"/>
  <c r="K30" i="1"/>
  <c r="L30" i="1" s="1"/>
  <c r="J26" i="4" s="1"/>
  <c r="K13" i="1"/>
  <c r="L13" i="1" s="1"/>
  <c r="J9" i="4" s="1"/>
  <c r="K9" i="1"/>
  <c r="L9" i="1" s="1"/>
  <c r="J5" i="4" s="1"/>
  <c r="K27" i="1"/>
  <c r="L27" i="1" s="1"/>
  <c r="J23" i="4" s="1"/>
  <c r="K14" i="1"/>
  <c r="L14" i="1" s="1"/>
  <c r="J10" i="4" s="1"/>
  <c r="K23" i="1"/>
  <c r="L23" i="1" s="1"/>
  <c r="J19" i="4" s="1"/>
  <c r="K16" i="1"/>
  <c r="L16" i="1" s="1"/>
  <c r="J12" i="4" s="1"/>
  <c r="K19" i="1"/>
  <c r="L19" i="1" s="1"/>
  <c r="J15" i="4" s="1"/>
  <c r="K15" i="1"/>
  <c r="L15" i="1" s="1"/>
  <c r="J11" i="4" s="1"/>
  <c r="K24" i="1"/>
  <c r="L24" i="1" s="1"/>
  <c r="J20" i="4" s="1"/>
  <c r="K8" i="1"/>
  <c r="L8" i="1" s="1"/>
  <c r="J4" i="4" s="1"/>
  <c r="K10" i="1"/>
  <c r="L10" i="1" s="1"/>
  <c r="J6" i="4" s="1"/>
  <c r="K17" i="1"/>
  <c r="L17" i="1" s="1"/>
  <c r="J13" i="4" s="1"/>
  <c r="K22" i="1"/>
  <c r="L22" i="1" s="1"/>
  <c r="J18" i="4" s="1"/>
  <c r="K11" i="1"/>
  <c r="L11" i="1" s="1"/>
  <c r="J7" i="4" s="1"/>
  <c r="K18" i="1"/>
  <c r="L18" i="1" s="1"/>
  <c r="J14" i="4" s="1"/>
  <c r="K28" i="1"/>
  <c r="L28" i="1" s="1"/>
  <c r="J24" i="4" s="1"/>
  <c r="K7" i="1"/>
  <c r="K37" i="1" s="1"/>
  <c r="L26" i="1"/>
  <c r="J22" i="4" s="1"/>
  <c r="J37" i="1"/>
  <c r="L7" i="1" l="1"/>
  <c r="J3" i="4" s="1"/>
  <c r="L6" i="1"/>
  <c r="L37" i="1" l="1"/>
  <c r="J2" i="4"/>
</calcChain>
</file>

<file path=xl/sharedStrings.xml><?xml version="1.0" encoding="utf-8"?>
<sst xmlns="http://schemas.openxmlformats.org/spreadsheetml/2006/main" count="115" uniqueCount="43">
  <si>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</si>
  <si>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</si>
  <si>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</si>
  <si>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</si>
  <si>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</si>
  <si>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</si>
  <si>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</si>
  <si>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</si>
  <si>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</si>
  <si>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</si>
  <si>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</si>
  <si>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</si>
  <si>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</si>
  <si>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</si>
  <si>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</si>
  <si>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</si>
  <si>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</si>
  <si>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</si>
  <si>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</si>
  <si>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</si>
  <si>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</si>
  <si>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</si>
  <si>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</si>
  <si>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</si>
  <si>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</si>
  <si>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</si>
  <si>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</si>
  <si>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</si>
  <si>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</si>
  <si>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</si>
  <si>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</si>
  <si>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</si>
  <si>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</si>
  <si>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</si>
  <si>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</si>
  <si>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Jakarta PR</t>
  </si>
  <si>
    <t>Tax for public  service 2,4%</t>
  </si>
  <si>
    <t>Electricity Tariff Peak Hour (Rp/Kwh)</t>
  </si>
  <si>
    <t>Electricity Tariff Low Peak Hour (Rp/Kwh)</t>
  </si>
  <si>
    <t>Water Utility Supply (m3) Rp/m3</t>
  </si>
  <si>
    <t>Water Utility Supply (Rupiah)</t>
  </si>
  <si>
    <t>Electricity Distribution 2018</t>
  </si>
  <si>
    <t>DAILY ELECTRICITY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</si>
</sst>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8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0" fillId="0" borderId="0" xfId="8" applyNumberFormat="1" applyFont="1" applyAlignment="1">
      <alignment horizontal="center"/>
    </xf>
    <xf numFmtId="0" fontId="20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1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1" fontId="22" fillId="0" borderId="24" xfId="8" applyNumberFormat="1" applyFont="1" applyBorder="1" applyAlignment="1">
      <alignment horizontal="center"/>
    </xf>
    <xf numFmtId="0" fontId="22" fillId="0" borderId="24" xfId="8" applyFont="1" applyBorder="1" applyAlignment="1">
      <alignment horizontal="center"/>
    </xf>
    <xf numFmtId="0" fontId="6" fillId="0" borderId="24" xfId="8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3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4" fillId="0" borderId="5" xfId="0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" fontId="0" fillId="0" borderId="0" xfId="0" applyNumberFormat="1" applyFont="1"/>
    <xf numFmtId="1" fontId="17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" fontId="14" fillId="2" borderId="0" xfId="0" applyNumberFormat="1" applyFont="1" applyFill="1"/>
    <xf numFmtId="1" fontId="15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9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7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6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64" fontId="0" fillId="0" borderId="4" xfId="1" applyFont="1" applyBorder="1"/>
    <xf numFmtId="164" fontId="0" fillId="0" borderId="5" xfId="1" applyFont="1" applyBorder="1"/>
    <xf numFmtId="164" fontId="0" fillId="0" borderId="4" xfId="1" applyFont="1" applyBorder="1" applyAlignment="1">
      <alignment vertical="center"/>
    </xf>
    <xf numFmtId="164" fontId="0" fillId="0" borderId="5" xfId="1" applyFont="1" applyBorder="1" applyAlignment="1">
      <alignment vertical="center"/>
    </xf>
    <xf numFmtId="0" fontId="5" fillId="0" borderId="0" xfId="2" applyAlignment="1">
      <alignment horizontal="center" vertical="center"/>
    </xf>
    <xf numFmtId="164" fontId="0" fillId="0" borderId="4" xfId="1" applyFont="1" applyBorder="1" applyAlignment="1">
      <alignment horizontal="right" vertical="center"/>
    </xf>
    <xf numFmtId="164" fontId="0" fillId="0" borderId="5" xfId="1" applyFont="1" applyBorder="1" applyAlignment="1">
      <alignment horizontal="right" vertical="center"/>
    </xf>
    <xf numFmtId="164" fontId="0" fillId="0" borderId="5" xfId="1" applyFont="1" applyFill="1" applyBorder="1"/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9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cal%20D/HEP/2021/03.%20HEP%20March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lectricity"/>
      <sheetName val="Water"/>
    </sheetNames>
    <sheetDataSet>
      <sheetData sheetId="0"/>
      <sheetData sheetId="1">
        <row r="5">
          <cell r="C5" t="str">
            <v>OCC unit Apt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opLeftCell="A22" workbookViewId="0">
      <selection activeCell="K40" sqref="K40"/>
    </sheetView>
  </sheetViews>
  <sheetFormatPr defaultColWidth="11.5703125" defaultRowHeight="15" x14ac:dyDescent="0.25"/>
  <cols>
    <col min="1" max="1" width="12.42578125" style="47" customWidth="1"/>
    <col min="2" max="3" width="11.5703125" style="49"/>
    <col min="4" max="4" width="13.42578125" style="48" customWidth="1"/>
    <col min="5" max="8" width="12.5703125" style="46" customWidth="1"/>
    <col min="9" max="10" width="12.5703125" style="47" customWidth="1"/>
    <col min="11" max="12" width="11.5703125" style="47"/>
    <col min="13" max="13" width="12.5703125" style="47" bestFit="1" customWidth="1"/>
    <col min="14" max="14" width="11.5703125" style="46"/>
    <col min="15" max="257" width="11.5703125" style="45"/>
    <col min="258" max="258" width="12.42578125" style="45" customWidth="1"/>
    <col min="259" max="260" width="11.5703125" style="45"/>
    <col min="261" max="261" width="13.42578125" style="45" customWidth="1"/>
    <col min="262" max="263" width="12.5703125" style="45" customWidth="1"/>
    <col min="264" max="269" width="11.5703125" style="45"/>
    <col min="270" max="270" width="0" style="45" hidden="1" customWidth="1"/>
    <col min="271" max="513" width="11.5703125" style="45"/>
    <col min="514" max="514" width="12.42578125" style="45" customWidth="1"/>
    <col min="515" max="516" width="11.5703125" style="45"/>
    <col min="517" max="517" width="13.42578125" style="45" customWidth="1"/>
    <col min="518" max="519" width="12.5703125" style="45" customWidth="1"/>
    <col min="520" max="525" width="11.5703125" style="45"/>
    <col min="526" max="526" width="0" style="45" hidden="1" customWidth="1"/>
    <col min="527" max="769" width="11.5703125" style="45"/>
    <col min="770" max="770" width="12.42578125" style="45" customWidth="1"/>
    <col min="771" max="772" width="11.5703125" style="45"/>
    <col min="773" max="773" width="13.42578125" style="45" customWidth="1"/>
    <col min="774" max="775" width="12.5703125" style="45" customWidth="1"/>
    <col min="776" max="781" width="11.5703125" style="45"/>
    <col min="782" max="782" width="0" style="45" hidden="1" customWidth="1"/>
    <col min="783" max="1025" width="11.5703125" style="45"/>
    <col min="1026" max="1026" width="12.42578125" style="45" customWidth="1"/>
    <col min="1027" max="1028" width="11.5703125" style="45"/>
    <col min="1029" max="1029" width="13.42578125" style="45" customWidth="1"/>
    <col min="1030" max="1031" width="12.5703125" style="45" customWidth="1"/>
    <col min="1032" max="1037" width="11.5703125" style="45"/>
    <col min="1038" max="1038" width="0" style="45" hidden="1" customWidth="1"/>
    <col min="1039" max="1281" width="11.5703125" style="45"/>
    <col min="1282" max="1282" width="12.42578125" style="45" customWidth="1"/>
    <col min="1283" max="1284" width="11.5703125" style="45"/>
    <col min="1285" max="1285" width="13.42578125" style="45" customWidth="1"/>
    <col min="1286" max="1287" width="12.5703125" style="45" customWidth="1"/>
    <col min="1288" max="1293" width="11.5703125" style="45"/>
    <col min="1294" max="1294" width="0" style="45" hidden="1" customWidth="1"/>
    <col min="1295" max="1537" width="11.5703125" style="45"/>
    <col min="1538" max="1538" width="12.42578125" style="45" customWidth="1"/>
    <col min="1539" max="1540" width="11.5703125" style="45"/>
    <col min="1541" max="1541" width="13.42578125" style="45" customWidth="1"/>
    <col min="1542" max="1543" width="12.5703125" style="45" customWidth="1"/>
    <col min="1544" max="1549" width="11.5703125" style="45"/>
    <col min="1550" max="1550" width="0" style="45" hidden="1" customWidth="1"/>
    <col min="1551" max="1793" width="11.5703125" style="45"/>
    <col min="1794" max="1794" width="12.42578125" style="45" customWidth="1"/>
    <col min="1795" max="1796" width="11.5703125" style="45"/>
    <col min="1797" max="1797" width="13.42578125" style="45" customWidth="1"/>
    <col min="1798" max="1799" width="12.5703125" style="45" customWidth="1"/>
    <col min="1800" max="1805" width="11.5703125" style="45"/>
    <col min="1806" max="1806" width="0" style="45" hidden="1" customWidth="1"/>
    <col min="1807" max="2049" width="11.5703125" style="45"/>
    <col min="2050" max="2050" width="12.42578125" style="45" customWidth="1"/>
    <col min="2051" max="2052" width="11.5703125" style="45"/>
    <col min="2053" max="2053" width="13.42578125" style="45" customWidth="1"/>
    <col min="2054" max="2055" width="12.5703125" style="45" customWidth="1"/>
    <col min="2056" max="2061" width="11.5703125" style="45"/>
    <col min="2062" max="2062" width="0" style="45" hidden="1" customWidth="1"/>
    <col min="2063" max="2305" width="11.5703125" style="45"/>
    <col min="2306" max="2306" width="12.42578125" style="45" customWidth="1"/>
    <col min="2307" max="2308" width="11.5703125" style="45"/>
    <col min="2309" max="2309" width="13.42578125" style="45" customWidth="1"/>
    <col min="2310" max="2311" width="12.5703125" style="45" customWidth="1"/>
    <col min="2312" max="2317" width="11.5703125" style="45"/>
    <col min="2318" max="2318" width="0" style="45" hidden="1" customWidth="1"/>
    <col min="2319" max="2561" width="11.5703125" style="45"/>
    <col min="2562" max="2562" width="12.42578125" style="45" customWidth="1"/>
    <col min="2563" max="2564" width="11.5703125" style="45"/>
    <col min="2565" max="2565" width="13.42578125" style="45" customWidth="1"/>
    <col min="2566" max="2567" width="12.5703125" style="45" customWidth="1"/>
    <col min="2568" max="2573" width="11.5703125" style="45"/>
    <col min="2574" max="2574" width="0" style="45" hidden="1" customWidth="1"/>
    <col min="2575" max="2817" width="11.5703125" style="45"/>
    <col min="2818" max="2818" width="12.42578125" style="45" customWidth="1"/>
    <col min="2819" max="2820" width="11.5703125" style="45"/>
    <col min="2821" max="2821" width="13.42578125" style="45" customWidth="1"/>
    <col min="2822" max="2823" width="12.5703125" style="45" customWidth="1"/>
    <col min="2824" max="2829" width="11.5703125" style="45"/>
    <col min="2830" max="2830" width="0" style="45" hidden="1" customWidth="1"/>
    <col min="2831" max="3073" width="11.5703125" style="45"/>
    <col min="3074" max="3074" width="12.42578125" style="45" customWidth="1"/>
    <col min="3075" max="3076" width="11.5703125" style="45"/>
    <col min="3077" max="3077" width="13.42578125" style="45" customWidth="1"/>
    <col min="3078" max="3079" width="12.5703125" style="45" customWidth="1"/>
    <col min="3080" max="3085" width="11.5703125" style="45"/>
    <col min="3086" max="3086" width="0" style="45" hidden="1" customWidth="1"/>
    <col min="3087" max="3329" width="11.5703125" style="45"/>
    <col min="3330" max="3330" width="12.42578125" style="45" customWidth="1"/>
    <col min="3331" max="3332" width="11.5703125" style="45"/>
    <col min="3333" max="3333" width="13.42578125" style="45" customWidth="1"/>
    <col min="3334" max="3335" width="12.5703125" style="45" customWidth="1"/>
    <col min="3336" max="3341" width="11.5703125" style="45"/>
    <col min="3342" max="3342" width="0" style="45" hidden="1" customWidth="1"/>
    <col min="3343" max="3585" width="11.5703125" style="45"/>
    <col min="3586" max="3586" width="12.42578125" style="45" customWidth="1"/>
    <col min="3587" max="3588" width="11.5703125" style="45"/>
    <col min="3589" max="3589" width="13.42578125" style="45" customWidth="1"/>
    <col min="3590" max="3591" width="12.5703125" style="45" customWidth="1"/>
    <col min="3592" max="3597" width="11.5703125" style="45"/>
    <col min="3598" max="3598" width="0" style="45" hidden="1" customWidth="1"/>
    <col min="3599" max="3841" width="11.5703125" style="45"/>
    <col min="3842" max="3842" width="12.42578125" style="45" customWidth="1"/>
    <col min="3843" max="3844" width="11.5703125" style="45"/>
    <col min="3845" max="3845" width="13.42578125" style="45" customWidth="1"/>
    <col min="3846" max="3847" width="12.5703125" style="45" customWidth="1"/>
    <col min="3848" max="3853" width="11.5703125" style="45"/>
    <col min="3854" max="3854" width="0" style="45" hidden="1" customWidth="1"/>
    <col min="3855" max="4097" width="11.5703125" style="45"/>
    <col min="4098" max="4098" width="12.42578125" style="45" customWidth="1"/>
    <col min="4099" max="4100" width="11.5703125" style="45"/>
    <col min="4101" max="4101" width="13.42578125" style="45" customWidth="1"/>
    <col min="4102" max="4103" width="12.5703125" style="45" customWidth="1"/>
    <col min="4104" max="4109" width="11.5703125" style="45"/>
    <col min="4110" max="4110" width="0" style="45" hidden="1" customWidth="1"/>
    <col min="4111" max="4353" width="11.5703125" style="45"/>
    <col min="4354" max="4354" width="12.42578125" style="45" customWidth="1"/>
    <col min="4355" max="4356" width="11.5703125" style="45"/>
    <col min="4357" max="4357" width="13.42578125" style="45" customWidth="1"/>
    <col min="4358" max="4359" width="12.5703125" style="45" customWidth="1"/>
    <col min="4360" max="4365" width="11.5703125" style="45"/>
    <col min="4366" max="4366" width="0" style="45" hidden="1" customWidth="1"/>
    <col min="4367" max="4609" width="11.5703125" style="45"/>
    <col min="4610" max="4610" width="12.42578125" style="45" customWidth="1"/>
    <col min="4611" max="4612" width="11.5703125" style="45"/>
    <col min="4613" max="4613" width="13.42578125" style="45" customWidth="1"/>
    <col min="4614" max="4615" width="12.5703125" style="45" customWidth="1"/>
    <col min="4616" max="4621" width="11.5703125" style="45"/>
    <col min="4622" max="4622" width="0" style="45" hidden="1" customWidth="1"/>
    <col min="4623" max="4865" width="11.5703125" style="45"/>
    <col min="4866" max="4866" width="12.42578125" style="45" customWidth="1"/>
    <col min="4867" max="4868" width="11.5703125" style="45"/>
    <col min="4869" max="4869" width="13.42578125" style="45" customWidth="1"/>
    <col min="4870" max="4871" width="12.5703125" style="45" customWidth="1"/>
    <col min="4872" max="4877" width="11.5703125" style="45"/>
    <col min="4878" max="4878" width="0" style="45" hidden="1" customWidth="1"/>
    <col min="4879" max="5121" width="11.5703125" style="45"/>
    <col min="5122" max="5122" width="12.42578125" style="45" customWidth="1"/>
    <col min="5123" max="5124" width="11.5703125" style="45"/>
    <col min="5125" max="5125" width="13.42578125" style="45" customWidth="1"/>
    <col min="5126" max="5127" width="12.5703125" style="45" customWidth="1"/>
    <col min="5128" max="5133" width="11.5703125" style="45"/>
    <col min="5134" max="5134" width="0" style="45" hidden="1" customWidth="1"/>
    <col min="5135" max="5377" width="11.5703125" style="45"/>
    <col min="5378" max="5378" width="12.42578125" style="45" customWidth="1"/>
    <col min="5379" max="5380" width="11.5703125" style="45"/>
    <col min="5381" max="5381" width="13.42578125" style="45" customWidth="1"/>
    <col min="5382" max="5383" width="12.5703125" style="45" customWidth="1"/>
    <col min="5384" max="5389" width="11.5703125" style="45"/>
    <col min="5390" max="5390" width="0" style="45" hidden="1" customWidth="1"/>
    <col min="5391" max="5633" width="11.5703125" style="45"/>
    <col min="5634" max="5634" width="12.42578125" style="45" customWidth="1"/>
    <col min="5635" max="5636" width="11.5703125" style="45"/>
    <col min="5637" max="5637" width="13.42578125" style="45" customWidth="1"/>
    <col min="5638" max="5639" width="12.5703125" style="45" customWidth="1"/>
    <col min="5640" max="5645" width="11.5703125" style="45"/>
    <col min="5646" max="5646" width="0" style="45" hidden="1" customWidth="1"/>
    <col min="5647" max="5889" width="11.5703125" style="45"/>
    <col min="5890" max="5890" width="12.42578125" style="45" customWidth="1"/>
    <col min="5891" max="5892" width="11.5703125" style="45"/>
    <col min="5893" max="5893" width="13.42578125" style="45" customWidth="1"/>
    <col min="5894" max="5895" width="12.5703125" style="45" customWidth="1"/>
    <col min="5896" max="5901" width="11.5703125" style="45"/>
    <col min="5902" max="5902" width="0" style="45" hidden="1" customWidth="1"/>
    <col min="5903" max="6145" width="11.5703125" style="45"/>
    <col min="6146" max="6146" width="12.42578125" style="45" customWidth="1"/>
    <col min="6147" max="6148" width="11.5703125" style="45"/>
    <col min="6149" max="6149" width="13.42578125" style="45" customWidth="1"/>
    <col min="6150" max="6151" width="12.5703125" style="45" customWidth="1"/>
    <col min="6152" max="6157" width="11.5703125" style="45"/>
    <col min="6158" max="6158" width="0" style="45" hidden="1" customWidth="1"/>
    <col min="6159" max="6401" width="11.5703125" style="45"/>
    <col min="6402" max="6402" width="12.42578125" style="45" customWidth="1"/>
    <col min="6403" max="6404" width="11.5703125" style="45"/>
    <col min="6405" max="6405" width="13.42578125" style="45" customWidth="1"/>
    <col min="6406" max="6407" width="12.5703125" style="45" customWidth="1"/>
    <col min="6408" max="6413" width="11.5703125" style="45"/>
    <col min="6414" max="6414" width="0" style="45" hidden="1" customWidth="1"/>
    <col min="6415" max="6657" width="11.5703125" style="45"/>
    <col min="6658" max="6658" width="12.42578125" style="45" customWidth="1"/>
    <col min="6659" max="6660" width="11.5703125" style="45"/>
    <col min="6661" max="6661" width="13.42578125" style="45" customWidth="1"/>
    <col min="6662" max="6663" width="12.5703125" style="45" customWidth="1"/>
    <col min="6664" max="6669" width="11.5703125" style="45"/>
    <col min="6670" max="6670" width="0" style="45" hidden="1" customWidth="1"/>
    <col min="6671" max="6913" width="11.5703125" style="45"/>
    <col min="6914" max="6914" width="12.42578125" style="45" customWidth="1"/>
    <col min="6915" max="6916" width="11.5703125" style="45"/>
    <col min="6917" max="6917" width="13.42578125" style="45" customWidth="1"/>
    <col min="6918" max="6919" width="12.5703125" style="45" customWidth="1"/>
    <col min="6920" max="6925" width="11.5703125" style="45"/>
    <col min="6926" max="6926" width="0" style="45" hidden="1" customWidth="1"/>
    <col min="6927" max="7169" width="11.5703125" style="45"/>
    <col min="7170" max="7170" width="12.42578125" style="45" customWidth="1"/>
    <col min="7171" max="7172" width="11.5703125" style="45"/>
    <col min="7173" max="7173" width="13.42578125" style="45" customWidth="1"/>
    <col min="7174" max="7175" width="12.5703125" style="45" customWidth="1"/>
    <col min="7176" max="7181" width="11.5703125" style="45"/>
    <col min="7182" max="7182" width="0" style="45" hidden="1" customWidth="1"/>
    <col min="7183" max="7425" width="11.5703125" style="45"/>
    <col min="7426" max="7426" width="12.42578125" style="45" customWidth="1"/>
    <col min="7427" max="7428" width="11.5703125" style="45"/>
    <col min="7429" max="7429" width="13.42578125" style="45" customWidth="1"/>
    <col min="7430" max="7431" width="12.5703125" style="45" customWidth="1"/>
    <col min="7432" max="7437" width="11.5703125" style="45"/>
    <col min="7438" max="7438" width="0" style="45" hidden="1" customWidth="1"/>
    <col min="7439" max="7681" width="11.5703125" style="45"/>
    <col min="7682" max="7682" width="12.42578125" style="45" customWidth="1"/>
    <col min="7683" max="7684" width="11.5703125" style="45"/>
    <col min="7685" max="7685" width="13.42578125" style="45" customWidth="1"/>
    <col min="7686" max="7687" width="12.5703125" style="45" customWidth="1"/>
    <col min="7688" max="7693" width="11.5703125" style="45"/>
    <col min="7694" max="7694" width="0" style="45" hidden="1" customWidth="1"/>
    <col min="7695" max="7937" width="11.5703125" style="45"/>
    <col min="7938" max="7938" width="12.42578125" style="45" customWidth="1"/>
    <col min="7939" max="7940" width="11.5703125" style="45"/>
    <col min="7941" max="7941" width="13.42578125" style="45" customWidth="1"/>
    <col min="7942" max="7943" width="12.5703125" style="45" customWidth="1"/>
    <col min="7944" max="7949" width="11.5703125" style="45"/>
    <col min="7950" max="7950" width="0" style="45" hidden="1" customWidth="1"/>
    <col min="7951" max="8193" width="11.5703125" style="45"/>
    <col min="8194" max="8194" width="12.42578125" style="45" customWidth="1"/>
    <col min="8195" max="8196" width="11.5703125" style="45"/>
    <col min="8197" max="8197" width="13.42578125" style="45" customWidth="1"/>
    <col min="8198" max="8199" width="12.5703125" style="45" customWidth="1"/>
    <col min="8200" max="8205" width="11.5703125" style="45"/>
    <col min="8206" max="8206" width="0" style="45" hidden="1" customWidth="1"/>
    <col min="8207" max="8449" width="11.5703125" style="45"/>
    <col min="8450" max="8450" width="12.42578125" style="45" customWidth="1"/>
    <col min="8451" max="8452" width="11.5703125" style="45"/>
    <col min="8453" max="8453" width="13.42578125" style="45" customWidth="1"/>
    <col min="8454" max="8455" width="12.5703125" style="45" customWidth="1"/>
    <col min="8456" max="8461" width="11.5703125" style="45"/>
    <col min="8462" max="8462" width="0" style="45" hidden="1" customWidth="1"/>
    <col min="8463" max="8705" width="11.5703125" style="45"/>
    <col min="8706" max="8706" width="12.42578125" style="45" customWidth="1"/>
    <col min="8707" max="8708" width="11.5703125" style="45"/>
    <col min="8709" max="8709" width="13.42578125" style="45" customWidth="1"/>
    <col min="8710" max="8711" width="12.5703125" style="45" customWidth="1"/>
    <col min="8712" max="8717" width="11.5703125" style="45"/>
    <col min="8718" max="8718" width="0" style="45" hidden="1" customWidth="1"/>
    <col min="8719" max="8961" width="11.5703125" style="45"/>
    <col min="8962" max="8962" width="12.42578125" style="45" customWidth="1"/>
    <col min="8963" max="8964" width="11.5703125" style="45"/>
    <col min="8965" max="8965" width="13.42578125" style="45" customWidth="1"/>
    <col min="8966" max="8967" width="12.5703125" style="45" customWidth="1"/>
    <col min="8968" max="8973" width="11.5703125" style="45"/>
    <col min="8974" max="8974" width="0" style="45" hidden="1" customWidth="1"/>
    <col min="8975" max="9217" width="11.5703125" style="45"/>
    <col min="9218" max="9218" width="12.42578125" style="45" customWidth="1"/>
    <col min="9219" max="9220" width="11.5703125" style="45"/>
    <col min="9221" max="9221" width="13.42578125" style="45" customWidth="1"/>
    <col min="9222" max="9223" width="12.5703125" style="45" customWidth="1"/>
    <col min="9224" max="9229" width="11.5703125" style="45"/>
    <col min="9230" max="9230" width="0" style="45" hidden="1" customWidth="1"/>
    <col min="9231" max="9473" width="11.5703125" style="45"/>
    <col min="9474" max="9474" width="12.42578125" style="45" customWidth="1"/>
    <col min="9475" max="9476" width="11.5703125" style="45"/>
    <col min="9477" max="9477" width="13.42578125" style="45" customWidth="1"/>
    <col min="9478" max="9479" width="12.5703125" style="45" customWidth="1"/>
    <col min="9480" max="9485" width="11.5703125" style="45"/>
    <col min="9486" max="9486" width="0" style="45" hidden="1" customWidth="1"/>
    <col min="9487" max="9729" width="11.5703125" style="45"/>
    <col min="9730" max="9730" width="12.42578125" style="45" customWidth="1"/>
    <col min="9731" max="9732" width="11.5703125" style="45"/>
    <col min="9733" max="9733" width="13.42578125" style="45" customWidth="1"/>
    <col min="9734" max="9735" width="12.5703125" style="45" customWidth="1"/>
    <col min="9736" max="9741" width="11.5703125" style="45"/>
    <col min="9742" max="9742" width="0" style="45" hidden="1" customWidth="1"/>
    <col min="9743" max="9985" width="11.5703125" style="45"/>
    <col min="9986" max="9986" width="12.42578125" style="45" customWidth="1"/>
    <col min="9987" max="9988" width="11.5703125" style="45"/>
    <col min="9989" max="9989" width="13.42578125" style="45" customWidth="1"/>
    <col min="9990" max="9991" width="12.5703125" style="45" customWidth="1"/>
    <col min="9992" max="9997" width="11.5703125" style="45"/>
    <col min="9998" max="9998" width="0" style="45" hidden="1" customWidth="1"/>
    <col min="9999" max="10241" width="11.5703125" style="45"/>
    <col min="10242" max="10242" width="12.42578125" style="45" customWidth="1"/>
    <col min="10243" max="10244" width="11.5703125" style="45"/>
    <col min="10245" max="10245" width="13.42578125" style="45" customWidth="1"/>
    <col min="10246" max="10247" width="12.5703125" style="45" customWidth="1"/>
    <col min="10248" max="10253" width="11.5703125" style="45"/>
    <col min="10254" max="10254" width="0" style="45" hidden="1" customWidth="1"/>
    <col min="10255" max="10497" width="11.5703125" style="45"/>
    <col min="10498" max="10498" width="12.42578125" style="45" customWidth="1"/>
    <col min="10499" max="10500" width="11.5703125" style="45"/>
    <col min="10501" max="10501" width="13.42578125" style="45" customWidth="1"/>
    <col min="10502" max="10503" width="12.5703125" style="45" customWidth="1"/>
    <col min="10504" max="10509" width="11.5703125" style="45"/>
    <col min="10510" max="10510" width="0" style="45" hidden="1" customWidth="1"/>
    <col min="10511" max="10753" width="11.5703125" style="45"/>
    <col min="10754" max="10754" width="12.42578125" style="45" customWidth="1"/>
    <col min="10755" max="10756" width="11.5703125" style="45"/>
    <col min="10757" max="10757" width="13.42578125" style="45" customWidth="1"/>
    <col min="10758" max="10759" width="12.5703125" style="45" customWidth="1"/>
    <col min="10760" max="10765" width="11.5703125" style="45"/>
    <col min="10766" max="10766" width="0" style="45" hidden="1" customWidth="1"/>
    <col min="10767" max="11009" width="11.5703125" style="45"/>
    <col min="11010" max="11010" width="12.42578125" style="45" customWidth="1"/>
    <col min="11011" max="11012" width="11.5703125" style="45"/>
    <col min="11013" max="11013" width="13.42578125" style="45" customWidth="1"/>
    <col min="11014" max="11015" width="12.5703125" style="45" customWidth="1"/>
    <col min="11016" max="11021" width="11.5703125" style="45"/>
    <col min="11022" max="11022" width="0" style="45" hidden="1" customWidth="1"/>
    <col min="11023" max="11265" width="11.5703125" style="45"/>
    <col min="11266" max="11266" width="12.42578125" style="45" customWidth="1"/>
    <col min="11267" max="11268" width="11.5703125" style="45"/>
    <col min="11269" max="11269" width="13.42578125" style="45" customWidth="1"/>
    <col min="11270" max="11271" width="12.5703125" style="45" customWidth="1"/>
    <col min="11272" max="11277" width="11.5703125" style="45"/>
    <col min="11278" max="11278" width="0" style="45" hidden="1" customWidth="1"/>
    <col min="11279" max="11521" width="11.5703125" style="45"/>
    <col min="11522" max="11522" width="12.42578125" style="45" customWidth="1"/>
    <col min="11523" max="11524" width="11.5703125" style="45"/>
    <col min="11525" max="11525" width="13.42578125" style="45" customWidth="1"/>
    <col min="11526" max="11527" width="12.5703125" style="45" customWidth="1"/>
    <col min="11528" max="11533" width="11.5703125" style="45"/>
    <col min="11534" max="11534" width="0" style="45" hidden="1" customWidth="1"/>
    <col min="11535" max="11777" width="11.5703125" style="45"/>
    <col min="11778" max="11778" width="12.42578125" style="45" customWidth="1"/>
    <col min="11779" max="11780" width="11.5703125" style="45"/>
    <col min="11781" max="11781" width="13.42578125" style="45" customWidth="1"/>
    <col min="11782" max="11783" width="12.5703125" style="45" customWidth="1"/>
    <col min="11784" max="11789" width="11.5703125" style="45"/>
    <col min="11790" max="11790" width="0" style="45" hidden="1" customWidth="1"/>
    <col min="11791" max="12033" width="11.5703125" style="45"/>
    <col min="12034" max="12034" width="12.42578125" style="45" customWidth="1"/>
    <col min="12035" max="12036" width="11.5703125" style="45"/>
    <col min="12037" max="12037" width="13.42578125" style="45" customWidth="1"/>
    <col min="12038" max="12039" width="12.5703125" style="45" customWidth="1"/>
    <col min="12040" max="12045" width="11.5703125" style="45"/>
    <col min="12046" max="12046" width="0" style="45" hidden="1" customWidth="1"/>
    <col min="12047" max="12289" width="11.5703125" style="45"/>
    <col min="12290" max="12290" width="12.42578125" style="45" customWidth="1"/>
    <col min="12291" max="12292" width="11.5703125" style="45"/>
    <col min="12293" max="12293" width="13.42578125" style="45" customWidth="1"/>
    <col min="12294" max="12295" width="12.5703125" style="45" customWidth="1"/>
    <col min="12296" max="12301" width="11.5703125" style="45"/>
    <col min="12302" max="12302" width="0" style="45" hidden="1" customWidth="1"/>
    <col min="12303" max="12545" width="11.5703125" style="45"/>
    <col min="12546" max="12546" width="12.42578125" style="45" customWidth="1"/>
    <col min="12547" max="12548" width="11.5703125" style="45"/>
    <col min="12549" max="12549" width="13.42578125" style="45" customWidth="1"/>
    <col min="12550" max="12551" width="12.5703125" style="45" customWidth="1"/>
    <col min="12552" max="12557" width="11.5703125" style="45"/>
    <col min="12558" max="12558" width="0" style="45" hidden="1" customWidth="1"/>
    <col min="12559" max="12801" width="11.5703125" style="45"/>
    <col min="12802" max="12802" width="12.42578125" style="45" customWidth="1"/>
    <col min="12803" max="12804" width="11.5703125" style="45"/>
    <col min="12805" max="12805" width="13.42578125" style="45" customWidth="1"/>
    <col min="12806" max="12807" width="12.5703125" style="45" customWidth="1"/>
    <col min="12808" max="12813" width="11.5703125" style="45"/>
    <col min="12814" max="12814" width="0" style="45" hidden="1" customWidth="1"/>
    <col min="12815" max="13057" width="11.5703125" style="45"/>
    <col min="13058" max="13058" width="12.42578125" style="45" customWidth="1"/>
    <col min="13059" max="13060" width="11.5703125" style="45"/>
    <col min="13061" max="13061" width="13.42578125" style="45" customWidth="1"/>
    <col min="13062" max="13063" width="12.5703125" style="45" customWidth="1"/>
    <col min="13064" max="13069" width="11.5703125" style="45"/>
    <col min="13070" max="13070" width="0" style="45" hidden="1" customWidth="1"/>
    <col min="13071" max="13313" width="11.5703125" style="45"/>
    <col min="13314" max="13314" width="12.42578125" style="45" customWidth="1"/>
    <col min="13315" max="13316" width="11.5703125" style="45"/>
    <col min="13317" max="13317" width="13.42578125" style="45" customWidth="1"/>
    <col min="13318" max="13319" width="12.5703125" style="45" customWidth="1"/>
    <col min="13320" max="13325" width="11.5703125" style="45"/>
    <col min="13326" max="13326" width="0" style="45" hidden="1" customWidth="1"/>
    <col min="13327" max="13569" width="11.5703125" style="45"/>
    <col min="13570" max="13570" width="12.42578125" style="45" customWidth="1"/>
    <col min="13571" max="13572" width="11.5703125" style="45"/>
    <col min="13573" max="13573" width="13.42578125" style="45" customWidth="1"/>
    <col min="13574" max="13575" width="12.5703125" style="45" customWidth="1"/>
    <col min="13576" max="13581" width="11.5703125" style="45"/>
    <col min="13582" max="13582" width="0" style="45" hidden="1" customWidth="1"/>
    <col min="13583" max="13825" width="11.5703125" style="45"/>
    <col min="13826" max="13826" width="12.42578125" style="45" customWidth="1"/>
    <col min="13827" max="13828" width="11.5703125" style="45"/>
    <col min="13829" max="13829" width="13.42578125" style="45" customWidth="1"/>
    <col min="13830" max="13831" width="12.5703125" style="45" customWidth="1"/>
    <col min="13832" max="13837" width="11.5703125" style="45"/>
    <col min="13838" max="13838" width="0" style="45" hidden="1" customWidth="1"/>
    <col min="13839" max="14081" width="11.5703125" style="45"/>
    <col min="14082" max="14082" width="12.42578125" style="45" customWidth="1"/>
    <col min="14083" max="14084" width="11.5703125" style="45"/>
    <col min="14085" max="14085" width="13.42578125" style="45" customWidth="1"/>
    <col min="14086" max="14087" width="12.5703125" style="45" customWidth="1"/>
    <col min="14088" max="14093" width="11.5703125" style="45"/>
    <col min="14094" max="14094" width="0" style="45" hidden="1" customWidth="1"/>
    <col min="14095" max="14337" width="11.5703125" style="45"/>
    <col min="14338" max="14338" width="12.42578125" style="45" customWidth="1"/>
    <col min="14339" max="14340" width="11.5703125" style="45"/>
    <col min="14341" max="14341" width="13.42578125" style="45" customWidth="1"/>
    <col min="14342" max="14343" width="12.5703125" style="45" customWidth="1"/>
    <col min="14344" max="14349" width="11.5703125" style="45"/>
    <col min="14350" max="14350" width="0" style="45" hidden="1" customWidth="1"/>
    <col min="14351" max="14593" width="11.5703125" style="45"/>
    <col min="14594" max="14594" width="12.42578125" style="45" customWidth="1"/>
    <col min="14595" max="14596" width="11.5703125" style="45"/>
    <col min="14597" max="14597" width="13.42578125" style="45" customWidth="1"/>
    <col min="14598" max="14599" width="12.5703125" style="45" customWidth="1"/>
    <col min="14600" max="14605" width="11.5703125" style="45"/>
    <col min="14606" max="14606" width="0" style="45" hidden="1" customWidth="1"/>
    <col min="14607" max="14849" width="11.5703125" style="45"/>
    <col min="14850" max="14850" width="12.42578125" style="45" customWidth="1"/>
    <col min="14851" max="14852" width="11.5703125" style="45"/>
    <col min="14853" max="14853" width="13.42578125" style="45" customWidth="1"/>
    <col min="14854" max="14855" width="12.5703125" style="45" customWidth="1"/>
    <col min="14856" max="14861" width="11.5703125" style="45"/>
    <col min="14862" max="14862" width="0" style="45" hidden="1" customWidth="1"/>
    <col min="14863" max="15105" width="11.5703125" style="45"/>
    <col min="15106" max="15106" width="12.42578125" style="45" customWidth="1"/>
    <col min="15107" max="15108" width="11.5703125" style="45"/>
    <col min="15109" max="15109" width="13.42578125" style="45" customWidth="1"/>
    <col min="15110" max="15111" width="12.5703125" style="45" customWidth="1"/>
    <col min="15112" max="15117" width="11.5703125" style="45"/>
    <col min="15118" max="15118" width="0" style="45" hidden="1" customWidth="1"/>
    <col min="15119" max="15361" width="11.5703125" style="45"/>
    <col min="15362" max="15362" width="12.42578125" style="45" customWidth="1"/>
    <col min="15363" max="15364" width="11.5703125" style="45"/>
    <col min="15365" max="15365" width="13.42578125" style="45" customWidth="1"/>
    <col min="15366" max="15367" width="12.5703125" style="45" customWidth="1"/>
    <col min="15368" max="15373" width="11.5703125" style="45"/>
    <col min="15374" max="15374" width="0" style="45" hidden="1" customWidth="1"/>
    <col min="15375" max="15617" width="11.5703125" style="45"/>
    <col min="15618" max="15618" width="12.42578125" style="45" customWidth="1"/>
    <col min="15619" max="15620" width="11.5703125" style="45"/>
    <col min="15621" max="15621" width="13.42578125" style="45" customWidth="1"/>
    <col min="15622" max="15623" width="12.5703125" style="45" customWidth="1"/>
    <col min="15624" max="15629" width="11.5703125" style="45"/>
    <col min="15630" max="15630" width="0" style="45" hidden="1" customWidth="1"/>
    <col min="15631" max="15873" width="11.5703125" style="45"/>
    <col min="15874" max="15874" width="12.42578125" style="45" customWidth="1"/>
    <col min="15875" max="15876" width="11.5703125" style="45"/>
    <col min="15877" max="15877" width="13.42578125" style="45" customWidth="1"/>
    <col min="15878" max="15879" width="12.5703125" style="45" customWidth="1"/>
    <col min="15880" max="15885" width="11.5703125" style="45"/>
    <col min="15886" max="15886" width="0" style="45" hidden="1" customWidth="1"/>
    <col min="15887" max="16129" width="11.5703125" style="45"/>
    <col min="16130" max="16130" width="12.42578125" style="45" customWidth="1"/>
    <col min="16131" max="16132" width="11.5703125" style="45"/>
    <col min="16133" max="16133" width="13.42578125" style="45" customWidth="1"/>
    <col min="16134" max="16135" width="12.5703125" style="45" customWidth="1"/>
    <col min="16136" max="16141" width="11.5703125" style="45"/>
    <col min="16142" max="16142" width="0" style="45" hidden="1" customWidth="1"/>
    <col min="16143" max="16384" width="11.5703125" style="45"/>
  </cols>
  <sheetData>
    <row r="1" spans="1:14" s="52" customFormat="1" ht="60.75" thickBot="1" x14ac:dyDescent="0.3">
      <c r="A1" s="57" t="s">
        <v>24</v>
      </c>
      <c r="B1" s="56" t="s">
        <v>23</v>
      </c>
      <c r="C1" s="56" t="s">
        <v>22</v>
      </c>
      <c r="D1" s="55" t="s">
        <v>21</v>
      </c>
      <c r="E1" s="53" t="s">
        <v>20</v>
      </c>
      <c r="F1" s="53" t="s">
        <v>25</v>
      </c>
      <c r="G1" s="53" t="s">
        <v>26</v>
      </c>
      <c r="H1" s="53" t="s">
        <v>37</v>
      </c>
      <c r="I1" s="53" t="s">
        <v>38</v>
      </c>
      <c r="J1" s="54" t="s">
        <v>27</v>
      </c>
      <c r="K1" s="60" t="s">
        <v>29</v>
      </c>
      <c r="L1" s="60" t="s">
        <v>39</v>
      </c>
      <c r="M1" s="60" t="s">
        <v>40</v>
      </c>
      <c r="N1" s="53" t="str">
        <f>[1]Electricity!C5</f>
        <v>OCC unit Apt</v>
      </c>
    </row>
    <row r="2" spans="1:14" x14ac:dyDescent="0.25">
      <c r="A2" s="51" t="s">
        <v>35</v>
      </c>
      <c r="B2" s="48">
        <v>1</v>
      </c>
      <c r="C2" s="48">
        <v>1</v>
      </c>
      <c r="D2" s="48">
        <v>2018</v>
      </c>
      <c r="E2" s="46">
        <f>Electricity!G6</f>
        <v>11600</v>
      </c>
      <c r="F2" s="46">
        <f>+Electricity!E6</f>
        <v>480</v>
      </c>
      <c r="G2" s="46">
        <f>+Electricity!F6</f>
        <v>11120</v>
      </c>
      <c r="H2" s="50">
        <v>1553.67</v>
      </c>
      <c r="I2" s="63" t="s">
        <v>28</v>
      </c>
      <c r="J2" s="114">
        <f>Electricity!L6</f>
        <v>12557962.444799999</v>
      </c>
      <c r="K2" s="46">
        <f>Water!G5</f>
        <v>256</v>
      </c>
      <c r="L2" s="64">
        <v>12550</v>
      </c>
      <c r="M2" s="114">
        <f>L2*K2</f>
        <v>3212800</v>
      </c>
      <c r="N2" s="46">
        <f>Electricity!C6</f>
        <v>163</v>
      </c>
    </row>
    <row r="3" spans="1:14" x14ac:dyDescent="0.25">
      <c r="A3" s="51" t="s">
        <v>35</v>
      </c>
      <c r="B3" s="48">
        <v>2</v>
      </c>
      <c r="C3" s="48">
        <v>1</v>
      </c>
      <c r="D3" s="48">
        <v>2018</v>
      </c>
      <c r="E3" s="46">
        <f>Electricity!G7</f>
        <v>36280</v>
      </c>
      <c r="F3" s="46">
        <f>+Electricity!E7</f>
        <v>8480</v>
      </c>
      <c r="G3" s="46">
        <f>+Electricity!F7</f>
        <v>27800</v>
      </c>
      <c r="H3" s="50">
        <v>1553.67</v>
      </c>
      <c r="I3" s="63" t="s">
        <v>28</v>
      </c>
      <c r="J3" s="114">
        <f>Electricity!L7</f>
        <v>42977080.9344</v>
      </c>
      <c r="K3" s="46">
        <f>Water!G6</f>
        <v>258</v>
      </c>
      <c r="L3" s="64">
        <v>12550</v>
      </c>
      <c r="M3" s="114">
        <f t="shared" ref="M3:M32" si="0">L3*K3</f>
        <v>3237900</v>
      </c>
      <c r="N3" s="46">
        <f>Electricity!C7</f>
        <v>163</v>
      </c>
    </row>
    <row r="4" spans="1:14" x14ac:dyDescent="0.25">
      <c r="A4" s="51" t="s">
        <v>35</v>
      </c>
      <c r="B4" s="48">
        <v>3</v>
      </c>
      <c r="C4" s="48">
        <v>1</v>
      </c>
      <c r="D4" s="48">
        <v>2018</v>
      </c>
      <c r="E4" s="46">
        <f>Electricity!G8</f>
        <v>24600</v>
      </c>
      <c r="F4" s="46">
        <f>+Electricity!E8</f>
        <v>4200</v>
      </c>
      <c r="G4" s="46">
        <f>+Electricity!F8</f>
        <v>20400</v>
      </c>
      <c r="H4" s="50">
        <v>1553.67</v>
      </c>
      <c r="I4" s="63" t="s">
        <v>28</v>
      </c>
      <c r="J4" s="114">
        <f>Electricity!L8</f>
        <v>28319053.824000001</v>
      </c>
      <c r="K4" s="46">
        <f>Water!G7</f>
        <v>283</v>
      </c>
      <c r="L4" s="64">
        <v>12550</v>
      </c>
      <c r="M4" s="114">
        <f t="shared" si="0"/>
        <v>3551650</v>
      </c>
      <c r="N4" s="46">
        <f>Electricity!C8</f>
        <v>163</v>
      </c>
    </row>
    <row r="5" spans="1:14" x14ac:dyDescent="0.25">
      <c r="A5" s="51" t="s">
        <v>35</v>
      </c>
      <c r="B5" s="48">
        <v>4</v>
      </c>
      <c r="C5" s="48">
        <v>1</v>
      </c>
      <c r="D5" s="48">
        <v>2018</v>
      </c>
      <c r="E5" s="46">
        <f>Electricity!G9</f>
        <v>22560</v>
      </c>
      <c r="F5" s="46">
        <f>+Electricity!E9</f>
        <v>4800</v>
      </c>
      <c r="G5" s="46">
        <f>+Electricity!F9</f>
        <v>17760</v>
      </c>
      <c r="H5" s="50">
        <v>1553.67</v>
      </c>
      <c r="I5" s="63" t="s">
        <v>28</v>
      </c>
      <c r="J5" s="114">
        <f>Electricity!L9</f>
        <v>26473542.451200001</v>
      </c>
      <c r="K5" s="46">
        <f>Water!G8</f>
        <v>383</v>
      </c>
      <c r="L5" s="64">
        <v>12550</v>
      </c>
      <c r="M5" s="114">
        <f t="shared" si="0"/>
        <v>4806650</v>
      </c>
      <c r="N5" s="46">
        <f>Electricity!C9</f>
        <v>163</v>
      </c>
    </row>
    <row r="6" spans="1:14" x14ac:dyDescent="0.25">
      <c r="A6" s="51" t="s">
        <v>35</v>
      </c>
      <c r="B6" s="48">
        <v>5</v>
      </c>
      <c r="C6" s="48">
        <v>1</v>
      </c>
      <c r="D6" s="48">
        <v>2018</v>
      </c>
      <c r="E6" s="46">
        <f>Electricity!G10</f>
        <v>25840</v>
      </c>
      <c r="F6" s="46">
        <f>+Electricity!E10</f>
        <v>5120</v>
      </c>
      <c r="G6" s="46">
        <f>+Electricity!F10</f>
        <v>20720</v>
      </c>
      <c r="H6" s="50">
        <v>1553.67</v>
      </c>
      <c r="I6" s="63" t="s">
        <v>28</v>
      </c>
      <c r="J6" s="114">
        <f>Electricity!L10</f>
        <v>30122139.647999994</v>
      </c>
      <c r="K6" s="46">
        <f>Water!G9</f>
        <v>346</v>
      </c>
      <c r="L6" s="64">
        <v>12550</v>
      </c>
      <c r="M6" s="114">
        <f t="shared" si="0"/>
        <v>4342300</v>
      </c>
      <c r="N6" s="46">
        <f>Electricity!C10</f>
        <v>163</v>
      </c>
    </row>
    <row r="7" spans="1:14" x14ac:dyDescent="0.25">
      <c r="A7" s="51" t="s">
        <v>35</v>
      </c>
      <c r="B7" s="48">
        <v>6</v>
      </c>
      <c r="C7" s="48">
        <v>1</v>
      </c>
      <c r="D7" s="48">
        <v>2018</v>
      </c>
      <c r="E7" s="46">
        <f>Electricity!G11</f>
        <v>24680</v>
      </c>
      <c r="F7" s="46">
        <f>+Electricity!E11</f>
        <v>4680</v>
      </c>
      <c r="G7" s="46">
        <f>+Electricity!F11</f>
        <v>20000</v>
      </c>
      <c r="H7" s="50">
        <v>1553.67</v>
      </c>
      <c r="I7" s="63" t="s">
        <v>28</v>
      </c>
      <c r="J7" s="114">
        <f>Electricity!L11</f>
        <v>28658458.214400001</v>
      </c>
      <c r="K7" s="46">
        <f>Water!G10</f>
        <v>233</v>
      </c>
      <c r="L7" s="64">
        <v>12550</v>
      </c>
      <c r="M7" s="114">
        <f t="shared" si="0"/>
        <v>2924150</v>
      </c>
      <c r="N7" s="46">
        <f>Electricity!C11</f>
        <v>163</v>
      </c>
    </row>
    <row r="8" spans="1:14" x14ac:dyDescent="0.25">
      <c r="A8" s="51" t="s">
        <v>35</v>
      </c>
      <c r="B8" s="48">
        <v>7</v>
      </c>
      <c r="C8" s="48">
        <v>1</v>
      </c>
      <c r="D8" s="48">
        <v>2018</v>
      </c>
      <c r="E8" s="46">
        <f>Electricity!G12</f>
        <v>24680</v>
      </c>
      <c r="F8" s="46">
        <f>+Electricity!E12</f>
        <v>4600</v>
      </c>
      <c r="G8" s="46">
        <f>+Electricity!F12</f>
        <v>20080</v>
      </c>
      <c r="H8" s="50">
        <v>1553.67</v>
      </c>
      <c r="I8" s="63" t="s">
        <v>28</v>
      </c>
      <c r="J8" s="114">
        <f>Electricity!L12</f>
        <v>28616032.665599998</v>
      </c>
      <c r="K8" s="46">
        <f>Water!G11</f>
        <v>292</v>
      </c>
      <c r="L8" s="64">
        <v>12550</v>
      </c>
      <c r="M8" s="114">
        <f t="shared" si="0"/>
        <v>3664600</v>
      </c>
      <c r="N8" s="46">
        <f>Electricity!C12</f>
        <v>163</v>
      </c>
    </row>
    <row r="9" spans="1:14" x14ac:dyDescent="0.25">
      <c r="A9" s="51" t="s">
        <v>35</v>
      </c>
      <c r="B9" s="48">
        <v>8</v>
      </c>
      <c r="C9" s="48">
        <v>1</v>
      </c>
      <c r="D9" s="48">
        <v>2018</v>
      </c>
      <c r="E9" s="46">
        <f>Electricity!G13</f>
        <v>10280</v>
      </c>
      <c r="F9" s="46">
        <f>+Electricity!E13</f>
        <v>5200</v>
      </c>
      <c r="G9" s="46">
        <f>+Electricity!F13</f>
        <v>5080</v>
      </c>
      <c r="H9" s="50">
        <v>1553.67</v>
      </c>
      <c r="I9" s="63" t="s">
        <v>28</v>
      </c>
      <c r="J9" s="114">
        <f>Electricity!L13</f>
        <v>13661026.713599999</v>
      </c>
      <c r="K9" s="46">
        <f>Water!G12</f>
        <v>383</v>
      </c>
      <c r="L9" s="64">
        <v>12550</v>
      </c>
      <c r="M9" s="114">
        <f t="shared" si="0"/>
        <v>4806650</v>
      </c>
      <c r="N9" s="46">
        <f>Electricity!C13</f>
        <v>163</v>
      </c>
    </row>
    <row r="10" spans="1:14" x14ac:dyDescent="0.25">
      <c r="A10" s="51" t="s">
        <v>35</v>
      </c>
      <c r="B10" s="48">
        <v>9</v>
      </c>
      <c r="C10" s="48">
        <v>1</v>
      </c>
      <c r="D10" s="48">
        <v>2018</v>
      </c>
      <c r="E10" s="46">
        <f>Electricity!G14</f>
        <v>42560</v>
      </c>
      <c r="F10" s="46">
        <f>+Electricity!E14</f>
        <v>5120</v>
      </c>
      <c r="G10" s="46">
        <f>+Electricity!F14</f>
        <v>37440</v>
      </c>
      <c r="H10" s="50">
        <v>1553.67</v>
      </c>
      <c r="I10" s="63" t="s">
        <v>28</v>
      </c>
      <c r="J10" s="114">
        <f>Electricity!L14</f>
        <v>47856019.046399996</v>
      </c>
      <c r="K10" s="46">
        <f>Water!G13</f>
        <v>276</v>
      </c>
      <c r="L10" s="64">
        <v>12550</v>
      </c>
      <c r="M10" s="114">
        <f t="shared" si="0"/>
        <v>3463800</v>
      </c>
      <c r="N10" s="46">
        <f>Electricity!C14</f>
        <v>163</v>
      </c>
    </row>
    <row r="11" spans="1:14" x14ac:dyDescent="0.25">
      <c r="A11" s="51" t="s">
        <v>35</v>
      </c>
      <c r="B11" s="48">
        <v>10</v>
      </c>
      <c r="C11" s="48">
        <v>1</v>
      </c>
      <c r="D11" s="48">
        <v>2018</v>
      </c>
      <c r="E11" s="46">
        <f>Electricity!G15</f>
        <v>26400</v>
      </c>
      <c r="F11" s="46">
        <f>+Electricity!E15</f>
        <v>4520</v>
      </c>
      <c r="G11" s="46">
        <f>+Electricity!F15</f>
        <v>21880</v>
      </c>
      <c r="H11" s="50">
        <v>1553.67</v>
      </c>
      <c r="I11" s="63" t="s">
        <v>28</v>
      </c>
      <c r="J11" s="114">
        <f>Electricity!L15</f>
        <v>30397905.715199996</v>
      </c>
      <c r="K11" s="46">
        <f>Water!G14</f>
        <v>383</v>
      </c>
      <c r="L11" s="64">
        <v>12550</v>
      </c>
      <c r="M11" s="114">
        <f t="shared" si="0"/>
        <v>4806650</v>
      </c>
      <c r="N11" s="46">
        <f>Electricity!C15</f>
        <v>163</v>
      </c>
    </row>
    <row r="12" spans="1:14" x14ac:dyDescent="0.25">
      <c r="A12" s="51" t="s">
        <v>35</v>
      </c>
      <c r="B12" s="48">
        <v>11</v>
      </c>
      <c r="C12" s="48">
        <v>1</v>
      </c>
      <c r="D12" s="48">
        <v>2018</v>
      </c>
      <c r="E12" s="46">
        <f>Electricity!G16</f>
        <v>27440</v>
      </c>
      <c r="F12" s="46">
        <f>+Electricity!E16</f>
        <v>5800</v>
      </c>
      <c r="G12" s="46">
        <f>+Electricity!F16</f>
        <v>21640</v>
      </c>
      <c r="H12" s="50">
        <v>1553.67</v>
      </c>
      <c r="I12" s="63" t="s">
        <v>28</v>
      </c>
      <c r="J12" s="114">
        <f>Electricity!L16</f>
        <v>32179778.764800001</v>
      </c>
      <c r="K12" s="46">
        <f>Water!G15</f>
        <v>279</v>
      </c>
      <c r="L12" s="64">
        <v>12550</v>
      </c>
      <c r="M12" s="114">
        <f t="shared" si="0"/>
        <v>3501450</v>
      </c>
      <c r="N12" s="46">
        <f>Electricity!C16</f>
        <v>163</v>
      </c>
    </row>
    <row r="13" spans="1:14" x14ac:dyDescent="0.25">
      <c r="A13" s="51" t="s">
        <v>35</v>
      </c>
      <c r="B13" s="48">
        <v>12</v>
      </c>
      <c r="C13" s="48">
        <v>1</v>
      </c>
      <c r="D13" s="48">
        <v>2018</v>
      </c>
      <c r="E13" s="46">
        <f>Electricity!G17</f>
        <v>25560</v>
      </c>
      <c r="F13" s="46">
        <f>+Electricity!E17</f>
        <v>4200</v>
      </c>
      <c r="G13" s="46">
        <f>+Electricity!F17</f>
        <v>21360</v>
      </c>
      <c r="H13" s="50">
        <v>1553.67</v>
      </c>
      <c r="I13" s="63" t="s">
        <v>28</v>
      </c>
      <c r="J13" s="114">
        <f>Electricity!L17</f>
        <v>29337266.995200001</v>
      </c>
      <c r="K13" s="46">
        <f>Water!G16</f>
        <v>327</v>
      </c>
      <c r="L13" s="64">
        <v>12550</v>
      </c>
      <c r="M13" s="114">
        <f t="shared" si="0"/>
        <v>4103850</v>
      </c>
      <c r="N13" s="46">
        <f>Electricity!C17</f>
        <v>163</v>
      </c>
    </row>
    <row r="14" spans="1:14" x14ac:dyDescent="0.25">
      <c r="A14" s="51" t="s">
        <v>35</v>
      </c>
      <c r="B14" s="48">
        <v>13</v>
      </c>
      <c r="C14" s="48">
        <v>1</v>
      </c>
      <c r="D14" s="48">
        <v>2018</v>
      </c>
      <c r="E14" s="46">
        <f>Electricity!G18</f>
        <v>26280</v>
      </c>
      <c r="F14" s="46">
        <f>+Electricity!E18</f>
        <v>4880</v>
      </c>
      <c r="G14" s="46">
        <f>+Electricity!F18</f>
        <v>21400</v>
      </c>
      <c r="H14" s="50">
        <v>1553.67</v>
      </c>
      <c r="I14" s="63" t="s">
        <v>28</v>
      </c>
      <c r="J14" s="114">
        <f>Electricity!L18</f>
        <v>30461544.038400002</v>
      </c>
      <c r="K14" s="46">
        <f>Water!G17</f>
        <v>264</v>
      </c>
      <c r="L14" s="64">
        <v>12550</v>
      </c>
      <c r="M14" s="114">
        <f t="shared" si="0"/>
        <v>3313200</v>
      </c>
      <c r="N14" s="46">
        <f>Electricity!C18</f>
        <v>163</v>
      </c>
    </row>
    <row r="15" spans="1:14" x14ac:dyDescent="0.25">
      <c r="A15" s="51" t="s">
        <v>35</v>
      </c>
      <c r="B15" s="48">
        <v>14</v>
      </c>
      <c r="C15" s="48">
        <v>1</v>
      </c>
      <c r="D15" s="48">
        <v>2018</v>
      </c>
      <c r="E15" s="46">
        <f>Electricity!G19</f>
        <v>25840</v>
      </c>
      <c r="F15" s="46">
        <f>+Electricity!E19</f>
        <v>4600</v>
      </c>
      <c r="G15" s="46">
        <f>+Electricity!F19</f>
        <v>21240</v>
      </c>
      <c r="H15" s="50">
        <v>1553.67</v>
      </c>
      <c r="I15" s="63" t="s">
        <v>28</v>
      </c>
      <c r="J15" s="114">
        <f>Electricity!L19</f>
        <v>29846373.580800001</v>
      </c>
      <c r="K15" s="46">
        <f>Water!G18</f>
        <v>302</v>
      </c>
      <c r="L15" s="64">
        <v>12550</v>
      </c>
      <c r="M15" s="114">
        <f t="shared" si="0"/>
        <v>3790100</v>
      </c>
      <c r="N15" s="46">
        <f>Electricity!C19</f>
        <v>163</v>
      </c>
    </row>
    <row r="16" spans="1:14" x14ac:dyDescent="0.25">
      <c r="A16" s="51" t="s">
        <v>35</v>
      </c>
      <c r="B16" s="48">
        <v>15</v>
      </c>
      <c r="C16" s="48">
        <v>1</v>
      </c>
      <c r="D16" s="48">
        <v>2018</v>
      </c>
      <c r="E16" s="46">
        <f>Electricity!G20</f>
        <v>25680</v>
      </c>
      <c r="F16" s="46">
        <f>+Electricity!E20</f>
        <v>4920</v>
      </c>
      <c r="G16" s="46">
        <f>+Electricity!F20</f>
        <v>20760</v>
      </c>
      <c r="H16" s="50">
        <v>1553.67</v>
      </c>
      <c r="I16" s="63" t="s">
        <v>28</v>
      </c>
      <c r="J16" s="114">
        <f>Electricity!L20</f>
        <v>29846373.580800001</v>
      </c>
      <c r="K16" s="46">
        <f>Water!G19</f>
        <v>269</v>
      </c>
      <c r="L16" s="64">
        <v>12550</v>
      </c>
      <c r="M16" s="114">
        <f t="shared" si="0"/>
        <v>3375950</v>
      </c>
      <c r="N16" s="46">
        <f>Electricity!C20</f>
        <v>163</v>
      </c>
    </row>
    <row r="17" spans="1:14" x14ac:dyDescent="0.25">
      <c r="A17" s="51" t="s">
        <v>35</v>
      </c>
      <c r="B17" s="48">
        <v>16</v>
      </c>
      <c r="C17" s="48">
        <v>1</v>
      </c>
      <c r="D17" s="48">
        <v>2018</v>
      </c>
      <c r="E17" s="46">
        <f>Electricity!G21</f>
        <v>23640</v>
      </c>
      <c r="F17" s="46">
        <f>+Electricity!E21</f>
        <v>5440</v>
      </c>
      <c r="G17" s="46">
        <f>+Electricity!F21</f>
        <v>18200</v>
      </c>
      <c r="H17" s="50">
        <v>1553.67</v>
      </c>
      <c r="I17" s="63" t="s">
        <v>28</v>
      </c>
      <c r="J17" s="114">
        <f>Electricity!L21</f>
        <v>27958436.659199998</v>
      </c>
      <c r="K17" s="46">
        <f>Water!G20</f>
        <v>391</v>
      </c>
      <c r="L17" s="64">
        <v>12550</v>
      </c>
      <c r="M17" s="114">
        <f t="shared" si="0"/>
        <v>4907050</v>
      </c>
      <c r="N17" s="46">
        <f>Electricity!C21</f>
        <v>163</v>
      </c>
    </row>
    <row r="18" spans="1:14" x14ac:dyDescent="0.25">
      <c r="A18" s="51" t="s">
        <v>35</v>
      </c>
      <c r="B18" s="48">
        <v>17</v>
      </c>
      <c r="C18" s="48">
        <v>1</v>
      </c>
      <c r="D18" s="48">
        <v>2018</v>
      </c>
      <c r="E18" s="46">
        <f>Electricity!G22</f>
        <v>27200</v>
      </c>
      <c r="F18" s="46">
        <f>+Electricity!E22</f>
        <v>5280</v>
      </c>
      <c r="G18" s="46">
        <f>+Electricity!F22</f>
        <v>21920</v>
      </c>
      <c r="H18" s="50">
        <v>1553.67</v>
      </c>
      <c r="I18" s="63" t="s">
        <v>28</v>
      </c>
      <c r="J18" s="114">
        <f>Electricity!L22</f>
        <v>31649459.404799994</v>
      </c>
      <c r="K18" s="46">
        <f>Water!G21</f>
        <v>358</v>
      </c>
      <c r="L18" s="64">
        <v>12550</v>
      </c>
      <c r="M18" s="114">
        <f t="shared" si="0"/>
        <v>4492900</v>
      </c>
      <c r="N18" s="46">
        <f>Electricity!C22</f>
        <v>163</v>
      </c>
    </row>
    <row r="19" spans="1:14" x14ac:dyDescent="0.25">
      <c r="A19" s="51" t="s">
        <v>35</v>
      </c>
      <c r="B19" s="48">
        <v>18</v>
      </c>
      <c r="C19" s="48">
        <v>1</v>
      </c>
      <c r="D19" s="48">
        <v>2018</v>
      </c>
      <c r="E19" s="46">
        <f>Electricity!G23</f>
        <v>27520</v>
      </c>
      <c r="F19" s="46">
        <f>+Electricity!E23</f>
        <v>5200</v>
      </c>
      <c r="G19" s="46">
        <f>+Electricity!F23</f>
        <v>22320</v>
      </c>
      <c r="H19" s="50">
        <v>1553.67</v>
      </c>
      <c r="I19" s="63" t="s">
        <v>28</v>
      </c>
      <c r="J19" s="114">
        <f>Electricity!L23</f>
        <v>31946438.246399999</v>
      </c>
      <c r="K19" s="46">
        <f>Water!G22</f>
        <v>352</v>
      </c>
      <c r="L19" s="64">
        <v>12550</v>
      </c>
      <c r="M19" s="114">
        <f t="shared" si="0"/>
        <v>4417600</v>
      </c>
      <c r="N19" s="46">
        <f>Electricity!C23</f>
        <v>163</v>
      </c>
    </row>
    <row r="20" spans="1:14" x14ac:dyDescent="0.25">
      <c r="A20" s="51" t="s">
        <v>35</v>
      </c>
      <c r="B20" s="48">
        <v>19</v>
      </c>
      <c r="C20" s="48">
        <v>1</v>
      </c>
      <c r="D20" s="48">
        <v>2018</v>
      </c>
      <c r="E20" s="46">
        <f>Electricity!G24</f>
        <v>23360</v>
      </c>
      <c r="F20" s="46">
        <f>+Electricity!E24</f>
        <v>3440</v>
      </c>
      <c r="G20" s="46">
        <f>+Electricity!F24</f>
        <v>19920</v>
      </c>
      <c r="H20" s="50">
        <v>1553.67</v>
      </c>
      <c r="I20" s="63" t="s">
        <v>28</v>
      </c>
      <c r="J20" s="114">
        <f>Electricity!L24</f>
        <v>26600819.097599998</v>
      </c>
      <c r="K20" s="46">
        <f>Water!G23</f>
        <v>299</v>
      </c>
      <c r="L20" s="64">
        <v>12550</v>
      </c>
      <c r="M20" s="114">
        <f t="shared" si="0"/>
        <v>3752450</v>
      </c>
      <c r="N20" s="46">
        <f>Electricity!C24</f>
        <v>163</v>
      </c>
    </row>
    <row r="21" spans="1:14" x14ac:dyDescent="0.25">
      <c r="A21" s="51" t="s">
        <v>35</v>
      </c>
      <c r="B21" s="48">
        <v>20</v>
      </c>
      <c r="C21" s="48">
        <v>1</v>
      </c>
      <c r="D21" s="48">
        <v>2018</v>
      </c>
      <c r="E21" s="46">
        <f>Electricity!G25</f>
        <v>28600</v>
      </c>
      <c r="F21" s="46">
        <f>+Electricity!E25</f>
        <v>4520</v>
      </c>
      <c r="G21" s="46">
        <f>+Electricity!F25</f>
        <v>24080</v>
      </c>
      <c r="H21" s="50">
        <v>1553.67</v>
      </c>
      <c r="I21" s="63" t="s">
        <v>28</v>
      </c>
      <c r="J21" s="114">
        <f>Electricity!L25</f>
        <v>32731310.899199996</v>
      </c>
      <c r="K21" s="46">
        <f>Water!G24</f>
        <v>249</v>
      </c>
      <c r="L21" s="64">
        <v>12550</v>
      </c>
      <c r="M21" s="114">
        <f t="shared" si="0"/>
        <v>3124950</v>
      </c>
      <c r="N21" s="46">
        <f>Electricity!C25</f>
        <v>163</v>
      </c>
    </row>
    <row r="22" spans="1:14" x14ac:dyDescent="0.25">
      <c r="A22" s="51" t="s">
        <v>35</v>
      </c>
      <c r="B22" s="48">
        <v>21</v>
      </c>
      <c r="C22" s="48">
        <v>1</v>
      </c>
      <c r="D22" s="48">
        <v>2018</v>
      </c>
      <c r="E22" s="46">
        <f>Electricity!G26</f>
        <v>20520</v>
      </c>
      <c r="F22" s="46">
        <f>+Electricity!E26</f>
        <v>4760</v>
      </c>
      <c r="G22" s="46">
        <f>+Electricity!F26</f>
        <v>15760</v>
      </c>
      <c r="H22" s="50">
        <v>1553.67</v>
      </c>
      <c r="I22" s="63" t="s">
        <v>28</v>
      </c>
      <c r="J22" s="114">
        <f>Electricity!L26</f>
        <v>24288626.688000001</v>
      </c>
      <c r="K22" s="46">
        <f>Water!G25</f>
        <v>380</v>
      </c>
      <c r="L22" s="64">
        <v>12550</v>
      </c>
      <c r="M22" s="114">
        <f t="shared" si="0"/>
        <v>4769000</v>
      </c>
      <c r="N22" s="46">
        <f>Electricity!C26</f>
        <v>163</v>
      </c>
    </row>
    <row r="23" spans="1:14" x14ac:dyDescent="0.25">
      <c r="A23" s="51" t="s">
        <v>35</v>
      </c>
      <c r="B23" s="48">
        <v>22</v>
      </c>
      <c r="C23" s="48">
        <v>1</v>
      </c>
      <c r="D23" s="48">
        <v>2018</v>
      </c>
      <c r="E23" s="46">
        <f>Electricity!G27</f>
        <v>25400</v>
      </c>
      <c r="F23" s="46">
        <f>+Electricity!E27</f>
        <v>4720</v>
      </c>
      <c r="G23" s="46">
        <f>+Electricity!F27</f>
        <v>20680</v>
      </c>
      <c r="H23" s="50">
        <v>1553.67</v>
      </c>
      <c r="I23" s="63" t="s">
        <v>28</v>
      </c>
      <c r="J23" s="114">
        <f>Electricity!L27</f>
        <v>29443330.867199998</v>
      </c>
      <c r="K23" s="46">
        <f>Water!G26</f>
        <v>491</v>
      </c>
      <c r="L23" s="64">
        <v>12550</v>
      </c>
      <c r="M23" s="114">
        <f t="shared" si="0"/>
        <v>6162050</v>
      </c>
      <c r="N23" s="46">
        <f>Electricity!C27</f>
        <v>163</v>
      </c>
    </row>
    <row r="24" spans="1:14" x14ac:dyDescent="0.25">
      <c r="A24" s="51" t="s">
        <v>35</v>
      </c>
      <c r="B24" s="48">
        <v>23</v>
      </c>
      <c r="C24" s="48">
        <v>1</v>
      </c>
      <c r="D24" s="48">
        <v>2018</v>
      </c>
      <c r="E24" s="46">
        <f>Electricity!G28</f>
        <v>25680</v>
      </c>
      <c r="F24" s="46">
        <f>+Electricity!E28</f>
        <v>5000</v>
      </c>
      <c r="G24" s="46">
        <f>+Electricity!F28</f>
        <v>20680</v>
      </c>
      <c r="H24" s="50">
        <v>1553.67</v>
      </c>
      <c r="I24" s="63" t="s">
        <v>28</v>
      </c>
      <c r="J24" s="114">
        <f>Electricity!L28</f>
        <v>29888799.1296</v>
      </c>
      <c r="K24" s="46">
        <f>Water!G27</f>
        <v>341</v>
      </c>
      <c r="L24" s="64">
        <v>12550</v>
      </c>
      <c r="M24" s="114">
        <f t="shared" si="0"/>
        <v>4279550</v>
      </c>
      <c r="N24" s="46">
        <f>Electricity!C28</f>
        <v>163</v>
      </c>
    </row>
    <row r="25" spans="1:14" x14ac:dyDescent="0.25">
      <c r="A25" s="51" t="s">
        <v>35</v>
      </c>
      <c r="B25" s="48">
        <v>24</v>
      </c>
      <c r="C25" s="48">
        <v>1</v>
      </c>
      <c r="D25" s="48">
        <v>2018</v>
      </c>
      <c r="E25" s="46">
        <f>Electricity!G29</f>
        <v>26160</v>
      </c>
      <c r="F25" s="46">
        <f>+Electricity!E29</f>
        <v>4840</v>
      </c>
      <c r="G25" s="46">
        <f>+Electricity!F29</f>
        <v>21320</v>
      </c>
      <c r="H25" s="50">
        <v>1553.67</v>
      </c>
      <c r="I25" s="63" t="s">
        <v>28</v>
      </c>
      <c r="J25" s="114">
        <f>Electricity!L29</f>
        <v>30313054.617599998</v>
      </c>
      <c r="K25" s="46">
        <f>Water!G28</f>
        <v>294</v>
      </c>
      <c r="L25" s="64">
        <v>12550</v>
      </c>
      <c r="M25" s="114">
        <f t="shared" si="0"/>
        <v>3689700</v>
      </c>
      <c r="N25" s="46">
        <f>Electricity!C29</f>
        <v>163</v>
      </c>
    </row>
    <row r="26" spans="1:14" x14ac:dyDescent="0.25">
      <c r="A26" s="51" t="s">
        <v>35</v>
      </c>
      <c r="B26" s="48">
        <v>25</v>
      </c>
      <c r="C26" s="48">
        <v>1</v>
      </c>
      <c r="D26" s="48">
        <v>2018</v>
      </c>
      <c r="E26" s="46">
        <f>Electricity!G30</f>
        <v>25760</v>
      </c>
      <c r="F26" s="46">
        <f>+Electricity!E30</f>
        <v>4840</v>
      </c>
      <c r="G26" s="46">
        <f>+Electricity!F30</f>
        <v>20920</v>
      </c>
      <c r="H26" s="50">
        <v>1553.67</v>
      </c>
      <c r="I26" s="63" t="s">
        <v>28</v>
      </c>
      <c r="J26" s="114">
        <f>Electricity!L30</f>
        <v>29888799.1296</v>
      </c>
      <c r="K26" s="46">
        <f>Water!G29</f>
        <v>245</v>
      </c>
      <c r="L26" s="64">
        <v>12550</v>
      </c>
      <c r="M26" s="114">
        <f t="shared" si="0"/>
        <v>3074750</v>
      </c>
      <c r="N26" s="46">
        <f>Electricity!C30</f>
        <v>163</v>
      </c>
    </row>
    <row r="27" spans="1:14" x14ac:dyDescent="0.25">
      <c r="A27" s="51" t="s">
        <v>35</v>
      </c>
      <c r="B27" s="48">
        <v>26</v>
      </c>
      <c r="C27" s="48">
        <v>1</v>
      </c>
      <c r="D27" s="48">
        <v>2018</v>
      </c>
      <c r="E27" s="46">
        <f>Electricity!G31</f>
        <v>25440</v>
      </c>
      <c r="F27" s="46">
        <f>+Electricity!E31</f>
        <v>4640</v>
      </c>
      <c r="G27" s="46">
        <f>+Electricity!F31</f>
        <v>20800</v>
      </c>
      <c r="H27" s="50">
        <v>1553.67</v>
      </c>
      <c r="I27" s="63" t="s">
        <v>28</v>
      </c>
      <c r="J27" s="114">
        <f>Electricity!L31</f>
        <v>29443330.867200002</v>
      </c>
      <c r="K27" s="46">
        <f>Water!G30</f>
        <v>458</v>
      </c>
      <c r="L27" s="64">
        <v>12550</v>
      </c>
      <c r="M27" s="114">
        <f t="shared" si="0"/>
        <v>5747900</v>
      </c>
      <c r="N27" s="46">
        <f>Electricity!C31</f>
        <v>163</v>
      </c>
    </row>
    <row r="28" spans="1:14" x14ac:dyDescent="0.25">
      <c r="A28" s="51" t="s">
        <v>35</v>
      </c>
      <c r="B28" s="48">
        <v>27</v>
      </c>
      <c r="C28" s="48">
        <v>1</v>
      </c>
      <c r="D28" s="48">
        <v>2018</v>
      </c>
      <c r="E28" s="46">
        <f>Electricity!G32</f>
        <v>24600</v>
      </c>
      <c r="F28" s="46">
        <f>+Electricity!E32</f>
        <v>4520</v>
      </c>
      <c r="G28" s="46">
        <f>+Electricity!F32</f>
        <v>20080</v>
      </c>
      <c r="H28" s="50">
        <v>1553.67</v>
      </c>
      <c r="I28" s="63" t="s">
        <v>28</v>
      </c>
      <c r="J28" s="114">
        <f>Electricity!L32</f>
        <v>28488756.019199997</v>
      </c>
      <c r="K28" s="46">
        <f>Water!G31</f>
        <v>283</v>
      </c>
      <c r="L28" s="64">
        <v>12550</v>
      </c>
      <c r="M28" s="114">
        <f t="shared" si="0"/>
        <v>3551650</v>
      </c>
      <c r="N28" s="46">
        <f>Electricity!C32</f>
        <v>163</v>
      </c>
    </row>
    <row r="29" spans="1:14" x14ac:dyDescent="0.25">
      <c r="A29" s="51" t="s">
        <v>35</v>
      </c>
      <c r="B29" s="48">
        <v>28</v>
      </c>
      <c r="C29" s="48">
        <v>1</v>
      </c>
      <c r="D29" s="48">
        <v>2018</v>
      </c>
      <c r="E29" s="46">
        <f>Electricity!G33</f>
        <v>24720</v>
      </c>
      <c r="F29" s="46">
        <f>+Electricity!E33</f>
        <v>4720</v>
      </c>
      <c r="G29" s="46">
        <f>+Electricity!F33</f>
        <v>20000</v>
      </c>
      <c r="H29" s="50">
        <v>1553.67</v>
      </c>
      <c r="I29" s="63" t="s">
        <v>28</v>
      </c>
      <c r="J29" s="114">
        <f>Electricity!L33</f>
        <v>28722096.537599999</v>
      </c>
      <c r="K29" s="46">
        <f>Water!G32</f>
        <v>467</v>
      </c>
      <c r="L29" s="64">
        <v>12550</v>
      </c>
      <c r="M29" s="114">
        <f t="shared" si="0"/>
        <v>5860850</v>
      </c>
      <c r="N29" s="46">
        <f>Electricity!C33</f>
        <v>163</v>
      </c>
    </row>
    <row r="30" spans="1:14" x14ac:dyDescent="0.25">
      <c r="A30" s="51" t="s">
        <v>35</v>
      </c>
      <c r="B30" s="48">
        <v>29</v>
      </c>
      <c r="C30" s="48">
        <v>1</v>
      </c>
      <c r="D30" s="48">
        <v>2018</v>
      </c>
      <c r="E30" s="46">
        <f>Electricity!G34</f>
        <v>24640</v>
      </c>
      <c r="F30" s="46">
        <f>+Electricity!E34</f>
        <v>4400</v>
      </c>
      <c r="G30" s="46">
        <f>+Electricity!F34</f>
        <v>20240</v>
      </c>
      <c r="H30" s="50">
        <v>1553.67</v>
      </c>
      <c r="I30" s="63" t="s">
        <v>28</v>
      </c>
      <c r="J30" s="114">
        <f>Electricity!L34</f>
        <v>28467543.244799998</v>
      </c>
      <c r="K30" s="46">
        <f>Water!G33</f>
        <v>125</v>
      </c>
      <c r="L30" s="64">
        <v>12550</v>
      </c>
      <c r="M30" s="114">
        <f t="shared" si="0"/>
        <v>1568750</v>
      </c>
      <c r="N30" s="46">
        <f>Electricity!C34</f>
        <v>163</v>
      </c>
    </row>
    <row r="31" spans="1:14" x14ac:dyDescent="0.25">
      <c r="A31" s="51" t="s">
        <v>35</v>
      </c>
      <c r="B31" s="48">
        <v>30</v>
      </c>
      <c r="C31" s="48">
        <v>1</v>
      </c>
      <c r="D31" s="48">
        <v>2018</v>
      </c>
      <c r="E31" s="46">
        <f>Electricity!G35</f>
        <v>25360</v>
      </c>
      <c r="F31" s="46">
        <f>+Electricity!E35</f>
        <v>4680</v>
      </c>
      <c r="G31" s="46">
        <f>+Electricity!F35</f>
        <v>20680</v>
      </c>
      <c r="H31" s="50">
        <v>1553.67</v>
      </c>
      <c r="I31" s="63" t="s">
        <v>28</v>
      </c>
      <c r="J31" s="114">
        <f>Electricity!L35</f>
        <v>29379692.544</v>
      </c>
      <c r="K31" s="46">
        <f>Water!G34</f>
        <v>559</v>
      </c>
      <c r="L31" s="64">
        <v>12550</v>
      </c>
      <c r="M31" s="114">
        <f t="shared" si="0"/>
        <v>7015450</v>
      </c>
      <c r="N31" s="46">
        <f>Electricity!C35</f>
        <v>163</v>
      </c>
    </row>
    <row r="32" spans="1:14" x14ac:dyDescent="0.25">
      <c r="A32" s="51" t="s">
        <v>35</v>
      </c>
      <c r="B32" s="48">
        <v>31</v>
      </c>
      <c r="C32" s="48">
        <v>1</v>
      </c>
      <c r="D32" s="48">
        <v>2018</v>
      </c>
      <c r="E32" s="46">
        <f>Electricity!G36</f>
        <v>25000</v>
      </c>
      <c r="F32" s="46">
        <f>+Electricity!E36</f>
        <v>4400</v>
      </c>
      <c r="G32" s="46">
        <f>+Electricity!F36</f>
        <v>20600</v>
      </c>
      <c r="H32" s="50">
        <v>1553.67</v>
      </c>
      <c r="I32" s="63" t="s">
        <v>28</v>
      </c>
      <c r="J32" s="114">
        <f>Electricity!L36</f>
        <v>28849373.184</v>
      </c>
      <c r="K32" s="46">
        <f>Water!G35</f>
        <v>366</v>
      </c>
      <c r="L32" s="64">
        <v>12550</v>
      </c>
      <c r="M32" s="114">
        <f t="shared" si="0"/>
        <v>4593300</v>
      </c>
      <c r="N32" s="46">
        <f>Electricity!C36</f>
        <v>163</v>
      </c>
    </row>
    <row r="33" spans="1:14" s="46" customFormat="1" x14ac:dyDescent="0.25">
      <c r="A33" s="47"/>
      <c r="B33" s="49"/>
      <c r="C33" s="49"/>
      <c r="D33" s="48"/>
      <c r="I33" s="50"/>
      <c r="J33" s="50"/>
      <c r="K33" s="50"/>
      <c r="L33" s="50"/>
      <c r="M33" s="50"/>
      <c r="N33" s="50"/>
    </row>
    <row r="34" spans="1:14" s="46" customFormat="1" x14ac:dyDescent="0.25">
      <c r="A34" s="47"/>
      <c r="B34" s="49"/>
      <c r="C34" s="49"/>
      <c r="D34" s="48"/>
      <c r="I34" s="50"/>
      <c r="J34" s="50"/>
      <c r="K34" s="50"/>
      <c r="L34" s="50"/>
      <c r="M34" s="50"/>
    </row>
    <row r="35" spans="1:14" s="46" customFormat="1" x14ac:dyDescent="0.25">
      <c r="A35" s="47"/>
      <c r="B35" s="49"/>
      <c r="C35" s="49"/>
      <c r="D35" s="48"/>
      <c r="I35" s="50"/>
      <c r="J35" s="50"/>
      <c r="K35" s="50"/>
      <c r="L35" s="50"/>
      <c r="M35" s="50"/>
    </row>
    <row r="36" spans="1:14" s="46" customFormat="1" x14ac:dyDescent="0.25">
      <c r="A36" s="47"/>
      <c r="B36" s="49"/>
      <c r="C36" s="49"/>
      <c r="D36" s="48"/>
      <c r="I36" s="50"/>
      <c r="J36" s="50"/>
      <c r="K36" s="50"/>
      <c r="L36" s="50"/>
      <c r="M36" s="50"/>
    </row>
    <row r="37" spans="1:14" s="46" customFormat="1" x14ac:dyDescent="0.25">
      <c r="A37" s="47"/>
      <c r="B37" s="49"/>
      <c r="C37" s="49"/>
      <c r="D37" s="48"/>
      <c r="I37" s="50"/>
      <c r="J37" s="50"/>
      <c r="K37" s="50"/>
      <c r="L37" s="50"/>
      <c r="M37" s="50"/>
    </row>
    <row r="38" spans="1:14" s="46" customFormat="1" x14ac:dyDescent="0.25">
      <c r="A38" s="47"/>
      <c r="B38" s="49"/>
      <c r="C38" s="49"/>
      <c r="D38" s="48"/>
      <c r="I38" s="50"/>
      <c r="J38" s="50"/>
      <c r="K38" s="50"/>
      <c r="L38" s="50"/>
      <c r="M38" s="5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55"/>
  <sheetViews>
    <sheetView tabSelected="1" view="pageBreakPreview" zoomScale="80" zoomScaleNormal="80" zoomScaleSheetLayoutView="80" workbookViewId="0">
      <pane ySplit="4" topLeftCell="A5" activePane="bottomLeft" state="frozen"/>
      <selection pane="bottomLeft" activeCell="C6" sqref="C6:C36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100" customWidth="1"/>
    <col min="5" max="5" width="17.7109375" style="119" customWidth="1"/>
    <col min="6" max="6" width="17.7109375" style="43" customWidth="1"/>
    <col min="7" max="7" width="22.5703125" style="43" customWidth="1"/>
    <col min="8" max="8" width="21.5703125" style="13" bestFit="1" customWidth="1"/>
    <col min="9" max="9" width="24.85546875" style="13" customWidth="1"/>
    <col min="10" max="10" width="29.7109375" style="93" customWidth="1"/>
    <col min="11" max="11" width="20.5703125" style="93" bestFit="1" customWidth="1"/>
    <col min="12" max="12" width="23.42578125" style="93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7" t="s">
        <v>41</v>
      </c>
      <c r="C1" s="128"/>
      <c r="D1" s="128"/>
      <c r="E1" s="28"/>
      <c r="F1" s="29"/>
      <c r="G1" s="29"/>
      <c r="H1" s="27"/>
      <c r="I1" s="26"/>
      <c r="J1" s="101"/>
      <c r="K1" s="101"/>
      <c r="L1" s="110"/>
      <c r="M1" s="2"/>
      <c r="N1" s="2"/>
    </row>
    <row r="2" spans="2:17" s="3" customFormat="1" ht="63" customHeight="1" x14ac:dyDescent="0.25">
      <c r="B2" s="129" t="s">
        <v>0</v>
      </c>
      <c r="C2" s="141" t="s">
        <v>33</v>
      </c>
      <c r="D2" s="132" t="s">
        <v>9</v>
      </c>
      <c r="E2" s="135" t="s">
        <v>42</v>
      </c>
      <c r="F2" s="136"/>
      <c r="G2" s="136"/>
      <c r="H2" s="136"/>
      <c r="I2" s="136"/>
      <c r="J2" s="136"/>
      <c r="K2" s="136"/>
      <c r="L2" s="137"/>
      <c r="M2" s="2"/>
      <c r="N2" s="2"/>
      <c r="O2" s="1"/>
      <c r="P2" s="1"/>
      <c r="Q2" s="1"/>
    </row>
    <row r="3" spans="2:17" s="23" customFormat="1" ht="25.5" customHeight="1" x14ac:dyDescent="0.25">
      <c r="B3" s="130"/>
      <c r="C3" s="142"/>
      <c r="D3" s="133"/>
      <c r="E3" s="20" t="s">
        <v>7</v>
      </c>
      <c r="F3" s="24" t="s">
        <v>13</v>
      </c>
      <c r="G3" s="24" t="s">
        <v>16</v>
      </c>
      <c r="H3" s="138" t="s">
        <v>17</v>
      </c>
      <c r="I3" s="139"/>
      <c r="J3" s="140"/>
      <c r="K3" s="123" t="s">
        <v>36</v>
      </c>
      <c r="L3" s="125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31"/>
      <c r="C4" s="58"/>
      <c r="D4" s="134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102" t="s">
        <v>1</v>
      </c>
      <c r="K4" s="124"/>
      <c r="L4" s="126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9" t="s">
        <v>34</v>
      </c>
      <c r="D5" s="94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102" t="s">
        <v>11</v>
      </c>
      <c r="K5" s="109" t="s">
        <v>11</v>
      </c>
      <c r="L5" s="111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43101</v>
      </c>
      <c r="C6" s="65">
        <v>163</v>
      </c>
      <c r="D6" s="95">
        <v>1035.78</v>
      </c>
      <c r="E6" s="117">
        <v>480</v>
      </c>
      <c r="F6" s="120">
        <v>11120</v>
      </c>
      <c r="G6" s="88">
        <f>F6+E6</f>
        <v>11600</v>
      </c>
      <c r="H6" s="89">
        <f t="shared" ref="H6:H36" si="0">E6*1.5*D6</f>
        <v>745761.6</v>
      </c>
      <c r="I6" s="89">
        <f t="shared" ref="I6:I36" si="1">F6*D6</f>
        <v>11517873.6</v>
      </c>
      <c r="J6" s="89">
        <f t="shared" ref="J6:J30" si="2">I6+H6</f>
        <v>12263635.199999999</v>
      </c>
      <c r="K6" s="89">
        <f>J6*0.024</f>
        <v>294327.24479999999</v>
      </c>
      <c r="L6" s="112">
        <f>J6+K6</f>
        <v>12557962.444799999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43102</v>
      </c>
      <c r="C7" s="65">
        <v>163</v>
      </c>
      <c r="D7" s="95">
        <v>1035.78</v>
      </c>
      <c r="E7" s="118">
        <v>8480</v>
      </c>
      <c r="F7" s="121">
        <v>27800</v>
      </c>
      <c r="G7" s="88">
        <f t="shared" ref="G7:G34" si="3">F7+E7</f>
        <v>36280</v>
      </c>
      <c r="H7" s="89">
        <f t="shared" si="0"/>
        <v>13175121.6</v>
      </c>
      <c r="I7" s="89">
        <f t="shared" si="1"/>
        <v>28794684</v>
      </c>
      <c r="J7" s="89">
        <f t="shared" si="2"/>
        <v>41969805.600000001</v>
      </c>
      <c r="K7" s="89">
        <f t="shared" ref="K7:K36" si="4">J7*0.024</f>
        <v>1007275.3344000001</v>
      </c>
      <c r="L7" s="112">
        <f>J7+K7</f>
        <v>42977080.9344</v>
      </c>
      <c r="M7" s="1"/>
      <c r="N7" s="44"/>
      <c r="O7" s="1"/>
      <c r="P7" s="1"/>
      <c r="Q7" s="1"/>
    </row>
    <row r="8" spans="2:17" s="3" customFormat="1" ht="50.1" customHeight="1" x14ac:dyDescent="0.25">
      <c r="B8" s="5">
        <v>43103</v>
      </c>
      <c r="C8" s="65">
        <v>163</v>
      </c>
      <c r="D8" s="95">
        <v>1035.78</v>
      </c>
      <c r="E8" s="118">
        <v>4200</v>
      </c>
      <c r="F8" s="121">
        <v>20400</v>
      </c>
      <c r="G8" s="88">
        <f t="shared" si="3"/>
        <v>24600</v>
      </c>
      <c r="H8" s="89">
        <f t="shared" si="0"/>
        <v>6525414</v>
      </c>
      <c r="I8" s="89">
        <f t="shared" si="1"/>
        <v>21129912</v>
      </c>
      <c r="J8" s="89">
        <f t="shared" si="2"/>
        <v>27655326</v>
      </c>
      <c r="K8" s="89">
        <f t="shared" si="4"/>
        <v>663727.82400000002</v>
      </c>
      <c r="L8" s="112">
        <f t="shared" ref="L8:L30" si="5">J8+K8</f>
        <v>28319053.824000001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43104</v>
      </c>
      <c r="C9" s="65">
        <v>163</v>
      </c>
      <c r="D9" s="95">
        <v>1035.78</v>
      </c>
      <c r="E9" s="118">
        <v>4800</v>
      </c>
      <c r="F9" s="121">
        <v>17760</v>
      </c>
      <c r="G9" s="88">
        <f t="shared" si="3"/>
        <v>22560</v>
      </c>
      <c r="H9" s="89">
        <f t="shared" si="0"/>
        <v>7457616</v>
      </c>
      <c r="I9" s="89">
        <f t="shared" si="1"/>
        <v>18395452.800000001</v>
      </c>
      <c r="J9" s="89">
        <f t="shared" si="2"/>
        <v>25853068.800000001</v>
      </c>
      <c r="K9" s="89">
        <f t="shared" si="4"/>
        <v>620473.65120000008</v>
      </c>
      <c r="L9" s="112">
        <f t="shared" si="5"/>
        <v>26473542.451200001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43105</v>
      </c>
      <c r="C10" s="65">
        <v>163</v>
      </c>
      <c r="D10" s="95">
        <v>1035.78</v>
      </c>
      <c r="E10" s="118">
        <v>5120</v>
      </c>
      <c r="F10" s="121">
        <v>20720</v>
      </c>
      <c r="G10" s="88">
        <f t="shared" si="3"/>
        <v>25840</v>
      </c>
      <c r="H10" s="89">
        <f t="shared" si="0"/>
        <v>7954790.3999999994</v>
      </c>
      <c r="I10" s="89">
        <f t="shared" si="1"/>
        <v>21461361.599999998</v>
      </c>
      <c r="J10" s="89">
        <f t="shared" si="2"/>
        <v>29416151.999999996</v>
      </c>
      <c r="K10" s="89">
        <f t="shared" si="4"/>
        <v>705987.64799999993</v>
      </c>
      <c r="L10" s="112">
        <f t="shared" si="5"/>
        <v>30122139.647999994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43106</v>
      </c>
      <c r="C11" s="65">
        <v>163</v>
      </c>
      <c r="D11" s="95">
        <v>1035.78</v>
      </c>
      <c r="E11" s="118">
        <v>4680</v>
      </c>
      <c r="F11" s="121">
        <v>20000</v>
      </c>
      <c r="G11" s="88">
        <f t="shared" si="3"/>
        <v>24680</v>
      </c>
      <c r="H11" s="89">
        <f t="shared" si="0"/>
        <v>7271175.5999999996</v>
      </c>
      <c r="I11" s="89">
        <f t="shared" si="1"/>
        <v>20715600</v>
      </c>
      <c r="J11" s="89">
        <f t="shared" si="2"/>
        <v>27986775.600000001</v>
      </c>
      <c r="K11" s="89">
        <f t="shared" si="4"/>
        <v>671682.61440000008</v>
      </c>
      <c r="L11" s="112">
        <f t="shared" si="5"/>
        <v>28658458.214400001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43107</v>
      </c>
      <c r="C12" s="65">
        <v>163</v>
      </c>
      <c r="D12" s="95">
        <v>1035.78</v>
      </c>
      <c r="E12" s="118">
        <v>4600</v>
      </c>
      <c r="F12" s="121">
        <v>20080</v>
      </c>
      <c r="G12" s="88">
        <f t="shared" si="3"/>
        <v>24680</v>
      </c>
      <c r="H12" s="89">
        <f t="shared" si="0"/>
        <v>7146882</v>
      </c>
      <c r="I12" s="89">
        <f t="shared" si="1"/>
        <v>20798462.399999999</v>
      </c>
      <c r="J12" s="89">
        <f t="shared" si="2"/>
        <v>27945344.399999999</v>
      </c>
      <c r="K12" s="89">
        <f t="shared" si="4"/>
        <v>670688.26559999993</v>
      </c>
      <c r="L12" s="112">
        <f t="shared" si="5"/>
        <v>28616032.665599998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43108</v>
      </c>
      <c r="C13" s="65">
        <v>163</v>
      </c>
      <c r="D13" s="95">
        <v>1035.78</v>
      </c>
      <c r="E13" s="118">
        <v>5200</v>
      </c>
      <c r="F13" s="121">
        <v>5080</v>
      </c>
      <c r="G13" s="88">
        <f t="shared" si="3"/>
        <v>10280</v>
      </c>
      <c r="H13" s="89">
        <f t="shared" si="0"/>
        <v>8079084</v>
      </c>
      <c r="I13" s="89">
        <f t="shared" si="1"/>
        <v>5261762.3999999994</v>
      </c>
      <c r="J13" s="89">
        <f t="shared" si="2"/>
        <v>13340846.399999999</v>
      </c>
      <c r="K13" s="89">
        <f t="shared" si="4"/>
        <v>320180.31359999999</v>
      </c>
      <c r="L13" s="112">
        <f t="shared" si="5"/>
        <v>13661026.713599999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43109</v>
      </c>
      <c r="C14" s="65">
        <v>163</v>
      </c>
      <c r="D14" s="95">
        <v>1035.78</v>
      </c>
      <c r="E14" s="118">
        <v>5120</v>
      </c>
      <c r="F14" s="121">
        <v>37440</v>
      </c>
      <c r="G14" s="88">
        <f t="shared" si="3"/>
        <v>42560</v>
      </c>
      <c r="H14" s="89">
        <f t="shared" si="0"/>
        <v>7954790.3999999994</v>
      </c>
      <c r="I14" s="89">
        <f t="shared" si="1"/>
        <v>38779603.199999996</v>
      </c>
      <c r="J14" s="89">
        <f t="shared" si="2"/>
        <v>46734393.599999994</v>
      </c>
      <c r="K14" s="89">
        <f t="shared" si="4"/>
        <v>1121625.4463999998</v>
      </c>
      <c r="L14" s="112">
        <f t="shared" si="5"/>
        <v>47856019.046399996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43110</v>
      </c>
      <c r="C15" s="65">
        <v>163</v>
      </c>
      <c r="D15" s="95">
        <v>1035.78</v>
      </c>
      <c r="E15" s="118">
        <v>4520</v>
      </c>
      <c r="F15" s="121">
        <v>21880</v>
      </c>
      <c r="G15" s="88">
        <f t="shared" si="3"/>
        <v>26400</v>
      </c>
      <c r="H15" s="89">
        <f t="shared" si="0"/>
        <v>7022588.3999999994</v>
      </c>
      <c r="I15" s="89">
        <f t="shared" si="1"/>
        <v>22662866.399999999</v>
      </c>
      <c r="J15" s="89">
        <f t="shared" si="2"/>
        <v>29685454.799999997</v>
      </c>
      <c r="K15" s="89">
        <f t="shared" si="4"/>
        <v>712450.91519999993</v>
      </c>
      <c r="L15" s="112">
        <f t="shared" si="5"/>
        <v>30397905.715199996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43111</v>
      </c>
      <c r="C16" s="65">
        <v>163</v>
      </c>
      <c r="D16" s="95">
        <v>1035.78</v>
      </c>
      <c r="E16" s="118">
        <v>5800</v>
      </c>
      <c r="F16" s="121">
        <v>21640</v>
      </c>
      <c r="G16" s="88">
        <f t="shared" si="3"/>
        <v>27440</v>
      </c>
      <c r="H16" s="89">
        <f t="shared" si="0"/>
        <v>9011286</v>
      </c>
      <c r="I16" s="89">
        <f t="shared" si="1"/>
        <v>22414279.199999999</v>
      </c>
      <c r="J16" s="89">
        <f t="shared" si="2"/>
        <v>31425565.199999999</v>
      </c>
      <c r="K16" s="89">
        <f t="shared" si="4"/>
        <v>754213.56480000005</v>
      </c>
      <c r="L16" s="112">
        <f t="shared" si="5"/>
        <v>32179778.764800001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43112</v>
      </c>
      <c r="C17" s="65">
        <v>163</v>
      </c>
      <c r="D17" s="95">
        <v>1035.78</v>
      </c>
      <c r="E17" s="118">
        <v>4200</v>
      </c>
      <c r="F17" s="121">
        <v>21360</v>
      </c>
      <c r="G17" s="88">
        <f t="shared" si="3"/>
        <v>25560</v>
      </c>
      <c r="H17" s="89">
        <f t="shared" si="0"/>
        <v>6525414</v>
      </c>
      <c r="I17" s="89">
        <f t="shared" si="1"/>
        <v>22124260.800000001</v>
      </c>
      <c r="J17" s="89">
        <f t="shared" si="2"/>
        <v>28649674.800000001</v>
      </c>
      <c r="K17" s="89">
        <f t="shared" si="4"/>
        <v>687592.19520000007</v>
      </c>
      <c r="L17" s="112">
        <f t="shared" si="5"/>
        <v>29337266.995200001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43113</v>
      </c>
      <c r="C18" s="65">
        <v>163</v>
      </c>
      <c r="D18" s="95">
        <v>1035.78</v>
      </c>
      <c r="E18" s="118">
        <v>4880</v>
      </c>
      <c r="F18" s="121">
        <v>21400</v>
      </c>
      <c r="G18" s="88">
        <f t="shared" si="3"/>
        <v>26280</v>
      </c>
      <c r="H18" s="89">
        <f t="shared" si="0"/>
        <v>7581909.5999999996</v>
      </c>
      <c r="I18" s="89">
        <f t="shared" si="1"/>
        <v>22165692</v>
      </c>
      <c r="J18" s="89">
        <f t="shared" si="2"/>
        <v>29747601.600000001</v>
      </c>
      <c r="K18" s="89">
        <f t="shared" si="4"/>
        <v>713942.4384000001</v>
      </c>
      <c r="L18" s="112">
        <f t="shared" si="5"/>
        <v>30461544.038400002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43114</v>
      </c>
      <c r="C19" s="65">
        <v>163</v>
      </c>
      <c r="D19" s="95">
        <v>1035.78</v>
      </c>
      <c r="E19" s="118">
        <v>4600</v>
      </c>
      <c r="F19" s="121">
        <v>21240</v>
      </c>
      <c r="G19" s="88">
        <f t="shared" si="3"/>
        <v>25840</v>
      </c>
      <c r="H19" s="89">
        <f t="shared" si="0"/>
        <v>7146882</v>
      </c>
      <c r="I19" s="89">
        <f t="shared" si="1"/>
        <v>21999967.199999999</v>
      </c>
      <c r="J19" s="89">
        <f t="shared" si="2"/>
        <v>29146849.199999999</v>
      </c>
      <c r="K19" s="89">
        <f t="shared" si="4"/>
        <v>699524.38080000004</v>
      </c>
      <c r="L19" s="112">
        <f t="shared" si="5"/>
        <v>29846373.580800001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43115</v>
      </c>
      <c r="C20" s="65">
        <v>163</v>
      </c>
      <c r="D20" s="95">
        <v>1035.78</v>
      </c>
      <c r="E20" s="118">
        <v>4920</v>
      </c>
      <c r="F20" s="121">
        <v>20760</v>
      </c>
      <c r="G20" s="88">
        <f t="shared" si="3"/>
        <v>25680</v>
      </c>
      <c r="H20" s="89">
        <f t="shared" si="0"/>
        <v>7644056.3999999994</v>
      </c>
      <c r="I20" s="89">
        <f t="shared" si="1"/>
        <v>21502792.800000001</v>
      </c>
      <c r="J20" s="89">
        <f t="shared" si="2"/>
        <v>29146849.199999999</v>
      </c>
      <c r="K20" s="89">
        <f t="shared" si="4"/>
        <v>699524.38080000004</v>
      </c>
      <c r="L20" s="112">
        <f t="shared" si="5"/>
        <v>29846373.580800001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43116</v>
      </c>
      <c r="C21" s="65">
        <v>163</v>
      </c>
      <c r="D21" s="95">
        <v>1035.78</v>
      </c>
      <c r="E21" s="118">
        <v>5440</v>
      </c>
      <c r="F21" s="121">
        <v>18200</v>
      </c>
      <c r="G21" s="88">
        <f t="shared" si="3"/>
        <v>23640</v>
      </c>
      <c r="H21" s="89">
        <f t="shared" si="0"/>
        <v>8451964.7999999989</v>
      </c>
      <c r="I21" s="89">
        <f t="shared" si="1"/>
        <v>18851196</v>
      </c>
      <c r="J21" s="89">
        <f t="shared" si="2"/>
        <v>27303160.799999997</v>
      </c>
      <c r="K21" s="89">
        <f t="shared" si="4"/>
        <v>655275.85919999995</v>
      </c>
      <c r="L21" s="112">
        <f t="shared" si="5"/>
        <v>27958436.659199998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43117</v>
      </c>
      <c r="C22" s="65">
        <v>163</v>
      </c>
      <c r="D22" s="95">
        <v>1035.78</v>
      </c>
      <c r="E22" s="118">
        <v>5280</v>
      </c>
      <c r="F22" s="121">
        <v>21920</v>
      </c>
      <c r="G22" s="88">
        <f t="shared" si="3"/>
        <v>27200</v>
      </c>
      <c r="H22" s="89">
        <f t="shared" si="0"/>
        <v>8203377.5999999996</v>
      </c>
      <c r="I22" s="89">
        <f t="shared" si="1"/>
        <v>22704297.599999998</v>
      </c>
      <c r="J22" s="89">
        <f t="shared" si="2"/>
        <v>30907675.199999996</v>
      </c>
      <c r="K22" s="89">
        <f t="shared" si="4"/>
        <v>741784.20479999995</v>
      </c>
      <c r="L22" s="112">
        <f t="shared" si="5"/>
        <v>31649459.404799994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43118</v>
      </c>
      <c r="C23" s="65">
        <v>163</v>
      </c>
      <c r="D23" s="95">
        <v>1035.78</v>
      </c>
      <c r="E23" s="118">
        <v>5200</v>
      </c>
      <c r="F23" s="121">
        <v>22320</v>
      </c>
      <c r="G23" s="88">
        <f t="shared" si="3"/>
        <v>27520</v>
      </c>
      <c r="H23" s="89">
        <f t="shared" si="0"/>
        <v>8079084</v>
      </c>
      <c r="I23" s="89">
        <f t="shared" si="1"/>
        <v>23118609.599999998</v>
      </c>
      <c r="J23" s="89">
        <f t="shared" si="2"/>
        <v>31197693.599999998</v>
      </c>
      <c r="K23" s="89">
        <f t="shared" si="4"/>
        <v>748744.64639999997</v>
      </c>
      <c r="L23" s="112">
        <f t="shared" si="5"/>
        <v>31946438.246399999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43119</v>
      </c>
      <c r="C24" s="65">
        <v>163</v>
      </c>
      <c r="D24" s="95">
        <v>1035.78</v>
      </c>
      <c r="E24" s="118">
        <v>3440</v>
      </c>
      <c r="F24" s="121">
        <v>19920</v>
      </c>
      <c r="G24" s="88">
        <f t="shared" si="3"/>
        <v>23360</v>
      </c>
      <c r="H24" s="89">
        <f t="shared" si="0"/>
        <v>5344624.8</v>
      </c>
      <c r="I24" s="89">
        <f t="shared" si="1"/>
        <v>20632737.599999998</v>
      </c>
      <c r="J24" s="89">
        <f t="shared" si="2"/>
        <v>25977362.399999999</v>
      </c>
      <c r="K24" s="89">
        <f t="shared" si="4"/>
        <v>623456.69759999996</v>
      </c>
      <c r="L24" s="112">
        <f t="shared" si="5"/>
        <v>26600819.097599998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43120</v>
      </c>
      <c r="C25" s="65">
        <v>163</v>
      </c>
      <c r="D25" s="95">
        <v>1035.78</v>
      </c>
      <c r="E25" s="118">
        <v>4520</v>
      </c>
      <c r="F25" s="121">
        <v>24080</v>
      </c>
      <c r="G25" s="88">
        <f t="shared" si="3"/>
        <v>28600</v>
      </c>
      <c r="H25" s="89">
        <f t="shared" si="0"/>
        <v>7022588.3999999994</v>
      </c>
      <c r="I25" s="89">
        <f t="shared" si="1"/>
        <v>24941582.399999999</v>
      </c>
      <c r="J25" s="89">
        <f t="shared" si="2"/>
        <v>31964170.799999997</v>
      </c>
      <c r="K25" s="89">
        <f t="shared" si="4"/>
        <v>767140.09919999994</v>
      </c>
      <c r="L25" s="112">
        <f t="shared" si="5"/>
        <v>32731310.899199996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43121</v>
      </c>
      <c r="C26" s="65">
        <v>163</v>
      </c>
      <c r="D26" s="95">
        <v>1035.78</v>
      </c>
      <c r="E26" s="118">
        <v>4760</v>
      </c>
      <c r="F26" s="121">
        <v>15760</v>
      </c>
      <c r="G26" s="88">
        <f t="shared" si="3"/>
        <v>20520</v>
      </c>
      <c r="H26" s="89">
        <f t="shared" si="0"/>
        <v>7395469.2000000002</v>
      </c>
      <c r="I26" s="89">
        <f t="shared" si="1"/>
        <v>16323892.799999999</v>
      </c>
      <c r="J26" s="89">
        <f t="shared" si="2"/>
        <v>23719362</v>
      </c>
      <c r="K26" s="89">
        <f t="shared" si="4"/>
        <v>569264.68799999997</v>
      </c>
      <c r="L26" s="112">
        <f>J26+K26</f>
        <v>24288626.688000001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43122</v>
      </c>
      <c r="C27" s="65">
        <v>163</v>
      </c>
      <c r="D27" s="95">
        <v>1035.78</v>
      </c>
      <c r="E27" s="118">
        <v>4720</v>
      </c>
      <c r="F27" s="121">
        <v>20680</v>
      </c>
      <c r="G27" s="88">
        <f t="shared" si="3"/>
        <v>25400</v>
      </c>
      <c r="H27" s="89">
        <f t="shared" si="0"/>
        <v>7333322.3999999994</v>
      </c>
      <c r="I27" s="89">
        <f t="shared" si="1"/>
        <v>21419930.399999999</v>
      </c>
      <c r="J27" s="89">
        <f t="shared" si="2"/>
        <v>28753252.799999997</v>
      </c>
      <c r="K27" s="89">
        <f t="shared" si="4"/>
        <v>690078.06719999993</v>
      </c>
      <c r="L27" s="112">
        <f t="shared" si="5"/>
        <v>29443330.867199998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43123</v>
      </c>
      <c r="C28" s="65">
        <v>163</v>
      </c>
      <c r="D28" s="95">
        <v>1035.78</v>
      </c>
      <c r="E28" s="118">
        <v>5000</v>
      </c>
      <c r="F28" s="121">
        <v>20680</v>
      </c>
      <c r="G28" s="88">
        <f t="shared" si="3"/>
        <v>25680</v>
      </c>
      <c r="H28" s="89">
        <f t="shared" si="0"/>
        <v>7768350</v>
      </c>
      <c r="I28" s="89">
        <f t="shared" si="1"/>
        <v>21419930.399999999</v>
      </c>
      <c r="J28" s="89">
        <f t="shared" si="2"/>
        <v>29188280.399999999</v>
      </c>
      <c r="K28" s="89">
        <f t="shared" si="4"/>
        <v>700518.72959999996</v>
      </c>
      <c r="L28" s="112">
        <f t="shared" si="5"/>
        <v>29888799.1296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43124</v>
      </c>
      <c r="C29" s="65">
        <v>163</v>
      </c>
      <c r="D29" s="95">
        <v>1035.78</v>
      </c>
      <c r="E29" s="118">
        <v>4840</v>
      </c>
      <c r="F29" s="121">
        <v>21320</v>
      </c>
      <c r="G29" s="88">
        <f t="shared" si="3"/>
        <v>26160</v>
      </c>
      <c r="H29" s="89">
        <f t="shared" si="0"/>
        <v>7519762.7999999998</v>
      </c>
      <c r="I29" s="89">
        <f t="shared" si="1"/>
        <v>22082829.599999998</v>
      </c>
      <c r="J29" s="89">
        <f t="shared" si="2"/>
        <v>29602592.399999999</v>
      </c>
      <c r="K29" s="89">
        <f t="shared" si="4"/>
        <v>710462.21759999997</v>
      </c>
      <c r="L29" s="112">
        <f t="shared" si="5"/>
        <v>30313054.617599998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43125</v>
      </c>
      <c r="C30" s="65">
        <v>163</v>
      </c>
      <c r="D30" s="95">
        <v>1035.78</v>
      </c>
      <c r="E30" s="118">
        <v>4840</v>
      </c>
      <c r="F30" s="121">
        <v>20920</v>
      </c>
      <c r="G30" s="88">
        <f t="shared" si="3"/>
        <v>25760</v>
      </c>
      <c r="H30" s="89">
        <f t="shared" si="0"/>
        <v>7519762.7999999998</v>
      </c>
      <c r="I30" s="89">
        <f t="shared" si="1"/>
        <v>21668517.599999998</v>
      </c>
      <c r="J30" s="89">
        <f t="shared" si="2"/>
        <v>29188280.399999999</v>
      </c>
      <c r="K30" s="89">
        <f t="shared" si="4"/>
        <v>700518.72959999996</v>
      </c>
      <c r="L30" s="112">
        <f t="shared" si="5"/>
        <v>29888799.1296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43126</v>
      </c>
      <c r="C31" s="65">
        <v>163</v>
      </c>
      <c r="D31" s="95">
        <v>1035.78</v>
      </c>
      <c r="E31" s="118">
        <v>4640</v>
      </c>
      <c r="F31" s="121">
        <v>20800</v>
      </c>
      <c r="G31" s="88">
        <f t="shared" si="3"/>
        <v>25440</v>
      </c>
      <c r="H31" s="89">
        <f t="shared" si="0"/>
        <v>7209028.7999999998</v>
      </c>
      <c r="I31" s="89">
        <f t="shared" si="1"/>
        <v>21544224</v>
      </c>
      <c r="J31" s="89">
        <f t="shared" ref="J31:J33" si="6">I31+H31</f>
        <v>28753252.800000001</v>
      </c>
      <c r="K31" s="89">
        <f t="shared" si="4"/>
        <v>690078.06720000005</v>
      </c>
      <c r="L31" s="112">
        <f t="shared" ref="L31:L33" si="7">J31+K31</f>
        <v>29443330.867200002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43127</v>
      </c>
      <c r="C32" s="65">
        <v>163</v>
      </c>
      <c r="D32" s="95">
        <v>1035.78</v>
      </c>
      <c r="E32" s="118">
        <v>4520</v>
      </c>
      <c r="F32" s="121">
        <v>20080</v>
      </c>
      <c r="G32" s="88">
        <f t="shared" si="3"/>
        <v>24600</v>
      </c>
      <c r="H32" s="89">
        <f t="shared" si="0"/>
        <v>7022588.3999999994</v>
      </c>
      <c r="I32" s="89">
        <f t="shared" si="1"/>
        <v>20798462.399999999</v>
      </c>
      <c r="J32" s="89">
        <f t="shared" si="6"/>
        <v>27821050.799999997</v>
      </c>
      <c r="K32" s="89">
        <f t="shared" si="4"/>
        <v>667705.21919999993</v>
      </c>
      <c r="L32" s="112">
        <f t="shared" si="7"/>
        <v>28488756.019199997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43128</v>
      </c>
      <c r="C33" s="65">
        <v>163</v>
      </c>
      <c r="D33" s="95">
        <v>1035.78</v>
      </c>
      <c r="E33" s="118">
        <v>4720</v>
      </c>
      <c r="F33" s="121">
        <v>20000</v>
      </c>
      <c r="G33" s="88">
        <f t="shared" si="3"/>
        <v>24720</v>
      </c>
      <c r="H33" s="89">
        <f t="shared" si="0"/>
        <v>7333322.3999999994</v>
      </c>
      <c r="I33" s="89">
        <f t="shared" si="1"/>
        <v>20715600</v>
      </c>
      <c r="J33" s="89">
        <f t="shared" si="6"/>
        <v>28048922.399999999</v>
      </c>
      <c r="K33" s="89">
        <f t="shared" si="4"/>
        <v>673174.13760000002</v>
      </c>
      <c r="L33" s="112">
        <f t="shared" si="7"/>
        <v>28722096.537599999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43129</v>
      </c>
      <c r="C34" s="65">
        <v>163</v>
      </c>
      <c r="D34" s="95">
        <v>1035.78</v>
      </c>
      <c r="E34" s="118">
        <v>4400</v>
      </c>
      <c r="F34" s="121">
        <v>20240</v>
      </c>
      <c r="G34" s="88">
        <f t="shared" si="3"/>
        <v>24640</v>
      </c>
      <c r="H34" s="89">
        <f t="shared" si="0"/>
        <v>6836148</v>
      </c>
      <c r="I34" s="89">
        <f t="shared" si="1"/>
        <v>20964187.199999999</v>
      </c>
      <c r="J34" s="89">
        <f t="shared" ref="J34" si="8">I34+H34</f>
        <v>27800335.199999999</v>
      </c>
      <c r="K34" s="89">
        <f t="shared" si="4"/>
        <v>667208.04480000003</v>
      </c>
      <c r="L34" s="112">
        <f t="shared" ref="L34" si="9">J34+K34</f>
        <v>28467543.244799998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43130</v>
      </c>
      <c r="C35" s="65">
        <v>163</v>
      </c>
      <c r="D35" s="95">
        <v>1035.78</v>
      </c>
      <c r="E35" s="118">
        <v>4680</v>
      </c>
      <c r="F35" s="121">
        <v>20680</v>
      </c>
      <c r="G35" s="88">
        <f t="shared" ref="G35:G36" si="10">F35+E35</f>
        <v>25360</v>
      </c>
      <c r="H35" s="89">
        <f t="shared" si="0"/>
        <v>7271175.5999999996</v>
      </c>
      <c r="I35" s="89">
        <f t="shared" si="1"/>
        <v>21419930.399999999</v>
      </c>
      <c r="J35" s="89">
        <f t="shared" ref="J35:J36" si="11">I35+H35</f>
        <v>28691106</v>
      </c>
      <c r="K35" s="89">
        <f t="shared" si="4"/>
        <v>688586.54399999999</v>
      </c>
      <c r="L35" s="112">
        <f t="shared" ref="L35:L36" si="12">J35+K35</f>
        <v>29379692.544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43131</v>
      </c>
      <c r="C36" s="65">
        <v>163</v>
      </c>
      <c r="D36" s="95">
        <v>1035.78</v>
      </c>
      <c r="E36" s="118">
        <v>4400</v>
      </c>
      <c r="F36" s="121">
        <v>20600</v>
      </c>
      <c r="G36" s="88">
        <f t="shared" si="10"/>
        <v>25000</v>
      </c>
      <c r="H36" s="89">
        <f t="shared" si="0"/>
        <v>6836148</v>
      </c>
      <c r="I36" s="89">
        <f t="shared" si="1"/>
        <v>21337068</v>
      </c>
      <c r="J36" s="89">
        <f t="shared" si="11"/>
        <v>28173216</v>
      </c>
      <c r="K36" s="89">
        <f t="shared" si="4"/>
        <v>676157.18400000001</v>
      </c>
      <c r="L36" s="112">
        <f t="shared" si="12"/>
        <v>28849373.184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SUM(C6:C36)</f>
        <v>5053</v>
      </c>
      <c r="D37" s="96"/>
      <c r="E37" s="90">
        <f t="shared" ref="E37:L37" si="13">SUM(E5:E36)</f>
        <v>147000</v>
      </c>
      <c r="F37" s="90">
        <f t="shared" si="13"/>
        <v>636880</v>
      </c>
      <c r="G37" s="90">
        <f t="shared" si="13"/>
        <v>783880</v>
      </c>
      <c r="H37" s="90">
        <f t="shared" si="13"/>
        <v>228389490.00000003</v>
      </c>
      <c r="I37" s="90">
        <f t="shared" si="13"/>
        <v>659667566.4000001</v>
      </c>
      <c r="J37" s="90">
        <f t="shared" si="13"/>
        <v>888057056.39999974</v>
      </c>
      <c r="K37" s="90">
        <f t="shared" si="13"/>
        <v>21313369.353599995</v>
      </c>
      <c r="L37" s="90">
        <f t="shared" si="13"/>
        <v>909370425.7536</v>
      </c>
    </row>
    <row r="38" spans="2:17" s="1" customFormat="1" x14ac:dyDescent="0.25">
      <c r="B38" s="7"/>
      <c r="C38" s="7"/>
      <c r="D38" s="96"/>
      <c r="E38" s="31"/>
      <c r="F38" s="31"/>
      <c r="G38" s="32"/>
      <c r="H38" s="9"/>
      <c r="J38" s="103"/>
      <c r="K38" s="15"/>
      <c r="L38" s="91"/>
    </row>
    <row r="39" spans="2:17" s="1" customFormat="1" x14ac:dyDescent="0.25">
      <c r="B39" s="7"/>
      <c r="C39" s="7"/>
      <c r="D39" s="97"/>
      <c r="E39" s="31"/>
      <c r="F39" s="33"/>
      <c r="G39" s="32"/>
      <c r="H39" s="8"/>
      <c r="I39" s="10"/>
      <c r="J39" s="103"/>
      <c r="K39" s="15"/>
      <c r="L39" s="81"/>
      <c r="N39" s="7"/>
    </row>
    <row r="40" spans="2:17" s="1" customFormat="1" x14ac:dyDescent="0.25">
      <c r="B40" s="7"/>
      <c r="C40" s="7"/>
      <c r="D40" s="98"/>
      <c r="E40" s="31"/>
      <c r="F40" s="34"/>
      <c r="G40" s="32"/>
      <c r="H40" s="9"/>
      <c r="J40" s="104"/>
      <c r="K40" s="91"/>
      <c r="L40" s="81"/>
      <c r="N40" s="7"/>
    </row>
    <row r="41" spans="2:17" s="1" customFormat="1" x14ac:dyDescent="0.25">
      <c r="B41" s="7"/>
      <c r="C41" s="7"/>
      <c r="D41" s="98"/>
      <c r="E41" s="31"/>
      <c r="F41" s="33"/>
      <c r="G41" s="32"/>
      <c r="H41" s="9"/>
      <c r="J41" s="105"/>
      <c r="K41" s="81"/>
      <c r="L41" s="91"/>
      <c r="N41" s="7"/>
    </row>
    <row r="42" spans="2:17" s="1" customFormat="1" x14ac:dyDescent="0.25">
      <c r="B42" s="7"/>
      <c r="C42" s="7"/>
      <c r="D42" s="98"/>
      <c r="E42" s="31"/>
      <c r="F42" s="33"/>
      <c r="G42" s="32"/>
      <c r="H42" s="9"/>
      <c r="J42" s="106"/>
      <c r="K42" s="81"/>
      <c r="L42" s="91"/>
      <c r="N42" s="7"/>
    </row>
    <row r="43" spans="2:17" s="1" customFormat="1" x14ac:dyDescent="0.25">
      <c r="B43" s="7"/>
      <c r="C43" s="7"/>
      <c r="D43" s="97"/>
      <c r="E43" s="31"/>
      <c r="F43" s="31"/>
      <c r="G43" s="32"/>
      <c r="H43" s="9"/>
      <c r="J43" s="104"/>
      <c r="K43" s="15"/>
      <c r="L43" s="91"/>
      <c r="N43" s="7"/>
    </row>
    <row r="44" spans="2:17" s="1" customFormat="1" x14ac:dyDescent="0.25">
      <c r="B44" s="7"/>
      <c r="C44" s="7"/>
      <c r="D44" s="98"/>
      <c r="E44" s="32"/>
      <c r="F44" s="32"/>
      <c r="G44" s="32"/>
      <c r="J44" s="107"/>
      <c r="K44" s="81"/>
      <c r="L44" s="81"/>
      <c r="N44" s="7"/>
    </row>
    <row r="45" spans="2:17" s="1" customFormat="1" x14ac:dyDescent="0.25">
      <c r="B45" s="7"/>
      <c r="C45" s="7"/>
      <c r="D45" s="97"/>
      <c r="E45" s="35"/>
      <c r="F45" s="35"/>
      <c r="G45" s="36" t="s">
        <v>6</v>
      </c>
      <c r="H45" s="9"/>
      <c r="J45" s="104"/>
      <c r="K45" s="91"/>
      <c r="L45" s="91"/>
      <c r="M45" s="11"/>
      <c r="N45" s="7"/>
    </row>
    <row r="46" spans="2:17" s="1" customFormat="1" ht="21" x14ac:dyDescent="0.25">
      <c r="B46" s="7"/>
      <c r="C46" s="7"/>
      <c r="D46" s="98"/>
      <c r="E46" s="32"/>
      <c r="F46" s="32"/>
      <c r="G46" s="37"/>
      <c r="H46" s="7"/>
      <c r="J46" s="108"/>
      <c r="K46" s="91"/>
      <c r="L46" s="113"/>
      <c r="N46" s="7"/>
    </row>
    <row r="47" spans="2:17" s="1" customFormat="1" x14ac:dyDescent="0.25">
      <c r="D47" s="97"/>
      <c r="E47" s="38"/>
      <c r="F47" s="32"/>
      <c r="G47" s="30"/>
      <c r="J47" s="91"/>
      <c r="K47" s="91"/>
      <c r="L47" s="91"/>
      <c r="M47" s="16"/>
      <c r="N47" s="7"/>
    </row>
    <row r="48" spans="2:17" s="1" customFormat="1" x14ac:dyDescent="0.25">
      <c r="D48" s="98"/>
      <c r="E48" s="32"/>
      <c r="F48" s="32"/>
      <c r="G48" s="30"/>
      <c r="J48" s="91"/>
      <c r="K48" s="91"/>
      <c r="L48" s="91"/>
    </row>
    <row r="49" spans="2:12" s="1" customFormat="1" x14ac:dyDescent="0.25">
      <c r="D49" s="98"/>
      <c r="E49" s="32"/>
      <c r="F49" s="32"/>
      <c r="G49" s="39"/>
      <c r="J49" s="91"/>
      <c r="K49" s="91"/>
      <c r="L49" s="91"/>
    </row>
    <row r="50" spans="2:12" s="1" customFormat="1" x14ac:dyDescent="0.25">
      <c r="B50" s="12"/>
      <c r="C50" s="12"/>
      <c r="D50" s="99"/>
      <c r="E50" s="32"/>
      <c r="F50" s="40"/>
      <c r="G50" s="41"/>
      <c r="H50" s="12"/>
      <c r="I50" s="12"/>
      <c r="J50" s="92"/>
      <c r="K50" s="92"/>
      <c r="L50" s="92"/>
    </row>
    <row r="51" spans="2:12" s="12" customFormat="1" x14ac:dyDescent="0.25">
      <c r="D51" s="99"/>
      <c r="E51" s="32"/>
      <c r="F51" s="40"/>
      <c r="G51" s="42"/>
      <c r="J51" s="92"/>
      <c r="K51" s="92"/>
      <c r="L51" s="92"/>
    </row>
    <row r="52" spans="2:12" s="12" customFormat="1" x14ac:dyDescent="0.25">
      <c r="D52" s="99"/>
      <c r="E52" s="32"/>
      <c r="F52" s="40"/>
      <c r="G52" s="40"/>
      <c r="J52" s="92"/>
      <c r="K52" s="92"/>
      <c r="L52" s="92"/>
    </row>
    <row r="53" spans="2:12" s="12" customFormat="1" x14ac:dyDescent="0.25">
      <c r="D53" s="99"/>
      <c r="E53" s="32"/>
      <c r="F53" s="40"/>
      <c r="G53" s="42"/>
      <c r="J53" s="92"/>
      <c r="K53" s="92"/>
      <c r="L53" s="92"/>
    </row>
    <row r="54" spans="2:12" s="12" customFormat="1" x14ac:dyDescent="0.25">
      <c r="D54" s="99"/>
      <c r="E54" s="32"/>
      <c r="F54" s="40"/>
      <c r="G54" s="40"/>
      <c r="J54" s="92"/>
      <c r="K54" s="92"/>
      <c r="L54" s="92"/>
    </row>
    <row r="55" spans="2:12" s="12" customFormat="1" x14ac:dyDescent="0.25">
      <c r="B55" s="13"/>
      <c r="C55" s="13"/>
      <c r="D55" s="100"/>
      <c r="E55" s="119"/>
      <c r="F55" s="43"/>
      <c r="G55" s="43"/>
      <c r="H55" s="13"/>
      <c r="I55" s="13"/>
      <c r="J55" s="93"/>
      <c r="K55" s="93"/>
      <c r="L55" s="9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8" priority="139" operator="greaterThan">
      <formula>$G$47</formula>
    </cfRule>
  </conditionalFormatting>
  <conditionalFormatting sqref="G6:G36">
    <cfRule type="cellIs" dxfId="7" priority="138" operator="greaterThan">
      <formula>$G$47</formula>
    </cfRule>
  </conditionalFormatting>
  <conditionalFormatting sqref="E6:E29">
    <cfRule type="cellIs" dxfId="6" priority="9" operator="greaterThan">
      <formula>#REF!</formula>
    </cfRule>
  </conditionalFormatting>
  <conditionalFormatting sqref="F6:F29">
    <cfRule type="cellIs" dxfId="5" priority="8" operator="greaterThan">
      <formula>$D$47</formula>
    </cfRule>
  </conditionalFormatting>
  <conditionalFormatting sqref="E30:E34">
    <cfRule type="cellIs" dxfId="4" priority="7" operator="greaterThan">
      <formula>#REF!</formula>
    </cfRule>
  </conditionalFormatting>
  <conditionalFormatting sqref="F30:F34">
    <cfRule type="cellIs" dxfId="3" priority="6" operator="greaterThan">
      <formula>$D$47</formula>
    </cfRule>
  </conditionalFormatting>
  <conditionalFormatting sqref="E35:E36">
    <cfRule type="cellIs" dxfId="2" priority="5" operator="greaterThan">
      <formula>#REF!</formula>
    </cfRule>
  </conditionalFormatting>
  <conditionalFormatting sqref="F35">
    <cfRule type="cellIs" dxfId="1" priority="4" operator="greaterThan">
      <formula>$D$47</formula>
    </cfRule>
  </conditionalFormatting>
  <conditionalFormatting sqref="F36">
    <cfRule type="cellIs" dxfId="0" priority="3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B28" zoomScale="90" zoomScaleNormal="90" workbookViewId="0">
      <selection activeCell="I36" sqref="I36"/>
    </sheetView>
  </sheetViews>
  <sheetFormatPr defaultRowHeight="15" x14ac:dyDescent="0.25"/>
  <cols>
    <col min="1" max="4" width="9.140625" style="61"/>
    <col min="5" max="5" width="19.28515625" style="61" customWidth="1"/>
    <col min="6" max="6" width="23.85546875" style="61" customWidth="1"/>
    <col min="7" max="7" width="33.140625" style="73" customWidth="1"/>
    <col min="8" max="8" width="13.42578125" style="61" bestFit="1" customWidth="1"/>
    <col min="9" max="9" width="11.5703125" style="61" bestFit="1" customWidth="1"/>
    <col min="10" max="43" width="9.140625" style="61"/>
    <col min="44" max="16384" width="9.140625" style="67"/>
  </cols>
  <sheetData>
    <row r="1" spans="1:43" ht="15" customHeight="1" x14ac:dyDescent="0.25">
      <c r="B1" s="143" t="s">
        <v>3</v>
      </c>
      <c r="C1" s="143"/>
      <c r="D1" s="143"/>
      <c r="E1" s="143"/>
      <c r="F1" s="143"/>
      <c r="G1" s="143"/>
    </row>
    <row r="2" spans="1:43" ht="15" customHeight="1" x14ac:dyDescent="0.25">
      <c r="B2" s="143"/>
      <c r="C2" s="143"/>
      <c r="D2" s="143"/>
      <c r="E2" s="143"/>
      <c r="F2" s="143"/>
      <c r="G2" s="143"/>
    </row>
    <row r="3" spans="1:43" s="70" customFormat="1" ht="27" customHeight="1" x14ac:dyDescent="0.3">
      <c r="A3" s="68"/>
      <c r="B3" s="144" t="s">
        <v>0</v>
      </c>
      <c r="C3" s="144" t="s">
        <v>22</v>
      </c>
      <c r="D3" s="145" t="s">
        <v>21</v>
      </c>
      <c r="E3" s="83" t="s">
        <v>30</v>
      </c>
      <c r="F3" s="69" t="s">
        <v>32</v>
      </c>
      <c r="G3" s="86" t="s">
        <v>18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</row>
    <row r="4" spans="1:43" s="70" customFormat="1" ht="27" customHeight="1" x14ac:dyDescent="0.3">
      <c r="A4" s="68"/>
      <c r="B4" s="144"/>
      <c r="C4" s="144"/>
      <c r="D4" s="146"/>
      <c r="E4" s="84" t="s">
        <v>31</v>
      </c>
      <c r="F4" s="69" t="s">
        <v>31</v>
      </c>
      <c r="G4" s="69" t="s">
        <v>31</v>
      </c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</row>
    <row r="5" spans="1:43" ht="15.75" x14ac:dyDescent="0.25">
      <c r="B5" s="85">
        <v>1</v>
      </c>
      <c r="C5" s="85">
        <v>1</v>
      </c>
      <c r="D5" s="85">
        <v>2018</v>
      </c>
      <c r="E5" s="115">
        <v>56</v>
      </c>
      <c r="F5" s="115">
        <v>200</v>
      </c>
      <c r="G5" s="62">
        <f>E5+F5</f>
        <v>256</v>
      </c>
    </row>
    <row r="6" spans="1:43" ht="15.75" x14ac:dyDescent="0.25">
      <c r="B6" s="85">
        <v>2</v>
      </c>
      <c r="C6" s="85">
        <v>1</v>
      </c>
      <c r="D6" s="85">
        <v>2018</v>
      </c>
      <c r="E6" s="116">
        <v>57</v>
      </c>
      <c r="F6" s="116">
        <v>201</v>
      </c>
      <c r="G6" s="62">
        <f t="shared" ref="G6:G35" si="0">E6+F6</f>
        <v>258</v>
      </c>
    </row>
    <row r="7" spans="1:43" ht="15.75" x14ac:dyDescent="0.25">
      <c r="B7" s="85">
        <v>3</v>
      </c>
      <c r="C7" s="85">
        <v>1</v>
      </c>
      <c r="D7" s="85">
        <v>2018</v>
      </c>
      <c r="E7" s="116">
        <v>62</v>
      </c>
      <c r="F7" s="116">
        <v>221</v>
      </c>
      <c r="G7" s="62">
        <f t="shared" si="0"/>
        <v>283</v>
      </c>
    </row>
    <row r="8" spans="1:43" ht="15.75" x14ac:dyDescent="0.25">
      <c r="B8" s="85">
        <v>4</v>
      </c>
      <c r="C8" s="85">
        <v>1</v>
      </c>
      <c r="D8" s="85">
        <v>2018</v>
      </c>
      <c r="E8" s="116">
        <v>86</v>
      </c>
      <c r="F8" s="116">
        <v>297</v>
      </c>
      <c r="G8" s="62">
        <f t="shared" si="0"/>
        <v>383</v>
      </c>
    </row>
    <row r="9" spans="1:43" ht="15.75" x14ac:dyDescent="0.25">
      <c r="B9" s="85">
        <v>5</v>
      </c>
      <c r="C9" s="85">
        <v>1</v>
      </c>
      <c r="D9" s="85">
        <v>2018</v>
      </c>
      <c r="E9" s="116">
        <v>76</v>
      </c>
      <c r="F9" s="116">
        <v>270</v>
      </c>
      <c r="G9" s="62">
        <f t="shared" si="0"/>
        <v>346</v>
      </c>
    </row>
    <row r="10" spans="1:43" ht="15.75" x14ac:dyDescent="0.25">
      <c r="B10" s="85">
        <v>6</v>
      </c>
      <c r="C10" s="85">
        <v>1</v>
      </c>
      <c r="D10" s="85">
        <v>2018</v>
      </c>
      <c r="E10" s="116">
        <v>52</v>
      </c>
      <c r="F10" s="116">
        <v>181</v>
      </c>
      <c r="G10" s="62">
        <f t="shared" si="0"/>
        <v>233</v>
      </c>
    </row>
    <row r="11" spans="1:43" ht="15.75" x14ac:dyDescent="0.25">
      <c r="B11" s="85">
        <v>7</v>
      </c>
      <c r="C11" s="85">
        <v>1</v>
      </c>
      <c r="D11" s="85">
        <v>2018</v>
      </c>
      <c r="E11" s="116">
        <v>64</v>
      </c>
      <c r="F11" s="116">
        <v>228</v>
      </c>
      <c r="G11" s="62">
        <f t="shared" si="0"/>
        <v>292</v>
      </c>
    </row>
    <row r="12" spans="1:43" ht="15.75" x14ac:dyDescent="0.25">
      <c r="B12" s="85">
        <v>8</v>
      </c>
      <c r="C12" s="85">
        <v>1</v>
      </c>
      <c r="D12" s="85">
        <v>2018</v>
      </c>
      <c r="E12" s="122">
        <v>84</v>
      </c>
      <c r="F12" s="122">
        <v>299</v>
      </c>
      <c r="G12" s="62">
        <f t="shared" si="0"/>
        <v>383</v>
      </c>
    </row>
    <row r="13" spans="1:43" ht="15.75" x14ac:dyDescent="0.25">
      <c r="B13" s="85">
        <v>9</v>
      </c>
      <c r="C13" s="85">
        <v>1</v>
      </c>
      <c r="D13" s="85">
        <v>2018</v>
      </c>
      <c r="E13" s="116">
        <v>61</v>
      </c>
      <c r="F13" s="116">
        <v>215</v>
      </c>
      <c r="G13" s="62">
        <f t="shared" si="0"/>
        <v>276</v>
      </c>
    </row>
    <row r="14" spans="1:43" ht="15.75" x14ac:dyDescent="0.25">
      <c r="B14" s="85">
        <v>10</v>
      </c>
      <c r="C14" s="85">
        <v>1</v>
      </c>
      <c r="D14" s="85">
        <v>2018</v>
      </c>
      <c r="E14" s="116">
        <v>83</v>
      </c>
      <c r="F14" s="116">
        <v>300</v>
      </c>
      <c r="G14" s="62">
        <f t="shared" si="0"/>
        <v>383</v>
      </c>
    </row>
    <row r="15" spans="1:43" ht="15.75" x14ac:dyDescent="0.25">
      <c r="B15" s="85">
        <v>11</v>
      </c>
      <c r="C15" s="85">
        <v>1</v>
      </c>
      <c r="D15" s="85">
        <v>2018</v>
      </c>
      <c r="E15" s="116">
        <v>59</v>
      </c>
      <c r="F15" s="116">
        <v>220</v>
      </c>
      <c r="G15" s="62">
        <f t="shared" si="0"/>
        <v>279</v>
      </c>
    </row>
    <row r="16" spans="1:43" ht="15.75" x14ac:dyDescent="0.25">
      <c r="B16" s="85">
        <v>12</v>
      </c>
      <c r="C16" s="85">
        <v>1</v>
      </c>
      <c r="D16" s="85">
        <v>2018</v>
      </c>
      <c r="E16" s="122">
        <v>69</v>
      </c>
      <c r="F16" s="122">
        <v>258</v>
      </c>
      <c r="G16" s="62">
        <f t="shared" si="0"/>
        <v>327</v>
      </c>
    </row>
    <row r="17" spans="2:7" ht="15.75" x14ac:dyDescent="0.25">
      <c r="B17" s="85">
        <v>13</v>
      </c>
      <c r="C17" s="85">
        <v>1</v>
      </c>
      <c r="D17" s="85">
        <v>2018</v>
      </c>
      <c r="E17" s="116">
        <v>55</v>
      </c>
      <c r="F17" s="116">
        <v>209</v>
      </c>
      <c r="G17" s="62">
        <f t="shared" si="0"/>
        <v>264</v>
      </c>
    </row>
    <row r="18" spans="2:7" ht="15.75" x14ac:dyDescent="0.25">
      <c r="B18" s="85">
        <v>14</v>
      </c>
      <c r="C18" s="85">
        <v>1</v>
      </c>
      <c r="D18" s="85">
        <v>2018</v>
      </c>
      <c r="E18" s="116">
        <v>63</v>
      </c>
      <c r="F18" s="116">
        <v>239</v>
      </c>
      <c r="G18" s="62">
        <f t="shared" si="0"/>
        <v>302</v>
      </c>
    </row>
    <row r="19" spans="2:7" ht="15.75" x14ac:dyDescent="0.25">
      <c r="B19" s="85">
        <v>15</v>
      </c>
      <c r="C19" s="85">
        <v>1</v>
      </c>
      <c r="D19" s="85">
        <v>2018</v>
      </c>
      <c r="E19" s="116">
        <v>56</v>
      </c>
      <c r="F19" s="116">
        <v>213</v>
      </c>
      <c r="G19" s="62">
        <f t="shared" si="0"/>
        <v>269</v>
      </c>
    </row>
    <row r="20" spans="2:7" ht="15.75" x14ac:dyDescent="0.25">
      <c r="B20" s="85">
        <v>16</v>
      </c>
      <c r="C20" s="85">
        <v>1</v>
      </c>
      <c r="D20" s="85">
        <v>2018</v>
      </c>
      <c r="E20" s="116">
        <v>82</v>
      </c>
      <c r="F20" s="116">
        <v>309</v>
      </c>
      <c r="G20" s="62">
        <f t="shared" si="0"/>
        <v>391</v>
      </c>
    </row>
    <row r="21" spans="2:7" ht="15.75" x14ac:dyDescent="0.25">
      <c r="B21" s="85">
        <v>17</v>
      </c>
      <c r="C21" s="85">
        <v>1</v>
      </c>
      <c r="D21" s="85">
        <v>2018</v>
      </c>
      <c r="E21" s="116">
        <v>74</v>
      </c>
      <c r="F21" s="116">
        <v>284</v>
      </c>
      <c r="G21" s="62">
        <f t="shared" si="0"/>
        <v>358</v>
      </c>
    </row>
    <row r="22" spans="2:7" ht="15.75" x14ac:dyDescent="0.25">
      <c r="B22" s="85">
        <v>18</v>
      </c>
      <c r="C22" s="85">
        <v>1</v>
      </c>
      <c r="D22" s="85">
        <v>2018</v>
      </c>
      <c r="E22" s="116">
        <v>73</v>
      </c>
      <c r="F22" s="116">
        <v>279</v>
      </c>
      <c r="G22" s="62">
        <f t="shared" si="0"/>
        <v>352</v>
      </c>
    </row>
    <row r="23" spans="2:7" ht="15.75" x14ac:dyDescent="0.25">
      <c r="B23" s="85">
        <v>19</v>
      </c>
      <c r="C23" s="85">
        <v>1</v>
      </c>
      <c r="D23" s="85">
        <v>2018</v>
      </c>
      <c r="E23" s="116">
        <v>62</v>
      </c>
      <c r="F23" s="116">
        <v>237</v>
      </c>
      <c r="G23" s="62">
        <f t="shared" si="0"/>
        <v>299</v>
      </c>
    </row>
    <row r="24" spans="2:7" ht="15.75" x14ac:dyDescent="0.25">
      <c r="B24" s="85">
        <v>20</v>
      </c>
      <c r="C24" s="85">
        <v>1</v>
      </c>
      <c r="D24" s="85">
        <v>2018</v>
      </c>
      <c r="E24" s="116">
        <v>52</v>
      </c>
      <c r="F24" s="116">
        <v>197</v>
      </c>
      <c r="G24" s="62">
        <f t="shared" si="0"/>
        <v>249</v>
      </c>
    </row>
    <row r="25" spans="2:7" ht="15.75" x14ac:dyDescent="0.25">
      <c r="B25" s="85">
        <v>21</v>
      </c>
      <c r="C25" s="85">
        <v>1</v>
      </c>
      <c r="D25" s="85">
        <v>2018</v>
      </c>
      <c r="E25" s="116">
        <v>79</v>
      </c>
      <c r="F25" s="116">
        <v>301</v>
      </c>
      <c r="G25" s="62">
        <f t="shared" si="0"/>
        <v>380</v>
      </c>
    </row>
    <row r="26" spans="2:7" ht="15.75" x14ac:dyDescent="0.25">
      <c r="B26" s="85">
        <v>22</v>
      </c>
      <c r="C26" s="85">
        <v>1</v>
      </c>
      <c r="D26" s="85">
        <v>2018</v>
      </c>
      <c r="E26" s="116">
        <v>103</v>
      </c>
      <c r="F26" s="116">
        <v>388</v>
      </c>
      <c r="G26" s="62">
        <f t="shared" si="0"/>
        <v>491</v>
      </c>
    </row>
    <row r="27" spans="2:7" ht="15.75" x14ac:dyDescent="0.25">
      <c r="B27" s="85">
        <v>23</v>
      </c>
      <c r="C27" s="85">
        <v>1</v>
      </c>
      <c r="D27" s="85">
        <v>2018</v>
      </c>
      <c r="E27" s="116">
        <v>71</v>
      </c>
      <c r="F27" s="116">
        <v>270</v>
      </c>
      <c r="G27" s="62">
        <f t="shared" si="0"/>
        <v>341</v>
      </c>
    </row>
    <row r="28" spans="2:7" ht="15.75" x14ac:dyDescent="0.25">
      <c r="B28" s="85">
        <v>24</v>
      </c>
      <c r="C28" s="85">
        <v>1</v>
      </c>
      <c r="D28" s="85">
        <v>2018</v>
      </c>
      <c r="E28" s="116">
        <v>62</v>
      </c>
      <c r="F28" s="116">
        <v>232</v>
      </c>
      <c r="G28" s="62">
        <f t="shared" si="0"/>
        <v>294</v>
      </c>
    </row>
    <row r="29" spans="2:7" ht="15.75" x14ac:dyDescent="0.25">
      <c r="B29" s="85">
        <v>25</v>
      </c>
      <c r="C29" s="85">
        <v>1</v>
      </c>
      <c r="D29" s="85">
        <v>2018</v>
      </c>
      <c r="E29" s="116">
        <v>51</v>
      </c>
      <c r="F29" s="116">
        <v>194</v>
      </c>
      <c r="G29" s="62">
        <f t="shared" si="0"/>
        <v>245</v>
      </c>
    </row>
    <row r="30" spans="2:7" ht="15.75" x14ac:dyDescent="0.25">
      <c r="B30" s="85">
        <v>26</v>
      </c>
      <c r="C30" s="85">
        <v>1</v>
      </c>
      <c r="D30" s="85">
        <v>2018</v>
      </c>
      <c r="E30" s="116">
        <v>96</v>
      </c>
      <c r="F30" s="116">
        <v>362</v>
      </c>
      <c r="G30" s="62">
        <f t="shared" si="0"/>
        <v>458</v>
      </c>
    </row>
    <row r="31" spans="2:7" ht="15.75" x14ac:dyDescent="0.25">
      <c r="B31" s="85">
        <v>27</v>
      </c>
      <c r="C31" s="85">
        <v>1</v>
      </c>
      <c r="D31" s="85">
        <v>2018</v>
      </c>
      <c r="E31" s="116">
        <v>59</v>
      </c>
      <c r="F31" s="116">
        <v>224</v>
      </c>
      <c r="G31" s="62">
        <f t="shared" si="0"/>
        <v>283</v>
      </c>
    </row>
    <row r="32" spans="2:7" ht="15.75" x14ac:dyDescent="0.25">
      <c r="B32" s="85">
        <v>28</v>
      </c>
      <c r="C32" s="85">
        <v>1</v>
      </c>
      <c r="D32" s="85">
        <v>2018</v>
      </c>
      <c r="E32" s="116">
        <v>97</v>
      </c>
      <c r="F32" s="116">
        <v>370</v>
      </c>
      <c r="G32" s="62">
        <f t="shared" si="0"/>
        <v>467</v>
      </c>
    </row>
    <row r="33" spans="2:9" ht="15.75" x14ac:dyDescent="0.25">
      <c r="B33" s="85">
        <v>29</v>
      </c>
      <c r="C33" s="85">
        <v>1</v>
      </c>
      <c r="D33" s="85">
        <v>2018</v>
      </c>
      <c r="E33" s="116">
        <v>25</v>
      </c>
      <c r="F33" s="116">
        <v>100</v>
      </c>
      <c r="G33" s="62">
        <f t="shared" si="0"/>
        <v>125</v>
      </c>
    </row>
    <row r="34" spans="2:9" ht="15.75" x14ac:dyDescent="0.25">
      <c r="B34" s="85">
        <v>30</v>
      </c>
      <c r="C34" s="85">
        <v>1</v>
      </c>
      <c r="D34" s="85">
        <v>2018</v>
      </c>
      <c r="E34" s="116">
        <v>117</v>
      </c>
      <c r="F34" s="116">
        <v>442</v>
      </c>
      <c r="G34" s="62">
        <f t="shared" si="0"/>
        <v>559</v>
      </c>
    </row>
    <row r="35" spans="2:9" ht="15.75" x14ac:dyDescent="0.25">
      <c r="B35" s="85">
        <v>31</v>
      </c>
      <c r="C35" s="85">
        <v>1</v>
      </c>
      <c r="D35" s="85">
        <v>2018</v>
      </c>
      <c r="E35" s="116">
        <v>70</v>
      </c>
      <c r="F35" s="116">
        <v>296</v>
      </c>
      <c r="G35" s="62">
        <f t="shared" si="0"/>
        <v>366</v>
      </c>
    </row>
    <row r="36" spans="2:9" x14ac:dyDescent="0.25">
      <c r="B36" s="71"/>
      <c r="C36" s="71"/>
      <c r="D36" s="71"/>
      <c r="E36" s="71"/>
      <c r="F36" s="71"/>
      <c r="G36" s="66"/>
    </row>
    <row r="37" spans="2:9" ht="21" x14ac:dyDescent="0.35">
      <c r="B37" s="72"/>
      <c r="C37" s="72"/>
      <c r="D37" s="72"/>
      <c r="E37" s="14">
        <f t="shared" ref="E37:F37" si="1">SUM(E5:E35)</f>
        <v>2156</v>
      </c>
      <c r="F37" s="14">
        <f t="shared" si="1"/>
        <v>8036</v>
      </c>
      <c r="G37" s="14">
        <f>SUM(G5:G35)</f>
        <v>10192</v>
      </c>
    </row>
    <row r="38" spans="2:9" x14ac:dyDescent="0.25">
      <c r="I38" s="74"/>
    </row>
    <row r="39" spans="2:9" x14ac:dyDescent="0.25">
      <c r="I39" s="74"/>
    </row>
    <row r="40" spans="2:9" ht="15.75" thickBot="1" x14ac:dyDescent="0.3"/>
    <row r="41" spans="2:9" ht="21.75" thickBot="1" x14ac:dyDescent="0.4">
      <c r="C41" s="78"/>
      <c r="D41" s="78"/>
      <c r="F41" s="78"/>
      <c r="G41" s="75">
        <f>E37+F37</f>
        <v>10192</v>
      </c>
      <c r="H41" s="76"/>
    </row>
    <row r="42" spans="2:9" ht="15.75" x14ac:dyDescent="0.25">
      <c r="B42" s="78"/>
      <c r="C42" s="78"/>
      <c r="D42" s="78"/>
      <c r="E42" s="78"/>
      <c r="F42" s="78"/>
      <c r="G42" s="77"/>
      <c r="H42" s="76"/>
    </row>
    <row r="43" spans="2:9" ht="15.75" x14ac:dyDescent="0.25">
      <c r="B43" s="78"/>
      <c r="C43" s="78"/>
      <c r="D43" s="78"/>
      <c r="E43" s="78"/>
      <c r="F43" s="78"/>
      <c r="G43" s="77"/>
      <c r="H43" s="76"/>
    </row>
    <row r="44" spans="2:9" ht="15.75" x14ac:dyDescent="0.25">
      <c r="B44" s="78" t="s">
        <v>4</v>
      </c>
      <c r="C44" s="78"/>
      <c r="D44" s="78"/>
      <c r="F44" s="87" t="s">
        <v>19</v>
      </c>
      <c r="G44" s="79">
        <v>12550</v>
      </c>
      <c r="H44" s="80"/>
    </row>
    <row r="45" spans="2:9" x14ac:dyDescent="0.25">
      <c r="G45" s="77"/>
    </row>
    <row r="46" spans="2:9" ht="15.75" thickBot="1" x14ac:dyDescent="0.3">
      <c r="G46" s="77"/>
    </row>
    <row r="47" spans="2:9" ht="27" thickBot="1" x14ac:dyDescent="0.3">
      <c r="F47" s="78" t="s">
        <v>5</v>
      </c>
      <c r="G47" s="82">
        <f>G41*G44</f>
        <v>127909600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2023-02-28T08:26:18Z</dcterms:modified>
</cp:coreProperties>
</file>