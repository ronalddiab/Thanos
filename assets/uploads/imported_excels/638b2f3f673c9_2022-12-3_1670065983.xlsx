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lma\Downloads\"/>
    </mc:Choice>
  </mc:AlternateContent>
  <xr:revisionPtr revIDLastSave="96" documentId="8_{00B7C460-6DDE-4F49-8B51-05921E1F5BEF}" xr6:coauthVersionLast="47" xr6:coauthVersionMax="47" xr10:uidLastSave="{B52E41A1-2DB7-461B-8580-A4F84C761199}"/>
  <bookViews>
    <workbookView xWindow="-120" yWindow="-120" windowWidth="17520" windowHeight="12600" firstSheet="3" activeTab="3" xr2:uid="{00000000-000D-0000-FFFF-FFFF00000000}"/>
  </bookViews>
  <sheets>
    <sheet name="Total" sheetId="13" r:id="rId1"/>
    <sheet name="Submetering" sheetId="12" r:id="rId2"/>
    <sheet name="Boat" sheetId="16" r:id="rId3"/>
    <sheet name="Elect" sheetId="1" r:id="rId4"/>
    <sheet name="Water" sheetId="2" r:id="rId5"/>
    <sheet name="Gas" sheetId="6" r:id="rId6"/>
    <sheet name="Sheet1" sheetId="14" state="hidden" r:id="rId7"/>
    <sheet name="Sheet2" sheetId="15" state="hidden" r:id="rId8"/>
    <sheet name="Consp" sheetId="9" state="hidden" r:id="rId9"/>
    <sheet name="Temp." sheetId="4" state="hidden" r:id="rId10"/>
    <sheet name="M-Rep" sheetId="7" state="hidden" r:id="rId11"/>
    <sheet name="YTD" sheetId="10" state="hidden" r:id="rId12"/>
    <sheet name="Utility Consnsumption" sheetId="11" r:id="rId13"/>
  </sheets>
  <definedNames>
    <definedName name="_xlnm.Print_Area" localSheetId="8">Consp!$A$1:$BQ$40</definedName>
    <definedName name="_xlnm.Print_Area" localSheetId="3">Elect!$A$1:$BZ$40</definedName>
    <definedName name="_xlnm.Print_Area" localSheetId="5">Gas!$A$1:$J$40</definedName>
    <definedName name="_xlnm.Print_Area" localSheetId="9">Temp.!$A$1:$J$45</definedName>
    <definedName name="_xlnm.Print_Area" localSheetId="12">'Utility Consnsumption'!$A$1:$M$62</definedName>
    <definedName name="_xlnm.Print_Area" localSheetId="4">Water!$A$1:$Z$50</definedName>
    <definedName name="_xlnm.Print_Area" localSheetId="11">YTD!$A$1:$Q$2370</definedName>
    <definedName name="_xlnm.Print_Titles" localSheetId="8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2" l="1"/>
  <c r="I38" i="2"/>
  <c r="E41" i="11"/>
  <c r="C17" i="2"/>
  <c r="G27" i="2"/>
  <c r="C25" i="2"/>
  <c r="E18" i="2"/>
  <c r="E19" i="2"/>
  <c r="E20" i="2"/>
  <c r="C34" i="2"/>
  <c r="C35" i="2"/>
  <c r="C33" i="2"/>
  <c r="E23" i="2"/>
  <c r="E24" i="2"/>
  <c r="C4" i="16"/>
  <c r="AH2" i="12" s="1"/>
  <c r="E4" i="16"/>
  <c r="AM2" i="12" s="1"/>
  <c r="G4" i="16"/>
  <c r="AR2" i="12" s="1"/>
  <c r="C5" i="16"/>
  <c r="AH3" i="12" s="1"/>
  <c r="E5" i="16"/>
  <c r="AM3" i="12" s="1"/>
  <c r="G5" i="16"/>
  <c r="AR3" i="12" s="1"/>
  <c r="C6" i="16"/>
  <c r="AH4" i="12" s="1"/>
  <c r="E6" i="16"/>
  <c r="AM4" i="12" s="1"/>
  <c r="G6" i="16"/>
  <c r="AR4" i="12" s="1"/>
  <c r="C7" i="16"/>
  <c r="AH5" i="12" s="1"/>
  <c r="E7" i="16"/>
  <c r="AM5" i="12" s="1"/>
  <c r="G7" i="16"/>
  <c r="AR5" i="12" s="1"/>
  <c r="C8" i="16"/>
  <c r="AH6" i="12" s="1"/>
  <c r="E8" i="16"/>
  <c r="AM6" i="12" s="1"/>
  <c r="G8" i="16"/>
  <c r="AR6" i="12" s="1"/>
  <c r="C9" i="16"/>
  <c r="AH7" i="12" s="1"/>
  <c r="E9" i="16"/>
  <c r="AM7" i="12" s="1"/>
  <c r="G9" i="16"/>
  <c r="AR7" i="12" s="1"/>
  <c r="C10" i="16"/>
  <c r="AH8" i="12" s="1"/>
  <c r="E10" i="16"/>
  <c r="AM8" i="12" s="1"/>
  <c r="G10" i="16"/>
  <c r="AR8" i="12" s="1"/>
  <c r="C11" i="16"/>
  <c r="AH9" i="12" s="1"/>
  <c r="E11" i="16"/>
  <c r="AM9" i="12" s="1"/>
  <c r="G11" i="16"/>
  <c r="AR9" i="12" s="1"/>
  <c r="C12" i="16"/>
  <c r="AH10" i="12" s="1"/>
  <c r="E12" i="16"/>
  <c r="AM10" i="12" s="1"/>
  <c r="G12" i="16"/>
  <c r="AR10" i="12" s="1"/>
  <c r="C13" i="16"/>
  <c r="AH11" i="12" s="1"/>
  <c r="E13" i="16"/>
  <c r="AM11" i="12" s="1"/>
  <c r="G13" i="16"/>
  <c r="AR11" i="12" s="1"/>
  <c r="C14" i="16"/>
  <c r="AH12" i="12" s="1"/>
  <c r="E14" i="16"/>
  <c r="AM12" i="12" s="1"/>
  <c r="G14" i="16"/>
  <c r="AR12" i="12" s="1"/>
  <c r="C15" i="16"/>
  <c r="AH13" i="12" s="1"/>
  <c r="E15" i="16"/>
  <c r="AM13" i="12" s="1"/>
  <c r="G15" i="16"/>
  <c r="AR13" i="12" s="1"/>
  <c r="C16" i="16"/>
  <c r="AH14" i="12" s="1"/>
  <c r="E16" i="16"/>
  <c r="AM14" i="12" s="1"/>
  <c r="G16" i="16"/>
  <c r="AR14" i="12" s="1"/>
  <c r="C17" i="16"/>
  <c r="AH15" i="12" s="1"/>
  <c r="E17" i="16"/>
  <c r="AM15" i="12" s="1"/>
  <c r="G17" i="16"/>
  <c r="AR15" i="12" s="1"/>
  <c r="C18" i="16"/>
  <c r="AH16" i="12" s="1"/>
  <c r="E18" i="16"/>
  <c r="AM16" i="12" s="1"/>
  <c r="G18" i="16"/>
  <c r="AR16" i="12" s="1"/>
  <c r="C19" i="16"/>
  <c r="AH17" i="12" s="1"/>
  <c r="E19" i="16"/>
  <c r="AM17" i="12" s="1"/>
  <c r="G19" i="16"/>
  <c r="AR17" i="12" s="1"/>
  <c r="C20" i="16"/>
  <c r="AH18" i="12" s="1"/>
  <c r="E20" i="16"/>
  <c r="AM18" i="12" s="1"/>
  <c r="G20" i="16"/>
  <c r="AR18" i="12" s="1"/>
  <c r="C21" i="16"/>
  <c r="AH19" i="12" s="1"/>
  <c r="E21" i="16"/>
  <c r="AM19" i="12" s="1"/>
  <c r="G21" i="16"/>
  <c r="AR19" i="12" s="1"/>
  <c r="C22" i="16"/>
  <c r="AH20" i="12" s="1"/>
  <c r="E22" i="16"/>
  <c r="AM20" i="12" s="1"/>
  <c r="G22" i="16"/>
  <c r="AR20" i="12" s="1"/>
  <c r="C23" i="16"/>
  <c r="AH21" i="12" s="1"/>
  <c r="E23" i="16"/>
  <c r="AM21" i="12" s="1"/>
  <c r="G23" i="16"/>
  <c r="AR21" i="12" s="1"/>
  <c r="C24" i="16"/>
  <c r="AH22" i="12" s="1"/>
  <c r="E24" i="16"/>
  <c r="AM22" i="12" s="1"/>
  <c r="G24" i="16"/>
  <c r="AR22" i="12" s="1"/>
  <c r="C25" i="16"/>
  <c r="AH23" i="12" s="1"/>
  <c r="E25" i="16"/>
  <c r="AM23" i="12" s="1"/>
  <c r="G25" i="16"/>
  <c r="AR23" i="12" s="1"/>
  <c r="G23" i="13" s="1"/>
  <c r="C26" i="16"/>
  <c r="AH24" i="12" s="1"/>
  <c r="E26" i="16"/>
  <c r="AM24" i="12" s="1"/>
  <c r="G26" i="16"/>
  <c r="AR24" i="12" s="1"/>
  <c r="C27" i="16"/>
  <c r="AH25" i="12" s="1"/>
  <c r="E27" i="16"/>
  <c r="AM25" i="12" s="1"/>
  <c r="G27" i="16"/>
  <c r="AR25" i="12" s="1"/>
  <c r="C28" i="16"/>
  <c r="AH26" i="12" s="1"/>
  <c r="E28" i="16"/>
  <c r="AM26" i="12" s="1"/>
  <c r="G28" i="16"/>
  <c r="AR26" i="12" s="1"/>
  <c r="C29" i="16"/>
  <c r="AH27" i="12" s="1"/>
  <c r="E29" i="16"/>
  <c r="AM27" i="12" s="1"/>
  <c r="G29" i="16"/>
  <c r="AR27" i="12" s="1"/>
  <c r="C30" i="16"/>
  <c r="AH28" i="12" s="1"/>
  <c r="E30" i="16"/>
  <c r="AM28" i="12" s="1"/>
  <c r="G30" i="16"/>
  <c r="AR28" i="12" s="1"/>
  <c r="C31" i="16"/>
  <c r="AH29" i="12" s="1"/>
  <c r="E31" i="16"/>
  <c r="AM29" i="12" s="1"/>
  <c r="G31" i="16"/>
  <c r="AR29" i="12" s="1"/>
  <c r="C32" i="16"/>
  <c r="AH30" i="12" s="1"/>
  <c r="E32" i="16"/>
  <c r="AM30" i="12" s="1"/>
  <c r="G32" i="16"/>
  <c r="AR30" i="12" s="1"/>
  <c r="C33" i="16"/>
  <c r="AH31" i="12" s="1"/>
  <c r="E33" i="16"/>
  <c r="AM31" i="12" s="1"/>
  <c r="G33" i="16"/>
  <c r="AR31" i="12" s="1"/>
  <c r="C34" i="16"/>
  <c r="AH32" i="12" s="1"/>
  <c r="E34" i="16"/>
  <c r="AM32" i="12" s="1"/>
  <c r="G34" i="16"/>
  <c r="AR32" i="12" s="1"/>
  <c r="G35" i="16" l="1"/>
  <c r="E35" i="16"/>
  <c r="C35" i="16"/>
  <c r="E33" i="2" l="1"/>
  <c r="G24" i="2"/>
  <c r="G25" i="2"/>
  <c r="G26" i="2"/>
  <c r="G31" i="2"/>
  <c r="G32" i="2"/>
  <c r="G33" i="2"/>
  <c r="G34" i="2"/>
  <c r="G35" i="2"/>
  <c r="G36" i="2"/>
  <c r="G37" i="2"/>
  <c r="G28" i="2"/>
  <c r="G29" i="2"/>
  <c r="G30" i="2"/>
  <c r="E21" i="2"/>
  <c r="E22" i="2"/>
  <c r="E25" i="2"/>
  <c r="E26" i="2"/>
  <c r="E27" i="2"/>
  <c r="E28" i="2"/>
  <c r="E29" i="2"/>
  <c r="E30" i="2"/>
  <c r="E31" i="2"/>
  <c r="E32" i="2"/>
  <c r="E34" i="2"/>
  <c r="E35" i="2"/>
  <c r="E36" i="2"/>
  <c r="E37" i="2"/>
  <c r="C30" i="2"/>
  <c r="C31" i="2"/>
  <c r="C32" i="2"/>
  <c r="H35" i="2"/>
  <c r="I30" i="13" s="1"/>
  <c r="C36" i="2"/>
  <c r="C37" i="2"/>
  <c r="C26" i="2"/>
  <c r="C27" i="2"/>
  <c r="C28" i="2"/>
  <c r="C29" i="2"/>
  <c r="E9" i="2"/>
  <c r="C7" i="2"/>
  <c r="H36" i="2" l="1"/>
  <c r="I31" i="13" s="1"/>
  <c r="H37" i="2"/>
  <c r="I32" i="13" s="1"/>
  <c r="H26" i="2"/>
  <c r="I21" i="13" s="1"/>
  <c r="H27" i="2"/>
  <c r="I22" i="13" s="1"/>
  <c r="H34" i="2"/>
  <c r="I29" i="13" s="1"/>
  <c r="H33" i="2"/>
  <c r="I28" i="13" s="1"/>
  <c r="H32" i="2"/>
  <c r="I27" i="13" s="1"/>
  <c r="H31" i="2"/>
  <c r="I26" i="13" s="1"/>
  <c r="H30" i="2"/>
  <c r="I25" i="13" s="1"/>
  <c r="H29" i="2"/>
  <c r="I24" i="13" s="1"/>
  <c r="H28" i="2"/>
  <c r="I23" i="13" s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E10" i="2"/>
  <c r="E11" i="2"/>
  <c r="E12" i="2"/>
  <c r="E13" i="2"/>
  <c r="E14" i="2"/>
  <c r="E15" i="2"/>
  <c r="E16" i="2"/>
  <c r="E17" i="2"/>
  <c r="C22" i="2"/>
  <c r="C23" i="2"/>
  <c r="C24" i="2"/>
  <c r="H25" i="2"/>
  <c r="I20" i="13" s="1"/>
  <c r="C19" i="2"/>
  <c r="C20" i="2"/>
  <c r="C21" i="2"/>
  <c r="C8" i="2"/>
  <c r="C9" i="2"/>
  <c r="C10" i="2"/>
  <c r="C11" i="2"/>
  <c r="C12" i="2"/>
  <c r="C13" i="2"/>
  <c r="C14" i="2"/>
  <c r="C15" i="2"/>
  <c r="C16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G53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G22" i="13" s="1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G24" i="13" s="1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K17" i="6"/>
  <c r="G12" i="13" s="1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G25" i="13" s="1"/>
  <c r="J34" i="6"/>
  <c r="AJ32" i="9" s="1"/>
  <c r="I7" i="6"/>
  <c r="H12" i="6"/>
  <c r="J18" i="6"/>
  <c r="AJ16" i="9"/>
  <c r="AQ2" i="12"/>
  <c r="AO19" i="12"/>
  <c r="K24" i="6"/>
  <c r="G19" i="13" s="1"/>
  <c r="J8" i="6"/>
  <c r="AJ6" i="9"/>
  <c r="AH22" i="9"/>
  <c r="G52" i="11"/>
  <c r="I19" i="9"/>
  <c r="I26" i="9"/>
  <c r="BN24" i="9"/>
  <c r="K26" i="6"/>
  <c r="G21" i="13" s="1"/>
  <c r="AK12" i="12"/>
  <c r="I8" i="9"/>
  <c r="J25" i="6"/>
  <c r="AJ23" i="9"/>
  <c r="K6" i="6"/>
  <c r="H26" i="6"/>
  <c r="AP21" i="12"/>
  <c r="AH8" i="9"/>
  <c r="AO12" i="12"/>
  <c r="AO20" i="12"/>
  <c r="AH23" i="9"/>
  <c r="K25" i="6"/>
  <c r="G20" i="13" s="1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I19" i="13" s="1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G16" i="13" s="1"/>
  <c r="J20" i="6"/>
  <c r="AJ18" i="9"/>
  <c r="AK8" i="12"/>
  <c r="AH14" i="9"/>
  <c r="K16" i="6"/>
  <c r="G11" i="13" s="1"/>
  <c r="AO11" i="12"/>
  <c r="I17" i="6"/>
  <c r="K14" i="6"/>
  <c r="G9" i="13" s="1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G2" i="13" s="1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 s="1"/>
  <c r="AC3" i="12"/>
  <c r="AG3" i="12"/>
  <c r="K22" i="6"/>
  <c r="G17" i="13" s="1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 s="1"/>
  <c r="H34" i="6"/>
  <c r="AP29" i="12"/>
  <c r="K32" i="6"/>
  <c r="G27" i="13" s="1"/>
  <c r="H32" i="6"/>
  <c r="K33" i="6"/>
  <c r="G28" i="13" s="1"/>
  <c r="AO26" i="12"/>
  <c r="K31" i="6"/>
  <c r="G26" i="13" s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G18" i="12"/>
  <c r="AT28" i="9"/>
  <c r="AQ12" i="12"/>
  <c r="K8" i="6"/>
  <c r="G3" i="13" s="1"/>
  <c r="AP18" i="12"/>
  <c r="G20" i="12"/>
  <c r="G19" i="12"/>
  <c r="AU21" i="9"/>
  <c r="J13" i="6"/>
  <c r="AJ11" i="9"/>
  <c r="AQ14" i="12"/>
  <c r="J11" i="6"/>
  <c r="AJ9" i="9"/>
  <c r="K10" i="6"/>
  <c r="G5" i="13" s="1"/>
  <c r="H8" i="6"/>
  <c r="K12" i="6"/>
  <c r="G7" i="13" s="1"/>
  <c r="H10" i="6"/>
  <c r="K18" i="6"/>
  <c r="G13" i="13" s="1"/>
  <c r="K11" i="6"/>
  <c r="G6" i="13" s="1"/>
  <c r="AO13" i="12"/>
  <c r="H23" i="2"/>
  <c r="I18" i="13" s="1"/>
  <c r="AK15" i="12"/>
  <c r="I21" i="9"/>
  <c r="J22" i="6"/>
  <c r="AJ20" i="9"/>
  <c r="H22" i="6"/>
  <c r="AO18" i="12"/>
  <c r="AH21" i="9"/>
  <c r="I21" i="6"/>
  <c r="K20" i="6"/>
  <c r="G15" i="13" s="1"/>
  <c r="I19" i="6"/>
  <c r="AH17" i="9"/>
  <c r="H19" i="2"/>
  <c r="I14" i="13" s="1"/>
  <c r="I18" i="9"/>
  <c r="H20" i="2"/>
  <c r="I15" i="13" s="1"/>
  <c r="X37" i="2"/>
  <c r="Z37" i="2" s="1"/>
  <c r="H12" i="2"/>
  <c r="I7" i="13" s="1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 s="1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I11" i="13" s="1"/>
  <c r="AP14" i="12"/>
  <c r="H10" i="2"/>
  <c r="I5" i="13" s="1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G31" i="13" s="1"/>
  <c r="AO31" i="12"/>
  <c r="AP16" i="12"/>
  <c r="H21" i="6"/>
  <c r="AP12" i="12"/>
  <c r="H17" i="6"/>
  <c r="AJ29" i="12"/>
  <c r="I32" i="9"/>
  <c r="AJ27" i="12"/>
  <c r="I30" i="9"/>
  <c r="K35" i="1"/>
  <c r="G31" i="12"/>
  <c r="K18" i="12"/>
  <c r="AG20" i="12"/>
  <c r="AT23" i="9"/>
  <c r="AE18" i="12"/>
  <c r="K16" i="9"/>
  <c r="AK13" i="12"/>
  <c r="K12" i="9"/>
  <c r="AK9" i="12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 s="1"/>
  <c r="C23" i="9"/>
  <c r="AG2" i="12"/>
  <c r="N4" i="12"/>
  <c r="AR37" i="1"/>
  <c r="AR38" i="1"/>
  <c r="G19" i="9"/>
  <c r="C12" i="9"/>
  <c r="I10" i="4"/>
  <c r="AP2" i="12"/>
  <c r="K15" i="6"/>
  <c r="G10" i="13" s="1"/>
  <c r="H19" i="6"/>
  <c r="C38" i="6"/>
  <c r="W30" i="2"/>
  <c r="BN28" i="9" s="1"/>
  <c r="H18" i="2"/>
  <c r="I13" i="13" s="1"/>
  <c r="H15" i="2"/>
  <c r="I10" i="13" s="1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I17" i="13" s="1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I16" i="13" s="1"/>
  <c r="H17" i="2"/>
  <c r="I12" i="13" s="1"/>
  <c r="G38" i="2"/>
  <c r="H9" i="2"/>
  <c r="I4" i="13" s="1"/>
  <c r="H11" i="2"/>
  <c r="I6" i="13" s="1"/>
  <c r="H13" i="2"/>
  <c r="I8" i="13" s="1"/>
  <c r="H14" i="2"/>
  <c r="I9" i="13" s="1"/>
  <c r="I12" i="9"/>
  <c r="H14" i="6"/>
  <c r="H13" i="6"/>
  <c r="K13" i="6"/>
  <c r="G8" i="13" s="1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E32" i="13" s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E31" i="13" s="1"/>
  <c r="BX35" i="1"/>
  <c r="I37" i="4"/>
  <c r="I35" i="4"/>
  <c r="I38" i="4"/>
  <c r="X35" i="2"/>
  <c r="Q35" i="2"/>
  <c r="Q18" i="2"/>
  <c r="X16" i="9"/>
  <c r="AH33" i="9"/>
  <c r="E27" i="11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C13" i="1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E30" i="13" s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G54" i="11" l="1"/>
  <c r="BU20" i="1"/>
  <c r="E16" i="13"/>
  <c r="BN37" i="1"/>
  <c r="BN38" i="1" s="1"/>
  <c r="BH15" i="1"/>
  <c r="BJ16" i="1"/>
  <c r="BS16" i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I2" i="13" s="1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I13" i="1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G30" i="13" s="1"/>
  <c r="E38" i="6"/>
  <c r="E39" i="6" s="1"/>
  <c r="H35" i="6"/>
  <c r="H38" i="6" s="1"/>
  <c r="H39" i="6" s="1"/>
  <c r="H38" i="2" l="1"/>
  <c r="I3" i="13"/>
  <c r="AC11" i="12"/>
  <c r="BH37" i="1"/>
  <c r="BH38" i="1" s="1"/>
  <c r="BI15" i="1"/>
  <c r="E12" i="13"/>
  <c r="BU16" i="1"/>
  <c r="BX16" i="1"/>
  <c r="BW16" i="1"/>
  <c r="BJ7" i="1"/>
  <c r="BI37" i="1"/>
  <c r="F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E20" i="11"/>
  <c r="F20" i="11" s="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BJ15" i="1" l="1"/>
  <c r="BJ37" i="1" s="1"/>
  <c r="BS15" i="1"/>
  <c r="BY16" i="1"/>
  <c r="BZ16" i="1"/>
  <c r="BU7" i="1"/>
  <c r="BW7" i="1"/>
  <c r="BX7" i="1"/>
  <c r="BS37" i="1"/>
  <c r="G13" i="11"/>
  <c r="L13" i="11"/>
  <c r="J13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E11" i="13"/>
  <c r="BW15" i="1"/>
  <c r="M13" i="11"/>
  <c r="K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K17" i="1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<sst xmlns="http://schemas.openxmlformats.org/spreadsheetml/2006/main" count="900" uniqueCount="418">
  <si>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</si>
  <si>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</si>
  <si>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</si>
  <si>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</si>
  <si>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</si>
  <si>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</si>
  <si>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</si>
  <si>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</si>
  <si>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</si>
  <si>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</si>
  <si>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</si>
  <si>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</si>
  <si>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</si>
  <si>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</si>
  <si>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</si>
  <si>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</si>
  <si>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</si>
  <si>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</si>
  <si>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</si>
  <si>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</si>
  <si>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</si>
  <si>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</si>
  <si>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</si>
  <si>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</si>
  <si>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</si>
  <si>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</si>
  <si>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</si>
  <si>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</si>
  <si>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</si>
  <si>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</si>
  <si>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</si>
  <si>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</si>
  <si>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</si>
  <si>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</si>
  <si>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</si>
  <si>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</si>
  <si>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</si>
  <si>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</si>
  <si>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</si>
  <si>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</si>
  <si>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</si>
  <si>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</si>
  <si>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</si>
  <si>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</si>
  <si>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</si>
  <si>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</si>
  <si>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</si>
  <si>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</si>
  <si>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</si>
  <si>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</si>
  <si>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</si>
  <si>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</si>
  <si>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</si>
  <si>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>Read</t>
  </si>
  <si>
    <t>Cons</t>
  </si>
  <si>
    <t>Sum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</si>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</sst>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6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6"/>
    <xf numFmtId="3" fontId="19" fillId="11" borderId="5" xfId="6" applyNumberFormat="1" applyFont="1" applyFill="1" applyBorder="1" applyAlignment="1">
      <alignment horizontal="center" vertical="center"/>
    </xf>
    <xf numFmtId="3" fontId="19" fillId="2" borderId="105" xfId="6" applyNumberFormat="1" applyFont="1" applyFill="1" applyBorder="1" applyAlignment="1">
      <alignment horizontal="center" vertical="center"/>
    </xf>
    <xf numFmtId="3" fontId="19" fillId="0" borderId="1" xfId="6" applyNumberFormat="1" applyFont="1" applyBorder="1" applyAlignment="1">
      <alignment horizontal="center" vertical="center"/>
    </xf>
    <xf numFmtId="1" fontId="24" fillId="0" borderId="25" xfId="6" applyNumberFormat="1" applyFont="1" applyBorder="1" applyAlignment="1" applyProtection="1">
      <alignment horizontal="center" vertical="center"/>
      <protection locked="0"/>
    </xf>
    <xf numFmtId="0" fontId="19" fillId="2" borderId="41" xfId="6" applyFont="1" applyFill="1" applyBorder="1" applyAlignment="1">
      <alignment horizontal="center" vertical="center"/>
    </xf>
    <xf numFmtId="0" fontId="19" fillId="0" borderId="41" xfId="6" applyFont="1" applyBorder="1" applyAlignment="1">
      <alignment horizontal="center" vertical="center"/>
    </xf>
    <xf numFmtId="0" fontId="4" fillId="2" borderId="9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4" fillId="2" borderId="51" xfId="6" applyFont="1" applyFill="1" applyBorder="1" applyAlignment="1">
      <alignment horizontal="center" vertical="center"/>
    </xf>
    <xf numFmtId="0" fontId="4" fillId="2" borderId="105" xfId="6" applyFont="1" applyFill="1" applyBorder="1" applyAlignment="1">
      <alignment horizontal="center" vertical="center"/>
    </xf>
    <xf numFmtId="0" fontId="4" fillId="2" borderId="52" xfId="6" applyFont="1" applyFill="1" applyBorder="1" applyAlignment="1">
      <alignment horizontal="center" vertical="center"/>
    </xf>
    <xf numFmtId="0" fontId="4" fillId="2" borderId="44" xfId="6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0" fillId="0" borderId="39" xfId="0" applyBorder="1" applyAlignment="1"/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5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8</v>
      </c>
      <c r="D2" s="751">
        <v>2022</v>
      </c>
      <c r="E2" s="746">
        <f>Elect!BS6+Submetering!AH2</f>
        <v>37716.658349952522</v>
      </c>
      <c r="F2" s="744">
        <f>'Utility Consnsumption'!K13/'Utility Consnsumption'!J13</f>
        <v>1.3444935558310136</v>
      </c>
      <c r="G2" s="745">
        <f>Gas!K7+Submetering!AR2</f>
        <v>1701.02</v>
      </c>
      <c r="H2" s="744">
        <v>3.8</v>
      </c>
      <c r="I2" s="745">
        <f>Water!H7+Submetering!AM2</f>
        <v>425.45999999999992</v>
      </c>
      <c r="J2" s="744">
        <v>10</v>
      </c>
      <c r="K2" s="745">
        <f>Elect!BT6</f>
        <v>227</v>
      </c>
    </row>
    <row r="3" spans="1:12">
      <c r="A3" s="752" t="s">
        <v>11</v>
      </c>
      <c r="B3" s="729">
        <f>B2+1</f>
        <v>2</v>
      </c>
      <c r="C3" s="771">
        <v>8</v>
      </c>
      <c r="D3" s="751">
        <v>2022</v>
      </c>
      <c r="E3" s="746">
        <f>Elect!BS7+Submetering!AH3</f>
        <v>32447.179285375125</v>
      </c>
      <c r="F3" s="744">
        <f>F2</f>
        <v>1.3444935558310136</v>
      </c>
      <c r="G3" s="745">
        <f>Gas!K8+Submetering!AR3</f>
        <v>1708.84</v>
      </c>
      <c r="H3" s="744">
        <v>3.8</v>
      </c>
      <c r="I3" s="745">
        <f>Water!H8+Submetering!AM3</f>
        <v>456.9</v>
      </c>
      <c r="J3" s="744">
        <v>10</v>
      </c>
      <c r="K3" s="745">
        <f>Elect!BT7</f>
        <v>243</v>
      </c>
    </row>
    <row r="4" spans="1:12">
      <c r="A4" s="752" t="s">
        <v>11</v>
      </c>
      <c r="B4" s="729">
        <f t="shared" ref="B4:B32" si="0">B3+1</f>
        <v>3</v>
      </c>
      <c r="C4" s="771">
        <v>8</v>
      </c>
      <c r="D4" s="751">
        <v>2022</v>
      </c>
      <c r="E4" s="746">
        <f>Elect!BS8+Submetering!AH4</f>
        <v>43550.145396576467</v>
      </c>
      <c r="F4" s="744">
        <f t="shared" ref="F4:F32" si="1">F3</f>
        <v>1.3444935558310136</v>
      </c>
      <c r="G4" s="745">
        <f>Gas!K9+Submetering!AR4</f>
        <v>1779.2600000000002</v>
      </c>
      <c r="H4" s="744">
        <v>3.8</v>
      </c>
      <c r="I4" s="745">
        <f>Water!H9+Submetering!AM4</f>
        <v>439.17999999999995</v>
      </c>
      <c r="J4" s="744">
        <v>10</v>
      </c>
      <c r="K4" s="745">
        <f>Elect!BT8</f>
        <v>220</v>
      </c>
    </row>
    <row r="5" spans="1:12">
      <c r="A5" s="752" t="s">
        <v>11</v>
      </c>
      <c r="B5" s="729">
        <f t="shared" si="0"/>
        <v>4</v>
      </c>
      <c r="C5" s="771">
        <v>8</v>
      </c>
      <c r="D5" s="751">
        <v>2022</v>
      </c>
      <c r="E5" s="746">
        <f>Elect!BS9+Submetering!AH5</f>
        <v>34563.172896572745</v>
      </c>
      <c r="F5" s="744">
        <f t="shared" si="1"/>
        <v>1.3444935558310136</v>
      </c>
      <c r="G5" s="745">
        <f>Gas!K10+Submetering!AR5</f>
        <v>1556.96</v>
      </c>
      <c r="H5" s="744">
        <v>3.8</v>
      </c>
      <c r="I5" s="745">
        <f>Water!H10+Submetering!AM5</f>
        <v>468.4</v>
      </c>
      <c r="J5" s="744">
        <v>10</v>
      </c>
      <c r="K5" s="745">
        <f>Elect!BT9</f>
        <v>203</v>
      </c>
    </row>
    <row r="6" spans="1:12">
      <c r="A6" s="752" t="s">
        <v>11</v>
      </c>
      <c r="B6" s="729">
        <f t="shared" si="0"/>
        <v>5</v>
      </c>
      <c r="C6" s="771">
        <v>8</v>
      </c>
      <c r="D6" s="751">
        <v>2022</v>
      </c>
      <c r="E6" s="746">
        <f>Elect!BS10+Submetering!AH6</f>
        <v>41780.650396475874</v>
      </c>
      <c r="F6" s="744">
        <f t="shared" si="1"/>
        <v>1.3444935558310136</v>
      </c>
      <c r="G6" s="745">
        <f>Gas!K11+Submetering!AR6</f>
        <v>1726.7200000000003</v>
      </c>
      <c r="H6" s="744">
        <v>3.8</v>
      </c>
      <c r="I6" s="745">
        <f>Water!H11+Submetering!AM6</f>
        <v>459.16</v>
      </c>
      <c r="J6" s="744">
        <v>10</v>
      </c>
      <c r="K6" s="745">
        <f>Elect!BT10</f>
        <v>187</v>
      </c>
    </row>
    <row r="7" spans="1:12">
      <c r="A7" s="752" t="s">
        <v>11</v>
      </c>
      <c r="B7" s="729">
        <f t="shared" si="0"/>
        <v>6</v>
      </c>
      <c r="C7" s="771">
        <v>8</v>
      </c>
      <c r="D7" s="751">
        <v>2022</v>
      </c>
      <c r="E7" s="746">
        <f>Elect!BS11+Submetering!AH7</f>
        <v>37544.31311974836</v>
      </c>
      <c r="F7" s="744">
        <f t="shared" si="1"/>
        <v>1.3444935558310136</v>
      </c>
      <c r="G7" s="745">
        <f>Gas!K12+Submetering!AR7</f>
        <v>1690.68</v>
      </c>
      <c r="H7" s="744">
        <v>3.8</v>
      </c>
      <c r="I7" s="745">
        <f>Water!H12+Submetering!AM7</f>
        <v>442.24</v>
      </c>
      <c r="J7" s="744">
        <v>10</v>
      </c>
      <c r="K7" s="745">
        <f>Elect!BT11</f>
        <v>203</v>
      </c>
    </row>
    <row r="8" spans="1:12">
      <c r="A8" s="752" t="s">
        <v>11</v>
      </c>
      <c r="B8" s="729">
        <f t="shared" si="0"/>
        <v>7</v>
      </c>
      <c r="C8" s="771">
        <v>8</v>
      </c>
      <c r="D8" s="751">
        <v>2022</v>
      </c>
      <c r="E8" s="746">
        <f>Elect!BS12+Submetering!AH8</f>
        <v>33954.183611097033</v>
      </c>
      <c r="F8" s="744">
        <f t="shared" si="1"/>
        <v>1.3444935558310136</v>
      </c>
      <c r="G8" s="745">
        <f>Gas!K13+Submetering!AR8</f>
        <v>1786.74</v>
      </c>
      <c r="H8" s="744">
        <v>3.8</v>
      </c>
      <c r="I8" s="745">
        <f>Water!H13+Submetering!AM8</f>
        <v>452.09999999999991</v>
      </c>
      <c r="J8" s="744">
        <v>10</v>
      </c>
      <c r="K8" s="745">
        <f>Elect!BT12</f>
        <v>234</v>
      </c>
    </row>
    <row r="9" spans="1:12">
      <c r="A9" s="752" t="s">
        <v>11</v>
      </c>
      <c r="B9" s="729">
        <f t="shared" si="0"/>
        <v>8</v>
      </c>
      <c r="C9" s="771">
        <v>8</v>
      </c>
      <c r="D9" s="751">
        <v>2022</v>
      </c>
      <c r="E9" s="746">
        <f>Elect!BS13+Submetering!AH9</f>
        <v>34826.413611201351</v>
      </c>
      <c r="F9" s="744">
        <f t="shared" si="1"/>
        <v>1.3444935558310136</v>
      </c>
      <c r="G9" s="745">
        <f>Gas!K14+Submetering!AR9</f>
        <v>1814.1200000000001</v>
      </c>
      <c r="H9" s="744">
        <v>3.8</v>
      </c>
      <c r="I9" s="745">
        <f>Water!H14+Submetering!AM9</f>
        <v>465.8</v>
      </c>
      <c r="J9" s="744">
        <v>10</v>
      </c>
      <c r="K9" s="745">
        <f>Elect!BT13</f>
        <v>248</v>
      </c>
    </row>
    <row r="10" spans="1:12">
      <c r="A10" s="752" t="s">
        <v>11</v>
      </c>
      <c r="B10" s="729">
        <f t="shared" si="0"/>
        <v>9</v>
      </c>
      <c r="C10" s="771">
        <v>8</v>
      </c>
      <c r="D10" s="751">
        <v>2022</v>
      </c>
      <c r="E10" s="746">
        <f>Elect!BS14+Submetering!AH10</f>
        <v>30403.210277767437</v>
      </c>
      <c r="F10" s="744">
        <f t="shared" si="1"/>
        <v>1.3444935558310136</v>
      </c>
      <c r="G10" s="745">
        <f>Gas!K15+Submetering!AR10</f>
        <v>1780.4066666668841</v>
      </c>
      <c r="H10" s="744">
        <v>3.8</v>
      </c>
      <c r="I10" s="745">
        <f>Water!H15+Submetering!AM10</f>
        <v>431.32</v>
      </c>
      <c r="J10" s="744">
        <v>10</v>
      </c>
      <c r="K10" s="745">
        <f>Elect!BT14</f>
        <v>252</v>
      </c>
    </row>
    <row r="11" spans="1:12">
      <c r="A11" s="752" t="s">
        <v>11</v>
      </c>
      <c r="B11" s="729">
        <f t="shared" si="0"/>
        <v>10</v>
      </c>
      <c r="C11" s="771">
        <v>8</v>
      </c>
      <c r="D11" s="751">
        <v>2022</v>
      </c>
      <c r="E11" s="746">
        <f>Elect!BS15+Submetering!AH11</f>
        <v>33600.61027780635</v>
      </c>
      <c r="F11" s="744">
        <f t="shared" si="1"/>
        <v>1.3444935558310136</v>
      </c>
      <c r="G11" s="745">
        <f>Gas!K16+Submetering!AR11</f>
        <v>1832.6533333331163</v>
      </c>
      <c r="H11" s="744">
        <v>3.8</v>
      </c>
      <c r="I11" s="745">
        <f>Water!H16+Submetering!AM11</f>
        <v>437.5</v>
      </c>
      <c r="J11" s="744">
        <v>10</v>
      </c>
      <c r="K11" s="745">
        <f>Elect!BT15</f>
        <v>246</v>
      </c>
    </row>
    <row r="12" spans="1:12">
      <c r="A12" s="752" t="s">
        <v>11</v>
      </c>
      <c r="B12" s="729">
        <f t="shared" si="0"/>
        <v>11</v>
      </c>
      <c r="C12" s="771">
        <v>8</v>
      </c>
      <c r="D12" s="751">
        <v>2022</v>
      </c>
      <c r="E12" s="746">
        <f>Elect!BS16+Submetering!AH12</f>
        <v>37892.730277826966</v>
      </c>
      <c r="F12" s="744">
        <f t="shared" si="1"/>
        <v>1.3444935558310136</v>
      </c>
      <c r="G12" s="745">
        <f>Gas!K17+Submetering!AR12</f>
        <v>1791.8222222192214</v>
      </c>
      <c r="H12" s="744">
        <v>3.8</v>
      </c>
      <c r="I12" s="745">
        <f>Water!H17+Submetering!AM12</f>
        <v>432.3799999998227</v>
      </c>
      <c r="J12" s="744">
        <v>10</v>
      </c>
      <c r="K12" s="745">
        <f>Elect!BT16</f>
        <v>206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8</v>
      </c>
      <c r="D13" s="751">
        <v>2022</v>
      </c>
      <c r="E13" s="746">
        <f>Elect!BS17+Submetering!AH13</f>
        <v>38359.06888897928</v>
      </c>
      <c r="F13" s="744">
        <f t="shared" si="1"/>
        <v>1.3444935558310136</v>
      </c>
      <c r="G13" s="745">
        <f>Gas!K18+Submetering!AR13</f>
        <v>1799.2577777807787</v>
      </c>
      <c r="H13" s="744">
        <v>3.8</v>
      </c>
      <c r="I13" s="745">
        <f>Water!H18+Submetering!AM13</f>
        <v>437.80000000017719</v>
      </c>
      <c r="J13" s="744">
        <v>10</v>
      </c>
      <c r="K13" s="745">
        <f>Elect!BT17</f>
        <v>174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8</v>
      </c>
      <c r="D14" s="751">
        <v>2022</v>
      </c>
      <c r="E14" s="746">
        <f>Elect!BS18+Submetering!AH14</f>
        <v>32800.976666656323</v>
      </c>
      <c r="F14" s="744">
        <f t="shared" si="1"/>
        <v>1.3444935558310136</v>
      </c>
      <c r="G14" s="745">
        <f>Gas!K19+Submetering!AR14</f>
        <v>1800.74</v>
      </c>
      <c r="H14" s="744">
        <v>3.8</v>
      </c>
      <c r="I14" s="745">
        <f>Water!H19+Submetering!AM14</f>
        <v>412.96</v>
      </c>
      <c r="J14" s="744">
        <v>10</v>
      </c>
      <c r="K14" s="745">
        <f>Elect!BT18</f>
        <v>162</v>
      </c>
    </row>
    <row r="15" spans="1:12">
      <c r="A15" s="752" t="s">
        <v>11</v>
      </c>
      <c r="B15" s="729">
        <f t="shared" si="0"/>
        <v>14</v>
      </c>
      <c r="C15" s="771">
        <v>8</v>
      </c>
      <c r="D15" s="751">
        <v>2022</v>
      </c>
      <c r="E15" s="746">
        <f>Elect!BS19+Submetering!AH15</f>
        <v>-3267790.7763888026</v>
      </c>
      <c r="F15" s="744">
        <f t="shared" si="1"/>
        <v>1.3444935558310136</v>
      </c>
      <c r="G15" s="745">
        <f>Gas!K20+Submetering!AR15</f>
        <v>-94786.6</v>
      </c>
      <c r="H15" s="744">
        <v>3.8</v>
      </c>
      <c r="I15" s="745">
        <f>Water!H20+Submetering!AM15</f>
        <v>-3737.56</v>
      </c>
      <c r="J15" s="744">
        <v>10</v>
      </c>
      <c r="K15" s="745">
        <f>Elect!BT19</f>
        <v>207</v>
      </c>
    </row>
    <row r="16" spans="1:12">
      <c r="A16" s="752" t="s">
        <v>11</v>
      </c>
      <c r="B16" s="729">
        <f t="shared" si="0"/>
        <v>15</v>
      </c>
      <c r="C16" s="771">
        <v>8</v>
      </c>
      <c r="D16" s="751">
        <v>2022</v>
      </c>
      <c r="E16" s="746">
        <f>Elect!BS20+Submetering!AH16</f>
        <v>30228.346111100764</v>
      </c>
      <c r="F16" s="744">
        <f t="shared" si="1"/>
        <v>1.3444935558310136</v>
      </c>
      <c r="G16" s="745">
        <f>Gas!K21+Submetering!AR16</f>
        <v>1675.56</v>
      </c>
      <c r="H16" s="744">
        <v>3.8</v>
      </c>
      <c r="I16" s="745">
        <f>Water!H21+Submetering!AM16</f>
        <v>429.19999999999993</v>
      </c>
      <c r="J16" s="744">
        <v>10</v>
      </c>
      <c r="K16" s="745">
        <f>Elect!BT20</f>
        <v>248</v>
      </c>
    </row>
    <row r="17" spans="1:11">
      <c r="A17" s="752" t="s">
        <v>11</v>
      </c>
      <c r="B17" s="729">
        <f t="shared" si="0"/>
        <v>16</v>
      </c>
      <c r="C17" s="771">
        <v>8</v>
      </c>
      <c r="D17" s="751">
        <v>2022</v>
      </c>
      <c r="E17" s="746">
        <f>Elect!BS21+Submetering!AH17</f>
        <v>28164.741111201343</v>
      </c>
      <c r="F17" s="744">
        <f t="shared" si="1"/>
        <v>1.3444935558310136</v>
      </c>
      <c r="G17" s="745">
        <f>Gas!K22+Submetering!AR17</f>
        <v>1859.78</v>
      </c>
      <c r="H17" s="744">
        <v>3.8</v>
      </c>
      <c r="I17" s="745">
        <f>Water!H22+Submetering!AM17</f>
        <v>454.14</v>
      </c>
      <c r="J17" s="744">
        <v>10</v>
      </c>
      <c r="K17" s="745">
        <f>Elect!BT21</f>
        <v>248</v>
      </c>
    </row>
    <row r="18" spans="1:11">
      <c r="A18" s="752" t="s">
        <v>11</v>
      </c>
      <c r="B18" s="729">
        <f t="shared" si="0"/>
        <v>17</v>
      </c>
      <c r="C18" s="771">
        <v>8</v>
      </c>
      <c r="D18" s="751">
        <v>2022</v>
      </c>
      <c r="E18" s="746">
        <f>Elect!BS22+Submetering!AH18</f>
        <v>28923.61611110076</v>
      </c>
      <c r="F18" s="744">
        <f t="shared" si="1"/>
        <v>1.3444935558310136</v>
      </c>
      <c r="G18" s="745">
        <f>Gas!K23+Submetering!AR18</f>
        <v>1731.2600000000002</v>
      </c>
      <c r="H18" s="744">
        <v>3.8</v>
      </c>
      <c r="I18" s="745">
        <f>Water!H23+Submetering!AM18</f>
        <v>423.4</v>
      </c>
      <c r="J18" s="744">
        <v>10</v>
      </c>
      <c r="K18" s="745">
        <f>Elect!BT22</f>
        <v>244</v>
      </c>
    </row>
    <row r="19" spans="1:11">
      <c r="A19" s="752" t="s">
        <v>11</v>
      </c>
      <c r="B19" s="729">
        <f t="shared" si="0"/>
        <v>18</v>
      </c>
      <c r="C19" s="771">
        <v>8</v>
      </c>
      <c r="D19" s="751">
        <v>2022</v>
      </c>
      <c r="E19" s="746">
        <f>Elect!BS23+Submetering!AH19</f>
        <v>29865.247962999936</v>
      </c>
      <c r="F19" s="744">
        <f t="shared" si="1"/>
        <v>1.3444935558310136</v>
      </c>
      <c r="G19" s="745">
        <f>Gas!K24+Submetering!AR19</f>
        <v>1777.22</v>
      </c>
      <c r="H19" s="744">
        <v>3.8</v>
      </c>
      <c r="I19" s="745">
        <f>Water!H24+Submetering!AM19</f>
        <v>445.43999999999994</v>
      </c>
      <c r="J19" s="744">
        <v>10</v>
      </c>
      <c r="K19" s="745">
        <f>Elect!BT23</f>
        <v>228</v>
      </c>
    </row>
    <row r="20" spans="1:11">
      <c r="A20" s="752" t="s">
        <v>11</v>
      </c>
      <c r="B20" s="729">
        <f t="shared" si="0"/>
        <v>19</v>
      </c>
      <c r="C20" s="771">
        <v>8</v>
      </c>
      <c r="D20" s="751">
        <v>2022</v>
      </c>
      <c r="E20" s="746">
        <f>Elect!BS24+Submetering!AH20</f>
        <v>27622.143055596949</v>
      </c>
      <c r="F20" s="744">
        <f t="shared" si="1"/>
        <v>1.3444935558310136</v>
      </c>
      <c r="G20" s="745">
        <f>Gas!K25+Submetering!AR20</f>
        <v>1782.98</v>
      </c>
      <c r="H20" s="744">
        <v>3.8</v>
      </c>
      <c r="I20" s="745">
        <f>Water!H25+Submetering!AM20</f>
        <v>455.88</v>
      </c>
      <c r="J20" s="744">
        <v>10</v>
      </c>
      <c r="K20" s="745">
        <f>Elect!BT24</f>
        <v>203</v>
      </c>
    </row>
    <row r="21" spans="1:11">
      <c r="A21" s="752" t="s">
        <v>11</v>
      </c>
      <c r="B21" s="729">
        <f t="shared" si="0"/>
        <v>20</v>
      </c>
      <c r="C21" s="771">
        <v>8</v>
      </c>
      <c r="D21" s="751">
        <v>2022</v>
      </c>
      <c r="E21" s="746">
        <f>Elect!BS25+Submetering!AH21</f>
        <v>29080.356666701435</v>
      </c>
      <c r="F21" s="744">
        <f t="shared" si="1"/>
        <v>1.3444935558310136</v>
      </c>
      <c r="G21" s="745">
        <f>Gas!K26+Submetering!AR21</f>
        <v>1539.0400000000002</v>
      </c>
      <c r="H21" s="744">
        <v>3.8</v>
      </c>
      <c r="I21" s="745">
        <f>Water!H26+Submetering!AM21</f>
        <v>387.43999999999994</v>
      </c>
      <c r="J21" s="744">
        <v>10</v>
      </c>
      <c r="K21" s="745">
        <f>Elect!BT25</f>
        <v>203</v>
      </c>
    </row>
    <row r="22" spans="1:11">
      <c r="A22" s="752" t="s">
        <v>11</v>
      </c>
      <c r="B22" s="729">
        <f t="shared" si="0"/>
        <v>21</v>
      </c>
      <c r="C22" s="771">
        <v>8</v>
      </c>
      <c r="D22" s="751">
        <v>2022</v>
      </c>
      <c r="E22" s="746">
        <f>Elect!BS26+Submetering!AH22</f>
        <v>29364.639999999999</v>
      </c>
      <c r="F22" s="744">
        <f t="shared" si="1"/>
        <v>1.3444935558310136</v>
      </c>
      <c r="G22" s="745">
        <f>Gas!K27+Submetering!AR22</f>
        <v>1742.3799999999999</v>
      </c>
      <c r="H22" s="744">
        <v>3.8</v>
      </c>
      <c r="I22" s="745">
        <f>Water!H27+Submetering!AM22</f>
        <v>383.96</v>
      </c>
      <c r="J22" s="744">
        <v>10</v>
      </c>
      <c r="K22" s="745">
        <f>Elect!BT26</f>
        <v>202</v>
      </c>
    </row>
    <row r="23" spans="1:11">
      <c r="A23" s="752" t="s">
        <v>11</v>
      </c>
      <c r="B23" s="729">
        <f t="shared" si="0"/>
        <v>22</v>
      </c>
      <c r="C23" s="771">
        <v>8</v>
      </c>
      <c r="D23" s="751">
        <v>2022</v>
      </c>
      <c r="E23" s="746">
        <f>Elect!BS27+Submetering!AH23</f>
        <v>27510.87</v>
      </c>
      <c r="F23" s="744">
        <f t="shared" si="1"/>
        <v>1.3444935558310136</v>
      </c>
      <c r="G23" s="745">
        <f>Gas!K28+Submetering!AR23</f>
        <v>0</v>
      </c>
      <c r="H23" s="744">
        <v>3.8</v>
      </c>
      <c r="I23" s="745">
        <f>Water!H28+Submetering!AM23</f>
        <v>414.12</v>
      </c>
      <c r="J23" s="744">
        <v>10</v>
      </c>
      <c r="K23" s="745">
        <f>Elect!BT27</f>
        <v>237</v>
      </c>
    </row>
    <row r="24" spans="1:11">
      <c r="A24" s="752" t="s">
        <v>11</v>
      </c>
      <c r="B24" s="729">
        <f t="shared" si="0"/>
        <v>23</v>
      </c>
      <c r="C24" s="771">
        <v>8</v>
      </c>
      <c r="D24" s="751">
        <v>2022</v>
      </c>
      <c r="E24" s="746">
        <f>Elect!BS28+Submetering!AH24</f>
        <v>29302.152500000004</v>
      </c>
      <c r="F24" s="744">
        <f t="shared" si="1"/>
        <v>1.3444935558310136</v>
      </c>
      <c r="G24" s="745">
        <f>Gas!K29+Submetering!AR24</f>
        <v>1545.76</v>
      </c>
      <c r="H24" s="744">
        <v>3.8</v>
      </c>
      <c r="I24" s="745">
        <f>Water!H29+Submetering!AM24</f>
        <v>385.7</v>
      </c>
      <c r="J24" s="744">
        <v>10</v>
      </c>
      <c r="K24" s="745">
        <f>Elect!BT28</f>
        <v>182</v>
      </c>
    </row>
    <row r="25" spans="1:11">
      <c r="A25" s="752" t="s">
        <v>11</v>
      </c>
      <c r="B25" s="729">
        <f t="shared" si="0"/>
        <v>24</v>
      </c>
      <c r="C25" s="771">
        <v>8</v>
      </c>
      <c r="D25" s="751">
        <v>2022</v>
      </c>
      <c r="E25" s="746">
        <f>Elect!BS29+Submetering!AH25</f>
        <v>28582.352500000001</v>
      </c>
      <c r="F25" s="744">
        <f t="shared" si="1"/>
        <v>1.3444935558310136</v>
      </c>
      <c r="G25" s="745">
        <f>Gas!K30+Submetering!AR25</f>
        <v>1694.0600000000002</v>
      </c>
      <c r="H25" s="744">
        <v>3.8</v>
      </c>
      <c r="I25" s="745">
        <f>Water!H30+Submetering!AM25</f>
        <v>404.26</v>
      </c>
      <c r="J25" s="744">
        <v>10</v>
      </c>
      <c r="K25" s="745">
        <f>Elect!BT29</f>
        <v>212</v>
      </c>
    </row>
    <row r="26" spans="1:11">
      <c r="A26" s="752" t="s">
        <v>11</v>
      </c>
      <c r="B26" s="729">
        <f>B25+1</f>
        <v>25</v>
      </c>
      <c r="C26" s="771">
        <v>8</v>
      </c>
      <c r="D26" s="751">
        <v>2022</v>
      </c>
      <c r="E26" s="746">
        <f>Elect!BS30+Submetering!AH26</f>
        <v>28465.797500000001</v>
      </c>
      <c r="F26" s="744">
        <f t="shared" si="1"/>
        <v>1.3444935558310136</v>
      </c>
      <c r="G26" s="745">
        <f>Gas!K31+Submetering!AR26</f>
        <v>2111.94</v>
      </c>
      <c r="H26" s="744">
        <v>3.8</v>
      </c>
      <c r="I26" s="745">
        <f>Water!H31+Submetering!AM26</f>
        <v>459.35999999999996</v>
      </c>
      <c r="J26" s="744">
        <v>10</v>
      </c>
      <c r="K26" s="745">
        <f>Elect!BT30</f>
        <v>188</v>
      </c>
    </row>
    <row r="27" spans="1:11">
      <c r="A27" s="752" t="s">
        <v>11</v>
      </c>
      <c r="B27" s="729">
        <f t="shared" si="0"/>
        <v>26</v>
      </c>
      <c r="C27" s="771">
        <v>8</v>
      </c>
      <c r="D27" s="751">
        <v>2022</v>
      </c>
      <c r="E27" s="746">
        <f>Elect!BS31+Submetering!AH27</f>
        <v>29377.217500000002</v>
      </c>
      <c r="F27" s="744">
        <f t="shared" si="1"/>
        <v>1.3444935558310136</v>
      </c>
      <c r="G27" s="745">
        <f>Gas!K32+Submetering!AR27</f>
        <v>1589.4</v>
      </c>
      <c r="H27" s="744">
        <v>3.8</v>
      </c>
      <c r="I27" s="745">
        <f>Water!H32+Submetering!AM27</f>
        <v>339.88</v>
      </c>
      <c r="J27" s="744">
        <v>10</v>
      </c>
      <c r="K27" s="745">
        <f>Elect!BT31</f>
        <v>219</v>
      </c>
    </row>
    <row r="28" spans="1:11">
      <c r="A28" s="752" t="s">
        <v>11</v>
      </c>
      <c r="B28" s="729">
        <f t="shared" si="0"/>
        <v>27</v>
      </c>
      <c r="C28" s="771">
        <v>8</v>
      </c>
      <c r="D28" s="751">
        <v>2022</v>
      </c>
      <c r="E28" s="746">
        <f>Elect!BS32+Submetering!AH28</f>
        <v>29554.15</v>
      </c>
      <c r="F28" s="744">
        <f t="shared" si="1"/>
        <v>1.3444935558310136</v>
      </c>
      <c r="G28" s="745">
        <f>Gas!K33+Submetering!AR28</f>
        <v>1533.0600000000002</v>
      </c>
      <c r="H28" s="744">
        <v>3.8</v>
      </c>
      <c r="I28" s="745">
        <f>Water!H33+Submetering!AM28</f>
        <v>405.41999999999996</v>
      </c>
      <c r="J28" s="744">
        <v>10</v>
      </c>
      <c r="K28" s="745">
        <f>Elect!BT32</f>
        <v>212</v>
      </c>
    </row>
    <row r="29" spans="1:11">
      <c r="A29" s="752" t="s">
        <v>11</v>
      </c>
      <c r="B29" s="729">
        <f t="shared" si="0"/>
        <v>28</v>
      </c>
      <c r="C29" s="771">
        <v>8</v>
      </c>
      <c r="D29" s="751">
        <v>2022</v>
      </c>
      <c r="E29" s="746">
        <f>Elect!BS33+Submetering!AH29</f>
        <v>33727.615000000005</v>
      </c>
      <c r="F29" s="744">
        <f t="shared" si="1"/>
        <v>1.3444935558310136</v>
      </c>
      <c r="G29" s="745">
        <f>Gas!K34+Submetering!AR29</f>
        <v>1898.5000000000002</v>
      </c>
      <c r="H29" s="744">
        <v>3.8</v>
      </c>
      <c r="I29" s="745">
        <f>Water!H34+Submetering!AM29</f>
        <v>531.8599999999999</v>
      </c>
      <c r="J29" s="744">
        <v>10</v>
      </c>
      <c r="K29" s="745">
        <f>Elect!BT33</f>
        <v>243</v>
      </c>
    </row>
    <row r="30" spans="1:11">
      <c r="A30" s="752" t="s">
        <v>11</v>
      </c>
      <c r="B30" s="729">
        <f t="shared" si="0"/>
        <v>29</v>
      </c>
      <c r="C30" s="771">
        <v>8</v>
      </c>
      <c r="D30" s="751">
        <v>2022</v>
      </c>
      <c r="E30" s="746">
        <f>Elect!BS34+Submetering!AH30</f>
        <v>23974.174999999999</v>
      </c>
      <c r="F30" s="744">
        <f t="shared" si="1"/>
        <v>1.3444935558310136</v>
      </c>
      <c r="G30" s="745">
        <f>Gas!K35+Submetering!AR30</f>
        <v>1635.6599999999999</v>
      </c>
      <c r="H30" s="744">
        <v>3.8</v>
      </c>
      <c r="I30" s="745">
        <f>Water!H35+Submetering!AM30</f>
        <v>252.87999999999997</v>
      </c>
      <c r="J30" s="744">
        <v>10</v>
      </c>
      <c r="K30" s="745">
        <f>Elect!BT34</f>
        <v>247</v>
      </c>
    </row>
    <row r="31" spans="1:11">
      <c r="A31" s="752" t="s">
        <v>11</v>
      </c>
      <c r="B31" s="729">
        <f t="shared" si="0"/>
        <v>30</v>
      </c>
      <c r="C31" s="771">
        <v>8</v>
      </c>
      <c r="D31" s="751">
        <v>2022</v>
      </c>
      <c r="E31" s="746">
        <f>Elect!BS35+Submetering!AH31</f>
        <v>26201.045000012014</v>
      </c>
      <c r="F31" s="744">
        <f t="shared" si="1"/>
        <v>1.3444935558310136</v>
      </c>
      <c r="G31" s="745">
        <f>Gas!K36+Submetering!AR31</f>
        <v>1720.3</v>
      </c>
      <c r="H31" s="744">
        <v>3.8</v>
      </c>
      <c r="I31" s="745">
        <f>Water!H36+Submetering!AM31</f>
        <v>403.67999999999995</v>
      </c>
      <c r="J31" s="744">
        <v>10</v>
      </c>
      <c r="K31" s="745">
        <f>Elect!BT35</f>
        <v>247</v>
      </c>
    </row>
    <row r="32" spans="1:11">
      <c r="A32" s="753" t="s">
        <v>11</v>
      </c>
      <c r="B32" s="754">
        <f t="shared" si="0"/>
        <v>31</v>
      </c>
      <c r="C32" s="771">
        <v>8</v>
      </c>
      <c r="D32" s="751">
        <v>2022</v>
      </c>
      <c r="E32" s="746">
        <f>Elect!BS36+Submetering!AH32</f>
        <v>22919.464999999997</v>
      </c>
      <c r="F32" s="744">
        <f t="shared" si="1"/>
        <v>1.3444935558310136</v>
      </c>
      <c r="G32" s="745">
        <f>Gas!K37+Submetering!AR32</f>
        <v>1663.8733333368414</v>
      </c>
      <c r="H32" s="744">
        <v>3.8</v>
      </c>
      <c r="I32" s="745">
        <f>Water!H37+Submetering!AM32</f>
        <v>303.14666666686361</v>
      </c>
      <c r="J32" s="744">
        <v>10</v>
      </c>
      <c r="K32" s="745">
        <f>Elect!BT36</f>
        <v>238</v>
      </c>
    </row>
  </sheetData>
  <sheetProtection algorithmName="SHA-512" hashValue="U7N3bZL7jzTljMiMfTUAJOCz7kcvDqh6WHx/YBoizHeP/ehd8VYNsbIL5tc/3wU1NSG/1G/tDFzQ2BwOzlKTBQ==" saltValue="513ecqZcJVpXdgMQfYuaW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topLeftCell="AK1" workbookViewId="0">
      <selection activeCell="AM6" sqref="AM6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18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755" t="s">
        <v>43</v>
      </c>
      <c r="AI1" s="818" t="s">
        <v>44</v>
      </c>
      <c r="AJ1" s="755" t="s">
        <v>45</v>
      </c>
      <c r="AK1" s="755" t="s">
        <v>46</v>
      </c>
      <c r="AL1" s="755" t="s">
        <v>47</v>
      </c>
      <c r="AM1" s="755" t="s">
        <v>48</v>
      </c>
      <c r="AN1" s="818" t="s">
        <v>49</v>
      </c>
      <c r="AO1" s="755" t="s">
        <v>50</v>
      </c>
      <c r="AP1" s="755" t="s">
        <v>51</v>
      </c>
      <c r="AQ1" s="755" t="s">
        <v>52</v>
      </c>
      <c r="AR1" s="755" t="s">
        <v>48</v>
      </c>
      <c r="AS1" s="742" t="s">
        <v>10</v>
      </c>
    </row>
    <row r="2" spans="1:45" ht="19.5" customHeight="1">
      <c r="A2" s="749" t="s">
        <v>11</v>
      </c>
      <c r="B2" s="750">
        <v>1</v>
      </c>
      <c r="C2" s="771">
        <v>8</v>
      </c>
      <c r="D2" s="751">
        <v>2022</v>
      </c>
      <c r="E2" s="819"/>
      <c r="F2" s="738">
        <f>Elect!J6</f>
        <v>2039</v>
      </c>
      <c r="G2" s="738">
        <f>Elect!K6</f>
        <v>1738</v>
      </c>
      <c r="H2" s="738">
        <f>Elect!Q6</f>
        <v>810</v>
      </c>
      <c r="I2" s="738">
        <f>Elect!S6</f>
        <v>145</v>
      </c>
      <c r="J2" s="738">
        <f>Elect!U6</f>
        <v>258</v>
      </c>
      <c r="K2" s="738">
        <f>Elect!W6</f>
        <v>3414.26</v>
      </c>
      <c r="L2" s="738">
        <f>Elect!Y6</f>
        <v>4526.7300000000005</v>
      </c>
      <c r="M2" s="738">
        <f>Elect!AA6</f>
        <v>0</v>
      </c>
      <c r="N2" s="738">
        <f>Elect!AC6</f>
        <v>0</v>
      </c>
      <c r="O2" s="738">
        <f>Elect!AE6</f>
        <v>84.27000000000001</v>
      </c>
      <c r="P2" s="738">
        <f>Elect!AG6</f>
        <v>1672.68</v>
      </c>
      <c r="Q2" s="738">
        <f>Elect!AI6</f>
        <v>1172.3600000000001</v>
      </c>
      <c r="R2" s="738">
        <f>Elect!AK6</f>
        <v>3972.3500000000004</v>
      </c>
      <c r="S2" s="738">
        <f>Elect!AM6</f>
        <v>101.76</v>
      </c>
      <c r="T2" s="738">
        <f>Elect!AP6</f>
        <v>347.51249999999999</v>
      </c>
      <c r="U2" s="738">
        <f>Elect!AR6</f>
        <v>193</v>
      </c>
      <c r="V2" s="738">
        <f>Elect!AT6</f>
        <v>304.68584995251967</v>
      </c>
      <c r="W2" s="738">
        <f>Elect!AV6</f>
        <v>45</v>
      </c>
      <c r="X2" s="738">
        <f>Elect!AX6</f>
        <v>930</v>
      </c>
      <c r="Y2" s="738">
        <f>Elect!AZ6</f>
        <v>12</v>
      </c>
      <c r="Z2" s="738">
        <f>Elect!BB6</f>
        <v>4938</v>
      </c>
      <c r="AA2" s="738">
        <f>Elect!BD6</f>
        <v>284</v>
      </c>
      <c r="AB2" s="738">
        <f>Elect!BF6</f>
        <v>55</v>
      </c>
      <c r="AC2" s="738">
        <f>Elect!BH6</f>
        <v>6683.05</v>
      </c>
      <c r="AD2" s="738">
        <f>Elect!BL6</f>
        <v>265</v>
      </c>
      <c r="AE2" s="738">
        <f>Elect!BN6</f>
        <v>1564</v>
      </c>
      <c r="AF2" s="738">
        <f>Elect!BP6</f>
        <v>127</v>
      </c>
      <c r="AG2" s="738">
        <f>Elect!BR6</f>
        <v>171</v>
      </c>
      <c r="AH2" s="738">
        <f>Boat!C4</f>
        <v>6131</v>
      </c>
      <c r="AI2" s="819"/>
      <c r="AJ2" s="738">
        <f>Water!C7</f>
        <v>121.8</v>
      </c>
      <c r="AK2" s="738">
        <f>Water!E7</f>
        <v>150.79999999999998</v>
      </c>
      <c r="AL2" s="738">
        <f>Water!G7</f>
        <v>125.85999999999999</v>
      </c>
      <c r="AM2" s="738">
        <f>Boat!E4</f>
        <v>27</v>
      </c>
      <c r="AN2" s="819"/>
      <c r="AO2" s="738">
        <f>Gas!C7</f>
        <v>1258.22</v>
      </c>
      <c r="AP2" s="738">
        <f>Gas!E7</f>
        <v>317.79999999999995</v>
      </c>
      <c r="AQ2" s="738">
        <f>Gas!G7</f>
        <v>68</v>
      </c>
      <c r="AR2" s="738">
        <f>Boat!G4</f>
        <v>125</v>
      </c>
      <c r="AS2" s="745">
        <f>Elect!BT6</f>
        <v>227</v>
      </c>
    </row>
    <row r="3" spans="1:45" ht="12.75" customHeight="1">
      <c r="A3" s="752" t="s">
        <v>11</v>
      </c>
      <c r="B3" s="729">
        <f>B2+1</f>
        <v>2</v>
      </c>
      <c r="C3" s="771">
        <v>8</v>
      </c>
      <c r="D3" s="751">
        <v>2022</v>
      </c>
      <c r="E3" s="819"/>
      <c r="F3" s="738">
        <f>Elect!J7</f>
        <v>0</v>
      </c>
      <c r="G3" s="738">
        <f>Elect!K7</f>
        <v>3340</v>
      </c>
      <c r="H3" s="738">
        <f>Elect!Q7</f>
        <v>570</v>
      </c>
      <c r="I3" s="738">
        <f>Elect!S7</f>
        <v>134</v>
      </c>
      <c r="J3" s="738">
        <f>Elect!U7</f>
        <v>257</v>
      </c>
      <c r="K3" s="738">
        <f>Elect!W7</f>
        <v>3476.8</v>
      </c>
      <c r="L3" s="738">
        <f>Elect!Y7</f>
        <v>3827.6600000000003</v>
      </c>
      <c r="M3" s="738">
        <f>Elect!AA7</f>
        <v>0</v>
      </c>
      <c r="N3" s="738">
        <f>Elect!AC7</f>
        <v>0</v>
      </c>
      <c r="O3" s="738">
        <f>Elect!AE7</f>
        <v>1726.74</v>
      </c>
      <c r="P3" s="738">
        <f>Elect!AG7</f>
        <v>10.600000000000001</v>
      </c>
      <c r="Q3" s="738">
        <f>Elect!AI7</f>
        <v>1035.6200000000001</v>
      </c>
      <c r="R3" s="738">
        <f>Elect!AK7</f>
        <v>3576.9700000000003</v>
      </c>
      <c r="S3" s="738">
        <f>Elect!AM7</f>
        <v>102.29</v>
      </c>
      <c r="T3" s="738">
        <f>Elect!AP7</f>
        <v>290.13749999999999</v>
      </c>
      <c r="U3" s="738">
        <f>Elect!AR7</f>
        <v>154</v>
      </c>
      <c r="V3" s="738">
        <f>Elect!AT7</f>
        <v>179.76178537511987</v>
      </c>
      <c r="W3" s="738">
        <f>Elect!AV7</f>
        <v>61</v>
      </c>
      <c r="X3" s="738">
        <f>Elect!AX7</f>
        <v>804</v>
      </c>
      <c r="Y3" s="738">
        <f>Elect!AZ7</f>
        <v>10</v>
      </c>
      <c r="Z3" s="738">
        <f>Elect!BB7</f>
        <v>5316</v>
      </c>
      <c r="AA3" s="738">
        <f>Elect!BD7</f>
        <v>252</v>
      </c>
      <c r="AB3" s="738">
        <f>Elect!BF7</f>
        <v>112</v>
      </c>
      <c r="AC3" s="738">
        <f>Elect!BH7</f>
        <v>6520.5999999999995</v>
      </c>
      <c r="AD3" s="738">
        <f>Elect!BL7</f>
        <v>293</v>
      </c>
      <c r="AE3" s="738">
        <f>Elect!BN7</f>
        <v>1399</v>
      </c>
      <c r="AF3" s="738">
        <f>Elect!BP7</f>
        <v>113</v>
      </c>
      <c r="AG3" s="738">
        <f>Elect!BR7</f>
        <v>150</v>
      </c>
      <c r="AH3" s="738">
        <f>Boat!C5</f>
        <v>4421</v>
      </c>
      <c r="AI3" s="819"/>
      <c r="AJ3" s="738">
        <f>Water!C8</f>
        <v>133.39999999999998</v>
      </c>
      <c r="AK3" s="738">
        <f>Water!E8</f>
        <v>174</v>
      </c>
      <c r="AL3" s="738">
        <f>Water!G8</f>
        <v>130.5</v>
      </c>
      <c r="AM3" s="738">
        <f>Boat!E5</f>
        <v>19</v>
      </c>
      <c r="AN3" s="819"/>
      <c r="AO3" s="738">
        <f>Gas!C8</f>
        <v>1361.04</v>
      </c>
      <c r="AP3" s="738">
        <f>Gas!E8</f>
        <v>254.79999999999998</v>
      </c>
      <c r="AQ3" s="738">
        <f>Gas!G8</f>
        <v>97</v>
      </c>
      <c r="AR3" s="738">
        <f>Boat!G5</f>
        <v>93</v>
      </c>
      <c r="AS3" s="745">
        <f>Elect!BT7</f>
        <v>243</v>
      </c>
    </row>
    <row r="4" spans="1:45" ht="12.75" customHeight="1">
      <c r="A4" s="752" t="s">
        <v>11</v>
      </c>
      <c r="B4" s="729">
        <f t="shared" ref="B4:B31" si="0">B3+1</f>
        <v>3</v>
      </c>
      <c r="C4" s="771">
        <v>8</v>
      </c>
      <c r="D4" s="751">
        <v>2022</v>
      </c>
      <c r="E4" s="819"/>
      <c r="F4" s="738">
        <f>Elect!J8</f>
        <v>5969.1111112013459</v>
      </c>
      <c r="G4" s="738">
        <f>Elect!K8</f>
        <v>4452</v>
      </c>
      <c r="H4" s="738">
        <f>Elect!Q8</f>
        <v>750</v>
      </c>
      <c r="I4" s="738">
        <f>Elect!S8</f>
        <v>147</v>
      </c>
      <c r="J4" s="738">
        <f>Elect!U8</f>
        <v>268</v>
      </c>
      <c r="K4" s="738">
        <f>Elect!W8</f>
        <v>3896.03</v>
      </c>
      <c r="L4" s="738">
        <f>Elect!Y8</f>
        <v>4479.0300000000007</v>
      </c>
      <c r="M4" s="738">
        <f>Elect!AA8</f>
        <v>102.29</v>
      </c>
      <c r="N4" s="738">
        <f>Elect!AC8</f>
        <v>0</v>
      </c>
      <c r="O4" s="738">
        <f>Elect!AE8</f>
        <v>1694.41</v>
      </c>
      <c r="P4" s="738">
        <f>Elect!AG8</f>
        <v>11.13</v>
      </c>
      <c r="Q4" s="738">
        <f>Elect!AI8</f>
        <v>1181.3700000000001</v>
      </c>
      <c r="R4" s="738">
        <f>Elect!AK8</f>
        <v>4571.7800000000007</v>
      </c>
      <c r="S4" s="738">
        <f>Elect!AM8</f>
        <v>134.62</v>
      </c>
      <c r="T4" s="738">
        <f>Elect!AP8</f>
        <v>310.16250000000002</v>
      </c>
      <c r="U4" s="738">
        <f>Elect!AR8</f>
        <v>153</v>
      </c>
      <c r="V4" s="738">
        <f>Elect!AT8</f>
        <v>179.76178537512078</v>
      </c>
      <c r="W4" s="738">
        <f>Elect!AV8</f>
        <v>69</v>
      </c>
      <c r="X4" s="738">
        <f>Elect!AX8</f>
        <v>1062</v>
      </c>
      <c r="Y4" s="738">
        <f>Elect!AZ8</f>
        <v>12</v>
      </c>
      <c r="Z4" s="738">
        <f>Elect!BB8</f>
        <v>6552</v>
      </c>
      <c r="AA4" s="738">
        <f>Elect!BD8</f>
        <v>247</v>
      </c>
      <c r="AB4" s="738">
        <f>Elect!BF8</f>
        <v>55</v>
      </c>
      <c r="AC4" s="738">
        <f>Elect!BH8</f>
        <v>6852.45</v>
      </c>
      <c r="AD4" s="738">
        <f>Elect!BL8</f>
        <v>282</v>
      </c>
      <c r="AE4" s="738">
        <f>Elect!BN8</f>
        <v>1350</v>
      </c>
      <c r="AF4" s="738">
        <f>Elect!BP8</f>
        <v>109</v>
      </c>
      <c r="AG4" s="738">
        <f>Elect!BR8</f>
        <v>140</v>
      </c>
      <c r="AH4" s="738">
        <f>Boat!C6</f>
        <v>5268</v>
      </c>
      <c r="AI4" s="819"/>
      <c r="AJ4" s="738">
        <f>Water!C9</f>
        <v>127.6</v>
      </c>
      <c r="AK4" s="738">
        <f>Water!E9</f>
        <v>156.6</v>
      </c>
      <c r="AL4" s="738">
        <f>Water!G9</f>
        <v>133.97999999999999</v>
      </c>
      <c r="AM4" s="738">
        <f>Boat!E6</f>
        <v>21</v>
      </c>
      <c r="AN4" s="819"/>
      <c r="AO4" s="738">
        <f>Gas!C9</f>
        <v>1246.5600000000002</v>
      </c>
      <c r="AP4" s="738">
        <f>Gas!E9</f>
        <v>385.7</v>
      </c>
      <c r="AQ4" s="738">
        <f>Gas!G9</f>
        <v>96</v>
      </c>
      <c r="AR4" s="738">
        <f>Boat!G6</f>
        <v>147</v>
      </c>
      <c r="AS4" s="745">
        <f>Elect!BT8</f>
        <v>220</v>
      </c>
    </row>
    <row r="5" spans="1:45" ht="12.75" customHeight="1">
      <c r="A5" s="752" t="s">
        <v>11</v>
      </c>
      <c r="B5" s="729">
        <f t="shared" si="0"/>
        <v>4</v>
      </c>
      <c r="C5" s="771">
        <v>8</v>
      </c>
      <c r="D5" s="751">
        <v>2022</v>
      </c>
      <c r="E5" s="819"/>
      <c r="F5" s="738">
        <f>Elect!J9</f>
        <v>5969.1111111976206</v>
      </c>
      <c r="G5" s="738">
        <f>Elect!K9</f>
        <v>3105</v>
      </c>
      <c r="H5" s="738">
        <f>Elect!Q9</f>
        <v>720</v>
      </c>
      <c r="I5" s="738">
        <f>Elect!S9</f>
        <v>139</v>
      </c>
      <c r="J5" s="738">
        <f>Elect!U9</f>
        <v>240</v>
      </c>
      <c r="K5" s="738">
        <f>Elect!W9</f>
        <v>2661.13</v>
      </c>
      <c r="L5" s="738">
        <f>Elect!Y9</f>
        <v>0</v>
      </c>
      <c r="M5" s="738">
        <f>Elect!AA9</f>
        <v>3184.2400000000002</v>
      </c>
      <c r="N5" s="738">
        <f>Elect!AC9</f>
        <v>0</v>
      </c>
      <c r="O5" s="738">
        <f>Elect!AE9</f>
        <v>1634.52</v>
      </c>
      <c r="P5" s="738">
        <f>Elect!AG9</f>
        <v>11.13</v>
      </c>
      <c r="Q5" s="738">
        <f>Elect!AI9</f>
        <v>969.90000000000009</v>
      </c>
      <c r="R5" s="738">
        <f>Elect!AK9</f>
        <v>3366.56</v>
      </c>
      <c r="S5" s="738">
        <f>Elect!AM9</f>
        <v>102.82000000000001</v>
      </c>
      <c r="T5" s="738">
        <f>Elect!AP9</f>
        <v>286.2</v>
      </c>
      <c r="U5" s="738">
        <f>Elect!AR9</f>
        <v>148</v>
      </c>
      <c r="V5" s="738">
        <f>Elect!AT9</f>
        <v>179.76178537511987</v>
      </c>
      <c r="W5" s="738">
        <f>Elect!AV9</f>
        <v>57</v>
      </c>
      <c r="X5" s="738">
        <f>Elect!AX9</f>
        <v>775</v>
      </c>
      <c r="Y5" s="738">
        <f>Elect!AZ9</f>
        <v>11</v>
      </c>
      <c r="Z5" s="738">
        <f>Elect!BB9</f>
        <v>3775</v>
      </c>
      <c r="AA5" s="738">
        <f>Elect!BD9</f>
        <v>286</v>
      </c>
      <c r="AB5" s="738">
        <f>Elect!BF9</f>
        <v>35</v>
      </c>
      <c r="AC5" s="738">
        <f>Elect!BH9</f>
        <v>6274.8</v>
      </c>
      <c r="AD5" s="738">
        <f>Elect!BL9</f>
        <v>248</v>
      </c>
      <c r="AE5" s="738">
        <f>Elect!BN9</f>
        <v>1290</v>
      </c>
      <c r="AF5" s="738">
        <f>Elect!BP9</f>
        <v>106</v>
      </c>
      <c r="AG5" s="738">
        <f>Elect!BR9</f>
        <v>143</v>
      </c>
      <c r="AH5" s="738">
        <f>Boat!C7</f>
        <v>4116</v>
      </c>
      <c r="AI5" s="819"/>
      <c r="AJ5" s="738">
        <f>Water!C10</f>
        <v>139.19999999999999</v>
      </c>
      <c r="AK5" s="738">
        <f>Water!E10</f>
        <v>185.6</v>
      </c>
      <c r="AL5" s="738">
        <f>Water!G10</f>
        <v>127.6</v>
      </c>
      <c r="AM5" s="738">
        <f>Boat!E7</f>
        <v>16</v>
      </c>
      <c r="AN5" s="819"/>
      <c r="AO5" s="738">
        <f>Gas!C10</f>
        <v>1182.96</v>
      </c>
      <c r="AP5" s="738">
        <f>Gas!E10</f>
        <v>287</v>
      </c>
      <c r="AQ5" s="738">
        <f>Gas!G10</f>
        <v>79</v>
      </c>
      <c r="AR5" s="738">
        <f>Boat!G7</f>
        <v>87</v>
      </c>
      <c r="AS5" s="745">
        <f>Elect!BT9</f>
        <v>203</v>
      </c>
    </row>
    <row r="6" spans="1:45" ht="12.75" customHeight="1">
      <c r="A6" s="752" t="s">
        <v>11</v>
      </c>
      <c r="B6" s="729">
        <f t="shared" si="0"/>
        <v>5</v>
      </c>
      <c r="C6" s="771">
        <v>8</v>
      </c>
      <c r="D6" s="751">
        <v>2022</v>
      </c>
      <c r="E6" s="819"/>
      <c r="F6" s="738">
        <f>Elect!J10</f>
        <v>5969.1111111007631</v>
      </c>
      <c r="G6" s="738">
        <f>Elect!K10</f>
        <v>3812</v>
      </c>
      <c r="H6" s="738">
        <f>Elect!Q10</f>
        <v>540</v>
      </c>
      <c r="I6" s="738">
        <f>Elect!S10</f>
        <v>149</v>
      </c>
      <c r="J6" s="738">
        <f>Elect!U10</f>
        <v>264</v>
      </c>
      <c r="K6" s="738">
        <f>Elect!W10</f>
        <v>3505.9500000000003</v>
      </c>
      <c r="L6" s="738">
        <f>Elect!Y10</f>
        <v>0</v>
      </c>
      <c r="M6" s="738">
        <f>Elect!AA10</f>
        <v>4058.21</v>
      </c>
      <c r="N6" s="738">
        <f>Elect!AC10</f>
        <v>0</v>
      </c>
      <c r="O6" s="738">
        <f>Elect!AE10</f>
        <v>1595.3000000000002</v>
      </c>
      <c r="P6" s="738">
        <f>Elect!AG10</f>
        <v>10.07</v>
      </c>
      <c r="Q6" s="738">
        <f>Elect!AI10</f>
        <v>1115.1200000000001</v>
      </c>
      <c r="R6" s="738">
        <f>Elect!AK10</f>
        <v>4081.53</v>
      </c>
      <c r="S6" s="738">
        <f>Elect!AM10</f>
        <v>120.31</v>
      </c>
      <c r="T6" s="738">
        <f>Elect!AP10</f>
        <v>276.63749999999999</v>
      </c>
      <c r="U6" s="738">
        <f>Elect!AR10</f>
        <v>150</v>
      </c>
      <c r="V6" s="738">
        <f>Elect!AT10</f>
        <v>179.76178537510987</v>
      </c>
      <c r="W6" s="738">
        <f>Elect!AV10</f>
        <v>65</v>
      </c>
      <c r="X6" s="738">
        <f>Elect!AX10</f>
        <v>963</v>
      </c>
      <c r="Y6" s="738">
        <f>Elect!AZ10</f>
        <v>12</v>
      </c>
      <c r="Z6" s="738">
        <f>Elect!BB10</f>
        <v>6654</v>
      </c>
      <c r="AA6" s="738">
        <f>Elect!BD10</f>
        <v>273</v>
      </c>
      <c r="AB6" s="738">
        <f>Elect!BF10</f>
        <v>55</v>
      </c>
      <c r="AC6" s="738">
        <f>Elect!BH10</f>
        <v>6417.65</v>
      </c>
      <c r="AD6" s="738">
        <f>Elect!BL10</f>
        <v>247</v>
      </c>
      <c r="AE6" s="738">
        <f>Elect!BN10</f>
        <v>1315</v>
      </c>
      <c r="AF6" s="738">
        <f>Elect!BP10</f>
        <v>108</v>
      </c>
      <c r="AG6" s="738">
        <f>Elect!BR10</f>
        <v>152</v>
      </c>
      <c r="AH6" s="738">
        <f>Boat!C8</f>
        <v>5739</v>
      </c>
      <c r="AI6" s="819"/>
      <c r="AJ6" s="738">
        <f>Water!C11</f>
        <v>127.6</v>
      </c>
      <c r="AK6" s="738">
        <f>Water!E11</f>
        <v>174</v>
      </c>
      <c r="AL6" s="738">
        <f>Water!G11</f>
        <v>134.56</v>
      </c>
      <c r="AM6" s="738">
        <f>Boat!E8</f>
        <v>23</v>
      </c>
      <c r="AN6" s="819"/>
      <c r="AO6" s="738">
        <f>Gas!C11</f>
        <v>1321.8200000000002</v>
      </c>
      <c r="AP6" s="738">
        <f>Gas!E11</f>
        <v>284.89999999999998</v>
      </c>
      <c r="AQ6" s="738">
        <f>Gas!G11</f>
        <v>90</v>
      </c>
      <c r="AR6" s="738">
        <f>Boat!G8</f>
        <v>120</v>
      </c>
      <c r="AS6" s="745">
        <f>Elect!BT10</f>
        <v>187</v>
      </c>
    </row>
    <row r="7" spans="1:45" ht="12.75" customHeight="1">
      <c r="A7" s="752" t="s">
        <v>11</v>
      </c>
      <c r="B7" s="729">
        <f t="shared" si="0"/>
        <v>6</v>
      </c>
      <c r="C7" s="771">
        <v>8</v>
      </c>
      <c r="D7" s="751">
        <v>2022</v>
      </c>
      <c r="E7" s="819"/>
      <c r="F7" s="738">
        <f>Elect!J11</f>
        <v>5969.1111112013459</v>
      </c>
      <c r="G7" s="738">
        <f>Elect!K11</f>
        <v>3532</v>
      </c>
      <c r="H7" s="738">
        <f>Elect!Q11</f>
        <v>540</v>
      </c>
      <c r="I7" s="738">
        <f>Elect!S11</f>
        <v>136</v>
      </c>
      <c r="J7" s="738">
        <f>Elect!U11</f>
        <v>231</v>
      </c>
      <c r="K7" s="738">
        <f>Elect!W11</f>
        <v>2624.56</v>
      </c>
      <c r="L7" s="738">
        <f>Elect!Y11</f>
        <v>0</v>
      </c>
      <c r="M7" s="738">
        <f>Elect!AA11</f>
        <v>3516.02</v>
      </c>
      <c r="N7" s="738">
        <f>Elect!AC11</f>
        <v>0</v>
      </c>
      <c r="O7" s="738">
        <f>Elect!AE11</f>
        <v>1488.24</v>
      </c>
      <c r="P7" s="738">
        <f>Elect!AG11</f>
        <v>11.66</v>
      </c>
      <c r="Q7" s="738">
        <f>Elect!AI11</f>
        <v>915.84</v>
      </c>
      <c r="R7" s="738">
        <f>Elect!AK11</f>
        <v>3757.7000000000003</v>
      </c>
      <c r="S7" s="738">
        <f>Elect!AM11</f>
        <v>110.24000000000001</v>
      </c>
      <c r="T7" s="738">
        <f>Elect!AP11</f>
        <v>263.02500000000003</v>
      </c>
      <c r="U7" s="738">
        <f>Elect!AR11</f>
        <v>138</v>
      </c>
      <c r="V7" s="738">
        <f>Elect!AT11</f>
        <v>230.26700854700994</v>
      </c>
      <c r="W7" s="738">
        <f>Elect!AV11</f>
        <v>49</v>
      </c>
      <c r="X7" s="738">
        <f>Elect!AX11</f>
        <v>909</v>
      </c>
      <c r="Y7" s="738">
        <f>Elect!AZ11</f>
        <v>10</v>
      </c>
      <c r="Z7" s="738">
        <f>Elect!BB11</f>
        <v>4910</v>
      </c>
      <c r="AA7" s="738">
        <f>Elect!BD11</f>
        <v>286</v>
      </c>
      <c r="AB7" s="738">
        <f>Elect!BF11</f>
        <v>50</v>
      </c>
      <c r="AC7" s="738">
        <f>Elect!BH11</f>
        <v>6297.6500000000005</v>
      </c>
      <c r="AD7" s="738">
        <f>Elect!BL11</f>
        <v>273</v>
      </c>
      <c r="AE7" s="738">
        <f>Elect!BN11</f>
        <v>1231</v>
      </c>
      <c r="AF7" s="738">
        <f>Elect!BP11</f>
        <v>112</v>
      </c>
      <c r="AG7" s="738">
        <f>Elect!BR11</f>
        <v>124</v>
      </c>
      <c r="AH7" s="738">
        <f>Boat!C9</f>
        <v>5468</v>
      </c>
      <c r="AI7" s="819"/>
      <c r="AJ7" s="738">
        <f>Water!C12</f>
        <v>127.6</v>
      </c>
      <c r="AK7" s="738">
        <f>Water!E12</f>
        <v>162.39999999999998</v>
      </c>
      <c r="AL7" s="738">
        <f>Water!G12</f>
        <v>132.23999999999998</v>
      </c>
      <c r="AM7" s="738">
        <f>Boat!E9</f>
        <v>20</v>
      </c>
      <c r="AN7" s="819"/>
      <c r="AO7" s="738">
        <f>Gas!C12</f>
        <v>1185.0800000000002</v>
      </c>
      <c r="AP7" s="738">
        <f>Gas!E12</f>
        <v>285.59999999999997</v>
      </c>
      <c r="AQ7" s="738">
        <f>Gas!G12</f>
        <v>80</v>
      </c>
      <c r="AR7" s="738">
        <f>Boat!G9</f>
        <v>220</v>
      </c>
      <c r="AS7" s="745">
        <f>Elect!BT11</f>
        <v>203</v>
      </c>
    </row>
    <row r="8" spans="1:45" ht="12.75" customHeight="1">
      <c r="A8" s="752" t="s">
        <v>11</v>
      </c>
      <c r="B8" s="729">
        <f t="shared" si="0"/>
        <v>7</v>
      </c>
      <c r="C8" s="771">
        <v>8</v>
      </c>
      <c r="D8" s="751">
        <v>2022</v>
      </c>
      <c r="E8" s="819"/>
      <c r="F8" s="738">
        <f>Elect!J12</f>
        <v>5969.1111110970378</v>
      </c>
      <c r="G8" s="738">
        <f>Elect!K12</f>
        <v>2492</v>
      </c>
      <c r="H8" s="738">
        <f>Elect!Q12</f>
        <v>510</v>
      </c>
      <c r="I8" s="738">
        <f>Elect!S12</f>
        <v>150</v>
      </c>
      <c r="J8" s="738">
        <f>Elect!U12</f>
        <v>254</v>
      </c>
      <c r="K8" s="738">
        <f>Elect!W12</f>
        <v>1480.29</v>
      </c>
      <c r="L8" s="738">
        <f>Elect!Y12</f>
        <v>0</v>
      </c>
      <c r="M8" s="738">
        <f>Elect!AA12</f>
        <v>3054.92</v>
      </c>
      <c r="N8" s="738">
        <f>Elect!AC12</f>
        <v>0</v>
      </c>
      <c r="O8" s="738">
        <f>Elect!AE12</f>
        <v>1375.88</v>
      </c>
      <c r="P8" s="738">
        <f>Elect!AG12</f>
        <v>11.13</v>
      </c>
      <c r="Q8" s="738">
        <f>Elect!AI12</f>
        <v>669.92000000000007</v>
      </c>
      <c r="R8" s="738">
        <f>Elect!AK12</f>
        <v>2972.77</v>
      </c>
      <c r="S8" s="738">
        <f>Elect!AM12</f>
        <v>98.050000000000011</v>
      </c>
      <c r="T8" s="738">
        <f>Elect!AP12</f>
        <v>235.46250000000001</v>
      </c>
      <c r="U8" s="738">
        <f>Elect!AR12</f>
        <v>175</v>
      </c>
      <c r="V8" s="738">
        <f>Elect!AT12</f>
        <v>170</v>
      </c>
      <c r="W8" s="738">
        <f>Elect!AV12</f>
        <v>33</v>
      </c>
      <c r="X8" s="738">
        <f>Elect!AX12</f>
        <v>790</v>
      </c>
      <c r="Y8" s="738">
        <f>Elect!AZ12</f>
        <v>12</v>
      </c>
      <c r="Z8" s="738">
        <f>Elect!BB12</f>
        <v>5256</v>
      </c>
      <c r="AA8" s="738">
        <f>Elect!BD12</f>
        <v>285</v>
      </c>
      <c r="AB8" s="738">
        <f>Elect!BF12</f>
        <v>45</v>
      </c>
      <c r="AC8" s="738">
        <f>Elect!BH12</f>
        <v>6744.65</v>
      </c>
      <c r="AD8" s="738">
        <f>Elect!BL12</f>
        <v>332</v>
      </c>
      <c r="AE8" s="738">
        <f>Elect!BN12</f>
        <v>1459</v>
      </c>
      <c r="AF8" s="738">
        <f>Elect!BP12</f>
        <v>124</v>
      </c>
      <c r="AG8" s="738">
        <f>Elect!BR12</f>
        <v>150</v>
      </c>
      <c r="AH8" s="738">
        <f>Boat!C10</f>
        <v>4066</v>
      </c>
      <c r="AI8" s="819"/>
      <c r="AJ8" s="738">
        <f>Water!C13</f>
        <v>127.6</v>
      </c>
      <c r="AK8" s="738">
        <f>Water!E13</f>
        <v>168.2</v>
      </c>
      <c r="AL8" s="738">
        <f>Water!G13</f>
        <v>136.29999999999998</v>
      </c>
      <c r="AM8" s="738">
        <f>Boat!E10</f>
        <v>20</v>
      </c>
      <c r="AN8" s="819"/>
      <c r="AO8" s="738">
        <f>Gas!C13</f>
        <v>1414.04</v>
      </c>
      <c r="AP8" s="738">
        <f>Gas!E13</f>
        <v>301.7</v>
      </c>
      <c r="AQ8" s="738">
        <f>Gas!G13</f>
        <v>90</v>
      </c>
      <c r="AR8" s="738">
        <f>Boat!G10</f>
        <v>71</v>
      </c>
      <c r="AS8" s="745">
        <f>Elect!BT12</f>
        <v>234</v>
      </c>
    </row>
    <row r="9" spans="1:45" ht="12.75" customHeight="1">
      <c r="A9" s="752" t="s">
        <v>11</v>
      </c>
      <c r="B9" s="729">
        <f t="shared" si="0"/>
        <v>8</v>
      </c>
      <c r="C9" s="771">
        <v>8</v>
      </c>
      <c r="D9" s="751">
        <v>2022</v>
      </c>
      <c r="E9" s="819"/>
      <c r="F9" s="738">
        <f>Elect!J13</f>
        <v>5969.1111112013459</v>
      </c>
      <c r="G9" s="738">
        <f>Elect!K13</f>
        <v>4301</v>
      </c>
      <c r="H9" s="738">
        <f>Elect!Q13</f>
        <v>570</v>
      </c>
      <c r="I9" s="738">
        <f>Elect!S13</f>
        <v>156</v>
      </c>
      <c r="J9" s="738">
        <f>Elect!U13</f>
        <v>271</v>
      </c>
      <c r="K9" s="738">
        <f>Elect!W13</f>
        <v>0</v>
      </c>
      <c r="L9" s="738">
        <f>Elect!Y13</f>
        <v>0</v>
      </c>
      <c r="M9" s="738">
        <f>Elect!AA13</f>
        <v>4574.43</v>
      </c>
      <c r="N9" s="738">
        <f>Elect!AC13</f>
        <v>320.12</v>
      </c>
      <c r="O9" s="738">
        <f>Elect!AE13</f>
        <v>198.22</v>
      </c>
      <c r="P9" s="738">
        <f>Elect!AG13</f>
        <v>976.79000000000008</v>
      </c>
      <c r="Q9" s="738">
        <f>Elect!AI13</f>
        <v>621.16000000000008</v>
      </c>
      <c r="R9" s="738">
        <f>Elect!AK13</f>
        <v>3209.15</v>
      </c>
      <c r="S9" s="738">
        <f>Elect!AM13</f>
        <v>126.67</v>
      </c>
      <c r="T9" s="738">
        <f>Elect!AP13</f>
        <v>266.51249999999999</v>
      </c>
      <c r="U9" s="738">
        <f>Elect!AR13</f>
        <v>176</v>
      </c>
      <c r="V9" s="738">
        <f>Elect!AT13</f>
        <v>163</v>
      </c>
      <c r="W9" s="738">
        <f>Elect!AV13</f>
        <v>45</v>
      </c>
      <c r="X9" s="738">
        <f>Elect!AX13</f>
        <v>927</v>
      </c>
      <c r="Y9" s="738">
        <f>Elect!AZ13</f>
        <v>12</v>
      </c>
      <c r="Z9" s="738">
        <f>Elect!BB13</f>
        <v>5256</v>
      </c>
      <c r="AA9" s="738">
        <f>Elect!BD13</f>
        <v>234</v>
      </c>
      <c r="AB9" s="738">
        <f>Elect!BF13</f>
        <v>50</v>
      </c>
      <c r="AC9" s="738">
        <f>Elect!BH13</f>
        <v>6065.25</v>
      </c>
      <c r="AD9" s="738">
        <f>Elect!BL13</f>
        <v>290</v>
      </c>
      <c r="AE9" s="738">
        <f>Elect!BN13</f>
        <v>1159</v>
      </c>
      <c r="AF9" s="738">
        <f>Elect!BP13</f>
        <v>116</v>
      </c>
      <c r="AG9" s="738">
        <f>Elect!BR13</f>
        <v>134</v>
      </c>
      <c r="AH9" s="738">
        <f>Boat!C11</f>
        <v>5066</v>
      </c>
      <c r="AI9" s="819"/>
      <c r="AJ9" s="738">
        <f>Water!C14</f>
        <v>139.19999999999999</v>
      </c>
      <c r="AK9" s="738">
        <f>Water!E14</f>
        <v>179.79999999999998</v>
      </c>
      <c r="AL9" s="738">
        <f>Water!G14</f>
        <v>121.8</v>
      </c>
      <c r="AM9" s="738">
        <f>Boat!E11</f>
        <v>25</v>
      </c>
      <c r="AN9" s="819"/>
      <c r="AO9" s="738">
        <f>Gas!C14</f>
        <v>1406.6200000000001</v>
      </c>
      <c r="AP9" s="738">
        <f>Gas!E14</f>
        <v>311.5</v>
      </c>
      <c r="AQ9" s="738">
        <f>Gas!G14</f>
        <v>85</v>
      </c>
      <c r="AR9" s="738">
        <f>Boat!G11</f>
        <v>96</v>
      </c>
      <c r="AS9" s="745">
        <f>Elect!BT13</f>
        <v>248</v>
      </c>
    </row>
    <row r="10" spans="1:45" ht="12.75" customHeight="1">
      <c r="A10" s="752" t="s">
        <v>11</v>
      </c>
      <c r="B10" s="729">
        <f t="shared" si="0"/>
        <v>9</v>
      </c>
      <c r="C10" s="771">
        <v>8</v>
      </c>
      <c r="D10" s="751">
        <v>2022</v>
      </c>
      <c r="E10" s="819"/>
      <c r="F10" s="738">
        <f>Elect!J14</f>
        <v>5969.1111111007631</v>
      </c>
      <c r="G10" s="738">
        <f>Elect!K14</f>
        <v>2717</v>
      </c>
      <c r="H10" s="738">
        <f>Elect!Q14</f>
        <v>450</v>
      </c>
      <c r="I10" s="738">
        <f>Elect!S14</f>
        <v>112</v>
      </c>
      <c r="J10" s="738">
        <f>Elect!U14</f>
        <v>191</v>
      </c>
      <c r="K10" s="738">
        <f>Elect!W14</f>
        <v>1423.0500000000002</v>
      </c>
      <c r="L10" s="738">
        <f>Elect!Y14</f>
        <v>0</v>
      </c>
      <c r="M10" s="738">
        <f>Elect!AA14</f>
        <v>3030.01</v>
      </c>
      <c r="N10" s="738">
        <f>Elect!AC14</f>
        <v>0</v>
      </c>
      <c r="O10" s="738">
        <f>Elect!AE14</f>
        <v>9.5400000000000009</v>
      </c>
      <c r="P10" s="738">
        <f>Elect!AG14</f>
        <v>820.44</v>
      </c>
      <c r="Q10" s="738">
        <f>Elect!AI14</f>
        <v>380.01</v>
      </c>
      <c r="R10" s="738">
        <f>Elect!AK14</f>
        <v>2541.35</v>
      </c>
      <c r="S10" s="738">
        <f>Elect!AM14</f>
        <v>94.87</v>
      </c>
      <c r="T10" s="738">
        <f>Elect!AP14</f>
        <v>226.46250000000001</v>
      </c>
      <c r="U10" s="738">
        <f>Elect!AR14</f>
        <v>152</v>
      </c>
      <c r="V10" s="738">
        <f>Elect!AT14</f>
        <v>167.6666666666697</v>
      </c>
      <c r="W10" s="738">
        <f>Elect!AV14</f>
        <v>30</v>
      </c>
      <c r="X10" s="738">
        <f>Elect!AX14</f>
        <v>681</v>
      </c>
      <c r="Y10" s="738">
        <f>Elect!AZ14</f>
        <v>8</v>
      </c>
      <c r="Z10" s="738">
        <f>Elect!BB14</f>
        <v>3823</v>
      </c>
      <c r="AA10" s="738">
        <f>Elect!BD14</f>
        <v>184</v>
      </c>
      <c r="AB10" s="738">
        <f>Elect!BF14</f>
        <v>201</v>
      </c>
      <c r="AC10" s="738">
        <f>Elect!BH14</f>
        <v>4679.7</v>
      </c>
      <c r="AD10" s="738">
        <f>Elect!BL14</f>
        <v>219</v>
      </c>
      <c r="AE10" s="738">
        <f>Elect!BN14</f>
        <v>1566</v>
      </c>
      <c r="AF10" s="738">
        <f>Elect!BP14</f>
        <v>88</v>
      </c>
      <c r="AG10" s="738">
        <f>Elect!BR14</f>
        <v>102</v>
      </c>
      <c r="AH10" s="738">
        <f>Boat!C12</f>
        <v>5532</v>
      </c>
      <c r="AI10" s="819"/>
      <c r="AJ10" s="738">
        <f>Water!C15</f>
        <v>121.8</v>
      </c>
      <c r="AK10" s="738">
        <f>Water!E15</f>
        <v>162.39999999999998</v>
      </c>
      <c r="AL10" s="738">
        <f>Water!G15</f>
        <v>124.11999999999999</v>
      </c>
      <c r="AM10" s="738">
        <f>Boat!E12</f>
        <v>23</v>
      </c>
      <c r="AN10" s="819"/>
      <c r="AO10" s="738">
        <f>Gas!C15</f>
        <v>1350.44</v>
      </c>
      <c r="AP10" s="738">
        <f>Gas!E15</f>
        <v>304.96666666688395</v>
      </c>
      <c r="AQ10" s="738">
        <f>Gas!G15</f>
        <v>90</v>
      </c>
      <c r="AR10" s="738">
        <f>Boat!G12</f>
        <v>125</v>
      </c>
      <c r="AS10" s="745">
        <f>Elect!BT14</f>
        <v>252</v>
      </c>
    </row>
    <row r="11" spans="1:45" ht="12.75" customHeight="1">
      <c r="A11" s="752" t="s">
        <v>11</v>
      </c>
      <c r="B11" s="729">
        <f t="shared" si="0"/>
        <v>10</v>
      </c>
      <c r="C11" s="771">
        <v>8</v>
      </c>
      <c r="D11" s="751">
        <v>2022</v>
      </c>
      <c r="E11" s="819"/>
      <c r="F11" s="738">
        <f>Elect!J15</f>
        <v>5969.1111111976206</v>
      </c>
      <c r="G11" s="738">
        <f>Elect!K15</f>
        <v>3773</v>
      </c>
      <c r="H11" s="738">
        <f>Elect!Q15</f>
        <v>530.00000001018634</v>
      </c>
      <c r="I11" s="738">
        <f>Elect!S15</f>
        <v>141.33333333299379</v>
      </c>
      <c r="J11" s="738">
        <f>Elect!U15</f>
        <v>244.33333333302289</v>
      </c>
      <c r="K11" s="738">
        <f>Elect!W15</f>
        <v>1984.8500000000001</v>
      </c>
      <c r="L11" s="738">
        <f>Elect!Y15</f>
        <v>0</v>
      </c>
      <c r="M11" s="738">
        <f>Elect!AA15</f>
        <v>4059.6233333334981</v>
      </c>
      <c r="N11" s="738">
        <f>Elect!AC15</f>
        <v>0</v>
      </c>
      <c r="O11" s="738">
        <f>Elect!AE15</f>
        <v>29.326666666502135</v>
      </c>
      <c r="P11" s="738">
        <f>Elect!AG15</f>
        <v>924.67333333510214</v>
      </c>
      <c r="Q11" s="738">
        <f>Elect!AI15</f>
        <v>540.77666666650214</v>
      </c>
      <c r="R11" s="738">
        <f>Elect!AK15</f>
        <v>2986.55</v>
      </c>
      <c r="S11" s="738">
        <f>Elect!AM15</f>
        <v>116.07000000000001</v>
      </c>
      <c r="T11" s="738">
        <f>Elect!AP15</f>
        <v>253.16249999965075</v>
      </c>
      <c r="U11" s="738">
        <f>Elect!AR15</f>
        <v>168</v>
      </c>
      <c r="V11" s="738">
        <f>Elect!AT15</f>
        <v>166.5</v>
      </c>
      <c r="W11" s="738">
        <f>Elect!AV15</f>
        <v>40</v>
      </c>
      <c r="X11" s="738">
        <f>Elect!AX15</f>
        <v>845</v>
      </c>
      <c r="Y11" s="738">
        <f>Elect!AZ15</f>
        <v>10.666666667006211</v>
      </c>
      <c r="Z11" s="738">
        <f>Elect!BB15</f>
        <v>4778.333333298564</v>
      </c>
      <c r="AA11" s="738">
        <f>Elect!BD15</f>
        <v>217.33333333302289</v>
      </c>
      <c r="AB11" s="738">
        <f>Elect!BF15</f>
        <v>100.33333333329938</v>
      </c>
      <c r="AC11" s="738">
        <f>Elect!BH15</f>
        <v>5481.2999999654012</v>
      </c>
      <c r="AD11" s="738">
        <f>Elect!BL15</f>
        <v>266.33333332999609</v>
      </c>
      <c r="AE11" s="738">
        <f>Elect!BN15</f>
        <v>1566</v>
      </c>
      <c r="AF11" s="738">
        <f>Elect!BP15</f>
        <v>106.66666666697711</v>
      </c>
      <c r="AG11" s="738">
        <f>Elect!BR15</f>
        <v>123.33333333302289</v>
      </c>
      <c r="AH11" s="738">
        <f>Boat!C13</f>
        <v>4399</v>
      </c>
      <c r="AI11" s="819"/>
      <c r="AJ11" s="738">
        <f>Water!C16</f>
        <v>127.6</v>
      </c>
      <c r="AK11" s="738">
        <f>Water!E16</f>
        <v>162.39999999999998</v>
      </c>
      <c r="AL11" s="738">
        <f>Water!G16</f>
        <v>130.5</v>
      </c>
      <c r="AM11" s="738">
        <f>Boat!E13</f>
        <v>17</v>
      </c>
      <c r="AN11" s="819"/>
      <c r="AO11" s="738">
        <f>Gas!C16</f>
        <v>1427.8200000000002</v>
      </c>
      <c r="AP11" s="738">
        <f>Gas!E16</f>
        <v>306.833333333116</v>
      </c>
      <c r="AQ11" s="738">
        <f>Gas!G16</f>
        <v>92</v>
      </c>
      <c r="AR11" s="738">
        <f>Boat!G13</f>
        <v>98</v>
      </c>
      <c r="AS11" s="745">
        <f>Elect!BT15</f>
        <v>246</v>
      </c>
    </row>
    <row r="12" spans="1:45" ht="12.75" customHeight="1">
      <c r="A12" s="752" t="s">
        <v>11</v>
      </c>
      <c r="B12" s="729">
        <f t="shared" si="0"/>
        <v>11</v>
      </c>
      <c r="C12" s="771">
        <v>8</v>
      </c>
      <c r="D12" s="751">
        <v>2022</v>
      </c>
      <c r="E12" s="819"/>
      <c r="F12" s="738">
        <f>Elect!J16</f>
        <v>5969.1111111007631</v>
      </c>
      <c r="G12" s="738">
        <f>Elect!K16</f>
        <v>3190</v>
      </c>
      <c r="H12" s="738">
        <f>Elect!Q16</f>
        <v>489.99999998981366</v>
      </c>
      <c r="I12" s="738">
        <f>Elect!S16</f>
        <v>139.66666666700621</v>
      </c>
      <c r="J12" s="738">
        <f>Elect!U16</f>
        <v>274.66666666697711</v>
      </c>
      <c r="K12" s="738">
        <f>Elect!W16</f>
        <v>3870.0600000000004</v>
      </c>
      <c r="L12" s="738">
        <f>Elect!Y16</f>
        <v>0</v>
      </c>
      <c r="M12" s="738">
        <f>Elect!AA16</f>
        <v>3559.6566666665021</v>
      </c>
      <c r="N12" s="738">
        <f>Elect!AC16</f>
        <v>0</v>
      </c>
      <c r="O12" s="738">
        <f>Elect!AE16</f>
        <v>0</v>
      </c>
      <c r="P12" s="738">
        <f>Elect!AG16</f>
        <v>0</v>
      </c>
      <c r="Q12" s="738">
        <f>Elect!AI16</f>
        <v>467.81333333349789</v>
      </c>
      <c r="R12" s="738">
        <f>Elect!AK16</f>
        <v>3479.4500000000003</v>
      </c>
      <c r="S12" s="738">
        <f>Elect!AM16</f>
        <v>104.41000000000001</v>
      </c>
      <c r="T12" s="738">
        <f>Elect!AP16</f>
        <v>270.41250000034927</v>
      </c>
      <c r="U12" s="738">
        <f>Elect!AR16</f>
        <v>153</v>
      </c>
      <c r="V12" s="738">
        <f>Elect!AT16</f>
        <v>80.833333333330302</v>
      </c>
      <c r="W12" s="738">
        <f>Elect!AV16</f>
        <v>69</v>
      </c>
      <c r="X12" s="738">
        <f>Elect!AX16</f>
        <v>832</v>
      </c>
      <c r="Y12" s="738">
        <f>Elect!AZ16</f>
        <v>11.333333332993789</v>
      </c>
      <c r="Z12" s="738">
        <f>Elect!BB16</f>
        <v>5508.666666701436</v>
      </c>
      <c r="AA12" s="738">
        <f>Elect!BD16</f>
        <v>251.66666666697711</v>
      </c>
      <c r="AB12" s="738">
        <f>Elect!BF16</f>
        <v>38.666666666700621</v>
      </c>
      <c r="AC12" s="738">
        <f>Elect!BH16</f>
        <v>7703.6500000345986</v>
      </c>
      <c r="AD12" s="738">
        <f>Elect!BL16</f>
        <v>297.66666667000391</v>
      </c>
      <c r="AE12" s="738">
        <f>Elect!BN16</f>
        <v>549</v>
      </c>
      <c r="AF12" s="738">
        <f>Elect!BP16</f>
        <v>147.33333333302289</v>
      </c>
      <c r="AG12" s="738">
        <f>Elect!BR16</f>
        <v>135.66666666697711</v>
      </c>
      <c r="AH12" s="738">
        <f>Boat!C14</f>
        <v>5033</v>
      </c>
      <c r="AI12" s="819"/>
      <c r="AJ12" s="738">
        <f>Water!C17</f>
        <v>123.73333333313639</v>
      </c>
      <c r="AK12" s="738">
        <f>Water!E17</f>
        <v>162.39999999999998</v>
      </c>
      <c r="AL12" s="738">
        <f>Water!G17</f>
        <v>126.24666666668635</v>
      </c>
      <c r="AM12" s="738">
        <f>Boat!E14</f>
        <v>20</v>
      </c>
      <c r="AN12" s="819"/>
      <c r="AO12" s="738">
        <f>Gas!C17</f>
        <v>1376.2333333300428</v>
      </c>
      <c r="AP12" s="738">
        <f>Gas!E17</f>
        <v>305.58888888917863</v>
      </c>
      <c r="AQ12" s="738">
        <f>Gas!G17</f>
        <v>90.666666666977108</v>
      </c>
      <c r="AR12" s="738">
        <f>Boat!G14</f>
        <v>110</v>
      </c>
      <c r="AS12" s="745">
        <f>Elect!BT16</f>
        <v>206</v>
      </c>
    </row>
    <row r="13" spans="1:45" ht="12.75" customHeight="1">
      <c r="A13" s="752" t="s">
        <v>11</v>
      </c>
      <c r="B13" s="729">
        <f t="shared" si="0"/>
        <v>12</v>
      </c>
      <c r="C13" s="771">
        <v>8</v>
      </c>
      <c r="D13" s="751">
        <v>2022</v>
      </c>
      <c r="E13" s="819"/>
      <c r="F13" s="738">
        <f>Elect!J17</f>
        <v>5969.1111112013459</v>
      </c>
      <c r="G13" s="738">
        <f>Elect!K17</f>
        <v>4248</v>
      </c>
      <c r="H13" s="738">
        <f>Elect!Q17</f>
        <v>510</v>
      </c>
      <c r="I13" s="738">
        <f>Elect!S17</f>
        <v>152</v>
      </c>
      <c r="J13" s="738">
        <f>Elect!U17</f>
        <v>283</v>
      </c>
      <c r="K13" s="738">
        <f>Elect!W17</f>
        <v>3870.0600000000004</v>
      </c>
      <c r="L13" s="738">
        <f>Elect!Y17</f>
        <v>0</v>
      </c>
      <c r="M13" s="738">
        <f>Elect!AA17</f>
        <v>3884.9</v>
      </c>
      <c r="N13" s="738">
        <f>Elect!AC17</f>
        <v>0</v>
      </c>
      <c r="O13" s="738">
        <f>Elect!AE17</f>
        <v>8.8333333334978672</v>
      </c>
      <c r="P13" s="738">
        <f>Elect!AG17</f>
        <v>164.3</v>
      </c>
      <c r="Q13" s="738">
        <f>Elect!AI17</f>
        <v>566.57000000000005</v>
      </c>
      <c r="R13" s="738">
        <f>Elect!AK17</f>
        <v>3818.65</v>
      </c>
      <c r="S13" s="738">
        <f>Elect!AM17</f>
        <v>119.25</v>
      </c>
      <c r="T13" s="738">
        <f>Elect!AP17</f>
        <v>257.40000000000003</v>
      </c>
      <c r="U13" s="738">
        <f>Elect!AR17</f>
        <v>266</v>
      </c>
      <c r="V13" s="738">
        <f>Elect!AT17</f>
        <v>137.9444444444398</v>
      </c>
      <c r="W13" s="738">
        <f>Elect!AV17</f>
        <v>55</v>
      </c>
      <c r="X13" s="738">
        <f>Elect!AX17</f>
        <v>884</v>
      </c>
      <c r="Y13" s="738">
        <f>Elect!AZ17</f>
        <v>12</v>
      </c>
      <c r="Z13" s="738">
        <f>Elect!BB17</f>
        <v>5828</v>
      </c>
      <c r="AA13" s="738">
        <f>Elect!BD17</f>
        <v>240</v>
      </c>
      <c r="AB13" s="738">
        <f>Elect!BF17</f>
        <v>70</v>
      </c>
      <c r="AC13" s="738">
        <f>Elect!BH17</f>
        <v>6664.05</v>
      </c>
      <c r="AD13" s="738">
        <f>Elect!BL17</f>
        <v>265</v>
      </c>
      <c r="AE13" s="738">
        <f>Elect!BN17</f>
        <v>1487</v>
      </c>
      <c r="AF13" s="738">
        <f>Elect!BP17</f>
        <v>84</v>
      </c>
      <c r="AG13" s="738">
        <f>Elect!BR17</f>
        <v>140</v>
      </c>
      <c r="AH13" s="738">
        <f>Boat!C15</f>
        <v>5033</v>
      </c>
      <c r="AI13" s="819"/>
      <c r="AJ13" s="738">
        <f>Water!C18</f>
        <v>125.66666666686359</v>
      </c>
      <c r="AK13" s="738">
        <f>Water!E18</f>
        <v>156.6</v>
      </c>
      <c r="AL13" s="738">
        <f>Water!G18</f>
        <v>129.53333333331364</v>
      </c>
      <c r="AM13" s="738">
        <f>Boat!E15</f>
        <v>26</v>
      </c>
      <c r="AN13" s="819"/>
      <c r="AO13" s="738">
        <f>Gas!C18</f>
        <v>1324.6466666699573</v>
      </c>
      <c r="AP13" s="738">
        <f>Gas!E18</f>
        <v>293.61111111082135</v>
      </c>
      <c r="AQ13" s="738">
        <f>Gas!G18</f>
        <v>82.333333333022892</v>
      </c>
      <c r="AR13" s="738">
        <f>Boat!G15</f>
        <v>181</v>
      </c>
      <c r="AS13" s="745">
        <f>Elect!BT17</f>
        <v>174</v>
      </c>
    </row>
    <row r="14" spans="1:45" ht="12.75" customHeight="1">
      <c r="A14" s="752" t="s">
        <v>11</v>
      </c>
      <c r="B14" s="729">
        <f t="shared" si="0"/>
        <v>13</v>
      </c>
      <c r="C14" s="771">
        <v>8</v>
      </c>
      <c r="D14" s="751">
        <v>2022</v>
      </c>
      <c r="E14" s="819"/>
      <c r="F14" s="738">
        <f>Elect!J18</f>
        <v>5969.1111111007631</v>
      </c>
      <c r="G14" s="738">
        <f>Elect!K18</f>
        <v>3683</v>
      </c>
      <c r="H14" s="738">
        <f>Elect!Q18</f>
        <v>510</v>
      </c>
      <c r="I14" s="738">
        <f>Elect!S18</f>
        <v>130</v>
      </c>
      <c r="J14" s="738">
        <f>Elect!U18</f>
        <v>233</v>
      </c>
      <c r="K14" s="738">
        <f>Elect!W18</f>
        <v>906.30000000000007</v>
      </c>
      <c r="L14" s="738">
        <f>Elect!Y18</f>
        <v>0</v>
      </c>
      <c r="M14" s="738">
        <f>Elect!AA18</f>
        <v>3556.8300000000004</v>
      </c>
      <c r="N14" s="738">
        <f>Elect!AC18</f>
        <v>0</v>
      </c>
      <c r="O14" s="738">
        <f>Elect!AE18</f>
        <v>11.13</v>
      </c>
      <c r="P14" s="738">
        <f>Elect!AG18</f>
        <v>630.70000000000005</v>
      </c>
      <c r="Q14" s="738">
        <f>Elect!AI18</f>
        <v>445.73</v>
      </c>
      <c r="R14" s="738">
        <f>Elect!AK18</f>
        <v>3116.4</v>
      </c>
      <c r="S14" s="738">
        <f>Elect!AM18</f>
        <v>102.82000000000001</v>
      </c>
      <c r="T14" s="738">
        <f>Elect!AP18</f>
        <v>193.95000000000002</v>
      </c>
      <c r="U14" s="738">
        <f>Elect!AR18</f>
        <v>144</v>
      </c>
      <c r="V14" s="738">
        <f>Elect!AT18</f>
        <v>306.0555555555602</v>
      </c>
      <c r="W14" s="738">
        <f>Elect!AV18</f>
        <v>45</v>
      </c>
      <c r="X14" s="738">
        <f>Elect!AX18</f>
        <v>767</v>
      </c>
      <c r="Y14" s="738">
        <f>Elect!AZ18</f>
        <v>10</v>
      </c>
      <c r="Z14" s="738">
        <f>Elect!BB18</f>
        <v>4491</v>
      </c>
      <c r="AA14" s="738">
        <f>Elect!BD18</f>
        <v>199</v>
      </c>
      <c r="AB14" s="738">
        <f>Elect!BF18</f>
        <v>65</v>
      </c>
      <c r="AC14" s="738">
        <f>Elect!BH18</f>
        <v>5618.95</v>
      </c>
      <c r="AD14" s="738">
        <f>Elect!BL18</f>
        <v>197</v>
      </c>
      <c r="AE14" s="738">
        <f>Elect!BN18</f>
        <v>1268</v>
      </c>
      <c r="AF14" s="738">
        <f>Elect!BP18</f>
        <v>101</v>
      </c>
      <c r="AG14" s="738">
        <f>Elect!BR18</f>
        <v>134</v>
      </c>
      <c r="AH14" s="738">
        <f>Boat!C16</f>
        <v>5712</v>
      </c>
      <c r="AI14" s="819"/>
      <c r="AJ14" s="738">
        <f>Water!C19</f>
        <v>121.8</v>
      </c>
      <c r="AK14" s="738">
        <f>Water!E19</f>
        <v>162.39999999999998</v>
      </c>
      <c r="AL14" s="738">
        <f>Water!G19</f>
        <v>128.76</v>
      </c>
      <c r="AM14" s="738">
        <f>Boat!E16</f>
        <v>0</v>
      </c>
      <c r="AN14" s="819"/>
      <c r="AO14" s="738">
        <f>Gas!C19</f>
        <v>1355.74</v>
      </c>
      <c r="AP14" s="738">
        <f>Gas!E19</f>
        <v>308</v>
      </c>
      <c r="AQ14" s="738">
        <f>Gas!G19</f>
        <v>100</v>
      </c>
      <c r="AR14" s="738">
        <f>Boat!G16</f>
        <v>137</v>
      </c>
      <c r="AS14" s="745">
        <f>Elect!BT18</f>
        <v>162</v>
      </c>
    </row>
    <row r="15" spans="1:45" ht="12.75" customHeight="1">
      <c r="A15" s="752" t="s">
        <v>11</v>
      </c>
      <c r="B15" s="729">
        <f t="shared" si="0"/>
        <v>14</v>
      </c>
      <c r="C15" s="771">
        <v>8</v>
      </c>
      <c r="D15" s="751">
        <v>2022</v>
      </c>
      <c r="E15" s="819"/>
      <c r="F15" s="738">
        <f>Elect!J19</f>
        <v>5969.1111111976206</v>
      </c>
      <c r="G15" s="738">
        <f>Elect!K19</f>
        <v>3870</v>
      </c>
      <c r="H15" s="738">
        <f>Elect!Q19</f>
        <v>570</v>
      </c>
      <c r="I15" s="738">
        <f>Elect!S19</f>
        <v>148</v>
      </c>
      <c r="J15" s="738">
        <f>Elect!U19</f>
        <v>271</v>
      </c>
      <c r="K15" s="738">
        <f>Elect!W19</f>
        <v>1205.75</v>
      </c>
      <c r="L15" s="738">
        <f>Elect!Y19</f>
        <v>0</v>
      </c>
      <c r="M15" s="738">
        <f>Elect!AA19</f>
        <v>2940.9700000000003</v>
      </c>
      <c r="N15" s="738">
        <f>Elect!AC19</f>
        <v>731.93000000000006</v>
      </c>
      <c r="O15" s="738">
        <f>Elect!AE19</f>
        <v>13.25</v>
      </c>
      <c r="P15" s="738">
        <f>Elect!AG19</f>
        <v>717.09</v>
      </c>
      <c r="Q15" s="738">
        <f>Elect!AI19</f>
        <v>490.78000000000003</v>
      </c>
      <c r="R15" s="738">
        <f>Elect!AK19</f>
        <v>3635.27</v>
      </c>
      <c r="S15" s="738">
        <f>Elect!AM19</f>
        <v>112.36</v>
      </c>
      <c r="T15" s="738">
        <f>Elect!AP19</f>
        <v>226.01250000000002</v>
      </c>
      <c r="U15" s="738">
        <f>Elect!AR19</f>
        <v>165</v>
      </c>
      <c r="V15" s="738">
        <f>Elect!AT19</f>
        <v>167</v>
      </c>
      <c r="W15" s="738">
        <f>Elect!AV19</f>
        <v>41</v>
      </c>
      <c r="X15" s="738">
        <f>Elect!AX19</f>
        <v>832</v>
      </c>
      <c r="Y15" s="738">
        <f>Elect!AZ19</f>
        <v>11</v>
      </c>
      <c r="Z15" s="738">
        <f>Elect!BB19</f>
        <v>5185</v>
      </c>
      <c r="AA15" s="738">
        <f>Elect!BD19</f>
        <v>226</v>
      </c>
      <c r="AB15" s="738">
        <f>Elect!BF19</f>
        <v>63</v>
      </c>
      <c r="AC15" s="738">
        <f>Elect!BH19</f>
        <v>6394.7</v>
      </c>
      <c r="AD15" s="738">
        <f>Elect!BL19</f>
        <v>259</v>
      </c>
      <c r="AE15" s="738">
        <f>Elect!BN19</f>
        <v>1381</v>
      </c>
      <c r="AF15" s="738">
        <f>Elect!BP19</f>
        <v>113</v>
      </c>
      <c r="AG15" s="738">
        <f>Elect!BR19</f>
        <v>146</v>
      </c>
      <c r="AH15" s="738">
        <f>Boat!C17</f>
        <v>-3297488</v>
      </c>
      <c r="AI15" s="819"/>
      <c r="AJ15" s="738">
        <f>Water!C20</f>
        <v>121.8</v>
      </c>
      <c r="AK15" s="738">
        <f>Water!E20</f>
        <v>162.39999999999998</v>
      </c>
      <c r="AL15" s="738">
        <f>Water!G20</f>
        <v>132.23999999999998</v>
      </c>
      <c r="AM15" s="738">
        <f>Boat!E17</f>
        <v>-4154</v>
      </c>
      <c r="AN15" s="819"/>
      <c r="AO15" s="738">
        <f>Gas!C20</f>
        <v>1346.2</v>
      </c>
      <c r="AP15" s="738">
        <f>Gas!E20</f>
        <v>305.2</v>
      </c>
      <c r="AQ15" s="738">
        <f>Gas!G20</f>
        <v>84</v>
      </c>
      <c r="AR15" s="738">
        <f>Boat!G17</f>
        <v>-96438</v>
      </c>
      <c r="AS15" s="745">
        <f>Elect!BT19</f>
        <v>207</v>
      </c>
    </row>
    <row r="16" spans="1:45" ht="12.75" customHeight="1">
      <c r="A16" s="752" t="s">
        <v>11</v>
      </c>
      <c r="B16" s="729">
        <f t="shared" si="0"/>
        <v>15</v>
      </c>
      <c r="C16" s="771">
        <v>8</v>
      </c>
      <c r="D16" s="751">
        <v>2022</v>
      </c>
      <c r="E16" s="819"/>
      <c r="F16" s="738">
        <f>Elect!J20</f>
        <v>5969.1111111007631</v>
      </c>
      <c r="G16" s="738">
        <f>Elect!K20</f>
        <v>3614</v>
      </c>
      <c r="H16" s="738">
        <f>Elect!Q20</f>
        <v>510</v>
      </c>
      <c r="I16" s="738">
        <f>Elect!S20</f>
        <v>138</v>
      </c>
      <c r="J16" s="738">
        <f>Elect!U20</f>
        <v>256</v>
      </c>
      <c r="K16" s="738">
        <f>Elect!W20</f>
        <v>1742.1100000000001</v>
      </c>
      <c r="L16" s="738">
        <f>Elect!Y20</f>
        <v>100.7</v>
      </c>
      <c r="M16" s="738">
        <f>Elect!AA20</f>
        <v>1884.68</v>
      </c>
      <c r="N16" s="738">
        <f>Elect!AC20</f>
        <v>1999.69</v>
      </c>
      <c r="O16" s="738">
        <f>Elect!AE20</f>
        <v>12.190000000000001</v>
      </c>
      <c r="P16" s="738">
        <f>Elect!AG20</f>
        <v>288.85000000000002</v>
      </c>
      <c r="Q16" s="738">
        <f>Elect!AI20</f>
        <v>392.73</v>
      </c>
      <c r="R16" s="738">
        <f>Elect!AK20</f>
        <v>3504.36</v>
      </c>
      <c r="S16" s="738">
        <f>Elect!AM20</f>
        <v>113.95</v>
      </c>
      <c r="T16" s="738">
        <f>Elect!AP20</f>
        <v>241.42500000000001</v>
      </c>
      <c r="U16" s="738">
        <f>Elect!AR20</f>
        <v>180</v>
      </c>
      <c r="V16" s="738">
        <f>Elect!AT20</f>
        <v>218</v>
      </c>
      <c r="W16" s="738">
        <f>Elect!AV20</f>
        <v>46</v>
      </c>
      <c r="X16" s="738">
        <f>Elect!AX20</f>
        <v>783</v>
      </c>
      <c r="Y16" s="738">
        <f>Elect!AZ20</f>
        <v>11</v>
      </c>
      <c r="Z16" s="738">
        <f>Elect!BB20</f>
        <v>5376</v>
      </c>
      <c r="AA16" s="738">
        <f>Elect!BD20</f>
        <v>241</v>
      </c>
      <c r="AB16" s="738">
        <f>Elect!BF20</f>
        <v>65</v>
      </c>
      <c r="AC16" s="738">
        <f>Elect!BH20</f>
        <v>6548.55</v>
      </c>
      <c r="AD16" s="738">
        <f>Elect!BL20</f>
        <v>199</v>
      </c>
      <c r="AE16" s="738">
        <f>Elect!BN20</f>
        <v>1441</v>
      </c>
      <c r="AF16" s="738">
        <f>Elect!BP20</f>
        <v>120</v>
      </c>
      <c r="AG16" s="738">
        <f>Elect!BR20</f>
        <v>128</v>
      </c>
      <c r="AH16" s="738">
        <f>Boat!C18</f>
        <v>0</v>
      </c>
      <c r="AI16" s="819"/>
      <c r="AJ16" s="738">
        <f>Water!C21</f>
        <v>133.39999999999998</v>
      </c>
      <c r="AK16" s="738">
        <f>Water!E21</f>
        <v>162.39999999999998</v>
      </c>
      <c r="AL16" s="738">
        <f>Water!G21</f>
        <v>133.39999999999998</v>
      </c>
      <c r="AM16" s="738">
        <f>Boat!E18</f>
        <v>0</v>
      </c>
      <c r="AN16" s="819"/>
      <c r="AO16" s="738">
        <f>Gas!C21</f>
        <v>1347.26</v>
      </c>
      <c r="AP16" s="738">
        <f>Gas!E21</f>
        <v>328.29999999999995</v>
      </c>
      <c r="AQ16" s="738">
        <f>Gas!G21</f>
        <v>90</v>
      </c>
      <c r="AR16" s="738">
        <f>Boat!G18</f>
        <v>0</v>
      </c>
      <c r="AS16" s="745">
        <f>Elect!BT20</f>
        <v>248</v>
      </c>
    </row>
    <row r="17" spans="1:45" ht="12.75" customHeight="1">
      <c r="A17" s="752" t="s">
        <v>11</v>
      </c>
      <c r="B17" s="729">
        <f t="shared" si="0"/>
        <v>16</v>
      </c>
      <c r="C17" s="771">
        <v>8</v>
      </c>
      <c r="D17" s="751">
        <v>2022</v>
      </c>
      <c r="E17" s="819"/>
      <c r="F17" s="738">
        <f>Elect!J21</f>
        <v>5969.1111112013459</v>
      </c>
      <c r="G17" s="738">
        <f>Elect!K21</f>
        <v>3616</v>
      </c>
      <c r="H17" s="738">
        <f>Elect!Q21</f>
        <v>510</v>
      </c>
      <c r="I17" s="738">
        <f>Elect!S21</f>
        <v>143</v>
      </c>
      <c r="J17" s="738">
        <f>Elect!U21</f>
        <v>257</v>
      </c>
      <c r="K17" s="738">
        <f>Elect!W21</f>
        <v>1208.93</v>
      </c>
      <c r="L17" s="738">
        <f>Elect!Y21</f>
        <v>0</v>
      </c>
      <c r="M17" s="738">
        <f>Elect!AA21</f>
        <v>0</v>
      </c>
      <c r="N17" s="738">
        <f>Elect!AC21</f>
        <v>3926.77</v>
      </c>
      <c r="O17" s="738">
        <f>Elect!AE21</f>
        <v>12.72</v>
      </c>
      <c r="P17" s="738">
        <f>Elect!AG21</f>
        <v>11.66</v>
      </c>
      <c r="Q17" s="738">
        <f>Elect!AI21</f>
        <v>374.18</v>
      </c>
      <c r="R17" s="738">
        <f>Elect!AK21</f>
        <v>3257.38</v>
      </c>
      <c r="S17" s="738">
        <f>Elect!AM21</f>
        <v>110.24000000000001</v>
      </c>
      <c r="T17" s="738">
        <f>Elect!AP21</f>
        <v>239.4</v>
      </c>
      <c r="U17" s="738">
        <f>Elect!AR21</f>
        <v>181</v>
      </c>
      <c r="V17" s="738">
        <f>Elect!AT21</f>
        <v>158</v>
      </c>
      <c r="W17" s="738">
        <f>Elect!AV21</f>
        <v>56</v>
      </c>
      <c r="X17" s="738">
        <f>Elect!AX21</f>
        <v>814</v>
      </c>
      <c r="Y17" s="738">
        <f>Elect!AZ21</f>
        <v>11</v>
      </c>
      <c r="Z17" s="738">
        <f>Elect!BB21</f>
        <v>5207</v>
      </c>
      <c r="AA17" s="738">
        <f>Elect!BD21</f>
        <v>233</v>
      </c>
      <c r="AB17" s="738">
        <f>Elect!BF21</f>
        <v>66</v>
      </c>
      <c r="AC17" s="738">
        <f>Elect!BH21</f>
        <v>5818.35</v>
      </c>
      <c r="AD17" s="738">
        <f>Elect!BL21</f>
        <v>105</v>
      </c>
      <c r="AE17" s="738">
        <f>Elect!BN21</f>
        <v>1372</v>
      </c>
      <c r="AF17" s="738">
        <f>Elect!BP21</f>
        <v>105</v>
      </c>
      <c r="AG17" s="738">
        <f>Elect!BR21</f>
        <v>140</v>
      </c>
      <c r="AH17" s="738">
        <f>Boat!C19</f>
        <v>0</v>
      </c>
      <c r="AI17" s="819"/>
      <c r="AJ17" s="738">
        <f>Water!C22</f>
        <v>139.19999999999999</v>
      </c>
      <c r="AK17" s="738">
        <f>Water!E22</f>
        <v>185.6</v>
      </c>
      <c r="AL17" s="738">
        <f>Water!G22</f>
        <v>129.34</v>
      </c>
      <c r="AM17" s="738">
        <f>Boat!E19</f>
        <v>0</v>
      </c>
      <c r="AN17" s="819"/>
      <c r="AO17" s="738">
        <f>Gas!C22</f>
        <v>1471.28</v>
      </c>
      <c r="AP17" s="738">
        <f>Gas!E22</f>
        <v>388.5</v>
      </c>
      <c r="AQ17" s="738">
        <f>Gas!G22</f>
        <v>91</v>
      </c>
      <c r="AR17" s="738">
        <f>Boat!G19</f>
        <v>0</v>
      </c>
      <c r="AS17" s="745">
        <f>Elect!BT21</f>
        <v>248</v>
      </c>
    </row>
    <row r="18" spans="1:45" ht="12.75" customHeight="1">
      <c r="A18" s="752" t="s">
        <v>11</v>
      </c>
      <c r="B18" s="729">
        <f t="shared" si="0"/>
        <v>17</v>
      </c>
      <c r="C18" s="771">
        <v>8</v>
      </c>
      <c r="D18" s="751">
        <v>2022</v>
      </c>
      <c r="E18" s="819"/>
      <c r="F18" s="738">
        <f>Elect!J22</f>
        <v>5969.1111111007631</v>
      </c>
      <c r="G18" s="738">
        <f>Elect!K22</f>
        <v>3825</v>
      </c>
      <c r="H18" s="738">
        <f>Elect!Q22</f>
        <v>510</v>
      </c>
      <c r="I18" s="738">
        <f>Elect!S22</f>
        <v>139</v>
      </c>
      <c r="J18" s="738">
        <f>Elect!U22</f>
        <v>253</v>
      </c>
      <c r="K18" s="738">
        <f>Elect!W22</f>
        <v>2156.04</v>
      </c>
      <c r="L18" s="738">
        <f>Elect!Y22</f>
        <v>0</v>
      </c>
      <c r="M18" s="738">
        <f>Elect!AA22</f>
        <v>0</v>
      </c>
      <c r="N18" s="738">
        <f>Elect!AC22</f>
        <v>3580.6800000000003</v>
      </c>
      <c r="O18" s="738">
        <f>Elect!AE22</f>
        <v>11.13</v>
      </c>
      <c r="P18" s="738">
        <f>Elect!AG22</f>
        <v>10.600000000000001</v>
      </c>
      <c r="Q18" s="738">
        <f>Elect!AI22</f>
        <v>421.35</v>
      </c>
      <c r="R18" s="738">
        <f>Elect!AK22</f>
        <v>3040.08</v>
      </c>
      <c r="S18" s="738">
        <f>Elect!AM22</f>
        <v>108.65</v>
      </c>
      <c r="T18" s="738">
        <f>Elect!AP22</f>
        <v>268.875</v>
      </c>
      <c r="U18" s="738">
        <f>Elect!AR22</f>
        <v>266</v>
      </c>
      <c r="V18" s="738">
        <f>Elect!AT22</f>
        <v>184</v>
      </c>
      <c r="W18" s="738">
        <f>Elect!AV22</f>
        <v>57</v>
      </c>
      <c r="X18" s="738">
        <f>Elect!AX22</f>
        <v>829</v>
      </c>
      <c r="Y18" s="738">
        <f>Elect!AZ22</f>
        <v>11</v>
      </c>
      <c r="Z18" s="738">
        <f>Elect!BB22</f>
        <v>5262</v>
      </c>
      <c r="AA18" s="738">
        <f>Elect!BD22</f>
        <v>258</v>
      </c>
      <c r="AB18" s="738">
        <f>Elect!BF22</f>
        <v>67</v>
      </c>
      <c r="AC18" s="738">
        <f>Elect!BH22</f>
        <v>5913.0999999999995</v>
      </c>
      <c r="AD18" s="738">
        <f>Elect!BL22</f>
        <v>107</v>
      </c>
      <c r="AE18" s="738">
        <f>Elect!BN22</f>
        <v>1373</v>
      </c>
      <c r="AF18" s="738">
        <f>Elect!BP22</f>
        <v>109</v>
      </c>
      <c r="AG18" s="738">
        <f>Elect!BR22</f>
        <v>119</v>
      </c>
      <c r="AH18" s="738">
        <f>Boat!C20</f>
        <v>0</v>
      </c>
      <c r="AI18" s="819"/>
      <c r="AJ18" s="738">
        <f>Water!C23</f>
        <v>127.6</v>
      </c>
      <c r="AK18" s="738">
        <f>Water!E23</f>
        <v>168.2</v>
      </c>
      <c r="AL18" s="738">
        <f>Water!G23</f>
        <v>127.6</v>
      </c>
      <c r="AM18" s="738">
        <f>Boat!E20</f>
        <v>0</v>
      </c>
      <c r="AN18" s="819"/>
      <c r="AO18" s="738">
        <f>Gas!C23</f>
        <v>1463.8600000000001</v>
      </c>
      <c r="AP18" s="738">
        <f>Gas!E23</f>
        <v>267.39999999999998</v>
      </c>
      <c r="AQ18" s="738">
        <f>Gas!G23</f>
        <v>74</v>
      </c>
      <c r="AR18" s="738">
        <f>Boat!G20</f>
        <v>0</v>
      </c>
      <c r="AS18" s="745">
        <f>Elect!BT22</f>
        <v>244</v>
      </c>
    </row>
    <row r="19" spans="1:45" ht="12.75" customHeight="1">
      <c r="A19" s="752" t="s">
        <v>11</v>
      </c>
      <c r="B19" s="729">
        <f t="shared" si="0"/>
        <v>18</v>
      </c>
      <c r="C19" s="771">
        <v>8</v>
      </c>
      <c r="D19" s="751">
        <v>2022</v>
      </c>
      <c r="E19" s="819"/>
      <c r="F19" s="738">
        <f>Elect!J23</f>
        <v>5960.9629629999399</v>
      </c>
      <c r="G19" s="738">
        <f>Elect!K23</f>
        <v>4240</v>
      </c>
      <c r="H19" s="738">
        <f>Elect!Q23</f>
        <v>510</v>
      </c>
      <c r="I19" s="738">
        <f>Elect!S23</f>
        <v>153</v>
      </c>
      <c r="J19" s="738">
        <f>Elect!U23</f>
        <v>276</v>
      </c>
      <c r="K19" s="738">
        <f>Elect!W23</f>
        <v>2002.3400000000001</v>
      </c>
      <c r="L19" s="738">
        <f>Elect!Y23</f>
        <v>0</v>
      </c>
      <c r="M19" s="738">
        <f>Elect!AA23</f>
        <v>0</v>
      </c>
      <c r="N19" s="738">
        <f>Elect!AC23</f>
        <v>3494.29</v>
      </c>
      <c r="O19" s="738">
        <f>Elect!AE23</f>
        <v>13.25</v>
      </c>
      <c r="P19" s="738">
        <f>Elect!AG23</f>
        <v>12.190000000000001</v>
      </c>
      <c r="Q19" s="738">
        <f>Elect!AI23</f>
        <v>304.22000000000003</v>
      </c>
      <c r="R19" s="738">
        <f>Elect!AK23</f>
        <v>3149.26</v>
      </c>
      <c r="S19" s="738">
        <f>Elect!AM23</f>
        <v>122.96000000000001</v>
      </c>
      <c r="T19" s="738">
        <f>Elect!AP23</f>
        <v>245.92500000000001</v>
      </c>
      <c r="U19" s="738">
        <f>Elect!AR23</f>
        <v>190</v>
      </c>
      <c r="V19" s="738">
        <f>Elect!AT23</f>
        <v>197</v>
      </c>
      <c r="W19" s="738">
        <f>Elect!AV23</f>
        <v>54</v>
      </c>
      <c r="X19" s="738">
        <f>Elect!AX23</f>
        <v>850</v>
      </c>
      <c r="Y19" s="738">
        <f>Elect!AZ23</f>
        <v>12</v>
      </c>
      <c r="Z19" s="738">
        <f>Elect!BB23</f>
        <v>5896</v>
      </c>
      <c r="AA19" s="738">
        <f>Elect!BD23</f>
        <v>282</v>
      </c>
      <c r="AB19" s="738">
        <f>Elect!BF23</f>
        <v>90</v>
      </c>
      <c r="AC19" s="738">
        <f>Elect!BH23</f>
        <v>6478.8499999999995</v>
      </c>
      <c r="AD19" s="738">
        <f>Elect!BL23</f>
        <v>118</v>
      </c>
      <c r="AE19" s="738">
        <f>Elect!BN23</f>
        <v>1469</v>
      </c>
      <c r="AF19" s="738">
        <f>Elect!BP23</f>
        <v>118</v>
      </c>
      <c r="AG19" s="738">
        <f>Elect!BR23</f>
        <v>129</v>
      </c>
      <c r="AH19" s="738">
        <f>Boat!C21</f>
        <v>0</v>
      </c>
      <c r="AI19" s="819"/>
      <c r="AJ19" s="738">
        <f>Water!C24</f>
        <v>139.19999999999999</v>
      </c>
      <c r="AK19" s="738">
        <f>Water!E24</f>
        <v>174</v>
      </c>
      <c r="AL19" s="738">
        <f>Water!G24</f>
        <v>132.23999999999998</v>
      </c>
      <c r="AM19" s="738">
        <f>Boat!E21</f>
        <v>0</v>
      </c>
      <c r="AN19" s="819"/>
      <c r="AO19" s="738">
        <f>Gas!C24</f>
        <v>1438.42</v>
      </c>
      <c r="AP19" s="738">
        <f>Gas!E24</f>
        <v>338.79999999999995</v>
      </c>
      <c r="AQ19" s="738">
        <f>Gas!G24</f>
        <v>96</v>
      </c>
      <c r="AR19" s="738">
        <f>Boat!G21</f>
        <v>0</v>
      </c>
      <c r="AS19" s="745">
        <f>Elect!BT23</f>
        <v>228</v>
      </c>
    </row>
    <row r="20" spans="1:45" ht="12.75" customHeight="1">
      <c r="A20" s="752" t="s">
        <v>11</v>
      </c>
      <c r="B20" s="729">
        <f t="shared" si="0"/>
        <v>19</v>
      </c>
      <c r="C20" s="771">
        <v>8</v>
      </c>
      <c r="D20" s="751">
        <v>2022</v>
      </c>
      <c r="E20" s="819"/>
      <c r="F20" s="738">
        <f>Elect!J24</f>
        <v>5993.5555555969477</v>
      </c>
      <c r="G20" s="738">
        <f>Elect!K24</f>
        <v>3465</v>
      </c>
      <c r="H20" s="738">
        <f>Elect!Q24</f>
        <v>630</v>
      </c>
      <c r="I20" s="738">
        <f>Elect!S24</f>
        <v>134</v>
      </c>
      <c r="J20" s="738">
        <f>Elect!U24</f>
        <v>239</v>
      </c>
      <c r="K20" s="738">
        <f>Elect!W24</f>
        <v>1786.63</v>
      </c>
      <c r="L20" s="738">
        <f>Elect!Y24</f>
        <v>2884.26</v>
      </c>
      <c r="M20" s="738">
        <f>Elect!AA24</f>
        <v>0</v>
      </c>
      <c r="N20" s="738">
        <f>Elect!AC24</f>
        <v>109.18</v>
      </c>
      <c r="O20" s="738">
        <f>Elect!AE24</f>
        <v>11.66</v>
      </c>
      <c r="P20" s="738">
        <f>Elect!AG24</f>
        <v>10.600000000000001</v>
      </c>
      <c r="Q20" s="738">
        <f>Elect!AI24</f>
        <v>863.90000000000009</v>
      </c>
      <c r="R20" s="738">
        <f>Elect!AK24</f>
        <v>2886.38</v>
      </c>
      <c r="S20" s="738">
        <f>Elect!AM24</f>
        <v>104.94000000000001</v>
      </c>
      <c r="T20" s="738">
        <f>Elect!AP24</f>
        <v>219.9375</v>
      </c>
      <c r="U20" s="738">
        <f>Elect!AR24</f>
        <v>157</v>
      </c>
      <c r="V20" s="738">
        <f>Elect!AT24</f>
        <v>200</v>
      </c>
      <c r="W20" s="738">
        <f>Elect!AV24</f>
        <v>50</v>
      </c>
      <c r="X20" s="738">
        <f>Elect!AX24</f>
        <v>751</v>
      </c>
      <c r="Y20" s="738">
        <f>Elect!AZ24</f>
        <v>10</v>
      </c>
      <c r="Z20" s="738">
        <f>Elect!BB24</f>
        <v>4776</v>
      </c>
      <c r="AA20" s="738">
        <f>Elect!BD24</f>
        <v>253</v>
      </c>
      <c r="AB20" s="738">
        <f>Elect!BF24</f>
        <v>65</v>
      </c>
      <c r="AC20" s="738">
        <f>Elect!BH24</f>
        <v>5859.1</v>
      </c>
      <c r="AD20" s="738">
        <f>Elect!BL24</f>
        <v>207</v>
      </c>
      <c r="AE20" s="738">
        <f>Elect!BN24</f>
        <v>1321</v>
      </c>
      <c r="AF20" s="738">
        <f>Elect!BP24</f>
        <v>101</v>
      </c>
      <c r="AG20" s="738">
        <f>Elect!BR24</f>
        <v>134</v>
      </c>
      <c r="AH20" s="738">
        <f>Boat!C22</f>
        <v>0</v>
      </c>
      <c r="AI20" s="819"/>
      <c r="AJ20" s="738">
        <f>Water!C25</f>
        <v>145</v>
      </c>
      <c r="AK20" s="738">
        <f>Water!E25</f>
        <v>174</v>
      </c>
      <c r="AL20" s="738">
        <f>Water!G25</f>
        <v>136.88</v>
      </c>
      <c r="AM20" s="738">
        <f>Boat!E22</f>
        <v>0</v>
      </c>
      <c r="AN20" s="819"/>
      <c r="AO20" s="738">
        <f>Gas!C25</f>
        <v>1455.38</v>
      </c>
      <c r="AP20" s="738">
        <f>Gas!E25</f>
        <v>327.59999999999997</v>
      </c>
      <c r="AQ20" s="738">
        <f>Gas!G25</f>
        <v>88</v>
      </c>
      <c r="AR20" s="738">
        <f>Boat!G22</f>
        <v>0</v>
      </c>
      <c r="AS20" s="745">
        <f>Elect!BT24</f>
        <v>203</v>
      </c>
    </row>
    <row r="21" spans="1:45" ht="12.75" customHeight="1">
      <c r="A21" s="752" t="s">
        <v>11</v>
      </c>
      <c r="B21" s="729">
        <f t="shared" si="0"/>
        <v>20</v>
      </c>
      <c r="C21" s="771">
        <v>8</v>
      </c>
      <c r="D21" s="751">
        <v>2022</v>
      </c>
      <c r="E21" s="819"/>
      <c r="F21" s="738">
        <f>Elect!J25</f>
        <v>5944.666666701436</v>
      </c>
      <c r="G21" s="738">
        <f>Elect!K25</f>
        <v>3690</v>
      </c>
      <c r="H21" s="738">
        <f>Elect!Q25</f>
        <v>510</v>
      </c>
      <c r="I21" s="738">
        <f>Elect!S25</f>
        <v>143</v>
      </c>
      <c r="J21" s="738">
        <f>Elect!U25</f>
        <v>263</v>
      </c>
      <c r="K21" s="738">
        <f>Elect!W25</f>
        <v>683.17000000000007</v>
      </c>
      <c r="L21" s="738">
        <f>Elect!Y25</f>
        <v>4108.0300000000007</v>
      </c>
      <c r="M21" s="738">
        <f>Elect!AA25</f>
        <v>0</v>
      </c>
      <c r="N21" s="738">
        <f>Elect!AC25</f>
        <v>0</v>
      </c>
      <c r="O21" s="738">
        <f>Elect!AE25</f>
        <v>12.72</v>
      </c>
      <c r="P21" s="738">
        <f>Elect!AG25</f>
        <v>11.66</v>
      </c>
      <c r="Q21" s="738">
        <f>Elect!AI25</f>
        <v>598.9</v>
      </c>
      <c r="R21" s="738">
        <f>Elect!AK25</f>
        <v>3279.11</v>
      </c>
      <c r="S21" s="738">
        <f>Elect!AM25</f>
        <v>111.30000000000001</v>
      </c>
      <c r="T21" s="738">
        <f>Elect!AP25</f>
        <v>250.20000000000002</v>
      </c>
      <c r="U21" s="738">
        <f>Elect!AR25</f>
        <v>194</v>
      </c>
      <c r="V21" s="738">
        <f>Elect!AT25</f>
        <v>182</v>
      </c>
      <c r="W21" s="738">
        <f>Elect!AV25</f>
        <v>55</v>
      </c>
      <c r="X21" s="738">
        <f>Elect!AX25</f>
        <v>747</v>
      </c>
      <c r="Y21" s="738">
        <f>Elect!AZ25</f>
        <v>12</v>
      </c>
      <c r="Z21" s="738">
        <f>Elect!BB25</f>
        <v>5601</v>
      </c>
      <c r="AA21" s="738">
        <f>Elect!BD25</f>
        <v>296</v>
      </c>
      <c r="AB21" s="738">
        <f>Elect!BF25</f>
        <v>76</v>
      </c>
      <c r="AC21" s="738">
        <f>Elect!BH25</f>
        <v>6407.6</v>
      </c>
      <c r="AD21" s="738">
        <f>Elect!BL25</f>
        <v>265</v>
      </c>
      <c r="AE21" s="738">
        <f>Elect!BN25</f>
        <v>1396</v>
      </c>
      <c r="AF21" s="738">
        <f>Elect!BP25</f>
        <v>116</v>
      </c>
      <c r="AG21" s="738">
        <f>Elect!BR25</f>
        <v>149</v>
      </c>
      <c r="AH21" s="738">
        <f>Boat!C23</f>
        <v>0</v>
      </c>
      <c r="AI21" s="819"/>
      <c r="AJ21" s="738">
        <f>Water!C26</f>
        <v>110.19999999999999</v>
      </c>
      <c r="AK21" s="738">
        <f>Water!E26</f>
        <v>156.6</v>
      </c>
      <c r="AL21" s="738">
        <f>Water!G26</f>
        <v>120.63999999999999</v>
      </c>
      <c r="AM21" s="738">
        <f>Boat!E23</f>
        <v>0</v>
      </c>
      <c r="AN21" s="819"/>
      <c r="AO21" s="738">
        <f>Gas!C26</f>
        <v>1233.8400000000001</v>
      </c>
      <c r="AP21" s="738">
        <f>Gas!E26</f>
        <v>305.2</v>
      </c>
      <c r="AQ21" s="738">
        <f>Gas!G26</f>
        <v>86</v>
      </c>
      <c r="AR21" s="738">
        <f>Boat!G23</f>
        <v>0</v>
      </c>
      <c r="AS21" s="745">
        <f>Elect!BT25</f>
        <v>203</v>
      </c>
    </row>
    <row r="22" spans="1:45" ht="12.75" customHeight="1">
      <c r="A22" s="752" t="s">
        <v>11</v>
      </c>
      <c r="B22" s="729">
        <f t="shared" si="0"/>
        <v>21</v>
      </c>
      <c r="C22" s="771">
        <v>8</v>
      </c>
      <c r="D22" s="751">
        <v>2022</v>
      </c>
      <c r="E22" s="819"/>
      <c r="F22" s="738">
        <f>Elect!J26</f>
        <v>6018</v>
      </c>
      <c r="G22" s="738">
        <f>Elect!K26</f>
        <v>3494</v>
      </c>
      <c r="H22" s="738">
        <f>Elect!Q26</f>
        <v>570</v>
      </c>
      <c r="I22" s="738">
        <f>Elect!S26</f>
        <v>135</v>
      </c>
      <c r="J22" s="738">
        <f>Elect!U26</f>
        <v>241</v>
      </c>
      <c r="K22" s="738">
        <f>Elect!W26</f>
        <v>1313.3400000000001</v>
      </c>
      <c r="L22" s="738">
        <f>Elect!Y26</f>
        <v>3565.84</v>
      </c>
      <c r="M22" s="738">
        <f>Elect!AA26</f>
        <v>7.42</v>
      </c>
      <c r="N22" s="738">
        <f>Elect!AC26</f>
        <v>33.92</v>
      </c>
      <c r="O22" s="738">
        <f>Elect!AE26</f>
        <v>840.58</v>
      </c>
      <c r="P22" s="738">
        <f>Elect!AG26</f>
        <v>11.66</v>
      </c>
      <c r="Q22" s="738">
        <f>Elect!AI26</f>
        <v>570.28</v>
      </c>
      <c r="R22" s="738">
        <f>Elect!AK26</f>
        <v>3223.9900000000002</v>
      </c>
      <c r="S22" s="738">
        <f>Elect!AM26</f>
        <v>104.41000000000001</v>
      </c>
      <c r="T22" s="738">
        <f>Elect!AP26</f>
        <v>206.1</v>
      </c>
      <c r="U22" s="738">
        <f>Elect!AR26</f>
        <v>158</v>
      </c>
      <c r="V22" s="738">
        <f>Elect!AT26</f>
        <v>180</v>
      </c>
      <c r="W22" s="738">
        <f>Elect!AV26</f>
        <v>42</v>
      </c>
      <c r="X22" s="738">
        <f>Elect!AX26</f>
        <v>713</v>
      </c>
      <c r="Y22" s="738">
        <f>Elect!AZ26</f>
        <v>441</v>
      </c>
      <c r="Z22" s="738">
        <f>Elect!BB26</f>
        <v>5335</v>
      </c>
      <c r="AA22" s="738">
        <f>Elect!BD26</f>
        <v>254</v>
      </c>
      <c r="AB22" s="738">
        <f>Elect!BF26</f>
        <v>67</v>
      </c>
      <c r="AC22" s="738">
        <f>Elect!BH26</f>
        <v>5709.0999999999995</v>
      </c>
      <c r="AD22" s="738">
        <f>Elect!BL26</f>
        <v>195</v>
      </c>
      <c r="AE22" s="738">
        <f>Elect!BN26</f>
        <v>1154</v>
      </c>
      <c r="AF22" s="738">
        <f>Elect!BP26</f>
        <v>108</v>
      </c>
      <c r="AG22" s="738">
        <f>Elect!BR26</f>
        <v>136</v>
      </c>
      <c r="AH22" s="738">
        <f>Boat!C24</f>
        <v>0</v>
      </c>
      <c r="AI22" s="819"/>
      <c r="AJ22" s="738">
        <f>Water!C27</f>
        <v>115.99999999999999</v>
      </c>
      <c r="AK22" s="738">
        <f>Water!E27</f>
        <v>145</v>
      </c>
      <c r="AL22" s="738">
        <f>Water!G27</f>
        <v>122.96</v>
      </c>
      <c r="AM22" s="738">
        <f>Boat!E24</f>
        <v>0</v>
      </c>
      <c r="AN22" s="819"/>
      <c r="AO22" s="738">
        <f>Gas!C27</f>
        <v>1418.28</v>
      </c>
      <c r="AP22" s="738">
        <f>Gas!E27</f>
        <v>324.09999999999997</v>
      </c>
      <c r="AQ22" s="738">
        <f>Gas!G27</f>
        <v>91</v>
      </c>
      <c r="AR22" s="738">
        <f>Boat!G24</f>
        <v>0</v>
      </c>
      <c r="AS22" s="745">
        <f>Elect!BT26</f>
        <v>202</v>
      </c>
    </row>
    <row r="23" spans="1:45" ht="12.75" customHeight="1">
      <c r="A23" s="752" t="s">
        <v>11</v>
      </c>
      <c r="B23" s="729">
        <f t="shared" si="0"/>
        <v>22</v>
      </c>
      <c r="C23" s="771">
        <v>8</v>
      </c>
      <c r="D23" s="751">
        <v>2022</v>
      </c>
      <c r="E23" s="819"/>
      <c r="F23" s="738">
        <f>Elect!J27</f>
        <v>5908</v>
      </c>
      <c r="G23" s="738">
        <f>Elect!K27</f>
        <v>3268</v>
      </c>
      <c r="H23" s="738">
        <f>Elect!Q27</f>
        <v>570</v>
      </c>
      <c r="I23" s="738">
        <f>Elect!S27</f>
        <v>134</v>
      </c>
      <c r="J23" s="738">
        <f>Elect!U27</f>
        <v>151</v>
      </c>
      <c r="K23" s="738">
        <f>Elect!W27</f>
        <v>1444.78</v>
      </c>
      <c r="L23" s="738">
        <f>Elect!Y27</f>
        <v>3730.67</v>
      </c>
      <c r="M23" s="738">
        <f>Elect!AA27</f>
        <v>0</v>
      </c>
      <c r="N23" s="738">
        <f>Elect!AC27</f>
        <v>0</v>
      </c>
      <c r="O23" s="738">
        <f>Elect!AE27</f>
        <v>10.600000000000001</v>
      </c>
      <c r="P23" s="738">
        <f>Elect!AG27</f>
        <v>10.07</v>
      </c>
      <c r="Q23" s="738">
        <f>Elect!AI27</f>
        <v>341.85</v>
      </c>
      <c r="R23" s="738">
        <f>Elect!AK27</f>
        <v>2922.42</v>
      </c>
      <c r="S23" s="738">
        <f>Elect!AM27</f>
        <v>103.88000000000001</v>
      </c>
      <c r="T23" s="738">
        <f>Elect!AP27</f>
        <v>234</v>
      </c>
      <c r="U23" s="738">
        <f>Elect!AR27</f>
        <v>144</v>
      </c>
      <c r="V23" s="738">
        <f>Elect!AT27</f>
        <v>202</v>
      </c>
      <c r="W23" s="738">
        <f>Elect!AV27</f>
        <v>35</v>
      </c>
      <c r="X23" s="738">
        <f>Elect!AX27</f>
        <v>776</v>
      </c>
      <c r="Y23" s="738">
        <f>Elect!AZ27</f>
        <v>11</v>
      </c>
      <c r="Z23" s="738">
        <f>Elect!BB27</f>
        <v>5108</v>
      </c>
      <c r="AA23" s="738">
        <f>Elect!BD27</f>
        <v>256</v>
      </c>
      <c r="AB23" s="738">
        <f>Elect!BF27</f>
        <v>70</v>
      </c>
      <c r="AC23" s="738">
        <f>Elect!BH27</f>
        <v>5632.6</v>
      </c>
      <c r="AD23" s="738">
        <f>Elect!BL27</f>
        <v>220</v>
      </c>
      <c r="AE23" s="738">
        <f>Elect!BN27</f>
        <v>1197</v>
      </c>
      <c r="AF23" s="738">
        <f>Elect!BP27</f>
        <v>115</v>
      </c>
      <c r="AG23" s="738">
        <f>Elect!BR27</f>
        <v>135</v>
      </c>
      <c r="AH23" s="738">
        <f>Boat!C25</f>
        <v>0</v>
      </c>
      <c r="AI23" s="819"/>
      <c r="AJ23" s="738">
        <f>Water!C28</f>
        <v>127.6</v>
      </c>
      <c r="AK23" s="738">
        <f>Water!E28</f>
        <v>162.39999999999998</v>
      </c>
      <c r="AL23" s="738">
        <f>Water!G28</f>
        <v>124.11999999999999</v>
      </c>
      <c r="AM23" s="738">
        <f>Boat!E25</f>
        <v>0</v>
      </c>
      <c r="AN23" s="819"/>
      <c r="AO23" s="738">
        <f>Gas!C28</f>
        <v>1380.1200000000001</v>
      </c>
      <c r="AP23" s="738">
        <f>Gas!E28</f>
        <v>363.29999999999995</v>
      </c>
      <c r="AQ23" s="738">
        <f>Gas!G28</f>
        <v>95</v>
      </c>
      <c r="AR23" s="738">
        <f>Boat!G25</f>
        <v>0</v>
      </c>
      <c r="AS23" s="745">
        <f>Elect!BT27</f>
        <v>237</v>
      </c>
    </row>
    <row r="24" spans="1:45" ht="12.75" customHeight="1">
      <c r="A24" s="752" t="s">
        <v>11</v>
      </c>
      <c r="B24" s="729">
        <f t="shared" si="0"/>
        <v>23</v>
      </c>
      <c r="C24" s="771">
        <v>8</v>
      </c>
      <c r="D24" s="751">
        <v>2022</v>
      </c>
      <c r="E24" s="819"/>
      <c r="F24" s="738">
        <f>Elect!J28</f>
        <v>6073</v>
      </c>
      <c r="G24" s="738">
        <f>Elect!K28</f>
        <v>3361</v>
      </c>
      <c r="H24" s="738">
        <f>Elect!Q28</f>
        <v>570</v>
      </c>
      <c r="I24" s="738">
        <f>Elect!S28</f>
        <v>140</v>
      </c>
      <c r="J24" s="738">
        <f>Elect!U28</f>
        <v>337</v>
      </c>
      <c r="K24" s="738">
        <f>Elect!W28</f>
        <v>2129.0100000000002</v>
      </c>
      <c r="L24" s="738">
        <f>Elect!Y28</f>
        <v>3690.92</v>
      </c>
      <c r="M24" s="738">
        <f>Elect!AA28</f>
        <v>0</v>
      </c>
      <c r="N24" s="738">
        <f>Elect!AC28</f>
        <v>0</v>
      </c>
      <c r="O24" s="738">
        <f>Elect!AE28</f>
        <v>12.190000000000001</v>
      </c>
      <c r="P24" s="738">
        <f>Elect!AG28</f>
        <v>11.13</v>
      </c>
      <c r="Q24" s="738">
        <f>Elect!AI28</f>
        <v>468.52000000000004</v>
      </c>
      <c r="R24" s="738">
        <f>Elect!AK28</f>
        <v>3299.25</v>
      </c>
      <c r="S24" s="738">
        <f>Elect!AM28</f>
        <v>108.12</v>
      </c>
      <c r="T24" s="738">
        <f>Elect!AP28</f>
        <v>217.91249999999999</v>
      </c>
      <c r="U24" s="738">
        <f>Elect!AR28</f>
        <v>164</v>
      </c>
      <c r="V24" s="738">
        <f>Elect!AT28</f>
        <v>176</v>
      </c>
      <c r="W24" s="738">
        <f>Elect!AV28</f>
        <v>47</v>
      </c>
      <c r="X24" s="738">
        <f>Elect!AX28</f>
        <v>834</v>
      </c>
      <c r="Y24" s="738">
        <f>Elect!AZ28</f>
        <v>11</v>
      </c>
      <c r="Z24" s="738">
        <f>Elect!BB28</f>
        <v>5299</v>
      </c>
      <c r="AA24" s="738">
        <f>Elect!BD28</f>
        <v>259</v>
      </c>
      <c r="AB24" s="738">
        <f>Elect!BF28</f>
        <v>70</v>
      </c>
      <c r="AC24" s="738">
        <f>Elect!BH28</f>
        <v>5862.1</v>
      </c>
      <c r="AD24" s="738">
        <f>Elect!BL28</f>
        <v>230</v>
      </c>
      <c r="AE24" s="738">
        <f>Elect!BN28</f>
        <v>1190</v>
      </c>
      <c r="AF24" s="738">
        <f>Elect!BP28</f>
        <v>112</v>
      </c>
      <c r="AG24" s="738">
        <f>Elect!BR28</f>
        <v>138</v>
      </c>
      <c r="AH24" s="738">
        <f>Boat!C26</f>
        <v>0</v>
      </c>
      <c r="AI24" s="819"/>
      <c r="AJ24" s="738">
        <f>Water!C29</f>
        <v>115.99999999999999</v>
      </c>
      <c r="AK24" s="738">
        <f>Water!E29</f>
        <v>145</v>
      </c>
      <c r="AL24" s="738">
        <f>Water!G29</f>
        <v>124.69999999999999</v>
      </c>
      <c r="AM24" s="738">
        <f>Boat!E26</f>
        <v>0</v>
      </c>
      <c r="AN24" s="819"/>
      <c r="AO24" s="738">
        <f>Gas!C29</f>
        <v>1241.26</v>
      </c>
      <c r="AP24" s="738">
        <f>Gas!E29</f>
        <v>304.5</v>
      </c>
      <c r="AQ24" s="738">
        <f>Gas!G29</f>
        <v>87</v>
      </c>
      <c r="AR24" s="738">
        <f>Boat!G26</f>
        <v>0</v>
      </c>
      <c r="AS24" s="745">
        <f>Elect!BT28</f>
        <v>182</v>
      </c>
    </row>
    <row r="25" spans="1:45" ht="12.75" customHeight="1">
      <c r="A25" s="752" t="s">
        <v>11</v>
      </c>
      <c r="B25" s="729">
        <f t="shared" si="0"/>
        <v>24</v>
      </c>
      <c r="C25" s="771">
        <v>8</v>
      </c>
      <c r="D25" s="751">
        <v>2022</v>
      </c>
      <c r="E25" s="819"/>
      <c r="F25" s="738">
        <f>Elect!J29</f>
        <v>6047</v>
      </c>
      <c r="G25" s="738">
        <f>Elect!K29</f>
        <v>3431</v>
      </c>
      <c r="H25" s="738">
        <f>Elect!Q29</f>
        <v>600</v>
      </c>
      <c r="I25" s="738">
        <f>Elect!S29</f>
        <v>141</v>
      </c>
      <c r="J25" s="738">
        <f>Elect!U29</f>
        <v>256</v>
      </c>
      <c r="K25" s="738">
        <f>Elect!W29</f>
        <v>588.30000000000007</v>
      </c>
      <c r="L25" s="738">
        <f>Elect!Y29</f>
        <v>3958.57</v>
      </c>
      <c r="M25" s="738">
        <f>Elect!AA29</f>
        <v>0</v>
      </c>
      <c r="N25" s="738">
        <f>Elect!AC29</f>
        <v>0</v>
      </c>
      <c r="O25" s="738">
        <f>Elect!AE29</f>
        <v>11.66</v>
      </c>
      <c r="P25" s="738">
        <f>Elect!AG29</f>
        <v>12.190000000000001</v>
      </c>
      <c r="Q25" s="738">
        <f>Elect!AI29</f>
        <v>466.93</v>
      </c>
      <c r="R25" s="738">
        <f>Elect!AK29</f>
        <v>3345.8900000000003</v>
      </c>
      <c r="S25" s="738">
        <f>Elect!AM29</f>
        <v>113.95</v>
      </c>
      <c r="T25" s="738">
        <f>Elect!AP29</f>
        <v>242.66249999999999</v>
      </c>
      <c r="U25" s="738">
        <f>Elect!AR29</f>
        <v>405</v>
      </c>
      <c r="V25" s="738">
        <f>Elect!AT29</f>
        <v>180</v>
      </c>
      <c r="W25" s="738">
        <f>Elect!AV29</f>
        <v>50</v>
      </c>
      <c r="X25" s="738">
        <f>Elect!AX29</f>
        <v>835</v>
      </c>
      <c r="Y25" s="738">
        <f>Elect!AZ29</f>
        <v>11</v>
      </c>
      <c r="Z25" s="738">
        <f>Elect!BB29</f>
        <v>5685</v>
      </c>
      <c r="AA25" s="738">
        <f>Elect!BD29</f>
        <v>261</v>
      </c>
      <c r="AB25" s="738">
        <f>Elect!BF29</f>
        <v>70</v>
      </c>
      <c r="AC25" s="738">
        <f>Elect!BH29</f>
        <v>5698.2</v>
      </c>
      <c r="AD25" s="738">
        <f>Elect!BL29</f>
        <v>232</v>
      </c>
      <c r="AE25" s="738">
        <f>Elect!BN29</f>
        <v>1096</v>
      </c>
      <c r="AF25" s="738">
        <f>Elect!BP29</f>
        <v>108</v>
      </c>
      <c r="AG25" s="738">
        <f>Elect!BR29</f>
        <v>121</v>
      </c>
      <c r="AH25" s="738">
        <f>Boat!C27</f>
        <v>0</v>
      </c>
      <c r="AI25" s="819"/>
      <c r="AJ25" s="738">
        <f>Water!C30</f>
        <v>121.8</v>
      </c>
      <c r="AK25" s="738">
        <f>Water!E30</f>
        <v>156.6</v>
      </c>
      <c r="AL25" s="738">
        <f>Water!G30</f>
        <v>125.85999999999999</v>
      </c>
      <c r="AM25" s="738">
        <f>Boat!E27</f>
        <v>0</v>
      </c>
      <c r="AN25" s="819"/>
      <c r="AO25" s="738">
        <f>Gas!C30</f>
        <v>1379.0600000000002</v>
      </c>
      <c r="AP25" s="738">
        <f>Gas!E30</f>
        <v>315</v>
      </c>
      <c r="AQ25" s="738">
        <f>Gas!G30</f>
        <v>88</v>
      </c>
      <c r="AR25" s="738">
        <f>Boat!G27</f>
        <v>0</v>
      </c>
      <c r="AS25" s="745">
        <f>Elect!BT29</f>
        <v>212</v>
      </c>
    </row>
    <row r="26" spans="1:45" ht="12.75" customHeight="1">
      <c r="A26" s="752" t="s">
        <v>11</v>
      </c>
      <c r="B26" s="729">
        <f>B25+1</f>
        <v>25</v>
      </c>
      <c r="C26" s="771">
        <v>8</v>
      </c>
      <c r="D26" s="751">
        <v>2022</v>
      </c>
      <c r="E26" s="819"/>
      <c r="F26" s="738">
        <f>Elect!J30</f>
        <v>6075</v>
      </c>
      <c r="G26" s="738">
        <f>Elect!K30</f>
        <v>3601</v>
      </c>
      <c r="H26" s="738">
        <f>Elect!Q30</f>
        <v>570</v>
      </c>
      <c r="I26" s="738">
        <f>Elect!S30</f>
        <v>144</v>
      </c>
      <c r="J26" s="738">
        <f>Elect!U30</f>
        <v>254</v>
      </c>
      <c r="K26" s="738">
        <f>Elect!W30</f>
        <v>1520.04</v>
      </c>
      <c r="L26" s="738">
        <f>Elect!Y30</f>
        <v>1073.78</v>
      </c>
      <c r="M26" s="738">
        <f>Elect!AA30</f>
        <v>2601.77</v>
      </c>
      <c r="N26" s="738">
        <f>Elect!AC30</f>
        <v>0</v>
      </c>
      <c r="O26" s="738">
        <f>Elect!AE30</f>
        <v>12.72</v>
      </c>
      <c r="P26" s="738">
        <f>Elect!AG30</f>
        <v>10.600000000000001</v>
      </c>
      <c r="Q26" s="738">
        <f>Elect!AI30</f>
        <v>557.56000000000006</v>
      </c>
      <c r="R26" s="738">
        <f>Elect!AK30</f>
        <v>3388.29</v>
      </c>
      <c r="S26" s="738">
        <f>Elect!AM30</f>
        <v>111.30000000000001</v>
      </c>
      <c r="T26" s="738">
        <f>Elect!AP30</f>
        <v>245.13750000000002</v>
      </c>
      <c r="U26" s="738">
        <f>Elect!AR30</f>
        <v>394</v>
      </c>
      <c r="V26" s="738">
        <f>Elect!AT30</f>
        <v>170</v>
      </c>
      <c r="W26" s="738">
        <f>Elect!AV30</f>
        <v>49</v>
      </c>
      <c r="X26" s="738">
        <f>Elect!AX30</f>
        <v>815</v>
      </c>
      <c r="Y26" s="738">
        <f>Elect!AZ30</f>
        <v>11</v>
      </c>
      <c r="Z26" s="738">
        <f>Elect!BB30</f>
        <v>4869</v>
      </c>
      <c r="AA26" s="738">
        <f>Elect!BD30</f>
        <v>234</v>
      </c>
      <c r="AB26" s="738">
        <f>Elect!BF30</f>
        <v>70</v>
      </c>
      <c r="AC26" s="738">
        <f>Elect!BH30</f>
        <v>5687.5999999999995</v>
      </c>
      <c r="AD26" s="738">
        <f>Elect!BL30</f>
        <v>234</v>
      </c>
      <c r="AE26" s="738">
        <f>Elect!BN30</f>
        <v>1043</v>
      </c>
      <c r="AF26" s="738">
        <f>Elect!BP30</f>
        <v>109</v>
      </c>
      <c r="AG26" s="738">
        <f>Elect!BR30</f>
        <v>146</v>
      </c>
      <c r="AH26" s="738">
        <f>Boat!C28</f>
        <v>0</v>
      </c>
      <c r="AI26" s="819"/>
      <c r="AJ26" s="738">
        <f>Water!C31</f>
        <v>133.39999999999998</v>
      </c>
      <c r="AK26" s="738">
        <f>Water!E31</f>
        <v>174</v>
      </c>
      <c r="AL26" s="738">
        <f>Water!G31</f>
        <v>151.95999999999998</v>
      </c>
      <c r="AM26" s="738">
        <f>Boat!E28</f>
        <v>0</v>
      </c>
      <c r="AN26" s="819"/>
      <c r="AO26" s="738">
        <f>Gas!C31</f>
        <v>1785.0400000000002</v>
      </c>
      <c r="AP26" s="738">
        <f>Gas!E31</f>
        <v>326.89999999999998</v>
      </c>
      <c r="AQ26" s="738">
        <f>Gas!G31</f>
        <v>110</v>
      </c>
      <c r="AR26" s="738">
        <f>Boat!G28</f>
        <v>0</v>
      </c>
      <c r="AS26" s="745">
        <f>Elect!BT30</f>
        <v>188</v>
      </c>
    </row>
    <row r="27" spans="1:45" ht="12.75" customHeight="1">
      <c r="A27" s="752" t="s">
        <v>11</v>
      </c>
      <c r="B27" s="729">
        <f t="shared" si="0"/>
        <v>26</v>
      </c>
      <c r="C27" s="771">
        <v>8</v>
      </c>
      <c r="D27" s="751">
        <v>2022</v>
      </c>
      <c r="E27" s="819"/>
      <c r="F27" s="738">
        <f>Elect!J31</f>
        <v>6108</v>
      </c>
      <c r="G27" s="738">
        <f>Elect!K31</f>
        <v>3489</v>
      </c>
      <c r="H27" s="738">
        <f>Elect!Q31</f>
        <v>600</v>
      </c>
      <c r="I27" s="738">
        <f>Elect!S31</f>
        <v>142</v>
      </c>
      <c r="J27" s="738">
        <f>Elect!U31</f>
        <v>249</v>
      </c>
      <c r="K27" s="738">
        <f>Elect!W31</f>
        <v>1927.6100000000001</v>
      </c>
      <c r="L27" s="738">
        <f>Elect!Y31</f>
        <v>0</v>
      </c>
      <c r="M27" s="738">
        <f>Elect!AA31</f>
        <v>3464.0800000000004</v>
      </c>
      <c r="N27" s="738">
        <f>Elect!AC31</f>
        <v>0</v>
      </c>
      <c r="O27" s="738">
        <f>Elect!AE31</f>
        <v>12.190000000000001</v>
      </c>
      <c r="P27" s="738">
        <f>Elect!AG31</f>
        <v>11.13</v>
      </c>
      <c r="Q27" s="738">
        <f>Elect!AI31</f>
        <v>701.19</v>
      </c>
      <c r="R27" s="738">
        <f>Elect!AK31</f>
        <v>3399.9500000000003</v>
      </c>
      <c r="S27" s="738">
        <f>Elect!AM31</f>
        <v>106.53</v>
      </c>
      <c r="T27" s="738">
        <f>Elect!AP31</f>
        <v>257.73750000000001</v>
      </c>
      <c r="U27" s="738">
        <f>Elect!AR31</f>
        <v>282</v>
      </c>
      <c r="V27" s="738">
        <f>Elect!AT31</f>
        <v>154</v>
      </c>
      <c r="W27" s="738">
        <f>Elect!AV31</f>
        <v>45</v>
      </c>
      <c r="X27" s="738">
        <f>Elect!AX31</f>
        <v>890</v>
      </c>
      <c r="Y27" s="738">
        <f>Elect!AZ31</f>
        <v>11</v>
      </c>
      <c r="Z27" s="738">
        <f>Elect!BB31</f>
        <v>5268</v>
      </c>
      <c r="AA27" s="738">
        <f>Elect!BD31</f>
        <v>272</v>
      </c>
      <c r="AB27" s="738">
        <f>Elect!BF31</f>
        <v>70</v>
      </c>
      <c r="AC27" s="738">
        <f>Elect!BH31</f>
        <v>5796.8</v>
      </c>
      <c r="AD27" s="738">
        <f>Elect!BL31</f>
        <v>231</v>
      </c>
      <c r="AE27" s="738">
        <f>Elect!BN31</f>
        <v>1107</v>
      </c>
      <c r="AF27" s="738">
        <f>Elect!BP31</f>
        <v>109</v>
      </c>
      <c r="AG27" s="738">
        <f>Elect!BR31</f>
        <v>128</v>
      </c>
      <c r="AH27" s="738">
        <f>Boat!C29</f>
        <v>0</v>
      </c>
      <c r="AI27" s="819"/>
      <c r="AJ27" s="738">
        <f>Water!C32</f>
        <v>98.6</v>
      </c>
      <c r="AK27" s="738">
        <f>Water!E32</f>
        <v>127.6</v>
      </c>
      <c r="AL27" s="738">
        <f>Water!G32</f>
        <v>113.67999999999999</v>
      </c>
      <c r="AM27" s="738">
        <f>Boat!E29</f>
        <v>0</v>
      </c>
      <c r="AN27" s="819"/>
      <c r="AO27" s="738">
        <f>Gas!C32</f>
        <v>1340.9</v>
      </c>
      <c r="AP27" s="738">
        <f>Gas!E32</f>
        <v>248.49999999999997</v>
      </c>
      <c r="AQ27" s="738">
        <f>Gas!G32</f>
        <v>24</v>
      </c>
      <c r="AR27" s="738">
        <f>Boat!G29</f>
        <v>0</v>
      </c>
      <c r="AS27" s="745">
        <f>Elect!BT31</f>
        <v>219</v>
      </c>
    </row>
    <row r="28" spans="1:45" ht="12.75" customHeight="1">
      <c r="A28" s="752" t="s">
        <v>11</v>
      </c>
      <c r="B28" s="729">
        <f t="shared" si="0"/>
        <v>27</v>
      </c>
      <c r="C28" s="771">
        <v>8</v>
      </c>
      <c r="D28" s="751">
        <v>2022</v>
      </c>
      <c r="E28" s="819"/>
      <c r="F28" s="738">
        <f>Elect!J32</f>
        <v>5745</v>
      </c>
      <c r="G28" s="738">
        <f>Elect!K32</f>
        <v>3491</v>
      </c>
      <c r="H28" s="738">
        <f>Elect!Q32</f>
        <v>570</v>
      </c>
      <c r="I28" s="738">
        <f>Elect!S32</f>
        <v>140</v>
      </c>
      <c r="J28" s="738">
        <f>Elect!U32</f>
        <v>231</v>
      </c>
      <c r="K28" s="738">
        <f>Elect!W32</f>
        <v>1987.5</v>
      </c>
      <c r="L28" s="738">
        <f>Elect!Y32</f>
        <v>0</v>
      </c>
      <c r="M28" s="738">
        <f>Elect!AA32</f>
        <v>3731.73</v>
      </c>
      <c r="N28" s="738">
        <f>Elect!AC32</f>
        <v>0</v>
      </c>
      <c r="O28" s="738">
        <f>Elect!AE32</f>
        <v>12.190000000000001</v>
      </c>
      <c r="P28" s="738">
        <f>Elect!AG32</f>
        <v>11.66</v>
      </c>
      <c r="Q28" s="738">
        <f>Elect!AI32</f>
        <v>873.97</v>
      </c>
      <c r="R28" s="738">
        <f>Elect!AK32</f>
        <v>3489.52</v>
      </c>
      <c r="S28" s="738">
        <f>Elect!AM32</f>
        <v>111.83000000000001</v>
      </c>
      <c r="T28" s="738">
        <f>Elect!AP32</f>
        <v>234.45000000000002</v>
      </c>
      <c r="U28" s="738">
        <f>Elect!AR32</f>
        <v>188</v>
      </c>
      <c r="V28" s="738">
        <f>Elect!AT32</f>
        <v>168</v>
      </c>
      <c r="W28" s="738">
        <f>Elect!AV32</f>
        <v>50</v>
      </c>
      <c r="X28" s="738">
        <f>Elect!AX32</f>
        <v>1038</v>
      </c>
      <c r="Y28" s="738">
        <f>Elect!AZ32</f>
        <v>10</v>
      </c>
      <c r="Z28" s="738">
        <f>Elect!BB32</f>
        <v>5003</v>
      </c>
      <c r="AA28" s="738">
        <f>Elect!BD32</f>
        <v>296</v>
      </c>
      <c r="AB28" s="738">
        <f>Elect!BF32</f>
        <v>70</v>
      </c>
      <c r="AC28" s="738">
        <f>Elect!BH32</f>
        <v>5963.3</v>
      </c>
      <c r="AD28" s="738">
        <f>Elect!BL32</f>
        <v>233</v>
      </c>
      <c r="AE28" s="738">
        <f>Elect!BN32</f>
        <v>1137</v>
      </c>
      <c r="AF28" s="738">
        <f>Elect!BP32</f>
        <v>109</v>
      </c>
      <c r="AG28" s="738">
        <f>Elect!BR32</f>
        <v>143</v>
      </c>
      <c r="AH28" s="738">
        <f>Boat!C30</f>
        <v>0</v>
      </c>
      <c r="AI28" s="819"/>
      <c r="AJ28" s="738">
        <f>Water!C33</f>
        <v>121.8</v>
      </c>
      <c r="AK28" s="738">
        <f>Water!E33</f>
        <v>156.6</v>
      </c>
      <c r="AL28" s="738">
        <f>Water!G33</f>
        <v>127.02</v>
      </c>
      <c r="AM28" s="738">
        <f>Boat!E30</f>
        <v>0</v>
      </c>
      <c r="AN28" s="819"/>
      <c r="AO28" s="738">
        <f>Gas!C33</f>
        <v>1193.5600000000002</v>
      </c>
      <c r="AP28" s="738">
        <f>Gas!E33</f>
        <v>339.5</v>
      </c>
      <c r="AQ28" s="738">
        <f>Gas!G33</f>
        <v>29</v>
      </c>
      <c r="AR28" s="738">
        <f>Boat!G30</f>
        <v>0</v>
      </c>
      <c r="AS28" s="745">
        <f>Elect!BT32</f>
        <v>212</v>
      </c>
    </row>
    <row r="29" spans="1:45" ht="12.75" customHeight="1">
      <c r="A29" s="752" t="s">
        <v>11</v>
      </c>
      <c r="B29" s="729">
        <f t="shared" si="0"/>
        <v>28</v>
      </c>
      <c r="C29" s="771">
        <v>8</v>
      </c>
      <c r="D29" s="751">
        <v>2022</v>
      </c>
      <c r="E29" s="819"/>
      <c r="F29" s="738">
        <f>Elect!J33</f>
        <v>9841</v>
      </c>
      <c r="G29" s="738">
        <f>Elect!K33</f>
        <v>3480</v>
      </c>
      <c r="H29" s="738">
        <f>Elect!Q33</f>
        <v>540</v>
      </c>
      <c r="I29" s="738">
        <f>Elect!S33</f>
        <v>143</v>
      </c>
      <c r="J29" s="738">
        <f>Elect!U33</f>
        <v>274</v>
      </c>
      <c r="K29" s="738">
        <f>Elect!W33</f>
        <v>2217.52</v>
      </c>
      <c r="L29" s="738">
        <f>Elect!Y33</f>
        <v>0</v>
      </c>
      <c r="M29" s="738">
        <f>Elect!AA33</f>
        <v>3352.78</v>
      </c>
      <c r="N29" s="738">
        <f>Elect!AC33</f>
        <v>0</v>
      </c>
      <c r="O29" s="738">
        <f>Elect!AE33</f>
        <v>12.72</v>
      </c>
      <c r="P29" s="738">
        <f>Elect!AG33</f>
        <v>11.66</v>
      </c>
      <c r="Q29" s="738">
        <f>Elect!AI33</f>
        <v>816.73</v>
      </c>
      <c r="R29" s="738">
        <f>Elect!AK33</f>
        <v>3446.0600000000004</v>
      </c>
      <c r="S29" s="738">
        <f>Elect!AM33</f>
        <v>108.12</v>
      </c>
      <c r="T29" s="738">
        <f>Elect!AP33</f>
        <v>253.125</v>
      </c>
      <c r="U29" s="738">
        <f>Elect!AR33</f>
        <v>193</v>
      </c>
      <c r="V29" s="738">
        <f>Elect!AT33</f>
        <v>162</v>
      </c>
      <c r="W29" s="738">
        <f>Elect!AV33</f>
        <v>42</v>
      </c>
      <c r="X29" s="738">
        <f>Elect!AX33</f>
        <v>982</v>
      </c>
      <c r="Y29" s="738">
        <f>Elect!AZ33</f>
        <v>11</v>
      </c>
      <c r="Z29" s="738">
        <f>Elect!BB33</f>
        <v>5318</v>
      </c>
      <c r="AA29" s="738">
        <f>Elect!BD33</f>
        <v>280</v>
      </c>
      <c r="AB29" s="738">
        <f>Elect!BF33</f>
        <v>70</v>
      </c>
      <c r="AC29" s="738">
        <f>Elect!BH33</f>
        <v>6069.9</v>
      </c>
      <c r="AD29" s="738">
        <f>Elect!BL33</f>
        <v>236</v>
      </c>
      <c r="AE29" s="738">
        <f>Elect!BN33</f>
        <v>1308</v>
      </c>
      <c r="AF29" s="738">
        <f>Elect!BP33</f>
        <v>110</v>
      </c>
      <c r="AG29" s="738">
        <f>Elect!BR33</f>
        <v>139</v>
      </c>
      <c r="AH29" s="738">
        <f>Boat!C31</f>
        <v>0</v>
      </c>
      <c r="AI29" s="819"/>
      <c r="AJ29" s="738">
        <f>Water!C34</f>
        <v>121.8</v>
      </c>
      <c r="AK29" s="738">
        <f>Water!E34</f>
        <v>156.6</v>
      </c>
      <c r="AL29" s="738">
        <f>Water!G34</f>
        <v>253.45999999999998</v>
      </c>
      <c r="AM29" s="738">
        <f>Boat!E31</f>
        <v>0</v>
      </c>
      <c r="AN29" s="819"/>
      <c r="AO29" s="738">
        <f>Gas!C34</f>
        <v>1568.8000000000002</v>
      </c>
      <c r="AP29" s="738">
        <f>Gas!E34</f>
        <v>329.7</v>
      </c>
      <c r="AQ29" s="738">
        <f>Gas!G34</f>
        <v>190</v>
      </c>
      <c r="AR29" s="738">
        <f>Boat!G31</f>
        <v>0</v>
      </c>
      <c r="AS29" s="745">
        <f>Elect!BT33</f>
        <v>243</v>
      </c>
    </row>
    <row r="30" spans="1:45" ht="12.75" customHeight="1">
      <c r="A30" s="752" t="s">
        <v>11</v>
      </c>
      <c r="B30" s="729">
        <f t="shared" si="0"/>
        <v>29</v>
      </c>
      <c r="C30" s="771">
        <v>8</v>
      </c>
      <c r="D30" s="751">
        <v>2022</v>
      </c>
      <c r="E30" s="819"/>
      <c r="F30" s="738">
        <f>Elect!J34</f>
        <v>1726</v>
      </c>
      <c r="G30" s="738">
        <f>Elect!K34</f>
        <v>3592</v>
      </c>
      <c r="H30" s="738">
        <f>Elect!Q34</f>
        <v>600</v>
      </c>
      <c r="I30" s="738">
        <f>Elect!S34</f>
        <v>142</v>
      </c>
      <c r="J30" s="738">
        <f>Elect!U34</f>
        <v>254</v>
      </c>
      <c r="K30" s="738">
        <f>Elect!W34</f>
        <v>1052.5800000000002</v>
      </c>
      <c r="L30" s="738">
        <f>Elect!Y34</f>
        <v>0</v>
      </c>
      <c r="M30" s="738">
        <f>Elect!AA34</f>
        <v>3677.67</v>
      </c>
      <c r="N30" s="738">
        <f>Elect!AC34</f>
        <v>0</v>
      </c>
      <c r="O30" s="738">
        <f>Elect!AE34</f>
        <v>13.25</v>
      </c>
      <c r="P30" s="738">
        <f>Elect!AG34</f>
        <v>11.66</v>
      </c>
      <c r="Q30" s="738">
        <f>Elect!AI34</f>
        <v>681.58</v>
      </c>
      <c r="R30" s="738">
        <f>Elect!AK34</f>
        <v>3067.11</v>
      </c>
      <c r="S30" s="738">
        <f>Elect!AM34</f>
        <v>108.65</v>
      </c>
      <c r="T30" s="738">
        <f>Elect!AP34</f>
        <v>231.52500000000001</v>
      </c>
      <c r="U30" s="738">
        <f>Elect!AR34</f>
        <v>195</v>
      </c>
      <c r="V30" s="738">
        <f>Elect!AT34</f>
        <v>166</v>
      </c>
      <c r="W30" s="738">
        <f>Elect!AV34</f>
        <v>41</v>
      </c>
      <c r="X30" s="738">
        <f>Elect!AX34</f>
        <v>918</v>
      </c>
      <c r="Y30" s="738">
        <f>Elect!AZ34</f>
        <v>11</v>
      </c>
      <c r="Z30" s="738">
        <f>Elect!BB34</f>
        <v>5310</v>
      </c>
      <c r="AA30" s="738">
        <f>Elect!BD34</f>
        <v>263</v>
      </c>
      <c r="AB30" s="738">
        <f>Elect!BF34</f>
        <v>70</v>
      </c>
      <c r="AC30" s="738">
        <f>Elect!BH34</f>
        <v>5830.1500000000005</v>
      </c>
      <c r="AD30" s="738">
        <f>Elect!BL34</f>
        <v>232</v>
      </c>
      <c r="AE30" s="738">
        <f>Elect!BN34</f>
        <v>1282</v>
      </c>
      <c r="AF30" s="738">
        <f>Elect!BP34</f>
        <v>111</v>
      </c>
      <c r="AG30" s="738">
        <f>Elect!BR34</f>
        <v>143</v>
      </c>
      <c r="AH30" s="738">
        <f>Boat!C32</f>
        <v>0</v>
      </c>
      <c r="AI30" s="819"/>
      <c r="AJ30" s="738">
        <f>Water!C35</f>
        <v>104.39999999999999</v>
      </c>
      <c r="AK30" s="738">
        <f>Water!E35</f>
        <v>139.19999999999999</v>
      </c>
      <c r="AL30" s="738">
        <f>Water!G35</f>
        <v>9.2799999999999994</v>
      </c>
      <c r="AM30" s="738">
        <f>Boat!E32</f>
        <v>0</v>
      </c>
      <c r="AN30" s="819"/>
      <c r="AO30" s="738">
        <f>Gas!C35</f>
        <v>1347.26</v>
      </c>
      <c r="AP30" s="738">
        <f>Gas!E35</f>
        <v>288.39999999999998</v>
      </c>
      <c r="AQ30" s="738">
        <f>Gas!G35</f>
        <v>82</v>
      </c>
      <c r="AR30" s="738">
        <f>Boat!G32</f>
        <v>0</v>
      </c>
      <c r="AS30" s="745">
        <f>Elect!BT34</f>
        <v>247</v>
      </c>
    </row>
    <row r="31" spans="1:45" ht="12.75" customHeight="1">
      <c r="A31" s="752" t="s">
        <v>11</v>
      </c>
      <c r="B31" s="729">
        <f t="shared" si="0"/>
        <v>30</v>
      </c>
      <c r="C31" s="771">
        <v>8</v>
      </c>
      <c r="D31" s="751">
        <v>2022</v>
      </c>
      <c r="E31" s="819"/>
      <c r="F31" s="738">
        <f>Elect!J35</f>
        <v>7136</v>
      </c>
      <c r="G31" s="738">
        <f>Elect!K35</f>
        <v>3517.3333333329938</v>
      </c>
      <c r="H31" s="738">
        <f>Elect!Q35</f>
        <v>560.00000001018634</v>
      </c>
      <c r="I31" s="738">
        <f>Elect!S35</f>
        <v>142.66666666700621</v>
      </c>
      <c r="J31" s="738">
        <f>Elect!U35</f>
        <v>267.33333333302289</v>
      </c>
      <c r="K31" s="738">
        <f>Elect!W35</f>
        <v>1829.2066666665023</v>
      </c>
      <c r="L31" s="738">
        <f>Elect!Y35</f>
        <v>0</v>
      </c>
      <c r="M31" s="738">
        <f>Elect!AA35</f>
        <v>0</v>
      </c>
      <c r="N31" s="738">
        <f>Elect!AC35</f>
        <v>0</v>
      </c>
      <c r="O31" s="738">
        <f>Elect!AE35</f>
        <v>12.896666666502133</v>
      </c>
      <c r="P31" s="738">
        <f>Elect!AG35</f>
        <v>11.66</v>
      </c>
      <c r="Q31" s="738">
        <f>Elect!AI35</f>
        <v>0</v>
      </c>
      <c r="R31" s="738">
        <f>Elect!AK35</f>
        <v>3319.743333333498</v>
      </c>
      <c r="S31" s="738">
        <f>Elect!AM35</f>
        <v>108.29666666650213</v>
      </c>
      <c r="T31" s="738">
        <f>Elect!AP35</f>
        <v>245.92500000000001</v>
      </c>
      <c r="U31" s="738">
        <f>Elect!AR35</f>
        <v>193.66666666697711</v>
      </c>
      <c r="V31" s="738">
        <f>Elect!AT35</f>
        <v>163.3333333333303</v>
      </c>
      <c r="W31" s="738">
        <f>Elect!AV35</f>
        <v>41.666666666977108</v>
      </c>
      <c r="X31" s="738">
        <f>Elect!AX35</f>
        <v>918</v>
      </c>
      <c r="Y31" s="738">
        <f>Elect!AZ35</f>
        <v>11</v>
      </c>
      <c r="Z31" s="738">
        <f>Elect!BB35</f>
        <v>5315.333333298564</v>
      </c>
      <c r="AA31" s="738">
        <f>Elect!BD35</f>
        <v>274.33333333302289</v>
      </c>
      <c r="AB31" s="738">
        <f>Elect!BF35</f>
        <v>70</v>
      </c>
      <c r="AC31" s="738">
        <f>Elect!BH35</f>
        <v>5989.9833333699498</v>
      </c>
      <c r="AD31" s="738">
        <f>Elect!BL35</f>
        <v>234.66666667000391</v>
      </c>
      <c r="AE31" s="738">
        <f>Elect!BN35</f>
        <v>1299.3333333302289</v>
      </c>
      <c r="AF31" s="738">
        <f>Elect!BP35</f>
        <v>110.33333333302289</v>
      </c>
      <c r="AG31" s="738">
        <f>Elect!BR35</f>
        <v>140.33333333302289</v>
      </c>
      <c r="AH31" s="738">
        <f>Boat!C33</f>
        <v>0</v>
      </c>
      <c r="AI31" s="819"/>
      <c r="AJ31" s="738">
        <f>Water!C36</f>
        <v>115.99999999999999</v>
      </c>
      <c r="AK31" s="738">
        <f>Water!E36</f>
        <v>156.6</v>
      </c>
      <c r="AL31" s="738">
        <f>Water!G36</f>
        <v>131.07999999999998</v>
      </c>
      <c r="AM31" s="738">
        <f>Boat!E33</f>
        <v>0</v>
      </c>
      <c r="AN31" s="819"/>
      <c r="AO31" s="738">
        <f>Gas!C36</f>
        <v>1378</v>
      </c>
      <c r="AP31" s="738">
        <f>Gas!E36</f>
        <v>342.29999999999995</v>
      </c>
      <c r="AQ31" s="738">
        <f>Gas!G36</f>
        <v>73</v>
      </c>
      <c r="AR31" s="738">
        <f>Boat!G33</f>
        <v>0</v>
      </c>
      <c r="AS31" s="745">
        <f>Elect!BT35</f>
        <v>247</v>
      </c>
    </row>
    <row r="32" spans="1:45" ht="12.75" customHeight="1">
      <c r="A32" s="753" t="s">
        <v>11</v>
      </c>
      <c r="B32" s="754">
        <f>B31+1</f>
        <v>31</v>
      </c>
      <c r="C32" s="771">
        <v>8</v>
      </c>
      <c r="D32" s="751">
        <v>2022</v>
      </c>
      <c r="E32" s="820"/>
      <c r="F32" s="738">
        <f>Elect!J36</f>
        <v>5783.5</v>
      </c>
      <c r="G32" s="738">
        <f>Elect!K36</f>
        <v>3567.1111111110076</v>
      </c>
      <c r="H32" s="738">
        <f>Elect!Q36</f>
        <v>570</v>
      </c>
      <c r="I32" s="738">
        <f>Elect!S36</f>
        <v>142.22222222198616</v>
      </c>
      <c r="J32" s="738">
        <f>Elect!U36</f>
        <v>264</v>
      </c>
      <c r="K32" s="738">
        <f>Elect!W36</f>
        <v>0</v>
      </c>
      <c r="L32" s="738">
        <f>Elect!Y36</f>
        <v>0</v>
      </c>
      <c r="M32" s="738">
        <f>Elect!AA36</f>
        <v>0</v>
      </c>
      <c r="N32" s="738">
        <f>Elect!AC36</f>
        <v>0</v>
      </c>
      <c r="O32" s="738">
        <f>Elect!AE36</f>
        <v>12.985000000000001</v>
      </c>
      <c r="P32" s="738">
        <f>Elect!AG36</f>
        <v>11.66</v>
      </c>
      <c r="Q32" s="738">
        <f>Elect!AI36</f>
        <v>0</v>
      </c>
      <c r="R32" s="738">
        <f>Elect!AK36</f>
        <v>3256.585</v>
      </c>
      <c r="S32" s="738">
        <f>Elect!AM36</f>
        <v>108.38500000000001</v>
      </c>
      <c r="T32" s="738">
        <f>Elect!AP36</f>
        <v>242.32500000000002</v>
      </c>
      <c r="U32" s="738">
        <f>Elect!AR36</f>
        <v>194</v>
      </c>
      <c r="V32" s="738">
        <f>Elect!AT36</f>
        <v>164</v>
      </c>
      <c r="W32" s="738">
        <f>Elect!AV36</f>
        <v>41.5</v>
      </c>
      <c r="X32" s="738">
        <f>Elect!AX36</f>
        <v>918</v>
      </c>
      <c r="Y32" s="738">
        <f>Elect!AZ36</f>
        <v>11</v>
      </c>
      <c r="Z32" s="738">
        <f>Elect!BB36</f>
        <v>5314</v>
      </c>
      <c r="AA32" s="738">
        <f>Elect!BD36</f>
        <v>271.5</v>
      </c>
      <c r="AB32" s="738">
        <f>Elect!BF36</f>
        <v>70</v>
      </c>
      <c r="AC32" s="738">
        <f>Elect!BH36</f>
        <v>5950.0249999999996</v>
      </c>
      <c r="AD32" s="738">
        <f>Elect!BL36</f>
        <v>234</v>
      </c>
      <c r="AE32" s="738">
        <f>Elect!BN36</f>
        <v>1295</v>
      </c>
      <c r="AF32" s="738">
        <f>Elect!BP36</f>
        <v>110.5</v>
      </c>
      <c r="AG32" s="738">
        <f>Elect!BR36</f>
        <v>141</v>
      </c>
      <c r="AH32" s="738">
        <f>Boat!C34</f>
        <v>0</v>
      </c>
      <c r="AI32" s="820"/>
      <c r="AJ32" s="738">
        <f>Water!C37</f>
        <v>108.2666666668636</v>
      </c>
      <c r="AK32" s="738">
        <f>Water!E37</f>
        <v>145</v>
      </c>
      <c r="AL32" s="738">
        <f>Water!G37</f>
        <v>49.879999999999995</v>
      </c>
      <c r="AM32" s="738">
        <f>Boat!E34</f>
        <v>0</v>
      </c>
      <c r="AN32" s="820"/>
      <c r="AO32" s="738">
        <f>Gas!C37</f>
        <v>1357.5066666699574</v>
      </c>
      <c r="AP32" s="738">
        <f>Gas!E37</f>
        <v>306.36666666688393</v>
      </c>
      <c r="AQ32" s="738">
        <f>Gas!G37</f>
        <v>79</v>
      </c>
      <c r="AR32" s="738">
        <f>Boat!G34</f>
        <v>0</v>
      </c>
      <c r="AS32" s="745">
        <f>Elect!BT36</f>
        <v>238</v>
      </c>
    </row>
    <row r="33" spans="41:44">
      <c r="AO33" s="735"/>
      <c r="AP33" s="735"/>
      <c r="AQ33" s="735"/>
      <c r="AR33" s="735"/>
    </row>
  </sheetData>
  <sheetProtection algorithmName="SHA-512" hashValue="x5bDGjbZL6ZyldVNE2ZJS0i+axQIbIlqW+6dX8xLxEk35p7QxQ0Ckg1gR/7n+URUv6y5hj1b8k+x634f1O9CCg==" saltValue="EZysqYgtvZPfwK8nXc6G5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21C-8406-464A-84B7-BA49D37A64F6}">
  <dimension ref="A1:G35"/>
  <sheetViews>
    <sheetView zoomScale="80" zoomScaleNormal="80" workbookViewId="0">
      <selection activeCell="E8" sqref="E8"/>
    </sheetView>
  </sheetViews>
  <sheetFormatPr defaultRowHeight="12.75"/>
  <cols>
    <col min="1" max="1" width="34.28515625" style="809" customWidth="1"/>
    <col min="2" max="2" width="21.140625" style="809" customWidth="1"/>
    <col min="3" max="3" width="14.140625" style="809" customWidth="1"/>
    <col min="4" max="4" width="20.28515625" style="809" customWidth="1"/>
    <col min="5" max="5" width="13.28515625" style="809" customWidth="1"/>
    <col min="6" max="6" width="20.140625" style="809" customWidth="1"/>
    <col min="7" max="7" width="19" style="809" customWidth="1"/>
    <col min="8" max="16384" width="9.140625" style="809"/>
  </cols>
  <sheetData>
    <row r="1" spans="1:7" ht="18">
      <c r="A1" s="823"/>
      <c r="B1" s="821" t="s">
        <v>14</v>
      </c>
      <c r="C1" s="822"/>
      <c r="D1" s="821" t="s">
        <v>44</v>
      </c>
      <c r="E1" s="822"/>
      <c r="F1" s="821" t="s">
        <v>49</v>
      </c>
      <c r="G1" s="822"/>
    </row>
    <row r="2" spans="1:7" ht="18.75" thickBot="1">
      <c r="A2" s="824"/>
      <c r="B2" s="817" t="s">
        <v>53</v>
      </c>
      <c r="C2" s="816" t="s">
        <v>54</v>
      </c>
      <c r="D2" s="817" t="s">
        <v>53</v>
      </c>
      <c r="E2" s="816" t="s">
        <v>54</v>
      </c>
      <c r="F2" s="817" t="s">
        <v>53</v>
      </c>
      <c r="G2" s="816" t="s">
        <v>54</v>
      </c>
    </row>
    <row r="3" spans="1:7" ht="20.25">
      <c r="A3" s="815"/>
      <c r="B3" s="813">
        <v>3231504</v>
      </c>
      <c r="C3" s="812"/>
      <c r="D3" s="813">
        <v>3897</v>
      </c>
      <c r="E3" s="812"/>
      <c r="F3" s="813">
        <v>94828</v>
      </c>
      <c r="G3" s="812"/>
    </row>
    <row r="4" spans="1:7" ht="20.25">
      <c r="A4" s="815">
        <v>1</v>
      </c>
      <c r="B4" s="813">
        <v>3237635</v>
      </c>
      <c r="C4" s="812">
        <f t="shared" ref="C4:C34" si="0">B4-B3</f>
        <v>6131</v>
      </c>
      <c r="D4" s="813">
        <v>3924</v>
      </c>
      <c r="E4" s="812">
        <f t="shared" ref="E4:E34" si="1">D4-D3</f>
        <v>27</v>
      </c>
      <c r="F4" s="813">
        <v>94953</v>
      </c>
      <c r="G4" s="812">
        <f t="shared" ref="G4:G34" si="2">F4-F3</f>
        <v>125</v>
      </c>
    </row>
    <row r="5" spans="1:7" ht="20.25">
      <c r="A5" s="815">
        <v>2</v>
      </c>
      <c r="B5" s="813">
        <v>3242056</v>
      </c>
      <c r="C5" s="812">
        <f t="shared" si="0"/>
        <v>4421</v>
      </c>
      <c r="D5" s="813">
        <v>3943</v>
      </c>
      <c r="E5" s="812">
        <f t="shared" si="1"/>
        <v>19</v>
      </c>
      <c r="F5" s="813">
        <v>95046</v>
      </c>
      <c r="G5" s="812">
        <f t="shared" si="2"/>
        <v>93</v>
      </c>
    </row>
    <row r="6" spans="1:7" ht="20.25">
      <c r="A6" s="815">
        <v>3</v>
      </c>
      <c r="B6" s="813">
        <v>3247324</v>
      </c>
      <c r="C6" s="812">
        <f t="shared" si="0"/>
        <v>5268</v>
      </c>
      <c r="D6" s="813">
        <v>3964</v>
      </c>
      <c r="E6" s="812">
        <f t="shared" si="1"/>
        <v>21</v>
      </c>
      <c r="F6" s="813">
        <v>95193</v>
      </c>
      <c r="G6" s="812">
        <f t="shared" si="2"/>
        <v>147</v>
      </c>
    </row>
    <row r="7" spans="1:7" ht="20.25">
      <c r="A7" s="815">
        <v>4</v>
      </c>
      <c r="B7" s="813">
        <v>3251440</v>
      </c>
      <c r="C7" s="812">
        <f t="shared" si="0"/>
        <v>4116</v>
      </c>
      <c r="D7" s="813">
        <v>3980</v>
      </c>
      <c r="E7" s="812">
        <f t="shared" si="1"/>
        <v>16</v>
      </c>
      <c r="F7" s="813">
        <v>95280</v>
      </c>
      <c r="G7" s="812">
        <f t="shared" si="2"/>
        <v>87</v>
      </c>
    </row>
    <row r="8" spans="1:7" ht="20.25">
      <c r="A8" s="815">
        <v>5</v>
      </c>
      <c r="B8" s="813">
        <v>3257179</v>
      </c>
      <c r="C8" s="812">
        <f t="shared" si="0"/>
        <v>5739</v>
      </c>
      <c r="D8" s="813">
        <v>4003</v>
      </c>
      <c r="E8" s="812">
        <f t="shared" si="1"/>
        <v>23</v>
      </c>
      <c r="F8" s="813">
        <v>95400</v>
      </c>
      <c r="G8" s="812">
        <f t="shared" si="2"/>
        <v>120</v>
      </c>
    </row>
    <row r="9" spans="1:7" ht="20.25">
      <c r="A9" s="815">
        <v>6</v>
      </c>
      <c r="B9" s="813">
        <v>3262647</v>
      </c>
      <c r="C9" s="812">
        <f t="shared" si="0"/>
        <v>5468</v>
      </c>
      <c r="D9" s="813">
        <v>4023</v>
      </c>
      <c r="E9" s="812">
        <f t="shared" si="1"/>
        <v>20</v>
      </c>
      <c r="F9" s="813">
        <v>95620</v>
      </c>
      <c r="G9" s="812">
        <f t="shared" si="2"/>
        <v>220</v>
      </c>
    </row>
    <row r="10" spans="1:7" ht="20.25">
      <c r="A10" s="815">
        <v>7</v>
      </c>
      <c r="B10" s="813">
        <v>3266713</v>
      </c>
      <c r="C10" s="812">
        <f t="shared" si="0"/>
        <v>4066</v>
      </c>
      <c r="D10" s="813">
        <v>4043</v>
      </c>
      <c r="E10" s="812">
        <f t="shared" si="1"/>
        <v>20</v>
      </c>
      <c r="F10" s="813">
        <v>95691</v>
      </c>
      <c r="G10" s="812">
        <f t="shared" si="2"/>
        <v>71</v>
      </c>
    </row>
    <row r="11" spans="1:7" ht="20.25">
      <c r="A11" s="815">
        <v>8</v>
      </c>
      <c r="B11" s="813">
        <v>3271779</v>
      </c>
      <c r="C11" s="812">
        <f t="shared" si="0"/>
        <v>5066</v>
      </c>
      <c r="D11" s="813">
        <v>4068</v>
      </c>
      <c r="E11" s="812">
        <f t="shared" si="1"/>
        <v>25</v>
      </c>
      <c r="F11" s="813">
        <v>95787</v>
      </c>
      <c r="G11" s="812">
        <f t="shared" si="2"/>
        <v>96</v>
      </c>
    </row>
    <row r="12" spans="1:7" ht="20.25">
      <c r="A12" s="815">
        <v>9</v>
      </c>
      <c r="B12" s="813">
        <v>3277311</v>
      </c>
      <c r="C12" s="812">
        <f t="shared" si="0"/>
        <v>5532</v>
      </c>
      <c r="D12" s="813">
        <v>4091</v>
      </c>
      <c r="E12" s="812">
        <f t="shared" si="1"/>
        <v>23</v>
      </c>
      <c r="F12" s="813">
        <v>95912</v>
      </c>
      <c r="G12" s="812">
        <f t="shared" si="2"/>
        <v>125</v>
      </c>
    </row>
    <row r="13" spans="1:7" ht="20.25">
      <c r="A13" s="815">
        <v>10</v>
      </c>
      <c r="B13" s="813">
        <v>3281710</v>
      </c>
      <c r="C13" s="812">
        <f t="shared" si="0"/>
        <v>4399</v>
      </c>
      <c r="D13" s="813">
        <v>4108</v>
      </c>
      <c r="E13" s="812">
        <f t="shared" si="1"/>
        <v>17</v>
      </c>
      <c r="F13" s="813">
        <v>96010</v>
      </c>
      <c r="G13" s="812">
        <f t="shared" si="2"/>
        <v>98</v>
      </c>
    </row>
    <row r="14" spans="1:7" ht="20.25">
      <c r="A14" s="815">
        <v>11</v>
      </c>
      <c r="B14" s="813">
        <v>3286743</v>
      </c>
      <c r="C14" s="812">
        <f t="shared" si="0"/>
        <v>5033</v>
      </c>
      <c r="D14" s="813">
        <v>4128</v>
      </c>
      <c r="E14" s="812">
        <f t="shared" si="1"/>
        <v>20</v>
      </c>
      <c r="F14" s="813">
        <v>96120</v>
      </c>
      <c r="G14" s="812">
        <f t="shared" si="2"/>
        <v>110</v>
      </c>
    </row>
    <row r="15" spans="1:7" ht="20.25">
      <c r="A15" s="815">
        <v>12</v>
      </c>
      <c r="B15" s="813">
        <v>3291776</v>
      </c>
      <c r="C15" s="812">
        <f t="shared" si="0"/>
        <v>5033</v>
      </c>
      <c r="D15" s="813">
        <v>4154</v>
      </c>
      <c r="E15" s="812">
        <f t="shared" si="1"/>
        <v>26</v>
      </c>
      <c r="F15" s="813">
        <v>96301</v>
      </c>
      <c r="G15" s="812">
        <f t="shared" si="2"/>
        <v>181</v>
      </c>
    </row>
    <row r="16" spans="1:7" ht="20.25">
      <c r="A16" s="815">
        <v>13</v>
      </c>
      <c r="B16" s="813">
        <v>3297488</v>
      </c>
      <c r="C16" s="812">
        <f t="shared" si="0"/>
        <v>5712</v>
      </c>
      <c r="D16" s="813">
        <v>4154</v>
      </c>
      <c r="E16" s="812">
        <f t="shared" si="1"/>
        <v>0</v>
      </c>
      <c r="F16" s="813">
        <v>96438</v>
      </c>
      <c r="G16" s="812">
        <f t="shared" si="2"/>
        <v>137</v>
      </c>
    </row>
    <row r="17" spans="1:7" ht="20.25">
      <c r="A17" s="815">
        <v>14</v>
      </c>
      <c r="B17" s="813"/>
      <c r="C17" s="812">
        <f t="shared" si="0"/>
        <v>-3297488</v>
      </c>
      <c r="D17" s="813"/>
      <c r="E17" s="812">
        <f t="shared" si="1"/>
        <v>-4154</v>
      </c>
      <c r="F17" s="813"/>
      <c r="G17" s="812">
        <f t="shared" si="2"/>
        <v>-96438</v>
      </c>
    </row>
    <row r="18" spans="1:7" ht="20.25">
      <c r="A18" s="815">
        <v>15</v>
      </c>
      <c r="B18" s="813"/>
      <c r="C18" s="812">
        <f t="shared" si="0"/>
        <v>0</v>
      </c>
      <c r="D18" s="813"/>
      <c r="E18" s="812">
        <f t="shared" si="1"/>
        <v>0</v>
      </c>
      <c r="F18" s="813"/>
      <c r="G18" s="812">
        <f t="shared" si="2"/>
        <v>0</v>
      </c>
    </row>
    <row r="19" spans="1:7" ht="20.25">
      <c r="A19" s="815">
        <v>16</v>
      </c>
      <c r="B19" s="813"/>
      <c r="C19" s="812">
        <f t="shared" si="0"/>
        <v>0</v>
      </c>
      <c r="D19" s="813"/>
      <c r="E19" s="812">
        <f t="shared" si="1"/>
        <v>0</v>
      </c>
      <c r="F19" s="813"/>
      <c r="G19" s="812">
        <f t="shared" si="2"/>
        <v>0</v>
      </c>
    </row>
    <row r="20" spans="1:7" ht="20.25">
      <c r="A20" s="815">
        <v>17</v>
      </c>
      <c r="B20" s="813"/>
      <c r="C20" s="812">
        <f t="shared" si="0"/>
        <v>0</v>
      </c>
      <c r="D20" s="813"/>
      <c r="E20" s="812">
        <f t="shared" si="1"/>
        <v>0</v>
      </c>
      <c r="F20" s="813"/>
      <c r="G20" s="812">
        <f t="shared" si="2"/>
        <v>0</v>
      </c>
    </row>
    <row r="21" spans="1:7" ht="20.25">
      <c r="A21" s="815">
        <v>18</v>
      </c>
      <c r="B21" s="813"/>
      <c r="C21" s="812">
        <f t="shared" si="0"/>
        <v>0</v>
      </c>
      <c r="D21" s="813"/>
      <c r="E21" s="812">
        <f t="shared" si="1"/>
        <v>0</v>
      </c>
      <c r="F21" s="813"/>
      <c r="G21" s="812">
        <f t="shared" si="2"/>
        <v>0</v>
      </c>
    </row>
    <row r="22" spans="1:7" ht="20.25">
      <c r="A22" s="815">
        <v>19</v>
      </c>
      <c r="B22" s="813"/>
      <c r="C22" s="812">
        <f t="shared" si="0"/>
        <v>0</v>
      </c>
      <c r="D22" s="813"/>
      <c r="E22" s="812">
        <f t="shared" si="1"/>
        <v>0</v>
      </c>
      <c r="F22" s="813"/>
      <c r="G22" s="812">
        <f t="shared" si="2"/>
        <v>0</v>
      </c>
    </row>
    <row r="23" spans="1:7" ht="20.25">
      <c r="A23" s="815">
        <v>20</v>
      </c>
      <c r="B23" s="813"/>
      <c r="C23" s="812">
        <f t="shared" si="0"/>
        <v>0</v>
      </c>
      <c r="D23" s="813"/>
      <c r="E23" s="812">
        <f t="shared" si="1"/>
        <v>0</v>
      </c>
      <c r="F23" s="813"/>
      <c r="G23" s="812">
        <f t="shared" si="2"/>
        <v>0</v>
      </c>
    </row>
    <row r="24" spans="1:7" ht="20.25">
      <c r="A24" s="815">
        <v>21</v>
      </c>
      <c r="B24" s="813"/>
      <c r="C24" s="812">
        <f t="shared" si="0"/>
        <v>0</v>
      </c>
      <c r="D24" s="813"/>
      <c r="E24" s="812">
        <f t="shared" si="1"/>
        <v>0</v>
      </c>
      <c r="F24" s="813"/>
      <c r="G24" s="812">
        <f t="shared" si="2"/>
        <v>0</v>
      </c>
    </row>
    <row r="25" spans="1:7" ht="20.25">
      <c r="A25" s="815">
        <v>22</v>
      </c>
      <c r="B25" s="813"/>
      <c r="C25" s="812">
        <f t="shared" si="0"/>
        <v>0</v>
      </c>
      <c r="D25" s="813"/>
      <c r="E25" s="812">
        <f t="shared" si="1"/>
        <v>0</v>
      </c>
      <c r="F25" s="813"/>
      <c r="G25" s="812">
        <f t="shared" si="2"/>
        <v>0</v>
      </c>
    </row>
    <row r="26" spans="1:7" ht="20.25">
      <c r="A26" s="815">
        <v>23</v>
      </c>
      <c r="B26" s="813"/>
      <c r="C26" s="812">
        <f t="shared" si="0"/>
        <v>0</v>
      </c>
      <c r="D26" s="813"/>
      <c r="E26" s="812">
        <f t="shared" si="1"/>
        <v>0</v>
      </c>
      <c r="F26" s="813"/>
      <c r="G26" s="812">
        <f t="shared" si="2"/>
        <v>0</v>
      </c>
    </row>
    <row r="27" spans="1:7" ht="20.25">
      <c r="A27" s="815">
        <v>24</v>
      </c>
      <c r="B27" s="813"/>
      <c r="C27" s="812">
        <f t="shared" si="0"/>
        <v>0</v>
      </c>
      <c r="D27" s="813"/>
      <c r="E27" s="812">
        <f t="shared" si="1"/>
        <v>0</v>
      </c>
      <c r="F27" s="813"/>
      <c r="G27" s="812">
        <f t="shared" si="2"/>
        <v>0</v>
      </c>
    </row>
    <row r="28" spans="1:7" ht="20.25">
      <c r="A28" s="815">
        <v>25</v>
      </c>
      <c r="B28" s="813"/>
      <c r="C28" s="812">
        <f t="shared" si="0"/>
        <v>0</v>
      </c>
      <c r="D28" s="813"/>
      <c r="E28" s="812">
        <f t="shared" si="1"/>
        <v>0</v>
      </c>
      <c r="F28" s="813"/>
      <c r="G28" s="812">
        <f t="shared" si="2"/>
        <v>0</v>
      </c>
    </row>
    <row r="29" spans="1:7" ht="20.25">
      <c r="A29" s="815">
        <v>26</v>
      </c>
      <c r="B29" s="813"/>
      <c r="C29" s="812">
        <f t="shared" si="0"/>
        <v>0</v>
      </c>
      <c r="D29" s="813"/>
      <c r="E29" s="812">
        <f t="shared" si="1"/>
        <v>0</v>
      </c>
      <c r="F29" s="813"/>
      <c r="G29" s="812">
        <f t="shared" si="2"/>
        <v>0</v>
      </c>
    </row>
    <row r="30" spans="1:7" ht="20.25">
      <c r="A30" s="814">
        <v>27</v>
      </c>
      <c r="B30" s="813"/>
      <c r="C30" s="812">
        <f t="shared" si="0"/>
        <v>0</v>
      </c>
      <c r="D30" s="813"/>
      <c r="E30" s="812">
        <f t="shared" si="1"/>
        <v>0</v>
      </c>
      <c r="F30" s="813"/>
      <c r="G30" s="812">
        <f t="shared" si="2"/>
        <v>0</v>
      </c>
    </row>
    <row r="31" spans="1:7" ht="20.25">
      <c r="A31" s="814">
        <v>28</v>
      </c>
      <c r="B31" s="813"/>
      <c r="C31" s="812">
        <f t="shared" si="0"/>
        <v>0</v>
      </c>
      <c r="D31" s="813"/>
      <c r="E31" s="812">
        <f t="shared" si="1"/>
        <v>0</v>
      </c>
      <c r="F31" s="813"/>
      <c r="G31" s="812">
        <f t="shared" si="2"/>
        <v>0</v>
      </c>
    </row>
    <row r="32" spans="1:7" ht="20.25">
      <c r="A32" s="815">
        <v>29</v>
      </c>
      <c r="B32" s="813"/>
      <c r="C32" s="812">
        <f t="shared" si="0"/>
        <v>0</v>
      </c>
      <c r="D32" s="813"/>
      <c r="E32" s="812">
        <f t="shared" si="1"/>
        <v>0</v>
      </c>
      <c r="F32" s="813"/>
      <c r="G32" s="812">
        <f t="shared" si="2"/>
        <v>0</v>
      </c>
    </row>
    <row r="33" spans="1:7" ht="20.25">
      <c r="A33" s="814">
        <v>30</v>
      </c>
      <c r="B33" s="813"/>
      <c r="C33" s="812">
        <f t="shared" si="0"/>
        <v>0</v>
      </c>
      <c r="D33" s="813"/>
      <c r="E33" s="812">
        <f t="shared" si="1"/>
        <v>0</v>
      </c>
      <c r="F33" s="813"/>
      <c r="G33" s="812">
        <f t="shared" si="2"/>
        <v>0</v>
      </c>
    </row>
    <row r="34" spans="1:7" ht="21" thickBot="1">
      <c r="A34" s="814">
        <v>31</v>
      </c>
      <c r="B34" s="813"/>
      <c r="C34" s="812">
        <f t="shared" si="0"/>
        <v>0</v>
      </c>
      <c r="D34" s="813"/>
      <c r="E34" s="812">
        <f t="shared" si="1"/>
        <v>0</v>
      </c>
      <c r="F34" s="813"/>
      <c r="G34" s="812">
        <f t="shared" si="2"/>
        <v>0</v>
      </c>
    </row>
    <row r="35" spans="1:7" ht="20.25">
      <c r="A35" s="810" t="s">
        <v>55</v>
      </c>
      <c r="B35" s="811"/>
      <c r="C35" s="810">
        <f>SUM(C4:C34)</f>
        <v>-3231504</v>
      </c>
      <c r="D35" s="811"/>
      <c r="E35" s="810">
        <f>SUM(E4:E34)</f>
        <v>-3897</v>
      </c>
      <c r="F35" s="811"/>
      <c r="G35" s="810">
        <f>SUM(G4:G34)</f>
        <v>-94828</v>
      </c>
    </row>
  </sheetData>
  <sheetProtection algorithmName="SHA-512" hashValue="gxMWpfRu0M7oS5ugXPFy1dj96sFXhk8CtltpgDhCrNfyZLbNgyN1UpZY9c+1YBfHplhK1jcMgiu45BkZJ//scA==" saltValue="On9BjF6jdsPuMHHpMZAaeg==" spinCount="100000" sheet="1" objects="1" scenarios="1" formatCells="0" formatColumns="0" formatRows="0" insertColumns="0" insertRows="0" insertHyperlinks="0" deleteColumns="0" deleteRows="0" sort="0" autoFilter="0" pivotTables="0"/>
  <mergeCells count="4">
    <mergeCell ref="B1:C1"/>
    <mergeCell ref="D1:E1"/>
    <mergeCell ref="F1:G1"/>
    <mergeCell ref="A1:A2"/>
  </mergeCells>
  <conditionalFormatting sqref="E3">
    <cfRule type="cellIs" dxfId="49" priority="9" stopIfTrue="1" operator="greaterThan">
      <formula>2000</formula>
    </cfRule>
  </conditionalFormatting>
  <conditionalFormatting sqref="E3">
    <cfRule type="cellIs" dxfId="48" priority="8" stopIfTrue="1" operator="greaterThan">
      <formula>1000</formula>
    </cfRule>
  </conditionalFormatting>
  <conditionalFormatting sqref="E3">
    <cfRule type="cellIs" dxfId="47" priority="7" stopIfTrue="1" operator="greaterThan">
      <formula>2000</formula>
    </cfRule>
  </conditionalFormatting>
  <conditionalFormatting sqref="E3">
    <cfRule type="cellIs" dxfId="46" priority="6" stopIfTrue="1" operator="greaterThan">
      <formula>1000</formula>
    </cfRule>
  </conditionalFormatting>
  <conditionalFormatting sqref="E3">
    <cfRule type="cellIs" dxfId="45" priority="5" stopIfTrue="1" operator="greaterThan">
      <formula>2000</formula>
    </cfRule>
  </conditionalFormatting>
  <conditionalFormatting sqref="E3">
    <cfRule type="cellIs" dxfId="44" priority="4" stopIfTrue="1" operator="greaterThan">
      <formula>1000</formula>
    </cfRule>
  </conditionalFormatting>
  <conditionalFormatting sqref="E3">
    <cfRule type="cellIs" dxfId="43" priority="3" stopIfTrue="1" operator="greaterThan">
      <formula>2000</formula>
    </cfRule>
  </conditionalFormatting>
  <conditionalFormatting sqref="E3">
    <cfRule type="cellIs" dxfId="42" priority="2" stopIfTrue="1" operator="greaterThan">
      <formula>1000</formula>
    </cfRule>
  </conditionalFormatting>
  <conditionalFormatting sqref="G3">
    <cfRule type="cellIs" dxfId="41" priority="1" stopIfTrue="1" operator="greaterThan">
      <formula>200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tabSelected="1" zoomScale="60" zoomScaleNormal="60" zoomScaleSheetLayoutView="70" workbookViewId="0">
      <pane xSplit="8" ySplit="4" topLeftCell="BQ9" activePane="bottomRight" state="frozen"/>
      <selection pane="bottomRight" activeCell="BV4" sqref="BV4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18.85546875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47">
        <v>44835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49" t="s">
        <v>14</v>
      </c>
      <c r="N1" s="849"/>
      <c r="O1" s="849"/>
      <c r="Q1" s="849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825" t="s">
        <v>56</v>
      </c>
      <c r="BQ1" s="826"/>
      <c r="BR1" s="565">
        <v>1.6</v>
      </c>
      <c r="BS1" s="562" t="s">
        <v>57</v>
      </c>
      <c r="BT1" s="563"/>
      <c r="BU1" s="827" t="s">
        <v>58</v>
      </c>
      <c r="BV1" s="828"/>
      <c r="BW1" s="565">
        <v>500</v>
      </c>
      <c r="BX1" s="825" t="s">
        <v>59</v>
      </c>
      <c r="BY1" s="826"/>
      <c r="BZ1" s="565">
        <v>1.1499999999999999</v>
      </c>
    </row>
    <row r="2" spans="1:78" ht="28.5" hidden="1" customHeight="1" thickBot="1">
      <c r="A2" s="848"/>
      <c r="B2" s="114"/>
      <c r="C2" s="28"/>
      <c r="D2" s="28"/>
      <c r="E2" s="189"/>
      <c r="F2" s="189"/>
      <c r="I2" s="190"/>
      <c r="M2" s="850"/>
      <c r="N2" s="850"/>
      <c r="O2" s="850"/>
      <c r="Q2" s="850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25"/>
      <c r="BQ2" s="826"/>
      <c r="BR2" s="565"/>
      <c r="BS2" s="567" t="s">
        <v>60</v>
      </c>
      <c r="BT2" s="568"/>
      <c r="BU2" s="827" t="s">
        <v>61</v>
      </c>
      <c r="BV2" s="828"/>
      <c r="BW2" s="569"/>
      <c r="BX2" s="825" t="s">
        <v>62</v>
      </c>
      <c r="BY2" s="826"/>
      <c r="BZ2" s="565">
        <v>30</v>
      </c>
    </row>
    <row r="3" spans="1:78" s="205" customFormat="1" ht="37.5" customHeight="1">
      <c r="A3" s="832" t="s">
        <v>63</v>
      </c>
      <c r="B3" s="834" t="s">
        <v>64</v>
      </c>
      <c r="C3" s="835"/>
      <c r="D3" s="829" t="s">
        <v>65</v>
      </c>
      <c r="E3" s="829"/>
      <c r="F3" s="829" t="s">
        <v>66</v>
      </c>
      <c r="G3" s="829"/>
      <c r="H3" s="851" t="s">
        <v>67</v>
      </c>
      <c r="I3" s="570" t="s">
        <v>68</v>
      </c>
      <c r="J3" s="536"/>
      <c r="K3" s="789"/>
      <c r="L3" s="829"/>
      <c r="M3" s="829"/>
      <c r="N3" s="829"/>
      <c r="O3" s="829"/>
      <c r="P3" s="829"/>
      <c r="Q3" s="829"/>
      <c r="R3" s="838" t="s">
        <v>69</v>
      </c>
      <c r="S3" s="838"/>
      <c r="T3" s="838"/>
      <c r="U3" s="839"/>
      <c r="V3" s="840" t="s">
        <v>70</v>
      </c>
      <c r="W3" s="841"/>
      <c r="X3" s="841"/>
      <c r="Y3" s="841"/>
      <c r="Z3" s="841"/>
      <c r="AA3" s="841"/>
      <c r="AB3" s="841"/>
      <c r="AC3" s="841"/>
      <c r="AD3" s="841"/>
      <c r="AE3" s="841"/>
      <c r="AF3" s="841"/>
      <c r="AG3" s="841"/>
      <c r="AH3" s="841"/>
      <c r="AI3" s="841"/>
      <c r="AJ3" s="841"/>
      <c r="AK3" s="841"/>
      <c r="AL3" s="841"/>
      <c r="AM3" s="841"/>
      <c r="AN3" s="842"/>
      <c r="AO3" s="846" t="s">
        <v>71</v>
      </c>
      <c r="AP3" s="838"/>
      <c r="AQ3" s="838"/>
      <c r="AR3" s="838"/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9"/>
      <c r="BK3" s="843" t="s">
        <v>72</v>
      </c>
      <c r="BL3" s="844"/>
      <c r="BM3" s="844"/>
      <c r="BN3" s="844"/>
      <c r="BO3" s="844"/>
      <c r="BP3" s="844"/>
      <c r="BQ3" s="844"/>
      <c r="BR3" s="845"/>
      <c r="BS3" s="836" t="s">
        <v>73</v>
      </c>
      <c r="BT3" s="790" t="s">
        <v>74</v>
      </c>
      <c r="BU3" s="790" t="s">
        <v>75</v>
      </c>
      <c r="BV3" s="790" t="s">
        <v>74</v>
      </c>
      <c r="BW3" s="790" t="s">
        <v>75</v>
      </c>
      <c r="BX3" s="829" t="s">
        <v>76</v>
      </c>
      <c r="BY3" s="571" t="s">
        <v>77</v>
      </c>
      <c r="BZ3" s="572" t="s">
        <v>77</v>
      </c>
    </row>
    <row r="4" spans="1:78" s="205" customFormat="1" ht="55.5" customHeight="1" thickBot="1">
      <c r="A4" s="833"/>
      <c r="B4" s="573" t="s">
        <v>78</v>
      </c>
      <c r="C4" s="574" t="s">
        <v>79</v>
      </c>
      <c r="D4" s="537" t="s">
        <v>78</v>
      </c>
      <c r="E4" s="574" t="s">
        <v>80</v>
      </c>
      <c r="F4" s="537" t="s">
        <v>81</v>
      </c>
      <c r="G4" s="574" t="s">
        <v>82</v>
      </c>
      <c r="H4" s="852"/>
      <c r="I4" s="575" t="s">
        <v>83</v>
      </c>
      <c r="J4" s="537" t="s">
        <v>84</v>
      </c>
      <c r="K4" s="537" t="s">
        <v>85</v>
      </c>
      <c r="L4" s="788" t="s">
        <v>86</v>
      </c>
      <c r="M4" s="537" t="s">
        <v>84</v>
      </c>
      <c r="N4" s="537" t="s">
        <v>87</v>
      </c>
      <c r="O4" s="537" t="s">
        <v>84</v>
      </c>
      <c r="P4" s="576" t="s">
        <v>88</v>
      </c>
      <c r="Q4" s="788" t="s">
        <v>89</v>
      </c>
      <c r="R4" s="686" t="s">
        <v>90</v>
      </c>
      <c r="S4" s="537" t="s">
        <v>84</v>
      </c>
      <c r="T4" s="686" t="s">
        <v>91</v>
      </c>
      <c r="U4" s="537" t="s">
        <v>84</v>
      </c>
      <c r="V4" s="548" t="s">
        <v>92</v>
      </c>
      <c r="W4" s="788" t="s">
        <v>93</v>
      </c>
      <c r="X4" s="548" t="s">
        <v>94</v>
      </c>
      <c r="Y4" s="788" t="s">
        <v>93</v>
      </c>
      <c r="Z4" s="713" t="s">
        <v>95</v>
      </c>
      <c r="AA4" s="788" t="s">
        <v>93</v>
      </c>
      <c r="AB4" s="548" t="s">
        <v>96</v>
      </c>
      <c r="AC4" s="788" t="s">
        <v>93</v>
      </c>
      <c r="AD4" s="548" t="s">
        <v>97</v>
      </c>
      <c r="AE4" s="788" t="s">
        <v>93</v>
      </c>
      <c r="AF4" s="548" t="s">
        <v>98</v>
      </c>
      <c r="AG4" s="788" t="s">
        <v>93</v>
      </c>
      <c r="AH4" s="548" t="s">
        <v>99</v>
      </c>
      <c r="AI4" s="788" t="s">
        <v>93</v>
      </c>
      <c r="AJ4" s="548" t="s">
        <v>100</v>
      </c>
      <c r="AK4" s="788" t="s">
        <v>93</v>
      </c>
      <c r="AL4" s="686" t="s">
        <v>101</v>
      </c>
      <c r="AM4" s="788" t="s">
        <v>93</v>
      </c>
      <c r="AN4" s="576" t="s">
        <v>102</v>
      </c>
      <c r="AO4" s="788" t="s">
        <v>103</v>
      </c>
      <c r="AP4" s="537" t="s">
        <v>84</v>
      </c>
      <c r="AQ4" s="788" t="s">
        <v>104</v>
      </c>
      <c r="AR4" s="537" t="s">
        <v>84</v>
      </c>
      <c r="AS4" s="788" t="s">
        <v>105</v>
      </c>
      <c r="AT4" s="537" t="s">
        <v>84</v>
      </c>
      <c r="AU4" s="788" t="s">
        <v>106</v>
      </c>
      <c r="AV4" s="537" t="s">
        <v>84</v>
      </c>
      <c r="AW4" s="537" t="s">
        <v>107</v>
      </c>
      <c r="AX4" s="537" t="s">
        <v>84</v>
      </c>
      <c r="AY4" s="788" t="s">
        <v>108</v>
      </c>
      <c r="AZ4" s="537" t="s">
        <v>84</v>
      </c>
      <c r="BA4" s="537" t="s">
        <v>109</v>
      </c>
      <c r="BB4" s="537" t="s">
        <v>84</v>
      </c>
      <c r="BC4" s="788" t="s">
        <v>110</v>
      </c>
      <c r="BD4" s="537" t="s">
        <v>84</v>
      </c>
      <c r="BE4" s="537" t="s">
        <v>111</v>
      </c>
      <c r="BF4" s="537" t="s">
        <v>84</v>
      </c>
      <c r="BG4" s="537" t="s">
        <v>112</v>
      </c>
      <c r="BH4" s="537" t="s">
        <v>84</v>
      </c>
      <c r="BI4" s="576" t="s">
        <v>113</v>
      </c>
      <c r="BJ4" s="576" t="s">
        <v>114</v>
      </c>
      <c r="BK4" s="788" t="s">
        <v>115</v>
      </c>
      <c r="BL4" s="537" t="s">
        <v>84</v>
      </c>
      <c r="BM4" s="537" t="s">
        <v>116</v>
      </c>
      <c r="BN4" s="537" t="s">
        <v>84</v>
      </c>
      <c r="BO4" s="537" t="s">
        <v>117</v>
      </c>
      <c r="BP4" s="537" t="s">
        <v>84</v>
      </c>
      <c r="BQ4" s="537" t="s">
        <v>118</v>
      </c>
      <c r="BR4" s="537" t="s">
        <v>84</v>
      </c>
      <c r="BS4" s="837"/>
      <c r="BT4" s="537" t="s">
        <v>119</v>
      </c>
      <c r="BU4" s="537" t="s">
        <v>120</v>
      </c>
      <c r="BV4" s="537" t="s">
        <v>121</v>
      </c>
      <c r="BW4" s="537" t="s">
        <v>121</v>
      </c>
      <c r="BX4" s="830"/>
      <c r="BY4" s="577" t="s">
        <v>122</v>
      </c>
      <c r="BZ4" s="578" t="s">
        <v>123</v>
      </c>
    </row>
    <row r="5" spans="1:78" s="385" customFormat="1" ht="39" customHeight="1">
      <c r="A5" s="525" t="s">
        <v>124</v>
      </c>
      <c r="B5" s="431"/>
      <c r="C5" s="432"/>
      <c r="D5" s="432"/>
      <c r="E5" s="432"/>
      <c r="F5" s="432"/>
      <c r="G5" s="432"/>
      <c r="H5" s="433"/>
      <c r="I5" s="769">
        <v>25358857</v>
      </c>
      <c r="J5" s="636">
        <f>IF(I5&gt;=I4,I5-I4,0)</f>
        <v>0</v>
      </c>
      <c r="K5" s="636">
        <f>M5+O5</f>
        <v>0</v>
      </c>
      <c r="L5" s="769">
        <v>153545</v>
      </c>
      <c r="M5" s="636">
        <f>IF(L5&gt;=L4,L5-L4,0)</f>
        <v>0</v>
      </c>
      <c r="N5" s="769">
        <v>194426</v>
      </c>
      <c r="O5" s="636">
        <f t="shared" ref="O5:O36" si="0">IF(N5&gt;=N4,N5-N4,0)</f>
        <v>0</v>
      </c>
      <c r="P5" s="769">
        <v>226098</v>
      </c>
      <c r="Q5" s="636">
        <f>IF(P5&gt;=P4,P5-P4,0)*30</f>
        <v>0</v>
      </c>
      <c r="R5" s="768">
        <v>217431</v>
      </c>
      <c r="S5" s="636">
        <f>IF(R5&gt;=R4,R5-R4,0)</f>
        <v>0</v>
      </c>
      <c r="T5" s="768">
        <v>396865</v>
      </c>
      <c r="U5" s="636">
        <f t="shared" ref="U5:U27" si="1">IF(T5&gt;=T4,T5-T4,0)</f>
        <v>0</v>
      </c>
      <c r="V5" s="768">
        <v>472400</v>
      </c>
      <c r="W5" s="636">
        <f t="shared" ref="W5:W36" si="2">IF(V5&gt;=V4,V5-V4,0)*0.53</f>
        <v>0</v>
      </c>
      <c r="X5" s="769">
        <v>734024</v>
      </c>
      <c r="Y5" s="636">
        <f t="shared" ref="Y5:Y36" si="3">IF(X5&gt;=X4,X5-X4,0)*0.53</f>
        <v>0</v>
      </c>
      <c r="Z5" s="768">
        <v>684478</v>
      </c>
      <c r="AA5" s="636">
        <f t="shared" ref="AA5:AA36" si="4">IF(Z5&gt;=Z4,Z5-Z4,0)*0.53</f>
        <v>0</v>
      </c>
      <c r="AB5" s="768">
        <v>68783</v>
      </c>
      <c r="AC5" s="636">
        <f>IF(AB5&gt;=AB4,AB5-AB4,0)*0.53</f>
        <v>0</v>
      </c>
      <c r="AD5" s="768">
        <v>842083</v>
      </c>
      <c r="AE5" s="636">
        <f>IF(AD5&gt;=AD4,AD5-AD4,0)*0.53</f>
        <v>0</v>
      </c>
      <c r="AF5" s="768">
        <v>996740</v>
      </c>
      <c r="AG5" s="636">
        <f t="shared" ref="AG5:AG12" si="5">IF(AF5&gt;=AF4,AF5-AF4,0)*0.53</f>
        <v>0</v>
      </c>
      <c r="AH5" s="768">
        <v>358033</v>
      </c>
      <c r="AI5" s="636">
        <f t="shared" ref="AI5:AI36" si="6">IF(AH5&gt;=AH4,AH5-AH4,0)*0.53</f>
        <v>0</v>
      </c>
      <c r="AJ5" s="769">
        <v>178289</v>
      </c>
      <c r="AK5" s="636">
        <f t="shared" ref="AK5:AK12" si="7">IF(AJ5&gt;=AJ4,AJ5-AJ4,0)*0.53</f>
        <v>0</v>
      </c>
      <c r="AL5" s="768">
        <v>554371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8049644</v>
      </c>
      <c r="AP5" s="636">
        <f>IF(AO5&gt;=AO4,AO5-AO4,0)*0.1125</f>
        <v>0</v>
      </c>
      <c r="AQ5" s="768">
        <v>737609</v>
      </c>
      <c r="AR5" s="636">
        <f t="shared" ref="AR5:AR36" si="9">IF(AQ5&gt;=AQ4,AQ5-AQ4,0)</f>
        <v>0</v>
      </c>
      <c r="AS5" s="769">
        <v>4234</v>
      </c>
      <c r="AT5" s="636">
        <f>IF(AS5&gt;=AS4,AS5-AS4,0)</f>
        <v>0</v>
      </c>
      <c r="AU5" s="768">
        <v>823094</v>
      </c>
      <c r="AV5" s="636">
        <f t="shared" ref="AV5:AV36" si="10">IF(AU5&gt;=AU4,AU5-AU4,0)</f>
        <v>0</v>
      </c>
      <c r="AW5" s="768">
        <v>2827168</v>
      </c>
      <c r="AX5" s="636">
        <f t="shared" ref="AX5:AX36" si="11">IF(AW5&gt;=AW4,AW5-AW4,0)</f>
        <v>0</v>
      </c>
      <c r="AY5" s="769">
        <v>230844</v>
      </c>
      <c r="AZ5" s="636">
        <f t="shared" ref="AZ5:AZ18" si="12">IF(AY5&gt;=AY4,AY5-AY4,0)</f>
        <v>0</v>
      </c>
      <c r="BA5" s="768">
        <v>20483962</v>
      </c>
      <c r="BB5" s="636">
        <f t="shared" ref="BB5:BF36" si="13">IF(BA5&gt;=BA4,BA5-BA4,0)</f>
        <v>0</v>
      </c>
      <c r="BC5" s="768">
        <v>624512</v>
      </c>
      <c r="BD5" s="636">
        <f t="shared" si="13"/>
        <v>0</v>
      </c>
      <c r="BE5" s="768">
        <v>41468</v>
      </c>
      <c r="BF5" s="636">
        <f t="shared" si="13"/>
        <v>0</v>
      </c>
      <c r="BG5" s="769">
        <v>25720443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1480954</v>
      </c>
      <c r="BL5" s="636">
        <f t="shared" ref="BL5:BL36" si="14">IF(BK5&gt;=BK4,BK5-BK4,0)</f>
        <v>0</v>
      </c>
      <c r="BM5" s="769">
        <v>4229427</v>
      </c>
      <c r="BN5" s="636">
        <f t="shared" ref="BN5:BN36" si="15">IF(BM5&gt;=BM4,BM5-BM4,0)</f>
        <v>0</v>
      </c>
      <c r="BO5" s="807">
        <v>442405</v>
      </c>
      <c r="BP5" s="636">
        <f t="shared" ref="BP5:BP36" si="16">IF(BO5&gt;=BO4,BO5-BO4,0)</f>
        <v>0</v>
      </c>
      <c r="BQ5" s="768">
        <v>553744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25360896</v>
      </c>
      <c r="J6" s="636">
        <f t="shared" ref="J6:J36" si="18">IF(I6&gt;=I5,I6-I5,0)</f>
        <v>2039</v>
      </c>
      <c r="K6" s="636">
        <f t="shared" ref="K6:K36" si="19">M6+O6</f>
        <v>1738</v>
      </c>
      <c r="L6" s="769">
        <v>155159</v>
      </c>
      <c r="M6" s="636">
        <f>IF(L6&gt;=L5,L6-L5,0)</f>
        <v>1614</v>
      </c>
      <c r="N6" s="769">
        <v>194550</v>
      </c>
      <c r="O6" s="636">
        <f>IF(N6&gt;=N5,N6-N5,0)</f>
        <v>124</v>
      </c>
      <c r="P6" s="769">
        <v>226125</v>
      </c>
      <c r="Q6" s="636">
        <f>IF(P6&gt;=P5,P6-P5,0)*30</f>
        <v>810</v>
      </c>
      <c r="R6" s="768">
        <v>217576</v>
      </c>
      <c r="S6" s="636">
        <f>IF(R6&gt;=R5,R6-R5,0)</f>
        <v>145</v>
      </c>
      <c r="T6" s="768">
        <v>397123</v>
      </c>
      <c r="U6" s="636">
        <f t="shared" si="1"/>
        <v>258</v>
      </c>
      <c r="V6" s="768">
        <v>478842</v>
      </c>
      <c r="W6" s="636">
        <f t="shared" si="2"/>
        <v>3414.26</v>
      </c>
      <c r="X6" s="769">
        <v>742565</v>
      </c>
      <c r="Y6" s="636">
        <f t="shared" si="3"/>
        <v>4526.7300000000005</v>
      </c>
      <c r="Z6" s="768">
        <v>684478</v>
      </c>
      <c r="AA6" s="636">
        <f t="shared" si="4"/>
        <v>0</v>
      </c>
      <c r="AB6" s="768">
        <v>68783</v>
      </c>
      <c r="AC6" s="636">
        <f>IF(AB6&gt;=AB5,AB6-AB5,0)*0.53</f>
        <v>0</v>
      </c>
      <c r="AD6" s="768">
        <v>842242</v>
      </c>
      <c r="AE6" s="636">
        <f t="shared" ref="AE6:AE36" si="20">IF(AD6&gt;=AD5,AD6-AD5,0)*0.53</f>
        <v>84.27000000000001</v>
      </c>
      <c r="AF6" s="768">
        <v>999896</v>
      </c>
      <c r="AG6" s="636">
        <f t="shared" si="5"/>
        <v>1672.68</v>
      </c>
      <c r="AH6" s="769">
        <v>360245</v>
      </c>
      <c r="AI6" s="636">
        <f t="shared" si="6"/>
        <v>1172.3600000000001</v>
      </c>
      <c r="AJ6" s="769">
        <v>185784</v>
      </c>
      <c r="AK6" s="636">
        <f t="shared" si="7"/>
        <v>3972.3500000000004</v>
      </c>
      <c r="AL6" s="768">
        <v>554563</v>
      </c>
      <c r="AM6" s="636">
        <f t="shared" si="8"/>
        <v>101.76</v>
      </c>
      <c r="AN6" s="636">
        <f t="shared" ref="AN6:AN36" si="21">W6+Y6+AA6+AC6+AE6+AG6+AI6+AK6+AM6</f>
        <v>14944.410000000002</v>
      </c>
      <c r="AO6" s="768">
        <v>8052733</v>
      </c>
      <c r="AP6" s="636">
        <f t="shared" ref="AP6:AP36" si="22">IF(AO6&gt;=AO5,AO6-AO5,0)*0.1125</f>
        <v>347.51249999999999</v>
      </c>
      <c r="AQ6" s="768">
        <v>737802</v>
      </c>
      <c r="AR6" s="636">
        <f t="shared" si="9"/>
        <v>193</v>
      </c>
      <c r="AS6" s="768">
        <v>4538.6858499525197</v>
      </c>
      <c r="AT6" s="636">
        <f t="shared" ref="AT6:AT34" si="23">IF(AS6&gt;=AS5,AS6-AS5,0)</f>
        <v>304.68584995251967</v>
      </c>
      <c r="AU6" s="710">
        <v>823139</v>
      </c>
      <c r="AV6" s="636">
        <f t="shared" si="10"/>
        <v>45</v>
      </c>
      <c r="AW6" s="769">
        <v>2828098</v>
      </c>
      <c r="AX6" s="636">
        <f t="shared" si="11"/>
        <v>930</v>
      </c>
      <c r="AY6" s="768">
        <v>230856</v>
      </c>
      <c r="AZ6" s="636">
        <f t="shared" si="12"/>
        <v>12</v>
      </c>
      <c r="BA6" s="769">
        <v>20488900</v>
      </c>
      <c r="BB6" s="636">
        <f t="shared" si="13"/>
        <v>4938</v>
      </c>
      <c r="BC6" s="768">
        <v>624796</v>
      </c>
      <c r="BD6" s="636">
        <f t="shared" si="13"/>
        <v>284</v>
      </c>
      <c r="BE6" s="768">
        <v>41523</v>
      </c>
      <c r="BF6" s="636">
        <f t="shared" si="13"/>
        <v>55</v>
      </c>
      <c r="BG6" s="768">
        <v>25728058</v>
      </c>
      <c r="BH6" s="636">
        <f t="shared" ref="BH6:BH36" si="24">IF(BG6&gt;=BG5,BG6-BG5,0)-(0.45*BN6)-(0.45*BP6)-BR6</f>
        <v>6683.05</v>
      </c>
      <c r="BI6" s="636">
        <f t="shared" ref="BI6:BI36" si="25">AP6+AR6+AT6+AV6+AX6+AZ6+BB6+BD6+BF6+BH6</f>
        <v>13792.248349952519</v>
      </c>
      <c r="BJ6" s="636">
        <f t="shared" ref="BJ6:BJ36" si="26">BI6+AN6</f>
        <v>28736.658349952522</v>
      </c>
      <c r="BK6" s="769">
        <v>1481219</v>
      </c>
      <c r="BL6" s="636">
        <f t="shared" si="14"/>
        <v>265</v>
      </c>
      <c r="BM6" s="769">
        <v>4230991</v>
      </c>
      <c r="BN6" s="636">
        <f t="shared" si="15"/>
        <v>1564</v>
      </c>
      <c r="BO6" s="769">
        <v>442532</v>
      </c>
      <c r="BP6" s="636">
        <f t="shared" si="16"/>
        <v>127</v>
      </c>
      <c r="BQ6" s="768">
        <v>553915</v>
      </c>
      <c r="BR6" s="636">
        <f t="shared" si="17"/>
        <v>171</v>
      </c>
      <c r="BS6" s="692">
        <f t="shared" ref="BS6:BS36" si="27">J6+Q6+AN6+BI6</f>
        <v>31585.658349952522</v>
      </c>
      <c r="BT6" s="693">
        <v>227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36688.007102445401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25250634.1481474</v>
      </c>
      <c r="J7" s="636">
        <f t="shared" si="18"/>
        <v>0</v>
      </c>
      <c r="K7" s="636">
        <f t="shared" si="19"/>
        <v>3340</v>
      </c>
      <c r="L7" s="769">
        <v>156963</v>
      </c>
      <c r="M7" s="636">
        <f>IF(L7&gt;=L6,L7-L6,0)</f>
        <v>1804</v>
      </c>
      <c r="N7" s="769">
        <v>196086</v>
      </c>
      <c r="O7" s="636">
        <f>IF(N7&gt;=N6,N7-N6,0)</f>
        <v>1536</v>
      </c>
      <c r="P7" s="769">
        <v>226144</v>
      </c>
      <c r="Q7" s="636">
        <f t="shared" ref="Q7:Q18" si="31">IF(P7&gt;=P6,P7-P6,0)*30</f>
        <v>570</v>
      </c>
      <c r="R7" s="768">
        <v>217710</v>
      </c>
      <c r="S7" s="636">
        <f t="shared" ref="S7:S20" si="32">IF(R7&gt;=R6,R7-R6,0)</f>
        <v>134</v>
      </c>
      <c r="T7" s="768">
        <v>397380</v>
      </c>
      <c r="U7" s="636">
        <f t="shared" si="1"/>
        <v>257</v>
      </c>
      <c r="V7" s="768">
        <v>485402</v>
      </c>
      <c r="W7" s="636">
        <f t="shared" si="2"/>
        <v>3476.8</v>
      </c>
      <c r="X7" s="769">
        <v>749787</v>
      </c>
      <c r="Y7" s="636">
        <f t="shared" si="3"/>
        <v>3827.6600000000003</v>
      </c>
      <c r="Z7" s="768">
        <v>684478</v>
      </c>
      <c r="AA7" s="636">
        <f t="shared" si="4"/>
        <v>0</v>
      </c>
      <c r="AB7" s="768">
        <v>68783</v>
      </c>
      <c r="AC7" s="636">
        <f t="shared" ref="AC7:AC36" si="33">IF(AB7&gt;=AB6,AB7-AB6,0)*0.53</f>
        <v>0</v>
      </c>
      <c r="AD7" s="768">
        <v>845500</v>
      </c>
      <c r="AE7" s="636">
        <f t="shared" si="20"/>
        <v>1726.74</v>
      </c>
      <c r="AF7" s="768">
        <v>999916</v>
      </c>
      <c r="AG7" s="636">
        <f t="shared" si="5"/>
        <v>10.600000000000001</v>
      </c>
      <c r="AH7" s="769">
        <v>362199</v>
      </c>
      <c r="AI7" s="636">
        <f t="shared" si="6"/>
        <v>1035.6200000000001</v>
      </c>
      <c r="AJ7" s="769">
        <v>192533</v>
      </c>
      <c r="AK7" s="636">
        <f t="shared" si="7"/>
        <v>3576.9700000000003</v>
      </c>
      <c r="AL7" s="768">
        <v>554756</v>
      </c>
      <c r="AM7" s="636">
        <f t="shared" si="8"/>
        <v>102.29</v>
      </c>
      <c r="AN7" s="636">
        <f t="shared" si="21"/>
        <v>13756.680000000004</v>
      </c>
      <c r="AO7" s="768">
        <v>8055312</v>
      </c>
      <c r="AP7" s="636">
        <f t="shared" si="22"/>
        <v>290.13749999999999</v>
      </c>
      <c r="AQ7" s="768">
        <v>737956</v>
      </c>
      <c r="AR7" s="636">
        <f t="shared" si="9"/>
        <v>154</v>
      </c>
      <c r="AS7" s="769">
        <v>4718.4476353276395</v>
      </c>
      <c r="AT7" s="636">
        <f t="shared" si="23"/>
        <v>179.76178537511987</v>
      </c>
      <c r="AU7" s="710">
        <v>823200</v>
      </c>
      <c r="AV7" s="636">
        <f t="shared" si="10"/>
        <v>61</v>
      </c>
      <c r="AW7" s="769">
        <v>2828902</v>
      </c>
      <c r="AX7" s="636">
        <f t="shared" si="11"/>
        <v>804</v>
      </c>
      <c r="AY7" s="768">
        <v>230866</v>
      </c>
      <c r="AZ7" s="636">
        <f t="shared" si="12"/>
        <v>10</v>
      </c>
      <c r="BA7" s="769">
        <v>20494216</v>
      </c>
      <c r="BB7" s="636">
        <f t="shared" si="13"/>
        <v>5316</v>
      </c>
      <c r="BC7" s="768">
        <v>625048</v>
      </c>
      <c r="BD7" s="636">
        <f t="shared" si="13"/>
        <v>252</v>
      </c>
      <c r="BE7" s="768">
        <v>41635</v>
      </c>
      <c r="BF7" s="636">
        <f t="shared" si="13"/>
        <v>112</v>
      </c>
      <c r="BG7" s="769">
        <v>25735409</v>
      </c>
      <c r="BH7" s="636">
        <f t="shared" si="24"/>
        <v>6520.5999999999995</v>
      </c>
      <c r="BI7" s="636">
        <f t="shared" si="25"/>
        <v>13699.499285375119</v>
      </c>
      <c r="BJ7" s="636">
        <f t="shared" si="26"/>
        <v>27456.179285375125</v>
      </c>
      <c r="BK7" s="769">
        <v>1481512</v>
      </c>
      <c r="BL7" s="636">
        <f t="shared" si="14"/>
        <v>293</v>
      </c>
      <c r="BM7" s="769">
        <v>4232390</v>
      </c>
      <c r="BN7" s="636">
        <f t="shared" si="15"/>
        <v>1399</v>
      </c>
      <c r="BO7" s="769">
        <v>442645</v>
      </c>
      <c r="BP7" s="636">
        <f t="shared" si="16"/>
        <v>113</v>
      </c>
      <c r="BQ7" s="768">
        <v>554065</v>
      </c>
      <c r="BR7" s="636">
        <f t="shared" si="17"/>
        <v>150</v>
      </c>
      <c r="BS7" s="692">
        <f t="shared" si="27"/>
        <v>28026.179285375125</v>
      </c>
      <c r="BT7" s="693">
        <v>243</v>
      </c>
      <c r="BU7" s="692">
        <f t="shared" si="28"/>
        <v>123.46334486949394</v>
      </c>
      <c r="BV7" s="693"/>
      <c r="BW7" s="692" t="e">
        <f t="shared" si="29"/>
        <v>#DIV/0!</v>
      </c>
      <c r="BX7" s="692">
        <f t="shared" ref="BX7:BX36" si="34">((BS7-Q7)*$BZ$1)+(Q7*$BR$1)</f>
        <v>32486.606178181391</v>
      </c>
      <c r="BY7" s="692">
        <f t="shared" si="30"/>
        <v>143.1128025470546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25256603.259258602</v>
      </c>
      <c r="J8" s="636">
        <f t="shared" si="18"/>
        <v>5969.1111112013459</v>
      </c>
      <c r="K8" s="636">
        <f t="shared" si="19"/>
        <v>4452</v>
      </c>
      <c r="L8" s="769">
        <v>159406</v>
      </c>
      <c r="M8" s="636">
        <f>IF(L8&gt;=L7,L8-L7,0)</f>
        <v>2443</v>
      </c>
      <c r="N8" s="769">
        <v>198095</v>
      </c>
      <c r="O8" s="636">
        <f t="shared" ref="O8:O27" si="39">IF(N8&gt;=N7,N8-N7,0)</f>
        <v>2009</v>
      </c>
      <c r="P8" s="769">
        <v>226169</v>
      </c>
      <c r="Q8" s="636">
        <f t="shared" si="31"/>
        <v>750</v>
      </c>
      <c r="R8" s="769">
        <v>217857</v>
      </c>
      <c r="S8" s="636">
        <f t="shared" si="32"/>
        <v>147</v>
      </c>
      <c r="T8" s="768">
        <v>397648</v>
      </c>
      <c r="U8" s="636">
        <f t="shared" si="1"/>
        <v>268</v>
      </c>
      <c r="V8" s="768">
        <v>492753</v>
      </c>
      <c r="W8" s="636">
        <f t="shared" si="2"/>
        <v>3896.03</v>
      </c>
      <c r="X8" s="769">
        <v>758238</v>
      </c>
      <c r="Y8" s="636">
        <f t="shared" si="3"/>
        <v>4479.0300000000007</v>
      </c>
      <c r="Z8" s="768">
        <v>684671</v>
      </c>
      <c r="AA8" s="636">
        <f t="shared" si="4"/>
        <v>102.29</v>
      </c>
      <c r="AB8" s="768">
        <v>68783</v>
      </c>
      <c r="AC8" s="636">
        <f t="shared" si="33"/>
        <v>0</v>
      </c>
      <c r="AD8" s="768">
        <v>848697</v>
      </c>
      <c r="AE8" s="636">
        <f t="shared" si="20"/>
        <v>1694.41</v>
      </c>
      <c r="AF8" s="768">
        <v>999937</v>
      </c>
      <c r="AG8" s="636">
        <f t="shared" si="5"/>
        <v>11.13</v>
      </c>
      <c r="AH8" s="768">
        <v>364428</v>
      </c>
      <c r="AI8" s="636">
        <f t="shared" si="6"/>
        <v>1181.3700000000001</v>
      </c>
      <c r="AJ8" s="768">
        <v>201159</v>
      </c>
      <c r="AK8" s="636">
        <f t="shared" si="7"/>
        <v>4571.7800000000007</v>
      </c>
      <c r="AL8" s="768">
        <v>555010</v>
      </c>
      <c r="AM8" s="636">
        <f t="shared" si="8"/>
        <v>134.62</v>
      </c>
      <c r="AN8" s="636">
        <f t="shared" si="21"/>
        <v>16070.660000000003</v>
      </c>
      <c r="AO8" s="768">
        <v>8058069</v>
      </c>
      <c r="AP8" s="636">
        <f t="shared" si="22"/>
        <v>310.16250000000002</v>
      </c>
      <c r="AQ8" s="769">
        <v>738109</v>
      </c>
      <c r="AR8" s="636">
        <f t="shared" si="9"/>
        <v>153</v>
      </c>
      <c r="AS8" s="768">
        <v>4898.2094207027603</v>
      </c>
      <c r="AT8" s="636">
        <f t="shared" si="23"/>
        <v>179.76178537512078</v>
      </c>
      <c r="AU8" s="768">
        <v>823269</v>
      </c>
      <c r="AV8" s="636">
        <f>IF(AU8&gt;=AU7,AU8-AU7,0)</f>
        <v>69</v>
      </c>
      <c r="AW8" s="768">
        <v>2829964</v>
      </c>
      <c r="AX8" s="636">
        <f t="shared" si="11"/>
        <v>1062</v>
      </c>
      <c r="AY8" s="768">
        <v>230878</v>
      </c>
      <c r="AZ8" s="636">
        <f t="shared" si="12"/>
        <v>12</v>
      </c>
      <c r="BA8" s="768">
        <v>20500768</v>
      </c>
      <c r="BB8" s="636">
        <f t="shared" si="13"/>
        <v>6552</v>
      </c>
      <c r="BC8" s="768">
        <v>625295</v>
      </c>
      <c r="BD8" s="636">
        <f t="shared" si="13"/>
        <v>247</v>
      </c>
      <c r="BE8" s="768">
        <v>41690</v>
      </c>
      <c r="BF8" s="636">
        <f t="shared" si="13"/>
        <v>55</v>
      </c>
      <c r="BG8" s="769">
        <v>25743058</v>
      </c>
      <c r="BH8" s="636">
        <f t="shared" si="24"/>
        <v>6852.45</v>
      </c>
      <c r="BI8" s="636">
        <f t="shared" si="25"/>
        <v>15492.374285375121</v>
      </c>
      <c r="BJ8" s="636">
        <f t="shared" si="26"/>
        <v>31563.034285375124</v>
      </c>
      <c r="BK8" s="769">
        <v>1481794</v>
      </c>
      <c r="BL8" s="636">
        <f t="shared" si="14"/>
        <v>282</v>
      </c>
      <c r="BM8" s="768">
        <v>4233740</v>
      </c>
      <c r="BN8" s="636">
        <f t="shared" si="15"/>
        <v>1350</v>
      </c>
      <c r="BO8" s="768">
        <v>442754</v>
      </c>
      <c r="BP8" s="636">
        <f t="shared" si="16"/>
        <v>109</v>
      </c>
      <c r="BQ8" s="768">
        <v>554205</v>
      </c>
      <c r="BR8" s="636">
        <f t="shared" si="17"/>
        <v>140</v>
      </c>
      <c r="BS8" s="692">
        <f t="shared" si="27"/>
        <v>38282.145396576467</v>
      </c>
      <c r="BT8" s="693">
        <v>220</v>
      </c>
      <c r="BU8" s="692">
        <f t="shared" si="28"/>
        <v>157.53969299002662</v>
      </c>
      <c r="BV8" s="693"/>
      <c r="BW8" s="692" t="e">
        <f t="shared" si="29"/>
        <v>#DIV/0!</v>
      </c>
      <c r="BX8" s="692">
        <f t="shared" si="34"/>
        <v>44361.967206062931</v>
      </c>
      <c r="BY8" s="692">
        <f t="shared" si="30"/>
        <v>182.55953582741947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25262572.370369799</v>
      </c>
      <c r="J9" s="636">
        <f>IF(I9&gt;=I8,I9-I8,0)</f>
        <v>5969.1111111976206</v>
      </c>
      <c r="K9" s="636">
        <f t="shared" si="19"/>
        <v>3105</v>
      </c>
      <c r="L9" s="769">
        <v>161132</v>
      </c>
      <c r="M9" s="636">
        <f t="shared" ref="M9:M28" si="40">IF(L9&gt;=L8,L9-L8,0)</f>
        <v>1726</v>
      </c>
      <c r="N9" s="769">
        <v>199474</v>
      </c>
      <c r="O9" s="636">
        <f t="shared" si="39"/>
        <v>1379</v>
      </c>
      <c r="P9" s="769">
        <v>226193</v>
      </c>
      <c r="Q9" s="636">
        <f t="shared" si="31"/>
        <v>720</v>
      </c>
      <c r="R9" s="768">
        <v>217996</v>
      </c>
      <c r="S9" s="636">
        <f t="shared" si="32"/>
        <v>139</v>
      </c>
      <c r="T9" s="768">
        <v>397888</v>
      </c>
      <c r="U9" s="636">
        <f t="shared" si="1"/>
        <v>240</v>
      </c>
      <c r="V9" s="768">
        <v>497774</v>
      </c>
      <c r="W9" s="636">
        <f t="shared" si="2"/>
        <v>2661.13</v>
      </c>
      <c r="X9" s="769">
        <v>758238</v>
      </c>
      <c r="Y9" s="636">
        <f t="shared" si="3"/>
        <v>0</v>
      </c>
      <c r="Z9" s="768">
        <v>690679</v>
      </c>
      <c r="AA9" s="636">
        <f t="shared" si="4"/>
        <v>3184.2400000000002</v>
      </c>
      <c r="AB9" s="768">
        <v>68783</v>
      </c>
      <c r="AC9" s="636">
        <f t="shared" si="33"/>
        <v>0</v>
      </c>
      <c r="AD9" s="768">
        <v>851781</v>
      </c>
      <c r="AE9" s="636">
        <f t="shared" si="20"/>
        <v>1634.52</v>
      </c>
      <c r="AF9" s="768">
        <v>999958</v>
      </c>
      <c r="AG9" s="636">
        <f t="shared" si="5"/>
        <v>11.13</v>
      </c>
      <c r="AH9" s="769">
        <v>366258</v>
      </c>
      <c r="AI9" s="636">
        <f t="shared" si="6"/>
        <v>969.90000000000009</v>
      </c>
      <c r="AJ9" s="769">
        <v>207511</v>
      </c>
      <c r="AK9" s="636">
        <f t="shared" si="7"/>
        <v>3366.56</v>
      </c>
      <c r="AL9" s="768">
        <v>555204</v>
      </c>
      <c r="AM9" s="636">
        <f t="shared" si="8"/>
        <v>102.82000000000001</v>
      </c>
      <c r="AN9" s="636">
        <f t="shared" si="21"/>
        <v>11930.300000000001</v>
      </c>
      <c r="AO9" s="768">
        <v>8060613</v>
      </c>
      <c r="AP9" s="636">
        <f t="shared" si="22"/>
        <v>286.2</v>
      </c>
      <c r="AQ9" s="768">
        <v>738257</v>
      </c>
      <c r="AR9" s="636">
        <f t="shared" si="9"/>
        <v>148</v>
      </c>
      <c r="AS9" s="768">
        <v>5077.9712060778802</v>
      </c>
      <c r="AT9" s="636">
        <f t="shared" si="23"/>
        <v>179.76178537511987</v>
      </c>
      <c r="AU9" s="710">
        <v>823326</v>
      </c>
      <c r="AV9" s="636">
        <f>IF(AU9&gt;=AU8,AU9-AU8,0)</f>
        <v>57</v>
      </c>
      <c r="AW9" s="769">
        <v>2830739</v>
      </c>
      <c r="AX9" s="636">
        <f t="shared" si="11"/>
        <v>775</v>
      </c>
      <c r="AY9" s="768">
        <v>230889</v>
      </c>
      <c r="AZ9" s="636">
        <f t="shared" si="12"/>
        <v>11</v>
      </c>
      <c r="BA9" s="769">
        <v>20504543</v>
      </c>
      <c r="BB9" s="636">
        <f t="shared" si="13"/>
        <v>3775</v>
      </c>
      <c r="BC9" s="768">
        <v>625581</v>
      </c>
      <c r="BD9" s="636">
        <f t="shared" si="13"/>
        <v>286</v>
      </c>
      <c r="BE9" s="768">
        <v>41725</v>
      </c>
      <c r="BF9" s="636">
        <f t="shared" si="13"/>
        <v>35</v>
      </c>
      <c r="BG9" s="769">
        <v>25750104</v>
      </c>
      <c r="BH9" s="636">
        <f t="shared" si="24"/>
        <v>6274.8</v>
      </c>
      <c r="BI9" s="636">
        <f t="shared" si="25"/>
        <v>11827.76178537512</v>
      </c>
      <c r="BJ9" s="636">
        <f t="shared" si="26"/>
        <v>23758.061785375121</v>
      </c>
      <c r="BK9" s="769">
        <v>1482042</v>
      </c>
      <c r="BL9" s="636">
        <f t="shared" si="14"/>
        <v>248</v>
      </c>
      <c r="BM9" s="769">
        <v>4235030</v>
      </c>
      <c r="BN9" s="636">
        <f t="shared" si="15"/>
        <v>1290</v>
      </c>
      <c r="BO9" s="769">
        <v>442860</v>
      </c>
      <c r="BP9" s="636">
        <f t="shared" si="16"/>
        <v>106</v>
      </c>
      <c r="BQ9" s="768">
        <v>554348</v>
      </c>
      <c r="BR9" s="636">
        <f t="shared" si="17"/>
        <v>143</v>
      </c>
      <c r="BS9" s="692">
        <f t="shared" si="27"/>
        <v>30447.172896572745</v>
      </c>
      <c r="BT9" s="693">
        <v>203</v>
      </c>
      <c r="BU9" s="692">
        <f t="shared" si="28"/>
        <v>138.39624043896703</v>
      </c>
      <c r="BV9" s="693"/>
      <c r="BW9" s="692" t="e">
        <f t="shared" si="29"/>
        <v>#DIV/0!</v>
      </c>
      <c r="BX9" s="692">
        <f t="shared" si="34"/>
        <v>35338.248831058656</v>
      </c>
      <c r="BY9" s="692">
        <f t="shared" si="30"/>
        <v>160.62840377753935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25268541.4814809</v>
      </c>
      <c r="J10" s="636">
        <f>IF(I10&gt;=I9,I10-I9,0)</f>
        <v>5969.1111111007631</v>
      </c>
      <c r="K10" s="636">
        <f t="shared" si="19"/>
        <v>3812</v>
      </c>
      <c r="L10" s="769">
        <v>163245</v>
      </c>
      <c r="M10" s="636">
        <f t="shared" si="40"/>
        <v>2113</v>
      </c>
      <c r="N10" s="769">
        <v>201173</v>
      </c>
      <c r="O10" s="636">
        <f t="shared" si="39"/>
        <v>1699</v>
      </c>
      <c r="P10" s="769">
        <v>226211</v>
      </c>
      <c r="Q10" s="636">
        <f t="shared" si="31"/>
        <v>540</v>
      </c>
      <c r="R10" s="768">
        <v>218145</v>
      </c>
      <c r="S10" s="636">
        <f t="shared" si="32"/>
        <v>149</v>
      </c>
      <c r="T10" s="768">
        <v>398152</v>
      </c>
      <c r="U10" s="636">
        <f t="shared" si="1"/>
        <v>264</v>
      </c>
      <c r="V10" s="768">
        <v>504389</v>
      </c>
      <c r="W10" s="636">
        <f t="shared" si="2"/>
        <v>3505.9500000000003</v>
      </c>
      <c r="X10" s="769">
        <v>758238</v>
      </c>
      <c r="Y10" s="636">
        <f t="shared" si="3"/>
        <v>0</v>
      </c>
      <c r="Z10" s="768">
        <v>698336</v>
      </c>
      <c r="AA10" s="636">
        <f t="shared" si="4"/>
        <v>4058.21</v>
      </c>
      <c r="AB10" s="768">
        <v>68783</v>
      </c>
      <c r="AC10" s="636">
        <f t="shared" si="33"/>
        <v>0</v>
      </c>
      <c r="AD10" s="768">
        <v>854791</v>
      </c>
      <c r="AE10" s="636">
        <f t="shared" si="20"/>
        <v>1595.3000000000002</v>
      </c>
      <c r="AF10" s="768">
        <v>999977</v>
      </c>
      <c r="AG10" s="636">
        <f t="shared" si="5"/>
        <v>10.07</v>
      </c>
      <c r="AH10" s="769">
        <v>368362</v>
      </c>
      <c r="AI10" s="636">
        <f t="shared" si="6"/>
        <v>1115.1200000000001</v>
      </c>
      <c r="AJ10" s="769">
        <v>215212</v>
      </c>
      <c r="AK10" s="636">
        <f t="shared" si="7"/>
        <v>4081.53</v>
      </c>
      <c r="AL10" s="768">
        <v>555431</v>
      </c>
      <c r="AM10" s="636">
        <f t="shared" si="8"/>
        <v>120.31</v>
      </c>
      <c r="AN10" s="636">
        <f t="shared" si="21"/>
        <v>14486.49</v>
      </c>
      <c r="AO10" s="768">
        <v>8063072</v>
      </c>
      <c r="AP10" s="636">
        <f t="shared" si="22"/>
        <v>276.63749999999999</v>
      </c>
      <c r="AQ10" s="768">
        <v>738407</v>
      </c>
      <c r="AR10" s="636">
        <f t="shared" si="9"/>
        <v>150</v>
      </c>
      <c r="AS10" s="769">
        <v>5257.7329914529901</v>
      </c>
      <c r="AT10" s="636">
        <f t="shared" si="23"/>
        <v>179.76178537510987</v>
      </c>
      <c r="AU10" s="710">
        <v>823391</v>
      </c>
      <c r="AV10" s="636">
        <f>IF(AU10&gt;=AU9,AU10-AU9,0)</f>
        <v>65</v>
      </c>
      <c r="AW10" s="769">
        <v>2831702</v>
      </c>
      <c r="AX10" s="636">
        <f t="shared" si="11"/>
        <v>963</v>
      </c>
      <c r="AY10" s="769">
        <v>230901</v>
      </c>
      <c r="AZ10" s="636">
        <f t="shared" si="12"/>
        <v>12</v>
      </c>
      <c r="BA10" s="768">
        <v>20511197</v>
      </c>
      <c r="BB10" s="636">
        <f t="shared" si="13"/>
        <v>6654</v>
      </c>
      <c r="BC10" s="768">
        <v>625854</v>
      </c>
      <c r="BD10" s="636">
        <f t="shared" si="13"/>
        <v>273</v>
      </c>
      <c r="BE10" s="768">
        <v>41780</v>
      </c>
      <c r="BF10" s="636">
        <f t="shared" si="13"/>
        <v>55</v>
      </c>
      <c r="BG10" s="769">
        <v>25757314</v>
      </c>
      <c r="BH10" s="636">
        <f t="shared" si="24"/>
        <v>6417.65</v>
      </c>
      <c r="BI10" s="636">
        <f t="shared" si="25"/>
        <v>15046.049285375109</v>
      </c>
      <c r="BJ10" s="636">
        <f t="shared" si="26"/>
        <v>29532.539285375111</v>
      </c>
      <c r="BK10" s="769">
        <v>1482289</v>
      </c>
      <c r="BL10" s="636">
        <f t="shared" si="14"/>
        <v>247</v>
      </c>
      <c r="BM10" s="769">
        <v>4236345</v>
      </c>
      <c r="BN10" s="636">
        <f t="shared" si="15"/>
        <v>1315</v>
      </c>
      <c r="BO10" s="707">
        <v>442968</v>
      </c>
      <c r="BP10" s="636">
        <f t="shared" si="16"/>
        <v>108</v>
      </c>
      <c r="BQ10" s="768">
        <v>554500</v>
      </c>
      <c r="BR10" s="636">
        <f t="shared" si="17"/>
        <v>152</v>
      </c>
      <c r="BS10" s="692">
        <f t="shared" si="27"/>
        <v>36041.650396475874</v>
      </c>
      <c r="BT10" s="693">
        <v>187</v>
      </c>
      <c r="BU10" s="692">
        <f t="shared" si="28"/>
        <v>177.54507584470875</v>
      </c>
      <c r="BV10" s="693"/>
      <c r="BW10" s="692" t="e">
        <f t="shared" si="29"/>
        <v>#DIV/0!</v>
      </c>
      <c r="BX10" s="692">
        <f t="shared" si="34"/>
        <v>41690.89795594725</v>
      </c>
      <c r="BY10" s="692">
        <f t="shared" si="30"/>
        <v>205.37388155639039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25274510.592592102</v>
      </c>
      <c r="J11" s="636">
        <f>IF(I11&gt;=I10,I11-I10,0)</f>
        <v>5969.1111112013459</v>
      </c>
      <c r="K11" s="636">
        <f t="shared" si="19"/>
        <v>3532</v>
      </c>
      <c r="L11" s="769">
        <v>165229</v>
      </c>
      <c r="M11" s="636">
        <f t="shared" si="40"/>
        <v>1984</v>
      </c>
      <c r="N11" s="768">
        <v>202721</v>
      </c>
      <c r="O11" s="636">
        <f t="shared" si="39"/>
        <v>1548</v>
      </c>
      <c r="P11" s="769">
        <v>226229</v>
      </c>
      <c r="Q11" s="636">
        <f t="shared" si="31"/>
        <v>540</v>
      </c>
      <c r="R11" s="768">
        <v>218281</v>
      </c>
      <c r="S11" s="636">
        <f t="shared" si="32"/>
        <v>136</v>
      </c>
      <c r="T11" s="768">
        <v>398383</v>
      </c>
      <c r="U11" s="636">
        <f t="shared" si="1"/>
        <v>231</v>
      </c>
      <c r="V11" s="768">
        <v>509341</v>
      </c>
      <c r="W11" s="636">
        <f t="shared" si="2"/>
        <v>2624.56</v>
      </c>
      <c r="X11" s="769">
        <v>758238</v>
      </c>
      <c r="Y11" s="636">
        <f t="shared" si="3"/>
        <v>0</v>
      </c>
      <c r="Z11" s="768">
        <v>704970</v>
      </c>
      <c r="AA11" s="636">
        <f t="shared" si="4"/>
        <v>3516.02</v>
      </c>
      <c r="AB11" s="768">
        <v>68783</v>
      </c>
      <c r="AC11" s="636">
        <f>IF(AB11&gt;=AB10,AB11-AB10,0)*0.53</f>
        <v>0</v>
      </c>
      <c r="AD11" s="768">
        <v>857599</v>
      </c>
      <c r="AE11" s="636">
        <f t="shared" si="20"/>
        <v>1488.24</v>
      </c>
      <c r="AF11" s="768">
        <v>999999</v>
      </c>
      <c r="AG11" s="636">
        <f t="shared" si="5"/>
        <v>11.66</v>
      </c>
      <c r="AH11" s="768">
        <v>370090</v>
      </c>
      <c r="AI11" s="636">
        <f t="shared" si="6"/>
        <v>915.84</v>
      </c>
      <c r="AJ11" s="768">
        <v>222302</v>
      </c>
      <c r="AK11" s="636">
        <f t="shared" si="7"/>
        <v>3757.7000000000003</v>
      </c>
      <c r="AL11" s="768">
        <v>555639</v>
      </c>
      <c r="AM11" s="636">
        <f t="shared" si="8"/>
        <v>110.24000000000001</v>
      </c>
      <c r="AN11" s="636">
        <f t="shared" si="21"/>
        <v>12424.26</v>
      </c>
      <c r="AO11" s="707">
        <v>8065410</v>
      </c>
      <c r="AP11" s="636">
        <f t="shared" si="22"/>
        <v>263.02500000000003</v>
      </c>
      <c r="AQ11" s="768">
        <v>738545</v>
      </c>
      <c r="AR11" s="636">
        <f t="shared" si="9"/>
        <v>138</v>
      </c>
      <c r="AS11" s="769">
        <v>5488</v>
      </c>
      <c r="AT11" s="636">
        <f t="shared" si="23"/>
        <v>230.26700854700994</v>
      </c>
      <c r="AU11" s="769">
        <v>823440</v>
      </c>
      <c r="AV11" s="636">
        <f t="shared" si="10"/>
        <v>49</v>
      </c>
      <c r="AW11" s="768">
        <v>2832611</v>
      </c>
      <c r="AX11" s="636">
        <f t="shared" si="11"/>
        <v>909</v>
      </c>
      <c r="AY11" s="769">
        <v>230911</v>
      </c>
      <c r="AZ11" s="636">
        <f t="shared" si="12"/>
        <v>10</v>
      </c>
      <c r="BA11" s="769">
        <v>20516107</v>
      </c>
      <c r="BB11" s="636">
        <f t="shared" si="13"/>
        <v>4910</v>
      </c>
      <c r="BC11" s="768">
        <v>626140</v>
      </c>
      <c r="BD11" s="636">
        <f t="shared" si="13"/>
        <v>286</v>
      </c>
      <c r="BE11" s="768">
        <v>41830</v>
      </c>
      <c r="BF11" s="636">
        <f t="shared" si="13"/>
        <v>50</v>
      </c>
      <c r="BG11" s="769">
        <v>25764340</v>
      </c>
      <c r="BH11" s="636">
        <f t="shared" si="24"/>
        <v>6297.6500000000005</v>
      </c>
      <c r="BI11" s="636">
        <f t="shared" si="25"/>
        <v>13142.942008547012</v>
      </c>
      <c r="BJ11" s="636">
        <f t="shared" si="26"/>
        <v>25567.202008547014</v>
      </c>
      <c r="BK11" s="769">
        <v>1482562</v>
      </c>
      <c r="BL11" s="636">
        <f t="shared" si="14"/>
        <v>273</v>
      </c>
      <c r="BM11" s="769">
        <v>4237576</v>
      </c>
      <c r="BN11" s="636">
        <f t="shared" si="15"/>
        <v>1231</v>
      </c>
      <c r="BO11" s="768">
        <v>443080</v>
      </c>
      <c r="BP11" s="636">
        <f t="shared" si="16"/>
        <v>112</v>
      </c>
      <c r="BQ11" s="769">
        <v>554624</v>
      </c>
      <c r="BR11" s="636">
        <f t="shared" si="17"/>
        <v>124</v>
      </c>
      <c r="BS11" s="692">
        <f t="shared" si="27"/>
        <v>32076.31311974836</v>
      </c>
      <c r="BT11" s="693">
        <v>203</v>
      </c>
      <c r="BU11" s="692">
        <f t="shared" si="28"/>
        <v>171.53108620186288</v>
      </c>
      <c r="BV11" s="693"/>
      <c r="BW11" s="692" t="e">
        <f t="shared" si="29"/>
        <v>#DIV/0!</v>
      </c>
      <c r="BX11" s="692">
        <f t="shared" si="34"/>
        <v>37130.760087710609</v>
      </c>
      <c r="BY11" s="692">
        <f t="shared" si="30"/>
        <v>198.560214372784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25280479.703703199</v>
      </c>
      <c r="J12" s="636">
        <f>IF(I12&gt;=I11,I12-I11,0)</f>
        <v>5969.1111110970378</v>
      </c>
      <c r="K12" s="636">
        <f t="shared" si="19"/>
        <v>2492</v>
      </c>
      <c r="L12" s="769">
        <v>166992</v>
      </c>
      <c r="M12" s="636">
        <f t="shared" si="40"/>
        <v>1763</v>
      </c>
      <c r="N12" s="769">
        <v>203450</v>
      </c>
      <c r="O12" s="636">
        <f t="shared" si="39"/>
        <v>729</v>
      </c>
      <c r="P12" s="769">
        <v>226246</v>
      </c>
      <c r="Q12" s="636">
        <f t="shared" si="31"/>
        <v>510</v>
      </c>
      <c r="R12" s="768">
        <v>218431</v>
      </c>
      <c r="S12" s="636">
        <f t="shared" si="32"/>
        <v>150</v>
      </c>
      <c r="T12" s="768">
        <v>398637</v>
      </c>
      <c r="U12" s="636">
        <f t="shared" si="1"/>
        <v>254</v>
      </c>
      <c r="V12" s="768">
        <v>512134</v>
      </c>
      <c r="W12" s="636">
        <f t="shared" si="2"/>
        <v>1480.29</v>
      </c>
      <c r="X12" s="769">
        <v>758238</v>
      </c>
      <c r="Y12" s="636">
        <f t="shared" si="3"/>
        <v>0</v>
      </c>
      <c r="Z12" s="768">
        <v>710734</v>
      </c>
      <c r="AA12" s="636">
        <f t="shared" si="4"/>
        <v>3054.92</v>
      </c>
      <c r="AB12" s="768">
        <v>68783</v>
      </c>
      <c r="AC12" s="636">
        <f t="shared" si="33"/>
        <v>0</v>
      </c>
      <c r="AD12" s="768">
        <v>860195</v>
      </c>
      <c r="AE12" s="636">
        <f t="shared" si="20"/>
        <v>1375.88</v>
      </c>
      <c r="AF12" s="768">
        <v>1000020</v>
      </c>
      <c r="AG12" s="636">
        <f t="shared" si="5"/>
        <v>11.13</v>
      </c>
      <c r="AH12" s="768">
        <v>371354</v>
      </c>
      <c r="AI12" s="636">
        <f t="shared" si="6"/>
        <v>669.92000000000007</v>
      </c>
      <c r="AJ12" s="769">
        <v>227911</v>
      </c>
      <c r="AK12" s="636">
        <f t="shared" si="7"/>
        <v>2972.77</v>
      </c>
      <c r="AL12" s="768">
        <v>555824</v>
      </c>
      <c r="AM12" s="636">
        <f t="shared" si="8"/>
        <v>98.050000000000011</v>
      </c>
      <c r="AN12" s="636">
        <f t="shared" si="21"/>
        <v>9662.9599999999991</v>
      </c>
      <c r="AO12" s="768">
        <v>8067503</v>
      </c>
      <c r="AP12" s="636">
        <f t="shared" si="22"/>
        <v>235.46250000000001</v>
      </c>
      <c r="AQ12" s="769">
        <v>738720</v>
      </c>
      <c r="AR12" s="636">
        <f t="shared" si="9"/>
        <v>175</v>
      </c>
      <c r="AS12" s="769">
        <v>5658</v>
      </c>
      <c r="AT12" s="636">
        <f t="shared" si="23"/>
        <v>170</v>
      </c>
      <c r="AU12" s="710">
        <v>823473</v>
      </c>
      <c r="AV12" s="636">
        <f t="shared" si="10"/>
        <v>33</v>
      </c>
      <c r="AW12" s="769">
        <v>2833401</v>
      </c>
      <c r="AX12" s="636">
        <f t="shared" si="11"/>
        <v>790</v>
      </c>
      <c r="AY12" s="768">
        <v>230923</v>
      </c>
      <c r="AZ12" s="636">
        <f t="shared" si="12"/>
        <v>12</v>
      </c>
      <c r="BA12" s="769">
        <v>20521363</v>
      </c>
      <c r="BB12" s="636">
        <f t="shared" si="13"/>
        <v>5256</v>
      </c>
      <c r="BC12" s="768">
        <v>626425</v>
      </c>
      <c r="BD12" s="636">
        <f t="shared" si="13"/>
        <v>285</v>
      </c>
      <c r="BE12" s="768">
        <v>41875</v>
      </c>
      <c r="BF12" s="636">
        <f t="shared" si="13"/>
        <v>45</v>
      </c>
      <c r="BG12" s="769">
        <v>25771947</v>
      </c>
      <c r="BH12" s="636">
        <f t="shared" si="24"/>
        <v>6744.65</v>
      </c>
      <c r="BI12" s="636">
        <f t="shared" si="25"/>
        <v>13746.112499999999</v>
      </c>
      <c r="BJ12" s="636">
        <f t="shared" si="26"/>
        <v>23409.072499999998</v>
      </c>
      <c r="BK12" s="769">
        <v>1482894</v>
      </c>
      <c r="BL12" s="636">
        <f t="shared" si="14"/>
        <v>332</v>
      </c>
      <c r="BM12" s="769">
        <v>4239035</v>
      </c>
      <c r="BN12" s="636">
        <f t="shared" si="15"/>
        <v>1459</v>
      </c>
      <c r="BO12" s="769">
        <v>443204</v>
      </c>
      <c r="BP12" s="636">
        <f t="shared" si="16"/>
        <v>124</v>
      </c>
      <c r="BQ12" s="768">
        <v>554774</v>
      </c>
      <c r="BR12" s="636">
        <f t="shared" ref="BR12:BR36" si="41">IF(BQ12&gt;=BQ11,BQ12-BQ11,0)</f>
        <v>150</v>
      </c>
      <c r="BS12" s="692">
        <f t="shared" si="27"/>
        <v>29888.183611097036</v>
      </c>
      <c r="BT12" s="693">
        <v>234</v>
      </c>
      <c r="BU12" s="692">
        <f t="shared" si="28"/>
        <v>147.23243158175879</v>
      </c>
      <c r="BV12" s="693"/>
      <c r="BW12" s="692" t="e">
        <f t="shared" si="29"/>
        <v>#DIV/0!</v>
      </c>
      <c r="BX12" s="692">
        <f t="shared" si="34"/>
        <v>34600.91115276159</v>
      </c>
      <c r="BY12" s="692">
        <f t="shared" si="30"/>
        <v>170.4478381909438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25286448.8148144</v>
      </c>
      <c r="J13" s="636">
        <f t="shared" si="18"/>
        <v>5969.1111112013459</v>
      </c>
      <c r="K13" s="636">
        <f t="shared" si="19"/>
        <v>4301</v>
      </c>
      <c r="L13" s="769">
        <v>169145</v>
      </c>
      <c r="M13" s="636">
        <f t="shared" si="40"/>
        <v>2153</v>
      </c>
      <c r="N13" s="769">
        <v>205598</v>
      </c>
      <c r="O13" s="636">
        <f t="shared" si="39"/>
        <v>2148</v>
      </c>
      <c r="P13" s="769">
        <v>226265</v>
      </c>
      <c r="Q13" s="636">
        <f t="shared" si="31"/>
        <v>570</v>
      </c>
      <c r="R13" s="768">
        <v>218587</v>
      </c>
      <c r="S13" s="636">
        <f t="shared" si="32"/>
        <v>156</v>
      </c>
      <c r="T13" s="768">
        <v>398908</v>
      </c>
      <c r="U13" s="636">
        <f t="shared" si="1"/>
        <v>271</v>
      </c>
      <c r="V13" s="768">
        <v>512134</v>
      </c>
      <c r="W13" s="636">
        <f t="shared" si="2"/>
        <v>0</v>
      </c>
      <c r="X13" s="769">
        <v>758238</v>
      </c>
      <c r="Y13" s="636">
        <f t="shared" si="3"/>
        <v>0</v>
      </c>
      <c r="Z13" s="768">
        <v>719365</v>
      </c>
      <c r="AA13" s="636">
        <f t="shared" si="4"/>
        <v>4574.43</v>
      </c>
      <c r="AB13" s="768">
        <v>69387</v>
      </c>
      <c r="AC13" s="636">
        <f t="shared" si="33"/>
        <v>320.12</v>
      </c>
      <c r="AD13" s="768">
        <v>860569</v>
      </c>
      <c r="AE13" s="636">
        <f t="shared" si="20"/>
        <v>198.22</v>
      </c>
      <c r="AF13" s="768">
        <v>1001863</v>
      </c>
      <c r="AG13" s="636">
        <f t="shared" ref="AG13:AG36" si="42">IF(AF13&gt;=AF12,AF13-AF12,0)*0.53</f>
        <v>976.79000000000008</v>
      </c>
      <c r="AH13" s="769">
        <v>372526</v>
      </c>
      <c r="AI13" s="636">
        <f t="shared" si="6"/>
        <v>621.16000000000008</v>
      </c>
      <c r="AJ13" s="769">
        <v>233966</v>
      </c>
      <c r="AK13" s="636">
        <f t="shared" ref="AK13" si="43">IF(AJ13&gt;=AJ12,AJ13-AJ12,0)*0.53</f>
        <v>3209.15</v>
      </c>
      <c r="AL13" s="768">
        <v>556063</v>
      </c>
      <c r="AM13" s="636">
        <f t="shared" si="8"/>
        <v>126.67</v>
      </c>
      <c r="AN13" s="636">
        <f t="shared" si="21"/>
        <v>10026.540000000001</v>
      </c>
      <c r="AO13" s="768">
        <v>8069872</v>
      </c>
      <c r="AP13" s="636">
        <f t="shared" si="22"/>
        <v>266.51249999999999</v>
      </c>
      <c r="AQ13" s="768">
        <v>738896</v>
      </c>
      <c r="AR13" s="636">
        <f t="shared" si="9"/>
        <v>176</v>
      </c>
      <c r="AS13" s="769">
        <v>5821</v>
      </c>
      <c r="AT13" s="636">
        <f t="shared" si="23"/>
        <v>163</v>
      </c>
      <c r="AU13" s="769">
        <v>823518</v>
      </c>
      <c r="AV13" s="636">
        <f t="shared" si="10"/>
        <v>45</v>
      </c>
      <c r="AW13" s="769">
        <v>2834328</v>
      </c>
      <c r="AX13" s="636">
        <f t="shared" si="11"/>
        <v>927</v>
      </c>
      <c r="AY13" s="769">
        <v>230935</v>
      </c>
      <c r="AZ13" s="636">
        <f t="shared" si="12"/>
        <v>12</v>
      </c>
      <c r="BA13" s="769">
        <v>20526619</v>
      </c>
      <c r="BB13" s="636">
        <f t="shared" si="13"/>
        <v>5256</v>
      </c>
      <c r="BC13" s="768">
        <v>626659</v>
      </c>
      <c r="BD13" s="636">
        <f t="shared" si="13"/>
        <v>234</v>
      </c>
      <c r="BE13" s="768">
        <v>41925</v>
      </c>
      <c r="BF13" s="636">
        <f t="shared" si="13"/>
        <v>50</v>
      </c>
      <c r="BG13" s="769">
        <v>25778720</v>
      </c>
      <c r="BH13" s="636">
        <f t="shared" si="24"/>
        <v>6065.25</v>
      </c>
      <c r="BI13" s="636">
        <f t="shared" si="25"/>
        <v>13194.762500000001</v>
      </c>
      <c r="BJ13" s="636">
        <f t="shared" si="26"/>
        <v>23221.302500000002</v>
      </c>
      <c r="BK13" s="769">
        <v>1483184</v>
      </c>
      <c r="BL13" s="636">
        <f t="shared" si="14"/>
        <v>290</v>
      </c>
      <c r="BM13" s="769">
        <v>4240194</v>
      </c>
      <c r="BN13" s="636">
        <f t="shared" si="15"/>
        <v>1159</v>
      </c>
      <c r="BO13" s="769">
        <v>443320</v>
      </c>
      <c r="BP13" s="636">
        <f t="shared" si="16"/>
        <v>116</v>
      </c>
      <c r="BQ13" s="769">
        <v>554908</v>
      </c>
      <c r="BR13" s="636">
        <f t="shared" si="41"/>
        <v>134</v>
      </c>
      <c r="BS13" s="692">
        <f t="shared" si="27"/>
        <v>29760.413611201348</v>
      </c>
      <c r="BT13" s="693">
        <v>248</v>
      </c>
      <c r="BU13" s="692">
        <f t="shared" ref="BU13:BU19" si="44">IF(BS13&gt;0,BS13/BT12,0)</f>
        <v>127.1812547487237</v>
      </c>
      <c r="BV13" s="693"/>
      <c r="BW13" s="692" t="e">
        <f t="shared" si="29"/>
        <v>#DIV/0!</v>
      </c>
      <c r="BX13" s="692">
        <f t="shared" si="34"/>
        <v>34480.975652881549</v>
      </c>
      <c r="BY13" s="692">
        <f t="shared" si="30"/>
        <v>147.35459680718611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25292417.925925501</v>
      </c>
      <c r="J14" s="636">
        <f t="shared" si="18"/>
        <v>5969.1111111007631</v>
      </c>
      <c r="K14" s="636">
        <f t="shared" si="19"/>
        <v>2717</v>
      </c>
      <c r="L14" s="769">
        <v>170677</v>
      </c>
      <c r="M14" s="636">
        <f t="shared" si="40"/>
        <v>1532</v>
      </c>
      <c r="N14" s="769">
        <v>206783</v>
      </c>
      <c r="O14" s="636">
        <f t="shared" si="39"/>
        <v>1185</v>
      </c>
      <c r="P14" s="769">
        <v>226280</v>
      </c>
      <c r="Q14" s="636">
        <f t="shared" si="31"/>
        <v>450</v>
      </c>
      <c r="R14" s="768">
        <v>218699</v>
      </c>
      <c r="S14" s="636">
        <f t="shared" si="32"/>
        <v>112</v>
      </c>
      <c r="T14" s="768">
        <v>399099</v>
      </c>
      <c r="U14" s="636">
        <f t="shared" si="1"/>
        <v>191</v>
      </c>
      <c r="V14" s="768">
        <v>514819</v>
      </c>
      <c r="W14" s="636">
        <f t="shared" si="2"/>
        <v>1423.0500000000002</v>
      </c>
      <c r="X14" s="769">
        <v>758238</v>
      </c>
      <c r="Y14" s="636">
        <f t="shared" si="3"/>
        <v>0</v>
      </c>
      <c r="Z14" s="769">
        <v>725082</v>
      </c>
      <c r="AA14" s="636">
        <f t="shared" si="4"/>
        <v>3030.01</v>
      </c>
      <c r="AB14" s="768">
        <v>69387</v>
      </c>
      <c r="AC14" s="636">
        <f t="shared" si="33"/>
        <v>0</v>
      </c>
      <c r="AD14" s="768">
        <v>860587</v>
      </c>
      <c r="AE14" s="636">
        <f t="shared" si="20"/>
        <v>9.5400000000000009</v>
      </c>
      <c r="AF14" s="768">
        <v>1003411</v>
      </c>
      <c r="AG14" s="636">
        <f t="shared" si="42"/>
        <v>820.44</v>
      </c>
      <c r="AH14" s="768">
        <v>373243</v>
      </c>
      <c r="AI14" s="636">
        <f t="shared" si="6"/>
        <v>380.01</v>
      </c>
      <c r="AJ14" s="768">
        <v>238761</v>
      </c>
      <c r="AK14" s="636">
        <f t="shared" ref="AK14:AK36" si="45">IF(AJ14&gt;=AJ13,AJ14-AJ13,0)*0.53</f>
        <v>2541.35</v>
      </c>
      <c r="AL14" s="768">
        <v>556242</v>
      </c>
      <c r="AM14" s="636">
        <f t="shared" si="8"/>
        <v>94.87</v>
      </c>
      <c r="AN14" s="636">
        <f t="shared" si="21"/>
        <v>8299.2700000000023</v>
      </c>
      <c r="AO14" s="768">
        <v>8071885</v>
      </c>
      <c r="AP14" s="636">
        <f t="shared" si="22"/>
        <v>226.46250000000001</v>
      </c>
      <c r="AQ14" s="769">
        <v>739048</v>
      </c>
      <c r="AR14" s="636">
        <f t="shared" si="9"/>
        <v>152</v>
      </c>
      <c r="AS14" s="769">
        <v>5988.6666666666697</v>
      </c>
      <c r="AT14" s="636">
        <f t="shared" si="23"/>
        <v>167.6666666666697</v>
      </c>
      <c r="AU14" s="769">
        <v>823548</v>
      </c>
      <c r="AV14" s="636">
        <f t="shared" si="10"/>
        <v>30</v>
      </c>
      <c r="AW14" s="768">
        <v>2835009</v>
      </c>
      <c r="AX14" s="636">
        <f t="shared" si="11"/>
        <v>681</v>
      </c>
      <c r="AY14" s="769">
        <v>230943</v>
      </c>
      <c r="AZ14" s="636">
        <f t="shared" si="12"/>
        <v>8</v>
      </c>
      <c r="BA14" s="769">
        <v>20530442</v>
      </c>
      <c r="BB14" s="636">
        <f t="shared" si="13"/>
        <v>3823</v>
      </c>
      <c r="BC14" s="768">
        <v>626843</v>
      </c>
      <c r="BD14" s="636">
        <f t="shared" si="13"/>
        <v>184</v>
      </c>
      <c r="BE14" s="768">
        <v>42126</v>
      </c>
      <c r="BF14" s="636">
        <f t="shared" si="13"/>
        <v>201</v>
      </c>
      <c r="BG14" s="769">
        <v>25784246</v>
      </c>
      <c r="BH14" s="636">
        <f t="shared" si="24"/>
        <v>4679.7</v>
      </c>
      <c r="BI14" s="636">
        <f t="shared" si="25"/>
        <v>10152.82916666667</v>
      </c>
      <c r="BJ14" s="636">
        <f t="shared" si="26"/>
        <v>18452.099166666674</v>
      </c>
      <c r="BK14" s="769">
        <v>1483403</v>
      </c>
      <c r="BL14" s="636">
        <f t="shared" si="14"/>
        <v>219</v>
      </c>
      <c r="BM14" s="769">
        <v>4241760</v>
      </c>
      <c r="BN14" s="636">
        <f t="shared" si="15"/>
        <v>1566</v>
      </c>
      <c r="BO14" s="769">
        <v>443408</v>
      </c>
      <c r="BP14" s="636">
        <f t="shared" si="16"/>
        <v>88</v>
      </c>
      <c r="BQ14" s="769">
        <v>555010</v>
      </c>
      <c r="BR14" s="636">
        <f t="shared" si="41"/>
        <v>102</v>
      </c>
      <c r="BS14" s="692">
        <f t="shared" si="27"/>
        <v>24871.210277767437</v>
      </c>
      <c r="BT14" s="693">
        <v>252</v>
      </c>
      <c r="BU14" s="692">
        <f t="shared" si="44"/>
        <v>100.28713821680418</v>
      </c>
      <c r="BV14" s="693"/>
      <c r="BW14" s="692" t="e">
        <f t="shared" si="29"/>
        <v>#DIV/0!</v>
      </c>
      <c r="BX14" s="692">
        <f t="shared" si="34"/>
        <v>28804.391819432552</v>
      </c>
      <c r="BY14" s="692">
        <f t="shared" si="30"/>
        <v>116.14674120738933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25298387.037036698</v>
      </c>
      <c r="J15" s="636">
        <f t="shared" si="18"/>
        <v>5969.1111111976206</v>
      </c>
      <c r="K15" s="636">
        <f t="shared" si="19"/>
        <v>3773</v>
      </c>
      <c r="L15" s="769">
        <v>172623</v>
      </c>
      <c r="M15" s="636">
        <f t="shared" si="40"/>
        <v>1946</v>
      </c>
      <c r="N15" s="769">
        <v>208610</v>
      </c>
      <c r="O15" s="636">
        <f t="shared" si="39"/>
        <v>1827</v>
      </c>
      <c r="P15" s="769">
        <v>226297.66666666701</v>
      </c>
      <c r="Q15" s="636">
        <f t="shared" si="31"/>
        <v>530.00000001018634</v>
      </c>
      <c r="R15" s="768">
        <v>218840.33333333299</v>
      </c>
      <c r="S15" s="636">
        <f t="shared" si="32"/>
        <v>141.33333333299379</v>
      </c>
      <c r="T15" s="768">
        <v>399343.33333333302</v>
      </c>
      <c r="U15" s="636">
        <f t="shared" si="1"/>
        <v>244.33333333302289</v>
      </c>
      <c r="V15" s="768">
        <v>518564</v>
      </c>
      <c r="W15" s="636">
        <f t="shared" si="2"/>
        <v>1984.8500000000001</v>
      </c>
      <c r="X15" s="769">
        <v>758238</v>
      </c>
      <c r="Y15" s="636">
        <f t="shared" si="3"/>
        <v>0</v>
      </c>
      <c r="Z15" s="768">
        <v>732741.66666666698</v>
      </c>
      <c r="AA15" s="636">
        <f t="shared" si="4"/>
        <v>4059.6233333334981</v>
      </c>
      <c r="AB15" s="768">
        <v>69387</v>
      </c>
      <c r="AC15" s="636">
        <f t="shared" si="33"/>
        <v>0</v>
      </c>
      <c r="AD15" s="768">
        <v>860642.33333333302</v>
      </c>
      <c r="AE15" s="636">
        <f t="shared" si="20"/>
        <v>29.326666666502135</v>
      </c>
      <c r="AF15" s="768">
        <v>1005155.66666667</v>
      </c>
      <c r="AG15" s="636">
        <f t="shared" si="42"/>
        <v>924.67333333510214</v>
      </c>
      <c r="AH15" s="768">
        <v>374263.33333333302</v>
      </c>
      <c r="AI15" s="636">
        <f t="shared" si="6"/>
        <v>540.77666666650214</v>
      </c>
      <c r="AJ15" s="769">
        <v>244396</v>
      </c>
      <c r="AK15" s="636">
        <f t="shared" si="45"/>
        <v>2986.55</v>
      </c>
      <c r="AL15" s="768">
        <v>556461</v>
      </c>
      <c r="AM15" s="636">
        <f t="shared" si="8"/>
        <v>116.07000000000001</v>
      </c>
      <c r="AN15" s="636">
        <f t="shared" si="21"/>
        <v>10641.870000001603</v>
      </c>
      <c r="AO15" s="768">
        <v>8074135.3333333302</v>
      </c>
      <c r="AP15" s="636">
        <f t="shared" si="22"/>
        <v>253.16249999965075</v>
      </c>
      <c r="AQ15" s="769">
        <v>739216</v>
      </c>
      <c r="AR15" s="636">
        <f t="shared" si="9"/>
        <v>168</v>
      </c>
      <c r="AS15" s="769">
        <v>6155.1666666666697</v>
      </c>
      <c r="AT15" s="636">
        <f t="shared" si="23"/>
        <v>166.5</v>
      </c>
      <c r="AU15" s="710">
        <v>823588</v>
      </c>
      <c r="AV15" s="636">
        <f t="shared" si="10"/>
        <v>40</v>
      </c>
      <c r="AW15" s="769">
        <v>2835854</v>
      </c>
      <c r="AX15" s="636">
        <f t="shared" si="11"/>
        <v>845</v>
      </c>
      <c r="AY15" s="768">
        <v>230953.66666666701</v>
      </c>
      <c r="AZ15" s="636">
        <f t="shared" si="12"/>
        <v>10.666666667006211</v>
      </c>
      <c r="BA15" s="769">
        <v>20535220.333333299</v>
      </c>
      <c r="BB15" s="636">
        <f t="shared" si="13"/>
        <v>4778.333333298564</v>
      </c>
      <c r="BC15" s="768">
        <v>627060.33333333302</v>
      </c>
      <c r="BD15" s="636">
        <f t="shared" si="13"/>
        <v>217.33333333302289</v>
      </c>
      <c r="BE15" s="768">
        <v>42226.333333333299</v>
      </c>
      <c r="BF15" s="636">
        <f t="shared" si="13"/>
        <v>100.33333333329938</v>
      </c>
      <c r="BG15" s="769">
        <v>25790603.333333299</v>
      </c>
      <c r="BH15" s="636">
        <f t="shared" si="24"/>
        <v>5481.2999999654012</v>
      </c>
      <c r="BI15" s="636">
        <f t="shared" si="25"/>
        <v>12060.629166596944</v>
      </c>
      <c r="BJ15" s="636">
        <f t="shared" si="26"/>
        <v>22702.499166598547</v>
      </c>
      <c r="BK15" s="769">
        <v>1483669.33333333</v>
      </c>
      <c r="BL15" s="636">
        <f t="shared" si="14"/>
        <v>266.33333332999609</v>
      </c>
      <c r="BM15" s="769">
        <v>4243326</v>
      </c>
      <c r="BN15" s="636">
        <f t="shared" si="15"/>
        <v>1566</v>
      </c>
      <c r="BO15" s="769">
        <v>443514.66666666698</v>
      </c>
      <c r="BP15" s="636">
        <f t="shared" si="16"/>
        <v>106.66666666697711</v>
      </c>
      <c r="BQ15" s="768">
        <v>555133.33333333302</v>
      </c>
      <c r="BR15" s="636">
        <f t="shared" si="41"/>
        <v>123.33333333302289</v>
      </c>
      <c r="BS15" s="692">
        <f t="shared" si="27"/>
        <v>29201.610277806354</v>
      </c>
      <c r="BT15" s="693">
        <v>246</v>
      </c>
      <c r="BU15" s="692">
        <f t="shared" si="44"/>
        <v>115.87940586431093</v>
      </c>
      <c r="BV15" s="693"/>
      <c r="BW15" s="692" t="e">
        <f t="shared" si="29"/>
        <v>#DIV/0!</v>
      </c>
      <c r="BX15" s="692">
        <f t="shared" si="34"/>
        <v>33820.35181948189</v>
      </c>
      <c r="BY15" s="692">
        <f t="shared" si="30"/>
        <v>134.20774531540434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25304356.148147799</v>
      </c>
      <c r="J16" s="636">
        <f t="shared" si="18"/>
        <v>5969.1111111007631</v>
      </c>
      <c r="K16" s="636">
        <f t="shared" si="19"/>
        <v>3190</v>
      </c>
      <c r="L16" s="769">
        <v>174448</v>
      </c>
      <c r="M16" s="636">
        <f t="shared" si="40"/>
        <v>1825</v>
      </c>
      <c r="N16" s="769">
        <v>209975</v>
      </c>
      <c r="O16" s="636">
        <f t="shared" si="39"/>
        <v>1365</v>
      </c>
      <c r="P16" s="769">
        <v>226314</v>
      </c>
      <c r="Q16" s="636">
        <f t="shared" si="31"/>
        <v>489.99999998981366</v>
      </c>
      <c r="R16" s="768">
        <v>218980</v>
      </c>
      <c r="S16" s="636">
        <f t="shared" si="32"/>
        <v>139.66666666700621</v>
      </c>
      <c r="T16" s="768">
        <v>399618</v>
      </c>
      <c r="U16" s="636">
        <f t="shared" si="1"/>
        <v>274.66666666697711</v>
      </c>
      <c r="V16" s="768">
        <v>525866</v>
      </c>
      <c r="W16" s="636">
        <f t="shared" si="2"/>
        <v>3870.0600000000004</v>
      </c>
      <c r="X16" s="769">
        <v>758238</v>
      </c>
      <c r="Y16" s="636">
        <f t="shared" si="3"/>
        <v>0</v>
      </c>
      <c r="Z16" s="769">
        <v>739458</v>
      </c>
      <c r="AA16" s="636">
        <f t="shared" si="4"/>
        <v>3559.6566666665021</v>
      </c>
      <c r="AB16" s="768">
        <v>69387</v>
      </c>
      <c r="AC16" s="636">
        <f t="shared" si="33"/>
        <v>0</v>
      </c>
      <c r="AD16" s="768">
        <v>860642.33333333302</v>
      </c>
      <c r="AE16" s="636">
        <f t="shared" si="20"/>
        <v>0</v>
      </c>
      <c r="AF16" s="768">
        <v>1005130</v>
      </c>
      <c r="AG16" s="636">
        <f t="shared" si="42"/>
        <v>0</v>
      </c>
      <c r="AH16" s="768">
        <v>375146</v>
      </c>
      <c r="AI16" s="636">
        <f t="shared" si="6"/>
        <v>467.81333333349789</v>
      </c>
      <c r="AJ16" s="768">
        <v>250961</v>
      </c>
      <c r="AK16" s="636">
        <f t="shared" si="45"/>
        <v>3479.4500000000003</v>
      </c>
      <c r="AL16" s="768">
        <v>556658</v>
      </c>
      <c r="AM16" s="636">
        <f t="shared" si="8"/>
        <v>104.41000000000001</v>
      </c>
      <c r="AN16" s="636">
        <f t="shared" si="21"/>
        <v>11481.390000000001</v>
      </c>
      <c r="AO16" s="768">
        <v>8076539</v>
      </c>
      <c r="AP16" s="636">
        <f t="shared" si="22"/>
        <v>270.41250000034927</v>
      </c>
      <c r="AQ16" s="768">
        <v>739369</v>
      </c>
      <c r="AR16" s="636">
        <f t="shared" si="9"/>
        <v>153</v>
      </c>
      <c r="AS16" s="769">
        <v>6236</v>
      </c>
      <c r="AT16" s="636">
        <f t="shared" si="23"/>
        <v>80.833333333330302</v>
      </c>
      <c r="AU16" s="768">
        <v>823657</v>
      </c>
      <c r="AV16" s="636">
        <f t="shared" si="10"/>
        <v>69</v>
      </c>
      <c r="AW16" s="768">
        <v>2836686</v>
      </c>
      <c r="AX16" s="636">
        <f t="shared" si="11"/>
        <v>832</v>
      </c>
      <c r="AY16" s="768">
        <v>230965</v>
      </c>
      <c r="AZ16" s="636">
        <f t="shared" si="12"/>
        <v>11.333333332993789</v>
      </c>
      <c r="BA16" s="768">
        <v>20540729</v>
      </c>
      <c r="BB16" s="636">
        <f t="shared" si="13"/>
        <v>5508.666666701436</v>
      </c>
      <c r="BC16" s="768">
        <v>627312</v>
      </c>
      <c r="BD16" s="636">
        <f t="shared" si="13"/>
        <v>251.66666666697711</v>
      </c>
      <c r="BE16" s="768">
        <v>42265</v>
      </c>
      <c r="BF16" s="636">
        <f t="shared" si="13"/>
        <v>38.666666666700621</v>
      </c>
      <c r="BG16" s="769">
        <v>25798756</v>
      </c>
      <c r="BH16" s="636">
        <f t="shared" si="24"/>
        <v>7703.6500000345986</v>
      </c>
      <c r="BI16" s="636">
        <f t="shared" si="25"/>
        <v>14919.229166736386</v>
      </c>
      <c r="BJ16" s="636">
        <f t="shared" si="26"/>
        <v>26400.619166736389</v>
      </c>
      <c r="BK16" s="769">
        <v>1483967</v>
      </c>
      <c r="BL16" s="636">
        <f t="shared" si="14"/>
        <v>297.66666667000391</v>
      </c>
      <c r="BM16" s="769">
        <v>4243875</v>
      </c>
      <c r="BN16" s="636">
        <f t="shared" si="15"/>
        <v>549</v>
      </c>
      <c r="BO16" s="768">
        <v>443662</v>
      </c>
      <c r="BP16" s="636">
        <f t="shared" si="16"/>
        <v>147.33333333302289</v>
      </c>
      <c r="BQ16" s="768">
        <v>555269</v>
      </c>
      <c r="BR16" s="636">
        <f t="shared" si="41"/>
        <v>135.66666666697711</v>
      </c>
      <c r="BS16" s="692">
        <f t="shared" si="27"/>
        <v>32859.730277826966</v>
      </c>
      <c r="BT16" s="693">
        <v>206</v>
      </c>
      <c r="BU16" s="692">
        <f t="shared" si="44"/>
        <v>133.57613934076002</v>
      </c>
      <c r="BV16" s="693"/>
      <c r="BW16" s="692" t="e">
        <f t="shared" si="29"/>
        <v>#DIV/0!</v>
      </c>
      <c r="BX16" s="692">
        <f t="shared" si="34"/>
        <v>38009.189819496423</v>
      </c>
      <c r="BY16" s="692">
        <f>IF(BX16&gt;0,BX16/BT15,0)</f>
        <v>154.50890170527001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25310325.259259</v>
      </c>
      <c r="J17" s="636">
        <f>IF(I17&gt;=I16,I17-I16,0)</f>
        <v>5969.1111112013459</v>
      </c>
      <c r="K17" s="636">
        <f t="shared" si="19"/>
        <v>4248</v>
      </c>
      <c r="L17" s="769">
        <v>176584</v>
      </c>
      <c r="M17" s="636">
        <f t="shared" si="40"/>
        <v>2136</v>
      </c>
      <c r="N17" s="769">
        <v>212087</v>
      </c>
      <c r="O17" s="636">
        <f t="shared" si="39"/>
        <v>2112</v>
      </c>
      <c r="P17" s="769">
        <v>226331</v>
      </c>
      <c r="Q17" s="636">
        <f t="shared" si="31"/>
        <v>510</v>
      </c>
      <c r="R17" s="768">
        <v>219132</v>
      </c>
      <c r="S17" s="636">
        <f t="shared" si="32"/>
        <v>152</v>
      </c>
      <c r="T17" s="768">
        <v>399901</v>
      </c>
      <c r="U17" s="636">
        <f t="shared" si="1"/>
        <v>283</v>
      </c>
      <c r="V17" s="768">
        <v>533168</v>
      </c>
      <c r="W17" s="636">
        <f t="shared" si="2"/>
        <v>3870.0600000000004</v>
      </c>
      <c r="X17" s="769">
        <v>758238</v>
      </c>
      <c r="Y17" s="636">
        <f t="shared" si="3"/>
        <v>0</v>
      </c>
      <c r="Z17" s="772">
        <v>746788</v>
      </c>
      <c r="AA17" s="636">
        <f t="shared" si="4"/>
        <v>3884.9</v>
      </c>
      <c r="AB17" s="768">
        <v>69387</v>
      </c>
      <c r="AC17" s="636">
        <f t="shared" si="33"/>
        <v>0</v>
      </c>
      <c r="AD17" s="768">
        <v>860659</v>
      </c>
      <c r="AE17" s="636">
        <f t="shared" si="20"/>
        <v>8.8333333334978672</v>
      </c>
      <c r="AF17" s="768">
        <v>1005440</v>
      </c>
      <c r="AG17" s="636">
        <f t="shared" si="42"/>
        <v>164.3</v>
      </c>
      <c r="AH17" s="768">
        <v>376215</v>
      </c>
      <c r="AI17" s="636">
        <f t="shared" si="6"/>
        <v>566.57000000000005</v>
      </c>
      <c r="AJ17" s="768">
        <v>258166</v>
      </c>
      <c r="AK17" s="636">
        <f t="shared" si="45"/>
        <v>3818.65</v>
      </c>
      <c r="AL17" s="768">
        <v>556883</v>
      </c>
      <c r="AM17" s="636">
        <f t="shared" si="8"/>
        <v>119.25</v>
      </c>
      <c r="AN17" s="636">
        <f t="shared" si="21"/>
        <v>12432.563333333499</v>
      </c>
      <c r="AO17" s="707">
        <v>8078827</v>
      </c>
      <c r="AP17" s="636">
        <f t="shared" si="22"/>
        <v>257.40000000000003</v>
      </c>
      <c r="AQ17" s="768">
        <v>739635</v>
      </c>
      <c r="AR17" s="636">
        <f t="shared" si="9"/>
        <v>266</v>
      </c>
      <c r="AS17" s="769">
        <v>6373.9444444444398</v>
      </c>
      <c r="AT17" s="636">
        <f t="shared" si="23"/>
        <v>137.9444444444398</v>
      </c>
      <c r="AU17" s="768">
        <v>823712</v>
      </c>
      <c r="AV17" s="636">
        <f t="shared" si="10"/>
        <v>55</v>
      </c>
      <c r="AW17" s="768">
        <v>2837570</v>
      </c>
      <c r="AX17" s="636">
        <f t="shared" si="11"/>
        <v>884</v>
      </c>
      <c r="AY17" s="768">
        <v>230977</v>
      </c>
      <c r="AZ17" s="636">
        <f t="shared" si="12"/>
        <v>12</v>
      </c>
      <c r="BA17" s="768">
        <v>20546557</v>
      </c>
      <c r="BB17" s="636">
        <f t="shared" si="13"/>
        <v>5828</v>
      </c>
      <c r="BC17" s="768">
        <v>627552</v>
      </c>
      <c r="BD17" s="636">
        <f t="shared" si="13"/>
        <v>240</v>
      </c>
      <c r="BE17" s="768">
        <v>42335</v>
      </c>
      <c r="BF17" s="636">
        <f t="shared" si="13"/>
        <v>70</v>
      </c>
      <c r="BG17" s="769">
        <v>25806267</v>
      </c>
      <c r="BH17" s="636">
        <f t="shared" si="24"/>
        <v>6664.05</v>
      </c>
      <c r="BI17" s="636">
        <f t="shared" si="25"/>
        <v>14414.394444444439</v>
      </c>
      <c r="BJ17" s="636">
        <f t="shared" si="26"/>
        <v>26846.957777777938</v>
      </c>
      <c r="BK17" s="769">
        <v>1484232</v>
      </c>
      <c r="BL17" s="636">
        <f t="shared" si="14"/>
        <v>265</v>
      </c>
      <c r="BM17" s="768">
        <v>4245362</v>
      </c>
      <c r="BN17" s="636">
        <f t="shared" si="15"/>
        <v>1487</v>
      </c>
      <c r="BO17" s="707">
        <v>443746</v>
      </c>
      <c r="BP17" s="636">
        <f t="shared" si="16"/>
        <v>84</v>
      </c>
      <c r="BQ17" s="768">
        <v>555409</v>
      </c>
      <c r="BR17" s="636">
        <f t="shared" si="41"/>
        <v>140</v>
      </c>
      <c r="BS17" s="692">
        <f t="shared" si="27"/>
        <v>33326.06888897928</v>
      </c>
      <c r="BT17" s="693">
        <v>174</v>
      </c>
      <c r="BU17" s="692">
        <f t="shared" si="44"/>
        <v>161.77703344164698</v>
      </c>
      <c r="BV17" s="693"/>
      <c r="BW17" s="692" t="e">
        <f t="shared" si="29"/>
        <v>#DIV/0!</v>
      </c>
      <c r="BX17" s="692">
        <f t="shared" si="34"/>
        <v>38554.479222326168</v>
      </c>
      <c r="BY17" s="692">
        <f>IF(BX17&gt;0,BX17/BT16,0)</f>
        <v>187.15766612779694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25316294.370370101</v>
      </c>
      <c r="J18" s="636">
        <f t="shared" si="18"/>
        <v>5969.1111111007631</v>
      </c>
      <c r="K18" s="636">
        <f t="shared" si="19"/>
        <v>3683</v>
      </c>
      <c r="L18" s="769">
        <v>178414</v>
      </c>
      <c r="M18" s="636">
        <f t="shared" si="40"/>
        <v>1830</v>
      </c>
      <c r="N18" s="769">
        <v>213940</v>
      </c>
      <c r="O18" s="636">
        <f t="shared" si="39"/>
        <v>1853</v>
      </c>
      <c r="P18" s="769">
        <v>226348</v>
      </c>
      <c r="Q18" s="636">
        <f t="shared" si="31"/>
        <v>510</v>
      </c>
      <c r="R18" s="768">
        <v>219262</v>
      </c>
      <c r="S18" s="636">
        <f t="shared" si="32"/>
        <v>130</v>
      </c>
      <c r="T18" s="768">
        <v>400134</v>
      </c>
      <c r="U18" s="636">
        <f t="shared" si="1"/>
        <v>233</v>
      </c>
      <c r="V18" s="768">
        <v>534878</v>
      </c>
      <c r="W18" s="636">
        <f t="shared" si="2"/>
        <v>906.30000000000007</v>
      </c>
      <c r="X18" s="769">
        <v>758238</v>
      </c>
      <c r="Y18" s="636">
        <f t="shared" si="3"/>
        <v>0</v>
      </c>
      <c r="Z18" s="768">
        <v>753499</v>
      </c>
      <c r="AA18" s="636">
        <f t="shared" si="4"/>
        <v>3556.8300000000004</v>
      </c>
      <c r="AB18" s="768">
        <v>69387</v>
      </c>
      <c r="AC18" s="636">
        <f t="shared" si="33"/>
        <v>0</v>
      </c>
      <c r="AD18" s="768">
        <v>860680</v>
      </c>
      <c r="AE18" s="636">
        <f t="shared" si="20"/>
        <v>11.13</v>
      </c>
      <c r="AF18" s="768">
        <v>1006630</v>
      </c>
      <c r="AG18" s="636">
        <f t="shared" si="42"/>
        <v>630.70000000000005</v>
      </c>
      <c r="AH18" s="768">
        <v>377056</v>
      </c>
      <c r="AI18" s="636">
        <f t="shared" si="6"/>
        <v>445.73</v>
      </c>
      <c r="AJ18" s="768">
        <v>264046</v>
      </c>
      <c r="AK18" s="636">
        <f t="shared" si="45"/>
        <v>3116.4</v>
      </c>
      <c r="AL18" s="768">
        <v>557077</v>
      </c>
      <c r="AM18" s="636">
        <f t="shared" si="8"/>
        <v>102.82000000000001</v>
      </c>
      <c r="AN18" s="636">
        <f t="shared" si="21"/>
        <v>8769.91</v>
      </c>
      <c r="AO18" s="768">
        <v>8080551</v>
      </c>
      <c r="AP18" s="636">
        <f t="shared" si="22"/>
        <v>193.95000000000002</v>
      </c>
      <c r="AQ18" s="769">
        <v>739779</v>
      </c>
      <c r="AR18" s="636">
        <f t="shared" si="9"/>
        <v>144</v>
      </c>
      <c r="AS18" s="769">
        <v>6680</v>
      </c>
      <c r="AT18" s="636">
        <f t="shared" si="23"/>
        <v>306.0555555555602</v>
      </c>
      <c r="AU18" s="769">
        <v>823757</v>
      </c>
      <c r="AV18" s="636">
        <f t="shared" si="10"/>
        <v>45</v>
      </c>
      <c r="AW18" s="769">
        <v>2838337</v>
      </c>
      <c r="AX18" s="636">
        <f t="shared" si="11"/>
        <v>767</v>
      </c>
      <c r="AY18" s="768">
        <v>230987</v>
      </c>
      <c r="AZ18" s="636">
        <f t="shared" si="12"/>
        <v>10</v>
      </c>
      <c r="BA18" s="768">
        <v>20551048</v>
      </c>
      <c r="BB18" s="636">
        <f t="shared" si="13"/>
        <v>4491</v>
      </c>
      <c r="BC18" s="768">
        <v>627751</v>
      </c>
      <c r="BD18" s="636">
        <f t="shared" si="13"/>
        <v>199</v>
      </c>
      <c r="BE18" s="768">
        <v>42400</v>
      </c>
      <c r="BF18" s="636">
        <f t="shared" si="13"/>
        <v>65</v>
      </c>
      <c r="BG18" s="769">
        <v>25812636</v>
      </c>
      <c r="BH18" s="636">
        <f t="shared" si="24"/>
        <v>5618.95</v>
      </c>
      <c r="BI18" s="636">
        <f t="shared" si="25"/>
        <v>11839.95555555556</v>
      </c>
      <c r="BJ18" s="636">
        <f t="shared" si="26"/>
        <v>20609.86555555556</v>
      </c>
      <c r="BK18" s="769">
        <v>1484429</v>
      </c>
      <c r="BL18" s="636">
        <f t="shared" si="14"/>
        <v>197</v>
      </c>
      <c r="BM18" s="768">
        <v>4246630</v>
      </c>
      <c r="BN18" s="636">
        <f t="shared" si="15"/>
        <v>1268</v>
      </c>
      <c r="BO18" s="768">
        <v>443847</v>
      </c>
      <c r="BP18" s="636">
        <f t="shared" si="16"/>
        <v>101</v>
      </c>
      <c r="BQ18" s="768">
        <v>555543</v>
      </c>
      <c r="BR18" s="636">
        <f t="shared" si="41"/>
        <v>134</v>
      </c>
      <c r="BS18" s="692">
        <f t="shared" si="27"/>
        <v>27088.976666656323</v>
      </c>
      <c r="BT18" s="693">
        <v>162</v>
      </c>
      <c r="BU18" s="692">
        <f t="shared" si="44"/>
        <v>155.6837739463007</v>
      </c>
      <c r="BV18" s="693"/>
      <c r="BW18" s="692" t="e">
        <f t="shared" si="29"/>
        <v>#DIV/0!</v>
      </c>
      <c r="BX18" s="692">
        <f t="shared" si="34"/>
        <v>31381.823166654769</v>
      </c>
      <c r="BY18" s="692">
        <f>IF(BX18&gt;0,BX18/BT17,0)</f>
        <v>180.35530555548718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25322263.481481299</v>
      </c>
      <c r="J19" s="636">
        <f t="shared" si="18"/>
        <v>5969.1111111976206</v>
      </c>
      <c r="K19" s="636">
        <f t="shared" si="19"/>
        <v>3870</v>
      </c>
      <c r="L19" s="769">
        <v>180433</v>
      </c>
      <c r="M19" s="636">
        <f t="shared" si="40"/>
        <v>2019</v>
      </c>
      <c r="N19" s="769">
        <v>215791</v>
      </c>
      <c r="O19" s="636">
        <f t="shared" si="39"/>
        <v>1851</v>
      </c>
      <c r="P19" s="769">
        <v>226367</v>
      </c>
      <c r="Q19" s="636">
        <f t="shared" ref="Q19:Q35" si="46">IF(P19&gt;=P18,P19-P18,0)*30</f>
        <v>570</v>
      </c>
      <c r="R19" s="768">
        <v>219410</v>
      </c>
      <c r="S19" s="636">
        <f t="shared" si="32"/>
        <v>148</v>
      </c>
      <c r="T19" s="768">
        <v>400405</v>
      </c>
      <c r="U19" s="636">
        <f t="shared" si="1"/>
        <v>271</v>
      </c>
      <c r="V19" s="768">
        <v>537153</v>
      </c>
      <c r="W19" s="636">
        <f t="shared" si="2"/>
        <v>1205.75</v>
      </c>
      <c r="X19" s="769">
        <v>758048</v>
      </c>
      <c r="Y19" s="636">
        <f t="shared" si="3"/>
        <v>0</v>
      </c>
      <c r="Z19" s="768">
        <v>759048</v>
      </c>
      <c r="AA19" s="636">
        <f t="shared" si="4"/>
        <v>2940.9700000000003</v>
      </c>
      <c r="AB19" s="768">
        <v>70768</v>
      </c>
      <c r="AC19" s="636">
        <f t="shared" si="33"/>
        <v>731.93000000000006</v>
      </c>
      <c r="AD19" s="768">
        <v>860705</v>
      </c>
      <c r="AE19" s="636">
        <f t="shared" si="20"/>
        <v>13.25</v>
      </c>
      <c r="AF19" s="768">
        <v>1007983</v>
      </c>
      <c r="AG19" s="636">
        <f t="shared" si="42"/>
        <v>717.09</v>
      </c>
      <c r="AH19" s="769">
        <v>377982</v>
      </c>
      <c r="AI19" s="636">
        <f t="shared" si="6"/>
        <v>490.78000000000003</v>
      </c>
      <c r="AJ19" s="769">
        <v>270905</v>
      </c>
      <c r="AK19" s="636">
        <f t="shared" si="45"/>
        <v>3635.27</v>
      </c>
      <c r="AL19" s="768">
        <v>557289</v>
      </c>
      <c r="AM19" s="636">
        <f t="shared" si="8"/>
        <v>112.36</v>
      </c>
      <c r="AN19" s="636">
        <f t="shared" si="21"/>
        <v>9847.4000000000015</v>
      </c>
      <c r="AO19" s="768">
        <v>8082560</v>
      </c>
      <c r="AP19" s="636">
        <f t="shared" si="22"/>
        <v>226.01250000000002</v>
      </c>
      <c r="AQ19" s="768">
        <v>739944</v>
      </c>
      <c r="AR19" s="636">
        <f t="shared" si="9"/>
        <v>165</v>
      </c>
      <c r="AS19" s="769">
        <v>6847</v>
      </c>
      <c r="AT19" s="636">
        <f t="shared" si="23"/>
        <v>167</v>
      </c>
      <c r="AU19" s="768">
        <v>823798</v>
      </c>
      <c r="AV19" s="636">
        <f t="shared" si="10"/>
        <v>41</v>
      </c>
      <c r="AW19" s="769">
        <v>2839169</v>
      </c>
      <c r="AX19" s="636">
        <f t="shared" si="11"/>
        <v>832</v>
      </c>
      <c r="AY19" s="768">
        <v>230998</v>
      </c>
      <c r="AZ19" s="636">
        <f t="shared" ref="AZ19:AZ36" si="47">IF(AY19&gt;=AY18,AY19-AY18,0)</f>
        <v>11</v>
      </c>
      <c r="BA19" s="769">
        <v>20556233</v>
      </c>
      <c r="BB19" s="636">
        <f t="shared" si="13"/>
        <v>5185</v>
      </c>
      <c r="BC19" s="768">
        <v>627977</v>
      </c>
      <c r="BD19" s="636">
        <f t="shared" si="13"/>
        <v>226</v>
      </c>
      <c r="BE19" s="768">
        <v>42463</v>
      </c>
      <c r="BF19" s="636">
        <f t="shared" si="13"/>
        <v>63</v>
      </c>
      <c r="BG19" s="769">
        <v>25819849</v>
      </c>
      <c r="BH19" s="636">
        <f t="shared" si="24"/>
        <v>6394.7</v>
      </c>
      <c r="BI19" s="636">
        <f t="shared" si="25"/>
        <v>13310.7125</v>
      </c>
      <c r="BJ19" s="636">
        <f t="shared" si="26"/>
        <v>23158.112500000003</v>
      </c>
      <c r="BK19" s="769">
        <v>1484688</v>
      </c>
      <c r="BL19" s="636">
        <f t="shared" si="14"/>
        <v>259</v>
      </c>
      <c r="BM19" s="768">
        <v>4248011</v>
      </c>
      <c r="BN19" s="636">
        <f t="shared" si="15"/>
        <v>1381</v>
      </c>
      <c r="BO19" s="707">
        <v>443960</v>
      </c>
      <c r="BP19" s="636">
        <f t="shared" si="16"/>
        <v>113</v>
      </c>
      <c r="BQ19" s="769">
        <v>555689</v>
      </c>
      <c r="BR19" s="636">
        <f t="shared" si="41"/>
        <v>146</v>
      </c>
      <c r="BS19" s="692">
        <f t="shared" si="27"/>
        <v>29697.223611197624</v>
      </c>
      <c r="BT19" s="693">
        <v>207</v>
      </c>
      <c r="BU19" s="692">
        <f t="shared" si="44"/>
        <v>183.31619513084954</v>
      </c>
      <c r="BV19" s="693"/>
      <c r="BW19" s="692" t="e">
        <f t="shared" si="29"/>
        <v>#DIV/0!</v>
      </c>
      <c r="BX19" s="692">
        <f t="shared" si="34"/>
        <v>34408.307152877263</v>
      </c>
      <c r="BY19" s="692">
        <f>IF(BX19&gt;0,BX19/BT18,0)</f>
        <v>212.39695773381027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25328232.5925924</v>
      </c>
      <c r="J20" s="636">
        <f>IF(I20&gt;=I19,I20-I19,0)</f>
        <v>5969.1111111007631</v>
      </c>
      <c r="K20" s="636">
        <f t="shared" si="19"/>
        <v>3614</v>
      </c>
      <c r="L20" s="769">
        <v>182393</v>
      </c>
      <c r="M20" s="636">
        <f t="shared" si="40"/>
        <v>1960</v>
      </c>
      <c r="N20" s="769">
        <v>217445</v>
      </c>
      <c r="O20" s="636">
        <f t="shared" si="39"/>
        <v>1654</v>
      </c>
      <c r="P20" s="769">
        <v>226384</v>
      </c>
      <c r="Q20" s="636">
        <f t="shared" si="46"/>
        <v>510</v>
      </c>
      <c r="R20" s="768">
        <v>219548</v>
      </c>
      <c r="S20" s="636">
        <f t="shared" si="32"/>
        <v>138</v>
      </c>
      <c r="T20" s="768">
        <v>400661</v>
      </c>
      <c r="U20" s="636">
        <f t="shared" si="1"/>
        <v>256</v>
      </c>
      <c r="V20" s="768">
        <v>540440</v>
      </c>
      <c r="W20" s="636">
        <f t="shared" si="2"/>
        <v>1742.1100000000001</v>
      </c>
      <c r="X20" s="769">
        <v>758238</v>
      </c>
      <c r="Y20" s="636">
        <f t="shared" si="3"/>
        <v>100.7</v>
      </c>
      <c r="Z20" s="769">
        <v>762604</v>
      </c>
      <c r="AA20" s="636">
        <f t="shared" si="4"/>
        <v>1884.68</v>
      </c>
      <c r="AB20" s="768">
        <v>74541</v>
      </c>
      <c r="AC20" s="636">
        <f t="shared" si="33"/>
        <v>1999.69</v>
      </c>
      <c r="AD20" s="768">
        <v>860728</v>
      </c>
      <c r="AE20" s="636">
        <f t="shared" si="20"/>
        <v>12.190000000000001</v>
      </c>
      <c r="AF20" s="768">
        <v>1008528</v>
      </c>
      <c r="AG20" s="636">
        <f t="shared" si="42"/>
        <v>288.85000000000002</v>
      </c>
      <c r="AH20" s="768">
        <v>378723</v>
      </c>
      <c r="AI20" s="636">
        <f t="shared" si="6"/>
        <v>392.73</v>
      </c>
      <c r="AJ20" s="768">
        <v>277517</v>
      </c>
      <c r="AK20" s="636">
        <f t="shared" si="45"/>
        <v>3504.36</v>
      </c>
      <c r="AL20" s="768">
        <v>557504</v>
      </c>
      <c r="AM20" s="636">
        <f t="shared" si="8"/>
        <v>113.95</v>
      </c>
      <c r="AN20" s="636">
        <f t="shared" si="21"/>
        <v>10039.260000000002</v>
      </c>
      <c r="AO20" s="768">
        <v>8084706</v>
      </c>
      <c r="AP20" s="636">
        <f t="shared" si="22"/>
        <v>241.42500000000001</v>
      </c>
      <c r="AQ20" s="769">
        <v>740124</v>
      </c>
      <c r="AR20" s="636">
        <f t="shared" si="9"/>
        <v>180</v>
      </c>
      <c r="AS20" s="769">
        <v>7065</v>
      </c>
      <c r="AT20" s="636">
        <f>IF(AS20&gt;=AS19,AS20-AS19,0)</f>
        <v>218</v>
      </c>
      <c r="AU20" s="768">
        <v>823844</v>
      </c>
      <c r="AV20" s="636">
        <f>IF(AU20&gt;=AU19,AU20-AU19,0)</f>
        <v>46</v>
      </c>
      <c r="AW20" s="768">
        <v>2839952</v>
      </c>
      <c r="AX20" s="636">
        <f t="shared" si="11"/>
        <v>783</v>
      </c>
      <c r="AY20" s="768">
        <v>231009</v>
      </c>
      <c r="AZ20" s="636">
        <f t="shared" si="47"/>
        <v>11</v>
      </c>
      <c r="BA20" s="768">
        <v>20561609</v>
      </c>
      <c r="BB20" s="636">
        <f t="shared" si="13"/>
        <v>5376</v>
      </c>
      <c r="BC20" s="768">
        <v>628218</v>
      </c>
      <c r="BD20" s="636">
        <f t="shared" si="13"/>
        <v>241</v>
      </c>
      <c r="BE20" s="768">
        <v>42528</v>
      </c>
      <c r="BF20" s="636">
        <f t="shared" si="13"/>
        <v>65</v>
      </c>
      <c r="BG20" s="769">
        <v>25827228</v>
      </c>
      <c r="BH20" s="636">
        <f t="shared" si="24"/>
        <v>6548.55</v>
      </c>
      <c r="BI20" s="636">
        <f t="shared" si="25"/>
        <v>13709.975</v>
      </c>
      <c r="BJ20" s="636">
        <f t="shared" si="26"/>
        <v>23749.235000000001</v>
      </c>
      <c r="BK20" s="769">
        <v>1484887</v>
      </c>
      <c r="BL20" s="636">
        <f t="shared" si="14"/>
        <v>199</v>
      </c>
      <c r="BM20" s="768">
        <v>4249452</v>
      </c>
      <c r="BN20" s="636">
        <f t="shared" si="15"/>
        <v>1441</v>
      </c>
      <c r="BO20" s="768">
        <v>444080</v>
      </c>
      <c r="BP20" s="636">
        <f t="shared" si="16"/>
        <v>120</v>
      </c>
      <c r="BQ20" s="768">
        <v>555817</v>
      </c>
      <c r="BR20" s="636">
        <f t="shared" si="41"/>
        <v>128</v>
      </c>
      <c r="BS20" s="692">
        <f t="shared" si="27"/>
        <v>30228.346111100764</v>
      </c>
      <c r="BT20" s="693">
        <v>248</v>
      </c>
      <c r="BU20" s="692">
        <f>IF(BS20&gt;0,BS20/BT20,0)</f>
        <v>121.88849238347082</v>
      </c>
      <c r="BV20" s="693"/>
      <c r="BW20" s="692" t="e">
        <f t="shared" si="29"/>
        <v>#DIV/0!</v>
      </c>
      <c r="BX20" s="692">
        <f t="shared" si="34"/>
        <v>34992.098027765875</v>
      </c>
      <c r="BY20" s="692">
        <f t="shared" ref="BY20:BY36" si="48">IF(BX20&gt;0,BX20/BT20,0)</f>
        <v>141.09716946679788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25334201.703703601</v>
      </c>
      <c r="J21" s="636">
        <f>IF(I21&gt;=I20,I21-I20,0)</f>
        <v>5969.1111112013459</v>
      </c>
      <c r="K21" s="636">
        <f t="shared" si="19"/>
        <v>3616</v>
      </c>
      <c r="L21" s="769">
        <v>184223</v>
      </c>
      <c r="M21" s="636">
        <f t="shared" si="40"/>
        <v>1830</v>
      </c>
      <c r="N21" s="769">
        <v>219231</v>
      </c>
      <c r="O21" s="636">
        <f t="shared" si="39"/>
        <v>1786</v>
      </c>
      <c r="P21" s="769">
        <v>226401</v>
      </c>
      <c r="Q21" s="636">
        <f t="shared" si="46"/>
        <v>510</v>
      </c>
      <c r="R21" s="768">
        <v>219691</v>
      </c>
      <c r="S21" s="636">
        <f t="shared" ref="S21:S35" si="49">IF(R21&gt;=R20,R21-R20,0)</f>
        <v>143</v>
      </c>
      <c r="T21" s="768">
        <v>400918</v>
      </c>
      <c r="U21" s="636">
        <f t="shared" si="1"/>
        <v>257</v>
      </c>
      <c r="V21" s="768">
        <v>542721</v>
      </c>
      <c r="W21" s="636">
        <f t="shared" si="2"/>
        <v>1208.93</v>
      </c>
      <c r="X21" s="769">
        <v>758238</v>
      </c>
      <c r="Y21" s="636">
        <f t="shared" si="3"/>
        <v>0</v>
      </c>
      <c r="Z21" s="769">
        <v>762604</v>
      </c>
      <c r="AA21" s="636">
        <f t="shared" si="4"/>
        <v>0</v>
      </c>
      <c r="AB21" s="768">
        <v>81950</v>
      </c>
      <c r="AC21" s="636">
        <f t="shared" si="33"/>
        <v>3926.77</v>
      </c>
      <c r="AD21" s="768">
        <v>860752</v>
      </c>
      <c r="AE21" s="636">
        <f t="shared" si="20"/>
        <v>12.72</v>
      </c>
      <c r="AF21" s="768">
        <v>1008550</v>
      </c>
      <c r="AG21" s="636">
        <f t="shared" si="42"/>
        <v>11.66</v>
      </c>
      <c r="AH21" s="769">
        <v>379429</v>
      </c>
      <c r="AI21" s="636">
        <f t="shared" si="6"/>
        <v>374.18</v>
      </c>
      <c r="AJ21" s="769">
        <v>283663</v>
      </c>
      <c r="AK21" s="636">
        <f t="shared" si="45"/>
        <v>3257.38</v>
      </c>
      <c r="AL21" s="768">
        <v>557712</v>
      </c>
      <c r="AM21" s="636">
        <f t="shared" si="8"/>
        <v>110.24000000000001</v>
      </c>
      <c r="AN21" s="636">
        <f t="shared" si="21"/>
        <v>8901.8799999999992</v>
      </c>
      <c r="AO21" s="768">
        <v>8086834</v>
      </c>
      <c r="AP21" s="636">
        <f t="shared" si="22"/>
        <v>239.4</v>
      </c>
      <c r="AQ21" s="768">
        <v>740305</v>
      </c>
      <c r="AR21" s="636">
        <f t="shared" si="9"/>
        <v>181</v>
      </c>
      <c r="AS21" s="769">
        <v>7223</v>
      </c>
      <c r="AT21" s="636">
        <f>IF(AS21&gt;=AS20,AS21-AS20,0)</f>
        <v>158</v>
      </c>
      <c r="AU21" s="768">
        <v>823900</v>
      </c>
      <c r="AV21" s="636">
        <f>IF(AU21&gt;=AU20,AU21-AU20,0)</f>
        <v>56</v>
      </c>
      <c r="AW21" s="768">
        <v>2840766</v>
      </c>
      <c r="AX21" s="636">
        <f t="shared" si="11"/>
        <v>814</v>
      </c>
      <c r="AY21" s="769">
        <v>231020</v>
      </c>
      <c r="AZ21" s="636">
        <f t="shared" si="47"/>
        <v>11</v>
      </c>
      <c r="BA21" s="769">
        <v>20566816</v>
      </c>
      <c r="BB21" s="636">
        <f t="shared" si="13"/>
        <v>5207</v>
      </c>
      <c r="BC21" s="768">
        <v>628451</v>
      </c>
      <c r="BD21" s="636">
        <f t="shared" si="13"/>
        <v>233</v>
      </c>
      <c r="BE21" s="768">
        <v>42594</v>
      </c>
      <c r="BF21" s="636">
        <f t="shared" si="13"/>
        <v>66</v>
      </c>
      <c r="BG21" s="769">
        <v>25833851</v>
      </c>
      <c r="BH21" s="636">
        <f t="shared" si="24"/>
        <v>5818.35</v>
      </c>
      <c r="BI21" s="636">
        <f t="shared" si="25"/>
        <v>12783.75</v>
      </c>
      <c r="BJ21" s="636">
        <f t="shared" si="26"/>
        <v>21685.629999999997</v>
      </c>
      <c r="BK21" s="769">
        <v>1484992</v>
      </c>
      <c r="BL21" s="636">
        <f t="shared" si="14"/>
        <v>105</v>
      </c>
      <c r="BM21" s="768">
        <v>4250824</v>
      </c>
      <c r="BN21" s="636">
        <f t="shared" si="15"/>
        <v>1372</v>
      </c>
      <c r="BO21" s="768">
        <v>444185</v>
      </c>
      <c r="BP21" s="636">
        <f t="shared" si="16"/>
        <v>105</v>
      </c>
      <c r="BQ21" s="768">
        <v>555957</v>
      </c>
      <c r="BR21" s="636">
        <f t="shared" si="41"/>
        <v>140</v>
      </c>
      <c r="BS21" s="692">
        <f t="shared" si="27"/>
        <v>28164.741111201343</v>
      </c>
      <c r="BT21" s="693">
        <v>248</v>
      </c>
      <c r="BU21" s="692">
        <f t="shared" ref="BU21:BU36" si="50">IF(BS21&gt;0,BS21/BT21,0)</f>
        <v>113.56750448065058</v>
      </c>
      <c r="BV21" s="693"/>
      <c r="BW21" s="692" t="e">
        <f t="shared" si="29"/>
        <v>#DIV/0!</v>
      </c>
      <c r="BX21" s="692">
        <f t="shared" si="34"/>
        <v>32618.952277881541</v>
      </c>
      <c r="BY21" s="692">
        <f t="shared" si="48"/>
        <v>131.5280333785546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25340170.814814702</v>
      </c>
      <c r="J22" s="636">
        <f t="shared" ref="J22:J31" si="51">IF(I22&gt;=I21,I22-I21,0)</f>
        <v>5969.1111111007631</v>
      </c>
      <c r="K22" s="636">
        <f t="shared" si="19"/>
        <v>3825</v>
      </c>
      <c r="L22" s="769">
        <v>186121</v>
      </c>
      <c r="M22" s="636">
        <f t="shared" si="40"/>
        <v>1898</v>
      </c>
      <c r="N22" s="769">
        <v>221158</v>
      </c>
      <c r="O22" s="636">
        <f t="shared" si="39"/>
        <v>1927</v>
      </c>
      <c r="P22" s="769">
        <v>226418</v>
      </c>
      <c r="Q22" s="636">
        <f t="shared" si="46"/>
        <v>510</v>
      </c>
      <c r="R22" s="768">
        <v>219830</v>
      </c>
      <c r="S22" s="636">
        <f t="shared" si="49"/>
        <v>139</v>
      </c>
      <c r="T22" s="768">
        <v>401171</v>
      </c>
      <c r="U22" s="636">
        <f t="shared" si="1"/>
        <v>253</v>
      </c>
      <c r="V22" s="768">
        <v>546789</v>
      </c>
      <c r="W22" s="636">
        <f t="shared" ref="W22:W28" si="52">IF(V22&gt;=V21,V22-V21,0)*0.53</f>
        <v>2156.04</v>
      </c>
      <c r="X22" s="769">
        <v>758238</v>
      </c>
      <c r="Y22" s="636">
        <f t="shared" si="3"/>
        <v>0</v>
      </c>
      <c r="Z22" s="768">
        <v>762604</v>
      </c>
      <c r="AA22" s="636">
        <f t="shared" si="4"/>
        <v>0</v>
      </c>
      <c r="AB22" s="768">
        <v>88706</v>
      </c>
      <c r="AC22" s="636">
        <f t="shared" si="33"/>
        <v>3580.6800000000003</v>
      </c>
      <c r="AD22" s="768">
        <v>860773</v>
      </c>
      <c r="AE22" s="636">
        <f t="shared" si="20"/>
        <v>11.13</v>
      </c>
      <c r="AF22" s="768">
        <v>1008570</v>
      </c>
      <c r="AG22" s="636">
        <f t="shared" si="42"/>
        <v>10.600000000000001</v>
      </c>
      <c r="AH22" s="769">
        <v>380224</v>
      </c>
      <c r="AI22" s="636">
        <f t="shared" si="6"/>
        <v>421.35</v>
      </c>
      <c r="AJ22" s="769">
        <v>289399</v>
      </c>
      <c r="AK22" s="636">
        <f t="shared" si="45"/>
        <v>3040.08</v>
      </c>
      <c r="AL22" s="768">
        <v>557917</v>
      </c>
      <c r="AM22" s="636">
        <f t="shared" si="8"/>
        <v>108.65</v>
      </c>
      <c r="AN22" s="636">
        <f t="shared" si="21"/>
        <v>9328.5300000000007</v>
      </c>
      <c r="AO22" s="768">
        <v>8089224</v>
      </c>
      <c r="AP22" s="636">
        <f t="shared" si="22"/>
        <v>268.875</v>
      </c>
      <c r="AQ22" s="768">
        <v>740571</v>
      </c>
      <c r="AR22" s="636">
        <f t="shared" si="9"/>
        <v>266</v>
      </c>
      <c r="AS22" s="769">
        <v>7407</v>
      </c>
      <c r="AT22" s="636">
        <f t="shared" si="23"/>
        <v>184</v>
      </c>
      <c r="AU22" s="768">
        <v>823957</v>
      </c>
      <c r="AV22" s="636">
        <f t="shared" si="10"/>
        <v>57</v>
      </c>
      <c r="AW22" s="769">
        <v>2841595</v>
      </c>
      <c r="AX22" s="636">
        <f t="shared" si="11"/>
        <v>829</v>
      </c>
      <c r="AY22" s="769">
        <v>231031</v>
      </c>
      <c r="AZ22" s="636">
        <f t="shared" si="47"/>
        <v>11</v>
      </c>
      <c r="BA22" s="769">
        <v>20572078</v>
      </c>
      <c r="BB22" s="636">
        <f t="shared" si="13"/>
        <v>5262</v>
      </c>
      <c r="BC22" s="768">
        <v>628709</v>
      </c>
      <c r="BD22" s="636">
        <f t="shared" si="13"/>
        <v>258</v>
      </c>
      <c r="BE22" s="768">
        <v>42661</v>
      </c>
      <c r="BF22" s="636">
        <f t="shared" si="13"/>
        <v>67</v>
      </c>
      <c r="BG22" s="769">
        <v>25840550</v>
      </c>
      <c r="BH22" s="636">
        <f t="shared" si="24"/>
        <v>5913.0999999999995</v>
      </c>
      <c r="BI22" s="636">
        <f t="shared" si="25"/>
        <v>13115.974999999999</v>
      </c>
      <c r="BJ22" s="636">
        <f t="shared" si="26"/>
        <v>22444.504999999997</v>
      </c>
      <c r="BK22" s="769">
        <v>1485099</v>
      </c>
      <c r="BL22" s="636">
        <f t="shared" si="14"/>
        <v>107</v>
      </c>
      <c r="BM22" s="768">
        <v>4252197</v>
      </c>
      <c r="BN22" s="636">
        <f t="shared" si="15"/>
        <v>1373</v>
      </c>
      <c r="BO22" s="707">
        <v>444294</v>
      </c>
      <c r="BP22" s="636">
        <f t="shared" si="16"/>
        <v>109</v>
      </c>
      <c r="BQ22" s="769">
        <v>556076</v>
      </c>
      <c r="BR22" s="636">
        <f t="shared" si="41"/>
        <v>119</v>
      </c>
      <c r="BS22" s="692">
        <f t="shared" si="27"/>
        <v>28923.61611110076</v>
      </c>
      <c r="BT22" s="693">
        <v>244</v>
      </c>
      <c r="BU22" s="692">
        <f t="shared" si="50"/>
        <v>118.53941029139656</v>
      </c>
      <c r="BV22" s="693"/>
      <c r="BW22" s="692" t="e">
        <f t="shared" si="29"/>
        <v>#DIV/0!</v>
      </c>
      <c r="BX22" s="692">
        <f t="shared" si="34"/>
        <v>33491.658527765874</v>
      </c>
      <c r="BY22" s="692">
        <f t="shared" si="48"/>
        <v>137.26089560559785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25346131.777777702</v>
      </c>
      <c r="J23" s="636">
        <f t="shared" si="51"/>
        <v>5960.9629629999399</v>
      </c>
      <c r="K23" s="636">
        <f t="shared" si="19"/>
        <v>4240</v>
      </c>
      <c r="L23" s="769">
        <v>188254</v>
      </c>
      <c r="M23" s="636">
        <f t="shared" si="40"/>
        <v>2133</v>
      </c>
      <c r="N23" s="769">
        <v>223265</v>
      </c>
      <c r="O23" s="636">
        <f t="shared" si="39"/>
        <v>2107</v>
      </c>
      <c r="P23" s="769">
        <v>226435</v>
      </c>
      <c r="Q23" s="636">
        <f t="shared" si="46"/>
        <v>510</v>
      </c>
      <c r="R23" s="768">
        <v>219983</v>
      </c>
      <c r="S23" s="636">
        <f t="shared" si="49"/>
        <v>153</v>
      </c>
      <c r="T23" s="768">
        <v>401447</v>
      </c>
      <c r="U23" s="636">
        <f t="shared" si="1"/>
        <v>276</v>
      </c>
      <c r="V23" s="768">
        <v>550567</v>
      </c>
      <c r="W23" s="636">
        <f t="shared" si="52"/>
        <v>2002.3400000000001</v>
      </c>
      <c r="X23" s="769">
        <v>758238</v>
      </c>
      <c r="Y23" s="636">
        <f t="shared" si="3"/>
        <v>0</v>
      </c>
      <c r="Z23" s="772">
        <v>762604</v>
      </c>
      <c r="AA23" s="636">
        <f t="shared" si="4"/>
        <v>0</v>
      </c>
      <c r="AB23" s="768">
        <v>95299</v>
      </c>
      <c r="AC23" s="636">
        <f t="shared" si="33"/>
        <v>3494.29</v>
      </c>
      <c r="AD23" s="768">
        <v>860798</v>
      </c>
      <c r="AE23" s="636">
        <f t="shared" si="20"/>
        <v>13.25</v>
      </c>
      <c r="AF23" s="768">
        <v>1008593</v>
      </c>
      <c r="AG23" s="636">
        <f t="shared" si="42"/>
        <v>12.190000000000001</v>
      </c>
      <c r="AH23" s="768">
        <v>380798</v>
      </c>
      <c r="AI23" s="636">
        <f t="shared" si="6"/>
        <v>304.22000000000003</v>
      </c>
      <c r="AJ23" s="768">
        <v>295341</v>
      </c>
      <c r="AK23" s="636">
        <f t="shared" si="45"/>
        <v>3149.26</v>
      </c>
      <c r="AL23" s="768">
        <v>558149</v>
      </c>
      <c r="AM23" s="636">
        <f t="shared" si="8"/>
        <v>122.96000000000001</v>
      </c>
      <c r="AN23" s="636">
        <f t="shared" si="21"/>
        <v>9098.5099999999984</v>
      </c>
      <c r="AO23" s="707">
        <v>8091410</v>
      </c>
      <c r="AP23" s="636">
        <f t="shared" si="22"/>
        <v>245.92500000000001</v>
      </c>
      <c r="AQ23" s="768">
        <v>740761</v>
      </c>
      <c r="AR23" s="636">
        <f t="shared" si="9"/>
        <v>190</v>
      </c>
      <c r="AS23" s="768">
        <v>7604</v>
      </c>
      <c r="AT23" s="636">
        <f t="shared" si="23"/>
        <v>197</v>
      </c>
      <c r="AU23" s="768">
        <v>824011</v>
      </c>
      <c r="AV23" s="636">
        <f t="shared" si="10"/>
        <v>54</v>
      </c>
      <c r="AW23" s="768">
        <v>2842445</v>
      </c>
      <c r="AX23" s="636">
        <f t="shared" si="11"/>
        <v>850</v>
      </c>
      <c r="AY23" s="769">
        <v>231043</v>
      </c>
      <c r="AZ23" s="636">
        <f t="shared" si="47"/>
        <v>12</v>
      </c>
      <c r="BA23" s="768">
        <v>20577974</v>
      </c>
      <c r="BB23" s="636">
        <f t="shared" si="13"/>
        <v>5896</v>
      </c>
      <c r="BC23" s="768">
        <v>628991</v>
      </c>
      <c r="BD23" s="636">
        <f t="shared" si="13"/>
        <v>282</v>
      </c>
      <c r="BE23" s="768">
        <v>42751</v>
      </c>
      <c r="BF23" s="636">
        <f t="shared" si="13"/>
        <v>90</v>
      </c>
      <c r="BG23" s="769">
        <v>25847872</v>
      </c>
      <c r="BH23" s="636">
        <f t="shared" si="24"/>
        <v>6478.8499999999995</v>
      </c>
      <c r="BI23" s="636">
        <f t="shared" si="25"/>
        <v>14295.775</v>
      </c>
      <c r="BJ23" s="636">
        <f t="shared" si="26"/>
        <v>23394.284999999996</v>
      </c>
      <c r="BK23" s="769">
        <v>1485217</v>
      </c>
      <c r="BL23" s="636">
        <f t="shared" si="14"/>
        <v>118</v>
      </c>
      <c r="BM23" s="768">
        <v>4253666</v>
      </c>
      <c r="BN23" s="636">
        <f t="shared" si="15"/>
        <v>1469</v>
      </c>
      <c r="BO23" s="768">
        <v>444412</v>
      </c>
      <c r="BP23" s="636">
        <f t="shared" si="16"/>
        <v>118</v>
      </c>
      <c r="BQ23" s="769">
        <v>556205</v>
      </c>
      <c r="BR23" s="636">
        <f t="shared" si="41"/>
        <v>129</v>
      </c>
      <c r="BS23" s="692">
        <f t="shared" si="27"/>
        <v>29865.247962999936</v>
      </c>
      <c r="BT23" s="693">
        <v>228</v>
      </c>
      <c r="BU23" s="692">
        <f t="shared" si="50"/>
        <v>130.98792966228041</v>
      </c>
      <c r="BV23" s="693"/>
      <c r="BW23" s="692" t="e">
        <f t="shared" si="29"/>
        <v>#DIV/0!</v>
      </c>
      <c r="BX23" s="692">
        <f t="shared" si="34"/>
        <v>34574.535157449922</v>
      </c>
      <c r="BY23" s="692">
        <f t="shared" si="48"/>
        <v>151.64269805899087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25352125.333333299</v>
      </c>
      <c r="J24" s="636">
        <f t="shared" si="51"/>
        <v>5993.5555555969477</v>
      </c>
      <c r="K24" s="636">
        <f t="shared" si="19"/>
        <v>3465</v>
      </c>
      <c r="L24" s="769">
        <v>190053</v>
      </c>
      <c r="M24" s="636">
        <f t="shared" si="40"/>
        <v>1799</v>
      </c>
      <c r="N24" s="769">
        <v>224931</v>
      </c>
      <c r="O24" s="636">
        <f t="shared" si="39"/>
        <v>1666</v>
      </c>
      <c r="P24" s="769">
        <v>226456</v>
      </c>
      <c r="Q24" s="636">
        <f>IF(P24&gt;=P23,P24-P23,0)*30</f>
        <v>630</v>
      </c>
      <c r="R24" s="768">
        <v>220117</v>
      </c>
      <c r="S24" s="636">
        <f t="shared" si="49"/>
        <v>134</v>
      </c>
      <c r="T24" s="768">
        <v>401686</v>
      </c>
      <c r="U24" s="636">
        <f t="shared" si="1"/>
        <v>239</v>
      </c>
      <c r="V24" s="768">
        <v>553938</v>
      </c>
      <c r="W24" s="636">
        <f t="shared" si="52"/>
        <v>1786.63</v>
      </c>
      <c r="X24" s="769">
        <v>763680</v>
      </c>
      <c r="Y24" s="636">
        <f t="shared" si="3"/>
        <v>2884.26</v>
      </c>
      <c r="Z24" s="769">
        <v>762604</v>
      </c>
      <c r="AA24" s="636">
        <f t="shared" si="4"/>
        <v>0</v>
      </c>
      <c r="AB24" s="768">
        <v>95505</v>
      </c>
      <c r="AC24" s="636">
        <f t="shared" si="33"/>
        <v>109.18</v>
      </c>
      <c r="AD24" s="768">
        <v>860820</v>
      </c>
      <c r="AE24" s="636">
        <f t="shared" si="20"/>
        <v>11.66</v>
      </c>
      <c r="AF24" s="768">
        <v>1008613</v>
      </c>
      <c r="AG24" s="636">
        <f t="shared" si="42"/>
        <v>10.600000000000001</v>
      </c>
      <c r="AH24" s="769">
        <v>382428</v>
      </c>
      <c r="AI24" s="636">
        <f t="shared" si="6"/>
        <v>863.90000000000009</v>
      </c>
      <c r="AJ24" s="769">
        <v>300787</v>
      </c>
      <c r="AK24" s="636">
        <f t="shared" si="45"/>
        <v>2886.38</v>
      </c>
      <c r="AL24" s="768">
        <v>558347</v>
      </c>
      <c r="AM24" s="636">
        <f t="shared" si="8"/>
        <v>104.94000000000001</v>
      </c>
      <c r="AN24" s="636">
        <f t="shared" si="21"/>
        <v>8657.5500000000011</v>
      </c>
      <c r="AO24" s="768">
        <v>8093365</v>
      </c>
      <c r="AP24" s="636">
        <f t="shared" si="22"/>
        <v>219.9375</v>
      </c>
      <c r="AQ24" s="769">
        <v>740918</v>
      </c>
      <c r="AR24" s="636">
        <f t="shared" si="9"/>
        <v>157</v>
      </c>
      <c r="AS24" s="769">
        <v>7804</v>
      </c>
      <c r="AT24" s="636">
        <f t="shared" si="23"/>
        <v>200</v>
      </c>
      <c r="AU24" s="768">
        <v>824061</v>
      </c>
      <c r="AV24" s="636">
        <f t="shared" si="10"/>
        <v>50</v>
      </c>
      <c r="AW24" s="768">
        <v>2843196</v>
      </c>
      <c r="AX24" s="636">
        <f t="shared" si="11"/>
        <v>751</v>
      </c>
      <c r="AY24" s="769">
        <v>231053</v>
      </c>
      <c r="AZ24" s="636">
        <f t="shared" si="47"/>
        <v>10</v>
      </c>
      <c r="BA24" s="768">
        <v>20582750</v>
      </c>
      <c r="BB24" s="636">
        <f t="shared" si="13"/>
        <v>4776</v>
      </c>
      <c r="BC24" s="768">
        <v>629244</v>
      </c>
      <c r="BD24" s="636">
        <f t="shared" si="13"/>
        <v>253</v>
      </c>
      <c r="BE24" s="768">
        <v>42816</v>
      </c>
      <c r="BF24" s="636">
        <f t="shared" si="13"/>
        <v>65</v>
      </c>
      <c r="BG24" s="769">
        <v>25854505</v>
      </c>
      <c r="BH24" s="636">
        <f t="shared" si="24"/>
        <v>5859.1</v>
      </c>
      <c r="BI24" s="636">
        <f t="shared" si="25"/>
        <v>12341.0375</v>
      </c>
      <c r="BJ24" s="636">
        <f t="shared" si="26"/>
        <v>20998.587500000001</v>
      </c>
      <c r="BK24" s="769">
        <v>1485424</v>
      </c>
      <c r="BL24" s="636">
        <f t="shared" si="14"/>
        <v>207</v>
      </c>
      <c r="BM24" s="769">
        <v>4254987</v>
      </c>
      <c r="BN24" s="636">
        <f t="shared" si="15"/>
        <v>1321</v>
      </c>
      <c r="BO24" s="768">
        <v>444513</v>
      </c>
      <c r="BP24" s="636">
        <f t="shared" si="16"/>
        <v>101</v>
      </c>
      <c r="BQ24" s="769">
        <v>556339</v>
      </c>
      <c r="BR24" s="636">
        <f t="shared" si="41"/>
        <v>134</v>
      </c>
      <c r="BS24" s="692">
        <f t="shared" si="27"/>
        <v>27622.143055596949</v>
      </c>
      <c r="BT24" s="693">
        <v>203</v>
      </c>
      <c r="BU24" s="692">
        <f t="shared" si="50"/>
        <v>136.06967022461552</v>
      </c>
      <c r="BV24" s="693"/>
      <c r="BW24" s="692" t="e">
        <f t="shared" si="29"/>
        <v>#DIV/0!</v>
      </c>
      <c r="BX24" s="692">
        <f t="shared" si="34"/>
        <v>32048.964513936487</v>
      </c>
      <c r="BY24" s="692">
        <f t="shared" si="48"/>
        <v>157.87667248244574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25358070</v>
      </c>
      <c r="J25" s="636">
        <f t="shared" si="51"/>
        <v>5944.666666701436</v>
      </c>
      <c r="K25" s="636">
        <f t="shared" si="19"/>
        <v>3690</v>
      </c>
      <c r="L25" s="769">
        <v>191932</v>
      </c>
      <c r="M25" s="636">
        <f t="shared" si="40"/>
        <v>1879</v>
      </c>
      <c r="N25" s="769">
        <v>226742</v>
      </c>
      <c r="O25" s="636">
        <f t="shared" si="39"/>
        <v>1811</v>
      </c>
      <c r="P25" s="769">
        <v>226473</v>
      </c>
      <c r="Q25" s="636">
        <f t="shared" si="46"/>
        <v>510</v>
      </c>
      <c r="R25" s="768">
        <v>220260</v>
      </c>
      <c r="S25" s="636">
        <f t="shared" si="49"/>
        <v>143</v>
      </c>
      <c r="T25" s="768">
        <v>401949</v>
      </c>
      <c r="U25" s="636">
        <f t="shared" si="1"/>
        <v>263</v>
      </c>
      <c r="V25" s="768">
        <v>555227</v>
      </c>
      <c r="W25" s="636">
        <f t="shared" si="52"/>
        <v>683.17000000000007</v>
      </c>
      <c r="X25" s="769">
        <v>771431</v>
      </c>
      <c r="Y25" s="636">
        <f t="shared" si="3"/>
        <v>4108.0300000000007</v>
      </c>
      <c r="Z25" s="772">
        <v>762604</v>
      </c>
      <c r="AA25" s="636">
        <f t="shared" si="4"/>
        <v>0</v>
      </c>
      <c r="AB25" s="768">
        <v>95505</v>
      </c>
      <c r="AC25" s="636">
        <f t="shared" si="33"/>
        <v>0</v>
      </c>
      <c r="AD25" s="768">
        <v>860844</v>
      </c>
      <c r="AE25" s="636">
        <f t="shared" si="20"/>
        <v>12.72</v>
      </c>
      <c r="AF25" s="768">
        <v>1008635</v>
      </c>
      <c r="AG25" s="636">
        <f t="shared" si="42"/>
        <v>11.66</v>
      </c>
      <c r="AH25" s="769">
        <v>383558</v>
      </c>
      <c r="AI25" s="636">
        <f t="shared" si="6"/>
        <v>598.9</v>
      </c>
      <c r="AJ25" s="769">
        <v>306974</v>
      </c>
      <c r="AK25" s="636">
        <f t="shared" si="45"/>
        <v>3279.11</v>
      </c>
      <c r="AL25" s="768">
        <v>558557</v>
      </c>
      <c r="AM25" s="636">
        <f t="shared" si="8"/>
        <v>111.30000000000001</v>
      </c>
      <c r="AN25" s="636">
        <f t="shared" si="21"/>
        <v>8804.89</v>
      </c>
      <c r="AO25" s="768">
        <v>8095589</v>
      </c>
      <c r="AP25" s="636">
        <f t="shared" si="22"/>
        <v>250.20000000000002</v>
      </c>
      <c r="AQ25" s="768">
        <v>741112</v>
      </c>
      <c r="AR25" s="636">
        <f>IF(AQ25&gt;=AQ24,AQ25-AQ24,0)</f>
        <v>194</v>
      </c>
      <c r="AS25" s="769">
        <v>7986</v>
      </c>
      <c r="AT25" s="636">
        <f t="shared" si="23"/>
        <v>182</v>
      </c>
      <c r="AU25" s="768">
        <v>824116</v>
      </c>
      <c r="AV25" s="636">
        <f t="shared" si="10"/>
        <v>55</v>
      </c>
      <c r="AW25" s="769">
        <v>2843943</v>
      </c>
      <c r="AX25" s="636">
        <f t="shared" si="11"/>
        <v>747</v>
      </c>
      <c r="AY25" s="769">
        <v>231065</v>
      </c>
      <c r="AZ25" s="636">
        <f t="shared" si="47"/>
        <v>12</v>
      </c>
      <c r="BA25" s="768">
        <v>20588351</v>
      </c>
      <c r="BB25" s="636">
        <f t="shared" si="13"/>
        <v>5601</v>
      </c>
      <c r="BC25" s="768">
        <v>629540</v>
      </c>
      <c r="BD25" s="636">
        <f t="shared" si="13"/>
        <v>296</v>
      </c>
      <c r="BE25" s="768">
        <v>42892</v>
      </c>
      <c r="BF25" s="636">
        <f t="shared" si="13"/>
        <v>76</v>
      </c>
      <c r="BG25" s="769">
        <v>25861742</v>
      </c>
      <c r="BH25" s="636">
        <f t="shared" si="24"/>
        <v>6407.6</v>
      </c>
      <c r="BI25" s="636">
        <f t="shared" si="25"/>
        <v>13820.8</v>
      </c>
      <c r="BJ25" s="636">
        <f t="shared" si="26"/>
        <v>22625.69</v>
      </c>
      <c r="BK25" s="769">
        <v>1485689</v>
      </c>
      <c r="BL25" s="636">
        <f t="shared" si="14"/>
        <v>265</v>
      </c>
      <c r="BM25" s="769">
        <v>4256383</v>
      </c>
      <c r="BN25" s="636">
        <f t="shared" si="15"/>
        <v>1396</v>
      </c>
      <c r="BO25" s="707">
        <v>444629</v>
      </c>
      <c r="BP25" s="636">
        <f t="shared" si="16"/>
        <v>116</v>
      </c>
      <c r="BQ25" s="768">
        <v>556488</v>
      </c>
      <c r="BR25" s="636">
        <f t="shared" si="41"/>
        <v>149</v>
      </c>
      <c r="BS25" s="692">
        <f t="shared" si="27"/>
        <v>29080.356666701435</v>
      </c>
      <c r="BT25" s="693">
        <v>203</v>
      </c>
      <c r="BU25" s="692">
        <f t="shared" si="50"/>
        <v>143.25298850591841</v>
      </c>
      <c r="BV25" s="693"/>
      <c r="BW25" s="692" t="e">
        <f t="shared" si="29"/>
        <v>#DIV/0!</v>
      </c>
      <c r="BX25" s="692">
        <f t="shared" si="34"/>
        <v>33671.91016670665</v>
      </c>
      <c r="BY25" s="692">
        <f t="shared" si="48"/>
        <v>165.87147865372734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25364088</v>
      </c>
      <c r="J26" s="636">
        <f t="shared" si="51"/>
        <v>6018</v>
      </c>
      <c r="K26" s="636">
        <f t="shared" si="19"/>
        <v>3494</v>
      </c>
      <c r="L26" s="769">
        <v>193741</v>
      </c>
      <c r="M26" s="636">
        <f t="shared" si="40"/>
        <v>1809</v>
      </c>
      <c r="N26" s="769">
        <v>228427</v>
      </c>
      <c r="O26" s="636">
        <f t="shared" si="39"/>
        <v>1685</v>
      </c>
      <c r="P26" s="769">
        <v>226492</v>
      </c>
      <c r="Q26" s="636">
        <f t="shared" si="46"/>
        <v>570</v>
      </c>
      <c r="R26" s="768">
        <v>220395</v>
      </c>
      <c r="S26" s="636">
        <f t="shared" si="49"/>
        <v>135</v>
      </c>
      <c r="T26" s="768">
        <v>402190</v>
      </c>
      <c r="U26" s="636">
        <f t="shared" si="1"/>
        <v>241</v>
      </c>
      <c r="V26" s="768">
        <v>557705</v>
      </c>
      <c r="W26" s="636">
        <f t="shared" si="52"/>
        <v>1313.3400000000001</v>
      </c>
      <c r="X26" s="769">
        <v>778159</v>
      </c>
      <c r="Y26" s="636">
        <f t="shared" si="3"/>
        <v>3565.84</v>
      </c>
      <c r="Z26" s="768">
        <v>762618</v>
      </c>
      <c r="AA26" s="636">
        <f t="shared" si="4"/>
        <v>7.42</v>
      </c>
      <c r="AB26" s="768">
        <v>95569</v>
      </c>
      <c r="AC26" s="636">
        <f t="shared" si="33"/>
        <v>33.92</v>
      </c>
      <c r="AD26" s="768">
        <v>862430</v>
      </c>
      <c r="AE26" s="636">
        <f t="shared" si="20"/>
        <v>840.58</v>
      </c>
      <c r="AF26" s="768">
        <v>1008657</v>
      </c>
      <c r="AG26" s="636">
        <f t="shared" si="42"/>
        <v>11.66</v>
      </c>
      <c r="AH26" s="768">
        <v>384634</v>
      </c>
      <c r="AI26" s="636">
        <f t="shared" si="6"/>
        <v>570.28</v>
      </c>
      <c r="AJ26" s="768">
        <v>313057</v>
      </c>
      <c r="AK26" s="636">
        <f t="shared" si="45"/>
        <v>3223.9900000000002</v>
      </c>
      <c r="AL26" s="768">
        <v>558754</v>
      </c>
      <c r="AM26" s="636">
        <f t="shared" si="8"/>
        <v>104.41000000000001</v>
      </c>
      <c r="AN26" s="636">
        <f t="shared" si="21"/>
        <v>9671.44</v>
      </c>
      <c r="AO26" s="768">
        <v>8097421</v>
      </c>
      <c r="AP26" s="636">
        <f t="shared" si="22"/>
        <v>206.1</v>
      </c>
      <c r="AQ26" s="769">
        <v>741270</v>
      </c>
      <c r="AR26" s="636">
        <f>IF(AQ26&gt;=AQ25,AQ26-AQ25,0)</f>
        <v>158</v>
      </c>
      <c r="AS26" s="769">
        <v>8166</v>
      </c>
      <c r="AT26" s="636">
        <f t="shared" si="23"/>
        <v>180</v>
      </c>
      <c r="AU26" s="768">
        <v>824158</v>
      </c>
      <c r="AV26" s="636">
        <f t="shared" si="10"/>
        <v>42</v>
      </c>
      <c r="AW26" s="768">
        <v>2844656</v>
      </c>
      <c r="AX26" s="636">
        <f t="shared" si="11"/>
        <v>713</v>
      </c>
      <c r="AY26" s="769">
        <v>231506</v>
      </c>
      <c r="AZ26" s="636">
        <f t="shared" si="47"/>
        <v>441</v>
      </c>
      <c r="BA26" s="768">
        <v>20593686</v>
      </c>
      <c r="BB26" s="636">
        <f t="shared" si="13"/>
        <v>5335</v>
      </c>
      <c r="BC26" s="768">
        <v>629794</v>
      </c>
      <c r="BD26" s="636">
        <f t="shared" si="13"/>
        <v>254</v>
      </c>
      <c r="BE26" s="768">
        <v>42959</v>
      </c>
      <c r="BF26" s="636">
        <f t="shared" si="13"/>
        <v>67</v>
      </c>
      <c r="BG26" s="769">
        <v>25868155</v>
      </c>
      <c r="BH26" s="636">
        <f t="shared" si="24"/>
        <v>5709.0999999999995</v>
      </c>
      <c r="BI26" s="636">
        <f t="shared" si="25"/>
        <v>13105.2</v>
      </c>
      <c r="BJ26" s="636">
        <f t="shared" si="26"/>
        <v>22776.639999999999</v>
      </c>
      <c r="BK26" s="769">
        <v>1485884</v>
      </c>
      <c r="BL26" s="636">
        <f t="shared" si="14"/>
        <v>195</v>
      </c>
      <c r="BM26" s="768">
        <v>4257537</v>
      </c>
      <c r="BN26" s="636">
        <f t="shared" si="15"/>
        <v>1154</v>
      </c>
      <c r="BO26" s="768">
        <v>444737</v>
      </c>
      <c r="BP26" s="636">
        <f t="shared" si="16"/>
        <v>108</v>
      </c>
      <c r="BQ26" s="768">
        <v>556624</v>
      </c>
      <c r="BR26" s="636">
        <f t="shared" si="41"/>
        <v>136</v>
      </c>
      <c r="BS26" s="692">
        <f t="shared" si="27"/>
        <v>29364.639999999999</v>
      </c>
      <c r="BT26" s="693">
        <v>202</v>
      </c>
      <c r="BU26" s="692">
        <f t="shared" si="50"/>
        <v>145.36950495049504</v>
      </c>
      <c r="BV26" s="693"/>
      <c r="BW26" s="692" t="e">
        <f t="shared" si="29"/>
        <v>#DIV/0!</v>
      </c>
      <c r="BX26" s="692">
        <f t="shared" si="34"/>
        <v>34025.835999999996</v>
      </c>
      <c r="BY26" s="692">
        <f t="shared" si="48"/>
        <v>168.44473267326731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25369996</v>
      </c>
      <c r="J27" s="636">
        <f t="shared" si="51"/>
        <v>5908</v>
      </c>
      <c r="K27" s="636">
        <f t="shared" si="19"/>
        <v>3268</v>
      </c>
      <c r="L27" s="769">
        <v>195484</v>
      </c>
      <c r="M27" s="636">
        <f t="shared" si="40"/>
        <v>1743</v>
      </c>
      <c r="N27" s="769">
        <v>229952</v>
      </c>
      <c r="O27" s="636">
        <f t="shared" si="39"/>
        <v>1525</v>
      </c>
      <c r="P27" s="769">
        <v>226511</v>
      </c>
      <c r="Q27" s="636">
        <f>IF(P27&gt;=P26,P27-P26,0)*30</f>
        <v>570</v>
      </c>
      <c r="R27" s="768">
        <v>220529</v>
      </c>
      <c r="S27" s="636">
        <f>IF(R27&gt;=R26,R27-R26,0)</f>
        <v>134</v>
      </c>
      <c r="T27" s="768">
        <v>402341</v>
      </c>
      <c r="U27" s="636">
        <f t="shared" si="1"/>
        <v>151</v>
      </c>
      <c r="V27" s="768">
        <v>560431</v>
      </c>
      <c r="W27" s="636">
        <f t="shared" si="52"/>
        <v>1444.78</v>
      </c>
      <c r="X27" s="769">
        <v>785198</v>
      </c>
      <c r="Y27" s="636">
        <f t="shared" si="3"/>
        <v>3730.67</v>
      </c>
      <c r="Z27" s="768">
        <v>762618</v>
      </c>
      <c r="AA27" s="636">
        <f t="shared" si="4"/>
        <v>0</v>
      </c>
      <c r="AB27" s="768">
        <v>95569</v>
      </c>
      <c r="AC27" s="636">
        <f t="shared" si="33"/>
        <v>0</v>
      </c>
      <c r="AD27" s="768">
        <v>862450</v>
      </c>
      <c r="AE27" s="636">
        <f t="shared" si="20"/>
        <v>10.600000000000001</v>
      </c>
      <c r="AF27" s="768">
        <v>1008676</v>
      </c>
      <c r="AG27" s="636">
        <f t="shared" si="42"/>
        <v>10.07</v>
      </c>
      <c r="AH27" s="769">
        <v>385279</v>
      </c>
      <c r="AI27" s="636">
        <f t="shared" si="6"/>
        <v>341.85</v>
      </c>
      <c r="AJ27" s="768">
        <v>318571</v>
      </c>
      <c r="AK27" s="636">
        <f t="shared" si="45"/>
        <v>2922.42</v>
      </c>
      <c r="AL27" s="768">
        <v>558950</v>
      </c>
      <c r="AM27" s="636">
        <f t="shared" si="8"/>
        <v>103.88000000000001</v>
      </c>
      <c r="AN27" s="636">
        <f t="shared" si="21"/>
        <v>8564.2699999999986</v>
      </c>
      <c r="AO27" s="768">
        <v>8099501</v>
      </c>
      <c r="AP27" s="636">
        <f t="shared" si="22"/>
        <v>234</v>
      </c>
      <c r="AQ27" s="768">
        <v>741414</v>
      </c>
      <c r="AR27" s="636">
        <f>IF(AQ27&gt;=AQ26,AQ27-AQ26,0)</f>
        <v>144</v>
      </c>
      <c r="AS27" s="769">
        <v>8368</v>
      </c>
      <c r="AT27" s="636">
        <f t="shared" si="23"/>
        <v>202</v>
      </c>
      <c r="AU27" s="768">
        <v>824193</v>
      </c>
      <c r="AV27" s="636">
        <f t="shared" si="10"/>
        <v>35</v>
      </c>
      <c r="AW27" s="768">
        <v>2845432</v>
      </c>
      <c r="AX27" s="636">
        <f t="shared" si="11"/>
        <v>776</v>
      </c>
      <c r="AY27" s="769">
        <v>231517</v>
      </c>
      <c r="AZ27" s="636">
        <f t="shared" si="47"/>
        <v>11</v>
      </c>
      <c r="BA27" s="768">
        <v>20598794</v>
      </c>
      <c r="BB27" s="636">
        <f t="shared" si="13"/>
        <v>5108</v>
      </c>
      <c r="BC27" s="768">
        <v>630050</v>
      </c>
      <c r="BD27" s="636">
        <f t="shared" si="13"/>
        <v>256</v>
      </c>
      <c r="BE27" s="768">
        <v>43029</v>
      </c>
      <c r="BF27" s="636">
        <f t="shared" si="13"/>
        <v>70</v>
      </c>
      <c r="BG27" s="769">
        <v>25874513</v>
      </c>
      <c r="BH27" s="636">
        <f t="shared" si="24"/>
        <v>5632.6</v>
      </c>
      <c r="BI27" s="636">
        <f t="shared" si="25"/>
        <v>12468.6</v>
      </c>
      <c r="BJ27" s="636">
        <f t="shared" si="26"/>
        <v>21032.87</v>
      </c>
      <c r="BK27" s="769">
        <v>1486104</v>
      </c>
      <c r="BL27" s="636">
        <f t="shared" si="14"/>
        <v>220</v>
      </c>
      <c r="BM27" s="768">
        <v>4258734</v>
      </c>
      <c r="BN27" s="636">
        <f t="shared" si="15"/>
        <v>1197</v>
      </c>
      <c r="BO27" s="768">
        <v>444852</v>
      </c>
      <c r="BP27" s="636">
        <f t="shared" si="16"/>
        <v>115</v>
      </c>
      <c r="BQ27" s="769">
        <v>556759</v>
      </c>
      <c r="BR27" s="636">
        <f t="shared" si="41"/>
        <v>135</v>
      </c>
      <c r="BS27" s="692">
        <f t="shared" si="27"/>
        <v>27510.87</v>
      </c>
      <c r="BT27" s="693">
        <v>237</v>
      </c>
      <c r="BU27" s="692">
        <f t="shared" si="50"/>
        <v>116.07962025316455</v>
      </c>
      <c r="BV27" s="693"/>
      <c r="BW27" s="692" t="e">
        <f t="shared" si="29"/>
        <v>#DIV/0!</v>
      </c>
      <c r="BX27" s="692">
        <f t="shared" si="34"/>
        <v>31894.000499999995</v>
      </c>
      <c r="BY27" s="692">
        <f t="shared" si="48"/>
        <v>134.57384177215187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25376069</v>
      </c>
      <c r="J28" s="636">
        <f t="shared" si="51"/>
        <v>6073</v>
      </c>
      <c r="K28" s="636">
        <f t="shared" si="19"/>
        <v>3361</v>
      </c>
      <c r="L28" s="769">
        <v>197354</v>
      </c>
      <c r="M28" s="636">
        <f t="shared" si="40"/>
        <v>1870</v>
      </c>
      <c r="N28" s="769">
        <v>231443</v>
      </c>
      <c r="O28" s="636">
        <f t="shared" si="0"/>
        <v>1491</v>
      </c>
      <c r="P28" s="769">
        <v>226530</v>
      </c>
      <c r="Q28" s="636">
        <f t="shared" si="46"/>
        <v>570</v>
      </c>
      <c r="R28" s="768">
        <v>220669</v>
      </c>
      <c r="S28" s="636">
        <f>IF(R28&gt;=R27,R28-R27,0)</f>
        <v>140</v>
      </c>
      <c r="T28" s="768">
        <v>402678</v>
      </c>
      <c r="U28" s="636">
        <f>IF(T28&gt;=T27,T28-T27,0)</f>
        <v>337</v>
      </c>
      <c r="V28" s="768">
        <v>564448</v>
      </c>
      <c r="W28" s="636">
        <f t="shared" si="52"/>
        <v>2129.0100000000002</v>
      </c>
      <c r="X28" s="769">
        <v>792162</v>
      </c>
      <c r="Y28" s="636">
        <f t="shared" si="3"/>
        <v>3690.92</v>
      </c>
      <c r="Z28" s="768">
        <v>762618</v>
      </c>
      <c r="AA28" s="636">
        <f t="shared" si="4"/>
        <v>0</v>
      </c>
      <c r="AB28" s="768">
        <v>95569</v>
      </c>
      <c r="AC28" s="636">
        <f t="shared" si="33"/>
        <v>0</v>
      </c>
      <c r="AD28" s="768">
        <v>862473</v>
      </c>
      <c r="AE28" s="636">
        <f t="shared" si="20"/>
        <v>12.190000000000001</v>
      </c>
      <c r="AF28" s="768">
        <v>1008697</v>
      </c>
      <c r="AG28" s="636">
        <f t="shared" si="42"/>
        <v>11.13</v>
      </c>
      <c r="AH28" s="769">
        <v>386163</v>
      </c>
      <c r="AI28" s="636">
        <f t="shared" si="6"/>
        <v>468.52000000000004</v>
      </c>
      <c r="AJ28" s="769">
        <v>324796</v>
      </c>
      <c r="AK28" s="636">
        <f t="shared" si="45"/>
        <v>3299.25</v>
      </c>
      <c r="AL28" s="768">
        <v>559154</v>
      </c>
      <c r="AM28" s="636">
        <f t="shared" si="8"/>
        <v>108.12</v>
      </c>
      <c r="AN28" s="636">
        <f t="shared" si="21"/>
        <v>9719.1400000000012</v>
      </c>
      <c r="AO28" s="768">
        <v>8101438</v>
      </c>
      <c r="AP28" s="636">
        <f t="shared" si="22"/>
        <v>217.91249999999999</v>
      </c>
      <c r="AQ28" s="768">
        <v>741578</v>
      </c>
      <c r="AR28" s="636">
        <f>IF(AQ28&gt;=AQ27,AQ28-AQ27,0)</f>
        <v>164</v>
      </c>
      <c r="AS28" s="769">
        <v>8544</v>
      </c>
      <c r="AT28" s="636">
        <f t="shared" si="23"/>
        <v>176</v>
      </c>
      <c r="AU28" s="768">
        <v>824240</v>
      </c>
      <c r="AV28" s="636">
        <f t="shared" si="10"/>
        <v>47</v>
      </c>
      <c r="AW28" s="768">
        <v>2846266</v>
      </c>
      <c r="AX28" s="636">
        <f t="shared" si="11"/>
        <v>834</v>
      </c>
      <c r="AY28" s="768">
        <v>231528</v>
      </c>
      <c r="AZ28" s="636">
        <f t="shared" si="47"/>
        <v>11</v>
      </c>
      <c r="BA28" s="768">
        <v>20604093</v>
      </c>
      <c r="BB28" s="636">
        <f t="shared" si="13"/>
        <v>5299</v>
      </c>
      <c r="BC28" s="768">
        <v>630309</v>
      </c>
      <c r="BD28" s="636">
        <f t="shared" si="13"/>
        <v>259</v>
      </c>
      <c r="BE28" s="768">
        <v>43099</v>
      </c>
      <c r="BF28" s="636">
        <f t="shared" si="13"/>
        <v>70</v>
      </c>
      <c r="BG28" s="769">
        <v>25881099</v>
      </c>
      <c r="BH28" s="636">
        <f t="shared" si="24"/>
        <v>5862.1</v>
      </c>
      <c r="BI28" s="636">
        <f t="shared" si="25"/>
        <v>12940.012500000001</v>
      </c>
      <c r="BJ28" s="636">
        <f t="shared" si="26"/>
        <v>22659.152500000004</v>
      </c>
      <c r="BK28" s="769">
        <v>1486334</v>
      </c>
      <c r="BL28" s="636">
        <f t="shared" si="14"/>
        <v>230</v>
      </c>
      <c r="BM28" s="768">
        <v>4259924</v>
      </c>
      <c r="BN28" s="636">
        <f t="shared" si="15"/>
        <v>1190</v>
      </c>
      <c r="BO28" s="768">
        <v>444964</v>
      </c>
      <c r="BP28" s="636">
        <f t="shared" si="16"/>
        <v>112</v>
      </c>
      <c r="BQ28" s="768">
        <v>556897</v>
      </c>
      <c r="BR28" s="636">
        <f t="shared" si="41"/>
        <v>138</v>
      </c>
      <c r="BS28" s="692">
        <f t="shared" si="27"/>
        <v>29302.152500000004</v>
      </c>
      <c r="BT28" s="693">
        <v>182</v>
      </c>
      <c r="BU28" s="692">
        <f t="shared" si="50"/>
        <v>161.00083791208795</v>
      </c>
      <c r="BV28" s="693"/>
      <c r="BW28" s="692" t="e">
        <f t="shared" si="29"/>
        <v>#DIV/0!</v>
      </c>
      <c r="BX28" s="692">
        <f t="shared" si="34"/>
        <v>33953.975375000002</v>
      </c>
      <c r="BY28" s="692">
        <f t="shared" si="48"/>
        <v>186.56030425824176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25382116</v>
      </c>
      <c r="J29" s="636">
        <f t="shared" si="51"/>
        <v>6047</v>
      </c>
      <c r="K29" s="636">
        <f t="shared" si="19"/>
        <v>3431</v>
      </c>
      <c r="L29" s="769">
        <v>199331</v>
      </c>
      <c r="M29" s="636">
        <f t="shared" ref="M29:M36" si="53">IF(L29&gt;=L28,L29-L28,0)</f>
        <v>1977</v>
      </c>
      <c r="N29" s="769">
        <v>232897</v>
      </c>
      <c r="O29" s="636">
        <f t="shared" si="0"/>
        <v>1454</v>
      </c>
      <c r="P29" s="769">
        <v>226550</v>
      </c>
      <c r="Q29" s="636">
        <f t="shared" si="46"/>
        <v>600</v>
      </c>
      <c r="R29" s="768">
        <v>220810</v>
      </c>
      <c r="S29" s="636">
        <f>IF(R29&gt;=R28,R29-R28,0)</f>
        <v>141</v>
      </c>
      <c r="T29" s="768">
        <v>402934</v>
      </c>
      <c r="U29" s="636">
        <f t="shared" ref="U29:U36" si="54">IF(T29&gt;=T28,T29-T28,0)</f>
        <v>256</v>
      </c>
      <c r="V29" s="768">
        <v>565558</v>
      </c>
      <c r="W29" s="636">
        <f t="shared" si="2"/>
        <v>588.30000000000007</v>
      </c>
      <c r="X29" s="769">
        <v>799631</v>
      </c>
      <c r="Y29" s="636">
        <f t="shared" si="3"/>
        <v>3958.57</v>
      </c>
      <c r="Z29" s="768">
        <v>762618</v>
      </c>
      <c r="AA29" s="636">
        <f t="shared" si="4"/>
        <v>0</v>
      </c>
      <c r="AB29" s="768">
        <v>95569</v>
      </c>
      <c r="AC29" s="636">
        <f t="shared" si="33"/>
        <v>0</v>
      </c>
      <c r="AD29" s="768">
        <v>862495</v>
      </c>
      <c r="AE29" s="636">
        <f t="shared" si="20"/>
        <v>11.66</v>
      </c>
      <c r="AF29" s="768">
        <v>1008720</v>
      </c>
      <c r="AG29" s="636">
        <f t="shared" si="42"/>
        <v>12.190000000000001</v>
      </c>
      <c r="AH29" s="768">
        <v>387044</v>
      </c>
      <c r="AI29" s="636">
        <f t="shared" si="6"/>
        <v>466.93</v>
      </c>
      <c r="AJ29" s="768">
        <v>331109</v>
      </c>
      <c r="AK29" s="636">
        <f t="shared" si="45"/>
        <v>3345.8900000000003</v>
      </c>
      <c r="AL29" s="768">
        <v>559369</v>
      </c>
      <c r="AM29" s="636">
        <f t="shared" si="8"/>
        <v>113.95</v>
      </c>
      <c r="AN29" s="636">
        <f t="shared" si="21"/>
        <v>8497.4900000000016</v>
      </c>
      <c r="AO29" s="768">
        <v>8103595</v>
      </c>
      <c r="AP29" s="636">
        <f t="shared" si="22"/>
        <v>242.66249999999999</v>
      </c>
      <c r="AQ29" s="768">
        <v>741983</v>
      </c>
      <c r="AR29" s="636">
        <f t="shared" si="9"/>
        <v>405</v>
      </c>
      <c r="AS29" s="768">
        <v>8724</v>
      </c>
      <c r="AT29" s="636">
        <f t="shared" si="23"/>
        <v>180</v>
      </c>
      <c r="AU29" s="768">
        <v>824290</v>
      </c>
      <c r="AV29" s="636">
        <f t="shared" si="10"/>
        <v>50</v>
      </c>
      <c r="AW29" s="768">
        <v>2847101</v>
      </c>
      <c r="AX29" s="636">
        <f t="shared" si="11"/>
        <v>835</v>
      </c>
      <c r="AY29" s="768">
        <v>231539</v>
      </c>
      <c r="AZ29" s="636">
        <f t="shared" si="47"/>
        <v>11</v>
      </c>
      <c r="BA29" s="768">
        <v>20609778</v>
      </c>
      <c r="BB29" s="636">
        <f t="shared" si="13"/>
        <v>5685</v>
      </c>
      <c r="BC29" s="768">
        <v>630570</v>
      </c>
      <c r="BD29" s="636">
        <f t="shared" si="13"/>
        <v>261</v>
      </c>
      <c r="BE29" s="768">
        <v>43169</v>
      </c>
      <c r="BF29" s="636">
        <f t="shared" si="13"/>
        <v>70</v>
      </c>
      <c r="BG29" s="769">
        <v>25887460</v>
      </c>
      <c r="BH29" s="636">
        <f t="shared" si="24"/>
        <v>5698.2</v>
      </c>
      <c r="BI29" s="636">
        <f t="shared" si="25"/>
        <v>13437.862499999999</v>
      </c>
      <c r="BJ29" s="636">
        <f t="shared" si="26"/>
        <v>21935.352500000001</v>
      </c>
      <c r="BK29" s="769">
        <v>1486566</v>
      </c>
      <c r="BL29" s="636">
        <f t="shared" si="14"/>
        <v>232</v>
      </c>
      <c r="BM29" s="768">
        <v>4261020</v>
      </c>
      <c r="BN29" s="636">
        <f t="shared" si="15"/>
        <v>1096</v>
      </c>
      <c r="BO29" s="807">
        <v>445072</v>
      </c>
      <c r="BP29" s="636">
        <f t="shared" si="16"/>
        <v>108</v>
      </c>
      <c r="BQ29" s="769">
        <v>557018</v>
      </c>
      <c r="BR29" s="636">
        <f t="shared" si="41"/>
        <v>121</v>
      </c>
      <c r="BS29" s="692">
        <f t="shared" si="27"/>
        <v>28582.352500000001</v>
      </c>
      <c r="BT29" s="693">
        <v>212</v>
      </c>
      <c r="BU29" s="692">
        <f t="shared" si="50"/>
        <v>134.82241745283019</v>
      </c>
      <c r="BV29" s="693"/>
      <c r="BW29" s="692" t="e">
        <f t="shared" si="29"/>
        <v>#DIV/0!</v>
      </c>
      <c r="BX29" s="692">
        <f t="shared" si="34"/>
        <v>33139.705374999998</v>
      </c>
      <c r="BY29" s="692">
        <f t="shared" si="48"/>
        <v>156.31936497641507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25388191</v>
      </c>
      <c r="J30" s="636">
        <f t="shared" si="51"/>
        <v>6075</v>
      </c>
      <c r="K30" s="636">
        <f t="shared" si="19"/>
        <v>3601</v>
      </c>
      <c r="L30" s="769">
        <v>201300</v>
      </c>
      <c r="M30" s="636">
        <f t="shared" si="53"/>
        <v>1969</v>
      </c>
      <c r="N30" s="769">
        <v>234529</v>
      </c>
      <c r="O30" s="636">
        <f t="shared" si="0"/>
        <v>1632</v>
      </c>
      <c r="P30" s="769">
        <v>226569</v>
      </c>
      <c r="Q30" s="636">
        <f t="shared" si="46"/>
        <v>570</v>
      </c>
      <c r="R30" s="768">
        <v>220954</v>
      </c>
      <c r="S30" s="636">
        <f>IF(R30&gt;=R29,R30-R29,0)</f>
        <v>144</v>
      </c>
      <c r="T30" s="768">
        <v>403188</v>
      </c>
      <c r="U30" s="636">
        <f t="shared" si="54"/>
        <v>254</v>
      </c>
      <c r="V30" s="768">
        <v>568426</v>
      </c>
      <c r="W30" s="636">
        <f>IF(V30&gt;=V29,V30-V29,0)*0.53</f>
        <v>1520.04</v>
      </c>
      <c r="X30" s="769">
        <v>801657</v>
      </c>
      <c r="Y30" s="636">
        <f t="shared" si="3"/>
        <v>1073.78</v>
      </c>
      <c r="Z30" s="768">
        <v>767527</v>
      </c>
      <c r="AA30" s="636">
        <f t="shared" si="4"/>
        <v>2601.77</v>
      </c>
      <c r="AB30" s="768">
        <v>95569</v>
      </c>
      <c r="AC30" s="636">
        <f t="shared" si="33"/>
        <v>0</v>
      </c>
      <c r="AD30" s="768">
        <v>862519</v>
      </c>
      <c r="AE30" s="636">
        <f t="shared" si="20"/>
        <v>12.72</v>
      </c>
      <c r="AF30" s="768">
        <v>1008740</v>
      </c>
      <c r="AG30" s="636">
        <f t="shared" si="42"/>
        <v>10.600000000000001</v>
      </c>
      <c r="AH30" s="768">
        <v>388096</v>
      </c>
      <c r="AI30" s="636">
        <f t="shared" si="6"/>
        <v>557.56000000000006</v>
      </c>
      <c r="AJ30" s="768">
        <v>337502</v>
      </c>
      <c r="AK30" s="636">
        <f t="shared" si="45"/>
        <v>3388.29</v>
      </c>
      <c r="AL30" s="768">
        <v>559579</v>
      </c>
      <c r="AM30" s="636">
        <f t="shared" si="8"/>
        <v>111.30000000000001</v>
      </c>
      <c r="AN30" s="636">
        <f t="shared" si="21"/>
        <v>9276.0600000000013</v>
      </c>
      <c r="AO30" s="707">
        <v>8105774</v>
      </c>
      <c r="AP30" s="636">
        <f t="shared" si="22"/>
        <v>245.13750000000002</v>
      </c>
      <c r="AQ30" s="769">
        <v>742377</v>
      </c>
      <c r="AR30" s="636">
        <f t="shared" si="9"/>
        <v>394</v>
      </c>
      <c r="AS30" s="768">
        <v>8894</v>
      </c>
      <c r="AT30" s="636">
        <f t="shared" si="23"/>
        <v>170</v>
      </c>
      <c r="AU30" s="768">
        <v>824339</v>
      </c>
      <c r="AV30" s="636">
        <f t="shared" si="10"/>
        <v>49</v>
      </c>
      <c r="AW30" s="768">
        <v>2847916</v>
      </c>
      <c r="AX30" s="636">
        <f t="shared" si="11"/>
        <v>815</v>
      </c>
      <c r="AY30" s="768">
        <v>231550</v>
      </c>
      <c r="AZ30" s="636">
        <f t="shared" si="47"/>
        <v>11</v>
      </c>
      <c r="BA30" s="768">
        <v>20614647</v>
      </c>
      <c r="BB30" s="636">
        <f t="shared" si="13"/>
        <v>4869</v>
      </c>
      <c r="BC30" s="768">
        <v>630804</v>
      </c>
      <c r="BD30" s="636">
        <f t="shared" si="13"/>
        <v>234</v>
      </c>
      <c r="BE30" s="768">
        <v>43239</v>
      </c>
      <c r="BF30" s="636">
        <f t="shared" si="13"/>
        <v>70</v>
      </c>
      <c r="BG30" s="769">
        <v>25893812</v>
      </c>
      <c r="BH30" s="636">
        <f t="shared" si="24"/>
        <v>5687.5999999999995</v>
      </c>
      <c r="BI30" s="636">
        <f t="shared" si="25"/>
        <v>12544.737499999999</v>
      </c>
      <c r="BJ30" s="636">
        <f t="shared" si="26"/>
        <v>21820.797500000001</v>
      </c>
      <c r="BK30" s="769">
        <v>1486800</v>
      </c>
      <c r="BL30" s="636">
        <f t="shared" si="14"/>
        <v>234</v>
      </c>
      <c r="BM30" s="768">
        <v>4262063</v>
      </c>
      <c r="BN30" s="805">
        <f t="shared" si="15"/>
        <v>1043</v>
      </c>
      <c r="BO30" s="803">
        <v>445181</v>
      </c>
      <c r="BP30" s="806">
        <f t="shared" si="16"/>
        <v>109</v>
      </c>
      <c r="BQ30" s="768">
        <v>557164</v>
      </c>
      <c r="BR30" s="636">
        <f t="shared" si="41"/>
        <v>146</v>
      </c>
      <c r="BS30" s="692">
        <f t="shared" si="27"/>
        <v>28465.797500000001</v>
      </c>
      <c r="BT30" s="693">
        <v>188</v>
      </c>
      <c r="BU30" s="692">
        <f t="shared" si="50"/>
        <v>151.41381648936169</v>
      </c>
      <c r="BV30" s="693"/>
      <c r="BW30" s="692" t="e">
        <f t="shared" si="29"/>
        <v>#DIV/0!</v>
      </c>
      <c r="BX30" s="692">
        <f t="shared" si="34"/>
        <v>32992.167125</v>
      </c>
      <c r="BY30" s="692">
        <f t="shared" si="48"/>
        <v>175.49025066489361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25394299</v>
      </c>
      <c r="J31" s="636">
        <f t="shared" si="51"/>
        <v>6108</v>
      </c>
      <c r="K31" s="636">
        <f t="shared" si="19"/>
        <v>3489</v>
      </c>
      <c r="L31" s="769">
        <v>203233</v>
      </c>
      <c r="M31" s="636">
        <f t="shared" si="53"/>
        <v>1933</v>
      </c>
      <c r="N31" s="769">
        <v>236085</v>
      </c>
      <c r="O31" s="636">
        <f t="shared" si="0"/>
        <v>1556</v>
      </c>
      <c r="P31" s="769">
        <v>226589</v>
      </c>
      <c r="Q31" s="636">
        <f t="shared" si="46"/>
        <v>600</v>
      </c>
      <c r="R31" s="768">
        <v>221096</v>
      </c>
      <c r="S31" s="636">
        <f t="shared" si="49"/>
        <v>142</v>
      </c>
      <c r="T31" s="768">
        <v>403437</v>
      </c>
      <c r="U31" s="636">
        <f t="shared" si="54"/>
        <v>249</v>
      </c>
      <c r="V31" s="768">
        <v>572063</v>
      </c>
      <c r="W31" s="636">
        <f>IF(V31&gt;=V30,V31-V30,0)*0.53</f>
        <v>1927.6100000000001</v>
      </c>
      <c r="X31" s="769">
        <v>801657</v>
      </c>
      <c r="Y31" s="636">
        <f t="shared" si="3"/>
        <v>0</v>
      </c>
      <c r="Z31" s="768">
        <v>774063</v>
      </c>
      <c r="AA31" s="636">
        <f t="shared" si="4"/>
        <v>3464.0800000000004</v>
      </c>
      <c r="AB31" s="768">
        <v>95569</v>
      </c>
      <c r="AC31" s="636">
        <f t="shared" si="33"/>
        <v>0</v>
      </c>
      <c r="AD31" s="768">
        <v>862542</v>
      </c>
      <c r="AE31" s="636">
        <f t="shared" si="20"/>
        <v>12.190000000000001</v>
      </c>
      <c r="AF31" s="768">
        <v>1008761</v>
      </c>
      <c r="AG31" s="636">
        <f t="shared" si="42"/>
        <v>11.13</v>
      </c>
      <c r="AH31" s="769">
        <v>389419</v>
      </c>
      <c r="AI31" s="636">
        <f t="shared" si="6"/>
        <v>701.19</v>
      </c>
      <c r="AJ31" s="769">
        <v>343917</v>
      </c>
      <c r="AK31" s="636">
        <f t="shared" si="45"/>
        <v>3399.9500000000003</v>
      </c>
      <c r="AL31" s="768">
        <v>559780</v>
      </c>
      <c r="AM31" s="636">
        <f t="shared" si="8"/>
        <v>106.53</v>
      </c>
      <c r="AN31" s="636">
        <f t="shared" si="21"/>
        <v>9622.6800000000021</v>
      </c>
      <c r="AO31" s="768">
        <v>8108065</v>
      </c>
      <c r="AP31" s="636">
        <f t="shared" si="22"/>
        <v>257.73750000000001</v>
      </c>
      <c r="AQ31" s="768">
        <v>742659</v>
      </c>
      <c r="AR31" s="636">
        <f t="shared" si="9"/>
        <v>282</v>
      </c>
      <c r="AS31" s="768">
        <v>9048</v>
      </c>
      <c r="AT31" s="636">
        <f t="shared" si="23"/>
        <v>154</v>
      </c>
      <c r="AU31" s="768">
        <v>824384</v>
      </c>
      <c r="AV31" s="636">
        <f t="shared" si="10"/>
        <v>45</v>
      </c>
      <c r="AW31" s="768">
        <v>2848806</v>
      </c>
      <c r="AX31" s="636">
        <f t="shared" si="11"/>
        <v>890</v>
      </c>
      <c r="AY31" s="769">
        <v>231561</v>
      </c>
      <c r="AZ31" s="636">
        <f t="shared" si="47"/>
        <v>11</v>
      </c>
      <c r="BA31" s="768">
        <v>20619915</v>
      </c>
      <c r="BB31" s="636">
        <f t="shared" si="13"/>
        <v>5268</v>
      </c>
      <c r="BC31" s="768">
        <v>631076</v>
      </c>
      <c r="BD31" s="636">
        <f t="shared" si="13"/>
        <v>272</v>
      </c>
      <c r="BE31" s="768">
        <v>43309</v>
      </c>
      <c r="BF31" s="636">
        <f t="shared" si="13"/>
        <v>70</v>
      </c>
      <c r="BG31" s="768">
        <v>25900284</v>
      </c>
      <c r="BH31" s="636">
        <f t="shared" si="24"/>
        <v>5796.8</v>
      </c>
      <c r="BI31" s="636">
        <f t="shared" si="25"/>
        <v>13046.5375</v>
      </c>
      <c r="BJ31" s="636">
        <f t="shared" si="26"/>
        <v>22669.217500000002</v>
      </c>
      <c r="BK31" s="769">
        <v>1487031</v>
      </c>
      <c r="BL31" s="636">
        <f t="shared" si="14"/>
        <v>231</v>
      </c>
      <c r="BM31" s="769">
        <v>4263170</v>
      </c>
      <c r="BN31" s="805">
        <f t="shared" si="15"/>
        <v>1107</v>
      </c>
      <c r="BO31" s="804">
        <v>445290</v>
      </c>
      <c r="BP31" s="806">
        <f t="shared" si="16"/>
        <v>109</v>
      </c>
      <c r="BQ31" s="768">
        <v>557292</v>
      </c>
      <c r="BR31" s="636">
        <f t="shared" si="41"/>
        <v>128</v>
      </c>
      <c r="BS31" s="692">
        <f t="shared" si="27"/>
        <v>29377.217500000002</v>
      </c>
      <c r="BT31" s="693">
        <v>219</v>
      </c>
      <c r="BU31" s="692">
        <f t="shared" si="50"/>
        <v>134.14254566210047</v>
      </c>
      <c r="BV31" s="693"/>
      <c r="BW31" s="692" t="e">
        <f t="shared" si="29"/>
        <v>#DIV/0!</v>
      </c>
      <c r="BX31" s="692">
        <f t="shared" si="34"/>
        <v>34053.800125000002</v>
      </c>
      <c r="BY31" s="692">
        <f t="shared" si="48"/>
        <v>155.49680422374431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25400044</v>
      </c>
      <c r="J32" s="636">
        <f t="shared" si="18"/>
        <v>5745</v>
      </c>
      <c r="K32" s="636">
        <f t="shared" si="19"/>
        <v>3491</v>
      </c>
      <c r="L32" s="769">
        <v>205069</v>
      </c>
      <c r="M32" s="636">
        <f t="shared" si="53"/>
        <v>1836</v>
      </c>
      <c r="N32" s="769">
        <v>237740</v>
      </c>
      <c r="O32" s="636">
        <f t="shared" si="0"/>
        <v>1655</v>
      </c>
      <c r="P32" s="769">
        <v>226608</v>
      </c>
      <c r="Q32" s="636">
        <f t="shared" si="46"/>
        <v>570</v>
      </c>
      <c r="R32" s="768">
        <v>221236</v>
      </c>
      <c r="S32" s="636">
        <f t="shared" si="49"/>
        <v>140</v>
      </c>
      <c r="T32" s="768">
        <v>403668</v>
      </c>
      <c r="U32" s="636">
        <f t="shared" si="54"/>
        <v>231</v>
      </c>
      <c r="V32" s="768">
        <v>575813</v>
      </c>
      <c r="W32" s="636">
        <f>IF(V32&gt;=V31,V32-V31,0)*0.53</f>
        <v>1987.5</v>
      </c>
      <c r="X32" s="769">
        <v>801657</v>
      </c>
      <c r="Y32" s="636">
        <f t="shared" si="3"/>
        <v>0</v>
      </c>
      <c r="Z32" s="768">
        <v>781104</v>
      </c>
      <c r="AA32" s="636">
        <f t="shared" si="4"/>
        <v>3731.73</v>
      </c>
      <c r="AB32" s="768">
        <v>95569</v>
      </c>
      <c r="AC32" s="636">
        <f t="shared" si="33"/>
        <v>0</v>
      </c>
      <c r="AD32" s="768">
        <v>862565</v>
      </c>
      <c r="AE32" s="636">
        <f t="shared" si="20"/>
        <v>12.190000000000001</v>
      </c>
      <c r="AF32" s="768">
        <v>1008783</v>
      </c>
      <c r="AG32" s="636">
        <f t="shared" si="42"/>
        <v>11.66</v>
      </c>
      <c r="AH32" s="768">
        <v>391068</v>
      </c>
      <c r="AI32" s="636">
        <f t="shared" si="6"/>
        <v>873.97</v>
      </c>
      <c r="AJ32" s="768">
        <v>350501</v>
      </c>
      <c r="AK32" s="636">
        <f t="shared" si="45"/>
        <v>3489.52</v>
      </c>
      <c r="AL32" s="768">
        <v>559991</v>
      </c>
      <c r="AM32" s="636">
        <f t="shared" si="8"/>
        <v>111.83000000000001</v>
      </c>
      <c r="AN32" s="636">
        <f t="shared" si="21"/>
        <v>10218.4</v>
      </c>
      <c r="AO32" s="768">
        <v>8110149</v>
      </c>
      <c r="AP32" s="636">
        <f t="shared" si="22"/>
        <v>234.45000000000002</v>
      </c>
      <c r="AQ32" s="769">
        <v>742847</v>
      </c>
      <c r="AR32" s="636">
        <f t="shared" si="9"/>
        <v>188</v>
      </c>
      <c r="AS32" s="768">
        <v>9216</v>
      </c>
      <c r="AT32" s="636">
        <f t="shared" si="23"/>
        <v>168</v>
      </c>
      <c r="AU32" s="768">
        <v>824434</v>
      </c>
      <c r="AV32" s="636">
        <f t="shared" si="10"/>
        <v>50</v>
      </c>
      <c r="AW32" s="768">
        <v>2849844</v>
      </c>
      <c r="AX32" s="636">
        <f t="shared" si="11"/>
        <v>1038</v>
      </c>
      <c r="AY32" s="769">
        <v>231571</v>
      </c>
      <c r="AZ32" s="636">
        <f t="shared" si="47"/>
        <v>10</v>
      </c>
      <c r="BA32" s="768">
        <v>20624918</v>
      </c>
      <c r="BB32" s="636">
        <f t="shared" si="13"/>
        <v>5003</v>
      </c>
      <c r="BC32" s="768">
        <v>631372</v>
      </c>
      <c r="BD32" s="636">
        <f t="shared" si="13"/>
        <v>296</v>
      </c>
      <c r="BE32" s="768">
        <v>43379</v>
      </c>
      <c r="BF32" s="636">
        <f t="shared" si="13"/>
        <v>70</v>
      </c>
      <c r="BG32" s="769">
        <v>25906951</v>
      </c>
      <c r="BH32" s="636">
        <f t="shared" si="24"/>
        <v>5963.3</v>
      </c>
      <c r="BI32" s="636">
        <f t="shared" si="25"/>
        <v>13020.75</v>
      </c>
      <c r="BJ32" s="636">
        <f t="shared" si="26"/>
        <v>23239.15</v>
      </c>
      <c r="BK32" s="769">
        <v>1487264</v>
      </c>
      <c r="BL32" s="636">
        <f t="shared" si="14"/>
        <v>233</v>
      </c>
      <c r="BM32" s="769">
        <v>4264307</v>
      </c>
      <c r="BN32" s="805">
        <f t="shared" si="15"/>
        <v>1137</v>
      </c>
      <c r="BO32" s="804">
        <v>445399</v>
      </c>
      <c r="BP32" s="806">
        <f t="shared" si="16"/>
        <v>109</v>
      </c>
      <c r="BQ32" s="768">
        <v>557435</v>
      </c>
      <c r="BR32" s="636">
        <f t="shared" si="41"/>
        <v>143</v>
      </c>
      <c r="BS32" s="692">
        <f t="shared" si="27"/>
        <v>29554.15</v>
      </c>
      <c r="BT32" s="693">
        <v>212</v>
      </c>
      <c r="BU32" s="692">
        <f t="shared" si="50"/>
        <v>139.4063679245283</v>
      </c>
      <c r="BV32" s="695"/>
      <c r="BW32" s="692" t="e">
        <f t="shared" si="29"/>
        <v>#DIV/0!</v>
      </c>
      <c r="BX32" s="692">
        <f t="shared" si="34"/>
        <v>34243.772499999999</v>
      </c>
      <c r="BY32" s="692">
        <f t="shared" si="48"/>
        <v>161.52722877358491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25409885</v>
      </c>
      <c r="J33" s="636">
        <f t="shared" si="18"/>
        <v>9841</v>
      </c>
      <c r="K33" s="636">
        <f t="shared" si="19"/>
        <v>3480</v>
      </c>
      <c r="L33" s="769">
        <v>206975</v>
      </c>
      <c r="M33" s="636">
        <f t="shared" si="53"/>
        <v>1906</v>
      </c>
      <c r="N33" s="769">
        <v>239314</v>
      </c>
      <c r="O33" s="636">
        <f t="shared" si="0"/>
        <v>1574</v>
      </c>
      <c r="P33" s="769">
        <v>226626</v>
      </c>
      <c r="Q33" s="636">
        <f t="shared" si="46"/>
        <v>540</v>
      </c>
      <c r="R33" s="768">
        <v>221379</v>
      </c>
      <c r="S33" s="636">
        <f t="shared" si="49"/>
        <v>143</v>
      </c>
      <c r="T33" s="768">
        <v>403942</v>
      </c>
      <c r="U33" s="636">
        <f t="shared" si="54"/>
        <v>274</v>
      </c>
      <c r="V33" s="768">
        <v>579997</v>
      </c>
      <c r="W33" s="636">
        <f t="shared" si="2"/>
        <v>2217.52</v>
      </c>
      <c r="X33" s="769">
        <v>801657</v>
      </c>
      <c r="Y33" s="636">
        <f t="shared" si="3"/>
        <v>0</v>
      </c>
      <c r="Z33" s="768">
        <v>787430</v>
      </c>
      <c r="AA33" s="636">
        <f t="shared" si="4"/>
        <v>3352.78</v>
      </c>
      <c r="AB33" s="768">
        <v>95569</v>
      </c>
      <c r="AC33" s="636">
        <f t="shared" si="33"/>
        <v>0</v>
      </c>
      <c r="AD33" s="768">
        <v>862589</v>
      </c>
      <c r="AE33" s="636">
        <f t="shared" si="20"/>
        <v>12.72</v>
      </c>
      <c r="AF33" s="768">
        <v>1008805</v>
      </c>
      <c r="AG33" s="636">
        <f t="shared" si="42"/>
        <v>11.66</v>
      </c>
      <c r="AH33" s="768">
        <v>392609</v>
      </c>
      <c r="AI33" s="636">
        <f t="shared" si="6"/>
        <v>816.73</v>
      </c>
      <c r="AJ33" s="768">
        <v>357003</v>
      </c>
      <c r="AK33" s="636">
        <f t="shared" si="45"/>
        <v>3446.0600000000004</v>
      </c>
      <c r="AL33" s="768">
        <v>560195</v>
      </c>
      <c r="AM33" s="636">
        <f t="shared" si="8"/>
        <v>108.12</v>
      </c>
      <c r="AN33" s="636">
        <f t="shared" si="21"/>
        <v>9965.590000000002</v>
      </c>
      <c r="AO33" s="768">
        <v>8112399</v>
      </c>
      <c r="AP33" s="636">
        <f t="shared" si="22"/>
        <v>253.125</v>
      </c>
      <c r="AQ33" s="768">
        <v>743040</v>
      </c>
      <c r="AR33" s="636">
        <f t="shared" si="9"/>
        <v>193</v>
      </c>
      <c r="AS33" s="769">
        <v>9378</v>
      </c>
      <c r="AT33" s="636">
        <f t="shared" si="23"/>
        <v>162</v>
      </c>
      <c r="AU33" s="768">
        <v>824476</v>
      </c>
      <c r="AV33" s="636">
        <f t="shared" si="10"/>
        <v>42</v>
      </c>
      <c r="AW33" s="768">
        <v>2850826</v>
      </c>
      <c r="AX33" s="636">
        <f t="shared" si="11"/>
        <v>982</v>
      </c>
      <c r="AY33" s="769">
        <v>231582</v>
      </c>
      <c r="AZ33" s="636">
        <f t="shared" si="47"/>
        <v>11</v>
      </c>
      <c r="BA33" s="768">
        <v>20630236</v>
      </c>
      <c r="BB33" s="636">
        <f t="shared" si="13"/>
        <v>5318</v>
      </c>
      <c r="BC33" s="768">
        <v>631652</v>
      </c>
      <c r="BD33" s="636">
        <f t="shared" si="13"/>
        <v>280</v>
      </c>
      <c r="BE33" s="768">
        <v>43449</v>
      </c>
      <c r="BF33" s="636">
        <f t="shared" si="13"/>
        <v>70</v>
      </c>
      <c r="BG33" s="769">
        <v>25913798</v>
      </c>
      <c r="BH33" s="636">
        <f t="shared" si="24"/>
        <v>6069.9</v>
      </c>
      <c r="BI33" s="636">
        <f t="shared" si="25"/>
        <v>13381.025</v>
      </c>
      <c r="BJ33" s="636">
        <f t="shared" si="26"/>
        <v>23346.615000000002</v>
      </c>
      <c r="BK33" s="769">
        <v>1487500</v>
      </c>
      <c r="BL33" s="636">
        <f t="shared" si="14"/>
        <v>236</v>
      </c>
      <c r="BM33" s="768">
        <v>4265615</v>
      </c>
      <c r="BN33" s="805">
        <f t="shared" si="15"/>
        <v>1308</v>
      </c>
      <c r="BO33" s="768">
        <v>445509</v>
      </c>
      <c r="BP33" s="806">
        <f t="shared" si="16"/>
        <v>110</v>
      </c>
      <c r="BQ33" s="768">
        <v>557574</v>
      </c>
      <c r="BR33" s="636">
        <f t="shared" si="41"/>
        <v>139</v>
      </c>
      <c r="BS33" s="692">
        <f t="shared" si="27"/>
        <v>33727.615000000005</v>
      </c>
      <c r="BT33" s="693">
        <v>243</v>
      </c>
      <c r="BU33" s="692">
        <f t="shared" si="50"/>
        <v>138.79676954732511</v>
      </c>
      <c r="BV33" s="693"/>
      <c r="BW33" s="692" t="e">
        <f t="shared" si="29"/>
        <v>#DIV/0!</v>
      </c>
      <c r="BX33" s="692">
        <f t="shared" si="34"/>
        <v>39029.757250000002</v>
      </c>
      <c r="BY33" s="692">
        <f t="shared" si="48"/>
        <v>160.61628497942388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25411611</v>
      </c>
      <c r="J34" s="636">
        <f t="shared" si="18"/>
        <v>1726</v>
      </c>
      <c r="K34" s="636">
        <f t="shared" si="19"/>
        <v>3592</v>
      </c>
      <c r="L34" s="769">
        <v>208947</v>
      </c>
      <c r="M34" s="636">
        <f t="shared" si="53"/>
        <v>1972</v>
      </c>
      <c r="N34" s="769">
        <v>240934</v>
      </c>
      <c r="O34" s="636">
        <f t="shared" si="0"/>
        <v>1620</v>
      </c>
      <c r="P34" s="769">
        <v>226646</v>
      </c>
      <c r="Q34" s="636">
        <f t="shared" si="46"/>
        <v>600</v>
      </c>
      <c r="R34" s="768">
        <v>221521</v>
      </c>
      <c r="S34" s="636">
        <f t="shared" si="49"/>
        <v>142</v>
      </c>
      <c r="T34" s="768">
        <v>404196</v>
      </c>
      <c r="U34" s="636">
        <f t="shared" si="54"/>
        <v>254</v>
      </c>
      <c r="V34" s="768">
        <v>581983</v>
      </c>
      <c r="W34" s="636">
        <f t="shared" si="2"/>
        <v>1052.5800000000002</v>
      </c>
      <c r="X34" s="769">
        <v>801657</v>
      </c>
      <c r="Y34" s="636">
        <f t="shared" si="3"/>
        <v>0</v>
      </c>
      <c r="Z34" s="768">
        <v>794369</v>
      </c>
      <c r="AA34" s="636">
        <f t="shared" si="4"/>
        <v>3677.67</v>
      </c>
      <c r="AB34" s="768">
        <v>95569</v>
      </c>
      <c r="AC34" s="636">
        <f t="shared" si="33"/>
        <v>0</v>
      </c>
      <c r="AD34" s="768">
        <v>862614</v>
      </c>
      <c r="AE34" s="636">
        <f t="shared" si="20"/>
        <v>13.25</v>
      </c>
      <c r="AF34" s="768">
        <v>1008827</v>
      </c>
      <c r="AG34" s="636">
        <f t="shared" si="42"/>
        <v>11.66</v>
      </c>
      <c r="AH34" s="769">
        <v>393895</v>
      </c>
      <c r="AI34" s="636">
        <f t="shared" si="6"/>
        <v>681.58</v>
      </c>
      <c r="AJ34" s="768">
        <v>362790</v>
      </c>
      <c r="AK34" s="636">
        <f t="shared" si="45"/>
        <v>3067.11</v>
      </c>
      <c r="AL34" s="768">
        <v>560400</v>
      </c>
      <c r="AM34" s="636">
        <f t="shared" si="8"/>
        <v>108.65</v>
      </c>
      <c r="AN34" s="636">
        <f t="shared" si="21"/>
        <v>8612.5</v>
      </c>
      <c r="AO34" s="707">
        <v>8114457</v>
      </c>
      <c r="AP34" s="636">
        <f t="shared" si="22"/>
        <v>231.52500000000001</v>
      </c>
      <c r="AQ34" s="769">
        <v>743235</v>
      </c>
      <c r="AR34" s="636">
        <f t="shared" si="9"/>
        <v>195</v>
      </c>
      <c r="AS34" s="768">
        <v>9544</v>
      </c>
      <c r="AT34" s="636">
        <f t="shared" si="23"/>
        <v>166</v>
      </c>
      <c r="AU34" s="768">
        <v>824517</v>
      </c>
      <c r="AV34" s="636">
        <f t="shared" si="10"/>
        <v>41</v>
      </c>
      <c r="AW34" s="768">
        <v>2851744</v>
      </c>
      <c r="AX34" s="636">
        <f t="shared" si="11"/>
        <v>918</v>
      </c>
      <c r="AY34" s="768">
        <v>231593</v>
      </c>
      <c r="AZ34" s="636">
        <f t="shared" si="47"/>
        <v>11</v>
      </c>
      <c r="BA34" s="768">
        <v>20635546</v>
      </c>
      <c r="BB34" s="636">
        <f t="shared" si="13"/>
        <v>5310</v>
      </c>
      <c r="BC34" s="768">
        <v>631915</v>
      </c>
      <c r="BD34" s="636">
        <f t="shared" si="13"/>
        <v>263</v>
      </c>
      <c r="BE34" s="768">
        <v>43519</v>
      </c>
      <c r="BF34" s="636">
        <f t="shared" si="13"/>
        <v>70</v>
      </c>
      <c r="BG34" s="768">
        <v>25920398</v>
      </c>
      <c r="BH34" s="636">
        <f t="shared" si="24"/>
        <v>5830.1500000000005</v>
      </c>
      <c r="BI34" s="636">
        <f t="shared" si="25"/>
        <v>13035.674999999999</v>
      </c>
      <c r="BJ34" s="636">
        <f t="shared" si="26"/>
        <v>21648.174999999999</v>
      </c>
      <c r="BK34" s="769">
        <v>1487732</v>
      </c>
      <c r="BL34" s="636">
        <f t="shared" si="14"/>
        <v>232</v>
      </c>
      <c r="BM34" s="769">
        <v>4266897</v>
      </c>
      <c r="BN34" s="805">
        <f t="shared" si="15"/>
        <v>1282</v>
      </c>
      <c r="BO34" s="768">
        <v>445620</v>
      </c>
      <c r="BP34" s="806">
        <f t="shared" si="16"/>
        <v>111</v>
      </c>
      <c r="BQ34" s="769">
        <v>557717</v>
      </c>
      <c r="BR34" s="636">
        <f t="shared" si="41"/>
        <v>143</v>
      </c>
      <c r="BS34" s="692">
        <f t="shared" si="27"/>
        <v>23974.174999999999</v>
      </c>
      <c r="BT34" s="693">
        <v>247</v>
      </c>
      <c r="BU34" s="692">
        <f t="shared" si="50"/>
        <v>97.061437246963564</v>
      </c>
      <c r="BV34" s="693"/>
      <c r="BW34" s="692" t="e">
        <f t="shared" si="29"/>
        <v>#DIV/0!</v>
      </c>
      <c r="BX34" s="692">
        <f t="shared" si="34"/>
        <v>27840.301249999997</v>
      </c>
      <c r="BY34" s="692">
        <f t="shared" si="48"/>
        <v>112.71377024291496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25418747</v>
      </c>
      <c r="J35" s="636">
        <f t="shared" si="18"/>
        <v>7136</v>
      </c>
      <c r="K35" s="636">
        <f t="shared" si="19"/>
        <v>3517.3333333329938</v>
      </c>
      <c r="L35" s="769">
        <v>210875</v>
      </c>
      <c r="M35" s="636">
        <f t="shared" si="53"/>
        <v>1928</v>
      </c>
      <c r="N35" s="769">
        <v>242523.33333333299</v>
      </c>
      <c r="O35" s="636">
        <f t="shared" si="0"/>
        <v>1589.3333333329938</v>
      </c>
      <c r="P35" s="769">
        <v>226664.66666666701</v>
      </c>
      <c r="Q35" s="636">
        <f t="shared" si="46"/>
        <v>560.00000001018634</v>
      </c>
      <c r="R35" s="768">
        <v>221663.66666666701</v>
      </c>
      <c r="S35" s="636">
        <f t="shared" si="49"/>
        <v>142.66666666700621</v>
      </c>
      <c r="T35" s="768">
        <v>404463.33333333302</v>
      </c>
      <c r="U35" s="636">
        <f t="shared" si="54"/>
        <v>267.33333333302289</v>
      </c>
      <c r="V35" s="768">
        <v>585434.33333333302</v>
      </c>
      <c r="W35" s="636">
        <f t="shared" si="2"/>
        <v>1829.2066666665023</v>
      </c>
      <c r="X35" s="769">
        <v>801657</v>
      </c>
      <c r="Y35" s="636">
        <f t="shared" si="3"/>
        <v>0</v>
      </c>
      <c r="Z35" s="768">
        <v>794369</v>
      </c>
      <c r="AA35" s="636">
        <f t="shared" si="4"/>
        <v>0</v>
      </c>
      <c r="AB35" s="768">
        <v>95569</v>
      </c>
      <c r="AC35" s="636">
        <f t="shared" si="33"/>
        <v>0</v>
      </c>
      <c r="AD35" s="768">
        <v>862638.33333333302</v>
      </c>
      <c r="AE35" s="636">
        <f t="shared" si="20"/>
        <v>12.896666666502133</v>
      </c>
      <c r="AF35" s="768">
        <v>1008849</v>
      </c>
      <c r="AG35" s="636">
        <f t="shared" si="42"/>
        <v>11.66</v>
      </c>
      <c r="AH35" s="769">
        <v>393895</v>
      </c>
      <c r="AI35" s="636">
        <f t="shared" si="6"/>
        <v>0</v>
      </c>
      <c r="AJ35" s="768">
        <v>369053.66666666698</v>
      </c>
      <c r="AK35" s="636">
        <f t="shared" si="45"/>
        <v>3319.743333333498</v>
      </c>
      <c r="AL35" s="768">
        <v>560604.33333333302</v>
      </c>
      <c r="AM35" s="636">
        <f t="shared" si="8"/>
        <v>108.29666666650213</v>
      </c>
      <c r="AN35" s="636">
        <f t="shared" si="21"/>
        <v>5281.803333333005</v>
      </c>
      <c r="AO35" s="768">
        <v>8116643</v>
      </c>
      <c r="AP35" s="636">
        <f t="shared" si="22"/>
        <v>245.92500000000001</v>
      </c>
      <c r="AQ35" s="769">
        <v>743428.66666666698</v>
      </c>
      <c r="AR35" s="636">
        <f t="shared" si="9"/>
        <v>193.66666666697711</v>
      </c>
      <c r="AS35" s="768">
        <v>9707.3333333333303</v>
      </c>
      <c r="AT35" s="636">
        <f>IF(AS35&gt;=AS34,AS35-AS34,0)</f>
        <v>163.3333333333303</v>
      </c>
      <c r="AU35" s="768">
        <v>824558.66666666698</v>
      </c>
      <c r="AV35" s="636">
        <f t="shared" si="10"/>
        <v>41.666666666977108</v>
      </c>
      <c r="AW35" s="768">
        <v>2852662</v>
      </c>
      <c r="AX35" s="636">
        <f t="shared" si="11"/>
        <v>918</v>
      </c>
      <c r="AY35" s="769">
        <v>231604</v>
      </c>
      <c r="AZ35" s="636">
        <f t="shared" si="47"/>
        <v>11</v>
      </c>
      <c r="BA35" s="768">
        <v>20640861.333333299</v>
      </c>
      <c r="BB35" s="636">
        <f t="shared" si="13"/>
        <v>5315.333333298564</v>
      </c>
      <c r="BC35" s="768">
        <v>632189.33333333302</v>
      </c>
      <c r="BD35" s="636">
        <f t="shared" si="13"/>
        <v>274.33333333302289</v>
      </c>
      <c r="BE35" s="768">
        <v>43589</v>
      </c>
      <c r="BF35" s="636">
        <f t="shared" si="13"/>
        <v>70</v>
      </c>
      <c r="BG35" s="769">
        <v>25927162.666666701</v>
      </c>
      <c r="BH35" s="636">
        <f t="shared" si="24"/>
        <v>5989.9833333699498</v>
      </c>
      <c r="BI35" s="636">
        <f t="shared" si="25"/>
        <v>13223.241666668822</v>
      </c>
      <c r="BJ35" s="636">
        <f t="shared" si="26"/>
        <v>18505.045000001828</v>
      </c>
      <c r="BK35" s="769">
        <v>1487966.66666667</v>
      </c>
      <c r="BL35" s="636">
        <f t="shared" si="14"/>
        <v>234.66666667000391</v>
      </c>
      <c r="BM35" s="769">
        <v>4268196.3333333302</v>
      </c>
      <c r="BN35" s="805">
        <f t="shared" si="15"/>
        <v>1299.3333333302289</v>
      </c>
      <c r="BO35" s="804">
        <v>445730.33333333302</v>
      </c>
      <c r="BP35" s="806">
        <f t="shared" si="16"/>
        <v>110.33333333302289</v>
      </c>
      <c r="BQ35" s="768">
        <v>557857.33333333302</v>
      </c>
      <c r="BR35" s="636">
        <f t="shared" si="41"/>
        <v>140.33333333302289</v>
      </c>
      <c r="BS35" s="692">
        <f t="shared" si="27"/>
        <v>26201.045000012014</v>
      </c>
      <c r="BT35" s="693">
        <v>247</v>
      </c>
      <c r="BU35" s="692">
        <f t="shared" si="50"/>
        <v>106.07710526320653</v>
      </c>
      <c r="BV35" s="693"/>
      <c r="BW35" s="692" t="e">
        <f t="shared" si="29"/>
        <v>#DIV/0!</v>
      </c>
      <c r="BX35" s="692">
        <f t="shared" si="34"/>
        <v>30383.201750018397</v>
      </c>
      <c r="BY35" s="692">
        <f t="shared" si="48"/>
        <v>123.00891396768581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25424530.5</v>
      </c>
      <c r="J36" s="636">
        <f t="shared" si="18"/>
        <v>5783.5</v>
      </c>
      <c r="K36" s="636">
        <f t="shared" si="19"/>
        <v>3567.1111111110076</v>
      </c>
      <c r="L36" s="769">
        <v>212832.33333333299</v>
      </c>
      <c r="M36" s="636">
        <f t="shared" si="53"/>
        <v>1957.3333333329938</v>
      </c>
      <c r="N36" s="769">
        <v>244133.11111111101</v>
      </c>
      <c r="O36" s="636">
        <f t="shared" si="0"/>
        <v>1609.7777777780138</v>
      </c>
      <c r="P36" s="769">
        <v>226683.66666666701</v>
      </c>
      <c r="Q36" s="636">
        <f>IF(P36&gt;=P35,P36-P35,0)*30</f>
        <v>570</v>
      </c>
      <c r="R36" s="768">
        <v>221805.88888888899</v>
      </c>
      <c r="S36" s="636">
        <f>IF(R36&gt;=R35,R36-R35,0)</f>
        <v>142.22222222198616</v>
      </c>
      <c r="T36" s="768">
        <v>404727.33333333302</v>
      </c>
      <c r="U36" s="636">
        <f t="shared" si="54"/>
        <v>264</v>
      </c>
      <c r="V36" s="768">
        <v>585434.33333333302</v>
      </c>
      <c r="W36" s="636">
        <f t="shared" si="2"/>
        <v>0</v>
      </c>
      <c r="X36" s="769">
        <v>801657</v>
      </c>
      <c r="Y36" s="636">
        <f t="shared" si="3"/>
        <v>0</v>
      </c>
      <c r="Z36" s="768">
        <v>794369</v>
      </c>
      <c r="AA36" s="636">
        <f t="shared" si="4"/>
        <v>0</v>
      </c>
      <c r="AB36" s="768">
        <v>95569</v>
      </c>
      <c r="AC36" s="636">
        <f t="shared" si="33"/>
        <v>0</v>
      </c>
      <c r="AD36" s="768">
        <v>862662.83333333302</v>
      </c>
      <c r="AE36" s="636">
        <f t="shared" si="20"/>
        <v>12.985000000000001</v>
      </c>
      <c r="AF36" s="768">
        <v>1008871</v>
      </c>
      <c r="AG36" s="636">
        <f t="shared" si="42"/>
        <v>11.66</v>
      </c>
      <c r="AH36" s="769">
        <v>393895</v>
      </c>
      <c r="AI36" s="636">
        <f t="shared" si="6"/>
        <v>0</v>
      </c>
      <c r="AJ36" s="768">
        <v>375198.16666666698</v>
      </c>
      <c r="AK36" s="636">
        <f t="shared" si="45"/>
        <v>3256.585</v>
      </c>
      <c r="AL36" s="768">
        <v>560808.83333333302</v>
      </c>
      <c r="AM36" s="636">
        <f t="shared" si="8"/>
        <v>108.38500000000001</v>
      </c>
      <c r="AN36" s="636">
        <f t="shared" si="21"/>
        <v>3389.6150000000002</v>
      </c>
      <c r="AO36" s="768">
        <v>8118797</v>
      </c>
      <c r="AP36" s="636">
        <f t="shared" si="22"/>
        <v>242.32500000000002</v>
      </c>
      <c r="AQ36" s="768">
        <v>743622.66666666698</v>
      </c>
      <c r="AR36" s="636">
        <f t="shared" si="9"/>
        <v>194</v>
      </c>
      <c r="AS36" s="769">
        <v>9871.3333333333303</v>
      </c>
      <c r="AT36" s="636">
        <f>IF(AS36&gt;=AS35,AS36-AS35,0)</f>
        <v>164</v>
      </c>
      <c r="AU36" s="768">
        <v>824600.16666666698</v>
      </c>
      <c r="AV36" s="636">
        <f t="shared" si="10"/>
        <v>41.5</v>
      </c>
      <c r="AW36" s="768">
        <v>2853580</v>
      </c>
      <c r="AX36" s="636">
        <f t="shared" si="11"/>
        <v>918</v>
      </c>
      <c r="AY36" s="769">
        <v>231615</v>
      </c>
      <c r="AZ36" s="636">
        <f t="shared" si="47"/>
        <v>11</v>
      </c>
      <c r="BA36" s="768">
        <v>20646175.333333299</v>
      </c>
      <c r="BB36" s="636">
        <f t="shared" si="13"/>
        <v>5314</v>
      </c>
      <c r="BC36" s="768">
        <v>632460.83333333302</v>
      </c>
      <c r="BD36" s="636">
        <f t="shared" si="13"/>
        <v>271.5</v>
      </c>
      <c r="BE36" s="768">
        <v>43659</v>
      </c>
      <c r="BF36" s="636">
        <f t="shared" si="13"/>
        <v>70</v>
      </c>
      <c r="BG36" s="769">
        <v>25933886.166666701</v>
      </c>
      <c r="BH36" s="636">
        <f t="shared" si="24"/>
        <v>5950.0249999999996</v>
      </c>
      <c r="BI36" s="636">
        <f t="shared" si="25"/>
        <v>13176.349999999999</v>
      </c>
      <c r="BJ36" s="636">
        <f t="shared" si="26"/>
        <v>16565.965</v>
      </c>
      <c r="BK36" s="769">
        <v>1488200.66666667</v>
      </c>
      <c r="BL36" s="636">
        <f t="shared" si="14"/>
        <v>234</v>
      </c>
      <c r="BM36" s="768">
        <v>4269491.3333333302</v>
      </c>
      <c r="BN36" s="805">
        <f t="shared" si="15"/>
        <v>1295</v>
      </c>
      <c r="BO36" s="768">
        <v>445840.83333333302</v>
      </c>
      <c r="BP36" s="806">
        <f t="shared" si="16"/>
        <v>110.5</v>
      </c>
      <c r="BQ36" s="768">
        <v>557998.33333333302</v>
      </c>
      <c r="BR36" s="636">
        <f t="shared" si="41"/>
        <v>141</v>
      </c>
      <c r="BS36" s="692">
        <f t="shared" si="27"/>
        <v>22919.464999999997</v>
      </c>
      <c r="BT36" s="693">
        <v>238</v>
      </c>
      <c r="BU36" s="692">
        <f t="shared" si="50"/>
        <v>96.300273109243676</v>
      </c>
      <c r="BV36" s="720"/>
      <c r="BW36" s="692" t="e">
        <f t="shared" si="29"/>
        <v>#DIV/0!</v>
      </c>
      <c r="BX36" s="692">
        <f t="shared" si="34"/>
        <v>26613.884749999994</v>
      </c>
      <c r="BY36" s="692">
        <f t="shared" si="48"/>
        <v>111.8230451680672</v>
      </c>
      <c r="BZ36" s="694" t="e">
        <f t="shared" si="35"/>
        <v>#DIV/0!</v>
      </c>
    </row>
    <row r="37" spans="1:78" s="3" customFormat="1" ht="36.75" customHeight="1">
      <c r="A37" s="541" t="s">
        <v>125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175935.35185259953</v>
      </c>
      <c r="K37" s="711">
        <f>SUM(K6:K36)</f>
        <v>108994.444444444</v>
      </c>
      <c r="L37" s="696"/>
      <c r="M37" s="552">
        <f>SUM(M6:M36)</f>
        <v>59287.333333332994</v>
      </c>
      <c r="N37" s="696"/>
      <c r="O37" s="552">
        <f>SUM(O6:O36)</f>
        <v>49707.111111111008</v>
      </c>
      <c r="P37" s="696"/>
      <c r="Q37" s="552">
        <f>SUM(Q6:Q36)</f>
        <v>17570.000000010186</v>
      </c>
      <c r="R37" s="715"/>
      <c r="S37" s="552">
        <f>SUM(S6:S36)</f>
        <v>4374.8888888889924</v>
      </c>
      <c r="T37" s="715"/>
      <c r="U37" s="552">
        <f>SUM(U6:U36)</f>
        <v>7862.3333333330229</v>
      </c>
      <c r="V37" s="696"/>
      <c r="W37" s="552">
        <f>SUM(W6:W36)</f>
        <v>59908.196666666518</v>
      </c>
      <c r="X37" s="768"/>
      <c r="Y37" s="552">
        <f>SUM(Y5:Y36)</f>
        <v>35946.19</v>
      </c>
      <c r="Z37" s="712"/>
      <c r="AA37" s="711">
        <f>SUM(AA6:AA36)</f>
        <v>58242.23</v>
      </c>
      <c r="AB37" s="696"/>
      <c r="AC37" s="552">
        <f>SUM(AC6:AC36)</f>
        <v>14196.58</v>
      </c>
      <c r="AD37" s="784"/>
      <c r="AE37" s="711">
        <f>SUM(AE6:AE36)</f>
        <v>10907.311666666501</v>
      </c>
      <c r="AF37" s="784"/>
      <c r="AG37" s="711">
        <f>SUM(AG6:AG36)</f>
        <v>6443.0333333351027</v>
      </c>
      <c r="AH37" s="697"/>
      <c r="AI37" s="552">
        <f>SUM(AI6:AI36)</f>
        <v>19006.86</v>
      </c>
      <c r="AJ37" s="697"/>
      <c r="AK37" s="552">
        <f>SUM(AK6:AK36)</f>
        <v>104361.8583333335</v>
      </c>
      <c r="AL37" s="711"/>
      <c r="AM37" s="552">
        <f>SUM(AM6:AM36)</f>
        <v>3412.0516666665021</v>
      </c>
      <c r="AN37" s="711">
        <f>SUM(AN6:AN36)</f>
        <v>312424.31166666822</v>
      </c>
      <c r="AO37" s="773"/>
      <c r="AP37" s="552">
        <f>SUM(AP6:AP36)</f>
        <v>7779.7125000000005</v>
      </c>
      <c r="AQ37" s="697"/>
      <c r="AR37" s="552">
        <f>SUM(AR6:AR36)</f>
        <v>6013.6666666669771</v>
      </c>
      <c r="AS37" s="697"/>
      <c r="AT37" s="552">
        <f>SUM(AT6:AT36)</f>
        <v>5637.3333333333303</v>
      </c>
      <c r="AU37" s="697"/>
      <c r="AV37" s="552">
        <f>SUM(AV6:AV36)</f>
        <v>1506.1666666669771</v>
      </c>
      <c r="AW37" s="697"/>
      <c r="AX37" s="552">
        <f>SUM(AX6:AX36)</f>
        <v>26412</v>
      </c>
      <c r="AY37" s="697"/>
      <c r="AZ37" s="552">
        <f>SUM(AZ6:AZ36)</f>
        <v>771</v>
      </c>
      <c r="BA37" s="697"/>
      <c r="BB37" s="552">
        <f>SUM(BB6:BB36)</f>
        <v>162213.33333329856</v>
      </c>
      <c r="BC37" s="784"/>
      <c r="BD37" s="552">
        <f>SUM(BD6:BD36)</f>
        <v>7948.8333333330229</v>
      </c>
      <c r="BE37" s="784"/>
      <c r="BF37" s="552">
        <f>SUM(BF6:BF36)</f>
        <v>2191</v>
      </c>
      <c r="BG37" s="697"/>
      <c r="BH37" s="711">
        <f>SUM(BH6:BH36)</f>
        <v>189613.75833336997</v>
      </c>
      <c r="BI37" s="711">
        <f>SUM(BI6:BI36)</f>
        <v>410086.80416666879</v>
      </c>
      <c r="BJ37" s="711">
        <f>SUM(BJ6:BJ36)</f>
        <v>722511.11583333695</v>
      </c>
      <c r="BK37" s="696"/>
      <c r="BL37" s="552">
        <f>SUM(BL6:BL36)</f>
        <v>7246.6666666700039</v>
      </c>
      <c r="BM37" s="697"/>
      <c r="BN37" s="552">
        <f>SUM(BN6:BN36)</f>
        <v>40064.333333330229</v>
      </c>
      <c r="BO37" s="773"/>
      <c r="BP37" s="552">
        <f>SUM(BP6:BP36)</f>
        <v>3435.8333333330229</v>
      </c>
      <c r="BQ37" s="697"/>
      <c r="BR37" s="552">
        <f>SUM(BR6:BR36)</f>
        <v>4254.3333333330229</v>
      </c>
      <c r="BS37" s="552">
        <f>SUM(BS6:BS36)</f>
        <v>916016.46768594673</v>
      </c>
      <c r="BT37" s="698">
        <f>SUM(BT6:BT36)</f>
        <v>6813</v>
      </c>
      <c r="BU37" s="699">
        <f>IF(BS37&gt;0,BS37/BT37,0)</f>
        <v>134.4512648885875</v>
      </c>
      <c r="BV37" s="698">
        <f>SUM(BV6:BV35)</f>
        <v>0</v>
      </c>
      <c r="BW37" s="699" t="e">
        <f>IF(BS37&gt;0,BS37/BV37,0)</f>
        <v>#DIV/0!</v>
      </c>
      <c r="BX37" s="544">
        <f>SUM(BX6:BX35)</f>
        <v>1034711.5530888434</v>
      </c>
      <c r="BY37" s="699">
        <f>IF(BX37&gt;0,BX37/BT37,0)</f>
        <v>151.87311802272762</v>
      </c>
      <c r="BZ37" s="700" t="e">
        <f>IF(BX37&gt;0,BX37/BV37,0)</f>
        <v>#DIV/0!</v>
      </c>
    </row>
    <row r="38" spans="1:78" s="3" customFormat="1" ht="36.75" customHeight="1">
      <c r="A38" s="545" t="s">
        <v>126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5864.5117284199841</v>
      </c>
      <c r="K38" s="701">
        <f>K37/J39</f>
        <v>3633.1481481481333</v>
      </c>
      <c r="L38" s="702"/>
      <c r="M38" s="701">
        <f>M37/J39</f>
        <v>1976.2444444444332</v>
      </c>
      <c r="N38" s="702"/>
      <c r="O38" s="701">
        <f>O37/J39</f>
        <v>1656.9037037037003</v>
      </c>
      <c r="P38" s="702"/>
      <c r="Q38" s="701">
        <f>Q37/J39</f>
        <v>585.66666666700621</v>
      </c>
      <c r="R38" s="716"/>
      <c r="S38" s="701">
        <f>S37/J39</f>
        <v>145.82962962963308</v>
      </c>
      <c r="T38" s="716"/>
      <c r="U38" s="701">
        <f>U37/J39</f>
        <v>262.07777777776744</v>
      </c>
      <c r="V38" s="702"/>
      <c r="W38" s="701">
        <f>W37/J39</f>
        <v>1996.9398888888838</v>
      </c>
      <c r="X38" s="702"/>
      <c r="Y38" s="701">
        <f>Y37/J39</f>
        <v>1198.2063333333333</v>
      </c>
      <c r="Z38" s="703"/>
      <c r="AA38" s="701">
        <f>AA37/J39</f>
        <v>1941.4076666666667</v>
      </c>
      <c r="AB38" s="702"/>
      <c r="AC38" s="701">
        <f>AC37/J39</f>
        <v>473.21933333333334</v>
      </c>
      <c r="AD38" s="783"/>
      <c r="AE38" s="701">
        <f>AE37/J39</f>
        <v>363.57705555555003</v>
      </c>
      <c r="AF38" s="783"/>
      <c r="AG38" s="701">
        <f>AG37/J39</f>
        <v>214.76777777783676</v>
      </c>
      <c r="AH38" s="704"/>
      <c r="AI38" s="701">
        <f>AI37/J39</f>
        <v>633.56200000000001</v>
      </c>
      <c r="AJ38" s="704"/>
      <c r="AK38" s="701">
        <f>AK37/J39</f>
        <v>3478.7286111111166</v>
      </c>
      <c r="AL38" s="701"/>
      <c r="AM38" s="701">
        <f>AM37/J39</f>
        <v>113.73505555555008</v>
      </c>
      <c r="AN38" s="701">
        <f>AN37/J39</f>
        <v>10414.143722222274</v>
      </c>
      <c r="AO38" s="704"/>
      <c r="AP38" s="701">
        <f>AP37/J39</f>
        <v>259.32375000000002</v>
      </c>
      <c r="AQ38" s="704"/>
      <c r="AR38" s="701">
        <f>AR37/J39</f>
        <v>200.45555555556589</v>
      </c>
      <c r="AS38" s="704"/>
      <c r="AT38" s="701">
        <f>AT37/J39</f>
        <v>187.91111111111101</v>
      </c>
      <c r="AU38" s="704"/>
      <c r="AV38" s="701">
        <f>AV37/J39</f>
        <v>50.205555555565901</v>
      </c>
      <c r="AW38" s="704"/>
      <c r="AX38" s="701">
        <f>AX37/J39</f>
        <v>880.4</v>
      </c>
      <c r="AY38" s="704"/>
      <c r="AZ38" s="701">
        <f>AZ37/J39</f>
        <v>25.7</v>
      </c>
      <c r="BA38" s="704"/>
      <c r="BB38" s="701">
        <f>BB37/J39</f>
        <v>5407.1111111099517</v>
      </c>
      <c r="BC38" s="783"/>
      <c r="BD38" s="701">
        <f>BD37/J39</f>
        <v>264.96111111110076</v>
      </c>
      <c r="BE38" s="783"/>
      <c r="BF38" s="701">
        <f>BF37/J39</f>
        <v>73.033333333333331</v>
      </c>
      <c r="BG38" s="704"/>
      <c r="BH38" s="701">
        <f>BH37/J39</f>
        <v>6320.4586111123326</v>
      </c>
      <c r="BI38" s="701"/>
      <c r="BJ38" s="701"/>
      <c r="BK38" s="702"/>
      <c r="BL38" s="701">
        <f>BL37/J39</f>
        <v>241.55555555566679</v>
      </c>
      <c r="BM38" s="704"/>
      <c r="BN38" s="701">
        <f>BN37/J39</f>
        <v>1335.4777777776742</v>
      </c>
      <c r="BO38" s="704"/>
      <c r="BP38" s="701">
        <f>BP37/J39</f>
        <v>114.52777777776743</v>
      </c>
      <c r="BQ38" s="704"/>
      <c r="BR38" s="701">
        <f>BR37/J39</f>
        <v>141.81111111110076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127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128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31"/>
      <c r="B45" s="831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40" priority="161" stopIfTrue="1" operator="greaterThan">
      <formula>400</formula>
    </cfRule>
  </conditionalFormatting>
  <conditionalFormatting sqref="BN5:BN36 AI5:AI36">
    <cfRule type="cellIs" dxfId="39" priority="159" stopIfTrue="1" operator="greaterThan">
      <formula>2000</formula>
    </cfRule>
  </conditionalFormatting>
  <conditionalFormatting sqref="AR5:AR36 AX5:AX36 BL5:BL36 AV5:AV36 AT5:AT36">
    <cfRule type="cellIs" dxfId="38" priority="158" stopIfTrue="1" operator="greaterThan">
      <formula>1400</formula>
    </cfRule>
  </conditionalFormatting>
  <conditionalFormatting sqref="BH5:BH36 BB5:BB36 BD5:BD36 BF5:BF36">
    <cfRule type="cellIs" dxfId="37" priority="157" stopIfTrue="1" operator="greaterThan">
      <formula>8000</formula>
    </cfRule>
  </conditionalFormatting>
  <conditionalFormatting sqref="AZ5:AZ36">
    <cfRule type="cellIs" dxfId="36" priority="155" stopIfTrue="1" operator="greaterThan">
      <formula>700</formula>
    </cfRule>
  </conditionalFormatting>
  <conditionalFormatting sqref="AK5:AK12 AK14:AK36">
    <cfRule type="cellIs" dxfId="35" priority="153" stopIfTrue="1" operator="greaterThan">
      <formula>5000</formula>
    </cfRule>
  </conditionalFormatting>
  <conditionalFormatting sqref="Y5:Y36 AA5:AA36 AC5:AC36 AE5:AE36 AG5:AG36 W5:W36">
    <cfRule type="cellIs" dxfId="34" priority="151" stopIfTrue="1" operator="greaterThan">
      <formula>4000</formula>
    </cfRule>
  </conditionalFormatting>
  <conditionalFormatting sqref="S5:S36 U5:U36">
    <cfRule type="cellIs" dxfId="33" priority="147" stopIfTrue="1" operator="greaterThan">
      <formula>300</formula>
    </cfRule>
  </conditionalFormatting>
  <conditionalFormatting sqref="Q5:Q36">
    <cfRule type="cellIs" dxfId="32" priority="145" stopIfTrue="1" operator="greaterThan">
      <formula>1500</formula>
    </cfRule>
  </conditionalFormatting>
  <conditionalFormatting sqref="O5:O36">
    <cfRule type="cellIs" dxfId="31" priority="144" stopIfTrue="1" operator="greaterThan">
      <formula>6000</formula>
    </cfRule>
  </conditionalFormatting>
  <conditionalFormatting sqref="M5:M36">
    <cfRule type="cellIs" dxfId="30" priority="143" stopIfTrue="1" operator="greaterThan">
      <formula>3000</formula>
    </cfRule>
  </conditionalFormatting>
  <conditionalFormatting sqref="J5:J36">
    <cfRule type="cellIs" dxfId="29" priority="142" stopIfTrue="1" operator="greaterThan">
      <formula>12000</formula>
    </cfRule>
  </conditionalFormatting>
  <conditionalFormatting sqref="AP5:AP36">
    <cfRule type="cellIs" dxfId="28" priority="138" stopIfTrue="1" operator="greaterThan">
      <formula>2500</formula>
    </cfRule>
  </conditionalFormatting>
  <conditionalFormatting sqref="BT8:BT36">
    <cfRule type="cellIs" dxfId="27" priority="12" operator="greaterThan">
      <formula>262</formula>
    </cfRule>
  </conditionalFormatting>
  <conditionalFormatting sqref="BT7:BT36 BT5">
    <cfRule type="cellIs" dxfId="26" priority="11" operator="greaterThan">
      <formula>262</formula>
    </cfRule>
  </conditionalFormatting>
  <conditionalFormatting sqref="BT25:BT31 BT34:BT36">
    <cfRule type="cellIs" dxfId="25" priority="10" operator="greaterThan">
      <formula>262</formula>
    </cfRule>
  </conditionalFormatting>
  <conditionalFormatting sqref="BT25:BT31 BT34:BT36">
    <cfRule type="cellIs" dxfId="24" priority="9" operator="greaterThan">
      <formula>262</formula>
    </cfRule>
  </conditionalFormatting>
  <conditionalFormatting sqref="AM5:AM36">
    <cfRule type="cellIs" dxfId="23" priority="5" stopIfTrue="1" operator="greaterThan">
      <formula>4000</formula>
    </cfRule>
  </conditionalFormatting>
  <conditionalFormatting sqref="AK13">
    <cfRule type="cellIs" dxfId="22" priority="6" stopIfTrue="1" operator="greaterThan">
      <formula>4000</formula>
    </cfRule>
  </conditionalFormatting>
  <conditionalFormatting sqref="BT6">
    <cfRule type="cellIs" dxfId="21" priority="4" operator="greaterThan">
      <formula>262</formula>
    </cfRule>
  </conditionalFormatting>
  <conditionalFormatting sqref="BT5">
    <cfRule type="cellIs" dxfId="20" priority="3" operator="greaterThan">
      <formula>262</formula>
    </cfRule>
  </conditionalFormatting>
  <conditionalFormatting sqref="BT5">
    <cfRule type="cellIs" dxfId="19" priority="2" operator="greaterThan">
      <formula>262</formula>
    </cfRule>
  </conditionalFormatting>
  <conditionalFormatting sqref="BT5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34" activePane="bottomRight" state="frozen"/>
      <selection pane="bottomRight" activeCell="K37" sqref="K3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4">
        <f>Elect!A1</f>
        <v>44835</v>
      </c>
      <c r="B1" s="579"/>
      <c r="C1" s="580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581"/>
      <c r="P1" s="866"/>
      <c r="Q1" s="866"/>
      <c r="R1" s="866"/>
      <c r="S1" s="2"/>
      <c r="T1" s="582" t="s">
        <v>129</v>
      </c>
      <c r="U1" s="566"/>
      <c r="V1" s="565">
        <v>4</v>
      </c>
      <c r="W1" s="564" t="s">
        <v>130</v>
      </c>
      <c r="X1" s="583"/>
      <c r="Y1" s="584"/>
      <c r="Z1" s="566"/>
    </row>
    <row r="2" spans="1:26" ht="39.75" customHeight="1" thickBot="1">
      <c r="A2" s="865"/>
      <c r="B2" s="586"/>
      <c r="C2" s="580"/>
      <c r="O2" s="581"/>
      <c r="P2" s="867"/>
      <c r="Q2" s="867"/>
      <c r="R2" s="867"/>
    </row>
    <row r="3" spans="1:26" s="3" customFormat="1" ht="42" customHeight="1" thickBot="1">
      <c r="A3" s="856" t="s">
        <v>1</v>
      </c>
      <c r="B3" s="587"/>
      <c r="C3" s="588"/>
      <c r="D3" s="588"/>
      <c r="E3" s="589" t="s">
        <v>131</v>
      </c>
      <c r="F3" s="588"/>
      <c r="G3" s="588"/>
      <c r="H3" s="590"/>
      <c r="I3" s="886" t="s">
        <v>132</v>
      </c>
      <c r="J3" s="887"/>
      <c r="K3" s="887"/>
      <c r="L3" s="887"/>
      <c r="M3" s="888"/>
      <c r="N3" s="878" t="s">
        <v>133</v>
      </c>
      <c r="O3" s="879"/>
      <c r="P3" s="859" t="s">
        <v>134</v>
      </c>
      <c r="Q3" s="859"/>
      <c r="R3" s="859" t="s">
        <v>135</v>
      </c>
      <c r="S3" s="859"/>
      <c r="T3" s="874" t="s">
        <v>136</v>
      </c>
      <c r="U3" s="870" t="s">
        <v>137</v>
      </c>
      <c r="V3" s="870" t="s">
        <v>138</v>
      </c>
      <c r="W3" s="870" t="s">
        <v>139</v>
      </c>
      <c r="X3" s="871" t="s">
        <v>140</v>
      </c>
      <c r="Y3" s="591" t="s">
        <v>77</v>
      </c>
      <c r="Z3" s="592" t="s">
        <v>77</v>
      </c>
    </row>
    <row r="4" spans="1:26" s="3" customFormat="1" ht="45" customHeight="1" thickBot="1">
      <c r="A4" s="857"/>
      <c r="B4" s="880" t="s">
        <v>141</v>
      </c>
      <c r="C4" s="881"/>
      <c r="D4" s="882" t="s">
        <v>142</v>
      </c>
      <c r="E4" s="883"/>
      <c r="F4" s="882" t="s">
        <v>143</v>
      </c>
      <c r="G4" s="883"/>
      <c r="H4" s="862" t="s">
        <v>144</v>
      </c>
      <c r="I4" s="884" t="s">
        <v>145</v>
      </c>
      <c r="J4" s="885"/>
      <c r="K4" s="884" t="s">
        <v>146</v>
      </c>
      <c r="L4" s="885"/>
      <c r="M4" s="792"/>
      <c r="N4" s="862" t="s">
        <v>147</v>
      </c>
      <c r="O4" s="862" t="s">
        <v>148</v>
      </c>
      <c r="P4" s="860" t="s">
        <v>149</v>
      </c>
      <c r="Q4" s="860" t="s">
        <v>150</v>
      </c>
      <c r="R4" s="860" t="s">
        <v>149</v>
      </c>
      <c r="S4" s="860" t="s">
        <v>150</v>
      </c>
      <c r="T4" s="875"/>
      <c r="U4" s="860"/>
      <c r="V4" s="860"/>
      <c r="W4" s="860"/>
      <c r="X4" s="872"/>
      <c r="Y4" s="868" t="s">
        <v>122</v>
      </c>
      <c r="Z4" s="853" t="s">
        <v>123</v>
      </c>
    </row>
    <row r="5" spans="1:26" s="3" customFormat="1" ht="48.75" customHeight="1" thickBot="1">
      <c r="A5" s="858"/>
      <c r="B5" s="593" t="s">
        <v>151</v>
      </c>
      <c r="C5" s="791" t="s">
        <v>152</v>
      </c>
      <c r="D5" s="594" t="s">
        <v>151</v>
      </c>
      <c r="E5" s="791" t="s">
        <v>152</v>
      </c>
      <c r="F5" s="594" t="s">
        <v>151</v>
      </c>
      <c r="G5" s="791" t="s">
        <v>152</v>
      </c>
      <c r="H5" s="863"/>
      <c r="I5" s="725" t="s">
        <v>151</v>
      </c>
      <c r="J5" s="726"/>
      <c r="K5" s="725" t="s">
        <v>151</v>
      </c>
      <c r="L5" s="726"/>
      <c r="M5" s="724"/>
      <c r="N5" s="861"/>
      <c r="O5" s="861"/>
      <c r="P5" s="861"/>
      <c r="Q5" s="861"/>
      <c r="R5" s="861"/>
      <c r="S5" s="861"/>
      <c r="T5" s="876"/>
      <c r="U5" s="861"/>
      <c r="V5" s="861"/>
      <c r="W5" s="861"/>
      <c r="X5" s="873"/>
      <c r="Y5" s="869"/>
      <c r="Z5" s="854"/>
    </row>
    <row r="6" spans="1:26" s="3" customFormat="1" ht="36.75" customHeight="1">
      <c r="A6" s="595"/>
      <c r="B6" s="767">
        <v>88821</v>
      </c>
      <c r="C6" s="636">
        <f t="shared" ref="C6:C37" si="0">IF(B6&gt;=B5,B6-B5,0)*10*0.58</f>
        <v>0</v>
      </c>
      <c r="D6" s="770">
        <v>11683</v>
      </c>
      <c r="E6" s="636">
        <f t="shared" ref="E6:E37" si="1">IF(D6&gt;=D5,D6-D5,0)*10*0.58</f>
        <v>0</v>
      </c>
      <c r="F6" s="766">
        <v>48399</v>
      </c>
      <c r="G6" s="636">
        <f>IF(F6&gt;=F5,F6-F5,0)*0.58</f>
        <v>0</v>
      </c>
      <c r="H6" s="708"/>
      <c r="I6" s="766">
        <v>302</v>
      </c>
      <c r="J6" s="723"/>
      <c r="K6" s="808">
        <v>5261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88842</v>
      </c>
      <c r="C7" s="636">
        <f t="shared" si="0"/>
        <v>121.8</v>
      </c>
      <c r="D7" s="770">
        <v>11709</v>
      </c>
      <c r="E7" s="636">
        <f t="shared" si="1"/>
        <v>150.79999999999998</v>
      </c>
      <c r="F7" s="766">
        <v>48616</v>
      </c>
      <c r="G7" s="636">
        <f t="shared" ref="G7:G31" si="2">IF(F7&gt;=F6,F7-F6,0)*0.58</f>
        <v>125.85999999999999</v>
      </c>
      <c r="H7" s="636">
        <f t="shared" ref="H7:H37" si="3">C7+E7+G7</f>
        <v>398.45999999999992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231.10679999999994</v>
      </c>
      <c r="R7" s="109"/>
      <c r="S7" s="436">
        <f>IF(R7-R6&gt;0,R7-R6,0)</f>
        <v>0</v>
      </c>
      <c r="T7" s="706">
        <f>Elect!BT6</f>
        <v>227</v>
      </c>
      <c r="U7" s="604">
        <f>H7/T7</f>
        <v>1.7553303964757705</v>
      </c>
      <c r="V7" s="706">
        <f>Elect!BV6</f>
        <v>0</v>
      </c>
      <c r="W7" s="604" t="e">
        <f>H7/V7</f>
        <v>#DIV/0!</v>
      </c>
      <c r="X7" s="429">
        <f>H7*V1</f>
        <v>1593.8399999999997</v>
      </c>
      <c r="Y7" s="604">
        <f>IF(X7&gt;0,X7/T7,0)</f>
        <v>7.021321585903082</v>
      </c>
      <c r="Z7" s="607">
        <v>0</v>
      </c>
    </row>
    <row r="8" spans="1:26" s="3" customFormat="1" ht="36.75" customHeight="1">
      <c r="A8" s="595">
        <v>2</v>
      </c>
      <c r="B8" s="767">
        <v>88865</v>
      </c>
      <c r="C8" s="636">
        <f t="shared" si="0"/>
        <v>133.39999999999998</v>
      </c>
      <c r="D8" s="770">
        <v>11739</v>
      </c>
      <c r="E8" s="636">
        <f t="shared" si="1"/>
        <v>174</v>
      </c>
      <c r="F8" s="766">
        <v>48841</v>
      </c>
      <c r="G8" s="636">
        <f t="shared" si="2"/>
        <v>130.5</v>
      </c>
      <c r="H8" s="636">
        <f t="shared" si="3"/>
        <v>437.9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253.98199999999997</v>
      </c>
      <c r="R8" s="109"/>
      <c r="S8" s="436">
        <f t="shared" ref="S8:S37" si="6">IF(R8-R7&gt;0,R8-R7,0)</f>
        <v>0</v>
      </c>
      <c r="T8" s="706">
        <f>Elect!BT7</f>
        <v>243</v>
      </c>
      <c r="U8" s="604">
        <f t="shared" ref="U8:U37" si="7">H8/T8</f>
        <v>1.8020576131687243</v>
      </c>
      <c r="V8" s="706">
        <f>Elect!BV7</f>
        <v>0</v>
      </c>
      <c r="W8" s="604" t="e">
        <f t="shared" ref="W8:W37" si="8">H8/V8</f>
        <v>#DIV/0!</v>
      </c>
      <c r="X8" s="429">
        <f>H8*V1</f>
        <v>1751.6</v>
      </c>
      <c r="Y8" s="604">
        <f>IF(X8&gt;0,X8/T8,0)</f>
        <v>7.208230452674897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88887</v>
      </c>
      <c r="C9" s="636">
        <f t="shared" si="0"/>
        <v>127.6</v>
      </c>
      <c r="D9" s="770">
        <v>11766</v>
      </c>
      <c r="E9" s="636">
        <f t="shared" si="1"/>
        <v>156.6</v>
      </c>
      <c r="F9" s="766">
        <v>49072</v>
      </c>
      <c r="G9" s="636">
        <f t="shared" si="2"/>
        <v>133.97999999999999</v>
      </c>
      <c r="H9" s="636">
        <f t="shared" si="3"/>
        <v>418.17999999999995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242.54439999999997</v>
      </c>
      <c r="R9" s="109"/>
      <c r="S9" s="436">
        <f t="shared" si="6"/>
        <v>0</v>
      </c>
      <c r="T9" s="706">
        <f>Elect!BT8</f>
        <v>220</v>
      </c>
      <c r="U9" s="604">
        <f t="shared" si="7"/>
        <v>1.9008181818181815</v>
      </c>
      <c r="V9" s="706">
        <f>Elect!BV8</f>
        <v>0</v>
      </c>
      <c r="W9" s="604" t="e">
        <f t="shared" si="8"/>
        <v>#DIV/0!</v>
      </c>
      <c r="X9" s="429">
        <f>H9*V1</f>
        <v>1672.7199999999998</v>
      </c>
      <c r="Y9" s="604">
        <f t="shared" ref="Y9:Y37" si="9">IF(X9&gt;0,X9/T9,0)</f>
        <v>7.6032727272727261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88911</v>
      </c>
      <c r="C10" s="636">
        <f t="shared" si="0"/>
        <v>139.19999999999999</v>
      </c>
      <c r="D10" s="770">
        <v>11798</v>
      </c>
      <c r="E10" s="636">
        <f t="shared" si="1"/>
        <v>185.6</v>
      </c>
      <c r="F10" s="766">
        <v>49292</v>
      </c>
      <c r="G10" s="636">
        <f t="shared" si="2"/>
        <v>127.6</v>
      </c>
      <c r="H10" s="636">
        <f t="shared" si="3"/>
        <v>452.4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262.392</v>
      </c>
      <c r="R10" s="109"/>
      <c r="S10" s="436">
        <f t="shared" si="6"/>
        <v>0</v>
      </c>
      <c r="T10" s="706">
        <f>Elect!BT9</f>
        <v>203</v>
      </c>
      <c r="U10" s="604">
        <f t="shared" si="7"/>
        <v>2.2285714285714286</v>
      </c>
      <c r="V10" s="706">
        <f>Elect!BV9</f>
        <v>0</v>
      </c>
      <c r="W10" s="604" t="e">
        <f t="shared" si="8"/>
        <v>#DIV/0!</v>
      </c>
      <c r="X10" s="429">
        <f>H10*V1</f>
        <v>1809.6</v>
      </c>
      <c r="Y10" s="604">
        <f t="shared" si="9"/>
        <v>8.9142857142857146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88933</v>
      </c>
      <c r="C11" s="636">
        <f t="shared" si="0"/>
        <v>127.6</v>
      </c>
      <c r="D11" s="770">
        <v>11828</v>
      </c>
      <c r="E11" s="636">
        <f t="shared" si="1"/>
        <v>174</v>
      </c>
      <c r="F11" s="766">
        <v>49524</v>
      </c>
      <c r="G11" s="636">
        <f t="shared" si="2"/>
        <v>134.56</v>
      </c>
      <c r="H11" s="636">
        <f t="shared" si="3"/>
        <v>436.16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252.97280000000001</v>
      </c>
      <c r="R11" s="109"/>
      <c r="S11" s="436">
        <f t="shared" si="6"/>
        <v>0</v>
      </c>
      <c r="T11" s="706">
        <f>Elect!BT10</f>
        <v>187</v>
      </c>
      <c r="U11" s="604">
        <f t="shared" si="7"/>
        <v>2.3324064171122996</v>
      </c>
      <c r="V11" s="706">
        <f>Elect!BV10</f>
        <v>0</v>
      </c>
      <c r="W11" s="604" t="e">
        <f t="shared" si="8"/>
        <v>#DIV/0!</v>
      </c>
      <c r="X11" s="429">
        <f>H11*V1</f>
        <v>1744.64</v>
      </c>
      <c r="Y11" s="604">
        <f t="shared" si="9"/>
        <v>9.3296256684491983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88955</v>
      </c>
      <c r="C12" s="636">
        <f t="shared" si="0"/>
        <v>127.6</v>
      </c>
      <c r="D12" s="770">
        <v>11856</v>
      </c>
      <c r="E12" s="636">
        <f t="shared" si="1"/>
        <v>162.39999999999998</v>
      </c>
      <c r="F12" s="766">
        <v>49752</v>
      </c>
      <c r="G12" s="636">
        <f t="shared" si="2"/>
        <v>132.23999999999998</v>
      </c>
      <c r="H12" s="636">
        <f t="shared" si="3"/>
        <v>422.24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244.89919999999998</v>
      </c>
      <c r="R12" s="109"/>
      <c r="S12" s="436">
        <f t="shared" si="6"/>
        <v>0</v>
      </c>
      <c r="T12" s="706">
        <f>Elect!BT11</f>
        <v>203</v>
      </c>
      <c r="U12" s="604">
        <f t="shared" si="7"/>
        <v>2.08</v>
      </c>
      <c r="V12" s="706">
        <f>Elect!BV11</f>
        <v>0</v>
      </c>
      <c r="W12" s="604" t="e">
        <f t="shared" si="8"/>
        <v>#DIV/0!</v>
      </c>
      <c r="X12" s="429">
        <f>H12*V1</f>
        <v>1688.96</v>
      </c>
      <c r="Y12" s="604">
        <f t="shared" si="9"/>
        <v>8.32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88977</v>
      </c>
      <c r="C13" s="636">
        <f t="shared" si="0"/>
        <v>127.6</v>
      </c>
      <c r="D13" s="770">
        <v>11885</v>
      </c>
      <c r="E13" s="636">
        <f t="shared" si="1"/>
        <v>168.2</v>
      </c>
      <c r="F13" s="766">
        <v>49987</v>
      </c>
      <c r="G13" s="636">
        <f t="shared" si="2"/>
        <v>136.29999999999998</v>
      </c>
      <c r="H13" s="636">
        <f t="shared" si="3"/>
        <v>432.09999999999991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250.61799999999994</v>
      </c>
      <c r="R13" s="109"/>
      <c r="S13" s="436">
        <f t="shared" si="6"/>
        <v>0</v>
      </c>
      <c r="T13" s="706">
        <f>Elect!BT12</f>
        <v>234</v>
      </c>
      <c r="U13" s="604">
        <f t="shared" si="7"/>
        <v>1.8465811965811962</v>
      </c>
      <c r="V13" s="706">
        <f>Elect!BV12</f>
        <v>0</v>
      </c>
      <c r="W13" s="604" t="e">
        <f t="shared" si="8"/>
        <v>#DIV/0!</v>
      </c>
      <c r="X13" s="429">
        <f>H13*V1</f>
        <v>1728.3999999999996</v>
      </c>
      <c r="Y13" s="604">
        <f t="shared" si="9"/>
        <v>7.386324786324785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89001</v>
      </c>
      <c r="C14" s="636">
        <f>IF(B14&gt;=B13,B14-B13,0)*10*0.58</f>
        <v>139.19999999999999</v>
      </c>
      <c r="D14" s="770">
        <v>11916</v>
      </c>
      <c r="E14" s="636">
        <f t="shared" si="1"/>
        <v>179.79999999999998</v>
      </c>
      <c r="F14" s="766">
        <v>50197</v>
      </c>
      <c r="G14" s="636">
        <f t="shared" si="2"/>
        <v>121.8</v>
      </c>
      <c r="H14" s="636">
        <f t="shared" si="3"/>
        <v>440.8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255.66399999999999</v>
      </c>
      <c r="R14" s="109"/>
      <c r="S14" s="436">
        <f t="shared" si="6"/>
        <v>0</v>
      </c>
      <c r="T14" s="706">
        <f>Elect!BT13</f>
        <v>248</v>
      </c>
      <c r="U14" s="604">
        <f t="shared" si="7"/>
        <v>1.7774193548387098</v>
      </c>
      <c r="V14" s="706">
        <f>Elect!BV13</f>
        <v>0</v>
      </c>
      <c r="W14" s="604" t="e">
        <f t="shared" si="8"/>
        <v>#DIV/0!</v>
      </c>
      <c r="X14" s="429">
        <f>H14*V1</f>
        <v>1763.2</v>
      </c>
      <c r="Y14" s="604">
        <f t="shared" si="9"/>
        <v>7.1096774193548393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89022</v>
      </c>
      <c r="C15" s="636">
        <f>IF(B15&gt;=B14,B15-B14,0)*10*0.58</f>
        <v>121.8</v>
      </c>
      <c r="D15" s="770">
        <v>11944</v>
      </c>
      <c r="E15" s="636">
        <f t="shared" si="1"/>
        <v>162.39999999999998</v>
      </c>
      <c r="F15" s="766">
        <v>50411</v>
      </c>
      <c r="G15" s="636">
        <f t="shared" si="2"/>
        <v>124.11999999999999</v>
      </c>
      <c r="H15" s="636">
        <f t="shared" si="3"/>
        <v>408.32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236.82559999999998</v>
      </c>
      <c r="R15" s="109"/>
      <c r="S15" s="436">
        <f t="shared" si="6"/>
        <v>0</v>
      </c>
      <c r="T15" s="706">
        <f>Elect!BT14</f>
        <v>252</v>
      </c>
      <c r="U15" s="604">
        <f t="shared" si="7"/>
        <v>1.6203174603174604</v>
      </c>
      <c r="V15" s="706">
        <f>Elect!BV14</f>
        <v>0</v>
      </c>
      <c r="W15" s="604" t="e">
        <f t="shared" si="8"/>
        <v>#DIV/0!</v>
      </c>
      <c r="X15" s="429">
        <f>H15*V1</f>
        <v>1633.28</v>
      </c>
      <c r="Y15" s="604">
        <f t="shared" si="9"/>
        <v>6.4812698412698415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89044</v>
      </c>
      <c r="C16" s="636">
        <f>IF(B16&gt;=B15,B16-B15,0)*10*0.58</f>
        <v>127.6</v>
      </c>
      <c r="D16" s="770">
        <v>11972</v>
      </c>
      <c r="E16" s="636">
        <f t="shared" si="1"/>
        <v>162.39999999999998</v>
      </c>
      <c r="F16" s="766">
        <v>50636</v>
      </c>
      <c r="G16" s="636">
        <f t="shared" si="2"/>
        <v>130.5</v>
      </c>
      <c r="H16" s="636">
        <f t="shared" si="3"/>
        <v>420.5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243.89</v>
      </c>
      <c r="R16" s="109"/>
      <c r="S16" s="436">
        <f t="shared" si="6"/>
        <v>0</v>
      </c>
      <c r="T16" s="706">
        <f>Elect!BT15</f>
        <v>246</v>
      </c>
      <c r="U16" s="604">
        <f t="shared" si="7"/>
        <v>1.7093495934959348</v>
      </c>
      <c r="V16" s="706">
        <f>Elect!BV15</f>
        <v>0</v>
      </c>
      <c r="W16" s="604" t="e">
        <f t="shared" si="8"/>
        <v>#DIV/0!</v>
      </c>
      <c r="X16" s="429">
        <f>H16*V1</f>
        <v>1682</v>
      </c>
      <c r="Y16" s="604">
        <f t="shared" si="9"/>
        <v>6.8373983739837394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89065.333333333299</v>
      </c>
      <c r="C17" s="636">
        <f t="shared" si="0"/>
        <v>123.73333333313639</v>
      </c>
      <c r="D17" s="770">
        <v>12000</v>
      </c>
      <c r="E17" s="636">
        <f t="shared" si="1"/>
        <v>162.39999999999998</v>
      </c>
      <c r="F17" s="766">
        <v>50853.666666666701</v>
      </c>
      <c r="G17" s="636">
        <f t="shared" si="2"/>
        <v>126.24666666668635</v>
      </c>
      <c r="H17" s="636">
        <f t="shared" si="3"/>
        <v>412.3799999998227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239.18039999989716</v>
      </c>
      <c r="R17" s="109"/>
      <c r="S17" s="436">
        <f t="shared" si="6"/>
        <v>0</v>
      </c>
      <c r="T17" s="706">
        <f>Elect!BT16</f>
        <v>206</v>
      </c>
      <c r="U17" s="604">
        <f t="shared" si="7"/>
        <v>2.001844660193314</v>
      </c>
      <c r="V17" s="706">
        <f>Elect!BV16</f>
        <v>0</v>
      </c>
      <c r="W17" s="604" t="e">
        <f t="shared" si="8"/>
        <v>#DIV/0!</v>
      </c>
      <c r="X17" s="429">
        <f>H17*V1</f>
        <v>1649.5199999992908</v>
      </c>
      <c r="Y17" s="604">
        <f t="shared" si="9"/>
        <v>8.0073786407732559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89087</v>
      </c>
      <c r="C18" s="636">
        <f t="shared" si="0"/>
        <v>125.66666666686359</v>
      </c>
      <c r="D18" s="770">
        <v>12027</v>
      </c>
      <c r="E18" s="636">
        <f t="shared" si="1"/>
        <v>156.6</v>
      </c>
      <c r="F18" s="766">
        <v>51077</v>
      </c>
      <c r="G18" s="636">
        <f t="shared" si="2"/>
        <v>129.53333333331364</v>
      </c>
      <c r="H18" s="636">
        <f t="shared" si="3"/>
        <v>411.80000000017719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238.84400000010277</v>
      </c>
      <c r="R18" s="109"/>
      <c r="S18" s="436">
        <f t="shared" si="6"/>
        <v>0</v>
      </c>
      <c r="T18" s="706">
        <f>Elect!BT17</f>
        <v>174</v>
      </c>
      <c r="U18" s="604">
        <f t="shared" si="7"/>
        <v>2.366666666667685</v>
      </c>
      <c r="V18" s="706">
        <f>Elect!BV17</f>
        <v>0</v>
      </c>
      <c r="W18" s="604" t="e">
        <f t="shared" si="8"/>
        <v>#DIV/0!</v>
      </c>
      <c r="X18" s="429">
        <f>H18*V1</f>
        <v>1647.2000000007088</v>
      </c>
      <c r="Y18" s="604">
        <f t="shared" si="9"/>
        <v>9.46666666667074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89108</v>
      </c>
      <c r="C19" s="636">
        <f t="shared" si="0"/>
        <v>121.8</v>
      </c>
      <c r="D19" s="770">
        <v>12055</v>
      </c>
      <c r="E19" s="636">
        <f t="shared" si="1"/>
        <v>162.39999999999998</v>
      </c>
      <c r="F19" s="766">
        <v>51299</v>
      </c>
      <c r="G19" s="636">
        <f t="shared" si="2"/>
        <v>128.76</v>
      </c>
      <c r="H19" s="636">
        <f t="shared" si="3"/>
        <v>412.96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239.51679999999996</v>
      </c>
      <c r="R19" s="109"/>
      <c r="S19" s="436">
        <f t="shared" si="6"/>
        <v>0</v>
      </c>
      <c r="T19" s="706">
        <f>Elect!BT18</f>
        <v>162</v>
      </c>
      <c r="U19" s="604">
        <f t="shared" si="7"/>
        <v>2.5491358024691357</v>
      </c>
      <c r="V19" s="706">
        <f>Elect!BV18</f>
        <v>0</v>
      </c>
      <c r="W19" s="604" t="e">
        <f t="shared" si="8"/>
        <v>#DIV/0!</v>
      </c>
      <c r="X19" s="429">
        <f>H19*V1</f>
        <v>1651.84</v>
      </c>
      <c r="Y19" s="604">
        <f t="shared" si="9"/>
        <v>10.196543209876543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89129</v>
      </c>
      <c r="C20" s="636">
        <f t="shared" si="0"/>
        <v>121.8</v>
      </c>
      <c r="D20" s="770">
        <v>12083</v>
      </c>
      <c r="E20" s="636">
        <f t="shared" si="1"/>
        <v>162.39999999999998</v>
      </c>
      <c r="F20" s="766">
        <v>51527</v>
      </c>
      <c r="G20" s="636">
        <f t="shared" si="2"/>
        <v>132.23999999999998</v>
      </c>
      <c r="H20" s="636">
        <f t="shared" si="3"/>
        <v>416.43999999999994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241.53519999999995</v>
      </c>
      <c r="R20" s="109"/>
      <c r="S20" s="436">
        <f t="shared" si="6"/>
        <v>0</v>
      </c>
      <c r="T20" s="706">
        <f>Elect!BT19</f>
        <v>207</v>
      </c>
      <c r="U20" s="604">
        <f t="shared" si="7"/>
        <v>2.0117874396135265</v>
      </c>
      <c r="V20" s="706">
        <f>Elect!BV19</f>
        <v>0</v>
      </c>
      <c r="W20" s="604" t="e">
        <f t="shared" si="8"/>
        <v>#DIV/0!</v>
      </c>
      <c r="X20" s="429">
        <f>H20*V1</f>
        <v>1665.7599999999998</v>
      </c>
      <c r="Y20" s="604">
        <f t="shared" si="9"/>
        <v>8.0471497584541059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89152</v>
      </c>
      <c r="C21" s="636">
        <f t="shared" si="0"/>
        <v>133.39999999999998</v>
      </c>
      <c r="D21" s="770">
        <v>12111</v>
      </c>
      <c r="E21" s="636">
        <f t="shared" si="1"/>
        <v>162.39999999999998</v>
      </c>
      <c r="F21" s="766">
        <v>51757</v>
      </c>
      <c r="G21" s="636">
        <f t="shared" si="2"/>
        <v>133.39999999999998</v>
      </c>
      <c r="H21" s="636">
        <f t="shared" si="3"/>
        <v>429.19999999999993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248.93599999999995</v>
      </c>
      <c r="R21" s="109"/>
      <c r="S21" s="436">
        <f t="shared" si="6"/>
        <v>0</v>
      </c>
      <c r="T21" s="706">
        <f>Elect!BT20</f>
        <v>248</v>
      </c>
      <c r="U21" s="604">
        <f t="shared" si="7"/>
        <v>1.7306451612903222</v>
      </c>
      <c r="V21" s="706">
        <f>Elect!BV20</f>
        <v>0</v>
      </c>
      <c r="W21" s="604" t="e">
        <f t="shared" si="8"/>
        <v>#DIV/0!</v>
      </c>
      <c r="X21" s="429">
        <f>H21*V1</f>
        <v>1716.7999999999997</v>
      </c>
      <c r="Y21" s="604">
        <f t="shared" si="9"/>
        <v>6.9225806451612888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89176</v>
      </c>
      <c r="C22" s="636">
        <f>IF(B22&gt;=B21,B22-B21,0)*10*0.58</f>
        <v>139.19999999999999</v>
      </c>
      <c r="D22" s="770">
        <v>12143</v>
      </c>
      <c r="E22" s="636">
        <f t="shared" si="1"/>
        <v>185.6</v>
      </c>
      <c r="F22" s="766">
        <v>51980</v>
      </c>
      <c r="G22" s="636">
        <f t="shared" si="2"/>
        <v>129.34</v>
      </c>
      <c r="H22" s="636">
        <f t="shared" si="3"/>
        <v>454.14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263.40119999999996</v>
      </c>
      <c r="R22" s="109"/>
      <c r="S22" s="436">
        <f t="shared" si="6"/>
        <v>0</v>
      </c>
      <c r="T22" s="706">
        <f>Elect!BT21</f>
        <v>248</v>
      </c>
      <c r="U22" s="604">
        <f t="shared" si="7"/>
        <v>1.8312096774193547</v>
      </c>
      <c r="V22" s="706">
        <f>Elect!BV21</f>
        <v>0</v>
      </c>
      <c r="W22" s="604" t="e">
        <f t="shared" si="8"/>
        <v>#DIV/0!</v>
      </c>
      <c r="X22" s="429">
        <f>H22*V1</f>
        <v>1816.56</v>
      </c>
      <c r="Y22" s="604">
        <f t="shared" si="9"/>
        <v>7.3248387096774188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89198</v>
      </c>
      <c r="C23" s="636">
        <f>IF(B23&gt;=B22,B23-B22,0)*10*0.58</f>
        <v>127.6</v>
      </c>
      <c r="D23" s="770">
        <v>12172</v>
      </c>
      <c r="E23" s="636">
        <f t="shared" si="1"/>
        <v>168.2</v>
      </c>
      <c r="F23" s="766">
        <v>52200</v>
      </c>
      <c r="G23" s="636">
        <f t="shared" si="2"/>
        <v>127.6</v>
      </c>
      <c r="H23" s="636">
        <f t="shared" si="3"/>
        <v>423.4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245.57199999999997</v>
      </c>
      <c r="R23" s="109"/>
      <c r="S23" s="436">
        <f t="shared" si="6"/>
        <v>0</v>
      </c>
      <c r="T23" s="706">
        <f>Elect!BT22</f>
        <v>244</v>
      </c>
      <c r="U23" s="604">
        <f t="shared" si="7"/>
        <v>1.7352459016393442</v>
      </c>
      <c r="V23" s="706">
        <f>Elect!BV22</f>
        <v>0</v>
      </c>
      <c r="W23" s="604" t="e">
        <f t="shared" si="8"/>
        <v>#DIV/0!</v>
      </c>
      <c r="X23" s="429">
        <f>H23*V1</f>
        <v>1693.6</v>
      </c>
      <c r="Y23" s="604">
        <f t="shared" si="9"/>
        <v>6.9409836065573769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89222</v>
      </c>
      <c r="C24" s="636">
        <f>IF(B24&gt;=B23,B24-B23,0)*10*0.58</f>
        <v>139.19999999999999</v>
      </c>
      <c r="D24" s="770">
        <v>12202</v>
      </c>
      <c r="E24" s="636">
        <f t="shared" si="1"/>
        <v>174</v>
      </c>
      <c r="F24" s="766">
        <v>52428</v>
      </c>
      <c r="G24" s="636">
        <f t="shared" si="2"/>
        <v>132.23999999999998</v>
      </c>
      <c r="H24" s="636">
        <f t="shared" si="3"/>
        <v>445.43999999999994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258.35519999999997</v>
      </c>
      <c r="R24" s="109"/>
      <c r="S24" s="436">
        <f t="shared" si="6"/>
        <v>0</v>
      </c>
      <c r="T24" s="706">
        <f>Elect!BT23</f>
        <v>228</v>
      </c>
      <c r="U24" s="604">
        <f t="shared" si="7"/>
        <v>1.9536842105263155</v>
      </c>
      <c r="V24" s="706">
        <f>Elect!BV23</f>
        <v>0</v>
      </c>
      <c r="W24" s="604" t="e">
        <f t="shared" si="8"/>
        <v>#DIV/0!</v>
      </c>
      <c r="X24" s="429">
        <f>H24*V1</f>
        <v>1781.7599999999998</v>
      </c>
      <c r="Y24" s="604">
        <f t="shared" si="9"/>
        <v>7.8147368421052619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89247</v>
      </c>
      <c r="C25" s="636">
        <f>IF(B25&gt;=B24,B25-B24,0)*10*0.58</f>
        <v>145</v>
      </c>
      <c r="D25" s="770">
        <v>12232</v>
      </c>
      <c r="E25" s="636">
        <f t="shared" si="1"/>
        <v>174</v>
      </c>
      <c r="F25" s="766">
        <v>52664</v>
      </c>
      <c r="G25" s="636">
        <f t="shared" si="2"/>
        <v>136.88</v>
      </c>
      <c r="H25" s="636">
        <f t="shared" si="3"/>
        <v>455.88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264.41039999999998</v>
      </c>
      <c r="R25" s="109"/>
      <c r="S25" s="436">
        <f t="shared" si="6"/>
        <v>0</v>
      </c>
      <c r="T25" s="706">
        <f>Elect!BT24</f>
        <v>203</v>
      </c>
      <c r="U25" s="604">
        <f t="shared" si="7"/>
        <v>2.2457142857142856</v>
      </c>
      <c r="V25" s="706">
        <f>Elect!BV24</f>
        <v>0</v>
      </c>
      <c r="W25" s="604" t="e">
        <f t="shared" si="8"/>
        <v>#DIV/0!</v>
      </c>
      <c r="X25" s="429">
        <f>H25*V1</f>
        <v>1823.52</v>
      </c>
      <c r="Y25" s="604">
        <f t="shared" si="9"/>
        <v>8.9828571428571422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89266</v>
      </c>
      <c r="C26" s="636">
        <f t="shared" si="0"/>
        <v>110.19999999999999</v>
      </c>
      <c r="D26" s="770">
        <v>12259</v>
      </c>
      <c r="E26" s="636">
        <f t="shared" si="1"/>
        <v>156.6</v>
      </c>
      <c r="F26" s="766">
        <v>52872</v>
      </c>
      <c r="G26" s="636">
        <f t="shared" si="2"/>
        <v>120.63999999999999</v>
      </c>
      <c r="H26" s="636">
        <f t="shared" si="3"/>
        <v>387.43999999999994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224.71519999999995</v>
      </c>
      <c r="R26" s="109"/>
      <c r="S26" s="436">
        <f t="shared" si="6"/>
        <v>0</v>
      </c>
      <c r="T26" s="706">
        <f>Elect!BT25</f>
        <v>203</v>
      </c>
      <c r="U26" s="604">
        <f t="shared" si="7"/>
        <v>1.9085714285714284</v>
      </c>
      <c r="V26" s="706">
        <f>Elect!BV25</f>
        <v>0</v>
      </c>
      <c r="W26" s="604" t="e">
        <f t="shared" si="8"/>
        <v>#DIV/0!</v>
      </c>
      <c r="X26" s="429">
        <f>H26*V1</f>
        <v>1549.7599999999998</v>
      </c>
      <c r="Y26" s="604">
        <f t="shared" si="9"/>
        <v>7.6342857142857135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89286</v>
      </c>
      <c r="C27" s="636">
        <f t="shared" si="0"/>
        <v>115.99999999999999</v>
      </c>
      <c r="D27" s="770">
        <v>12284</v>
      </c>
      <c r="E27" s="636">
        <f t="shared" si="1"/>
        <v>145</v>
      </c>
      <c r="F27" s="766">
        <v>53084</v>
      </c>
      <c r="G27" s="636">
        <f t="shared" si="2"/>
        <v>122.96</v>
      </c>
      <c r="H27" s="636">
        <f t="shared" si="3"/>
        <v>383.96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222.69679999999997</v>
      </c>
      <c r="R27" s="109"/>
      <c r="S27" s="436">
        <f t="shared" si="6"/>
        <v>0</v>
      </c>
      <c r="T27" s="706">
        <f>Elect!BT26</f>
        <v>202</v>
      </c>
      <c r="U27" s="604">
        <f t="shared" si="7"/>
        <v>1.9007920792079207</v>
      </c>
      <c r="V27" s="706">
        <f>Elect!BV26</f>
        <v>0</v>
      </c>
      <c r="W27" s="604" t="e">
        <f t="shared" si="8"/>
        <v>#DIV/0!</v>
      </c>
      <c r="X27" s="429">
        <f>H27*V1</f>
        <v>1535.84</v>
      </c>
      <c r="Y27" s="604">
        <f t="shared" si="9"/>
        <v>7.6031683168316828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89308</v>
      </c>
      <c r="C28" s="636">
        <f>IF(B28&gt;=B27,B28-B27,0)*10*0.58</f>
        <v>127.6</v>
      </c>
      <c r="D28" s="770">
        <v>12312</v>
      </c>
      <c r="E28" s="636">
        <f t="shared" si="1"/>
        <v>162.39999999999998</v>
      </c>
      <c r="F28" s="766">
        <v>53298</v>
      </c>
      <c r="G28" s="636">
        <f t="shared" si="2"/>
        <v>124.11999999999999</v>
      </c>
      <c r="H28" s="636">
        <f t="shared" si="3"/>
        <v>414.12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240.18959999999998</v>
      </c>
      <c r="R28" s="109"/>
      <c r="S28" s="436">
        <f t="shared" si="6"/>
        <v>0</v>
      </c>
      <c r="T28" s="706">
        <f>Elect!BT27</f>
        <v>237</v>
      </c>
      <c r="U28" s="604">
        <f t="shared" si="7"/>
        <v>1.7473417721518987</v>
      </c>
      <c r="V28" s="706">
        <f>Elect!BV27</f>
        <v>0</v>
      </c>
      <c r="W28" s="604" t="e">
        <f t="shared" si="8"/>
        <v>#DIV/0!</v>
      </c>
      <c r="X28" s="429">
        <f>H28*V1</f>
        <v>1656.48</v>
      </c>
      <c r="Y28" s="604">
        <f t="shared" si="9"/>
        <v>6.9893670886075947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89328</v>
      </c>
      <c r="C29" s="636">
        <f>IF(B29&gt;=B28,B29-B28,0)*10*0.58</f>
        <v>115.99999999999999</v>
      </c>
      <c r="D29" s="770">
        <v>12337</v>
      </c>
      <c r="E29" s="636">
        <f t="shared" si="1"/>
        <v>145</v>
      </c>
      <c r="F29" s="766">
        <v>53513</v>
      </c>
      <c r="G29" s="636">
        <f t="shared" si="2"/>
        <v>124.69999999999999</v>
      </c>
      <c r="H29" s="636">
        <f t="shared" si="3"/>
        <v>385.7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223.70599999999999</v>
      </c>
      <c r="R29" s="458"/>
      <c r="S29" s="436">
        <f t="shared" si="6"/>
        <v>0</v>
      </c>
      <c r="T29" s="706">
        <f>Elect!BT28</f>
        <v>182</v>
      </c>
      <c r="U29" s="604">
        <f t="shared" si="7"/>
        <v>2.1192307692307693</v>
      </c>
      <c r="V29" s="706">
        <f>Elect!BV28</f>
        <v>0</v>
      </c>
      <c r="W29" s="604" t="e">
        <f t="shared" si="8"/>
        <v>#DIV/0!</v>
      </c>
      <c r="X29" s="429">
        <f>H29*V1</f>
        <v>1542.8</v>
      </c>
      <c r="Y29" s="604">
        <f t="shared" si="9"/>
        <v>8.476923076923077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89349</v>
      </c>
      <c r="C30" s="636">
        <f t="shared" si="0"/>
        <v>121.8</v>
      </c>
      <c r="D30" s="770">
        <v>12364</v>
      </c>
      <c r="E30" s="636">
        <f t="shared" si="1"/>
        <v>156.6</v>
      </c>
      <c r="F30" s="766">
        <v>53730</v>
      </c>
      <c r="G30" s="636">
        <f t="shared" si="2"/>
        <v>125.85999999999999</v>
      </c>
      <c r="H30" s="636">
        <f t="shared" si="3"/>
        <v>404.26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234.47079999999997</v>
      </c>
      <c r="R30" s="458"/>
      <c r="S30" s="436">
        <f t="shared" si="6"/>
        <v>0</v>
      </c>
      <c r="T30" s="706">
        <f>Elect!BT29</f>
        <v>212</v>
      </c>
      <c r="U30" s="604">
        <f t="shared" si="7"/>
        <v>1.9068867924528301</v>
      </c>
      <c r="V30" s="706">
        <f>Elect!BV29</f>
        <v>0</v>
      </c>
      <c r="W30" s="604" t="e">
        <f t="shared" si="8"/>
        <v>#DIV/0!</v>
      </c>
      <c r="X30" s="429">
        <f>H30*V1</f>
        <v>1617.04</v>
      </c>
      <c r="Y30" s="604">
        <f t="shared" si="9"/>
        <v>7.6275471698113204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89372</v>
      </c>
      <c r="C31" s="636">
        <f t="shared" si="0"/>
        <v>133.39999999999998</v>
      </c>
      <c r="D31" s="770">
        <v>12394</v>
      </c>
      <c r="E31" s="636">
        <f t="shared" si="1"/>
        <v>174</v>
      </c>
      <c r="F31" s="766">
        <v>53992</v>
      </c>
      <c r="G31" s="636">
        <f t="shared" si="2"/>
        <v>151.95999999999998</v>
      </c>
      <c r="H31" s="636">
        <f t="shared" si="3"/>
        <v>459.35999999999996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266.42879999999997</v>
      </c>
      <c r="R31" s="458"/>
      <c r="S31" s="436">
        <f t="shared" si="6"/>
        <v>0</v>
      </c>
      <c r="T31" s="706">
        <f>Elect!BT30</f>
        <v>188</v>
      </c>
      <c r="U31" s="604">
        <f t="shared" si="7"/>
        <v>2.4434042553191486</v>
      </c>
      <c r="V31" s="706">
        <f>Elect!BV30</f>
        <v>0</v>
      </c>
      <c r="W31" s="604" t="e">
        <f t="shared" si="8"/>
        <v>#DIV/0!</v>
      </c>
      <c r="X31" s="429">
        <f>H31*V1</f>
        <v>1837.4399999999998</v>
      </c>
      <c r="Y31" s="604">
        <f t="shared" si="9"/>
        <v>9.7736170212765945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89389</v>
      </c>
      <c r="C32" s="636">
        <f>IF(B32&gt;=B31,B32-B31,0)*10*0.58</f>
        <v>98.6</v>
      </c>
      <c r="D32" s="770">
        <v>12416</v>
      </c>
      <c r="E32" s="636">
        <f t="shared" si="1"/>
        <v>127.6</v>
      </c>
      <c r="F32" s="766">
        <v>54188</v>
      </c>
      <c r="G32" s="636">
        <f t="shared" ref="G32:G35" si="12">IF(F32&gt;=F31,F32-F31,0)*0.58</f>
        <v>113.67999999999999</v>
      </c>
      <c r="H32" s="636">
        <f t="shared" si="3"/>
        <v>339.88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197.13039999999998</v>
      </c>
      <c r="R32" s="458"/>
      <c r="S32" s="436">
        <f t="shared" si="6"/>
        <v>0</v>
      </c>
      <c r="T32" s="706">
        <f>Elect!BT31</f>
        <v>219</v>
      </c>
      <c r="U32" s="604">
        <f t="shared" si="7"/>
        <v>1.5519634703196348</v>
      </c>
      <c r="V32" s="706">
        <f>Elect!BV31</f>
        <v>0</v>
      </c>
      <c r="W32" s="604" t="e">
        <f t="shared" si="8"/>
        <v>#DIV/0!</v>
      </c>
      <c r="X32" s="429">
        <f>H32*V1</f>
        <v>1359.52</v>
      </c>
      <c r="Y32" s="604">
        <f t="shared" si="9"/>
        <v>6.2078538812785391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89410</v>
      </c>
      <c r="C33" s="636">
        <f t="shared" si="0"/>
        <v>121.8</v>
      </c>
      <c r="D33" s="770">
        <v>12443</v>
      </c>
      <c r="E33" s="636">
        <f t="shared" si="1"/>
        <v>156.6</v>
      </c>
      <c r="F33" s="766">
        <v>54407</v>
      </c>
      <c r="G33" s="636">
        <f t="shared" si="12"/>
        <v>127.02</v>
      </c>
      <c r="H33" s="636">
        <f t="shared" si="3"/>
        <v>405.41999999999996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235.14359999999996</v>
      </c>
      <c r="R33" s="458"/>
      <c r="S33" s="436">
        <f t="shared" si="6"/>
        <v>0</v>
      </c>
      <c r="T33" s="706">
        <f>Elect!BT32</f>
        <v>212</v>
      </c>
      <c r="U33" s="604">
        <f t="shared" si="7"/>
        <v>1.9123584905660376</v>
      </c>
      <c r="V33" s="706">
        <f>Elect!BV32</f>
        <v>0</v>
      </c>
      <c r="W33" s="604" t="e">
        <f t="shared" si="8"/>
        <v>#DIV/0!</v>
      </c>
      <c r="X33" s="429">
        <f>H33*V1</f>
        <v>1621.6799999999998</v>
      </c>
      <c r="Y33" s="604">
        <f t="shared" si="9"/>
        <v>7.6494339622641503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89431</v>
      </c>
      <c r="C34" s="636">
        <f t="shared" si="0"/>
        <v>121.8</v>
      </c>
      <c r="D34" s="770">
        <v>12470</v>
      </c>
      <c r="E34" s="636">
        <f t="shared" si="1"/>
        <v>156.6</v>
      </c>
      <c r="F34" s="766">
        <v>54844</v>
      </c>
      <c r="G34" s="636">
        <f t="shared" si="12"/>
        <v>253.45999999999998</v>
      </c>
      <c r="H34" s="636">
        <f t="shared" si="3"/>
        <v>531.8599999999999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308.47879999999992</v>
      </c>
      <c r="R34" s="458"/>
      <c r="S34" s="436">
        <f t="shared" si="6"/>
        <v>0</v>
      </c>
      <c r="T34" s="706">
        <f>Elect!BT33</f>
        <v>243</v>
      </c>
      <c r="U34" s="604">
        <f t="shared" si="7"/>
        <v>2.1887242798353905</v>
      </c>
      <c r="V34" s="706">
        <f>Elect!BV33</f>
        <v>0</v>
      </c>
      <c r="W34" s="604" t="e">
        <f t="shared" si="8"/>
        <v>#DIV/0!</v>
      </c>
      <c r="X34" s="429">
        <f>H34*V1</f>
        <v>2127.4399999999996</v>
      </c>
      <c r="Y34" s="604">
        <f t="shared" si="9"/>
        <v>8.7548971193415621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89449</v>
      </c>
      <c r="C35" s="636">
        <f t="shared" si="0"/>
        <v>104.39999999999999</v>
      </c>
      <c r="D35" s="770">
        <v>12494</v>
      </c>
      <c r="E35" s="636">
        <f t="shared" si="1"/>
        <v>139.19999999999999</v>
      </c>
      <c r="F35" s="766">
        <v>54860</v>
      </c>
      <c r="G35" s="636">
        <f t="shared" si="12"/>
        <v>9.2799999999999994</v>
      </c>
      <c r="H35" s="636">
        <f t="shared" si="3"/>
        <v>252.87999999999997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146.67039999999997</v>
      </c>
      <c r="R35" s="458"/>
      <c r="S35" s="436">
        <f t="shared" si="6"/>
        <v>0</v>
      </c>
      <c r="T35" s="706">
        <f>Elect!BT34</f>
        <v>247</v>
      </c>
      <c r="U35" s="604">
        <f t="shared" si="7"/>
        <v>1.0238056680161942</v>
      </c>
      <c r="V35" s="706">
        <f>Elect!BV34</f>
        <v>0</v>
      </c>
      <c r="W35" s="604" t="e">
        <f t="shared" si="8"/>
        <v>#DIV/0!</v>
      </c>
      <c r="X35" s="429">
        <f>H35*V1</f>
        <v>1011.5199999999999</v>
      </c>
      <c r="Y35" s="604">
        <f t="shared" si="9"/>
        <v>4.0952226720647769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89469</v>
      </c>
      <c r="C36" s="636">
        <f t="shared" si="0"/>
        <v>115.99999999999999</v>
      </c>
      <c r="D36" s="770">
        <v>12521</v>
      </c>
      <c r="E36" s="636">
        <f t="shared" si="1"/>
        <v>156.6</v>
      </c>
      <c r="F36" s="766">
        <v>55086</v>
      </c>
      <c r="G36" s="636">
        <f>IF(F36&gt;=F35,F36-F35,0)*0.58</f>
        <v>131.07999999999998</v>
      </c>
      <c r="H36" s="636">
        <f t="shared" si="3"/>
        <v>403.67999999999995</v>
      </c>
      <c r="I36" s="766"/>
      <c r="J36" s="636"/>
      <c r="K36" s="808"/>
      <c r="L36" s="636"/>
      <c r="M36" s="636"/>
      <c r="N36" s="109"/>
      <c r="O36" s="535">
        <f t="shared" si="4"/>
        <v>0</v>
      </c>
      <c r="P36" s="526"/>
      <c r="Q36" s="436">
        <f t="shared" si="5"/>
        <v>234.13439999999994</v>
      </c>
      <c r="R36" s="458"/>
      <c r="S36" s="436">
        <f t="shared" si="6"/>
        <v>0</v>
      </c>
      <c r="T36" s="706">
        <f>Elect!BT35</f>
        <v>247</v>
      </c>
      <c r="U36" s="604">
        <f t="shared" si="7"/>
        <v>1.6343319838056678</v>
      </c>
      <c r="V36" s="706">
        <f>Elect!BV35</f>
        <v>0</v>
      </c>
      <c r="W36" s="604" t="e">
        <f t="shared" si="8"/>
        <v>#DIV/0!</v>
      </c>
      <c r="X36" s="429">
        <f>H36*V1</f>
        <v>1614.7199999999998</v>
      </c>
      <c r="Y36" s="604">
        <f t="shared" si="9"/>
        <v>6.5373279352226712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89487.666666666701</v>
      </c>
      <c r="C37" s="636">
        <f t="shared" si="0"/>
        <v>108.2666666668636</v>
      </c>
      <c r="D37" s="770">
        <v>12546</v>
      </c>
      <c r="E37" s="636">
        <f t="shared" si="1"/>
        <v>145</v>
      </c>
      <c r="F37" s="766">
        <v>55172</v>
      </c>
      <c r="G37" s="636">
        <f>IF(F37&gt;=F36,F37-F36,0)*0.58</f>
        <v>49.879999999999995</v>
      </c>
      <c r="H37" s="636">
        <f t="shared" si="3"/>
        <v>303.14666666686361</v>
      </c>
      <c r="I37" s="3">
        <v>309</v>
      </c>
      <c r="J37" s="722"/>
      <c r="K37" s="3">
        <v>5365</v>
      </c>
      <c r="L37" s="722"/>
      <c r="M37" s="722"/>
      <c r="N37" s="526"/>
      <c r="O37" s="535">
        <f t="shared" si="4"/>
        <v>0</v>
      </c>
      <c r="P37" s="526"/>
      <c r="Q37" s="436">
        <f t="shared" si="5"/>
        <v>175.82506666678088</v>
      </c>
      <c r="R37" s="721"/>
      <c r="S37" s="436">
        <f t="shared" si="6"/>
        <v>0</v>
      </c>
      <c r="T37" s="706">
        <f>Elect!BT36</f>
        <v>238</v>
      </c>
      <c r="U37" s="604">
        <f t="shared" si="7"/>
        <v>1.273725490196906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125</v>
      </c>
      <c r="B38" s="800"/>
      <c r="C38" s="727">
        <f>SUM(C7:C37)</f>
        <v>3866.6666666668634</v>
      </c>
      <c r="D38" s="538"/>
      <c r="E38" s="727">
        <f>SUM(E7:E37)</f>
        <v>5005.4000000000005</v>
      </c>
      <c r="F38" s="538"/>
      <c r="G38" s="727">
        <f>SUM(G7:G37)</f>
        <v>3928.3399999999997</v>
      </c>
      <c r="H38" s="727">
        <f>SUM(H7:H37)</f>
        <v>12800.406666666864</v>
      </c>
      <c r="I38" s="727">
        <f>I37-I6</f>
        <v>7</v>
      </c>
      <c r="J38" s="542"/>
      <c r="K38" s="727">
        <f>K37-K6</f>
        <v>104</v>
      </c>
      <c r="L38" s="542"/>
      <c r="M38" s="542"/>
      <c r="N38" s="538"/>
      <c r="O38" s="542">
        <f>SUM(O7:O36)</f>
        <v>0</v>
      </c>
      <c r="P38" s="538"/>
      <c r="Q38" s="542">
        <f>SUM(Q7:Q34)</f>
        <v>6867.6059999999979</v>
      </c>
      <c r="R38" s="538"/>
      <c r="S38" s="542">
        <f>SUM(S7:S34)</f>
        <v>0</v>
      </c>
      <c r="T38" s="543">
        <f>SUM(T7:T36)</f>
        <v>6575</v>
      </c>
      <c r="U38" s="605">
        <f>IF(H38&gt;0,H38/T38,0)</f>
        <v>1.9468299112801315</v>
      </c>
      <c r="V38" s="659">
        <f>SUM(V7:V36)</f>
        <v>0</v>
      </c>
      <c r="W38" s="605" t="e">
        <f>IF(H38&gt;0,H38/V38,0)</f>
        <v>#DIV/0!</v>
      </c>
      <c r="X38" s="608">
        <f>SUM(X7:X36)</f>
        <v>49989.04</v>
      </c>
      <c r="Y38" s="605">
        <f t="shared" ref="Y38:Y44" si="13">IF(X38&gt;0,X38/T38,0)</f>
        <v>7.6028958174904941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126</v>
      </c>
      <c r="B39" s="800"/>
      <c r="C39" s="547">
        <f>C38/B48</f>
        <v>128.88888888889545</v>
      </c>
      <c r="D39" s="539"/>
      <c r="E39" s="547">
        <f>E38/B48</f>
        <v>166.84666666666669</v>
      </c>
      <c r="F39" s="539"/>
      <c r="G39" s="547">
        <f>G38/B48</f>
        <v>130.94466666666665</v>
      </c>
      <c r="H39" s="547">
        <f>H38/B48</f>
        <v>426.68022222222879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228.92019999999994</v>
      </c>
      <c r="R39" s="539"/>
      <c r="S39" s="547" t="e">
        <f>S38/C48</f>
        <v>#DIV/0!</v>
      </c>
      <c r="T39" s="548">
        <f>T38/B48</f>
        <v>219.16666666666666</v>
      </c>
      <c r="U39" s="606">
        <f>IF(H39&gt;0,H39/T39,0)</f>
        <v>1.9468299112801315</v>
      </c>
      <c r="V39" s="619">
        <f>V38/B48</f>
        <v>0</v>
      </c>
      <c r="W39" s="605" t="e">
        <f>IF(H39&gt;0,H39/V39,0)</f>
        <v>#DIV/0!</v>
      </c>
      <c r="X39" s="610">
        <f>X38/B48</f>
        <v>1666.3013333333333</v>
      </c>
      <c r="Y39" s="606">
        <f t="shared" si="13"/>
        <v>7.602895817490495</v>
      </c>
      <c r="Z39" s="611" t="e">
        <f t="shared" si="14"/>
        <v>#DIV/0!</v>
      </c>
    </row>
    <row r="40" spans="1:26" s="3" customFormat="1" ht="36.75" customHeight="1">
      <c r="A40" s="597" t="s">
        <v>153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154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155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156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157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158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159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160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127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77" t="s">
        <v>131</v>
      </c>
      <c r="B136" s="877"/>
      <c r="C136" s="877"/>
      <c r="D136" s="877"/>
      <c r="E136" s="877"/>
      <c r="F136" s="877"/>
      <c r="G136" s="877"/>
      <c r="H136" s="877"/>
      <c r="I136" s="877"/>
      <c r="J136" s="877"/>
      <c r="K136" s="877"/>
      <c r="L136" s="877"/>
      <c r="M136" s="877"/>
      <c r="N136" s="877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5" activePane="bottomRight" state="frozen"/>
      <selection pane="bottomRight" activeCell="F34" sqref="F34:F37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89">
        <f>Elect!A1</f>
        <v>44835</v>
      </c>
      <c r="E1" s="849" t="s">
        <v>49</v>
      </c>
      <c r="H1" s="564" t="s">
        <v>161</v>
      </c>
      <c r="I1" s="667"/>
      <c r="J1" s="565">
        <v>3.9</v>
      </c>
    </row>
    <row r="2" spans="1:13" ht="23.25" customHeight="1">
      <c r="A2" s="889"/>
      <c r="C2" s="27"/>
      <c r="E2" s="849"/>
      <c r="G2" s="27"/>
      <c r="H2" s="27"/>
      <c r="I2" s="27"/>
      <c r="K2" s="529"/>
      <c r="L2" s="528"/>
      <c r="M2" s="385"/>
    </row>
    <row r="3" spans="1:13" ht="21" customHeight="1" thickBot="1">
      <c r="A3" s="890"/>
      <c r="B3" s="27"/>
      <c r="C3" s="27"/>
      <c r="D3" s="27"/>
      <c r="E3" s="850"/>
      <c r="F3" s="27"/>
      <c r="G3" s="27"/>
      <c r="H3" s="27"/>
      <c r="I3" s="27"/>
    </row>
    <row r="4" spans="1:13" ht="53.25" customHeight="1">
      <c r="A4" s="660" t="s">
        <v>162</v>
      </c>
      <c r="B4" s="891" t="s">
        <v>163</v>
      </c>
      <c r="C4" s="892"/>
      <c r="D4" s="891" t="s">
        <v>164</v>
      </c>
      <c r="E4" s="892"/>
      <c r="F4" s="891" t="s">
        <v>165</v>
      </c>
      <c r="G4" s="892"/>
      <c r="H4" s="534" t="s">
        <v>166</v>
      </c>
      <c r="I4" s="534" t="s">
        <v>167</v>
      </c>
      <c r="J4" s="533" t="s">
        <v>168</v>
      </c>
      <c r="K4" s="733" t="s">
        <v>169</v>
      </c>
      <c r="L4" s="23"/>
      <c r="M4" s="23"/>
    </row>
    <row r="5" spans="1:13" ht="26.25" customHeight="1" thickBot="1">
      <c r="A5" s="661"/>
      <c r="B5" s="137" t="s">
        <v>53</v>
      </c>
      <c r="C5" s="138" t="s">
        <v>54</v>
      </c>
      <c r="D5" s="137" t="s">
        <v>53</v>
      </c>
      <c r="E5" s="138" t="s">
        <v>54</v>
      </c>
      <c r="F5" s="137" t="s">
        <v>53</v>
      </c>
      <c r="G5" s="138" t="s">
        <v>54</v>
      </c>
      <c r="H5" s="25" t="s">
        <v>170</v>
      </c>
      <c r="I5" s="25" t="s">
        <v>170</v>
      </c>
      <c r="J5" s="25" t="s">
        <v>170</v>
      </c>
      <c r="K5" s="138" t="s">
        <v>54</v>
      </c>
      <c r="L5" s="23"/>
      <c r="M5" s="23"/>
    </row>
    <row r="6" spans="1:13" s="3" customFormat="1" ht="41.25" customHeight="1">
      <c r="A6" s="662"/>
      <c r="B6" s="763">
        <v>8325662</v>
      </c>
      <c r="C6" s="636">
        <f t="shared" ref="C6:C14" si="0">IF(B6&gt;=B5,B6-B5,0)*1.06</f>
        <v>0</v>
      </c>
      <c r="D6" s="770">
        <v>570405</v>
      </c>
      <c r="E6" s="636">
        <f>IF(D6&gt;=D5,D6-D5,0)*0.7</f>
        <v>0</v>
      </c>
      <c r="F6" s="770">
        <v>623957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8326849</v>
      </c>
      <c r="C7" s="636">
        <f t="shared" si="0"/>
        <v>1258.22</v>
      </c>
      <c r="D7" s="770">
        <v>570859</v>
      </c>
      <c r="E7" s="636">
        <f t="shared" ref="E7:E35" si="2">IF(D7&gt;=D6,D7-D6,0)*0.7</f>
        <v>317.79999999999995</v>
      </c>
      <c r="F7" s="770">
        <v>624025</v>
      </c>
      <c r="G7" s="636">
        <f t="shared" si="1"/>
        <v>68</v>
      </c>
      <c r="H7" s="636">
        <f>(E7*0.55)*1.61</f>
        <v>281.4119</v>
      </c>
      <c r="I7" s="636">
        <f>C7*J1</f>
        <v>4907.058</v>
      </c>
      <c r="J7" s="636">
        <f>G7*J1</f>
        <v>265.2</v>
      </c>
      <c r="K7" s="692">
        <f t="shared" ref="K7:K37" si="3">C7+E7</f>
        <v>1576.02</v>
      </c>
    </row>
    <row r="8" spans="1:13" s="3" customFormat="1" ht="41.25" customHeight="1">
      <c r="A8" s="662">
        <v>2</v>
      </c>
      <c r="B8" s="763">
        <v>8328133</v>
      </c>
      <c r="C8" s="636">
        <f t="shared" si="0"/>
        <v>1361.04</v>
      </c>
      <c r="D8" s="770">
        <v>571223</v>
      </c>
      <c r="E8" s="636">
        <f t="shared" si="2"/>
        <v>254.79999999999998</v>
      </c>
      <c r="F8" s="770">
        <v>624122</v>
      </c>
      <c r="G8" s="636">
        <f t="shared" si="1"/>
        <v>97</v>
      </c>
      <c r="H8" s="636">
        <f t="shared" ref="H8:H37" si="4">(E8*0.55)*1.61</f>
        <v>225.62540000000004</v>
      </c>
      <c r="I8" s="636">
        <f>C8*J1</f>
        <v>5308.0559999999996</v>
      </c>
      <c r="J8" s="636">
        <f>G8*J1</f>
        <v>378.3</v>
      </c>
      <c r="K8" s="692">
        <f t="shared" si="3"/>
        <v>1615.84</v>
      </c>
    </row>
    <row r="9" spans="1:13" s="3" customFormat="1" ht="41.25" customHeight="1">
      <c r="A9" s="662">
        <v>3</v>
      </c>
      <c r="B9" s="763">
        <v>8329309</v>
      </c>
      <c r="C9" s="636">
        <f t="shared" si="0"/>
        <v>1246.5600000000002</v>
      </c>
      <c r="D9" s="770">
        <v>571774</v>
      </c>
      <c r="E9" s="636">
        <f t="shared" si="2"/>
        <v>385.7</v>
      </c>
      <c r="F9" s="770">
        <v>624218</v>
      </c>
      <c r="G9" s="636">
        <f t="shared" si="1"/>
        <v>96</v>
      </c>
      <c r="H9" s="636">
        <f>(E9*0.55)*1.61</f>
        <v>341.53735000000006</v>
      </c>
      <c r="I9" s="636">
        <f>C9*J1</f>
        <v>4861.5840000000007</v>
      </c>
      <c r="J9" s="636">
        <f>G9*J1</f>
        <v>374.4</v>
      </c>
      <c r="K9" s="692">
        <f>C9+E9</f>
        <v>1632.2600000000002</v>
      </c>
    </row>
    <row r="10" spans="1:13" s="3" customFormat="1" ht="41.25" customHeight="1">
      <c r="A10" s="662">
        <v>4</v>
      </c>
      <c r="B10" s="763">
        <v>8330425</v>
      </c>
      <c r="C10" s="636">
        <f>IF(B10&gt;=B9,B10-B9,0)*1.06</f>
        <v>1182.96</v>
      </c>
      <c r="D10" s="770">
        <v>572184</v>
      </c>
      <c r="E10" s="636">
        <f t="shared" si="2"/>
        <v>287</v>
      </c>
      <c r="F10" s="770">
        <v>624297</v>
      </c>
      <c r="G10" s="636">
        <f t="shared" si="1"/>
        <v>79</v>
      </c>
      <c r="H10" s="636">
        <f>(E10*0.55)*1.61</f>
        <v>254.13850000000005</v>
      </c>
      <c r="I10" s="636">
        <f>C10*J1</f>
        <v>4613.5439999999999</v>
      </c>
      <c r="J10" s="636">
        <f>G10*J1</f>
        <v>308.09999999999997</v>
      </c>
      <c r="K10" s="692">
        <f t="shared" si="3"/>
        <v>1469.96</v>
      </c>
    </row>
    <row r="11" spans="1:13" s="3" customFormat="1" ht="41.25" customHeight="1">
      <c r="A11" s="662">
        <v>5</v>
      </c>
      <c r="B11" s="763">
        <v>8331672</v>
      </c>
      <c r="C11" s="636">
        <f>IF(B11&gt;=B10,B11-B10,0)*1.06</f>
        <v>1321.8200000000002</v>
      </c>
      <c r="D11" s="770">
        <v>572591</v>
      </c>
      <c r="E11" s="636">
        <f t="shared" si="2"/>
        <v>284.89999999999998</v>
      </c>
      <c r="F11" s="770">
        <v>624387</v>
      </c>
      <c r="G11" s="636">
        <f t="shared" si="1"/>
        <v>90</v>
      </c>
      <c r="H11" s="636">
        <f t="shared" si="4"/>
        <v>252.27895000000001</v>
      </c>
      <c r="I11" s="636">
        <f>C11*J1</f>
        <v>5155.0980000000009</v>
      </c>
      <c r="J11" s="636">
        <f>G11*J1</f>
        <v>351</v>
      </c>
      <c r="K11" s="692">
        <f t="shared" si="3"/>
        <v>1606.7200000000003</v>
      </c>
    </row>
    <row r="12" spans="1:13" s="3" customFormat="1" ht="41.25" customHeight="1">
      <c r="A12" s="662">
        <v>6</v>
      </c>
      <c r="B12" s="763">
        <v>8332790</v>
      </c>
      <c r="C12" s="636">
        <f>IF(B12&gt;=B11,B12-B11,0)*1.06</f>
        <v>1185.0800000000002</v>
      </c>
      <c r="D12" s="770">
        <v>572999</v>
      </c>
      <c r="E12" s="636">
        <f t="shared" si="2"/>
        <v>285.59999999999997</v>
      </c>
      <c r="F12" s="770">
        <v>624467</v>
      </c>
      <c r="G12" s="636">
        <f t="shared" si="1"/>
        <v>80</v>
      </c>
      <c r="H12" s="636">
        <f t="shared" si="4"/>
        <v>252.89879999999999</v>
      </c>
      <c r="I12" s="636">
        <f>C12*J1</f>
        <v>4621.8120000000008</v>
      </c>
      <c r="J12" s="636">
        <f>G12*J1</f>
        <v>312</v>
      </c>
      <c r="K12" s="692">
        <f t="shared" si="3"/>
        <v>1470.68</v>
      </c>
    </row>
    <row r="13" spans="1:13" s="3" customFormat="1" ht="41.25" customHeight="1">
      <c r="A13" s="662">
        <v>7</v>
      </c>
      <c r="B13" s="763">
        <v>8334124</v>
      </c>
      <c r="C13" s="636">
        <f>IF(B13&gt;=B12,B13-B12,0)*1.06</f>
        <v>1414.04</v>
      </c>
      <c r="D13" s="770">
        <v>573430</v>
      </c>
      <c r="E13" s="636">
        <f t="shared" si="2"/>
        <v>301.7</v>
      </c>
      <c r="F13" s="770">
        <v>624557</v>
      </c>
      <c r="G13" s="636">
        <f t="shared" si="1"/>
        <v>90</v>
      </c>
      <c r="H13" s="636">
        <f t="shared" si="4"/>
        <v>267.15535</v>
      </c>
      <c r="I13" s="636">
        <f>C13*J1</f>
        <v>5514.7559999999994</v>
      </c>
      <c r="J13" s="636">
        <f>G13*J1</f>
        <v>351</v>
      </c>
      <c r="K13" s="692">
        <f t="shared" si="3"/>
        <v>1715.74</v>
      </c>
    </row>
    <row r="14" spans="1:13" s="3" customFormat="1" ht="41.25" customHeight="1">
      <c r="A14" s="662">
        <v>8</v>
      </c>
      <c r="B14" s="763">
        <v>8335451</v>
      </c>
      <c r="C14" s="636">
        <f t="shared" si="0"/>
        <v>1406.6200000000001</v>
      </c>
      <c r="D14" s="770">
        <v>573875</v>
      </c>
      <c r="E14" s="636">
        <f t="shared" si="2"/>
        <v>311.5</v>
      </c>
      <c r="F14" s="770">
        <v>624642</v>
      </c>
      <c r="G14" s="636">
        <f t="shared" si="1"/>
        <v>85</v>
      </c>
      <c r="H14" s="636">
        <f t="shared" si="4"/>
        <v>275.83325000000002</v>
      </c>
      <c r="I14" s="636">
        <f>C14*J1</f>
        <v>5485.8180000000002</v>
      </c>
      <c r="J14" s="636">
        <f>G14*J1</f>
        <v>331.5</v>
      </c>
      <c r="K14" s="692">
        <f t="shared" si="3"/>
        <v>1718.1200000000001</v>
      </c>
    </row>
    <row r="15" spans="1:13" s="3" customFormat="1" ht="41.25" customHeight="1">
      <c r="A15" s="662">
        <v>9</v>
      </c>
      <c r="B15" s="763">
        <v>8336725</v>
      </c>
      <c r="C15" s="636">
        <f t="shared" ref="C15:C26" si="5">IF(B15&gt;=B14,B15-B14,0)*1.06</f>
        <v>1350.44</v>
      </c>
      <c r="D15" s="770">
        <v>574310.66666666698</v>
      </c>
      <c r="E15" s="636">
        <f t="shared" si="2"/>
        <v>304.96666666688395</v>
      </c>
      <c r="F15" s="770">
        <v>624732</v>
      </c>
      <c r="G15" s="636">
        <f t="shared" si="1"/>
        <v>90</v>
      </c>
      <c r="H15" s="636">
        <f t="shared" si="4"/>
        <v>270.04798333352579</v>
      </c>
      <c r="I15" s="636">
        <f>C15*J1</f>
        <v>5266.7160000000003</v>
      </c>
      <c r="J15" s="636">
        <f>G15*J1</f>
        <v>351</v>
      </c>
      <c r="K15" s="692">
        <f t="shared" si="3"/>
        <v>1655.4066666668841</v>
      </c>
    </row>
    <row r="16" spans="1:13" s="3" customFormat="1" ht="41.25" customHeight="1">
      <c r="A16" s="662">
        <v>10</v>
      </c>
      <c r="B16" s="763">
        <v>8338072</v>
      </c>
      <c r="C16" s="636">
        <f t="shared" si="5"/>
        <v>1427.8200000000002</v>
      </c>
      <c r="D16" s="770">
        <v>574749</v>
      </c>
      <c r="E16" s="636">
        <f t="shared" si="2"/>
        <v>306.833333333116</v>
      </c>
      <c r="F16" s="770">
        <v>624824</v>
      </c>
      <c r="G16" s="636">
        <f t="shared" si="1"/>
        <v>92</v>
      </c>
      <c r="H16" s="636">
        <f t="shared" si="4"/>
        <v>271.70091666647426</v>
      </c>
      <c r="I16" s="636">
        <f>C16*J1</f>
        <v>5568.4980000000005</v>
      </c>
      <c r="J16" s="636">
        <f>G16*J1</f>
        <v>358.8</v>
      </c>
      <c r="K16" s="692">
        <f t="shared" si="3"/>
        <v>1734.6533333331163</v>
      </c>
    </row>
    <row r="17" spans="1:11" s="3" customFormat="1" ht="41.25" customHeight="1">
      <c r="A17" s="662">
        <v>11</v>
      </c>
      <c r="B17" s="763">
        <v>8339370.3333333302</v>
      </c>
      <c r="C17" s="636">
        <f t="shared" si="5"/>
        <v>1376.2333333300428</v>
      </c>
      <c r="D17" s="770">
        <v>575185.55555555597</v>
      </c>
      <c r="E17" s="636">
        <f t="shared" si="2"/>
        <v>305.58888888917863</v>
      </c>
      <c r="F17" s="770">
        <v>624914.66666666698</v>
      </c>
      <c r="G17" s="636">
        <f t="shared" si="1"/>
        <v>90.666666666977108</v>
      </c>
      <c r="H17" s="636">
        <f t="shared" si="4"/>
        <v>270.59896111136771</v>
      </c>
      <c r="I17" s="636">
        <f>C17*J1</f>
        <v>5367.3099999871665</v>
      </c>
      <c r="J17" s="636">
        <f>G17*J1</f>
        <v>353.60000000121073</v>
      </c>
      <c r="K17" s="692">
        <f t="shared" si="3"/>
        <v>1681.8222222192214</v>
      </c>
    </row>
    <row r="18" spans="1:11" s="3" customFormat="1" ht="41.25" customHeight="1">
      <c r="A18" s="662">
        <v>12</v>
      </c>
      <c r="B18" s="763">
        <v>8340620</v>
      </c>
      <c r="C18" s="636">
        <f t="shared" si="5"/>
        <v>1324.6466666699573</v>
      </c>
      <c r="D18" s="770">
        <v>575605</v>
      </c>
      <c r="E18" s="636">
        <f t="shared" si="2"/>
        <v>293.61111111082135</v>
      </c>
      <c r="F18" s="770">
        <v>624997</v>
      </c>
      <c r="G18" s="636">
        <f t="shared" ref="G18:G20" si="6">IF(F18&gt;=F17,F18-F17,0)</f>
        <v>82.333333333022892</v>
      </c>
      <c r="H18" s="636">
        <f t="shared" si="4"/>
        <v>259.99263888863231</v>
      </c>
      <c r="I18" s="636">
        <f>C18*J1</f>
        <v>5166.1220000128333</v>
      </c>
      <c r="J18" s="636">
        <f>G18*J1</f>
        <v>321.09999999878926</v>
      </c>
      <c r="K18" s="692">
        <f t="shared" si="3"/>
        <v>1618.2577777807787</v>
      </c>
    </row>
    <row r="19" spans="1:11" s="3" customFormat="1" ht="41.25" customHeight="1">
      <c r="A19" s="662">
        <v>13</v>
      </c>
      <c r="B19" s="763">
        <v>8341899</v>
      </c>
      <c r="C19" s="636">
        <f>IF(B19&gt;=B18,B19-B18,0)*1.06</f>
        <v>1355.74</v>
      </c>
      <c r="D19" s="770">
        <v>576045</v>
      </c>
      <c r="E19" s="636">
        <f>IF(D19&gt;=D18,D19-D18,0)*0.7</f>
        <v>308</v>
      </c>
      <c r="F19" s="770">
        <v>625097</v>
      </c>
      <c r="G19" s="636">
        <f t="shared" si="6"/>
        <v>100</v>
      </c>
      <c r="H19" s="636">
        <f t="shared" si="4"/>
        <v>272.73400000000004</v>
      </c>
      <c r="I19" s="636">
        <f>C19*J1</f>
        <v>5287.3859999999995</v>
      </c>
      <c r="J19" s="636">
        <f>G19*J1</f>
        <v>390</v>
      </c>
      <c r="K19" s="692">
        <f t="shared" si="3"/>
        <v>1663.74</v>
      </c>
    </row>
    <row r="20" spans="1:11" s="3" customFormat="1" ht="41.25" customHeight="1">
      <c r="A20" s="662">
        <v>14</v>
      </c>
      <c r="B20" s="763">
        <v>8343169</v>
      </c>
      <c r="C20" s="636">
        <f>IF(B20&gt;=B19,B20-B19,0)*1.06</f>
        <v>1346.2</v>
      </c>
      <c r="D20" s="770">
        <v>576481</v>
      </c>
      <c r="E20" s="636">
        <f>IF(D20&gt;=D19,D20-D19,0)*0.7</f>
        <v>305.2</v>
      </c>
      <c r="F20" s="770">
        <v>625181</v>
      </c>
      <c r="G20" s="636">
        <f t="shared" si="6"/>
        <v>84</v>
      </c>
      <c r="H20" s="636">
        <f t="shared" si="4"/>
        <v>270.25460000000004</v>
      </c>
      <c r="I20" s="636">
        <f>C20*J1</f>
        <v>5250.18</v>
      </c>
      <c r="J20" s="636">
        <f>G20*J1</f>
        <v>327.59999999999997</v>
      </c>
      <c r="K20" s="692">
        <f t="shared" si="3"/>
        <v>1651.4</v>
      </c>
    </row>
    <row r="21" spans="1:11" s="3" customFormat="1" ht="41.25" customHeight="1">
      <c r="A21" s="662">
        <v>15</v>
      </c>
      <c r="B21" s="763">
        <v>8344440</v>
      </c>
      <c r="C21" s="636">
        <f>IF(B21&gt;=B20,B21-B20,0)*1.06</f>
        <v>1347.26</v>
      </c>
      <c r="D21" s="770">
        <v>576950</v>
      </c>
      <c r="E21" s="636">
        <f>IF(D21&gt;=D20,D21-D20,0)*0.7</f>
        <v>328.29999999999995</v>
      </c>
      <c r="F21" s="770">
        <v>625271</v>
      </c>
      <c r="G21" s="636">
        <f t="shared" ref="G21:G37" si="7">IF(F21&gt;=F20,F21-F20,0)</f>
        <v>90</v>
      </c>
      <c r="H21" s="636">
        <f t="shared" si="4"/>
        <v>290.70965000000001</v>
      </c>
      <c r="I21" s="636">
        <f>C21*J1</f>
        <v>5254.3139999999994</v>
      </c>
      <c r="J21" s="636">
        <f>G21*J1</f>
        <v>351</v>
      </c>
      <c r="K21" s="692">
        <f t="shared" si="3"/>
        <v>1675.56</v>
      </c>
    </row>
    <row r="22" spans="1:11" s="3" customFormat="1" ht="41.25" customHeight="1">
      <c r="A22" s="662">
        <v>16</v>
      </c>
      <c r="B22" s="763">
        <v>8345828</v>
      </c>
      <c r="C22" s="636">
        <f t="shared" si="5"/>
        <v>1471.28</v>
      </c>
      <c r="D22" s="770">
        <v>577505</v>
      </c>
      <c r="E22" s="636">
        <f t="shared" si="2"/>
        <v>388.5</v>
      </c>
      <c r="F22" s="770">
        <v>625362</v>
      </c>
      <c r="G22" s="636">
        <f t="shared" si="7"/>
        <v>91</v>
      </c>
      <c r="H22" s="636">
        <f t="shared" si="4"/>
        <v>344.01675000000006</v>
      </c>
      <c r="I22" s="636">
        <f>C22*J1</f>
        <v>5737.9920000000002</v>
      </c>
      <c r="J22" s="636">
        <f>G22*J1</f>
        <v>354.9</v>
      </c>
      <c r="K22" s="692">
        <f t="shared" si="3"/>
        <v>1859.78</v>
      </c>
    </row>
    <row r="23" spans="1:11" s="3" customFormat="1" ht="41.25" customHeight="1">
      <c r="A23" s="662">
        <v>17</v>
      </c>
      <c r="B23" s="763">
        <v>8347209</v>
      </c>
      <c r="C23" s="636">
        <f t="shared" si="5"/>
        <v>1463.8600000000001</v>
      </c>
      <c r="D23" s="770">
        <v>577887</v>
      </c>
      <c r="E23" s="636">
        <f t="shared" si="2"/>
        <v>267.39999999999998</v>
      </c>
      <c r="F23" s="770">
        <v>625436</v>
      </c>
      <c r="G23" s="636">
        <f t="shared" si="7"/>
        <v>74</v>
      </c>
      <c r="H23" s="636">
        <f t="shared" si="4"/>
        <v>236.78270000000001</v>
      </c>
      <c r="I23" s="636">
        <f>C23*J1</f>
        <v>5709.0540000000001</v>
      </c>
      <c r="J23" s="636">
        <f>G23*J1</f>
        <v>288.59999999999997</v>
      </c>
      <c r="K23" s="692">
        <f t="shared" si="3"/>
        <v>1731.2600000000002</v>
      </c>
    </row>
    <row r="24" spans="1:11" s="3" customFormat="1" ht="41.25" customHeight="1">
      <c r="A24" s="662">
        <v>18</v>
      </c>
      <c r="B24" s="763">
        <v>8348566</v>
      </c>
      <c r="C24" s="636">
        <f t="shared" si="5"/>
        <v>1438.42</v>
      </c>
      <c r="D24" s="770">
        <v>578371</v>
      </c>
      <c r="E24" s="636">
        <f t="shared" si="2"/>
        <v>338.79999999999995</v>
      </c>
      <c r="F24" s="770">
        <v>625532</v>
      </c>
      <c r="G24" s="636">
        <f t="shared" si="7"/>
        <v>96</v>
      </c>
      <c r="H24" s="636">
        <f t="shared" si="4"/>
        <v>300.00740000000002</v>
      </c>
      <c r="I24" s="636">
        <f>C24*J1</f>
        <v>5609.8379999999997</v>
      </c>
      <c r="J24" s="636">
        <f>G24*J1</f>
        <v>374.4</v>
      </c>
      <c r="K24" s="692">
        <f t="shared" si="3"/>
        <v>1777.22</v>
      </c>
    </row>
    <row r="25" spans="1:11" s="3" customFormat="1" ht="41.25" customHeight="1">
      <c r="A25" s="662">
        <v>19</v>
      </c>
      <c r="B25" s="763">
        <v>8349939</v>
      </c>
      <c r="C25" s="636">
        <f t="shared" si="5"/>
        <v>1455.38</v>
      </c>
      <c r="D25" s="770">
        <v>578839</v>
      </c>
      <c r="E25" s="636">
        <f t="shared" si="2"/>
        <v>327.59999999999997</v>
      </c>
      <c r="F25" s="770">
        <v>625620</v>
      </c>
      <c r="G25" s="636">
        <f t="shared" si="7"/>
        <v>88</v>
      </c>
      <c r="H25" s="636">
        <f t="shared" si="4"/>
        <v>290.08980000000003</v>
      </c>
      <c r="I25" s="636">
        <f>C25*J1</f>
        <v>5675.982</v>
      </c>
      <c r="J25" s="636">
        <f>G25*J1</f>
        <v>343.2</v>
      </c>
      <c r="K25" s="692">
        <f t="shared" si="3"/>
        <v>1782.98</v>
      </c>
    </row>
    <row r="26" spans="1:11" s="3" customFormat="1" ht="41.25" customHeight="1">
      <c r="A26" s="662">
        <v>20</v>
      </c>
      <c r="B26" s="763">
        <v>8351103</v>
      </c>
      <c r="C26" s="636">
        <f t="shared" si="5"/>
        <v>1233.8400000000001</v>
      </c>
      <c r="D26" s="770">
        <v>579275</v>
      </c>
      <c r="E26" s="636">
        <f t="shared" si="2"/>
        <v>305.2</v>
      </c>
      <c r="F26" s="770">
        <v>625706</v>
      </c>
      <c r="G26" s="636">
        <f t="shared" si="7"/>
        <v>86</v>
      </c>
      <c r="H26" s="636">
        <f t="shared" si="4"/>
        <v>270.25460000000004</v>
      </c>
      <c r="I26" s="636">
        <f>C26*J1</f>
        <v>4811.9760000000006</v>
      </c>
      <c r="J26" s="636">
        <f>G26*J1</f>
        <v>335.4</v>
      </c>
      <c r="K26" s="692">
        <f t="shared" si="3"/>
        <v>1539.0400000000002</v>
      </c>
    </row>
    <row r="27" spans="1:11" s="3" customFormat="1" ht="41.25" customHeight="1">
      <c r="A27" s="662">
        <v>21</v>
      </c>
      <c r="B27" s="763">
        <v>8352441</v>
      </c>
      <c r="C27" s="636">
        <f t="shared" ref="C27:C32" si="8">IF(B27&gt;=B26,B27-B26,0)*1.06</f>
        <v>1418.28</v>
      </c>
      <c r="D27" s="770">
        <v>579738</v>
      </c>
      <c r="E27" s="636">
        <f t="shared" si="2"/>
        <v>324.09999999999997</v>
      </c>
      <c r="F27" s="770">
        <v>625797</v>
      </c>
      <c r="G27" s="636">
        <f t="shared" si="7"/>
        <v>91</v>
      </c>
      <c r="H27" s="636">
        <f t="shared" si="4"/>
        <v>286.99054999999998</v>
      </c>
      <c r="I27" s="636">
        <f>C27*J1</f>
        <v>5531.2919999999995</v>
      </c>
      <c r="J27" s="636">
        <f>G27*J1</f>
        <v>354.9</v>
      </c>
      <c r="K27" s="692">
        <f t="shared" si="3"/>
        <v>1742.3799999999999</v>
      </c>
    </row>
    <row r="28" spans="1:11" s="3" customFormat="1" ht="41.25" customHeight="1">
      <c r="A28" s="662">
        <v>22</v>
      </c>
      <c r="B28" s="763">
        <v>8353743</v>
      </c>
      <c r="C28" s="636">
        <f t="shared" si="8"/>
        <v>1380.1200000000001</v>
      </c>
      <c r="D28" s="770">
        <v>580257</v>
      </c>
      <c r="E28" s="636">
        <f t="shared" si="2"/>
        <v>363.29999999999995</v>
      </c>
      <c r="F28" s="770">
        <v>625892</v>
      </c>
      <c r="G28" s="636">
        <f t="shared" si="7"/>
        <v>95</v>
      </c>
      <c r="H28" s="636">
        <f>(E28*0.55)*1.61</f>
        <v>321.70215000000002</v>
      </c>
      <c r="I28" s="636">
        <f>C28*J1</f>
        <v>5382.4680000000008</v>
      </c>
      <c r="J28" s="636">
        <f>G28*J1</f>
        <v>370.5</v>
      </c>
      <c r="K28" s="692"/>
    </row>
    <row r="29" spans="1:11" s="3" customFormat="1" ht="41.25" customHeight="1">
      <c r="A29" s="662">
        <v>23</v>
      </c>
      <c r="B29" s="763">
        <v>8354914</v>
      </c>
      <c r="C29" s="636">
        <f t="shared" si="8"/>
        <v>1241.26</v>
      </c>
      <c r="D29" s="770">
        <v>580692</v>
      </c>
      <c r="E29" s="636">
        <f t="shared" si="2"/>
        <v>304.5</v>
      </c>
      <c r="F29" s="770">
        <v>625979</v>
      </c>
      <c r="G29" s="636">
        <f t="shared" si="7"/>
        <v>87</v>
      </c>
      <c r="H29" s="636">
        <f>(E29*0.55)*1.61</f>
        <v>269.63475000000005</v>
      </c>
      <c r="I29" s="636">
        <f>C29*J1</f>
        <v>4840.9139999999998</v>
      </c>
      <c r="J29" s="636">
        <f>G29*J1</f>
        <v>339.3</v>
      </c>
      <c r="K29" s="692">
        <f t="shared" si="3"/>
        <v>1545.76</v>
      </c>
    </row>
    <row r="30" spans="1:11" s="3" customFormat="1" ht="41.25" customHeight="1">
      <c r="A30" s="662">
        <v>24</v>
      </c>
      <c r="B30" s="763">
        <v>8356215</v>
      </c>
      <c r="C30" s="636">
        <f t="shared" si="8"/>
        <v>1379.0600000000002</v>
      </c>
      <c r="D30" s="770">
        <v>581142</v>
      </c>
      <c r="E30" s="636">
        <f t="shared" si="2"/>
        <v>315</v>
      </c>
      <c r="F30" s="770">
        <v>626067</v>
      </c>
      <c r="G30" s="636">
        <f t="shared" si="7"/>
        <v>88</v>
      </c>
      <c r="H30" s="636">
        <f>(E30*0.55)*1.61</f>
        <v>278.9325</v>
      </c>
      <c r="I30" s="636">
        <f>C30*J1</f>
        <v>5378.3340000000007</v>
      </c>
      <c r="J30" s="636">
        <f>G30*J1</f>
        <v>343.2</v>
      </c>
      <c r="K30" s="692">
        <f t="shared" si="3"/>
        <v>1694.0600000000002</v>
      </c>
    </row>
    <row r="31" spans="1:11" s="3" customFormat="1" ht="41.25" customHeight="1">
      <c r="A31" s="662">
        <v>25</v>
      </c>
      <c r="B31" s="763">
        <v>8357899</v>
      </c>
      <c r="C31" s="636">
        <f t="shared" si="8"/>
        <v>1785.0400000000002</v>
      </c>
      <c r="D31" s="770">
        <v>581609</v>
      </c>
      <c r="E31" s="636">
        <f t="shared" si="2"/>
        <v>326.89999999999998</v>
      </c>
      <c r="F31" s="770">
        <v>626177</v>
      </c>
      <c r="G31" s="636">
        <f t="shared" si="7"/>
        <v>110</v>
      </c>
      <c r="H31" s="636">
        <f t="shared" si="4"/>
        <v>289.46995000000004</v>
      </c>
      <c r="I31" s="636">
        <f>C31*J3</f>
        <v>0</v>
      </c>
      <c r="J31" s="636">
        <f>G31*J1</f>
        <v>429</v>
      </c>
      <c r="K31" s="692">
        <f t="shared" si="3"/>
        <v>2111.94</v>
      </c>
    </row>
    <row r="32" spans="1:11" s="3" customFormat="1" ht="41.25" customHeight="1">
      <c r="A32" s="662">
        <v>26</v>
      </c>
      <c r="B32" s="763">
        <v>8359164</v>
      </c>
      <c r="C32" s="636">
        <f t="shared" si="8"/>
        <v>1340.9</v>
      </c>
      <c r="D32" s="770">
        <v>581964</v>
      </c>
      <c r="E32" s="636">
        <f t="shared" si="2"/>
        <v>248.49999999999997</v>
      </c>
      <c r="F32" s="770">
        <v>626201</v>
      </c>
      <c r="G32" s="636">
        <f t="shared" si="7"/>
        <v>24</v>
      </c>
      <c r="H32" s="636">
        <f t="shared" si="4"/>
        <v>220.04674999999997</v>
      </c>
      <c r="I32" s="636">
        <f>C32*J1</f>
        <v>5229.51</v>
      </c>
      <c r="J32" s="636">
        <f>G32*J1</f>
        <v>93.6</v>
      </c>
      <c r="K32" s="692">
        <f t="shared" si="3"/>
        <v>1589.4</v>
      </c>
    </row>
    <row r="33" spans="1:13" s="205" customFormat="1" ht="41.25" customHeight="1">
      <c r="A33" s="663">
        <v>27</v>
      </c>
      <c r="B33" s="763">
        <v>8360290</v>
      </c>
      <c r="C33" s="636">
        <f t="shared" ref="C33:C37" si="9">IF(B33&gt;=B32,B33-B32,0)*1.06</f>
        <v>1193.5600000000002</v>
      </c>
      <c r="D33" s="770">
        <v>582449</v>
      </c>
      <c r="E33" s="636">
        <f t="shared" si="2"/>
        <v>339.5</v>
      </c>
      <c r="F33" s="770">
        <v>626230</v>
      </c>
      <c r="G33" s="636">
        <f t="shared" si="7"/>
        <v>29</v>
      </c>
      <c r="H33" s="636">
        <f t="shared" si="4"/>
        <v>300.62725000000006</v>
      </c>
      <c r="I33" s="636">
        <f>C33*J1</f>
        <v>4654.8840000000009</v>
      </c>
      <c r="J33" s="636">
        <f>G33*J1</f>
        <v>113.1</v>
      </c>
      <c r="K33" s="692">
        <f t="shared" si="3"/>
        <v>1533.0600000000002</v>
      </c>
    </row>
    <row r="34" spans="1:13" s="205" customFormat="1" ht="41.25" customHeight="1">
      <c r="A34" s="663">
        <v>28</v>
      </c>
      <c r="B34" s="763">
        <v>8361770</v>
      </c>
      <c r="C34" s="636">
        <f t="shared" si="9"/>
        <v>1568.8000000000002</v>
      </c>
      <c r="D34" s="770">
        <v>582920</v>
      </c>
      <c r="E34" s="636">
        <f t="shared" si="2"/>
        <v>329.7</v>
      </c>
      <c r="F34" s="770">
        <v>626420</v>
      </c>
      <c r="G34" s="636">
        <f t="shared" si="7"/>
        <v>190</v>
      </c>
      <c r="H34" s="636">
        <f t="shared" si="4"/>
        <v>291.94935000000004</v>
      </c>
      <c r="I34" s="636">
        <f>C34*J1</f>
        <v>6118.3200000000006</v>
      </c>
      <c r="J34" s="636">
        <f>G34*J1</f>
        <v>741</v>
      </c>
      <c r="K34" s="692">
        <f t="shared" si="3"/>
        <v>1898.5000000000002</v>
      </c>
    </row>
    <row r="35" spans="1:13" s="205" customFormat="1" ht="41.25" customHeight="1">
      <c r="A35" s="662">
        <v>29</v>
      </c>
      <c r="B35" s="763">
        <v>8363041</v>
      </c>
      <c r="C35" s="636">
        <f t="shared" si="9"/>
        <v>1347.26</v>
      </c>
      <c r="D35" s="770">
        <v>583332</v>
      </c>
      <c r="E35" s="636">
        <f t="shared" si="2"/>
        <v>288.39999999999998</v>
      </c>
      <c r="F35" s="770">
        <v>626502</v>
      </c>
      <c r="G35" s="636">
        <f t="shared" si="7"/>
        <v>82</v>
      </c>
      <c r="H35" s="636">
        <f t="shared" si="4"/>
        <v>255.37820000000002</v>
      </c>
      <c r="I35" s="636">
        <f>C35*J1</f>
        <v>5254.3139999999994</v>
      </c>
      <c r="J35" s="636">
        <f>G35*J1</f>
        <v>319.8</v>
      </c>
      <c r="K35" s="692">
        <f t="shared" si="3"/>
        <v>1635.6599999999999</v>
      </c>
    </row>
    <row r="36" spans="1:13" s="205" customFormat="1" ht="41.25" customHeight="1">
      <c r="A36" s="663">
        <v>30</v>
      </c>
      <c r="B36" s="763">
        <v>8364341</v>
      </c>
      <c r="C36" s="636">
        <f t="shared" si="9"/>
        <v>1378</v>
      </c>
      <c r="D36" s="770">
        <v>583821</v>
      </c>
      <c r="E36" s="636">
        <f>IF(D36&gt;=D35,D36-D35,0)*0.7</f>
        <v>342.29999999999995</v>
      </c>
      <c r="F36" s="770">
        <v>626575</v>
      </c>
      <c r="G36" s="636">
        <f t="shared" si="7"/>
        <v>73</v>
      </c>
      <c r="H36" s="636">
        <f t="shared" si="4"/>
        <v>303.10665</v>
      </c>
      <c r="I36" s="636">
        <f>C36*J1</f>
        <v>5374.2</v>
      </c>
      <c r="J36" s="636">
        <f>G36*J1</f>
        <v>284.7</v>
      </c>
      <c r="K36" s="692">
        <f t="shared" si="3"/>
        <v>1720.3</v>
      </c>
    </row>
    <row r="37" spans="1:13" s="205" customFormat="1" ht="41.25" customHeight="1">
      <c r="A37" s="663">
        <v>31</v>
      </c>
      <c r="B37" s="763">
        <v>8365621.6666666698</v>
      </c>
      <c r="C37" s="636">
        <f t="shared" si="9"/>
        <v>1357.5066666699574</v>
      </c>
      <c r="D37" s="770">
        <v>584258.66666666698</v>
      </c>
      <c r="E37" s="636">
        <f>IF(D37&gt;=D36,D37-D36,0)*0.7</f>
        <v>306.36666666688393</v>
      </c>
      <c r="F37" s="770">
        <v>626654</v>
      </c>
      <c r="G37" s="636">
        <f t="shared" si="7"/>
        <v>79</v>
      </c>
      <c r="H37" s="636">
        <f t="shared" si="4"/>
        <v>271.28768333352576</v>
      </c>
      <c r="I37" s="636">
        <f>C37*J1</f>
        <v>5294.2760000128337</v>
      </c>
      <c r="J37" s="636">
        <f>G37*J1</f>
        <v>308.09999999999997</v>
      </c>
      <c r="K37" s="692">
        <f t="shared" si="3"/>
        <v>1663.8733333368414</v>
      </c>
    </row>
    <row r="38" spans="1:13" s="205" customFormat="1" ht="41.25" customHeight="1">
      <c r="A38" s="664" t="s">
        <v>125</v>
      </c>
      <c r="B38" s="687"/>
      <c r="C38" s="688">
        <f>SUM(C7:C37)</f>
        <v>42357.246666669962</v>
      </c>
      <c r="D38" s="687"/>
      <c r="E38" s="688">
        <f>SUM(E7:E37)</f>
        <v>9697.5666666668822</v>
      </c>
      <c r="F38" s="687"/>
      <c r="G38" s="688">
        <f>SUM(G7:G37)</f>
        <v>2697</v>
      </c>
      <c r="H38" s="689">
        <f>SUM(H6:H37)</f>
        <v>8587.1952833335254</v>
      </c>
      <c r="I38" s="689">
        <f>SUM(I6:I37)</f>
        <v>158231.60600001286</v>
      </c>
      <c r="J38" s="689">
        <f>SUM(J6:J37)</f>
        <v>10518.300000000001</v>
      </c>
      <c r="K38" s="734">
        <f>SUM(K6:K37)</f>
        <v>50311.393333336848</v>
      </c>
    </row>
    <row r="39" spans="1:13" s="205" customFormat="1" ht="41.25" customHeight="1" thickBot="1">
      <c r="A39" s="665" t="s">
        <v>171</v>
      </c>
      <c r="B39" s="690"/>
      <c r="C39" s="691">
        <f>C38/A42</f>
        <v>1411.9082222223321</v>
      </c>
      <c r="D39" s="690"/>
      <c r="E39" s="691">
        <f>E38/A42</f>
        <v>323.25222222222942</v>
      </c>
      <c r="F39" s="690"/>
      <c r="G39" s="691">
        <f>G38/A42</f>
        <v>89.9</v>
      </c>
      <c r="H39" s="691">
        <f>H38/A42</f>
        <v>286.23984277778419</v>
      </c>
      <c r="I39" s="691">
        <f>I38/A42</f>
        <v>5274.3868666670951</v>
      </c>
      <c r="J39" s="691">
        <f>J38/A42</f>
        <v>350.61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127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20">
        <f>Elect!A1</f>
        <v>44835</v>
      </c>
      <c r="B1" s="168"/>
      <c r="C1" s="168"/>
      <c r="H1" s="139"/>
      <c r="I1" s="140"/>
      <c r="J1" s="141"/>
      <c r="K1" s="141"/>
      <c r="L1" s="922" t="s">
        <v>172</v>
      </c>
      <c r="M1" s="922"/>
      <c r="N1" s="922"/>
      <c r="P1" s="923">
        <f>Elect!A1</f>
        <v>44835</v>
      </c>
      <c r="Q1" s="923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21"/>
      <c r="B2" s="907" t="s">
        <v>173</v>
      </c>
      <c r="C2" s="908"/>
      <c r="D2" s="908"/>
      <c r="E2" s="908"/>
      <c r="F2" s="908"/>
      <c r="G2" s="924"/>
      <c r="H2" s="907" t="s">
        <v>131</v>
      </c>
      <c r="I2" s="908"/>
      <c r="J2" s="908"/>
      <c r="K2" s="908"/>
      <c r="L2" s="908"/>
      <c r="M2" s="908"/>
      <c r="N2" s="908"/>
      <c r="O2" s="908"/>
      <c r="P2" s="924"/>
      <c r="Q2" s="147"/>
      <c r="R2" s="793"/>
      <c r="S2" s="148"/>
      <c r="T2" s="149"/>
      <c r="U2" s="150" t="s">
        <v>174</v>
      </c>
      <c r="V2" s="149"/>
      <c r="W2" s="149"/>
      <c r="X2" s="149"/>
      <c r="Y2" s="149"/>
      <c r="Z2" s="796"/>
      <c r="AA2" s="795"/>
      <c r="AB2" s="151"/>
      <c r="AC2" s="169" t="s">
        <v>175</v>
      </c>
      <c r="AD2" s="794"/>
      <c r="AE2" s="797"/>
      <c r="AF2" s="152"/>
      <c r="AG2" s="895" t="s">
        <v>49</v>
      </c>
      <c r="AH2" s="896"/>
      <c r="AI2" s="896"/>
      <c r="AJ2" s="354" t="s">
        <v>176</v>
      </c>
      <c r="AK2" s="901" t="s">
        <v>177</v>
      </c>
      <c r="AL2" s="903" t="s">
        <v>178</v>
      </c>
      <c r="AM2" s="903" t="s">
        <v>179</v>
      </c>
      <c r="AN2" s="893" t="s">
        <v>180</v>
      </c>
      <c r="AO2" s="911" t="s">
        <v>181</v>
      </c>
      <c r="AP2" s="912" t="s">
        <v>182</v>
      </c>
      <c r="AQ2" s="914" t="s">
        <v>183</v>
      </c>
      <c r="AR2" s="916" t="s">
        <v>184</v>
      </c>
      <c r="AS2" s="918" t="s">
        <v>182</v>
      </c>
      <c r="AT2" s="909" t="s">
        <v>185</v>
      </c>
      <c r="AU2" s="910"/>
      <c r="AV2" s="907" t="s">
        <v>186</v>
      </c>
      <c r="AW2" s="908"/>
      <c r="AX2" s="172"/>
      <c r="AY2" s="173"/>
      <c r="AZ2" s="174" t="s">
        <v>187</v>
      </c>
      <c r="BA2" s="174"/>
      <c r="BB2" s="175"/>
      <c r="BC2" s="155"/>
      <c r="BD2" s="153"/>
      <c r="BE2" s="793" t="s">
        <v>188</v>
      </c>
      <c r="BF2" s="793"/>
      <c r="BG2" s="154"/>
      <c r="BH2" s="174"/>
      <c r="BI2" s="174"/>
      <c r="BJ2" s="174" t="s">
        <v>189</v>
      </c>
      <c r="BK2" s="174"/>
      <c r="BL2" s="175"/>
      <c r="BM2" s="793"/>
      <c r="BN2" s="793"/>
      <c r="BO2" s="793" t="s">
        <v>190</v>
      </c>
      <c r="BP2" s="793"/>
      <c r="BQ2" s="154"/>
    </row>
    <row r="3" spans="1:69" ht="174.75" customHeight="1" thickBot="1">
      <c r="A3" s="156" t="s">
        <v>63</v>
      </c>
      <c r="B3" s="925" t="s">
        <v>191</v>
      </c>
      <c r="C3" s="926"/>
      <c r="D3" s="927" t="s">
        <v>65</v>
      </c>
      <c r="E3" s="928"/>
      <c r="F3" s="929" t="s">
        <v>66</v>
      </c>
      <c r="G3" s="930"/>
      <c r="H3" s="929" t="s">
        <v>192</v>
      </c>
      <c r="I3" s="930"/>
      <c r="J3" s="931" t="s">
        <v>193</v>
      </c>
      <c r="K3" s="932"/>
      <c r="L3" s="933" t="s">
        <v>194</v>
      </c>
      <c r="M3" s="934"/>
      <c r="N3" s="152" t="s">
        <v>195</v>
      </c>
      <c r="O3" s="897" t="s">
        <v>144</v>
      </c>
      <c r="P3" s="898"/>
      <c r="Q3" s="897" t="s">
        <v>196</v>
      </c>
      <c r="R3" s="898"/>
      <c r="S3" s="899" t="s">
        <v>197</v>
      </c>
      <c r="T3" s="900"/>
      <c r="U3" s="899" t="s">
        <v>198</v>
      </c>
      <c r="V3" s="900"/>
      <c r="W3" s="905" t="s">
        <v>199</v>
      </c>
      <c r="X3" s="906"/>
      <c r="Y3" s="899" t="s">
        <v>200</v>
      </c>
      <c r="Z3" s="900"/>
      <c r="AA3" s="905" t="s">
        <v>201</v>
      </c>
      <c r="AB3" s="906"/>
      <c r="AC3" s="899" t="s">
        <v>202</v>
      </c>
      <c r="AD3" s="900"/>
      <c r="AE3" s="157" t="s">
        <v>203</v>
      </c>
      <c r="AF3" s="386" t="s">
        <v>204</v>
      </c>
      <c r="AG3" s="181" t="s">
        <v>205</v>
      </c>
      <c r="AH3" s="158" t="s">
        <v>206</v>
      </c>
      <c r="AI3" s="159" t="s">
        <v>150</v>
      </c>
      <c r="AJ3" s="355">
        <v>0</v>
      </c>
      <c r="AK3" s="902"/>
      <c r="AL3" s="904"/>
      <c r="AM3" s="904"/>
      <c r="AN3" s="894"/>
      <c r="AO3" s="968"/>
      <c r="AP3" s="913"/>
      <c r="AQ3" s="915"/>
      <c r="AR3" s="917"/>
      <c r="AS3" s="919"/>
      <c r="AT3" s="161" t="s">
        <v>207</v>
      </c>
      <c r="AU3" s="161" t="s">
        <v>208</v>
      </c>
      <c r="AV3" s="160" t="s">
        <v>136</v>
      </c>
      <c r="AW3" s="162" t="s">
        <v>138</v>
      </c>
      <c r="AX3" s="176" t="s">
        <v>137</v>
      </c>
      <c r="AY3" s="177" t="s">
        <v>139</v>
      </c>
      <c r="AZ3" s="356" t="s">
        <v>140</v>
      </c>
      <c r="BA3" s="178" t="s">
        <v>209</v>
      </c>
      <c r="BB3" s="179" t="s">
        <v>210</v>
      </c>
      <c r="BC3" s="387" t="s">
        <v>137</v>
      </c>
      <c r="BD3" s="388" t="s">
        <v>139</v>
      </c>
      <c r="BE3" s="357" t="s">
        <v>140</v>
      </c>
      <c r="BF3" s="164" t="s">
        <v>209</v>
      </c>
      <c r="BG3" s="165" t="s">
        <v>210</v>
      </c>
      <c r="BH3" s="177" t="s">
        <v>137</v>
      </c>
      <c r="BI3" s="177" t="s">
        <v>139</v>
      </c>
      <c r="BJ3" s="356" t="s">
        <v>140</v>
      </c>
      <c r="BK3" s="178" t="s">
        <v>209</v>
      </c>
      <c r="BL3" s="179" t="s">
        <v>210</v>
      </c>
      <c r="BM3" s="163" t="s">
        <v>137</v>
      </c>
      <c r="BN3" s="163" t="s">
        <v>139</v>
      </c>
      <c r="BO3" s="357" t="s">
        <v>140</v>
      </c>
      <c r="BP3" s="164" t="s">
        <v>209</v>
      </c>
      <c r="BQ3" s="165" t="s">
        <v>210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2039</v>
      </c>
      <c r="D5" s="461">
        <v>0</v>
      </c>
      <c r="E5" s="460">
        <f>Elect!M6</f>
        <v>1614</v>
      </c>
      <c r="F5" s="461">
        <v>20</v>
      </c>
      <c r="G5" s="460">
        <f>Elect!O6</f>
        <v>124</v>
      </c>
      <c r="H5" s="461">
        <v>800</v>
      </c>
      <c r="I5" s="460">
        <f>Water!C7</f>
        <v>121.8</v>
      </c>
      <c r="J5" s="461">
        <v>0</v>
      </c>
      <c r="K5" s="460">
        <f>Water!E7</f>
        <v>150.79999999999998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398.45999999999992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231.10679999999994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1258.22</v>
      </c>
      <c r="AI5" s="465" t="e">
        <f>Gas!#REF!</f>
        <v>#REF!</v>
      </c>
      <c r="AJ5" s="466">
        <f>Gas!J7</f>
        <v>265.2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171</v>
      </c>
      <c r="AU5" s="460">
        <f>Elect!BP6</f>
        <v>127</v>
      </c>
      <c r="AV5" s="460" t="e">
        <f>Elect!#REF!</f>
        <v>#REF!</v>
      </c>
      <c r="AW5" s="460">
        <f>Elect!BR6</f>
        <v>171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1.7553303964757705</v>
      </c>
      <c r="BN5" s="477" t="e">
        <f>Water!W7</f>
        <v>#DIV/0!</v>
      </c>
      <c r="BO5" s="472">
        <f>Water!X7</f>
        <v>1593.8399999999997</v>
      </c>
      <c r="BP5" s="477">
        <f>Water!Y7</f>
        <v>7.021321585903082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0</v>
      </c>
      <c r="D6" s="461">
        <v>0</v>
      </c>
      <c r="E6" s="460">
        <f>Elect!M7</f>
        <v>1804</v>
      </c>
      <c r="F6" s="461">
        <v>20</v>
      </c>
      <c r="G6" s="460">
        <f>Elect!O7</f>
        <v>1536</v>
      </c>
      <c r="H6" s="461">
        <v>936</v>
      </c>
      <c r="I6" s="460">
        <f>Water!C8</f>
        <v>133.39999999999998</v>
      </c>
      <c r="J6" s="461">
        <v>0</v>
      </c>
      <c r="K6" s="460">
        <f>Water!E8</f>
        <v>174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437.9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253.98199999999997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8326849</v>
      </c>
      <c r="AH6" s="464">
        <f>Gas!C8</f>
        <v>1361.04</v>
      </c>
      <c r="AI6" s="465" t="e">
        <f>Gas!#REF!</f>
        <v>#REF!</v>
      </c>
      <c r="AJ6" s="466">
        <f>Gas!J8</f>
        <v>378.3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150</v>
      </c>
      <c r="AU6" s="460">
        <f>Elect!BP7</f>
        <v>113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554065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1.8020576131687243</v>
      </c>
      <c r="BN6" s="477" t="e">
        <f>Water!W8</f>
        <v>#DIV/0!</v>
      </c>
      <c r="BO6" s="472">
        <f>Water!X8</f>
        <v>1751.6</v>
      </c>
      <c r="BP6" s="477">
        <f>Water!Y8</f>
        <v>7.208230452674897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5969.1111112013459</v>
      </c>
      <c r="D7" s="461">
        <v>0</v>
      </c>
      <c r="E7" s="460">
        <f>Elect!M8</f>
        <v>2443</v>
      </c>
      <c r="F7" s="461">
        <v>20</v>
      </c>
      <c r="G7" s="460">
        <f>Elect!O8</f>
        <v>2009</v>
      </c>
      <c r="H7" s="461">
        <v>685</v>
      </c>
      <c r="I7" s="460">
        <f>Water!C9</f>
        <v>127.6</v>
      </c>
      <c r="J7" s="461">
        <v>0</v>
      </c>
      <c r="K7" s="460">
        <f>Water!E9</f>
        <v>156.6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418.17999999999995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242.54439999999997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8329309</v>
      </c>
      <c r="AH7" s="464">
        <f>Gas!C9</f>
        <v>1246.5600000000002</v>
      </c>
      <c r="AI7" s="465" t="e">
        <f>Gas!#REF!</f>
        <v>#REF!</v>
      </c>
      <c r="AJ7" s="466">
        <f>Gas!J9</f>
        <v>374.4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140</v>
      </c>
      <c r="AU7" s="460">
        <f>Elect!BP8</f>
        <v>109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554205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1.9008181818181815</v>
      </c>
      <c r="BN7" s="477" t="e">
        <f>Water!W9</f>
        <v>#DIV/0!</v>
      </c>
      <c r="BO7" s="472">
        <f>Water!X9</f>
        <v>1672.7199999999998</v>
      </c>
      <c r="BP7" s="477">
        <f>Water!Y9</f>
        <v>7.6032727272727261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5969.1111111976206</v>
      </c>
      <c r="D8" s="461">
        <v>0</v>
      </c>
      <c r="E8" s="460">
        <f>Elect!M9</f>
        <v>1726</v>
      </c>
      <c r="F8" s="461">
        <v>20</v>
      </c>
      <c r="G8" s="460">
        <f>Elect!O9</f>
        <v>1379</v>
      </c>
      <c r="H8" s="461">
        <v>786</v>
      </c>
      <c r="I8" s="460">
        <f>Water!C10</f>
        <v>139.19999999999999</v>
      </c>
      <c r="J8" s="461">
        <v>0</v>
      </c>
      <c r="K8" s="460">
        <f>Water!E10</f>
        <v>185.6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452.4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262.392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8330425</v>
      </c>
      <c r="AH8" s="464">
        <f>Gas!C10</f>
        <v>1182.96</v>
      </c>
      <c r="AI8" s="465" t="e">
        <f>Gas!#REF!</f>
        <v>#REF!</v>
      </c>
      <c r="AJ8" s="466">
        <f>Gas!J10</f>
        <v>308.09999999999997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143</v>
      </c>
      <c r="AU8" s="460">
        <f>Elect!BP9</f>
        <v>106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554348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2.2285714285714286</v>
      </c>
      <c r="BN8" s="477" t="e">
        <f>Water!W10</f>
        <v>#DIV/0!</v>
      </c>
      <c r="BO8" s="472">
        <f>Water!X10</f>
        <v>1809.6</v>
      </c>
      <c r="BP8" s="477">
        <f>Water!Y10</f>
        <v>8.9142857142857146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5969.1111111007631</v>
      </c>
      <c r="D9" s="461">
        <v>0</v>
      </c>
      <c r="E9" s="460">
        <f>Elect!M10</f>
        <v>2113</v>
      </c>
      <c r="F9" s="461">
        <v>20</v>
      </c>
      <c r="G9" s="460">
        <f>Elect!O10</f>
        <v>1699</v>
      </c>
      <c r="H9" s="461">
        <v>789</v>
      </c>
      <c r="I9" s="460">
        <f>Water!C11</f>
        <v>127.6</v>
      </c>
      <c r="J9" s="461">
        <v>0</v>
      </c>
      <c r="K9" s="460">
        <f>Water!E11</f>
        <v>174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436.16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252.97280000000001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8331672</v>
      </c>
      <c r="AH9" s="464">
        <f>Gas!C11</f>
        <v>1321.8200000000002</v>
      </c>
      <c r="AI9" s="465" t="e">
        <f>Gas!#REF!</f>
        <v>#REF!</v>
      </c>
      <c r="AJ9" s="466">
        <f>Gas!J11</f>
        <v>351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152</v>
      </c>
      <c r="AU9" s="460">
        <f>Elect!BP10</f>
        <v>108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554500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2.3324064171122996</v>
      </c>
      <c r="BN9" s="477" t="e">
        <f>Water!W11</f>
        <v>#DIV/0!</v>
      </c>
      <c r="BO9" s="472">
        <f>Water!X11</f>
        <v>1744.64</v>
      </c>
      <c r="BP9" s="477">
        <f>Water!Y11</f>
        <v>9.3296256684491983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5969.1111112013459</v>
      </c>
      <c r="D10" s="461">
        <v>0</v>
      </c>
      <c r="E10" s="460">
        <f>Elect!M11</f>
        <v>1984</v>
      </c>
      <c r="F10" s="461">
        <v>20</v>
      </c>
      <c r="G10" s="460">
        <f>Elect!O11</f>
        <v>1548</v>
      </c>
      <c r="H10" s="461">
        <v>805</v>
      </c>
      <c r="I10" s="460">
        <f>Water!C12</f>
        <v>127.6</v>
      </c>
      <c r="J10" s="461">
        <v>0</v>
      </c>
      <c r="K10" s="460">
        <f>Water!E12</f>
        <v>162.39999999999998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422.24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244.89919999999998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8332790</v>
      </c>
      <c r="AH10" s="464">
        <f>Gas!C12</f>
        <v>1185.0800000000002</v>
      </c>
      <c r="AI10" s="465" t="e">
        <f>Gas!#REF!</f>
        <v>#REF!</v>
      </c>
      <c r="AJ10" s="466">
        <f>Gas!J12</f>
        <v>312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124</v>
      </c>
      <c r="AU10" s="460">
        <f>Elect!BP11</f>
        <v>112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554624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2.08</v>
      </c>
      <c r="BN10" s="477" t="e">
        <f>Water!W12</f>
        <v>#DIV/0!</v>
      </c>
      <c r="BO10" s="472">
        <f>Water!X12</f>
        <v>1688.96</v>
      </c>
      <c r="BP10" s="477">
        <f>Water!Y12</f>
        <v>8.32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5969.1111110970378</v>
      </c>
      <c r="D11" s="461">
        <v>0</v>
      </c>
      <c r="E11" s="460">
        <f>Elect!M12</f>
        <v>1763</v>
      </c>
      <c r="F11" s="461">
        <v>20</v>
      </c>
      <c r="G11" s="460">
        <f>Elect!O12</f>
        <v>729</v>
      </c>
      <c r="H11" s="461">
        <v>871</v>
      </c>
      <c r="I11" s="460">
        <f>Water!C13</f>
        <v>127.6</v>
      </c>
      <c r="J11" s="461">
        <v>0</v>
      </c>
      <c r="K11" s="460">
        <f>Water!E13</f>
        <v>168.2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432.09999999999991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250.61799999999994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8334124</v>
      </c>
      <c r="AH11" s="464">
        <f>Gas!C13</f>
        <v>1414.04</v>
      </c>
      <c r="AI11" s="465" t="e">
        <f>Gas!#REF!</f>
        <v>#REF!</v>
      </c>
      <c r="AJ11" s="466">
        <f>Gas!J13</f>
        <v>351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150</v>
      </c>
      <c r="AU11" s="460">
        <f>Elect!BP12</f>
        <v>124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554774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1.8465811965811962</v>
      </c>
      <c r="BN11" s="477" t="e">
        <f>Water!W13</f>
        <v>#DIV/0!</v>
      </c>
      <c r="BO11" s="472">
        <f>Water!X13</f>
        <v>1728.3999999999996</v>
      </c>
      <c r="BP11" s="477">
        <f>Water!Y13</f>
        <v>7.386324786324785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5969.1111112013459</v>
      </c>
      <c r="D12" s="461">
        <v>0</v>
      </c>
      <c r="E12" s="460">
        <f>Elect!M13</f>
        <v>2153</v>
      </c>
      <c r="F12" s="461">
        <v>20</v>
      </c>
      <c r="G12" s="460">
        <f>Elect!O13</f>
        <v>2148</v>
      </c>
      <c r="H12" s="461">
        <v>963</v>
      </c>
      <c r="I12" s="460">
        <f>Water!C14</f>
        <v>139.19999999999999</v>
      </c>
      <c r="J12" s="461">
        <v>0</v>
      </c>
      <c r="K12" s="460">
        <f>Water!E14</f>
        <v>179.79999999999998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440.8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255.66399999999999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8335451</v>
      </c>
      <c r="AH12" s="464">
        <f>Gas!C14</f>
        <v>1406.6200000000001</v>
      </c>
      <c r="AI12" s="465" t="e">
        <f>Gas!#REF!</f>
        <v>#REF!</v>
      </c>
      <c r="AJ12" s="466">
        <f>Gas!J14</f>
        <v>331.5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134</v>
      </c>
      <c r="AU12" s="460">
        <f>Elect!BP13</f>
        <v>116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554908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1.7774193548387098</v>
      </c>
      <c r="BN12" s="477" t="e">
        <f>Water!W14</f>
        <v>#DIV/0!</v>
      </c>
      <c r="BO12" s="472">
        <f>Water!X14</f>
        <v>1763.2</v>
      </c>
      <c r="BP12" s="477">
        <f>Water!Y14</f>
        <v>7.1096774193548393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5969.1111111007631</v>
      </c>
      <c r="D13" s="461">
        <v>0</v>
      </c>
      <c r="E13" s="460">
        <f>Elect!M14</f>
        <v>1532</v>
      </c>
      <c r="F13" s="461">
        <v>20</v>
      </c>
      <c r="G13" s="460">
        <f>Elect!O14</f>
        <v>1185</v>
      </c>
      <c r="H13" s="461">
        <v>790</v>
      </c>
      <c r="I13" s="460">
        <f>Water!C15</f>
        <v>121.8</v>
      </c>
      <c r="J13" s="461">
        <v>0</v>
      </c>
      <c r="K13" s="460">
        <f>Water!E15</f>
        <v>162.39999999999998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408.32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236.82559999999998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8336725</v>
      </c>
      <c r="AH13" s="464">
        <f>Gas!C15</f>
        <v>1350.44</v>
      </c>
      <c r="AI13" s="465" t="e">
        <f>Gas!#REF!</f>
        <v>#REF!</v>
      </c>
      <c r="AJ13" s="466">
        <f>Gas!J15</f>
        <v>351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102</v>
      </c>
      <c r="AU13" s="460">
        <f>Elect!BP14</f>
        <v>88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555010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1.6203174603174604</v>
      </c>
      <c r="BN13" s="477" t="e">
        <f>Water!W15</f>
        <v>#DIV/0!</v>
      </c>
      <c r="BO13" s="472">
        <f>Water!X15</f>
        <v>1633.28</v>
      </c>
      <c r="BP13" s="477">
        <f>Water!Y15</f>
        <v>6.4812698412698415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5969.1111111976206</v>
      </c>
      <c r="D14" s="461">
        <v>0</v>
      </c>
      <c r="E14" s="460">
        <f>Elect!M15</f>
        <v>1946</v>
      </c>
      <c r="F14" s="461">
        <v>20</v>
      </c>
      <c r="G14" s="460">
        <f>Elect!O15</f>
        <v>1827</v>
      </c>
      <c r="H14" s="461">
        <v>792</v>
      </c>
      <c r="I14" s="460">
        <f>Water!C16</f>
        <v>127.6</v>
      </c>
      <c r="J14" s="461">
        <v>0</v>
      </c>
      <c r="K14" s="460">
        <f>Water!E16</f>
        <v>162.39999999999998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420.5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243.89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8338072</v>
      </c>
      <c r="AH14" s="464">
        <f>Gas!C16</f>
        <v>1427.8200000000002</v>
      </c>
      <c r="AI14" s="465" t="e">
        <f>Gas!#REF!</f>
        <v>#REF!</v>
      </c>
      <c r="AJ14" s="466">
        <f>Gas!J16</f>
        <v>358.8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123.33333333302289</v>
      </c>
      <c r="AU14" s="460">
        <f>Elect!BP15</f>
        <v>106.66666666697711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555133.33333333302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1.7093495934959348</v>
      </c>
      <c r="BN14" s="477" t="e">
        <f>Water!W16</f>
        <v>#DIV/0!</v>
      </c>
      <c r="BO14" s="472">
        <f>Water!X16</f>
        <v>1682</v>
      </c>
      <c r="BP14" s="477">
        <f>Water!Y16</f>
        <v>6.8373983739837394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5969.1111111007631</v>
      </c>
      <c r="D15" s="461">
        <v>0</v>
      </c>
      <c r="E15" s="460">
        <f>Elect!M16</f>
        <v>1825</v>
      </c>
      <c r="F15" s="461">
        <v>20</v>
      </c>
      <c r="G15" s="460">
        <f>Elect!O16</f>
        <v>1365</v>
      </c>
      <c r="H15" s="461">
        <v>817</v>
      </c>
      <c r="I15" s="460">
        <f>Water!C17</f>
        <v>123.73333333313639</v>
      </c>
      <c r="J15" s="461">
        <v>0</v>
      </c>
      <c r="K15" s="460">
        <f>Water!E17</f>
        <v>162.39999999999998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412.3799999998227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239.18039999989716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1376.2333333300428</v>
      </c>
      <c r="AI15" s="465" t="e">
        <f>Gas!#REF!</f>
        <v>#REF!</v>
      </c>
      <c r="AJ15" s="466">
        <f>Gas!J17</f>
        <v>353.60000000121073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135.66666666697711</v>
      </c>
      <c r="AU15" s="460">
        <f>Elect!BP16</f>
        <v>147.33333333302289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555269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2.001844660193314</v>
      </c>
      <c r="BN15" s="477" t="e">
        <f>Water!W17</f>
        <v>#DIV/0!</v>
      </c>
      <c r="BO15" s="472">
        <f>Water!X17</f>
        <v>1649.5199999992908</v>
      </c>
      <c r="BP15" s="477">
        <f>Water!Y17</f>
        <v>8.0073786407732559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5969.1111112013459</v>
      </c>
      <c r="D16" s="461">
        <v>0</v>
      </c>
      <c r="E16" s="460">
        <f>Elect!M17</f>
        <v>2136</v>
      </c>
      <c r="F16" s="461">
        <v>20</v>
      </c>
      <c r="G16" s="460">
        <f>Elect!O17</f>
        <v>2112</v>
      </c>
      <c r="H16" s="461">
        <v>907</v>
      </c>
      <c r="I16" s="460">
        <f>Water!C18</f>
        <v>125.66666666686359</v>
      </c>
      <c r="J16" s="461">
        <v>0</v>
      </c>
      <c r="K16" s="460">
        <f>Water!E18</f>
        <v>156.6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411.80000000017719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238.84400000010277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8340620</v>
      </c>
      <c r="AH16" s="464">
        <f>Gas!C18</f>
        <v>1324.6466666699573</v>
      </c>
      <c r="AI16" s="465" t="e">
        <f>Gas!#REF!</f>
        <v>#REF!</v>
      </c>
      <c r="AJ16" s="466">
        <f>Gas!J18</f>
        <v>321.09999999878926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140</v>
      </c>
      <c r="AU16" s="460">
        <f>Elect!BP17</f>
        <v>84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555409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2.366666666667685</v>
      </c>
      <c r="BN16" s="477" t="e">
        <f>Water!W18</f>
        <v>#DIV/0!</v>
      </c>
      <c r="BO16" s="472">
        <f>Water!X18</f>
        <v>1647.2000000007088</v>
      </c>
      <c r="BP16" s="477">
        <f>Water!Y18</f>
        <v>9.46666666667074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5969.1111111007631</v>
      </c>
      <c r="D17" s="461">
        <v>0</v>
      </c>
      <c r="E17" s="460">
        <f>Elect!M18</f>
        <v>1830</v>
      </c>
      <c r="F17" s="461">
        <v>20</v>
      </c>
      <c r="G17" s="460">
        <f>Elect!O18</f>
        <v>1853</v>
      </c>
      <c r="H17" s="461">
        <v>812</v>
      </c>
      <c r="I17" s="460">
        <f>Water!C19</f>
        <v>121.8</v>
      </c>
      <c r="J17" s="461">
        <v>0</v>
      </c>
      <c r="K17" s="460">
        <f>Water!E19</f>
        <v>162.39999999999998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412.96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239.51679999999996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8341899</v>
      </c>
      <c r="AH17" s="464">
        <f>Gas!C19</f>
        <v>1355.74</v>
      </c>
      <c r="AI17" s="465" t="e">
        <f>Gas!#REF!</f>
        <v>#REF!</v>
      </c>
      <c r="AJ17" s="466">
        <f>Gas!J19</f>
        <v>390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134</v>
      </c>
      <c r="AU17" s="460">
        <f>Elect!BP18</f>
        <v>101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555543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2.5491358024691357</v>
      </c>
      <c r="BN17" s="477" t="e">
        <f>Water!W19</f>
        <v>#DIV/0!</v>
      </c>
      <c r="BO17" s="472">
        <f>Water!X19</f>
        <v>1651.84</v>
      </c>
      <c r="BP17" s="477">
        <f>Water!Y19</f>
        <v>10.196543209876543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5969.1111111976206</v>
      </c>
      <c r="D18" s="461">
        <v>0</v>
      </c>
      <c r="E18" s="460">
        <f>Elect!M19</f>
        <v>2019</v>
      </c>
      <c r="F18" s="461">
        <v>30</v>
      </c>
      <c r="G18" s="460">
        <f>Elect!O19</f>
        <v>1851</v>
      </c>
      <c r="H18" s="461">
        <v>810</v>
      </c>
      <c r="I18" s="460">
        <f>Water!C20</f>
        <v>121.8</v>
      </c>
      <c r="J18" s="461">
        <v>0</v>
      </c>
      <c r="K18" s="460">
        <f>Water!E20</f>
        <v>162.39999999999998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416.43999999999994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241.53519999999995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8343169</v>
      </c>
      <c r="AH18" s="464">
        <f>Gas!C20</f>
        <v>1346.2</v>
      </c>
      <c r="AI18" s="465" t="e">
        <f>Gas!#REF!</f>
        <v>#REF!</v>
      </c>
      <c r="AJ18" s="466">
        <f>Gas!J20</f>
        <v>327.59999999999997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146</v>
      </c>
      <c r="AU18" s="460">
        <f>Elect!BP19</f>
        <v>113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553915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2.0117874396135265</v>
      </c>
      <c r="BN18" s="477" t="e">
        <f>Water!W20</f>
        <v>#DIV/0!</v>
      </c>
      <c r="BO18" s="472">
        <f>Water!X20</f>
        <v>1665.7599999999998</v>
      </c>
      <c r="BP18" s="477">
        <f>Water!Y20</f>
        <v>8.0471497584541059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5969.1111111007631</v>
      </c>
      <c r="D19" s="461">
        <v>0</v>
      </c>
      <c r="E19" s="460">
        <f>Elect!M20</f>
        <v>1960</v>
      </c>
      <c r="F19" s="461">
        <v>20</v>
      </c>
      <c r="G19" s="460">
        <f>Elect!O20</f>
        <v>1654</v>
      </c>
      <c r="H19" s="461">
        <v>841</v>
      </c>
      <c r="I19" s="460">
        <f>Water!C21</f>
        <v>133.39999999999998</v>
      </c>
      <c r="J19" s="461">
        <v>0</v>
      </c>
      <c r="K19" s="460">
        <f>Water!E21</f>
        <v>162.39999999999998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429.19999999999993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248.93599999999995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8344440</v>
      </c>
      <c r="AH19" s="464">
        <f>Gas!C21</f>
        <v>1347.26</v>
      </c>
      <c r="AI19" s="465" t="e">
        <f>Gas!#REF!</f>
        <v>#REF!</v>
      </c>
      <c r="AJ19" s="466">
        <f>Gas!J21</f>
        <v>351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128</v>
      </c>
      <c r="AU19" s="460">
        <f>Elect!BP20</f>
        <v>120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555817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1.7306451612903222</v>
      </c>
      <c r="BN19" s="477" t="e">
        <f>Water!W21</f>
        <v>#DIV/0!</v>
      </c>
      <c r="BO19" s="472">
        <f>Water!X21</f>
        <v>1716.7999999999997</v>
      </c>
      <c r="BP19" s="477">
        <f>Water!Y21</f>
        <v>6.9225806451612888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5969.1111112013459</v>
      </c>
      <c r="D20" s="461">
        <v>0</v>
      </c>
      <c r="E20" s="460">
        <f>Elect!M21</f>
        <v>1830</v>
      </c>
      <c r="F20" s="461">
        <v>20</v>
      </c>
      <c r="G20" s="460">
        <f>Elect!O21</f>
        <v>1786</v>
      </c>
      <c r="H20" s="461">
        <v>932</v>
      </c>
      <c r="I20" s="460">
        <f>Water!C22</f>
        <v>139.19999999999999</v>
      </c>
      <c r="J20" s="461">
        <v>0</v>
      </c>
      <c r="K20" s="460">
        <f>Water!E22</f>
        <v>185.6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454.14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263.40119999999996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8345828</v>
      </c>
      <c r="AH20" s="464">
        <f>Gas!C22</f>
        <v>1471.28</v>
      </c>
      <c r="AI20" s="465" t="e">
        <f>Gas!#REF!</f>
        <v>#REF!</v>
      </c>
      <c r="AJ20" s="466">
        <f>Gas!J22</f>
        <v>354.9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140</v>
      </c>
      <c r="AU20" s="460">
        <f>Elect!BP21</f>
        <v>105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555957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1.8312096774193547</v>
      </c>
      <c r="BN20" s="477" t="e">
        <f>Water!W22</f>
        <v>#DIV/0!</v>
      </c>
      <c r="BO20" s="472">
        <f>Water!X22</f>
        <v>1816.56</v>
      </c>
      <c r="BP20" s="477">
        <f>Water!Y22</f>
        <v>7.3248387096774188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5969.1111111007631</v>
      </c>
      <c r="D21" s="461">
        <v>0</v>
      </c>
      <c r="E21" s="460">
        <f>Elect!M22</f>
        <v>1898</v>
      </c>
      <c r="F21" s="461">
        <v>20</v>
      </c>
      <c r="G21" s="460">
        <f>Elect!O22</f>
        <v>1927</v>
      </c>
      <c r="H21" s="461">
        <v>972</v>
      </c>
      <c r="I21" s="460">
        <f>Water!C23</f>
        <v>127.6</v>
      </c>
      <c r="J21" s="461">
        <v>0</v>
      </c>
      <c r="K21" s="460">
        <f>Water!E23</f>
        <v>168.2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423.4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245.57199999999997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8347209</v>
      </c>
      <c r="AH21" s="464">
        <f>Gas!C23</f>
        <v>1463.8600000000001</v>
      </c>
      <c r="AI21" s="465" t="e">
        <f>Gas!#REF!</f>
        <v>#REF!</v>
      </c>
      <c r="AJ21" s="466">
        <f>Gas!J23</f>
        <v>288.59999999999997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119</v>
      </c>
      <c r="AU21" s="460">
        <f>Elect!BP22</f>
        <v>109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1.7352459016393442</v>
      </c>
      <c r="BN21" s="477" t="e">
        <f>Water!W23</f>
        <v>#DIV/0!</v>
      </c>
      <c r="BO21" s="472">
        <f>Water!X23</f>
        <v>1693.6</v>
      </c>
      <c r="BP21" s="477">
        <f>Water!Y23</f>
        <v>6.9409836065573769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5960.9629629999399</v>
      </c>
      <c r="D22" s="461">
        <v>0</v>
      </c>
      <c r="E22" s="460">
        <f>Elect!M23</f>
        <v>2133</v>
      </c>
      <c r="F22" s="461">
        <v>20</v>
      </c>
      <c r="G22" s="460">
        <f>Elect!O23</f>
        <v>2107</v>
      </c>
      <c r="H22" s="461">
        <v>864</v>
      </c>
      <c r="I22" s="460">
        <f>Water!C24</f>
        <v>139.19999999999999</v>
      </c>
      <c r="J22" s="461">
        <v>0</v>
      </c>
      <c r="K22" s="460">
        <f>Water!E24</f>
        <v>174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445.43999999999994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258.35519999999997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8348566</v>
      </c>
      <c r="AH22" s="464">
        <f>Gas!C24</f>
        <v>1438.42</v>
      </c>
      <c r="AI22" s="465" t="e">
        <f>Gas!#REF!</f>
        <v>#REF!</v>
      </c>
      <c r="AJ22" s="466">
        <f>Gas!J24</f>
        <v>374.4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129</v>
      </c>
      <c r="AU22" s="460">
        <f>Elect!BP23</f>
        <v>118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556205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1.9536842105263155</v>
      </c>
      <c r="BN22" s="477" t="e">
        <f>Water!W24</f>
        <v>#DIV/0!</v>
      </c>
      <c r="BO22" s="472">
        <f>Water!X24</f>
        <v>1781.7599999999998</v>
      </c>
      <c r="BP22" s="477">
        <f>Water!Y24</f>
        <v>7.8147368421052619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5993.5555555969477</v>
      </c>
      <c r="D23" s="461">
        <v>0</v>
      </c>
      <c r="E23" s="460">
        <f>Elect!M24</f>
        <v>1799</v>
      </c>
      <c r="F23" s="461">
        <v>30</v>
      </c>
      <c r="G23" s="460">
        <f>Elect!O24</f>
        <v>1666</v>
      </c>
      <c r="H23" s="461">
        <v>894</v>
      </c>
      <c r="I23" s="460">
        <f>Water!C25</f>
        <v>145</v>
      </c>
      <c r="J23" s="461">
        <v>0</v>
      </c>
      <c r="K23" s="460">
        <f>Water!E25</f>
        <v>174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455.88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264.41039999999998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8349939</v>
      </c>
      <c r="AH23" s="464">
        <f>Gas!C25</f>
        <v>1455.38</v>
      </c>
      <c r="AI23" s="465" t="e">
        <f>Gas!#REF!</f>
        <v>#REF!</v>
      </c>
      <c r="AJ23" s="466">
        <f>Gas!J25</f>
        <v>343.2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134</v>
      </c>
      <c r="AU23" s="460">
        <f>Elect!BP24</f>
        <v>101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556339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2.2457142857142856</v>
      </c>
      <c r="BN23" s="477" t="e">
        <f>Water!W25</f>
        <v>#DIV/0!</v>
      </c>
      <c r="BO23" s="472">
        <f>Water!X25</f>
        <v>1823.52</v>
      </c>
      <c r="BP23" s="477">
        <f>Water!Y25</f>
        <v>8.9828571428571422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5944.666666701436</v>
      </c>
      <c r="D24" s="461">
        <v>0</v>
      </c>
      <c r="E24" s="460">
        <f>Elect!M25</f>
        <v>1879</v>
      </c>
      <c r="F24" s="461">
        <v>20</v>
      </c>
      <c r="G24" s="460">
        <f>Elect!O25</f>
        <v>1811</v>
      </c>
      <c r="H24" s="461">
        <v>944</v>
      </c>
      <c r="I24" s="460">
        <f>Water!C26</f>
        <v>110.19999999999999</v>
      </c>
      <c r="J24" s="461">
        <v>0</v>
      </c>
      <c r="K24" s="460">
        <f>Water!E26</f>
        <v>156.6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387.43999999999994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224.71519999999995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8351103</v>
      </c>
      <c r="AH24" s="464">
        <f>Gas!C26</f>
        <v>1233.8400000000001</v>
      </c>
      <c r="AI24" s="465" t="e">
        <f>Gas!#REF!</f>
        <v>#REF!</v>
      </c>
      <c r="AJ24" s="466">
        <f>Gas!J26</f>
        <v>335.4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149</v>
      </c>
      <c r="AU24" s="460">
        <f>Elect!BP25</f>
        <v>116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556488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1.9085714285714284</v>
      </c>
      <c r="BN24" s="477" t="e">
        <f>Water!W26</f>
        <v>#DIV/0!</v>
      </c>
      <c r="BO24" s="472">
        <f>Water!X26</f>
        <v>1549.7599999999998</v>
      </c>
      <c r="BP24" s="477">
        <f>Water!Y26</f>
        <v>7.6342857142857135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6018</v>
      </c>
      <c r="D25" s="461">
        <v>0</v>
      </c>
      <c r="E25" s="460">
        <f>Elect!M26</f>
        <v>1809</v>
      </c>
      <c r="F25" s="461">
        <v>20</v>
      </c>
      <c r="G25" s="460">
        <f>Elect!O26</f>
        <v>1685</v>
      </c>
      <c r="H25" s="461">
        <v>916</v>
      </c>
      <c r="I25" s="460">
        <f>Water!C27</f>
        <v>115.99999999999999</v>
      </c>
      <c r="J25" s="461">
        <v>0</v>
      </c>
      <c r="K25" s="460">
        <f>Water!E27</f>
        <v>145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383.96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222.69679999999997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8352441</v>
      </c>
      <c r="AH25" s="464">
        <f>Gas!C27</f>
        <v>1418.28</v>
      </c>
      <c r="AI25" s="465" t="e">
        <f>Gas!#REF!</f>
        <v>#REF!</v>
      </c>
      <c r="AJ25" s="466">
        <f>Gas!J27</f>
        <v>354.9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136</v>
      </c>
      <c r="AU25" s="460">
        <f>Elect!BP26</f>
        <v>108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556624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1.9007920792079207</v>
      </c>
      <c r="BN25" s="477" t="e">
        <f>Water!W27</f>
        <v>#DIV/0!</v>
      </c>
      <c r="BO25" s="472">
        <f>Water!X27</f>
        <v>1535.84</v>
      </c>
      <c r="BP25" s="477">
        <f>Water!Y27</f>
        <v>7.6031683168316828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5908</v>
      </c>
      <c r="D26" s="461">
        <v>0</v>
      </c>
      <c r="E26" s="460">
        <f>Elect!M27</f>
        <v>1743</v>
      </c>
      <c r="F26" s="461">
        <v>20</v>
      </c>
      <c r="G26" s="460">
        <f>Elect!O27</f>
        <v>1525</v>
      </c>
      <c r="H26" s="461">
        <v>931</v>
      </c>
      <c r="I26" s="460">
        <f>Water!C28</f>
        <v>127.6</v>
      </c>
      <c r="J26" s="461">
        <v>0</v>
      </c>
      <c r="K26" s="460">
        <f>Water!E28</f>
        <v>162.39999999999998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414.12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240.18959999999998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8353743</v>
      </c>
      <c r="AH26" s="464">
        <f>Gas!C28</f>
        <v>1380.1200000000001</v>
      </c>
      <c r="AI26" s="465" t="e">
        <f>Gas!#REF!</f>
        <v>#REF!</v>
      </c>
      <c r="AJ26" s="466">
        <f>Gas!J28</f>
        <v>370.5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135</v>
      </c>
      <c r="AU26" s="460">
        <f>Elect!BP27</f>
        <v>115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556759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1.7473417721518987</v>
      </c>
      <c r="BN26" s="477" t="e">
        <f>Water!W28</f>
        <v>#DIV/0!</v>
      </c>
      <c r="BO26" s="472">
        <f>Water!X28</f>
        <v>1656.48</v>
      </c>
      <c r="BP26" s="477">
        <f>Water!Y28</f>
        <v>6.9893670886075947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6073</v>
      </c>
      <c r="D27" s="461">
        <v>0</v>
      </c>
      <c r="E27" s="460">
        <f>Elect!M28</f>
        <v>1870</v>
      </c>
      <c r="F27" s="461">
        <v>30</v>
      </c>
      <c r="G27" s="460">
        <f>Elect!O28</f>
        <v>1491</v>
      </c>
      <c r="H27" s="461">
        <v>1009</v>
      </c>
      <c r="I27" s="460">
        <f>Water!C29</f>
        <v>115.99999999999999</v>
      </c>
      <c r="J27" s="461">
        <v>0</v>
      </c>
      <c r="K27" s="460">
        <f>Water!E29</f>
        <v>145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385.7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223.70599999999999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8354914</v>
      </c>
      <c r="AH27" s="464">
        <f>Gas!C29</f>
        <v>1241.26</v>
      </c>
      <c r="AI27" s="465" t="e">
        <f>Gas!#REF!</f>
        <v>#REF!</v>
      </c>
      <c r="AJ27" s="466">
        <f>Gas!J29</f>
        <v>339.3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138</v>
      </c>
      <c r="AU27" s="460">
        <f>Elect!BP28</f>
        <v>112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556897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2.1192307692307693</v>
      </c>
      <c r="BN27" s="477" t="e">
        <f>Water!W29</f>
        <v>#DIV/0!</v>
      </c>
      <c r="BO27" s="472">
        <f>Water!X29</f>
        <v>1542.8</v>
      </c>
      <c r="BP27" s="477">
        <f>Water!Y29</f>
        <v>8.476923076923077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6047</v>
      </c>
      <c r="D28" s="461">
        <v>0</v>
      </c>
      <c r="E28" s="460">
        <f>Elect!M29</f>
        <v>1977</v>
      </c>
      <c r="F28" s="461">
        <v>20</v>
      </c>
      <c r="G28" s="460">
        <f>Elect!O29</f>
        <v>1454</v>
      </c>
      <c r="H28" s="461">
        <v>891</v>
      </c>
      <c r="I28" s="460">
        <f>Water!C30</f>
        <v>121.8</v>
      </c>
      <c r="J28" s="461">
        <v>0</v>
      </c>
      <c r="K28" s="460">
        <f>Water!E30</f>
        <v>156.6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404.26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234.47079999999997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8356215</v>
      </c>
      <c r="AH28" s="464">
        <f>Gas!C30</f>
        <v>1379.0600000000002</v>
      </c>
      <c r="AI28" s="465" t="e">
        <f>Gas!#REF!</f>
        <v>#REF!</v>
      </c>
      <c r="AJ28" s="466">
        <f>Gas!J30</f>
        <v>343.2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121</v>
      </c>
      <c r="AU28" s="460">
        <f>Elect!BP29</f>
        <v>108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557018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1.9068867924528301</v>
      </c>
      <c r="BN28" s="477" t="e">
        <f>Water!W30</f>
        <v>#DIV/0!</v>
      </c>
      <c r="BO28" s="472">
        <f>Water!X30</f>
        <v>1617.04</v>
      </c>
      <c r="BP28" s="477">
        <f>Water!Y30</f>
        <v>7.6275471698113204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6075</v>
      </c>
      <c r="D29" s="461">
        <v>0</v>
      </c>
      <c r="E29" s="460">
        <f>Elect!M30</f>
        <v>1969</v>
      </c>
      <c r="F29" s="461">
        <v>20</v>
      </c>
      <c r="G29" s="460">
        <f>Elect!O30</f>
        <v>1632</v>
      </c>
      <c r="H29" s="461">
        <v>1008</v>
      </c>
      <c r="I29" s="460">
        <f>Water!C31</f>
        <v>133.39999999999998</v>
      </c>
      <c r="J29" s="461">
        <v>0</v>
      </c>
      <c r="K29" s="460">
        <f>Water!E31</f>
        <v>174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459.35999999999996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266.42879999999997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8357899</v>
      </c>
      <c r="AH29" s="464">
        <f>Gas!C31</f>
        <v>1785.0400000000002</v>
      </c>
      <c r="AI29" s="465" t="e">
        <f>Gas!#REF!</f>
        <v>#REF!</v>
      </c>
      <c r="AJ29" s="466">
        <f>Gas!J31</f>
        <v>429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146</v>
      </c>
      <c r="AU29" s="460">
        <f>Elect!BP30</f>
        <v>109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557164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2.4434042553191486</v>
      </c>
      <c r="BN29" s="477" t="e">
        <f>Water!W31</f>
        <v>#DIV/0!</v>
      </c>
      <c r="BO29" s="472">
        <f>Water!X31</f>
        <v>1837.4399999999998</v>
      </c>
      <c r="BP29" s="477">
        <f>Water!Y31</f>
        <v>9.7736170212765945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6108</v>
      </c>
      <c r="D30" s="461">
        <v>0</v>
      </c>
      <c r="E30" s="460">
        <f>Elect!M31</f>
        <v>1933</v>
      </c>
      <c r="F30" s="461">
        <v>20</v>
      </c>
      <c r="G30" s="460">
        <f>Elect!O31</f>
        <v>1556</v>
      </c>
      <c r="H30" s="461">
        <v>760</v>
      </c>
      <c r="I30" s="460">
        <f>Water!C32</f>
        <v>98.6</v>
      </c>
      <c r="J30" s="461">
        <v>0</v>
      </c>
      <c r="K30" s="460">
        <f>Water!E32</f>
        <v>127.6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339.88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197.13039999999998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8359164</v>
      </c>
      <c r="AH30" s="464">
        <f>Gas!C32</f>
        <v>1340.9</v>
      </c>
      <c r="AI30" s="465" t="e">
        <f>Gas!#REF!</f>
        <v>#REF!</v>
      </c>
      <c r="AJ30" s="466">
        <f>Gas!J32</f>
        <v>93.6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128</v>
      </c>
      <c r="AU30" s="460">
        <f>Elect!BP31</f>
        <v>109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557292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1.5519634703196348</v>
      </c>
      <c r="BN30" s="477" t="e">
        <f>Water!W32</f>
        <v>#DIV/0!</v>
      </c>
      <c r="BO30" s="472">
        <f>Water!X32</f>
        <v>1359.52</v>
      </c>
      <c r="BP30" s="477">
        <f>Water!Y32</f>
        <v>6.2078538812785391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5745</v>
      </c>
      <c r="D31" s="461">
        <v>0</v>
      </c>
      <c r="E31" s="460">
        <f>Elect!M32</f>
        <v>1836</v>
      </c>
      <c r="F31" s="461">
        <v>30</v>
      </c>
      <c r="G31" s="460">
        <f>Elect!O32</f>
        <v>1655</v>
      </c>
      <c r="H31" s="461">
        <v>1010</v>
      </c>
      <c r="I31" s="460">
        <f>Water!C33</f>
        <v>121.8</v>
      </c>
      <c r="J31" s="461">
        <v>0</v>
      </c>
      <c r="K31" s="460">
        <f>Water!E33</f>
        <v>156.6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405.41999999999996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235.14359999999996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8360290</v>
      </c>
      <c r="AH31" s="464">
        <f>Gas!C33</f>
        <v>1193.5600000000002</v>
      </c>
      <c r="AI31" s="465" t="e">
        <f>Gas!#REF!</f>
        <v>#REF!</v>
      </c>
      <c r="AJ31" s="466">
        <f>Gas!J33</f>
        <v>113.1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143</v>
      </c>
      <c r="AU31" s="460">
        <f>Elect!BP32</f>
        <v>109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557435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1.9123584905660376</v>
      </c>
      <c r="BN31" s="477" t="e">
        <f>Water!W33</f>
        <v>#DIV/0!</v>
      </c>
      <c r="BO31" s="472">
        <f>Water!X33</f>
        <v>1621.6799999999998</v>
      </c>
      <c r="BP31" s="477">
        <f>Water!Y33</f>
        <v>7.6494339622641503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9841</v>
      </c>
      <c r="D32" s="482">
        <v>0</v>
      </c>
      <c r="E32" s="481">
        <f>Elect!M33</f>
        <v>1906</v>
      </c>
      <c r="F32" s="482">
        <v>20</v>
      </c>
      <c r="G32" s="481">
        <f>Elect!O33</f>
        <v>1574</v>
      </c>
      <c r="H32" s="482">
        <v>1008</v>
      </c>
      <c r="I32" s="481">
        <f>Water!C34</f>
        <v>121.8</v>
      </c>
      <c r="J32" s="482">
        <v>0</v>
      </c>
      <c r="K32" s="481">
        <f>Water!E34</f>
        <v>156.6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531.8599999999999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308.47879999999992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8361770</v>
      </c>
      <c r="AH32" s="485">
        <f>Gas!C34</f>
        <v>1568.8000000000002</v>
      </c>
      <c r="AI32" s="486" t="e">
        <f>Gas!#REF!</f>
        <v>#REF!</v>
      </c>
      <c r="AJ32" s="487">
        <f>Gas!J34</f>
        <v>741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139</v>
      </c>
      <c r="AU32" s="481">
        <f>Elect!BP33</f>
        <v>110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557574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2.1887242798353905</v>
      </c>
      <c r="BN32" s="498" t="e">
        <f>Water!W34</f>
        <v>#DIV/0!</v>
      </c>
      <c r="BO32" s="493">
        <f>Water!X34</f>
        <v>2127.4399999999996</v>
      </c>
      <c r="BP32" s="498">
        <f>Water!Y34</f>
        <v>8.7548971193415621</v>
      </c>
      <c r="BQ32" s="499" t="e">
        <f>Water!Z34</f>
        <v>#DIV/0!</v>
      </c>
    </row>
    <row r="33" spans="1:98" s="521" customFormat="1" ht="72" customHeight="1">
      <c r="A33" s="443" t="s">
        <v>125</v>
      </c>
      <c r="B33" s="500">
        <v>931200</v>
      </c>
      <c r="C33" s="501">
        <f>Elect!J34</f>
        <v>1726</v>
      </c>
      <c r="D33" s="502">
        <v>0</v>
      </c>
      <c r="E33" s="501">
        <f>Elect!M34</f>
        <v>1972</v>
      </c>
      <c r="F33" s="502">
        <v>600</v>
      </c>
      <c r="G33" s="501">
        <f>Elect!O34</f>
        <v>1620</v>
      </c>
      <c r="H33" s="502">
        <v>24543</v>
      </c>
      <c r="I33" s="501">
        <f>Water!C38</f>
        <v>3866.6666666668634</v>
      </c>
      <c r="J33" s="502">
        <v>0</v>
      </c>
      <c r="K33" s="501">
        <f>Water!E39</f>
        <v>166.84666666666669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12800.406666666864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6867.6059999999979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42357.246666669962</v>
      </c>
      <c r="AI33" s="506" t="e">
        <f>Gas!#REF!</f>
        <v>#REF!</v>
      </c>
      <c r="AJ33" s="507">
        <f>Gas!J38</f>
        <v>10518.300000000001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143</v>
      </c>
      <c r="AU33" s="506">
        <f>Elect!BP34</f>
        <v>111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557717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1.9468299112801315</v>
      </c>
      <c r="BN33" s="518" t="e">
        <f>Water!W38</f>
        <v>#DIV/0!</v>
      </c>
      <c r="BO33" s="513">
        <f>Water!X38</f>
        <v>49989.04</v>
      </c>
      <c r="BP33" s="518">
        <f>Water!Y38</f>
        <v>7.6028958174904941</v>
      </c>
      <c r="BQ33" s="519" t="e">
        <f>Water!Z38</f>
        <v>#DIV/0!</v>
      </c>
    </row>
    <row r="34" spans="1:98" s="523" customFormat="1" ht="72" customHeight="1" thickBot="1">
      <c r="A34" s="444" t="s">
        <v>126</v>
      </c>
      <c r="B34" s="500">
        <v>33257.142857142855</v>
      </c>
      <c r="C34" s="501">
        <f>Elect!J35</f>
        <v>7136</v>
      </c>
      <c r="D34" s="502">
        <v>0</v>
      </c>
      <c r="E34" s="501">
        <f>Elect!M35</f>
        <v>1928</v>
      </c>
      <c r="F34" s="502">
        <v>21.428571428571427</v>
      </c>
      <c r="G34" s="501">
        <f>Elect!O35</f>
        <v>1589.3333333329938</v>
      </c>
      <c r="H34" s="502">
        <v>876.53571428571433</v>
      </c>
      <c r="I34" s="501">
        <f>Water!C39</f>
        <v>128.88888888889545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426.68022222222879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228.92019999999994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1411.9082222223321</v>
      </c>
      <c r="AI34" s="506" t="e">
        <f>Gas!#REF!</f>
        <v>#REF!</v>
      </c>
      <c r="AJ34" s="507">
        <f>Gas!J39</f>
        <v>350.61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140.33333333302289</v>
      </c>
      <c r="AU34" s="506">
        <f>Elect!BP35</f>
        <v>110.33333333302289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557857.33333333302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1.9468299112801315</v>
      </c>
      <c r="BN34" s="518" t="e">
        <f>Water!W39</f>
        <v>#DIV/0!</v>
      </c>
      <c r="BO34" s="513">
        <f>Water!X39</f>
        <v>1666.3013333333333</v>
      </c>
      <c r="BP34" s="518">
        <f>Water!Y39</f>
        <v>7.602895817490495</v>
      </c>
      <c r="BQ34" s="519" t="e">
        <f>Water!Z39</f>
        <v>#DIV/0!</v>
      </c>
    </row>
    <row r="35" spans="1:98" s="523" customFormat="1" ht="72" customHeight="1">
      <c r="A35" s="445" t="s">
        <v>153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553744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154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155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156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157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158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35" t="s">
        <v>213</v>
      </c>
      <c r="B4" s="935"/>
      <c r="C4" s="935"/>
      <c r="D4" s="935"/>
      <c r="E4" s="935"/>
      <c r="F4" s="935"/>
      <c r="G4" s="108">
        <f>Elect!A1</f>
        <v>44835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214</v>
      </c>
      <c r="B7" s="99" t="s">
        <v>215</v>
      </c>
      <c r="C7" s="99" t="s">
        <v>216</v>
      </c>
      <c r="D7" s="99" t="s">
        <v>215</v>
      </c>
      <c r="E7" s="99" t="s">
        <v>216</v>
      </c>
      <c r="F7" s="99" t="s">
        <v>217</v>
      </c>
      <c r="G7" s="100" t="s">
        <v>218</v>
      </c>
      <c r="H7" s="100" t="s">
        <v>219</v>
      </c>
      <c r="I7" s="99" t="s">
        <v>125</v>
      </c>
      <c r="J7" s="101" t="s">
        <v>125</v>
      </c>
    </row>
    <row r="8" spans="1:10" ht="13.5" thickBot="1">
      <c r="A8" s="102"/>
      <c r="B8" s="103" t="s">
        <v>220</v>
      </c>
      <c r="C8" s="103" t="s">
        <v>220</v>
      </c>
      <c r="D8" s="103" t="s">
        <v>221</v>
      </c>
      <c r="E8" s="103" t="s">
        <v>221</v>
      </c>
      <c r="F8" s="104" t="s">
        <v>222</v>
      </c>
      <c r="G8" s="103" t="s">
        <v>12</v>
      </c>
      <c r="H8" s="103"/>
      <c r="I8" s="104" t="s">
        <v>223</v>
      </c>
      <c r="J8" s="105" t="s">
        <v>224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36"/>
      <c r="B3" s="938">
        <f>Elect!A1</f>
        <v>44835</v>
      </c>
      <c r="C3" s="939"/>
      <c r="D3" s="939"/>
      <c r="E3" s="940"/>
    </row>
    <row r="4" spans="1:5" ht="14.25" customHeight="1" thickBot="1">
      <c r="A4" s="937"/>
      <c r="B4" s="941" t="s">
        <v>12</v>
      </c>
      <c r="C4" s="942"/>
      <c r="D4" s="943" t="s">
        <v>226</v>
      </c>
      <c r="E4" s="944"/>
    </row>
    <row r="5" spans="1:5" ht="13.5" thickBot="1">
      <c r="A5" s="34" t="s">
        <v>227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228</v>
      </c>
      <c r="B6" s="38"/>
      <c r="C6" s="39"/>
      <c r="D6" s="40"/>
      <c r="E6" s="41"/>
    </row>
    <row r="7" spans="1:5" ht="13.5" thickBot="1">
      <c r="A7" s="117" t="s">
        <v>229</v>
      </c>
      <c r="B7" s="42"/>
      <c r="C7" s="43" t="s">
        <v>230</v>
      </c>
      <c r="D7" s="42" t="s">
        <v>230</v>
      </c>
      <c r="E7" s="43" t="s">
        <v>230</v>
      </c>
    </row>
    <row r="8" spans="1:5">
      <c r="A8" s="118" t="s">
        <v>231</v>
      </c>
      <c r="B8" s="42"/>
      <c r="C8" s="43" t="s">
        <v>230</v>
      </c>
      <c r="D8" s="44" t="s">
        <v>230</v>
      </c>
      <c r="E8" s="45" t="s">
        <v>230</v>
      </c>
    </row>
    <row r="9" spans="1:5" ht="13.5" thickBot="1">
      <c r="A9" s="118" t="s">
        <v>232</v>
      </c>
      <c r="B9" s="359"/>
      <c r="C9" s="360" t="s">
        <v>230</v>
      </c>
      <c r="D9" s="44" t="s">
        <v>230</v>
      </c>
      <c r="E9" s="45" t="s">
        <v>230</v>
      </c>
    </row>
    <row r="10" spans="1:5" ht="13.5" thickBot="1">
      <c r="A10" s="119" t="s">
        <v>233</v>
      </c>
      <c r="B10" s="76"/>
      <c r="C10" s="361"/>
      <c r="D10" s="48"/>
      <c r="E10" s="47"/>
    </row>
    <row r="11" spans="1:5" ht="13.5" thickBot="1">
      <c r="A11" s="362" t="s">
        <v>234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235</v>
      </c>
      <c r="B12" s="366"/>
      <c r="C12" s="366" t="s">
        <v>230</v>
      </c>
      <c r="D12" s="52">
        <v>0</v>
      </c>
      <c r="E12" s="53" t="e">
        <v>#REF!</v>
      </c>
    </row>
    <row r="13" spans="1:5" ht="13.5" thickBot="1">
      <c r="A13" s="120" t="s">
        <v>236</v>
      </c>
      <c r="B13" s="76"/>
      <c r="C13" s="77"/>
      <c r="D13" s="42" t="s">
        <v>230</v>
      </c>
      <c r="E13" s="43" t="s">
        <v>230</v>
      </c>
    </row>
    <row r="14" spans="1:5">
      <c r="A14" s="117" t="s">
        <v>237</v>
      </c>
      <c r="B14" s="42"/>
      <c r="C14" s="63" t="s">
        <v>230</v>
      </c>
      <c r="D14" s="55"/>
      <c r="E14" s="56"/>
    </row>
    <row r="15" spans="1:5" ht="13.5" thickBot="1">
      <c r="A15" s="118" t="s">
        <v>238</v>
      </c>
      <c r="B15" s="44"/>
      <c r="C15" s="54" t="s">
        <v>230</v>
      </c>
      <c r="D15" s="58"/>
      <c r="E15" s="59"/>
    </row>
    <row r="16" spans="1:5" ht="13.5" thickBot="1">
      <c r="A16" s="118" t="s">
        <v>239</v>
      </c>
      <c r="B16" s="44"/>
      <c r="C16" s="54" t="s">
        <v>230</v>
      </c>
      <c r="D16" s="61"/>
      <c r="E16" s="62"/>
    </row>
    <row r="17" spans="1:5">
      <c r="A17" s="118" t="s">
        <v>240</v>
      </c>
      <c r="B17" s="44"/>
      <c r="C17" s="54" t="s">
        <v>230</v>
      </c>
      <c r="D17" s="44" t="s">
        <v>230</v>
      </c>
      <c r="E17" s="54" t="s">
        <v>230</v>
      </c>
    </row>
    <row r="18" spans="1:5">
      <c r="A18" s="118" t="s">
        <v>241</v>
      </c>
      <c r="B18" s="44"/>
      <c r="C18" s="54" t="s">
        <v>230</v>
      </c>
      <c r="D18" s="44" t="s">
        <v>230</v>
      </c>
      <c r="E18" s="54" t="s">
        <v>230</v>
      </c>
    </row>
    <row r="19" spans="1:5">
      <c r="A19" s="118" t="s">
        <v>242</v>
      </c>
      <c r="B19" s="44"/>
      <c r="C19" s="54" t="s">
        <v>230</v>
      </c>
      <c r="D19" s="44" t="s">
        <v>230</v>
      </c>
      <c r="E19" s="54" t="s">
        <v>230</v>
      </c>
    </row>
    <row r="20" spans="1:5">
      <c r="A20" s="118" t="s">
        <v>243</v>
      </c>
      <c r="B20" s="44"/>
      <c r="C20" s="64" t="e">
        <f>#REF!</f>
        <v>#REF!</v>
      </c>
      <c r="D20" s="44" t="s">
        <v>230</v>
      </c>
      <c r="E20" s="54" t="s">
        <v>230</v>
      </c>
    </row>
    <row r="21" spans="1:5">
      <c r="A21" s="118" t="s">
        <v>244</v>
      </c>
      <c r="B21" s="44"/>
      <c r="C21" s="54" t="s">
        <v>230</v>
      </c>
      <c r="D21" s="44" t="s">
        <v>230</v>
      </c>
      <c r="E21" s="54" t="s">
        <v>230</v>
      </c>
    </row>
    <row r="22" spans="1:5">
      <c r="A22" s="118" t="s">
        <v>245</v>
      </c>
      <c r="B22" s="44"/>
      <c r="C22" s="54">
        <f>Water!S38</f>
        <v>0</v>
      </c>
      <c r="D22" s="44" t="s">
        <v>230</v>
      </c>
      <c r="E22" s="54" t="s">
        <v>230</v>
      </c>
    </row>
    <row r="23" spans="1:5" ht="13.5" thickBot="1">
      <c r="A23" s="121" t="s">
        <v>246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247</v>
      </c>
      <c r="B24" s="49"/>
      <c r="C24" s="60"/>
      <c r="D24" s="55" t="s">
        <v>230</v>
      </c>
      <c r="E24" s="56" t="s">
        <v>230</v>
      </c>
    </row>
    <row r="25" spans="1:5">
      <c r="A25" s="123" t="s">
        <v>248</v>
      </c>
      <c r="B25" s="42"/>
      <c r="C25" s="67">
        <f>Elect!J34</f>
        <v>1726</v>
      </c>
      <c r="D25" s="55">
        <v>12266</v>
      </c>
      <c r="E25" s="66">
        <v>814</v>
      </c>
    </row>
    <row r="26" spans="1:5" ht="13.5" thickBot="1">
      <c r="A26" s="128" t="s">
        <v>249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250</v>
      </c>
      <c r="B27" s="44"/>
      <c r="C27" s="69">
        <f>Water!H38</f>
        <v>12800.406666666864</v>
      </c>
      <c r="D27" s="61"/>
      <c r="E27" s="62"/>
    </row>
    <row r="28" spans="1:5">
      <c r="A28" s="124" t="s">
        <v>251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252</v>
      </c>
      <c r="B29" s="44"/>
      <c r="C29" s="45" t="s">
        <v>230</v>
      </c>
      <c r="D29" s="70">
        <v>28880</v>
      </c>
      <c r="E29" s="66">
        <v>32980</v>
      </c>
    </row>
    <row r="30" spans="1:5" ht="13.5" thickBot="1">
      <c r="A30" s="125" t="s">
        <v>253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255</v>
      </c>
      <c r="B32" s="76"/>
      <c r="C32" s="77"/>
      <c r="D32" s="71" t="e">
        <v>#REF!</v>
      </c>
      <c r="E32" s="56" t="s">
        <v>230</v>
      </c>
    </row>
    <row r="33" spans="1:6" ht="13.5" thickBot="1">
      <c r="A33" s="123" t="s">
        <v>256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257</v>
      </c>
      <c r="B34" s="44"/>
      <c r="C34" s="69">
        <f>YTD!Q5</f>
        <v>0</v>
      </c>
      <c r="D34" s="74"/>
      <c r="E34" s="75"/>
    </row>
    <row r="35" spans="1:6" ht="13.5" thickBot="1">
      <c r="A35" s="124" t="s">
        <v>258</v>
      </c>
      <c r="B35" s="44"/>
      <c r="C35" s="69">
        <f>YTD!Q6</f>
        <v>0</v>
      </c>
      <c r="D35" s="61"/>
      <c r="E35" s="62"/>
    </row>
    <row r="36" spans="1:6">
      <c r="A36" s="128" t="s">
        <v>259</v>
      </c>
      <c r="B36" s="44"/>
      <c r="C36" s="82"/>
      <c r="D36" s="78" t="e">
        <v>#REF!</v>
      </c>
      <c r="E36" s="66" t="e">
        <v>#REF!</v>
      </c>
    </row>
    <row r="37" spans="1:6">
      <c r="A37" s="128" t="s">
        <v>260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261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263</v>
      </c>
      <c r="B40" s="76"/>
      <c r="C40" s="77"/>
      <c r="D40" s="55">
        <v>1583714</v>
      </c>
      <c r="E40" s="66">
        <v>1940567</v>
      </c>
    </row>
    <row r="41" spans="1:6">
      <c r="A41" s="367" t="s">
        <v>264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266</v>
      </c>
      <c r="B43" s="130"/>
      <c r="C43" s="64">
        <f>Water!X38</f>
        <v>49989.04</v>
      </c>
      <c r="D43" s="58">
        <v>112</v>
      </c>
      <c r="E43" s="66">
        <v>97.529999999999944</v>
      </c>
    </row>
    <row r="44" spans="1:6" ht="13.5" thickBot="1">
      <c r="A44" s="129" t="s">
        <v>267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268</v>
      </c>
      <c r="B45" s="131"/>
      <c r="C45" s="54" t="s">
        <v>230</v>
      </c>
      <c r="D45" s="78">
        <v>2138156.84</v>
      </c>
      <c r="E45" s="66" t="e">
        <v>#REF!</v>
      </c>
    </row>
    <row r="46" spans="1:6" ht="13.5" thickBot="1">
      <c r="A46" s="132" t="s">
        <v>269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270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271</v>
      </c>
      <c r="B48" s="197"/>
      <c r="C48" s="89"/>
      <c r="D48" s="65">
        <v>330278</v>
      </c>
      <c r="E48" s="66" t="e">
        <v>#REF!</v>
      </c>
    </row>
    <row r="49" spans="1:6">
      <c r="A49" s="202" t="s">
        <v>272</v>
      </c>
      <c r="B49" s="195"/>
      <c r="C49" s="203">
        <v>6</v>
      </c>
      <c r="D49" s="44" t="s">
        <v>230</v>
      </c>
      <c r="E49" s="54" t="s">
        <v>230</v>
      </c>
    </row>
    <row r="50" spans="1:6" ht="13.5" thickBot="1">
      <c r="A50" s="222" t="s">
        <v>136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274</v>
      </c>
      <c r="B52" s="131"/>
      <c r="C52" s="54">
        <v>75064</v>
      </c>
      <c r="D52" s="61"/>
      <c r="E52" s="62"/>
    </row>
    <row r="53" spans="1:6" ht="13.5" thickBot="1">
      <c r="A53" s="204" t="s">
        <v>275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44835</v>
      </c>
      <c r="C1" s="774"/>
      <c r="D1" s="774"/>
      <c r="E1" s="774"/>
      <c r="F1" s="774"/>
      <c r="G1" s="774"/>
      <c r="H1" s="211" t="s">
        <v>280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281</v>
      </c>
      <c r="D3" s="227" t="s">
        <v>282</v>
      </c>
      <c r="E3" s="227" t="s">
        <v>283</v>
      </c>
      <c r="F3" s="227" t="s">
        <v>284</v>
      </c>
      <c r="G3" s="227" t="s">
        <v>285</v>
      </c>
      <c r="H3" s="227" t="s">
        <v>286</v>
      </c>
      <c r="I3" s="227" t="s">
        <v>287</v>
      </c>
      <c r="J3" s="227" t="s">
        <v>288</v>
      </c>
      <c r="K3" s="227" t="s">
        <v>289</v>
      </c>
      <c r="L3" s="227" t="s">
        <v>290</v>
      </c>
      <c r="M3" s="227" t="s">
        <v>291</v>
      </c>
      <c r="N3" s="227" t="s">
        <v>292</v>
      </c>
      <c r="O3" s="228" t="s">
        <v>293</v>
      </c>
      <c r="P3" s="229" t="s">
        <v>294</v>
      </c>
      <c r="Q3" s="230" t="s">
        <v>295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296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297</v>
      </c>
      <c r="B5" s="296"/>
      <c r="C5" s="234">
        <v>25072</v>
      </c>
      <c r="D5" s="380">
        <f>Elect!BP34</f>
        <v>111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25183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298</v>
      </c>
      <c r="B6" s="298"/>
      <c r="C6" s="235">
        <v>50662</v>
      </c>
      <c r="D6" s="235">
        <f>Elect!BR34</f>
        <v>143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50805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300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301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310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311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320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321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330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331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340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341</v>
      </c>
      <c r="B51" s="312" t="s">
        <v>342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350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351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358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359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360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361</v>
      </c>
      <c r="B77" s="320" t="s">
        <v>362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363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361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361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310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311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320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321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330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331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340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341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350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351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310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311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320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321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330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331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340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341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350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351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370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371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380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381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320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321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330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331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340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341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350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351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320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321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330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331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340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341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350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351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385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281</v>
      </c>
      <c r="D2340" s="268" t="s">
        <v>282</v>
      </c>
      <c r="E2340" s="268" t="s">
        <v>283</v>
      </c>
      <c r="F2340" s="268" t="s">
        <v>284</v>
      </c>
      <c r="G2340" s="268" t="s">
        <v>285</v>
      </c>
      <c r="H2340" s="268" t="s">
        <v>286</v>
      </c>
      <c r="I2340" s="268" t="s">
        <v>287</v>
      </c>
      <c r="J2340" s="268" t="s">
        <v>288</v>
      </c>
      <c r="K2340" s="268" t="s">
        <v>289</v>
      </c>
      <c r="L2340" s="268" t="s">
        <v>290</v>
      </c>
      <c r="M2340" s="268" t="s">
        <v>291</v>
      </c>
      <c r="N2340" s="269" t="s">
        <v>292</v>
      </c>
      <c r="O2340" s="226" t="s">
        <v>386</v>
      </c>
      <c r="P2340" s="270" t="s">
        <v>294</v>
      </c>
      <c r="Q2340" s="230" t="s">
        <v>387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366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388</v>
      </c>
      <c r="B2345" s="782" t="s">
        <v>389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390</v>
      </c>
      <c r="B2346" s="782" t="s">
        <v>389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391</v>
      </c>
      <c r="B2347" s="782" t="s">
        <v>389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392</v>
      </c>
      <c r="B2348" s="782" t="s">
        <v>389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310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355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356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357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393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281</v>
      </c>
      <c r="D2357" s="268" t="s">
        <v>282</v>
      </c>
      <c r="E2357" s="268" t="s">
        <v>283</v>
      </c>
      <c r="F2357" s="268" t="s">
        <v>284</v>
      </c>
      <c r="G2357" s="268" t="s">
        <v>285</v>
      </c>
      <c r="H2357" s="268" t="s">
        <v>286</v>
      </c>
      <c r="I2357" s="268" t="s">
        <v>287</v>
      </c>
      <c r="J2357" s="268" t="s">
        <v>288</v>
      </c>
      <c r="K2357" s="268" t="s">
        <v>289</v>
      </c>
      <c r="L2357" s="268" t="s">
        <v>290</v>
      </c>
      <c r="M2357" s="268" t="s">
        <v>291</v>
      </c>
      <c r="N2357" s="269" t="s">
        <v>292</v>
      </c>
      <c r="O2357" s="226" t="s">
        <v>386</v>
      </c>
      <c r="P2357" s="270" t="s">
        <v>294</v>
      </c>
      <c r="Q2357" s="230" t="s">
        <v>387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366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388</v>
      </c>
      <c r="B2362" s="782" t="s">
        <v>389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390</v>
      </c>
      <c r="B2363" s="782" t="s">
        <v>389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391</v>
      </c>
      <c r="B2364" s="782" t="s">
        <v>389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392</v>
      </c>
      <c r="B2365" s="782" t="s">
        <v>389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310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355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356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357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34" zoomScaleSheetLayoutView="100" workbookViewId="0">
      <selection activeCell="I51" sqref="I51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394</v>
      </c>
      <c r="F6" s="669"/>
      <c r="G6" s="668"/>
      <c r="H6" s="670">
        <f>Elect!A1</f>
        <v>44835</v>
      </c>
      <c r="I6" s="668"/>
      <c r="J6" s="668"/>
      <c r="K6" s="668"/>
    </row>
    <row r="9" spans="2:13" ht="13.5" customHeight="1">
      <c r="B9" s="945" t="s">
        <v>395</v>
      </c>
      <c r="C9" s="946"/>
      <c r="D9" s="946"/>
      <c r="E9" s="946"/>
      <c r="F9" s="946"/>
      <c r="G9" s="946"/>
      <c r="H9" s="946"/>
      <c r="I9" s="946"/>
      <c r="J9" s="946"/>
      <c r="K9" s="946"/>
      <c r="L9" s="946"/>
      <c r="M9" s="946"/>
    </row>
    <row r="10" spans="2:13" ht="13.5" customHeight="1" thickBot="1">
      <c r="B10" s="947"/>
      <c r="C10" s="948"/>
      <c r="D10" s="948"/>
      <c r="E10" s="948"/>
      <c r="F10" s="948"/>
      <c r="G10" s="948"/>
      <c r="H10" s="948"/>
      <c r="I10" s="948"/>
      <c r="J10" s="948"/>
      <c r="K10" s="948"/>
      <c r="L10" s="948"/>
      <c r="M10" s="948"/>
    </row>
    <row r="11" spans="2:13" ht="16.5" thickBot="1">
      <c r="B11" s="958" t="s">
        <v>396</v>
      </c>
      <c r="C11" s="958"/>
      <c r="D11" s="958" t="s">
        <v>397</v>
      </c>
      <c r="E11" s="958"/>
      <c r="F11" s="958" t="s">
        <v>398</v>
      </c>
      <c r="G11" s="958"/>
      <c r="H11" s="956" t="s">
        <v>399</v>
      </c>
      <c r="I11" s="957"/>
      <c r="J11" s="956" t="s">
        <v>400</v>
      </c>
      <c r="K11" s="957"/>
      <c r="L11" s="956" t="s">
        <v>401</v>
      </c>
      <c r="M11" s="957"/>
    </row>
    <row r="12" spans="2:13" ht="16.5" thickBot="1">
      <c r="B12" s="671" t="s">
        <v>402</v>
      </c>
      <c r="C12" s="671" t="s">
        <v>403</v>
      </c>
      <c r="D12" s="671" t="s">
        <v>402</v>
      </c>
      <c r="E12" s="671" t="s">
        <v>403</v>
      </c>
      <c r="F12" s="671" t="s">
        <v>402</v>
      </c>
      <c r="G12" s="671" t="s">
        <v>403</v>
      </c>
      <c r="H12" s="671" t="s">
        <v>402</v>
      </c>
      <c r="I12" s="671" t="s">
        <v>403</v>
      </c>
      <c r="J12" s="671" t="s">
        <v>402</v>
      </c>
      <c r="K12" s="671" t="s">
        <v>403</v>
      </c>
      <c r="L12" s="671" t="s">
        <v>402</v>
      </c>
      <c r="M12" s="671" t="s">
        <v>403</v>
      </c>
    </row>
    <row r="13" spans="2:13" ht="13.5" thickBot="1">
      <c r="B13" s="672">
        <f>Elect!AN37</f>
        <v>312424.31166666822</v>
      </c>
      <c r="C13" s="758">
        <f>(B13*1.15)+(2879*60*0.72)</f>
        <v>483660.7584166684</v>
      </c>
      <c r="D13" s="672">
        <f>Elect!J37</f>
        <v>175935.35185259953</v>
      </c>
      <c r="E13" s="758">
        <f>(D13*1.15)+(573*60)+10000</f>
        <v>246705.65463048944</v>
      </c>
      <c r="F13" s="672">
        <f>Elect!BI37</f>
        <v>410086.80416666879</v>
      </c>
      <c r="G13" s="758">
        <f>(F13*1.15)</f>
        <v>471599.82479166909</v>
      </c>
      <c r="H13" s="672">
        <f>Elect!Q37</f>
        <v>17570.000000010186</v>
      </c>
      <c r="I13" s="758">
        <f>H13*1.6+1500</f>
        <v>29612.000000016298</v>
      </c>
      <c r="J13" s="799">
        <f>B13+D13+F13+H13</f>
        <v>916016.46768594673</v>
      </c>
      <c r="K13" s="759">
        <f>G13+E13+C13+I13</f>
        <v>1231578.2378388434</v>
      </c>
      <c r="L13" s="799">
        <f>B13+F13</f>
        <v>722511.11583333695</v>
      </c>
      <c r="M13" s="760">
        <f>C13+G13</f>
        <v>955260.58320833743</v>
      </c>
    </row>
    <row r="16" spans="2:13" ht="0.75" customHeight="1" thickBot="1">
      <c r="K16">
        <f>K18</f>
        <v>1562596.076505526</v>
      </c>
    </row>
    <row r="17" spans="4:11" ht="13.5" customHeight="1">
      <c r="E17" s="949" t="s">
        <v>404</v>
      </c>
      <c r="F17" s="950"/>
      <c r="J17" s="756" t="s">
        <v>405</v>
      </c>
      <c r="K17" s="757">
        <f>K13/J13</f>
        <v>1.3444935558310136</v>
      </c>
    </row>
    <row r="18" spans="4:11" ht="34.5" customHeight="1" thickBot="1">
      <c r="E18" s="951"/>
      <c r="F18" s="952"/>
      <c r="J18" s="756" t="s">
        <v>406</v>
      </c>
      <c r="K18" s="761">
        <f>K13+F20+F27+G35</f>
        <v>1562596.076505526</v>
      </c>
    </row>
    <row r="19" spans="4:11" ht="13.5" thickBot="1">
      <c r="E19" s="674" t="s">
        <v>407</v>
      </c>
      <c r="F19" s="674" t="s">
        <v>403</v>
      </c>
    </row>
    <row r="20" spans="4:11" ht="13.5" thickBot="1">
      <c r="E20" s="953">
        <f>Water!H38</f>
        <v>12800.406666666864</v>
      </c>
      <c r="F20" s="955">
        <f>E20*10</f>
        <v>128004.06666666864</v>
      </c>
    </row>
    <row r="21" spans="4:11" ht="13.5" thickBot="1">
      <c r="E21" s="954"/>
      <c r="F21" s="955"/>
    </row>
    <row r="23" spans="4:11" ht="13.5" thickBot="1"/>
    <row r="24" spans="4:11" ht="13.5" thickBot="1">
      <c r="E24" s="959" t="s">
        <v>408</v>
      </c>
      <c r="F24" s="959"/>
    </row>
    <row r="25" spans="4:11" ht="11.25" customHeight="1" thickBot="1">
      <c r="E25" s="959"/>
      <c r="F25" s="959"/>
      <c r="H25" s="83"/>
    </row>
    <row r="26" spans="4:11" ht="13.5" thickBot="1">
      <c r="E26" s="674" t="s">
        <v>407</v>
      </c>
      <c r="F26" s="674" t="s">
        <v>403</v>
      </c>
    </row>
    <row r="27" spans="4:11" ht="13.5" thickBot="1">
      <c r="E27" s="954">
        <f>Gas!C38</f>
        <v>42357.246666669962</v>
      </c>
      <c r="F27" s="955">
        <f>E27*3.9</f>
        <v>165193.26200001285</v>
      </c>
    </row>
    <row r="28" spans="4:11" ht="13.5" thickBot="1">
      <c r="E28" s="954"/>
      <c r="F28" s="955"/>
    </row>
    <row r="30" spans="4:11" ht="13.5" thickBot="1"/>
    <row r="31" spans="4:11" ht="20.25">
      <c r="D31" s="960" t="s">
        <v>409</v>
      </c>
      <c r="E31" s="961"/>
      <c r="F31" s="961"/>
      <c r="G31" s="962"/>
      <c r="H31" s="676"/>
      <c r="I31" s="676"/>
    </row>
    <row r="32" spans="4:11" ht="21" thickBot="1">
      <c r="D32" s="945"/>
      <c r="E32" s="946"/>
      <c r="F32" s="946"/>
      <c r="G32" s="963"/>
      <c r="H32" s="676"/>
      <c r="I32" s="676"/>
    </row>
    <row r="33" spans="3:9" ht="13.5" thickBot="1">
      <c r="D33" s="677" t="s">
        <v>410</v>
      </c>
      <c r="E33" s="677" t="s">
        <v>411</v>
      </c>
      <c r="F33" s="677" t="s">
        <v>412</v>
      </c>
      <c r="G33" s="677" t="s">
        <v>403</v>
      </c>
      <c r="H33" s="678"/>
      <c r="I33" s="678"/>
    </row>
    <row r="34" spans="3:9" ht="13.5" thickBot="1">
      <c r="C34" s="739"/>
      <c r="D34" s="682">
        <f>Gas!D6</f>
        <v>570405</v>
      </c>
      <c r="E34" s="682">
        <f>Gas!D36</f>
        <v>583821</v>
      </c>
      <c r="F34" s="714">
        <f>Gas!E38</f>
        <v>9697.5666666668822</v>
      </c>
      <c r="G34" s="798">
        <f>F34*3.9</f>
        <v>37820.510000000839</v>
      </c>
      <c r="H34" s="680"/>
      <c r="I34" s="680"/>
    </row>
    <row r="35" spans="3:9" ht="18.75" thickBot="1">
      <c r="D35" s="967" t="s">
        <v>413</v>
      </c>
      <c r="E35" s="967"/>
      <c r="F35" s="967"/>
      <c r="G35" s="798">
        <f>G34</f>
        <v>37820.510000000839</v>
      </c>
      <c r="H35" s="33"/>
      <c r="I35" s="33"/>
    </row>
    <row r="37" spans="3:9" ht="13.5" thickBot="1"/>
    <row r="38" spans="3:9" ht="20.25">
      <c r="D38" s="960" t="s">
        <v>414</v>
      </c>
      <c r="E38" s="961"/>
      <c r="F38" s="961"/>
      <c r="G38" s="962"/>
      <c r="H38" s="676"/>
      <c r="I38" s="676"/>
    </row>
    <row r="39" spans="3:9" ht="21" thickBot="1">
      <c r="D39" s="945"/>
      <c r="E39" s="946"/>
      <c r="F39" s="946"/>
      <c r="G39" s="963"/>
      <c r="H39" s="676"/>
      <c r="I39" s="676"/>
    </row>
    <row r="40" spans="3:9" ht="18.75" customHeight="1" thickBot="1">
      <c r="D40" s="677" t="s">
        <v>410</v>
      </c>
      <c r="E40" s="677" t="s">
        <v>411</v>
      </c>
      <c r="F40" s="677" t="s">
        <v>402</v>
      </c>
      <c r="G40" s="677" t="s">
        <v>403</v>
      </c>
      <c r="H40" s="678"/>
      <c r="I40" s="678"/>
    </row>
    <row r="41" spans="3:9" ht="13.5" thickBot="1">
      <c r="C41" s="679" t="s">
        <v>90</v>
      </c>
      <c r="D41" s="683">
        <f>Elect!R5</f>
        <v>217431</v>
      </c>
      <c r="E41" s="762">
        <f>Elect!R36</f>
        <v>221805.88888888899</v>
      </c>
      <c r="F41" s="684">
        <f>E41-D41</f>
        <v>4374.8888888889924</v>
      </c>
      <c r="G41" s="764">
        <f>F41*1.15</f>
        <v>5031.1222222223405</v>
      </c>
      <c r="H41" s="685"/>
      <c r="I41" s="685"/>
    </row>
    <row r="42" spans="3:9" ht="13.5" thickBot="1">
      <c r="C42" s="679" t="s">
        <v>91</v>
      </c>
      <c r="D42" s="683">
        <f>Elect!T5</f>
        <v>396865</v>
      </c>
      <c r="E42" s="683">
        <f>Elect!T36</f>
        <v>404727.33333333302</v>
      </c>
      <c r="F42" s="684">
        <f>E42-D42</f>
        <v>7862.3333333330229</v>
      </c>
      <c r="G42" s="764">
        <f>F42*1.15</f>
        <v>9041.683333332976</v>
      </c>
      <c r="H42" s="685"/>
      <c r="I42" s="685"/>
    </row>
    <row r="43" spans="3:9" ht="18.75" thickBot="1">
      <c r="D43" s="964" t="s">
        <v>413</v>
      </c>
      <c r="E43" s="965"/>
      <c r="F43" s="966"/>
      <c r="G43" s="765">
        <f>G42+G41</f>
        <v>14072.805555555316</v>
      </c>
      <c r="H43" s="33"/>
      <c r="I43" s="33"/>
    </row>
    <row r="44" spans="3:9">
      <c r="F44" s="225"/>
    </row>
    <row r="48" spans="3:9" ht="13.5" thickBot="1"/>
    <row r="49" spans="3:7">
      <c r="D49" s="960" t="s">
        <v>415</v>
      </c>
      <c r="E49" s="961"/>
      <c r="F49" s="961"/>
      <c r="G49" s="962"/>
    </row>
    <row r="50" spans="3:7" ht="13.5" thickBot="1">
      <c r="D50" s="945"/>
      <c r="E50" s="946"/>
      <c r="F50" s="946"/>
      <c r="G50" s="963"/>
    </row>
    <row r="51" spans="3:7" ht="13.5" thickBot="1">
      <c r="D51" s="677" t="s">
        <v>410</v>
      </c>
      <c r="E51" s="677" t="s">
        <v>411</v>
      </c>
      <c r="F51" s="677" t="s">
        <v>407</v>
      </c>
      <c r="G51" s="677" t="s">
        <v>403</v>
      </c>
    </row>
    <row r="52" spans="3:7" ht="13.5" thickBot="1">
      <c r="C52" s="679" t="s">
        <v>416</v>
      </c>
      <c r="D52" s="682">
        <v>302</v>
      </c>
      <c r="E52" s="683">
        <v>309</v>
      </c>
      <c r="F52" s="799">
        <v>7</v>
      </c>
      <c r="G52" s="675">
        <f>F52*10</f>
        <v>70</v>
      </c>
    </row>
    <row r="53" spans="3:7" ht="13.5" thickBot="1">
      <c r="C53" s="679" t="s">
        <v>417</v>
      </c>
      <c r="D53" s="683">
        <v>5261</v>
      </c>
      <c r="E53" s="683">
        <v>5265</v>
      </c>
      <c r="F53" s="684">
        <v>104</v>
      </c>
      <c r="G53" s="673">
        <f>F53*10</f>
        <v>1040</v>
      </c>
    </row>
    <row r="54" spans="3:7" ht="18.75" thickBot="1">
      <c r="D54" s="964" t="s">
        <v>413</v>
      </c>
      <c r="E54" s="965"/>
      <c r="F54" s="966"/>
      <c r="G54" s="681">
        <f>G52+G53</f>
        <v>1110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4D3130CD-D410-4CE4-A243-9F17F1661C46}"/>
</file>

<file path=customXml/itemProps2.xml><?xml version="1.0" encoding="utf-8"?>
<ds:datastoreItem xmlns:ds="http://schemas.openxmlformats.org/officeDocument/2006/customXml" ds:itemID="{35CDCC65-FA18-4236-BA43-DA774CC164A7}"/>
</file>

<file path=customXml/itemProps3.xml><?xml version="1.0" encoding="utf-8"?>
<ds:datastoreItem xmlns:ds="http://schemas.openxmlformats.org/officeDocument/2006/customXml" ds:itemID="{C84BCC85-6B82-491C-B493-C004743EA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Atef A.Allah A.Maksoud</cp:lastModifiedBy>
  <cp:revision/>
  <dcterms:created xsi:type="dcterms:W3CDTF">2007-10-20T05:06:40Z</dcterms:created>
  <dcterms:modified xsi:type="dcterms:W3CDTF">2022-12-03T10:25:42Z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