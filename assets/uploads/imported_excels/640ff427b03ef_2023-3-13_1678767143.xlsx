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19" l="1"/>
  <c r="H12" i="119"/>
  <c r="H11" i="119"/>
  <c r="H10" i="119"/>
  <c r="H9" i="119"/>
  <c r="H8" i="119"/>
  <c r="H7" i="119"/>
  <c r="H6" i="119"/>
  <c r="H5" i="119"/>
  <c r="H34" i="119" l="1"/>
  <c r="I31" i="117" s="1"/>
  <c r="H35" i="119"/>
  <c r="I32" i="117"/>
  <c r="F35" i="119"/>
  <c r="G32" i="117" s="1"/>
  <c r="D3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I2" i="117"/>
  <c r="F14" i="119"/>
  <c r="G11" i="117" s="1"/>
  <c r="F16" i="119"/>
  <c r="G13" i="117"/>
  <c r="F22" i="119"/>
  <c r="G19" i="117" s="1"/>
  <c r="F24" i="119"/>
  <c r="G21" i="117"/>
  <c r="D18" i="119"/>
  <c r="D26" i="119"/>
  <c r="D33" i="119"/>
  <c r="D34" i="119"/>
  <c r="F34" i="119"/>
  <c r="G31" i="117" s="1"/>
  <c r="H33" i="119"/>
  <c r="I30" i="117" s="1"/>
  <c r="F33" i="119"/>
  <c r="G30" i="117"/>
  <c r="H32" i="119"/>
  <c r="I29" i="117" s="1"/>
  <c r="F32" i="119"/>
  <c r="G29" i="117"/>
  <c r="D32" i="119"/>
  <c r="H31" i="119"/>
  <c r="I28" i="117" s="1"/>
  <c r="F31" i="119"/>
  <c r="G28" i="117"/>
  <c r="D31" i="119"/>
  <c r="H30" i="119"/>
  <c r="I27" i="117"/>
  <c r="F30" i="119"/>
  <c r="G27" i="117"/>
  <c r="D30" i="119"/>
  <c r="H29" i="119"/>
  <c r="I26" i="117"/>
  <c r="F29" i="119"/>
  <c r="G26" i="117" s="1"/>
  <c r="D29" i="119"/>
  <c r="H28" i="119"/>
  <c r="I25" i="117" s="1"/>
  <c r="F28" i="119"/>
  <c r="G25" i="117" s="1"/>
  <c r="D28" i="119"/>
  <c r="H27" i="119"/>
  <c r="I24" i="117" s="1"/>
  <c r="F27" i="119"/>
  <c r="G24" i="117" s="1"/>
  <c r="D27" i="119"/>
  <c r="H26" i="119"/>
  <c r="I23" i="117"/>
  <c r="F26" i="119"/>
  <c r="G23" i="117"/>
  <c r="H25" i="119"/>
  <c r="I22" i="117"/>
  <c r="F25" i="119"/>
  <c r="G22" i="117"/>
  <c r="D25" i="119"/>
  <c r="H24" i="119"/>
  <c r="I21" i="117"/>
  <c r="D24" i="119"/>
  <c r="H23" i="119"/>
  <c r="I20" i="117"/>
  <c r="F23" i="119"/>
  <c r="G20" i="117"/>
  <c r="D23" i="119"/>
  <c r="H22" i="119"/>
  <c r="I19" i="117"/>
  <c r="D22" i="119"/>
  <c r="H21" i="119"/>
  <c r="I18" i="117"/>
  <c r="F21" i="119"/>
  <c r="G18" i="117"/>
  <c r="D21" i="119"/>
  <c r="H20" i="119"/>
  <c r="I17" i="117"/>
  <c r="F20" i="119"/>
  <c r="G17" i="117"/>
  <c r="D20" i="119"/>
  <c r="H19" i="119"/>
  <c r="I16" i="117" s="1"/>
  <c r="F19" i="119"/>
  <c r="G16" i="117"/>
  <c r="D19" i="119"/>
  <c r="H18" i="119"/>
  <c r="I15" i="117" s="1"/>
  <c r="F18" i="119"/>
  <c r="G15" i="117"/>
  <c r="H17" i="119"/>
  <c r="I14" i="117" s="1"/>
  <c r="F17" i="119"/>
  <c r="G14" i="117"/>
  <c r="D17" i="119"/>
  <c r="H16" i="119"/>
  <c r="I13" i="117"/>
  <c r="D16" i="119"/>
  <c r="H15" i="119"/>
  <c r="I12" i="117" s="1"/>
  <c r="F15" i="119"/>
  <c r="G12" i="117" s="1"/>
  <c r="D15" i="119"/>
  <c r="H14" i="119"/>
  <c r="I11" i="117"/>
  <c r="D14" i="119"/>
  <c r="I10" i="117"/>
  <c r="F13" i="119"/>
  <c r="G10" i="117"/>
  <c r="D13" i="119"/>
  <c r="I9" i="117"/>
  <c r="F12" i="119"/>
  <c r="G9" i="117"/>
  <c r="D12" i="119"/>
  <c r="I8" i="117"/>
  <c r="F11" i="119"/>
  <c r="G8" i="117"/>
  <c r="D11" i="119"/>
  <c r="I7" i="117"/>
  <c r="F10" i="119"/>
  <c r="G7" i="117"/>
  <c r="D10" i="119"/>
  <c r="I6" i="117"/>
  <c r="F9" i="119"/>
  <c r="G6" i="117"/>
  <c r="D9" i="119"/>
  <c r="I5" i="117"/>
  <c r="F8" i="119"/>
  <c r="G5" i="117" s="1"/>
  <c r="D8" i="119"/>
  <c r="I4" i="117"/>
  <c r="F7" i="119"/>
  <c r="G4" i="117" s="1"/>
  <c r="D7" i="119"/>
  <c r="I3" i="117"/>
  <c r="F6" i="119"/>
  <c r="G3" i="117"/>
  <c r="D6" i="119"/>
  <c r="F5" i="119"/>
  <c r="G2" i="117"/>
  <c r="D5" i="119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<sst xmlns="http://schemas.openxmlformats.org/spreadsheetml/2006/main" count="56" uniqueCount="25">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</sst>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L2" sqref="L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3</v>
      </c>
      <c r="D2" s="7">
        <v>2022</v>
      </c>
      <c r="E2" s="9">
        <v>13146.999999999343</v>
      </c>
      <c r="F2" s="30">
        <v>0.85089999999999999</v>
      </c>
      <c r="G2" s="9">
        <f>'Shenzhen Daily'!F5</f>
        <v>952</v>
      </c>
      <c r="H2" s="30">
        <v>4.3899999999999997</v>
      </c>
      <c r="I2" s="9">
        <f>'Shenzhen Daily'!H5</f>
        <v>220</v>
      </c>
      <c r="J2" s="30">
        <v>5.09</v>
      </c>
      <c r="K2" s="9">
        <f>'Shenzhen Daily'!I5</f>
        <v>40.139400000000002</v>
      </c>
      <c r="L2" s="9">
        <f>'Shenzhen Daily'!J5</f>
        <v>70</v>
      </c>
    </row>
    <row r="3" spans="1:12" ht="15" x14ac:dyDescent="0.25">
      <c r="A3" s="6" t="s">
        <v>22</v>
      </c>
      <c r="B3" s="7">
        <f>B2+1</f>
        <v>2</v>
      </c>
      <c r="C3" s="8">
        <v>3</v>
      </c>
      <c r="D3" s="7">
        <v>2022</v>
      </c>
      <c r="E3" s="9">
        <v>14247.000000000662</v>
      </c>
      <c r="F3" s="30">
        <v>0.85089999999999999</v>
      </c>
      <c r="G3" s="9">
        <f>'Shenzhen Daily'!F6</f>
        <v>880</v>
      </c>
      <c r="H3" s="30">
        <v>4.3899999999999997</v>
      </c>
      <c r="I3" s="9">
        <f>'Shenzhen Daily'!H6</f>
        <v>200</v>
      </c>
      <c r="J3" s="30">
        <v>5.09</v>
      </c>
      <c r="K3" s="9">
        <f>'Shenzhen Daily'!I6</f>
        <v>35.138599999999997</v>
      </c>
      <c r="L3" s="9">
        <f>'Shenzhen Daily'!J6</f>
        <v>35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3</v>
      </c>
      <c r="D4" s="7">
        <v>2022</v>
      </c>
      <c r="E4" s="9">
        <v>13472.999999999194</v>
      </c>
      <c r="F4" s="30">
        <v>0.85089999999999999</v>
      </c>
      <c r="G4" s="9">
        <f>'Shenzhen Daily'!F7</f>
        <v>927</v>
      </c>
      <c r="H4" s="30">
        <v>4.3899999999999997</v>
      </c>
      <c r="I4" s="9">
        <f>'Shenzhen Daily'!H7</f>
        <v>187</v>
      </c>
      <c r="J4" s="30">
        <v>5.09</v>
      </c>
      <c r="K4" s="9">
        <f>'Shenzhen Daily'!I7</f>
        <v>37.133600000000001</v>
      </c>
      <c r="L4" s="9">
        <f>'Shenzhen Daily'!J7</f>
        <v>27</v>
      </c>
    </row>
    <row r="5" spans="1:12" ht="15" x14ac:dyDescent="0.25">
      <c r="A5" s="6" t="s">
        <v>22</v>
      </c>
      <c r="B5" s="7">
        <f t="shared" si="0"/>
        <v>4</v>
      </c>
      <c r="C5" s="8">
        <v>3</v>
      </c>
      <c r="D5" s="7">
        <v>2022</v>
      </c>
      <c r="E5" s="9">
        <v>13484.000000000673</v>
      </c>
      <c r="F5" s="30">
        <v>0.85089999999999999</v>
      </c>
      <c r="G5" s="9">
        <f>'Shenzhen Daily'!F8</f>
        <v>742</v>
      </c>
      <c r="H5" s="30">
        <v>4.3899999999999997</v>
      </c>
      <c r="I5" s="9">
        <f>'Shenzhen Daily'!H8</f>
        <v>214</v>
      </c>
      <c r="J5" s="30">
        <v>5.09</v>
      </c>
      <c r="K5" s="9">
        <f>'Shenzhen Daily'!I8</f>
        <v>29.1004</v>
      </c>
      <c r="L5" s="9">
        <f>'Shenzhen Daily'!J8</f>
        <v>19</v>
      </c>
    </row>
    <row r="6" spans="1:12" ht="15" x14ac:dyDescent="0.25">
      <c r="A6" s="6" t="s">
        <v>22</v>
      </c>
      <c r="B6" s="7">
        <f t="shared" si="0"/>
        <v>5</v>
      </c>
      <c r="C6" s="8">
        <v>3</v>
      </c>
      <c r="D6" s="7">
        <v>2022</v>
      </c>
      <c r="E6" s="9">
        <v>13859.000000000266</v>
      </c>
      <c r="F6" s="30">
        <v>0.85089999999999999</v>
      </c>
      <c r="G6" s="9">
        <f>'Shenzhen Daily'!F9</f>
        <v>694</v>
      </c>
      <c r="H6" s="30">
        <v>4.3899999999999997</v>
      </c>
      <c r="I6" s="9">
        <f>'Shenzhen Daily'!H9</f>
        <v>180</v>
      </c>
      <c r="J6" s="30">
        <v>5.09</v>
      </c>
      <c r="K6" s="9">
        <f>'Shenzhen Daily'!I9</f>
        <v>25.0838</v>
      </c>
      <c r="L6" s="9">
        <f>'Shenzhen Daily'!J9</f>
        <v>21</v>
      </c>
    </row>
    <row r="7" spans="1:12" ht="15" x14ac:dyDescent="0.25">
      <c r="A7" s="6" t="s">
        <v>22</v>
      </c>
      <c r="B7" s="7">
        <f t="shared" si="0"/>
        <v>6</v>
      </c>
      <c r="C7" s="8">
        <v>3</v>
      </c>
      <c r="D7" s="7">
        <v>2022</v>
      </c>
      <c r="E7" s="9">
        <v>13663.999999999533</v>
      </c>
      <c r="F7" s="30">
        <v>0.85089999999999999</v>
      </c>
      <c r="G7" s="9">
        <f>'Shenzhen Daily'!F10</f>
        <v>758</v>
      </c>
      <c r="H7" s="30">
        <v>4.3899999999999997</v>
      </c>
      <c r="I7" s="9">
        <f>'Shenzhen Daily'!H10</f>
        <v>188</v>
      </c>
      <c r="J7" s="30">
        <v>5.09</v>
      </c>
      <c r="K7" s="9">
        <f>'Shenzhen Daily'!I10</f>
        <v>19.072199999999999</v>
      </c>
      <c r="L7" s="9">
        <f>'Shenzhen Daily'!J10</f>
        <v>15</v>
      </c>
    </row>
    <row r="8" spans="1:12" ht="15" x14ac:dyDescent="0.25">
      <c r="A8" s="6" t="s">
        <v>22</v>
      </c>
      <c r="B8" s="7">
        <f t="shared" si="0"/>
        <v>7</v>
      </c>
      <c r="C8" s="8">
        <v>3</v>
      </c>
      <c r="D8" s="7">
        <v>2022</v>
      </c>
      <c r="E8" s="9">
        <v>12549.999999999727</v>
      </c>
      <c r="F8" s="30">
        <v>0.85089999999999999</v>
      </c>
      <c r="G8" s="9">
        <f>'Shenzhen Daily'!F11</f>
        <v>719</v>
      </c>
      <c r="H8" s="30">
        <v>4.3899999999999997</v>
      </c>
      <c r="I8" s="9">
        <f>'Shenzhen Daily'!H11</f>
        <v>141</v>
      </c>
      <c r="J8" s="30">
        <v>5.09</v>
      </c>
      <c r="K8" s="9">
        <f>'Shenzhen Daily'!I11</f>
        <v>21.067200000000003</v>
      </c>
      <c r="L8" s="9">
        <f>'Shenzhen Daily'!J11</f>
        <v>20</v>
      </c>
    </row>
    <row r="9" spans="1:12" ht="15" x14ac:dyDescent="0.25">
      <c r="A9" s="6" t="s">
        <v>22</v>
      </c>
      <c r="B9" s="7">
        <f t="shared" si="0"/>
        <v>8</v>
      </c>
      <c r="C9" s="8">
        <v>3</v>
      </c>
      <c r="D9" s="7">
        <v>2022</v>
      </c>
      <c r="E9" s="9">
        <v>11785.999999999989</v>
      </c>
      <c r="F9" s="30">
        <v>0.85089999999999999</v>
      </c>
      <c r="G9" s="9">
        <f>'Shenzhen Daily'!F12</f>
        <v>852</v>
      </c>
      <c r="H9" s="30">
        <v>4.3899999999999997</v>
      </c>
      <c r="I9" s="9">
        <f>'Shenzhen Daily'!H12</f>
        <v>157</v>
      </c>
      <c r="J9" s="30">
        <v>5.09</v>
      </c>
      <c r="K9" s="9">
        <f>'Shenzhen Daily'!I12</f>
        <v>21.067200000000003</v>
      </c>
      <c r="L9" s="9">
        <f>'Shenzhen Daily'!J12</f>
        <v>18</v>
      </c>
    </row>
    <row r="10" spans="1:12" ht="15" x14ac:dyDescent="0.25">
      <c r="A10" s="6" t="s">
        <v>22</v>
      </c>
      <c r="B10" s="7">
        <f t="shared" si="0"/>
        <v>9</v>
      </c>
      <c r="C10" s="8">
        <v>3</v>
      </c>
      <c r="D10" s="7">
        <v>2022</v>
      </c>
      <c r="E10" s="9">
        <v>11987.000000000524</v>
      </c>
      <c r="F10" s="30">
        <v>0.85089999999999999</v>
      </c>
      <c r="G10" s="9">
        <f>'Shenzhen Daily'!F13</f>
        <v>895</v>
      </c>
      <c r="H10" s="30">
        <v>4.3899999999999997</v>
      </c>
      <c r="I10" s="9">
        <f>'Shenzhen Daily'!H13</f>
        <v>142</v>
      </c>
      <c r="J10" s="30">
        <v>5.09</v>
      </c>
      <c r="K10" s="9">
        <f>'Shenzhen Daily'!I13</f>
        <v>25.0838</v>
      </c>
      <c r="L10" s="9">
        <f>'Shenzhen Daily'!J13</f>
        <v>22</v>
      </c>
    </row>
    <row r="11" spans="1:12" ht="15" x14ac:dyDescent="0.25">
      <c r="A11" s="6" t="s">
        <v>22</v>
      </c>
      <c r="B11" s="7">
        <f t="shared" si="0"/>
        <v>10</v>
      </c>
      <c r="C11" s="8">
        <v>3</v>
      </c>
      <c r="D11" s="7">
        <v>2022</v>
      </c>
      <c r="E11" s="9">
        <v>12414.999999999964</v>
      </c>
      <c r="F11" s="30">
        <v>0.85089999999999999</v>
      </c>
      <c r="G11" s="9">
        <f>'Shenzhen Daily'!F14</f>
        <v>686</v>
      </c>
      <c r="H11" s="30">
        <v>4.3899999999999997</v>
      </c>
      <c r="I11" s="9">
        <f>'Shenzhen Daily'!H14</f>
        <v>156</v>
      </c>
      <c r="J11" s="30">
        <v>5.09</v>
      </c>
      <c r="K11" s="9">
        <f>'Shenzhen Daily'!I14</f>
        <v>26.094600000000003</v>
      </c>
      <c r="L11" s="9">
        <f>'Shenzhen Daily'!J14</f>
        <v>17</v>
      </c>
    </row>
    <row r="12" spans="1:12" ht="15" x14ac:dyDescent="0.25">
      <c r="A12" s="6" t="s">
        <v>22</v>
      </c>
      <c r="B12" s="7">
        <f t="shared" si="0"/>
        <v>11</v>
      </c>
      <c r="C12" s="8">
        <v>3</v>
      </c>
      <c r="D12" s="7">
        <v>2022</v>
      </c>
      <c r="E12" s="9">
        <v>13555.999999999403</v>
      </c>
      <c r="F12" s="30">
        <v>0.85089999999999999</v>
      </c>
      <c r="G12" s="9">
        <f>'Shenzhen Daily'!F15</f>
        <v>650</v>
      </c>
      <c r="H12" s="30">
        <v>4.3899999999999997</v>
      </c>
      <c r="I12" s="9">
        <f>'Shenzhen Daily'!H15</f>
        <v>145</v>
      </c>
      <c r="J12" s="30">
        <v>5.09</v>
      </c>
      <c r="K12" s="9">
        <f>'Shenzhen Daily'!I15</f>
        <v>24.099599999999999</v>
      </c>
      <c r="L12" s="9">
        <f>'Shenzhen Daily'!J15</f>
        <v>16</v>
      </c>
    </row>
    <row r="13" spans="1:12" ht="15" x14ac:dyDescent="0.25">
      <c r="A13" s="6" t="s">
        <v>22</v>
      </c>
      <c r="B13" s="7">
        <f t="shared" si="0"/>
        <v>12</v>
      </c>
      <c r="C13" s="8">
        <v>3</v>
      </c>
      <c r="D13" s="7">
        <v>2022</v>
      </c>
      <c r="E13" s="9">
        <v>14256.999999999925</v>
      </c>
      <c r="F13" s="30">
        <v>0.85089999999999999</v>
      </c>
      <c r="G13" s="9">
        <f>'Shenzhen Daily'!F16</f>
        <v>800</v>
      </c>
      <c r="H13" s="30">
        <v>4.3899999999999997</v>
      </c>
      <c r="I13" s="9">
        <f>'Shenzhen Daily'!H16</f>
        <v>164</v>
      </c>
      <c r="J13" s="30">
        <v>5.09</v>
      </c>
      <c r="K13" s="9">
        <f>'Shenzhen Daily'!I16</f>
        <v>29.3398</v>
      </c>
      <c r="L13" s="9">
        <f>'Shenzhen Daily'!J16</f>
        <v>25</v>
      </c>
    </row>
    <row r="14" spans="1:12" ht="15" x14ac:dyDescent="0.25">
      <c r="A14" s="6" t="s">
        <v>22</v>
      </c>
      <c r="B14" s="7">
        <f t="shared" si="0"/>
        <v>13</v>
      </c>
      <c r="C14" s="8">
        <v>3</v>
      </c>
      <c r="D14" s="7">
        <v>2022</v>
      </c>
      <c r="E14" s="9">
        <v>14998.000000001264</v>
      </c>
      <c r="F14" s="30">
        <v>0.85089999999999999</v>
      </c>
      <c r="G14" s="9">
        <f>'Shenzhen Daily'!F17</f>
        <v>703</v>
      </c>
      <c r="H14" s="30">
        <v>4.3899999999999997</v>
      </c>
      <c r="I14" s="9">
        <f>'Shenzhen Daily'!H17</f>
        <v>177</v>
      </c>
      <c r="J14" s="30">
        <v>5.09</v>
      </c>
      <c r="K14" s="9">
        <f>'Shenzhen Daily'!I17</f>
        <v>26.307400000000001</v>
      </c>
      <c r="L14" s="9">
        <f>'Shenzhen Daily'!J17</f>
        <v>23</v>
      </c>
    </row>
    <row r="15" spans="1:12" ht="15" x14ac:dyDescent="0.25">
      <c r="A15" s="6" t="s">
        <v>22</v>
      </c>
      <c r="B15" s="7">
        <f t="shared" si="0"/>
        <v>14</v>
      </c>
      <c r="C15" s="8">
        <v>3</v>
      </c>
      <c r="D15" s="7">
        <v>2022</v>
      </c>
      <c r="E15" s="9">
        <v>13414.999999998894</v>
      </c>
      <c r="F15" s="30">
        <v>0.85089999999999999</v>
      </c>
      <c r="G15" s="9">
        <f>'Shenzhen Daily'!F18</f>
        <v>458</v>
      </c>
      <c r="H15" s="30">
        <v>4.3899999999999997</v>
      </c>
      <c r="I15" s="9">
        <f>'Shenzhen Daily'!H18</f>
        <v>138</v>
      </c>
      <c r="J15" s="30">
        <v>5.09</v>
      </c>
      <c r="K15" s="9">
        <f>'Shenzhen Daily'!I18</f>
        <v>32.372199999999999</v>
      </c>
      <c r="L15" s="9">
        <f>'Shenzhen Daily'!J18</f>
        <v>16</v>
      </c>
    </row>
    <row r="16" spans="1:12" ht="15" x14ac:dyDescent="0.25">
      <c r="A16" s="6" t="s">
        <v>22</v>
      </c>
      <c r="B16" s="7">
        <f t="shared" si="0"/>
        <v>15</v>
      </c>
      <c r="C16" s="8">
        <v>3</v>
      </c>
      <c r="D16" s="7">
        <v>2022</v>
      </c>
      <c r="E16" s="9">
        <v>12690.000000000156</v>
      </c>
      <c r="F16" s="30">
        <v>0.85089999999999999</v>
      </c>
      <c r="G16" s="9">
        <f>'Shenzhen Daily'!F19</f>
        <v>687</v>
      </c>
      <c r="H16" s="30">
        <v>4.3899999999999997</v>
      </c>
      <c r="I16" s="9">
        <f>'Shenzhen Daily'!H19</f>
        <v>107</v>
      </c>
      <c r="J16" s="30">
        <v>5.09</v>
      </c>
      <c r="K16" s="9">
        <f>'Shenzhen Daily'!I19</f>
        <v>0</v>
      </c>
      <c r="L16" s="9">
        <f>'Shenzhen Daily'!J19</f>
        <v>0</v>
      </c>
    </row>
    <row r="17" spans="1:12" ht="15" x14ac:dyDescent="0.25">
      <c r="A17" s="6" t="s">
        <v>22</v>
      </c>
      <c r="B17" s="7">
        <f t="shared" si="0"/>
        <v>16</v>
      </c>
      <c r="C17" s="8">
        <v>3</v>
      </c>
      <c r="D17" s="7">
        <v>2022</v>
      </c>
      <c r="E17" s="9">
        <v>11401.00000000068</v>
      </c>
      <c r="F17" s="30">
        <v>0.85089999999999999</v>
      </c>
      <c r="G17" s="9">
        <f>'Shenzhen Daily'!F20</f>
        <v>274</v>
      </c>
      <c r="H17" s="30">
        <v>4.3899999999999997</v>
      </c>
      <c r="I17" s="9">
        <f>'Shenzhen Daily'!H20</f>
        <v>77</v>
      </c>
      <c r="J17" s="30">
        <v>5.09</v>
      </c>
      <c r="K17" s="9">
        <f>'Shenzhen Daily'!I20</f>
        <v>0</v>
      </c>
      <c r="L17" s="9">
        <f>'Shenzhen Daily'!J20</f>
        <v>0</v>
      </c>
    </row>
    <row r="18" spans="1:12" ht="15" x14ac:dyDescent="0.25">
      <c r="A18" s="6" t="s">
        <v>22</v>
      </c>
      <c r="B18" s="7">
        <f t="shared" si="0"/>
        <v>17</v>
      </c>
      <c r="C18" s="8">
        <v>3</v>
      </c>
      <c r="D18" s="7">
        <v>2022</v>
      </c>
      <c r="E18" s="9">
        <v>12030.000000000018</v>
      </c>
      <c r="F18" s="30">
        <v>0.85089999999999999</v>
      </c>
      <c r="G18" s="9">
        <f>'Shenzhen Daily'!F21</f>
        <v>257</v>
      </c>
      <c r="H18" s="30">
        <v>4.3899999999999997</v>
      </c>
      <c r="I18" s="9">
        <f>'Shenzhen Daily'!H21</f>
        <v>67</v>
      </c>
      <c r="J18" s="30">
        <v>5.09</v>
      </c>
      <c r="K18" s="9">
        <f>'Shenzhen Daily'!I21</f>
        <v>0</v>
      </c>
      <c r="L18" s="9">
        <f>'Shenzhen Daily'!J21</f>
        <v>0</v>
      </c>
    </row>
    <row r="19" spans="1:12" ht="15" x14ac:dyDescent="0.25">
      <c r="A19" s="6" t="s">
        <v>22</v>
      </c>
      <c r="B19" s="7">
        <f t="shared" si="0"/>
        <v>18</v>
      </c>
      <c r="C19" s="8">
        <v>3</v>
      </c>
      <c r="D19" s="7">
        <v>2022</v>
      </c>
      <c r="E19" s="9">
        <v>10141.000000000371</v>
      </c>
      <c r="F19" s="30">
        <v>0.85089999999999999</v>
      </c>
      <c r="G19" s="9">
        <f>'Shenzhen Daily'!F22</f>
        <v>234</v>
      </c>
      <c r="H19" s="30">
        <v>4.3899999999999997</v>
      </c>
      <c r="I19" s="9">
        <f>'Shenzhen Daily'!H22</f>
        <v>43</v>
      </c>
      <c r="J19" s="30">
        <v>5.09</v>
      </c>
      <c r="K19" s="9">
        <f>'Shenzhen Daily'!I22</f>
        <v>0</v>
      </c>
      <c r="L19" s="9">
        <f>'Shenzhen Daily'!J22</f>
        <v>0</v>
      </c>
    </row>
    <row r="20" spans="1:12" ht="15" x14ac:dyDescent="0.25">
      <c r="A20" s="6" t="s">
        <v>22</v>
      </c>
      <c r="B20" s="7">
        <f t="shared" si="0"/>
        <v>19</v>
      </c>
      <c r="C20" s="8">
        <v>3</v>
      </c>
      <c r="D20" s="7">
        <v>2022</v>
      </c>
      <c r="E20" s="9">
        <v>10816.999999998836</v>
      </c>
      <c r="F20" s="30">
        <v>0.85089999999999999</v>
      </c>
      <c r="G20" s="9">
        <f>'Shenzhen Daily'!F23</f>
        <v>184</v>
      </c>
      <c r="H20" s="30">
        <v>4.3899999999999997</v>
      </c>
      <c r="I20" s="9">
        <f>'Shenzhen Daily'!H23</f>
        <v>54</v>
      </c>
      <c r="J20" s="30">
        <v>5.09</v>
      </c>
      <c r="K20" s="9">
        <f>'Shenzhen Daily'!I23</f>
        <v>0</v>
      </c>
      <c r="L20" s="9">
        <f>'Shenzhen Daily'!J23</f>
        <v>0</v>
      </c>
    </row>
    <row r="21" spans="1:12" ht="15" x14ac:dyDescent="0.25">
      <c r="A21" s="6" t="s">
        <v>22</v>
      </c>
      <c r="B21" s="7">
        <f t="shared" si="0"/>
        <v>20</v>
      </c>
      <c r="C21" s="8">
        <v>3</v>
      </c>
      <c r="D21" s="7">
        <v>2022</v>
      </c>
      <c r="E21" s="9">
        <v>9741.9999999999618</v>
      </c>
      <c r="F21" s="30">
        <v>0.85089999999999999</v>
      </c>
      <c r="G21" s="9">
        <f>'Shenzhen Daily'!F24</f>
        <v>186</v>
      </c>
      <c r="H21" s="30">
        <v>4.3899999999999997</v>
      </c>
      <c r="I21" s="9">
        <f>'Shenzhen Daily'!H24</f>
        <v>36</v>
      </c>
      <c r="J21" s="30">
        <v>5.09</v>
      </c>
      <c r="K21" s="9">
        <f>'Shenzhen Daily'!I24</f>
        <v>0</v>
      </c>
      <c r="L21" s="9">
        <f>'Shenzhen Daily'!J24</f>
        <v>0</v>
      </c>
    </row>
    <row r="22" spans="1:12" ht="15" x14ac:dyDescent="0.25">
      <c r="A22" s="6" t="s">
        <v>22</v>
      </c>
      <c r="B22" s="7">
        <f t="shared" si="0"/>
        <v>21</v>
      </c>
      <c r="C22" s="8">
        <v>3</v>
      </c>
      <c r="D22" s="7">
        <v>2022</v>
      </c>
      <c r="E22" s="9">
        <v>11626.000000000706</v>
      </c>
      <c r="F22" s="30">
        <v>0.85089999999999999</v>
      </c>
      <c r="G22" s="9">
        <f>'Shenzhen Daily'!F25</f>
        <v>161</v>
      </c>
      <c r="H22" s="30">
        <v>4.3899999999999997</v>
      </c>
      <c r="I22" s="9">
        <f>'Shenzhen Daily'!H25</f>
        <v>47</v>
      </c>
      <c r="J22" s="30">
        <v>5.09</v>
      </c>
      <c r="K22" s="9">
        <f>'Shenzhen Daily'!I25</f>
        <v>0</v>
      </c>
      <c r="L22" s="9">
        <f>'Shenzhen Daily'!J25</f>
        <v>0</v>
      </c>
    </row>
    <row r="23" spans="1:12" ht="15" x14ac:dyDescent="0.25">
      <c r="A23" s="6" t="s">
        <v>22</v>
      </c>
      <c r="B23" s="7">
        <f t="shared" si="0"/>
        <v>22</v>
      </c>
      <c r="C23" s="8">
        <v>3</v>
      </c>
      <c r="D23" s="7">
        <v>2022</v>
      </c>
      <c r="E23" s="9">
        <v>11870.999999999502</v>
      </c>
      <c r="F23" s="30">
        <v>0.85089999999999999</v>
      </c>
      <c r="G23" s="9">
        <f>'Shenzhen Daily'!F26</f>
        <v>298</v>
      </c>
      <c r="H23" s="30">
        <v>4.3899999999999997</v>
      </c>
      <c r="I23" s="9">
        <f>'Shenzhen Daily'!H26</f>
        <v>66</v>
      </c>
      <c r="J23" s="30">
        <v>5.09</v>
      </c>
      <c r="K23" s="9">
        <f>'Shenzhen Daily'!I26</f>
        <v>0</v>
      </c>
      <c r="L23" s="9">
        <f>'Shenzhen Daily'!J26</f>
        <v>0</v>
      </c>
    </row>
    <row r="24" spans="1:12" ht="15" x14ac:dyDescent="0.25">
      <c r="A24" s="6" t="s">
        <v>22</v>
      </c>
      <c r="B24" s="7">
        <f t="shared" si="0"/>
        <v>23</v>
      </c>
      <c r="C24" s="8">
        <v>3</v>
      </c>
      <c r="D24" s="7">
        <v>2022</v>
      </c>
      <c r="E24" s="9">
        <v>11299.999999999602</v>
      </c>
      <c r="F24" s="30">
        <v>0.85089999999999999</v>
      </c>
      <c r="G24" s="9">
        <f>'Shenzhen Daily'!F27</f>
        <v>301</v>
      </c>
      <c r="H24" s="30">
        <v>4.3899999999999997</v>
      </c>
      <c r="I24" s="9">
        <f>'Shenzhen Daily'!H27</f>
        <v>127</v>
      </c>
      <c r="J24" s="30">
        <v>5.09</v>
      </c>
      <c r="K24" s="9">
        <f>'Shenzhen Daily'!I27</f>
        <v>0</v>
      </c>
      <c r="L24" s="9">
        <f>'Shenzhen Daily'!J27</f>
        <v>0</v>
      </c>
    </row>
    <row r="25" spans="1:12" ht="15" x14ac:dyDescent="0.25">
      <c r="A25" s="6" t="s">
        <v>22</v>
      </c>
      <c r="B25" s="7">
        <f t="shared" si="0"/>
        <v>24</v>
      </c>
      <c r="C25" s="8">
        <v>3</v>
      </c>
      <c r="D25" s="7">
        <v>2022</v>
      </c>
      <c r="E25" s="9">
        <v>9578.0000000003165</v>
      </c>
      <c r="F25" s="30">
        <v>0.85089999999999999</v>
      </c>
      <c r="G25" s="9">
        <f>'Shenzhen Daily'!F28</f>
        <v>398</v>
      </c>
      <c r="H25" s="30">
        <v>4.3899999999999997</v>
      </c>
      <c r="I25" s="9">
        <f>'Shenzhen Daily'!H28</f>
        <v>76</v>
      </c>
      <c r="J25" s="30">
        <v>5.09</v>
      </c>
      <c r="K25" s="9">
        <f>'Shenzhen Daily'!I28</f>
        <v>0</v>
      </c>
      <c r="L25" s="9">
        <f>'Shenzhen Daily'!J28</f>
        <v>0</v>
      </c>
    </row>
    <row r="26" spans="1:12" ht="15" x14ac:dyDescent="0.25">
      <c r="A26" s="6" t="s">
        <v>22</v>
      </c>
      <c r="B26" s="7">
        <f>B25+1</f>
        <v>25</v>
      </c>
      <c r="C26" s="8">
        <v>3</v>
      </c>
      <c r="D26" s="7">
        <v>2022</v>
      </c>
      <c r="E26" s="9">
        <v>12275.000000000706</v>
      </c>
      <c r="F26" s="30">
        <v>0.85089999999999999</v>
      </c>
      <c r="G26" s="9">
        <f>'Shenzhen Daily'!F29</f>
        <v>302</v>
      </c>
      <c r="H26" s="30">
        <v>4.3899999999999997</v>
      </c>
      <c r="I26" s="9">
        <f>'Shenzhen Daily'!H29</f>
        <v>106</v>
      </c>
      <c r="J26" s="30">
        <v>5.09</v>
      </c>
      <c r="K26" s="9">
        <f>'Shenzhen Daily'!I29</f>
        <v>0</v>
      </c>
      <c r="L26" s="9">
        <f>'Shenzhen Daily'!J29</f>
        <v>0</v>
      </c>
    </row>
    <row r="27" spans="1:12" ht="15" x14ac:dyDescent="0.25">
      <c r="A27" s="6" t="s">
        <v>22</v>
      </c>
      <c r="B27" s="7">
        <f t="shared" si="0"/>
        <v>26</v>
      </c>
      <c r="C27" s="8">
        <v>3</v>
      </c>
      <c r="D27" s="7">
        <v>2022</v>
      </c>
      <c r="E27" s="9">
        <v>17020</v>
      </c>
      <c r="F27" s="30">
        <v>0.85089999999999999</v>
      </c>
      <c r="G27" s="9">
        <f>'Shenzhen Daily'!F30</f>
        <v>1113</v>
      </c>
      <c r="H27" s="30">
        <v>4.3899999999999997</v>
      </c>
      <c r="I27" s="9">
        <f>'Shenzhen Daily'!H30</f>
        <v>202</v>
      </c>
      <c r="J27" s="30">
        <v>5.09</v>
      </c>
      <c r="K27" s="9">
        <f>'Shenzhen Daily'!I30</f>
        <v>0</v>
      </c>
      <c r="L27" s="9">
        <f>'Shenzhen Daily'!J30</f>
        <v>1</v>
      </c>
    </row>
    <row r="28" spans="1:12" ht="15" x14ac:dyDescent="0.25">
      <c r="A28" s="6" t="s">
        <v>22</v>
      </c>
      <c r="B28" s="7">
        <f t="shared" si="0"/>
        <v>27</v>
      </c>
      <c r="C28" s="8">
        <v>3</v>
      </c>
      <c r="D28" s="7">
        <v>2022</v>
      </c>
      <c r="E28" s="9">
        <v>17124.999999999658</v>
      </c>
      <c r="F28" s="30">
        <v>0.85089999999999999</v>
      </c>
      <c r="G28" s="9">
        <f>'Shenzhen Daily'!F31</f>
        <v>954</v>
      </c>
      <c r="H28" s="30">
        <v>4.3899999999999997</v>
      </c>
      <c r="I28" s="9">
        <f>'Shenzhen Daily'!H31</f>
        <v>200</v>
      </c>
      <c r="J28" s="30">
        <v>5.09</v>
      </c>
      <c r="K28" s="9">
        <f>'Shenzhen Daily'!I31</f>
        <v>12.1296</v>
      </c>
      <c r="L28" s="9">
        <f>'Shenzhen Daily'!J31</f>
        <v>6</v>
      </c>
    </row>
    <row r="29" spans="1:12" ht="15" x14ac:dyDescent="0.25">
      <c r="A29" s="6" t="s">
        <v>22</v>
      </c>
      <c r="B29" s="7">
        <f t="shared" si="0"/>
        <v>28</v>
      </c>
      <c r="C29" s="8">
        <v>3</v>
      </c>
      <c r="D29" s="7">
        <v>2022</v>
      </c>
      <c r="E29" s="9">
        <v>15127.000000001281</v>
      </c>
      <c r="F29" s="30">
        <v>0.85089999999999999</v>
      </c>
      <c r="G29" s="9">
        <f>'Shenzhen Daily'!F32</f>
        <v>634</v>
      </c>
      <c r="H29" s="30">
        <v>4.3899999999999997</v>
      </c>
      <c r="I29" s="9">
        <f>'Shenzhen Daily'!H32</f>
        <v>154</v>
      </c>
      <c r="J29" s="30">
        <v>5.09</v>
      </c>
      <c r="K29" s="9">
        <f>'Shenzhen Daily'!I32</f>
        <v>19.205200000000001</v>
      </c>
      <c r="L29" s="9">
        <f>'Shenzhen Daily'!J32</f>
        <v>4</v>
      </c>
    </row>
    <row r="30" spans="1:12" ht="15" x14ac:dyDescent="0.25">
      <c r="A30" s="6" t="s">
        <v>22</v>
      </c>
      <c r="B30" s="7">
        <f t="shared" si="0"/>
        <v>29</v>
      </c>
      <c r="C30" s="8">
        <v>3</v>
      </c>
      <c r="D30" s="7">
        <v>2022</v>
      </c>
      <c r="E30" s="9">
        <v>16615.999999999967</v>
      </c>
      <c r="F30" s="30">
        <v>0.85089999999999999</v>
      </c>
      <c r="G30" s="9">
        <f>'Shenzhen Daily'!F33</f>
        <v>713</v>
      </c>
      <c r="H30" s="30">
        <v>4.3899999999999997</v>
      </c>
      <c r="I30" s="9">
        <f>'Shenzhen Daily'!H33</f>
        <v>195</v>
      </c>
      <c r="J30" s="30">
        <v>5.09</v>
      </c>
      <c r="K30" s="9">
        <f>'Shenzhen Daily'!I33</f>
        <v>21.226799999999997</v>
      </c>
      <c r="L30" s="9">
        <f>'Shenzhen Daily'!J33</f>
        <v>50</v>
      </c>
    </row>
    <row r="31" spans="1:12" ht="15" x14ac:dyDescent="0.25">
      <c r="A31" s="6" t="s">
        <v>22</v>
      </c>
      <c r="B31" s="7">
        <f t="shared" si="0"/>
        <v>30</v>
      </c>
      <c r="C31" s="8">
        <v>3</v>
      </c>
      <c r="D31" s="7">
        <v>2022</v>
      </c>
      <c r="E31" s="9">
        <v>18166.999999999716</v>
      </c>
      <c r="F31" s="30">
        <v>0.85089999999999999</v>
      </c>
      <c r="G31" s="9">
        <f>'Shenzhen Daily'!F34</f>
        <v>772</v>
      </c>
      <c r="H31" s="30">
        <v>4.3899999999999997</v>
      </c>
      <c r="I31" s="9">
        <f>'Shenzhen Daily'!H34</f>
        <v>238</v>
      </c>
      <c r="J31" s="30">
        <v>5.09</v>
      </c>
      <c r="K31" s="9">
        <f>'Shenzhen Daily'!I34</f>
        <v>25.296600000000002</v>
      </c>
      <c r="L31" s="9">
        <f>'Shenzhen Daily'!J34</f>
        <v>85</v>
      </c>
    </row>
    <row r="32" spans="1:12" ht="15" x14ac:dyDescent="0.25">
      <c r="A32" s="6" t="s">
        <v>22</v>
      </c>
      <c r="B32" s="7">
        <f t="shared" si="0"/>
        <v>31</v>
      </c>
      <c r="C32" s="8">
        <v>3</v>
      </c>
      <c r="D32" s="7">
        <v>2022</v>
      </c>
      <c r="E32" s="9">
        <v>19756.9999999992</v>
      </c>
      <c r="F32" s="30">
        <v>0.85089999999999999</v>
      </c>
      <c r="G32" s="9">
        <f>'Shenzhen Daily'!F35</f>
        <v>642</v>
      </c>
      <c r="H32" s="30">
        <v>4.3899999999999997</v>
      </c>
      <c r="I32" s="9">
        <f>'Shenzhen Daily'!H35</f>
        <v>249</v>
      </c>
      <c r="J32" s="30">
        <v>5.09</v>
      </c>
      <c r="K32" s="9">
        <f>'Shenzhen Daily'!I35</f>
        <v>23.274999999999999</v>
      </c>
      <c r="L32" s="9">
        <f>'Shenzhen Daily'!J35</f>
        <v>75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O12" sqref="O12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44620</v>
      </c>
      <c r="B4" s="53"/>
      <c r="C4" s="41">
        <v>28135.14</v>
      </c>
      <c r="D4" s="42"/>
      <c r="E4" s="41">
        <v>2527342</v>
      </c>
      <c r="F4" s="45"/>
      <c r="G4" s="41">
        <v>566638</v>
      </c>
      <c r="H4" s="47"/>
      <c r="I4" s="23">
        <v>74</v>
      </c>
      <c r="J4" s="23">
        <v>48</v>
      </c>
    </row>
    <row r="5" spans="1:10" ht="33" customHeight="1" x14ac:dyDescent="0.2">
      <c r="A5" s="24">
        <v>44621</v>
      </c>
      <c r="B5" s="53"/>
      <c r="C5" s="41">
        <v>27974.260000000002</v>
      </c>
      <c r="D5" s="43" t="str">
        <f t="shared" ref="D5:D22" si="0">IF((C5-C4&lt;0), "0",C5-C4)</f>
        <v>0</v>
      </c>
      <c r="E5" s="41">
        <v>2528294</v>
      </c>
      <c r="F5" s="43">
        <f>IF((E5-E4&lt;0), "0",E5-E4)</f>
        <v>952</v>
      </c>
      <c r="G5" s="41">
        <v>566858</v>
      </c>
      <c r="H5" s="39">
        <f t="shared" ref="H5:H13" si="1">IF((G5-G4&lt;0), "0",G5-G4)</f>
        <v>220</v>
      </c>
      <c r="I5" s="26">
        <v>40.139400000000002</v>
      </c>
      <c r="J5" s="26">
        <v>70</v>
      </c>
    </row>
    <row r="6" spans="1:10" ht="45" customHeight="1" x14ac:dyDescent="0.2">
      <c r="A6" s="24">
        <v>44622</v>
      </c>
      <c r="B6" s="53"/>
      <c r="C6" s="41">
        <v>27984.770000000004</v>
      </c>
      <c r="D6" s="43">
        <f t="shared" si="0"/>
        <v>10.510000000002037</v>
      </c>
      <c r="E6" s="41">
        <v>2529174</v>
      </c>
      <c r="F6" s="43">
        <f t="shared" ref="F6:F35" si="2">IF((E6-E5&lt;0), "0",E6-E5)</f>
        <v>880</v>
      </c>
      <c r="G6" s="41">
        <v>567058</v>
      </c>
      <c r="H6" s="48">
        <f t="shared" si="1"/>
        <v>200</v>
      </c>
      <c r="I6" s="38">
        <v>35.138599999999997</v>
      </c>
      <c r="J6" s="38">
        <v>35</v>
      </c>
    </row>
    <row r="7" spans="1:10" ht="45" customHeight="1" x14ac:dyDescent="0.2">
      <c r="A7" s="24">
        <v>44623</v>
      </c>
      <c r="B7" s="53"/>
      <c r="C7" s="41">
        <v>27994.989999999998</v>
      </c>
      <c r="D7" s="43">
        <f t="shared" si="0"/>
        <v>10.219999999993888</v>
      </c>
      <c r="E7" s="41">
        <v>2530101</v>
      </c>
      <c r="F7" s="43">
        <f t="shared" si="2"/>
        <v>927</v>
      </c>
      <c r="G7" s="41">
        <v>567245</v>
      </c>
      <c r="H7" s="39">
        <f t="shared" si="1"/>
        <v>187</v>
      </c>
      <c r="I7" s="12">
        <v>37.133600000000001</v>
      </c>
      <c r="J7" s="12">
        <v>27</v>
      </c>
    </row>
    <row r="8" spans="1:10" ht="45" customHeight="1" x14ac:dyDescent="0.2">
      <c r="A8" s="24">
        <v>44624</v>
      </c>
      <c r="B8" s="52"/>
      <c r="C8" s="31">
        <v>28005.339999999997</v>
      </c>
      <c r="D8" s="37">
        <f t="shared" si="0"/>
        <v>10.349999999998545</v>
      </c>
      <c r="E8" s="31">
        <v>2530843</v>
      </c>
      <c r="F8" s="46">
        <f t="shared" si="2"/>
        <v>742</v>
      </c>
      <c r="G8" s="41">
        <v>567459</v>
      </c>
      <c r="H8" s="39">
        <f t="shared" si="1"/>
        <v>214</v>
      </c>
      <c r="I8" s="12">
        <v>29.1004</v>
      </c>
      <c r="J8" s="12">
        <v>19</v>
      </c>
    </row>
    <row r="9" spans="1:10" ht="45" customHeight="1" x14ac:dyDescent="0.2">
      <c r="A9" s="24">
        <v>44625</v>
      </c>
      <c r="B9" s="52"/>
      <c r="C9" s="31">
        <v>28015.399999999998</v>
      </c>
      <c r="D9" s="25">
        <f t="shared" si="0"/>
        <v>10.06000000000131</v>
      </c>
      <c r="E9" s="31">
        <v>2531537</v>
      </c>
      <c r="F9" s="25">
        <f t="shared" si="2"/>
        <v>694</v>
      </c>
      <c r="G9" s="31">
        <v>567639</v>
      </c>
      <c r="H9" s="25">
        <f t="shared" si="1"/>
        <v>180</v>
      </c>
      <c r="I9" s="12">
        <v>25.0838</v>
      </c>
      <c r="J9" s="12">
        <v>21</v>
      </c>
    </row>
    <row r="10" spans="1:10" ht="45" customHeight="1" x14ac:dyDescent="0.2">
      <c r="A10" s="24">
        <v>44626</v>
      </c>
      <c r="B10" s="52"/>
      <c r="C10" s="31">
        <v>28025.129999999994</v>
      </c>
      <c r="D10" s="25">
        <f t="shared" si="0"/>
        <v>9.7299999999959255</v>
      </c>
      <c r="E10" s="31">
        <v>2532295</v>
      </c>
      <c r="F10" s="25">
        <f t="shared" si="2"/>
        <v>758</v>
      </c>
      <c r="G10" s="31">
        <v>567827</v>
      </c>
      <c r="H10" s="25">
        <f t="shared" si="1"/>
        <v>188</v>
      </c>
      <c r="I10" s="12">
        <v>19.072199999999999</v>
      </c>
      <c r="J10" s="12">
        <v>15</v>
      </c>
    </row>
    <row r="11" spans="1:10" ht="45" customHeight="1" x14ac:dyDescent="0.2">
      <c r="A11" s="24">
        <v>44627</v>
      </c>
      <c r="B11" s="52"/>
      <c r="C11" s="31">
        <v>28034.52</v>
      </c>
      <c r="D11" s="25">
        <f t="shared" si="0"/>
        <v>9.3900000000066939</v>
      </c>
      <c r="E11" s="31">
        <v>2533014</v>
      </c>
      <c r="F11" s="25">
        <f t="shared" si="2"/>
        <v>719</v>
      </c>
      <c r="G11" s="31">
        <v>567968</v>
      </c>
      <c r="H11" s="25">
        <f t="shared" si="1"/>
        <v>141</v>
      </c>
      <c r="I11" s="12">
        <v>21.067200000000003</v>
      </c>
      <c r="J11" s="12">
        <v>20</v>
      </c>
    </row>
    <row r="12" spans="1:10" ht="45" customHeight="1" x14ac:dyDescent="0.2">
      <c r="A12" s="24">
        <v>44628</v>
      </c>
      <c r="B12" s="52"/>
      <c r="C12" s="31">
        <v>28043.530000000002</v>
      </c>
      <c r="D12" s="25">
        <f t="shared" si="0"/>
        <v>9.0100000000020373</v>
      </c>
      <c r="E12" s="31">
        <v>2533866</v>
      </c>
      <c r="F12" s="25">
        <f t="shared" si="2"/>
        <v>852</v>
      </c>
      <c r="G12" s="31">
        <v>568125</v>
      </c>
      <c r="H12" s="25">
        <f t="shared" si="1"/>
        <v>157</v>
      </c>
      <c r="I12" s="12">
        <v>21.067200000000003</v>
      </c>
      <c r="J12" s="12">
        <v>18</v>
      </c>
    </row>
    <row r="13" spans="1:10" ht="45" customHeight="1" x14ac:dyDescent="0.2">
      <c r="A13" s="24">
        <v>44629</v>
      </c>
      <c r="B13" s="52"/>
      <c r="C13" s="31">
        <v>28052.550000000003</v>
      </c>
      <c r="D13" s="25">
        <f t="shared" si="0"/>
        <v>9.0200000000004366</v>
      </c>
      <c r="E13" s="31">
        <v>2534761</v>
      </c>
      <c r="F13" s="25">
        <f t="shared" si="2"/>
        <v>895</v>
      </c>
      <c r="G13" s="31">
        <v>568267</v>
      </c>
      <c r="H13" s="25">
        <f t="shared" si="1"/>
        <v>142</v>
      </c>
      <c r="I13" s="12">
        <v>25.0838</v>
      </c>
      <c r="J13" s="12">
        <v>22</v>
      </c>
    </row>
    <row r="14" spans="1:10" ht="45" customHeight="1" x14ac:dyDescent="0.2">
      <c r="A14" s="24">
        <v>44630</v>
      </c>
      <c r="B14" s="52"/>
      <c r="C14" s="31">
        <v>28061.480000000003</v>
      </c>
      <c r="D14" s="25">
        <f t="shared" si="0"/>
        <v>8.930000000000291</v>
      </c>
      <c r="E14" s="31">
        <v>2535447</v>
      </c>
      <c r="F14" s="25">
        <f t="shared" si="2"/>
        <v>686</v>
      </c>
      <c r="G14" s="31">
        <v>568423</v>
      </c>
      <c r="H14" s="25">
        <f t="shared" ref="H14:H35" si="3">IF((G14-G13&lt;0), "0",G14-G13)</f>
        <v>156</v>
      </c>
      <c r="I14" s="12">
        <v>26.094600000000003</v>
      </c>
      <c r="J14" s="12">
        <v>17</v>
      </c>
    </row>
    <row r="15" spans="1:10" ht="45" customHeight="1" x14ac:dyDescent="0.2">
      <c r="A15" s="24">
        <v>44631</v>
      </c>
      <c r="B15" s="52"/>
      <c r="C15" s="31">
        <v>28071.1</v>
      </c>
      <c r="D15" s="25">
        <f t="shared" si="0"/>
        <v>9.6199999999953434</v>
      </c>
      <c r="E15" s="31">
        <v>2536097</v>
      </c>
      <c r="F15" s="25">
        <f t="shared" si="2"/>
        <v>650</v>
      </c>
      <c r="G15" s="31">
        <v>568568</v>
      </c>
      <c r="H15" s="25">
        <f t="shared" si="3"/>
        <v>145</v>
      </c>
      <c r="I15" s="12">
        <v>24.099599999999999</v>
      </c>
      <c r="J15" s="12">
        <v>16</v>
      </c>
    </row>
    <row r="16" spans="1:10" ht="45" customHeight="1" x14ac:dyDescent="0.2">
      <c r="A16" s="24">
        <v>44632</v>
      </c>
      <c r="B16" s="52"/>
      <c r="C16" s="31">
        <v>28081.119999999999</v>
      </c>
      <c r="D16" s="25">
        <f t="shared" si="0"/>
        <v>10.020000000000437</v>
      </c>
      <c r="E16" s="31">
        <v>2536897</v>
      </c>
      <c r="F16" s="25">
        <f t="shared" si="2"/>
        <v>800</v>
      </c>
      <c r="G16" s="31">
        <v>568732</v>
      </c>
      <c r="H16" s="25">
        <f t="shared" si="3"/>
        <v>164</v>
      </c>
      <c r="I16" s="12">
        <v>29.3398</v>
      </c>
      <c r="J16" s="12">
        <v>25</v>
      </c>
    </row>
    <row r="17" spans="1:15" ht="45" customHeight="1" x14ac:dyDescent="0.2">
      <c r="A17" s="24">
        <v>44633</v>
      </c>
      <c r="B17" s="52"/>
      <c r="C17" s="31">
        <v>28091.149999999998</v>
      </c>
      <c r="D17" s="25">
        <f t="shared" si="0"/>
        <v>10.029999999998836</v>
      </c>
      <c r="E17" s="31">
        <v>2537600</v>
      </c>
      <c r="F17" s="25">
        <f t="shared" si="2"/>
        <v>703</v>
      </c>
      <c r="G17" s="31">
        <v>568909</v>
      </c>
      <c r="H17" s="25">
        <f t="shared" si="3"/>
        <v>177</v>
      </c>
      <c r="I17" s="12">
        <v>26.307400000000001</v>
      </c>
      <c r="J17" s="12">
        <v>23</v>
      </c>
    </row>
    <row r="18" spans="1:15" ht="45" customHeight="1" x14ac:dyDescent="0.2">
      <c r="A18" s="24">
        <v>44634</v>
      </c>
      <c r="B18" s="52"/>
      <c r="C18" s="31">
        <v>28099.829999999994</v>
      </c>
      <c r="D18" s="25">
        <f t="shared" si="0"/>
        <v>8.6799999999966531</v>
      </c>
      <c r="E18" s="31">
        <v>2538058</v>
      </c>
      <c r="F18" s="25">
        <f t="shared" si="2"/>
        <v>458</v>
      </c>
      <c r="G18" s="31">
        <v>569047</v>
      </c>
      <c r="H18" s="25">
        <f t="shared" si="3"/>
        <v>138</v>
      </c>
      <c r="I18" s="12">
        <v>32.372199999999999</v>
      </c>
      <c r="J18" s="12">
        <v>16</v>
      </c>
    </row>
    <row r="19" spans="1:15" ht="45" customHeight="1" x14ac:dyDescent="0.2">
      <c r="A19" s="24">
        <v>44635</v>
      </c>
      <c r="B19" s="52"/>
      <c r="C19" s="31">
        <v>28109.26</v>
      </c>
      <c r="D19" s="25">
        <f t="shared" si="0"/>
        <v>9.430000000003929</v>
      </c>
      <c r="E19" s="31">
        <v>2538745</v>
      </c>
      <c r="F19" s="25">
        <f t="shared" si="2"/>
        <v>687</v>
      </c>
      <c r="G19" s="31">
        <v>569154</v>
      </c>
      <c r="H19" s="25">
        <f t="shared" si="3"/>
        <v>107</v>
      </c>
      <c r="I19" s="12">
        <v>0</v>
      </c>
      <c r="J19" s="12"/>
    </row>
    <row r="20" spans="1:15" ht="45" customHeight="1" x14ac:dyDescent="0.2">
      <c r="A20" s="24">
        <v>44636</v>
      </c>
      <c r="B20" s="52"/>
      <c r="C20" s="31">
        <v>28116.959999999999</v>
      </c>
      <c r="D20" s="25">
        <f t="shared" si="0"/>
        <v>7.7000000000007276</v>
      </c>
      <c r="E20" s="31">
        <v>2539019</v>
      </c>
      <c r="F20" s="25">
        <f t="shared" si="2"/>
        <v>274</v>
      </c>
      <c r="G20" s="31">
        <v>569231</v>
      </c>
      <c r="H20" s="25">
        <f t="shared" si="3"/>
        <v>77</v>
      </c>
      <c r="I20" s="12">
        <v>0</v>
      </c>
      <c r="J20" s="12"/>
    </row>
    <row r="21" spans="1:15" ht="45" customHeight="1" x14ac:dyDescent="0.2">
      <c r="A21" s="24">
        <v>44637</v>
      </c>
      <c r="B21" s="52"/>
      <c r="C21" s="31">
        <v>28124.760000000006</v>
      </c>
      <c r="D21" s="25">
        <f t="shared" si="0"/>
        <v>7.8000000000065484</v>
      </c>
      <c r="E21" s="31">
        <v>2539276</v>
      </c>
      <c r="F21" s="25">
        <f t="shared" si="2"/>
        <v>257</v>
      </c>
      <c r="G21" s="31">
        <v>569298</v>
      </c>
      <c r="H21" s="25">
        <f t="shared" si="3"/>
        <v>67</v>
      </c>
      <c r="I21" s="12">
        <v>0</v>
      </c>
      <c r="J21" s="12"/>
    </row>
    <row r="22" spans="1:15" ht="45" customHeight="1" x14ac:dyDescent="0.2">
      <c r="A22" s="24">
        <v>44638</v>
      </c>
      <c r="B22" s="52"/>
      <c r="C22" s="31">
        <v>28131.030000000002</v>
      </c>
      <c r="D22" s="25">
        <f t="shared" si="0"/>
        <v>6.2699999999967986</v>
      </c>
      <c r="E22" s="31">
        <v>2539510</v>
      </c>
      <c r="F22" s="25">
        <f t="shared" si="2"/>
        <v>234</v>
      </c>
      <c r="G22" s="31">
        <v>569341</v>
      </c>
      <c r="H22" s="25">
        <f t="shared" si="3"/>
        <v>43</v>
      </c>
      <c r="I22" s="12">
        <v>0</v>
      </c>
      <c r="J22" s="12"/>
    </row>
    <row r="23" spans="1:15" ht="45" customHeight="1" x14ac:dyDescent="0.2">
      <c r="A23" s="24">
        <v>44639</v>
      </c>
      <c r="B23" s="52"/>
      <c r="C23" s="31">
        <v>28137.72</v>
      </c>
      <c r="D23" s="25">
        <f>IF((C23-C22&lt;0), "0",C23-C22)</f>
        <v>6.6899999999986903</v>
      </c>
      <c r="E23" s="31">
        <v>2539694</v>
      </c>
      <c r="F23" s="25">
        <f t="shared" si="2"/>
        <v>184</v>
      </c>
      <c r="G23" s="31">
        <v>569395</v>
      </c>
      <c r="H23" s="25">
        <f t="shared" si="3"/>
        <v>54</v>
      </c>
      <c r="I23" s="12">
        <v>0</v>
      </c>
      <c r="J23" s="12"/>
    </row>
    <row r="24" spans="1:15" ht="45" customHeight="1" x14ac:dyDescent="0.2">
      <c r="A24" s="24">
        <v>44640</v>
      </c>
      <c r="B24" s="52"/>
      <c r="C24" s="31">
        <v>28143.87</v>
      </c>
      <c r="D24" s="25">
        <f t="shared" ref="D24:D35" si="4">IF((C24-C23&lt;0), "0",C24-C23)</f>
        <v>6.1499999999978172</v>
      </c>
      <c r="E24" s="31">
        <v>2539880</v>
      </c>
      <c r="F24" s="25">
        <f t="shared" si="2"/>
        <v>186</v>
      </c>
      <c r="G24" s="31">
        <v>569431</v>
      </c>
      <c r="H24" s="25">
        <f t="shared" si="3"/>
        <v>36</v>
      </c>
      <c r="I24" s="12">
        <v>0</v>
      </c>
      <c r="J24" s="12"/>
    </row>
    <row r="25" spans="1:15" ht="45" customHeight="1" x14ac:dyDescent="0.2">
      <c r="A25" s="24">
        <v>44641</v>
      </c>
      <c r="B25" s="52"/>
      <c r="C25" s="31">
        <v>28151.03</v>
      </c>
      <c r="D25" s="25">
        <f t="shared" si="4"/>
        <v>7.1599999999998545</v>
      </c>
      <c r="E25" s="31">
        <v>2540041</v>
      </c>
      <c r="F25" s="25">
        <f t="shared" si="2"/>
        <v>161</v>
      </c>
      <c r="G25" s="31">
        <v>569478</v>
      </c>
      <c r="H25" s="25">
        <f t="shared" si="3"/>
        <v>47</v>
      </c>
      <c r="I25" s="12">
        <v>0</v>
      </c>
      <c r="J25" s="12"/>
    </row>
    <row r="26" spans="1:15" ht="45" customHeight="1" x14ac:dyDescent="0.2">
      <c r="A26" s="24">
        <v>44642</v>
      </c>
      <c r="B26" s="52"/>
      <c r="C26" s="31">
        <v>28158.33</v>
      </c>
      <c r="D26" s="25">
        <f t="shared" si="4"/>
        <v>7.3000000000029104</v>
      </c>
      <c r="E26" s="31">
        <v>2540339</v>
      </c>
      <c r="F26" s="25">
        <f t="shared" si="2"/>
        <v>298</v>
      </c>
      <c r="G26" s="31">
        <v>569544</v>
      </c>
      <c r="H26" s="25">
        <f t="shared" si="3"/>
        <v>66</v>
      </c>
      <c r="I26" s="12">
        <v>0</v>
      </c>
      <c r="J26" s="12"/>
    </row>
    <row r="27" spans="1:15" ht="45" customHeight="1" x14ac:dyDescent="0.2">
      <c r="A27" s="24">
        <v>44643</v>
      </c>
      <c r="B27" s="52"/>
      <c r="C27" s="31">
        <v>28165.849999999995</v>
      </c>
      <c r="D27" s="25">
        <f t="shared" si="4"/>
        <v>7.5199999999931606</v>
      </c>
      <c r="E27" s="31">
        <v>2540640</v>
      </c>
      <c r="F27" s="25">
        <f t="shared" si="2"/>
        <v>301</v>
      </c>
      <c r="G27" s="31">
        <v>569671</v>
      </c>
      <c r="H27" s="25">
        <f t="shared" si="3"/>
        <v>127</v>
      </c>
      <c r="I27" s="12">
        <v>0</v>
      </c>
      <c r="J27" s="12"/>
    </row>
    <row r="28" spans="1:15" ht="45" customHeight="1" x14ac:dyDescent="0.2">
      <c r="A28" s="24">
        <v>44644</v>
      </c>
      <c r="B28" s="52"/>
      <c r="C28" s="31">
        <v>28172.410000000003</v>
      </c>
      <c r="D28" s="25">
        <f t="shared" si="4"/>
        <v>6.5600000000085856</v>
      </c>
      <c r="E28" s="31">
        <v>2541038</v>
      </c>
      <c r="F28" s="25">
        <f t="shared" si="2"/>
        <v>398</v>
      </c>
      <c r="G28" s="31">
        <v>569747</v>
      </c>
      <c r="H28" s="25">
        <f t="shared" si="3"/>
        <v>76</v>
      </c>
      <c r="I28" s="12">
        <v>0</v>
      </c>
      <c r="J28" s="12"/>
    </row>
    <row r="29" spans="1:15" ht="45" customHeight="1" x14ac:dyDescent="0.2">
      <c r="A29" s="24">
        <v>44645</v>
      </c>
      <c r="B29" s="52"/>
      <c r="C29" s="31">
        <v>28180.11</v>
      </c>
      <c r="D29" s="25">
        <f t="shared" si="4"/>
        <v>7.6999999999970896</v>
      </c>
      <c r="E29" s="31">
        <v>2541340</v>
      </c>
      <c r="F29" s="25">
        <f t="shared" si="2"/>
        <v>302</v>
      </c>
      <c r="G29" s="31">
        <v>569853</v>
      </c>
      <c r="H29" s="25">
        <f t="shared" si="3"/>
        <v>106</v>
      </c>
      <c r="I29" s="12">
        <v>0</v>
      </c>
      <c r="J29" s="12"/>
    </row>
    <row r="30" spans="1:15" ht="45" customHeight="1" x14ac:dyDescent="0.2">
      <c r="A30" s="24">
        <v>44646</v>
      </c>
      <c r="B30" s="52"/>
      <c r="C30" s="31">
        <v>28403.109999999997</v>
      </c>
      <c r="D30" s="25">
        <f t="shared" si="4"/>
        <v>222.99999999999636</v>
      </c>
      <c r="E30" s="31">
        <v>2542453</v>
      </c>
      <c r="F30" s="25">
        <f t="shared" si="2"/>
        <v>1113</v>
      </c>
      <c r="G30" s="31">
        <v>570055</v>
      </c>
      <c r="H30" s="25">
        <f t="shared" si="3"/>
        <v>202</v>
      </c>
      <c r="I30" s="12">
        <v>0</v>
      </c>
      <c r="J30" s="12">
        <v>1</v>
      </c>
      <c r="O30" s="34"/>
    </row>
    <row r="31" spans="1:15" ht="45" customHeight="1" x14ac:dyDescent="0.2">
      <c r="A31" s="24">
        <v>44647</v>
      </c>
      <c r="B31" s="52"/>
      <c r="C31" s="31">
        <v>28414.440000000002</v>
      </c>
      <c r="D31" s="25">
        <f t="shared" si="4"/>
        <v>11.330000000005384</v>
      </c>
      <c r="E31" s="31">
        <v>2543407</v>
      </c>
      <c r="F31" s="25">
        <f t="shared" si="2"/>
        <v>954</v>
      </c>
      <c r="G31" s="31">
        <v>570255</v>
      </c>
      <c r="H31" s="25">
        <f t="shared" si="3"/>
        <v>200</v>
      </c>
      <c r="I31" s="12">
        <v>12.1296</v>
      </c>
      <c r="J31" s="12">
        <v>6</v>
      </c>
    </row>
    <row r="32" spans="1:15" ht="45" customHeight="1" x14ac:dyDescent="0.2">
      <c r="A32" s="24">
        <v>44648</v>
      </c>
      <c r="B32" s="52"/>
      <c r="C32" s="31">
        <v>28425.27</v>
      </c>
      <c r="D32" s="25">
        <f t="shared" si="4"/>
        <v>10.829999999998108</v>
      </c>
      <c r="E32" s="31">
        <v>2544041</v>
      </c>
      <c r="F32" s="25">
        <f t="shared" si="2"/>
        <v>634</v>
      </c>
      <c r="G32" s="31">
        <v>570409</v>
      </c>
      <c r="H32" s="25">
        <f t="shared" si="3"/>
        <v>154</v>
      </c>
      <c r="I32" s="12">
        <v>19.205200000000001</v>
      </c>
      <c r="J32" s="12">
        <v>4</v>
      </c>
    </row>
    <row r="33" spans="1:10" ht="36" customHeight="1" x14ac:dyDescent="0.2">
      <c r="A33" s="24">
        <v>44649</v>
      </c>
      <c r="B33" s="36"/>
      <c r="C33" s="31">
        <v>28436.25</v>
      </c>
      <c r="D33" s="25">
        <f t="shared" si="4"/>
        <v>10.979999999999563</v>
      </c>
      <c r="E33" s="31">
        <v>2544754</v>
      </c>
      <c r="F33" s="25">
        <f t="shared" si="2"/>
        <v>713</v>
      </c>
      <c r="G33" s="31">
        <v>570604</v>
      </c>
      <c r="H33" s="25">
        <f t="shared" si="3"/>
        <v>195</v>
      </c>
      <c r="I33" s="12">
        <v>21.226799999999997</v>
      </c>
      <c r="J33" s="12">
        <v>50</v>
      </c>
    </row>
    <row r="34" spans="1:10" ht="45.6" customHeight="1" x14ac:dyDescent="0.2">
      <c r="A34" s="24">
        <v>44650</v>
      </c>
      <c r="B34" s="49"/>
      <c r="C34" s="41">
        <v>28449.279999999999</v>
      </c>
      <c r="D34" s="50">
        <f t="shared" si="4"/>
        <v>13.029999999998836</v>
      </c>
      <c r="E34" s="31">
        <v>2545526</v>
      </c>
      <c r="F34" s="32">
        <f t="shared" si="2"/>
        <v>772</v>
      </c>
      <c r="G34" s="31">
        <v>570842</v>
      </c>
      <c r="H34" s="25">
        <f t="shared" si="3"/>
        <v>238</v>
      </c>
      <c r="I34" s="33">
        <v>25.296600000000002</v>
      </c>
      <c r="J34" s="33">
        <v>85</v>
      </c>
    </row>
    <row r="35" spans="1:10" ht="36.75" customHeight="1" x14ac:dyDescent="0.15">
      <c r="A35" s="24">
        <v>44651</v>
      </c>
      <c r="B35" s="49"/>
      <c r="C35" s="51">
        <v>28462.480000000003</v>
      </c>
      <c r="D35" s="25">
        <f t="shared" si="4"/>
        <v>13.200000000004366</v>
      </c>
      <c r="E35" s="35">
        <v>2546168</v>
      </c>
      <c r="F35" s="25">
        <f t="shared" si="2"/>
        <v>642</v>
      </c>
      <c r="G35" s="35">
        <v>571091</v>
      </c>
      <c r="H35" s="25">
        <f t="shared" si="3"/>
        <v>249</v>
      </c>
      <c r="I35" s="12">
        <v>23.274999999999999</v>
      </c>
      <c r="J35" s="12">
        <v>75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2023-03-14T04:08:23Z</dcterms:modified>
</cp:coreProperties>
</file>