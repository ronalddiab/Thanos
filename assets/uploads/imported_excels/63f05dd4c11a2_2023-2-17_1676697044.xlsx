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UBU_Engineering_O365376/Shared Documents/Engineering (FS UBU1.ubu.fshq.fs ) (K)/3. ENG UBU/4. Energy/4.5 Hotel Energy Portal (HEP)/2022/Daily Spread Sheet HEP/"/>
    </mc:Choice>
  </mc:AlternateContent>
  <xr:revisionPtr revIDLastSave="71" documentId="8_{105322C7-BEA3-C043-991D-1CB161DEDDBA}" xr6:coauthVersionLast="47" xr6:coauthVersionMax="47" xr10:uidLastSave="{99CE5180-42F6-47EB-BCD2-11F40D1C71FB}"/>
  <bookViews>
    <workbookView xWindow="-34380" yWindow="-1940" windowWidth="25200" windowHeight="11980" firstSheet="3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I40" i="5"/>
  <c r="O40" i="3"/>
  <c r="I39" i="3"/>
  <c r="F39" i="3"/>
  <c r="M38" i="2"/>
  <c r="L38" i="2"/>
  <c r="F27" i="4"/>
  <c r="F28" i="4"/>
  <c r="F29" i="4"/>
  <c r="F30" i="4"/>
  <c r="F31" i="4"/>
  <c r="F32" i="4"/>
  <c r="F33" i="4"/>
  <c r="F34" i="4"/>
  <c r="F35" i="4"/>
  <c r="F36" i="4"/>
  <c r="F37" i="4"/>
  <c r="F38" i="4"/>
  <c r="F39" i="4" l="1"/>
  <c r="J25" i="1"/>
  <c r="H32" i="4" l="1"/>
  <c r="F37" i="2"/>
  <c r="G37" i="2" s="1"/>
  <c r="F26" i="4"/>
  <c r="I19" i="1" s="1"/>
  <c r="F25" i="4"/>
  <c r="I18" i="1" s="1"/>
  <c r="F24" i="4"/>
  <c r="I17" i="1" s="1"/>
  <c r="F23" i="4"/>
  <c r="F22" i="4"/>
  <c r="G22" i="4" s="1"/>
  <c r="F21" i="4"/>
  <c r="I14" i="1" s="1"/>
  <c r="F20" i="4"/>
  <c r="I13" i="1" s="1"/>
  <c r="F19" i="4"/>
  <c r="G19" i="4" s="1"/>
  <c r="J12" i="1" s="1"/>
  <c r="F18" i="4"/>
  <c r="I11" i="1" s="1"/>
  <c r="F17" i="4"/>
  <c r="F16" i="4"/>
  <c r="I9" i="1" s="1"/>
  <c r="F15" i="4"/>
  <c r="F14" i="4"/>
  <c r="G14" i="4" s="1"/>
  <c r="F13" i="4"/>
  <c r="I6" i="1" s="1"/>
  <c r="F12" i="4"/>
  <c r="I5" i="1" s="1"/>
  <c r="F11" i="4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 s="1"/>
  <c r="D33" i="5" s="1"/>
  <c r="D34" i="3"/>
  <c r="D34" i="4" s="1"/>
  <c r="D34" i="5" s="1"/>
  <c r="D35" i="3"/>
  <c r="D35" i="4"/>
  <c r="D35" i="5" s="1"/>
  <c r="D36" i="3"/>
  <c r="D36" i="4" s="1"/>
  <c r="D36" i="5" s="1"/>
  <c r="D37" i="3"/>
  <c r="D37" i="4" s="1"/>
  <c r="D37" i="5" s="1"/>
  <c r="D38" i="3"/>
  <c r="D38" i="4" s="1"/>
  <c r="D38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/>
  <c r="C37" i="5" s="1"/>
  <c r="C38" i="3"/>
  <c r="C38" i="4" s="1"/>
  <c r="C38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G34" i="4"/>
  <c r="J27" i="1" s="1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N2" i="1"/>
  <c r="N32" i="1" s="1"/>
  <c r="M2" i="1"/>
  <c r="M32" i="1" s="1"/>
  <c r="K2" i="1"/>
  <c r="K32" i="1" s="1"/>
  <c r="I2" i="1"/>
  <c r="G2" i="1"/>
  <c r="G32" i="1" s="1"/>
  <c r="I39" i="5"/>
  <c r="G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8" i="4"/>
  <c r="J31" i="1" s="1"/>
  <c r="G37" i="4"/>
  <c r="J30" i="1" s="1"/>
  <c r="G36" i="4"/>
  <c r="J29" i="1" s="1"/>
  <c r="G35" i="4"/>
  <c r="J28" i="1" s="1"/>
  <c r="G33" i="4"/>
  <c r="J26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3" i="4"/>
  <c r="J16" i="1" s="1"/>
  <c r="G17" i="4"/>
  <c r="J10" i="1" s="1"/>
  <c r="G15" i="4"/>
  <c r="J8" i="1" s="1"/>
  <c r="G11" i="4"/>
  <c r="H11" i="4" s="1"/>
  <c r="G9" i="4"/>
  <c r="O39" i="3"/>
  <c r="J8" i="3"/>
  <c r="J38" i="3"/>
  <c r="G38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8" i="2"/>
  <c r="C38" i="2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/>
  <c r="I27" i="2"/>
  <c r="J27" i="2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J5" i="1" s="1"/>
  <c r="G20" i="4"/>
  <c r="J13" i="1" s="1"/>
  <c r="G13" i="4"/>
  <c r="J6" i="1" s="1"/>
  <c r="G21" i="4"/>
  <c r="J14" i="1" s="1"/>
  <c r="K25" i="5"/>
  <c r="L25" i="5" s="1"/>
  <c r="K10" i="5"/>
  <c r="L10" i="5" s="1"/>
  <c r="K18" i="5"/>
  <c r="L18" i="5" s="1"/>
  <c r="K26" i="5"/>
  <c r="L26" i="5" s="1"/>
  <c r="K24" i="5"/>
  <c r="L24" i="5" s="1"/>
  <c r="K15" i="5"/>
  <c r="L8" i="1" s="1"/>
  <c r="K38" i="5"/>
  <c r="L38" i="5" s="1"/>
  <c r="K9" i="5"/>
  <c r="L9" i="5" s="1"/>
  <c r="G29" i="4"/>
  <c r="J22" i="1" s="1"/>
  <c r="E11" i="1"/>
  <c r="G16" i="2"/>
  <c r="E25" i="1"/>
  <c r="E8" i="1"/>
  <c r="E15" i="1"/>
  <c r="E29" i="1"/>
  <c r="G27" i="4"/>
  <c r="J20" i="1" s="1"/>
  <c r="J34" i="3"/>
  <c r="P8" i="3"/>
  <c r="J18" i="3"/>
  <c r="M8" i="3"/>
  <c r="J31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2" i="3"/>
  <c r="M24" i="3"/>
  <c r="M14" i="3"/>
  <c r="P14" i="3"/>
  <c r="M31" i="3"/>
  <c r="P31" i="3"/>
  <c r="M23" i="3"/>
  <c r="P23" i="3"/>
  <c r="Q23" i="3"/>
  <c r="M33" i="3"/>
  <c r="M15" i="3"/>
  <c r="M38" i="3"/>
  <c r="P38" i="3"/>
  <c r="Q38" i="3"/>
  <c r="R38" i="3" s="1"/>
  <c r="M30" i="3"/>
  <c r="M22" i="3"/>
  <c r="P22" i="3"/>
  <c r="M10" i="3"/>
  <c r="M37" i="3"/>
  <c r="P37" i="3"/>
  <c r="M29" i="3"/>
  <c r="P29" i="3"/>
  <c r="Q29" i="3"/>
  <c r="R29" i="3" s="1"/>
  <c r="M21" i="3"/>
  <c r="M18" i="3"/>
  <c r="M11" i="3"/>
  <c r="P11" i="3"/>
  <c r="Q11" i="3"/>
  <c r="R11" i="3" s="1"/>
  <c r="M36" i="3"/>
  <c r="M28" i="3"/>
  <c r="P28" i="3"/>
  <c r="M20" i="3"/>
  <c r="P20" i="3"/>
  <c r="M34" i="3"/>
  <c r="P34" i="3"/>
  <c r="Q34" i="3"/>
  <c r="R34" i="3" s="1"/>
  <c r="M26" i="3"/>
  <c r="M25" i="3"/>
  <c r="M13" i="3"/>
  <c r="P13" i="3"/>
  <c r="Q13" i="3"/>
  <c r="R13" i="3" s="1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P24" i="3"/>
  <c r="P35" i="3"/>
  <c r="P26" i="3"/>
  <c r="Q26" i="3"/>
  <c r="P18" i="3"/>
  <c r="P9" i="3"/>
  <c r="P32" i="3"/>
  <c r="Q24" i="3"/>
  <c r="R24" i="3" s="1"/>
  <c r="Q32" i="3"/>
  <c r="R32" i="3" s="1"/>
  <c r="Q36" i="3"/>
  <c r="R36" i="3" s="1"/>
  <c r="Q15" i="3" l="1"/>
  <c r="R15" i="3" s="1"/>
  <c r="Q22" i="3"/>
  <c r="R22" i="3" s="1"/>
  <c r="H14" i="4"/>
  <c r="J7" i="1"/>
  <c r="E16" i="1"/>
  <c r="E18" i="1"/>
  <c r="Q9" i="3"/>
  <c r="R9" i="3" s="1"/>
  <c r="Q28" i="3"/>
  <c r="R28" i="3" s="1"/>
  <c r="G22" i="2"/>
  <c r="Q17" i="3"/>
  <c r="H10" i="1" s="1"/>
  <c r="Q12" i="3"/>
  <c r="R12" i="3" s="1"/>
  <c r="Q10" i="3"/>
  <c r="R10" i="3" s="1"/>
  <c r="Q18" i="3"/>
  <c r="R18" i="3" s="1"/>
  <c r="Q33" i="3"/>
  <c r="R33" i="3" s="1"/>
  <c r="Q19" i="3"/>
  <c r="H12" i="1" s="1"/>
  <c r="Q20" i="3"/>
  <c r="R20" i="3" s="1"/>
  <c r="Q21" i="3"/>
  <c r="R21" i="3" s="1"/>
  <c r="Q35" i="3"/>
  <c r="H28" i="1" s="1"/>
  <c r="J2" i="1"/>
  <c r="H9" i="4"/>
  <c r="K11" i="5"/>
  <c r="L4" i="1" s="1"/>
  <c r="K14" i="5"/>
  <c r="L14" i="5" s="1"/>
  <c r="K22" i="5"/>
  <c r="K27" i="5"/>
  <c r="L27" i="5" s="1"/>
  <c r="K28" i="5"/>
  <c r="K30" i="5"/>
  <c r="L30" i="5" s="1"/>
  <c r="K31" i="5"/>
  <c r="K33" i="5"/>
  <c r="L33" i="5" s="1"/>
  <c r="K34" i="5"/>
  <c r="K35" i="5"/>
  <c r="L35" i="5" s="1"/>
  <c r="K36" i="5"/>
  <c r="D39" i="3"/>
  <c r="L11" i="5"/>
  <c r="L2" i="1"/>
  <c r="K17" i="5"/>
  <c r="L10" i="1" s="1"/>
  <c r="K13" i="5"/>
  <c r="K32" i="5"/>
  <c r="L25" i="1" s="1"/>
  <c r="K19" i="5"/>
  <c r="L19" i="5" s="1"/>
  <c r="L22" i="5"/>
  <c r="L15" i="1"/>
  <c r="L31" i="5"/>
  <c r="L24" i="1"/>
  <c r="L28" i="1"/>
  <c r="L31" i="1"/>
  <c r="L23" i="1"/>
  <c r="K20" i="5"/>
  <c r="L20" i="5" s="1"/>
  <c r="L11" i="1"/>
  <c r="K21" i="5"/>
  <c r="L14" i="1" s="1"/>
  <c r="K29" i="5"/>
  <c r="L29" i="5" s="1"/>
  <c r="K37" i="5"/>
  <c r="L37" i="5" s="1"/>
  <c r="K16" i="5"/>
  <c r="L9" i="1" s="1"/>
  <c r="I12" i="1"/>
  <c r="H26" i="4"/>
  <c r="Q16" i="3"/>
  <c r="R16" i="3" s="1"/>
  <c r="Q27" i="3"/>
  <c r="H20" i="1" s="1"/>
  <c r="Q14" i="3"/>
  <c r="H7" i="1" s="1"/>
  <c r="Q25" i="3"/>
  <c r="R25" i="3" s="1"/>
  <c r="Q30" i="3"/>
  <c r="R30" i="3" s="1"/>
  <c r="Q31" i="3"/>
  <c r="H24" i="1" s="1"/>
  <c r="H19" i="1"/>
  <c r="J37" i="3"/>
  <c r="Q37" i="3" s="1"/>
  <c r="R14" i="3"/>
  <c r="R35" i="3"/>
  <c r="H16" i="1"/>
  <c r="H6" i="1"/>
  <c r="H29" i="1"/>
  <c r="H25" i="1"/>
  <c r="H21" i="1"/>
  <c r="H8" i="1"/>
  <c r="I38" i="2"/>
  <c r="E6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K22" i="2"/>
  <c r="L22" i="2" s="1"/>
  <c r="M22" i="2" s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F10" i="1" s="1"/>
  <c r="G8" i="2"/>
  <c r="K26" i="2"/>
  <c r="L26" i="2" s="1"/>
  <c r="M26" i="2" s="1"/>
  <c r="K20" i="2"/>
  <c r="L20" i="2" s="1"/>
  <c r="M20" i="2" s="1"/>
  <c r="E19" i="1"/>
  <c r="F38" i="2"/>
  <c r="L22" i="1"/>
  <c r="L19" i="1"/>
  <c r="K12" i="5"/>
  <c r="L12" i="5" s="1"/>
  <c r="K23" i="5"/>
  <c r="L23" i="5" s="1"/>
  <c r="L18" i="1"/>
  <c r="L20" i="1"/>
  <c r="L17" i="5"/>
  <c r="L28" i="5"/>
  <c r="L21" i="1"/>
  <c r="L29" i="1"/>
  <c r="L36" i="5"/>
  <c r="L34" i="5"/>
  <c r="L27" i="1"/>
  <c r="L6" i="1"/>
  <c r="L13" i="5"/>
  <c r="L17" i="1"/>
  <c r="J39" i="5"/>
  <c r="L15" i="5"/>
  <c r="L30" i="1"/>
  <c r="L3" i="1"/>
  <c r="H34" i="4"/>
  <c r="H31" i="4"/>
  <c r="H30" i="4"/>
  <c r="H38" i="4"/>
  <c r="H29" i="4"/>
  <c r="H35" i="4"/>
  <c r="H37" i="4"/>
  <c r="H28" i="4"/>
  <c r="H36" i="4"/>
  <c r="H27" i="4"/>
  <c r="H33" i="4"/>
  <c r="J15" i="1"/>
  <c r="H22" i="4"/>
  <c r="J3" i="1"/>
  <c r="H10" i="4"/>
  <c r="G24" i="4"/>
  <c r="H25" i="4"/>
  <c r="H17" i="4"/>
  <c r="G16" i="4"/>
  <c r="I15" i="1"/>
  <c r="I3" i="1"/>
  <c r="I32" i="1" s="1"/>
  <c r="H23" i="4"/>
  <c r="H15" i="4"/>
  <c r="G18" i="4"/>
  <c r="H21" i="4"/>
  <c r="H13" i="4"/>
  <c r="J4" i="1"/>
  <c r="H20" i="4"/>
  <c r="H12" i="4"/>
  <c r="H19" i="4"/>
  <c r="R19" i="3"/>
  <c r="R31" i="3"/>
  <c r="R26" i="3"/>
  <c r="H17" i="1"/>
  <c r="R17" i="3"/>
  <c r="H31" i="1"/>
  <c r="H27" i="1"/>
  <c r="H23" i="1"/>
  <c r="H15" i="1"/>
  <c r="H11" i="1"/>
  <c r="H4" i="1"/>
  <c r="R23" i="3"/>
  <c r="R27" i="3"/>
  <c r="H22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M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24" i="2"/>
  <c r="L24" i="2" s="1"/>
  <c r="F18" i="1" s="1"/>
  <c r="K33" i="2"/>
  <c r="L33" i="2" s="1"/>
  <c r="M33" i="2" s="1"/>
  <c r="E22" i="1"/>
  <c r="F22" i="1" s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16" i="2"/>
  <c r="E9" i="1"/>
  <c r="E26" i="1"/>
  <c r="F29" i="1"/>
  <c r="E28" i="1"/>
  <c r="E24" i="1"/>
  <c r="D14" i="4"/>
  <c r="D14" i="5" s="1"/>
  <c r="C39" i="3"/>
  <c r="C10" i="4"/>
  <c r="C10" i="5" s="1"/>
  <c r="C39" i="5" s="1"/>
  <c r="D9" i="5"/>
  <c r="D39" i="5" s="1"/>
  <c r="E32" i="1" l="1"/>
  <c r="L12" i="1"/>
  <c r="L7" i="1"/>
  <c r="H3" i="1"/>
  <c r="H5" i="1"/>
  <c r="H13" i="1"/>
  <c r="H2" i="1"/>
  <c r="L32" i="5"/>
  <c r="L5" i="1"/>
  <c r="L26" i="1"/>
  <c r="L21" i="5"/>
  <c r="H26" i="1"/>
  <c r="H14" i="1"/>
  <c r="D39" i="4"/>
  <c r="F30" i="1"/>
  <c r="L16" i="5"/>
  <c r="L16" i="1"/>
  <c r="L13" i="1"/>
  <c r="H18" i="1"/>
  <c r="H9" i="1"/>
  <c r="R37" i="3"/>
  <c r="R39" i="3" s="1"/>
  <c r="H30" i="1"/>
  <c r="F26" i="1"/>
  <c r="F11" i="1"/>
  <c r="F17" i="1"/>
  <c r="F9" i="1"/>
  <c r="M36" i="2"/>
  <c r="F23" i="1"/>
  <c r="F14" i="1"/>
  <c r="I40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J9" i="1"/>
  <c r="H16" i="4"/>
  <c r="J17" i="1"/>
  <c r="H24" i="4"/>
  <c r="J11" i="1"/>
  <c r="H18" i="4"/>
  <c r="M37" i="2"/>
  <c r="F31" i="1"/>
  <c r="F4" i="1"/>
  <c r="F7" i="1"/>
  <c r="F15" i="1"/>
  <c r="M23" i="2"/>
  <c r="C39" i="4"/>
  <c r="H32" i="1" l="1"/>
  <c r="L39" i="5"/>
  <c r="H39" i="4"/>
  <c r="M8" i="2"/>
  <c r="F2" i="1"/>
  <c r="F32" i="1" s="1"/>
</calcChain>
</file>

<file path=xl/sharedStrings.xml><?xml version="1.0" encoding="utf-8"?>
<sst xmlns="http://schemas.openxmlformats.org/spreadsheetml/2006/main" count="113" uniqueCount="60">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</sst>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Arial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Border="1" applyAlignment="1">
      <alignment horizontal="center" vertical="center" shrinkToFit="1"/>
    </xf>
    <xf numFmtId="43" fontId="10" fillId="0" borderId="1" xfId="1" applyNumberFormat="1" applyFont="1" applyFill="1" applyBorder="1" applyAlignment="1">
      <alignment horizontal="center" shrinkToFit="1"/>
    </xf>
    <xf numFmtId="1" fontId="18" fillId="2" borderId="6" xfId="0" applyNumberFormat="1" applyFont="1" applyFill="1" applyBorder="1" applyAlignment="1">
      <alignment horizontal="center" shrinkToFit="1"/>
    </xf>
    <xf numFmtId="1" fontId="18" fillId="2" borderId="7" xfId="0" applyNumberFormat="1" applyFont="1" applyFill="1" applyBorder="1" applyAlignment="1">
      <alignment horizontal="center" shrinkToFit="1"/>
    </xf>
    <xf numFmtId="1" fontId="18" fillId="3" borderId="6" xfId="0" applyNumberFormat="1" applyFont="1" applyFill="1" applyBorder="1" applyAlignment="1">
      <alignment horizontal="center" shrinkToFit="1"/>
    </xf>
    <xf numFmtId="1" fontId="18" fillId="3" borderId="7" xfId="0" applyNumberFormat="1" applyFont="1" applyFill="1" applyBorder="1" applyAlignment="1">
      <alignment horizontal="center" shrinkToFit="1"/>
    </xf>
    <xf numFmtId="167" fontId="17" fillId="0" borderId="1" xfId="4" applyNumberFormat="1" applyFont="1" applyBorder="1" applyAlignment="1">
      <alignment horizontal="center" vertical="center"/>
    </xf>
    <xf numFmtId="170" fontId="11" fillId="3" borderId="8" xfId="2" applyNumberFormat="1" applyFont="1" applyFill="1" applyBorder="1" applyAlignment="1">
      <alignment horizontal="center" vertical="center" shrinkToFit="1"/>
    </xf>
    <xf numFmtId="2" fontId="19" fillId="11" borderId="1" xfId="0" applyNumberFormat="1" applyFont="1" applyFill="1" applyBorder="1"/>
    <xf numFmtId="2" fontId="19" fillId="11" borderId="5" xfId="0" applyNumberFormat="1" applyFont="1" applyFill="1" applyBorder="1"/>
    <xf numFmtId="170" fontId="20" fillId="3" borderId="9" xfId="2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pane xSplit="1" ySplit="1" topLeftCell="B2" activePane="bottomRight" state="frozen"/>
      <selection pane="bottomRight" activeCell="O1" sqref="O1"/>
      <selection pane="bottomLeft" activeCell="A2" sqref="A2"/>
      <selection pane="topRight" activeCell="B1" sqref="B1"/>
    </sheetView>
  </sheetViews>
  <sheetFormatPr defaultColWidth="8.85546875" defaultRowHeight="1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42578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6</v>
      </c>
      <c r="D2" s="7">
        <v>2022</v>
      </c>
      <c r="E2" s="9">
        <f>Electricity!F8+Electricity!I8</f>
        <v>8919.99999999996</v>
      </c>
      <c r="F2" s="10">
        <f>Electricity!L8/TOTAL!E2</f>
        <v>1233.5451793721918</v>
      </c>
      <c r="G2" s="9">
        <f>Gas!F9+Gas!I9+Gas!L9+Gas!O9</f>
        <v>94.185079999994088</v>
      </c>
      <c r="H2" s="10">
        <f>Gas!Q9/TOTAL!G2</f>
        <v>15840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176</v>
      </c>
      <c r="L2" s="10">
        <f>Water!K9/TOTAL!K2</f>
        <v>4000</v>
      </c>
      <c r="M2" s="9">
        <f>Electricity!C8</f>
        <v>14</v>
      </c>
      <c r="N2" s="9">
        <f>Electricity!D8</f>
        <v>80</v>
      </c>
    </row>
    <row r="3" spans="1:14">
      <c r="A3" s="6" t="s">
        <v>14</v>
      </c>
      <c r="B3" s="7">
        <f>B2+1</f>
        <v>2</v>
      </c>
      <c r="C3" s="8">
        <v>6</v>
      </c>
      <c r="D3" s="7">
        <v>2022</v>
      </c>
      <c r="E3" s="9">
        <f>Electricity!F9+Electricity!I9</f>
        <v>8779.9999999998581</v>
      </c>
      <c r="F3" s="10">
        <f>Electricity!L9/TOTAL!E3</f>
        <v>1240.2412300683427</v>
      </c>
      <c r="G3" s="9">
        <f>Gas!F10+Gas!I10+Gas!L10+Gas!O10</f>
        <v>98.132520000005158</v>
      </c>
      <c r="H3" s="10">
        <f>Gas!Q10/TOTAL!G3</f>
        <v>15840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173</v>
      </c>
      <c r="L3" s="10">
        <f>Water!K10/TOTAL!K3</f>
        <v>4000</v>
      </c>
      <c r="M3" s="9">
        <f>Electricity!C9</f>
        <v>16</v>
      </c>
      <c r="N3" s="9">
        <f>Electricity!D9</f>
        <v>80</v>
      </c>
    </row>
    <row r="4" spans="1:14">
      <c r="A4" s="6" t="s">
        <v>14</v>
      </c>
      <c r="B4" s="7">
        <f t="shared" ref="B4:B30" si="0">B3+1</f>
        <v>3</v>
      </c>
      <c r="C4" s="8">
        <v>6</v>
      </c>
      <c r="D4" s="7">
        <v>2022</v>
      </c>
      <c r="E4" s="9">
        <f>Electricity!F10+Electricity!I10</f>
        <v>9340.0000000001455</v>
      </c>
      <c r="F4" s="10">
        <f>Electricity!L10/TOTAL!E4</f>
        <v>1234.1740899357555</v>
      </c>
      <c r="G4" s="9">
        <f>Gas!F11+Gas!I11+Gas!L11+Gas!O11</f>
        <v>85.122080000001418</v>
      </c>
      <c r="H4" s="10">
        <f>Gas!Q11/TOTAL!G4</f>
        <v>15840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225</v>
      </c>
      <c r="L4" s="10">
        <f>Water!K11/TOTAL!K4</f>
        <v>4000</v>
      </c>
      <c r="M4" s="9">
        <f>Electricity!C10</f>
        <v>15</v>
      </c>
      <c r="N4" s="9">
        <f>Electricity!D10</f>
        <v>82</v>
      </c>
    </row>
    <row r="5" spans="1:14">
      <c r="A5" s="6" t="s">
        <v>14</v>
      </c>
      <c r="B5" s="7">
        <f t="shared" si="0"/>
        <v>4</v>
      </c>
      <c r="C5" s="8">
        <v>6</v>
      </c>
      <c r="D5" s="7">
        <v>2022</v>
      </c>
      <c r="E5" s="9">
        <f>Electricity!F11+Electricity!I11</f>
        <v>9419.9999999998454</v>
      </c>
      <c r="F5" s="10">
        <f>Electricity!L11/TOTAL!E5</f>
        <v>1239.412154989391</v>
      </c>
      <c r="G5" s="9">
        <f>Gas!F12+Gas!I12+Gas!L12+Gas!O12</f>
        <v>97.850559999997174</v>
      </c>
      <c r="H5" s="10">
        <f>Gas!Q12/TOTAL!G5</f>
        <v>15840.000000000002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201</v>
      </c>
      <c r="L5" s="10">
        <f>Water!K12/TOTAL!K5</f>
        <v>4000</v>
      </c>
      <c r="M5" s="9">
        <f>Electricity!C11</f>
        <v>18</v>
      </c>
      <c r="N5" s="9">
        <f>Electricity!D11</f>
        <v>108</v>
      </c>
    </row>
    <row r="6" spans="1:14">
      <c r="A6" s="6" t="s">
        <v>14</v>
      </c>
      <c r="B6" s="7">
        <f t="shared" si="0"/>
        <v>5</v>
      </c>
      <c r="C6" s="8">
        <v>6</v>
      </c>
      <c r="D6" s="7">
        <v>2022</v>
      </c>
      <c r="E6" s="9">
        <f>Electricity!F12+Electricity!I12</f>
        <v>9280.0000000002001</v>
      </c>
      <c r="F6" s="10">
        <f>Electricity!L12/TOTAL!E6</f>
        <v>1233.5616918103408</v>
      </c>
      <c r="G6" s="9">
        <f>Gas!F13+Gas!I13+Gas!L13+Gas!O13</f>
        <v>104.13423999999925</v>
      </c>
      <c r="H6" s="10">
        <f>Gas!Q13/TOTAL!G6</f>
        <v>15840.000000000002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178</v>
      </c>
      <c r="L6" s="10">
        <f>Water!K13/TOTAL!K6</f>
        <v>4000</v>
      </c>
      <c r="M6" s="9">
        <f>Electricity!C12</f>
        <v>16</v>
      </c>
      <c r="N6" s="9">
        <f>Electricity!D12</f>
        <v>112</v>
      </c>
    </row>
    <row r="7" spans="1:14">
      <c r="A7" s="6" t="s">
        <v>14</v>
      </c>
      <c r="B7" s="7">
        <f t="shared" si="0"/>
        <v>6</v>
      </c>
      <c r="C7" s="8">
        <v>6</v>
      </c>
      <c r="D7" s="7">
        <v>2022</v>
      </c>
      <c r="E7" s="9">
        <f>Electricity!F13+Electricity!I13</f>
        <v>8979.9999999995634</v>
      </c>
      <c r="F7" s="10">
        <f>Electricity!L13/TOTAL!E7</f>
        <v>1236.7190979955481</v>
      </c>
      <c r="G7" s="9">
        <f>Gas!F14+Gas!I14+Gas!L14+Gas!O14</f>
        <v>101.47576000000166</v>
      </c>
      <c r="H7" s="10">
        <f>Gas!Q14/TOTAL!G7</f>
        <v>15840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195</v>
      </c>
      <c r="L7" s="10">
        <f>Water!K14/TOTAL!K7</f>
        <v>4000</v>
      </c>
      <c r="M7" s="9">
        <f>Electricity!C13</f>
        <v>12</v>
      </c>
      <c r="N7" s="9">
        <f>Electricity!D13</f>
        <v>76</v>
      </c>
    </row>
    <row r="8" spans="1:14">
      <c r="A8" s="6" t="s">
        <v>14</v>
      </c>
      <c r="B8" s="7">
        <f t="shared" si="0"/>
        <v>7</v>
      </c>
      <c r="C8" s="8">
        <v>6</v>
      </c>
      <c r="D8" s="7">
        <v>2022</v>
      </c>
      <c r="E8" s="9">
        <f>Electricity!F14+Electricity!I14</f>
        <v>9220.0000000003674</v>
      </c>
      <c r="F8" s="10">
        <f>Electricity!L14/TOTAL!E8</f>
        <v>1236.6475596529272</v>
      </c>
      <c r="G8" s="9">
        <f>Gas!F15+Gas!I15+Gas!L15+Gas!O15</f>
        <v>108.72615999999735</v>
      </c>
      <c r="H8" s="10">
        <f>Gas!Q15/TOTAL!G8</f>
        <v>15840.000000000002</v>
      </c>
      <c r="I8" s="9">
        <f>'Fuel Diesel'!F15</f>
        <v>9</v>
      </c>
      <c r="J8" s="11">
        <f>'Fuel Diesel'!G15/'Fuel Diesel'!F15</f>
        <v>10700</v>
      </c>
      <c r="K8" s="9">
        <f>Water!E15+Water!G15+Water!I15</f>
        <v>190</v>
      </c>
      <c r="L8" s="10">
        <f>Water!K15/TOTAL!K8</f>
        <v>4000</v>
      </c>
      <c r="M8" s="9">
        <f>Electricity!C14</f>
        <v>14</v>
      </c>
      <c r="N8" s="9">
        <f>Electricity!D14</f>
        <v>90</v>
      </c>
    </row>
    <row r="9" spans="1:14">
      <c r="A9" s="6" t="s">
        <v>14</v>
      </c>
      <c r="B9" s="7">
        <f t="shared" si="0"/>
        <v>8</v>
      </c>
      <c r="C9" s="8">
        <v>6</v>
      </c>
      <c r="D9" s="7">
        <v>2022</v>
      </c>
      <c r="E9" s="9">
        <f>Electricity!F15+Electricity!I15</f>
        <v>9299.9999999998399</v>
      </c>
      <c r="F9" s="10">
        <f>Electricity!L15/TOTAL!E9</f>
        <v>1235.8080107526926</v>
      </c>
      <c r="G9" s="9">
        <f>Gas!F16+Gas!I16+Gas!L16+Gas!O16</f>
        <v>89.230640000001344</v>
      </c>
      <c r="H9" s="10">
        <f>Gas!Q16/TOTAL!G9</f>
        <v>15840.000000000002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158</v>
      </c>
      <c r="L9" s="10">
        <f>Water!K16/TOTAL!K9</f>
        <v>4000</v>
      </c>
      <c r="M9" s="9">
        <f>Electricity!C15</f>
        <v>19</v>
      </c>
      <c r="N9" s="9">
        <f>Electricity!D15</f>
        <v>105</v>
      </c>
    </row>
    <row r="10" spans="1:14">
      <c r="A10" s="6" t="s">
        <v>14</v>
      </c>
      <c r="B10" s="7">
        <f t="shared" si="0"/>
        <v>9</v>
      </c>
      <c r="C10" s="8">
        <v>6</v>
      </c>
      <c r="D10" s="7">
        <v>2022</v>
      </c>
      <c r="E10" s="9">
        <f>Electricity!F16+Electricity!I16</f>
        <v>9500.0000000001128</v>
      </c>
      <c r="F10" s="10">
        <f>Electricity!L16/TOTAL!E10</f>
        <v>1238.5669999999971</v>
      </c>
      <c r="G10" s="9">
        <f>Gas!F17+Gas!I17+Gas!L17+Gas!O17</f>
        <v>107.07468000000297</v>
      </c>
      <c r="H10" s="10">
        <f>Gas!Q17/TOTAL!G10</f>
        <v>15840.000000000002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176</v>
      </c>
      <c r="L10" s="10">
        <f>Water!K17/TOTAL!K10</f>
        <v>4000</v>
      </c>
      <c r="M10" s="9">
        <f>Electricity!C16</f>
        <v>24</v>
      </c>
      <c r="N10" s="9">
        <f>Electricity!D16</f>
        <v>124</v>
      </c>
    </row>
    <row r="11" spans="1:14">
      <c r="A11" s="6" t="s">
        <v>14</v>
      </c>
      <c r="B11" s="7">
        <f t="shared" si="0"/>
        <v>10</v>
      </c>
      <c r="C11" s="8">
        <v>6</v>
      </c>
      <c r="D11" s="7">
        <v>2022</v>
      </c>
      <c r="E11" s="9">
        <f>Electricity!F17+Electricity!I17</f>
        <v>9899.999999999749</v>
      </c>
      <c r="F11" s="10">
        <f>Electricity!L17/TOTAL!E11</f>
        <v>1234.5461111111119</v>
      </c>
      <c r="G11" s="9">
        <f>Gas!F18+Gas!I18+Gas!L18+Gas!O18</f>
        <v>97.729719999995439</v>
      </c>
      <c r="H11" s="10">
        <f>Gas!Q18/TOTAL!G11</f>
        <v>15840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210</v>
      </c>
      <c r="L11" s="10">
        <f>Water!K18/TOTAL!K11</f>
        <v>4000</v>
      </c>
      <c r="M11" s="9">
        <f>Electricity!C17</f>
        <v>29</v>
      </c>
      <c r="N11" s="9">
        <f>Electricity!D17</f>
        <v>133</v>
      </c>
    </row>
    <row r="12" spans="1:14">
      <c r="A12" s="6" t="s">
        <v>14</v>
      </c>
      <c r="B12" s="7">
        <f t="shared" si="0"/>
        <v>11</v>
      </c>
      <c r="C12" s="8">
        <v>6</v>
      </c>
      <c r="D12" s="7">
        <v>2022</v>
      </c>
      <c r="E12" s="9">
        <f>Electricity!F18+Electricity!I18</f>
        <v>9120.0000000000036</v>
      </c>
      <c r="F12" s="10">
        <f>Electricity!L18/TOTAL!E12</f>
        <v>1237.7177083333361</v>
      </c>
      <c r="G12" s="9">
        <f>Gas!F19+Gas!I19+Gas!L19+Gas!O19</f>
        <v>95.997680000002973</v>
      </c>
      <c r="H12" s="10">
        <f>Gas!Q19/TOTAL!G12</f>
        <v>15840.000000000002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156</v>
      </c>
      <c r="L12" s="10">
        <f>Water!K19/TOTAL!K12</f>
        <v>4000</v>
      </c>
      <c r="M12" s="9">
        <f>Electricity!C18</f>
        <v>24</v>
      </c>
      <c r="N12" s="9">
        <f>Electricity!D18</f>
        <v>130</v>
      </c>
    </row>
    <row r="13" spans="1:14">
      <c r="A13" s="6" t="s">
        <v>14</v>
      </c>
      <c r="B13" s="7">
        <f t="shared" si="0"/>
        <v>12</v>
      </c>
      <c r="C13" s="8">
        <v>6</v>
      </c>
      <c r="D13" s="7">
        <v>2022</v>
      </c>
      <c r="E13" s="9">
        <f>Electricity!F19+Electricity!I19</f>
        <v>8800.0000000001819</v>
      </c>
      <c r="F13" s="10">
        <f>Electricity!L19/TOTAL!E13</f>
        <v>1237.4224999999969</v>
      </c>
      <c r="G13" s="9">
        <f>Gas!F20+Gas!I20+Gas!L20+Gas!O20</f>
        <v>96.239359999998172</v>
      </c>
      <c r="H13" s="10">
        <f>Gas!Q20/TOTAL!G13</f>
        <v>15840.000000000002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147</v>
      </c>
      <c r="L13" s="10">
        <f>Water!K20/TOTAL!K13</f>
        <v>4000</v>
      </c>
      <c r="M13" s="9">
        <f>Electricity!C19</f>
        <v>23</v>
      </c>
      <c r="N13" s="9">
        <f>Electricity!D19</f>
        <v>118</v>
      </c>
    </row>
    <row r="14" spans="1:14">
      <c r="A14" s="6" t="s">
        <v>14</v>
      </c>
      <c r="B14" s="7">
        <f t="shared" si="0"/>
        <v>13</v>
      </c>
      <c r="C14" s="8">
        <v>6</v>
      </c>
      <c r="D14" s="7">
        <v>2022</v>
      </c>
      <c r="E14" s="9">
        <f>Electricity!F20+Electricity!I20</f>
        <v>9639.9999999999854</v>
      </c>
      <c r="F14" s="10">
        <f>Electricity!L20/TOTAL!E14</f>
        <v>1238.3033195020719</v>
      </c>
      <c r="G14" s="9">
        <f>Gas!F21+Gas!I21+Gas!L21+Gas!O21</f>
        <v>106.51076000000303</v>
      </c>
      <c r="H14" s="10">
        <f>Gas!Q21/TOTAL!G14</f>
        <v>15840.000000000002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184</v>
      </c>
      <c r="L14" s="10">
        <f>Water!K21/TOTAL!K14</f>
        <v>4000</v>
      </c>
      <c r="M14" s="9">
        <f>Electricity!C20</f>
        <v>33</v>
      </c>
      <c r="N14" s="9">
        <f>Electricity!D20</f>
        <v>134</v>
      </c>
    </row>
    <row r="15" spans="1:14">
      <c r="A15" s="6" t="s">
        <v>14</v>
      </c>
      <c r="B15" s="7">
        <f t="shared" si="0"/>
        <v>14</v>
      </c>
      <c r="C15" s="8">
        <v>6</v>
      </c>
      <c r="D15" s="7">
        <v>2022</v>
      </c>
      <c r="E15" s="9">
        <f>Electricity!F21+Electricity!I21</f>
        <v>9939.9999999998272</v>
      </c>
      <c r="F15" s="10">
        <f>Electricity!L21/TOTAL!E15</f>
        <v>1236.4536720321976</v>
      </c>
      <c r="G15" s="9">
        <f>Gas!F22+Gas!I22+Gas!L22+Gas!O22</f>
        <v>103.77171999999865</v>
      </c>
      <c r="H15" s="10">
        <f>Gas!Q22/TOTAL!G15</f>
        <v>15840.000000000002</v>
      </c>
      <c r="I15" s="9">
        <f>'Fuel Diesel'!F22</f>
        <v>17</v>
      </c>
      <c r="J15" s="11">
        <f>'Fuel Diesel'!G22/'Fuel Diesel'!F22</f>
        <v>10700</v>
      </c>
      <c r="K15" s="9">
        <f>Water!E22+Water!G22+Water!I22</f>
        <v>202</v>
      </c>
      <c r="L15" s="10">
        <f>Water!K22/TOTAL!K15</f>
        <v>4000</v>
      </c>
      <c r="M15" s="9">
        <f>Electricity!C21</f>
        <v>35</v>
      </c>
      <c r="N15" s="9">
        <f>Electricity!D21</f>
        <v>159</v>
      </c>
    </row>
    <row r="16" spans="1:14">
      <c r="A16" s="6" t="s">
        <v>14</v>
      </c>
      <c r="B16" s="7">
        <f t="shared" si="0"/>
        <v>15</v>
      </c>
      <c r="C16" s="8">
        <v>6</v>
      </c>
      <c r="D16" s="7">
        <v>2022</v>
      </c>
      <c r="E16" s="9">
        <f>Electricity!F22+Electricity!I22</f>
        <v>10180.000000000064</v>
      </c>
      <c r="F16" s="10">
        <f>Electricity!L22/TOTAL!E16</f>
        <v>1239.751866404712</v>
      </c>
      <c r="G16" s="9">
        <f>Gas!F23+Gas!I23+Gas!L23+Gas!O23</f>
        <v>107.15523999999466</v>
      </c>
      <c r="H16" s="10">
        <f>Gas!Q23/TOTAL!G16</f>
        <v>15839.999999999998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205</v>
      </c>
      <c r="L16" s="10">
        <f>Water!K23/TOTAL!K16</f>
        <v>4000</v>
      </c>
      <c r="M16" s="9">
        <f>Electricity!C22</f>
        <v>37</v>
      </c>
      <c r="N16" s="9">
        <f>Electricity!D22</f>
        <v>165</v>
      </c>
    </row>
    <row r="17" spans="1:14">
      <c r="A17" s="6" t="s">
        <v>14</v>
      </c>
      <c r="B17" s="7">
        <f t="shared" si="0"/>
        <v>16</v>
      </c>
      <c r="C17" s="8">
        <v>6</v>
      </c>
      <c r="D17" s="7">
        <v>2022</v>
      </c>
      <c r="E17" s="9">
        <f>Electricity!F23+Electricity!I23</f>
        <v>9580.0000000001546</v>
      </c>
      <c r="F17" s="10">
        <f>Electricity!L23/TOTAL!E17</f>
        <v>1236.5469728601297</v>
      </c>
      <c r="G17" s="9">
        <f>Gas!F24+Gas!I24+Gas!L24+Gas!O24</f>
        <v>106.18852000000516</v>
      </c>
      <c r="H17" s="10">
        <f>Gas!Q24/TOTAL!G17</f>
        <v>15840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293</v>
      </c>
      <c r="L17" s="10">
        <f>Water!K24/TOTAL!K17</f>
        <v>4000</v>
      </c>
      <c r="M17" s="9">
        <f>Electricity!C23</f>
        <v>44</v>
      </c>
      <c r="N17" s="9">
        <f>Electricity!D23</f>
        <v>158</v>
      </c>
    </row>
    <row r="18" spans="1:14">
      <c r="A18" s="6" t="s">
        <v>14</v>
      </c>
      <c r="B18" s="7">
        <f t="shared" si="0"/>
        <v>17</v>
      </c>
      <c r="C18" s="8">
        <v>6</v>
      </c>
      <c r="D18" s="7">
        <v>2022</v>
      </c>
      <c r="E18" s="9">
        <f>Electricity!F24+Electricity!I24</f>
        <v>9979.9999999997908</v>
      </c>
      <c r="F18" s="10">
        <f>Electricity!L24/TOTAL!E18</f>
        <v>1240.6286072144294</v>
      </c>
      <c r="G18" s="9">
        <f>Gas!F25+Gas!I25+Gas!L25+Gas!O25</f>
        <v>111.82771999999866</v>
      </c>
      <c r="H18" s="10">
        <f>Gas!Q25/TOTAL!G18</f>
        <v>15840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197</v>
      </c>
      <c r="L18" s="10">
        <f>Water!K25/TOTAL!K18</f>
        <v>4000</v>
      </c>
      <c r="M18" s="9">
        <f>Electricity!C24</f>
        <v>44</v>
      </c>
      <c r="N18" s="9">
        <f>Electricity!D24</f>
        <v>215</v>
      </c>
    </row>
    <row r="19" spans="1:14">
      <c r="A19" s="6" t="s">
        <v>14</v>
      </c>
      <c r="B19" s="7">
        <f t="shared" si="0"/>
        <v>18</v>
      </c>
      <c r="C19" s="8">
        <v>6</v>
      </c>
      <c r="D19" s="7">
        <v>2022</v>
      </c>
      <c r="E19" s="9">
        <f>Electricity!F25+Electricity!I25</f>
        <v>9920.0000000001855</v>
      </c>
      <c r="F19" s="10">
        <f>Electricity!L25/TOTAL!E19</f>
        <v>1234.3535786290288</v>
      </c>
      <c r="G19" s="9">
        <f>Gas!F26+Gas!I26+Gas!L26+Gas!O26</f>
        <v>97.971400000000713</v>
      </c>
      <c r="H19" s="10">
        <f>Gas!Q26/TOTAL!G19</f>
        <v>15840.000000000002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347</v>
      </c>
      <c r="L19" s="10">
        <f>Water!K26/TOTAL!K19</f>
        <v>4000</v>
      </c>
      <c r="M19" s="9">
        <f>Electricity!C25</f>
        <v>41</v>
      </c>
      <c r="N19" s="9">
        <f>Electricity!D25</f>
        <v>171</v>
      </c>
    </row>
    <row r="20" spans="1:14">
      <c r="A20" s="6" t="s">
        <v>14</v>
      </c>
      <c r="B20" s="7">
        <f t="shared" si="0"/>
        <v>19</v>
      </c>
      <c r="C20" s="8">
        <v>6</v>
      </c>
      <c r="D20" s="7">
        <v>2022</v>
      </c>
      <c r="E20" s="9">
        <f>Electricity!F26+Electricity!I26</f>
        <v>9719.9999999999127</v>
      </c>
      <c r="F20" s="10">
        <f>Electricity!L26/TOTAL!E20</f>
        <v>1237.4864197530844</v>
      </c>
      <c r="G20" s="9">
        <f>Gas!F27+Gas!I27+Gas!L27+Gas!O27</f>
        <v>114.60703999999659</v>
      </c>
      <c r="H20" s="10">
        <f>Gas!Q27/TOTAL!G20</f>
        <v>15840.000000000002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333</v>
      </c>
      <c r="L20" s="10">
        <f>Water!K27/TOTAL!K20</f>
        <v>4000</v>
      </c>
      <c r="M20" s="9">
        <f>Electricity!C26</f>
        <v>34</v>
      </c>
      <c r="N20" s="9">
        <f>Electricity!D26</f>
        <v>169</v>
      </c>
    </row>
    <row r="21" spans="1:14">
      <c r="A21" s="6" t="s">
        <v>14</v>
      </c>
      <c r="B21" s="7">
        <f t="shared" si="0"/>
        <v>20</v>
      </c>
      <c r="C21" s="8">
        <v>6</v>
      </c>
      <c r="D21" s="7">
        <v>2022</v>
      </c>
      <c r="E21" s="9">
        <f>Electricity!F27+Electricity!I27</f>
        <v>9679.9999999999491</v>
      </c>
      <c r="F21" s="10">
        <f>Electricity!L27/TOTAL!E21</f>
        <v>1234.363068181819</v>
      </c>
      <c r="G21" s="9">
        <f>Gas!F28+Gas!I28+Gas!L28+Gas!O28</f>
        <v>108.8470000000009</v>
      </c>
      <c r="H21" s="10">
        <f>Gas!Q28/TOTAL!G21</f>
        <v>15840.000000000002</v>
      </c>
      <c r="I21" s="9">
        <f>'Fuel Diesel'!F28</f>
        <v>13</v>
      </c>
      <c r="J21" s="11">
        <f>'Fuel Diesel'!G28/'Fuel Diesel'!F28</f>
        <v>10700</v>
      </c>
      <c r="K21" s="9">
        <f>Water!E28+Water!G28+Water!I28</f>
        <v>156</v>
      </c>
      <c r="L21" s="10">
        <f>Water!K28/TOTAL!K21</f>
        <v>4000</v>
      </c>
      <c r="M21" s="9">
        <f>Electricity!C27</f>
        <v>33</v>
      </c>
      <c r="N21" s="9">
        <f>Electricity!D27</f>
        <v>191</v>
      </c>
    </row>
    <row r="22" spans="1:14">
      <c r="A22" s="6" t="s">
        <v>14</v>
      </c>
      <c r="B22" s="7">
        <f t="shared" si="0"/>
        <v>21</v>
      </c>
      <c r="C22" s="8">
        <v>6</v>
      </c>
      <c r="D22" s="7">
        <v>2022</v>
      </c>
      <c r="E22" s="9">
        <f>Electricity!F28+Electricity!I28</f>
        <v>9279.9999999998581</v>
      </c>
      <c r="F22" s="10">
        <f>Electricity!L28/TOTAL!E22</f>
        <v>1237.2439655172445</v>
      </c>
      <c r="G22" s="9">
        <f>Gas!F29+Gas!I29+Gas!L29+Gas!O29</f>
        <v>107.31636000000458</v>
      </c>
      <c r="H22" s="10">
        <f>Gas!Q29/TOTAL!G22</f>
        <v>15840.000000000004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192</v>
      </c>
      <c r="L22" s="10">
        <f>Water!K29/TOTAL!K22</f>
        <v>4000</v>
      </c>
      <c r="M22" s="9">
        <f>Electricity!C28</f>
        <v>30</v>
      </c>
      <c r="N22" s="9">
        <f>Electricity!D28</f>
        <v>195</v>
      </c>
    </row>
    <row r="23" spans="1:14">
      <c r="A23" s="6" t="s">
        <v>14</v>
      </c>
      <c r="B23" s="7">
        <f t="shared" si="0"/>
        <v>22</v>
      </c>
      <c r="C23" s="8">
        <v>6</v>
      </c>
      <c r="D23" s="7">
        <v>2022</v>
      </c>
      <c r="E23" s="9">
        <f>Electricity!F29+Electricity!I29</f>
        <v>9800.0000000002947</v>
      </c>
      <c r="F23" s="10">
        <f>Electricity!L29/TOTAL!E23</f>
        <v>1234.3582653061189</v>
      </c>
      <c r="G23" s="9">
        <f>Gas!F30+Gas!I30+Gas!L30+Gas!O30</f>
        <v>113.23751999999645</v>
      </c>
      <c r="H23" s="10">
        <f>Gas!Q30/TOTAL!G23</f>
        <v>15840.000000000002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162</v>
      </c>
      <c r="L23" s="10">
        <f>Water!K30/TOTAL!K23</f>
        <v>4000</v>
      </c>
      <c r="M23" s="9">
        <f>Electricity!C29</f>
        <v>26</v>
      </c>
      <c r="N23" s="9">
        <f>Electricity!D29</f>
        <v>188</v>
      </c>
    </row>
    <row r="24" spans="1:14">
      <c r="A24" s="6" t="s">
        <v>14</v>
      </c>
      <c r="B24" s="7">
        <f t="shared" si="0"/>
        <v>23</v>
      </c>
      <c r="C24" s="8">
        <v>6</v>
      </c>
      <c r="D24" s="7">
        <v>2022</v>
      </c>
      <c r="E24" s="9">
        <f>Electricity!F30+Electricity!I30</f>
        <v>9459.9999999996944</v>
      </c>
      <c r="F24" s="10">
        <f>Electricity!L30/TOTAL!E24</f>
        <v>1237.7837209302349</v>
      </c>
      <c r="G24" s="9">
        <f>Gas!F31+Gas!I31+Gas!L31+Gas!O31</f>
        <v>114.84872000000277</v>
      </c>
      <c r="H24" s="10">
        <f>Gas!Q31/TOTAL!G24</f>
        <v>15840.000000000002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154</v>
      </c>
      <c r="L24" s="10">
        <f>Water!K31/TOTAL!K24</f>
        <v>4000</v>
      </c>
      <c r="M24" s="9">
        <f>Electricity!C30</f>
        <v>36</v>
      </c>
      <c r="N24" s="9">
        <f>Electricity!D30</f>
        <v>183</v>
      </c>
    </row>
    <row r="25" spans="1:14">
      <c r="A25" s="6" t="s">
        <v>14</v>
      </c>
      <c r="B25" s="7">
        <f t="shared" si="0"/>
        <v>24</v>
      </c>
      <c r="C25" s="8">
        <v>6</v>
      </c>
      <c r="D25" s="7">
        <v>2022</v>
      </c>
      <c r="E25" s="9">
        <f>Electricity!F31+Electricity!I31</f>
        <v>9480.0000000002456</v>
      </c>
      <c r="F25" s="10">
        <f>Electricity!L31/TOTAL!E25</f>
        <v>1241.1800105485233</v>
      </c>
      <c r="G25" s="9">
        <f>Gas!F32+Gas!I32+Gas!L32+Gas!O32</f>
        <v>124.35479999999733</v>
      </c>
      <c r="H25" s="10">
        <f>Gas!Q32/TOTAL!G25</f>
        <v>15840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171</v>
      </c>
      <c r="L25" s="10">
        <f>Water!K32/TOTAL!K25</f>
        <v>4000</v>
      </c>
      <c r="M25" s="9">
        <f>Electricity!C31</f>
        <v>40</v>
      </c>
      <c r="N25" s="9">
        <f>Electricity!D31</f>
        <v>204</v>
      </c>
    </row>
    <row r="26" spans="1:14">
      <c r="A26" s="6" t="s">
        <v>14</v>
      </c>
      <c r="B26" s="7">
        <f>B25+1</f>
        <v>25</v>
      </c>
      <c r="C26" s="8">
        <v>6</v>
      </c>
      <c r="D26" s="7">
        <v>2022</v>
      </c>
      <c r="E26" s="9">
        <f>Electricity!F32+Electricity!I32</f>
        <v>9319.9999999998217</v>
      </c>
      <c r="F26" s="10">
        <f>Electricity!L32/TOTAL!E26</f>
        <v>1240.489002145923</v>
      </c>
      <c r="G26" s="9">
        <f>Gas!F33+Gas!I33+Gas!L33+Gas!O33</f>
        <v>106.95384000000354</v>
      </c>
      <c r="H26" s="10">
        <f>Gas!Q33/TOTAL!G26</f>
        <v>15840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154</v>
      </c>
      <c r="L26" s="10">
        <f>Water!K33/TOTAL!K26</f>
        <v>4000</v>
      </c>
      <c r="M26" s="9">
        <f>Electricity!C32</f>
        <v>38</v>
      </c>
      <c r="N26" s="9">
        <f>Electricity!D32</f>
        <v>205</v>
      </c>
    </row>
    <row r="27" spans="1:14">
      <c r="A27" s="6" t="s">
        <v>14</v>
      </c>
      <c r="B27" s="7">
        <f t="shared" si="0"/>
        <v>26</v>
      </c>
      <c r="C27" s="8">
        <v>6</v>
      </c>
      <c r="D27" s="7">
        <v>2022</v>
      </c>
      <c r="E27" s="9">
        <f>Electricity!F33+Electricity!I33</f>
        <v>9320.0000000003911</v>
      </c>
      <c r="F27" s="10">
        <f>Electricity!L33/TOTAL!E27</f>
        <v>1240.4890021459237</v>
      </c>
      <c r="G27" s="9">
        <f>Gas!F34+Gas!I34+Gas!L34+Gas!O34</f>
        <v>108.12195999999469</v>
      </c>
      <c r="H27" s="10">
        <f>Gas!Q34/TOTAL!G27</f>
        <v>15840.000000000002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146</v>
      </c>
      <c r="L27" s="10">
        <f>Water!K34/TOTAL!K27</f>
        <v>4000</v>
      </c>
      <c r="M27" s="9">
        <f>Electricity!C33</f>
        <v>37</v>
      </c>
      <c r="N27" s="9">
        <f>Electricity!D33</f>
        <v>210</v>
      </c>
    </row>
    <row r="28" spans="1:14">
      <c r="A28" s="6" t="s">
        <v>14</v>
      </c>
      <c r="B28" s="7">
        <f t="shared" si="0"/>
        <v>27</v>
      </c>
      <c r="C28" s="8">
        <v>6</v>
      </c>
      <c r="D28" s="7">
        <v>2022</v>
      </c>
      <c r="E28" s="9">
        <f>Electricity!F34+Electricity!I34</f>
        <v>8239.9999999998945</v>
      </c>
      <c r="F28" s="10">
        <f>Electricity!L34/TOTAL!E28</f>
        <v>1251.0197208737884</v>
      </c>
      <c r="G28" s="9">
        <f>Gas!F35+Gas!I35+Gas!L35+Gas!O35</f>
        <v>112.59304000000024</v>
      </c>
      <c r="H28" s="10">
        <f>Gas!Q35/TOTAL!G28</f>
        <v>15840</v>
      </c>
      <c r="I28" s="9">
        <f>'Fuel Diesel'!F35</f>
        <v>376</v>
      </c>
      <c r="J28" s="11">
        <f>'Fuel Diesel'!G35/'Fuel Diesel'!F35</f>
        <v>10700</v>
      </c>
      <c r="K28" s="9">
        <f>Water!E35+Water!G35+Water!I35</f>
        <v>169</v>
      </c>
      <c r="L28" s="10">
        <f>Water!K35/TOTAL!K28</f>
        <v>4000</v>
      </c>
      <c r="M28" s="9">
        <f>Electricity!C34</f>
        <v>27</v>
      </c>
      <c r="N28" s="9">
        <f>Electricity!D34</f>
        <v>150</v>
      </c>
    </row>
    <row r="29" spans="1:14">
      <c r="A29" s="6" t="s">
        <v>14</v>
      </c>
      <c r="B29" s="7">
        <f t="shared" si="0"/>
        <v>28</v>
      </c>
      <c r="C29" s="8">
        <v>6</v>
      </c>
      <c r="D29" s="7">
        <v>2022</v>
      </c>
      <c r="E29" s="9">
        <f>Electricity!F35+Electricity!I35</f>
        <v>8980.0000000000182</v>
      </c>
      <c r="F29" s="10">
        <f>Electricity!L35/TOTAL!E29</f>
        <v>1236.7190979955431</v>
      </c>
      <c r="G29" s="9">
        <f>Gas!F36+Gas!I36+Gas!L36+Gas!O36</f>
        <v>105.38291999999947</v>
      </c>
      <c r="H29" s="10">
        <f>Gas!Q36/TOTAL!G29</f>
        <v>15840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159</v>
      </c>
      <c r="L29" s="10">
        <f>Water!K36/TOTAL!K29</f>
        <v>4000</v>
      </c>
      <c r="M29" s="9">
        <f>Electricity!C35</f>
        <v>36</v>
      </c>
      <c r="N29" s="9">
        <f>Electricity!D35</f>
        <v>133</v>
      </c>
    </row>
    <row r="30" spans="1:14">
      <c r="A30" s="6" t="s">
        <v>14</v>
      </c>
      <c r="B30" s="7">
        <f t="shared" si="0"/>
        <v>29</v>
      </c>
      <c r="C30" s="8">
        <v>6</v>
      </c>
      <c r="D30" s="7">
        <v>2022</v>
      </c>
      <c r="E30" s="9">
        <f>Electricity!F36+Electricity!I36</f>
        <v>9100.0000000000218</v>
      </c>
      <c r="F30" s="10">
        <f>Electricity!L36/TOTAL!E30</f>
        <v>1242.9413736263716</v>
      </c>
      <c r="G30" s="9">
        <f>Gas!F37+Gas!I37+Gas!L37+Gas!O37</f>
        <v>107.83999999999907</v>
      </c>
      <c r="H30" s="10">
        <f>Gas!Q37/TOTAL!G30</f>
        <v>15840</v>
      </c>
      <c r="I30" s="9">
        <f>'Fuel Diesel'!F37</f>
        <v>109</v>
      </c>
      <c r="J30" s="11">
        <f>'Fuel Diesel'!G37/'Fuel Diesel'!F37</f>
        <v>10700</v>
      </c>
      <c r="K30" s="9">
        <f>Water!E37+Water!G37+Water!I37</f>
        <v>188</v>
      </c>
      <c r="L30" s="10">
        <f>Water!K37/TOTAL!K30</f>
        <v>4000</v>
      </c>
      <c r="M30" s="9">
        <f>Electricity!C36</f>
        <v>42</v>
      </c>
      <c r="N30" s="9">
        <f>Electricity!D36</f>
        <v>190</v>
      </c>
    </row>
    <row r="31" spans="1:14">
      <c r="A31" s="6" t="s">
        <v>14</v>
      </c>
      <c r="B31" s="7">
        <v>30</v>
      </c>
      <c r="C31" s="8">
        <v>6</v>
      </c>
      <c r="D31" s="7">
        <v>2022</v>
      </c>
      <c r="E31" s="9">
        <f>Electricity!F37+Electricity!I37</f>
        <v>9459.9999999996944</v>
      </c>
      <c r="F31" s="10">
        <f>Electricity!L37/TOTAL!E31</f>
        <v>1237.7837209302349</v>
      </c>
      <c r="G31" s="9">
        <f>Gas!F38+Gas!I38+Gas!L38+Gas!O38</f>
        <v>115.00984000000355</v>
      </c>
      <c r="H31" s="10">
        <f>Gas!Q38/TOTAL!G31</f>
        <v>15840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140</v>
      </c>
      <c r="L31" s="10">
        <f>Water!K38/TOTAL!K31</f>
        <v>4000</v>
      </c>
      <c r="M31" s="9">
        <f>Electricity!C37</f>
        <v>34</v>
      </c>
      <c r="N31" s="9">
        <f>Electricity!D37</f>
        <v>214</v>
      </c>
    </row>
    <row r="32" spans="1:14">
      <c r="E32" s="82">
        <f>SUM(E2:E31)</f>
        <v>281639.99999999959</v>
      </c>
      <c r="F32" s="82">
        <f>SUM(F2:F31)/30</f>
        <v>1237.8752572873009</v>
      </c>
      <c r="G32" s="82">
        <f>SUM(G2:G31)</f>
        <v>3148.436879999997</v>
      </c>
      <c r="H32" s="92">
        <f>SUM(H2:H31)/30</f>
        <v>15840</v>
      </c>
      <c r="I32" s="82">
        <f>SUM(I2:I31)</f>
        <v>524</v>
      </c>
      <c r="J32" s="92">
        <v>10700</v>
      </c>
      <c r="K32" s="82">
        <f>SUM(K2:K31)</f>
        <v>5737</v>
      </c>
      <c r="L32" s="92">
        <f>SUM(L2:L31)/30</f>
        <v>4000</v>
      </c>
      <c r="M32" s="82">
        <f>SUM(M2:M31)</f>
        <v>871</v>
      </c>
      <c r="N32" s="82">
        <f>SUM(N2:N31)</f>
        <v>4472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12" workbookViewId="0">
      <selection activeCell="N46" sqref="N45:N46"/>
    </sheetView>
  </sheetViews>
  <sheetFormatPr defaultColWidth="8.85546875" defaultRowHeight="15"/>
  <cols>
    <col min="1" max="1" width="2.42578125" customWidth="1"/>
    <col min="2" max="2" width="5.85546875" customWidth="1"/>
    <col min="3" max="3" width="6.42578125" customWidth="1"/>
    <col min="4" max="4" width="7.42578125" style="19" customWidth="1"/>
    <col min="5" max="5" width="9.42578125" style="31" customWidth="1"/>
    <col min="6" max="6" width="11.28515625" style="31" customWidth="1"/>
    <col min="7" max="7" width="16.42578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42578125" customWidth="1"/>
    <col min="16" max="16" width="16.7109375" customWidth="1"/>
  </cols>
  <sheetData>
    <row r="1" spans="1:14" ht="15.95">
      <c r="B1" s="105" t="s">
        <v>15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2"/>
      <c r="N1" s="12"/>
    </row>
    <row r="2" spans="1:14" ht="15.95">
      <c r="B2" s="105" t="s">
        <v>16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06">
        <v>44713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6"/>
    </row>
    <row r="5" spans="1:14">
      <c r="A5" s="17"/>
      <c r="B5" s="104" t="s">
        <v>17</v>
      </c>
      <c r="C5" s="104" t="s">
        <v>18</v>
      </c>
      <c r="D5" s="104" t="s">
        <v>13</v>
      </c>
      <c r="E5" s="107" t="s">
        <v>19</v>
      </c>
      <c r="F5" s="107"/>
      <c r="G5" s="107"/>
      <c r="H5" s="108" t="s">
        <v>20</v>
      </c>
      <c r="I5" s="108"/>
      <c r="J5" s="108"/>
      <c r="K5" s="104" t="s">
        <v>21</v>
      </c>
      <c r="L5" s="104" t="s">
        <v>22</v>
      </c>
      <c r="M5" s="104" t="s">
        <v>23</v>
      </c>
      <c r="N5" s="18"/>
    </row>
    <row r="6" spans="1:14" s="19" customFormat="1">
      <c r="A6" s="17"/>
      <c r="B6" s="104"/>
      <c r="C6" s="104"/>
      <c r="D6" s="104"/>
      <c r="E6" s="104" t="s">
        <v>24</v>
      </c>
      <c r="F6" s="104" t="s">
        <v>25</v>
      </c>
      <c r="G6" s="104" t="s">
        <v>26</v>
      </c>
      <c r="H6" s="104" t="s">
        <v>24</v>
      </c>
      <c r="I6" s="104" t="s">
        <v>25</v>
      </c>
      <c r="J6" s="104" t="s">
        <v>27</v>
      </c>
      <c r="K6" s="104"/>
      <c r="L6" s="104"/>
      <c r="M6" s="104"/>
      <c r="N6" s="18"/>
    </row>
    <row r="7" spans="1:14">
      <c r="A7" s="20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21"/>
    </row>
    <row r="8" spans="1:14">
      <c r="A8" s="20"/>
      <c r="B8" s="22">
        <v>1</v>
      </c>
      <c r="C8" s="95">
        <v>14</v>
      </c>
      <c r="D8" s="99">
        <v>80</v>
      </c>
      <c r="E8" s="24">
        <v>3.7200000000000273</v>
      </c>
      <c r="F8" s="25">
        <f t="shared" ref="F8:F37" si="0">E8*2000</f>
        <v>7440.0000000000546</v>
      </c>
      <c r="G8" s="26">
        <f t="shared" ref="G8:G36" si="1">F8*1035.5</f>
        <v>7704120.0000000568</v>
      </c>
      <c r="H8" s="24">
        <v>0.73999999999995225</v>
      </c>
      <c r="I8" s="25">
        <f t="shared" ref="I8:I37" si="2">H8*2000</f>
        <v>1479.9999999999045</v>
      </c>
      <c r="J8" s="26">
        <f t="shared" ref="J8:J37" si="3">I8*1553.25</f>
        <v>2298809.9999998515</v>
      </c>
      <c r="K8" s="24">
        <f t="shared" ref="K8:K37" si="4">G8+J8</f>
        <v>10002929.999999909</v>
      </c>
      <c r="L8" s="27">
        <f t="shared" ref="L8:L37" si="5">K8*1.1</f>
        <v>11003222.999999901</v>
      </c>
      <c r="M8" s="28">
        <f>L8/14381</f>
        <v>765.12224462832216</v>
      </c>
      <c r="N8" s="29"/>
    </row>
    <row r="9" spans="1:14">
      <c r="A9" s="20"/>
      <c r="B9" s="22">
        <v>2</v>
      </c>
      <c r="C9" s="96">
        <v>16</v>
      </c>
      <c r="D9" s="99">
        <v>80</v>
      </c>
      <c r="E9" s="24">
        <v>3.6099999999999</v>
      </c>
      <c r="F9" s="25">
        <f t="shared" si="0"/>
        <v>7219.9999999997999</v>
      </c>
      <c r="G9" s="26">
        <f t="shared" si="1"/>
        <v>7476309.9999997932</v>
      </c>
      <c r="H9" s="24">
        <v>0.78000000000002956</v>
      </c>
      <c r="I9" s="25">
        <f t="shared" si="2"/>
        <v>1560.0000000000591</v>
      </c>
      <c r="J9" s="26">
        <f t="shared" si="3"/>
        <v>2423070.0000000917</v>
      </c>
      <c r="K9" s="24">
        <f t="shared" si="4"/>
        <v>9899379.9999998845</v>
      </c>
      <c r="L9" s="27">
        <f t="shared" si="5"/>
        <v>10889317.999999873</v>
      </c>
      <c r="M9" s="28">
        <f t="shared" ref="M9:M37" si="6">L9/14381</f>
        <v>757.20172449759218</v>
      </c>
      <c r="N9" s="29"/>
    </row>
    <row r="10" spans="1:14">
      <c r="A10" s="20"/>
      <c r="B10" s="22">
        <v>3</v>
      </c>
      <c r="C10" s="95">
        <v>15</v>
      </c>
      <c r="D10" s="99">
        <v>82</v>
      </c>
      <c r="E10" s="24">
        <v>3.8900000000001</v>
      </c>
      <c r="F10" s="25">
        <f t="shared" si="0"/>
        <v>7780.0000000002001</v>
      </c>
      <c r="G10" s="26">
        <f t="shared" si="1"/>
        <v>8056190.0000002068</v>
      </c>
      <c r="H10" s="24">
        <v>0.77999999999997272</v>
      </c>
      <c r="I10" s="25">
        <f t="shared" si="2"/>
        <v>1559.9999999999454</v>
      </c>
      <c r="J10" s="26">
        <f t="shared" si="3"/>
        <v>2423069.9999999152</v>
      </c>
      <c r="K10" s="24">
        <f t="shared" si="4"/>
        <v>10479260.000000123</v>
      </c>
      <c r="L10" s="27">
        <f t="shared" si="5"/>
        <v>11527186.000000136</v>
      </c>
      <c r="M10" s="28">
        <f t="shared" si="6"/>
        <v>801.55663722968745</v>
      </c>
      <c r="N10" s="29"/>
    </row>
    <row r="11" spans="1:14">
      <c r="A11" s="20"/>
      <c r="B11" s="22">
        <v>4</v>
      </c>
      <c r="C11" s="95">
        <v>18</v>
      </c>
      <c r="D11" s="99">
        <v>108</v>
      </c>
      <c r="E11" s="24">
        <v>3.8799999999998818</v>
      </c>
      <c r="F11" s="25">
        <f t="shared" si="0"/>
        <v>7759.9999999997635</v>
      </c>
      <c r="G11" s="26">
        <f t="shared" si="1"/>
        <v>8035479.9999997551</v>
      </c>
      <c r="H11" s="24">
        <v>0.83000000000004093</v>
      </c>
      <c r="I11" s="25">
        <f t="shared" si="2"/>
        <v>1660.0000000000819</v>
      </c>
      <c r="J11" s="26">
        <f t="shared" si="3"/>
        <v>2578395.0000001271</v>
      </c>
      <c r="K11" s="24">
        <f t="shared" si="4"/>
        <v>10613874.999999883</v>
      </c>
      <c r="L11" s="27">
        <f t="shared" si="5"/>
        <v>11675262.499999871</v>
      </c>
      <c r="M11" s="28">
        <f t="shared" si="6"/>
        <v>811.85331339961556</v>
      </c>
      <c r="N11" s="29"/>
    </row>
    <row r="12" spans="1:14">
      <c r="A12" s="20"/>
      <c r="B12" s="22">
        <v>5</v>
      </c>
      <c r="C12" s="96">
        <v>16</v>
      </c>
      <c r="D12" s="99">
        <v>112</v>
      </c>
      <c r="E12" s="24">
        <v>3.8700000000001182</v>
      </c>
      <c r="F12" s="25">
        <f t="shared" si="0"/>
        <v>7740.0000000002365</v>
      </c>
      <c r="G12" s="26">
        <f t="shared" si="1"/>
        <v>8014770.0000002449</v>
      </c>
      <c r="H12" s="24">
        <v>0.76999999999998181</v>
      </c>
      <c r="I12" s="25">
        <f t="shared" si="2"/>
        <v>1539.9999999999636</v>
      </c>
      <c r="J12" s="26">
        <f t="shared" si="3"/>
        <v>2392004.9999999437</v>
      </c>
      <c r="K12" s="24">
        <f t="shared" si="4"/>
        <v>10406775.000000188</v>
      </c>
      <c r="L12" s="27">
        <f t="shared" si="5"/>
        <v>11447452.500000209</v>
      </c>
      <c r="M12" s="28">
        <f t="shared" si="6"/>
        <v>796.01227313818288</v>
      </c>
      <c r="N12" s="29"/>
    </row>
    <row r="13" spans="1:14">
      <c r="A13" s="20"/>
      <c r="B13" s="22">
        <v>6</v>
      </c>
      <c r="C13" s="95">
        <v>12</v>
      </c>
      <c r="D13" s="99">
        <v>76</v>
      </c>
      <c r="E13" s="24">
        <v>3.7199999999997999</v>
      </c>
      <c r="F13" s="25">
        <f t="shared" si="0"/>
        <v>7439.9999999995998</v>
      </c>
      <c r="G13" s="26">
        <f t="shared" si="1"/>
        <v>7704119.9999995856</v>
      </c>
      <c r="H13" s="24">
        <v>0.76999999999998181</v>
      </c>
      <c r="I13" s="25">
        <f t="shared" si="2"/>
        <v>1539.9999999999636</v>
      </c>
      <c r="J13" s="26">
        <f t="shared" si="3"/>
        <v>2392004.9999999437</v>
      </c>
      <c r="K13" s="24">
        <f t="shared" si="4"/>
        <v>10096124.999999529</v>
      </c>
      <c r="L13" s="27">
        <f t="shared" si="5"/>
        <v>11105737.499999482</v>
      </c>
      <c r="M13" s="28">
        <f t="shared" si="6"/>
        <v>772.25071274594825</v>
      </c>
      <c r="N13" s="29"/>
    </row>
    <row r="14" spans="1:14">
      <c r="A14" s="20"/>
      <c r="B14" s="22">
        <v>7</v>
      </c>
      <c r="C14" s="96">
        <v>14</v>
      </c>
      <c r="D14" s="99">
        <v>90</v>
      </c>
      <c r="E14" s="24">
        <v>3.8200000000001637</v>
      </c>
      <c r="F14" s="25">
        <f t="shared" si="0"/>
        <v>7640.0000000003274</v>
      </c>
      <c r="G14" s="26">
        <f t="shared" si="1"/>
        <v>7911220.000000339</v>
      </c>
      <c r="H14" s="24">
        <v>0.79000000000002046</v>
      </c>
      <c r="I14" s="25">
        <f t="shared" si="2"/>
        <v>1580.0000000000409</v>
      </c>
      <c r="J14" s="26">
        <f t="shared" si="3"/>
        <v>2454135.0000000638</v>
      </c>
      <c r="K14" s="24">
        <f t="shared" si="4"/>
        <v>10365355.000000402</v>
      </c>
      <c r="L14" s="27">
        <f t="shared" si="5"/>
        <v>11401890.500000443</v>
      </c>
      <c r="M14" s="28">
        <f t="shared" si="6"/>
        <v>792.84406508590803</v>
      </c>
      <c r="N14" s="29"/>
    </row>
    <row r="15" spans="1:14">
      <c r="A15" s="20"/>
      <c r="B15" s="22">
        <v>8</v>
      </c>
      <c r="C15" s="95">
        <v>19</v>
      </c>
      <c r="D15" s="99">
        <v>105</v>
      </c>
      <c r="E15" s="24">
        <v>3.8599999999999</v>
      </c>
      <c r="F15" s="25">
        <f t="shared" si="0"/>
        <v>7719.9999999997999</v>
      </c>
      <c r="G15" s="26">
        <f t="shared" si="1"/>
        <v>7994059.9999997932</v>
      </c>
      <c r="H15" s="24">
        <v>0.79000000000002046</v>
      </c>
      <c r="I15" s="25">
        <f t="shared" si="2"/>
        <v>1580.0000000000409</v>
      </c>
      <c r="J15" s="26">
        <f t="shared" si="3"/>
        <v>2454135.0000000638</v>
      </c>
      <c r="K15" s="24">
        <f t="shared" si="4"/>
        <v>10448194.999999857</v>
      </c>
      <c r="L15" s="27">
        <f t="shared" si="5"/>
        <v>11493014.499999844</v>
      </c>
      <c r="M15" s="28">
        <f t="shared" si="6"/>
        <v>799.18048119044875</v>
      </c>
      <c r="N15" s="29"/>
    </row>
    <row r="16" spans="1:14">
      <c r="A16" s="20"/>
      <c r="B16" s="22">
        <v>9</v>
      </c>
      <c r="C16" s="96">
        <v>24</v>
      </c>
      <c r="D16" s="99">
        <v>124</v>
      </c>
      <c r="E16" s="24">
        <v>3.9200000000000728</v>
      </c>
      <c r="F16" s="25">
        <f t="shared" si="0"/>
        <v>7840.0000000001455</v>
      </c>
      <c r="G16" s="26">
        <f t="shared" si="1"/>
        <v>8118320.0000001509</v>
      </c>
      <c r="H16" s="24">
        <v>0.82999999999998408</v>
      </c>
      <c r="I16" s="25">
        <f t="shared" si="2"/>
        <v>1659.9999999999682</v>
      </c>
      <c r="J16" s="26">
        <f t="shared" si="3"/>
        <v>2578394.9999999506</v>
      </c>
      <c r="K16" s="24">
        <f t="shared" si="4"/>
        <v>10696715.000000101</v>
      </c>
      <c r="L16" s="27">
        <f t="shared" si="5"/>
        <v>11766386.500000112</v>
      </c>
      <c r="M16" s="28">
        <f t="shared" si="6"/>
        <v>818.18972950421471</v>
      </c>
      <c r="N16" s="29"/>
    </row>
    <row r="17" spans="1:14">
      <c r="A17" s="20"/>
      <c r="B17" s="22">
        <v>10</v>
      </c>
      <c r="C17" s="95">
        <v>29</v>
      </c>
      <c r="D17" s="99">
        <v>133</v>
      </c>
      <c r="E17" s="24">
        <v>4.1199999999998909</v>
      </c>
      <c r="F17" s="25">
        <f t="shared" si="0"/>
        <v>8239.9999999997817</v>
      </c>
      <c r="G17" s="26">
        <f t="shared" si="1"/>
        <v>8532519.9999997746</v>
      </c>
      <c r="H17" s="24">
        <v>0.82999999999998408</v>
      </c>
      <c r="I17" s="25">
        <f t="shared" si="2"/>
        <v>1659.9999999999682</v>
      </c>
      <c r="J17" s="26">
        <f t="shared" si="3"/>
        <v>2578394.9999999506</v>
      </c>
      <c r="K17" s="24">
        <f t="shared" si="4"/>
        <v>11110914.999999724</v>
      </c>
      <c r="L17" s="27">
        <f t="shared" si="5"/>
        <v>12222006.499999698</v>
      </c>
      <c r="M17" s="28">
        <f t="shared" si="6"/>
        <v>849.87181002709815</v>
      </c>
      <c r="N17" s="29"/>
    </row>
    <row r="18" spans="1:14">
      <c r="A18" s="20"/>
      <c r="B18" s="22">
        <v>11</v>
      </c>
      <c r="C18" s="96">
        <v>24</v>
      </c>
      <c r="D18" s="99">
        <v>130</v>
      </c>
      <c r="E18" s="24">
        <v>3.7699999999999818</v>
      </c>
      <c r="F18" s="25">
        <f t="shared" si="0"/>
        <v>7539.9999999999636</v>
      </c>
      <c r="G18" s="26">
        <f t="shared" si="1"/>
        <v>7807669.9999999627</v>
      </c>
      <c r="H18" s="24">
        <v>0.79000000000002046</v>
      </c>
      <c r="I18" s="25">
        <f t="shared" si="2"/>
        <v>1580.0000000000409</v>
      </c>
      <c r="J18" s="26">
        <f t="shared" si="3"/>
        <v>2454135.0000000638</v>
      </c>
      <c r="K18" s="24">
        <f t="shared" si="4"/>
        <v>10261805.000000026</v>
      </c>
      <c r="L18" s="27">
        <f t="shared" si="5"/>
        <v>11287985.50000003</v>
      </c>
      <c r="M18" s="28">
        <f t="shared" si="6"/>
        <v>784.92354495515121</v>
      </c>
      <c r="N18" s="29"/>
    </row>
    <row r="19" spans="1:14">
      <c r="A19" s="20"/>
      <c r="B19" s="22">
        <v>12</v>
      </c>
      <c r="C19" s="97">
        <v>23</v>
      </c>
      <c r="D19" s="99">
        <v>118</v>
      </c>
      <c r="E19" s="24">
        <v>3.6400000000001</v>
      </c>
      <c r="F19" s="25">
        <f t="shared" si="0"/>
        <v>7280.0000000002001</v>
      </c>
      <c r="G19" s="26">
        <f t="shared" si="1"/>
        <v>7538440.0000002068</v>
      </c>
      <c r="H19" s="24">
        <v>0.75999999999999091</v>
      </c>
      <c r="I19" s="25">
        <f t="shared" si="2"/>
        <v>1519.9999999999818</v>
      </c>
      <c r="J19" s="26">
        <f t="shared" si="3"/>
        <v>2360939.9999999716</v>
      </c>
      <c r="K19" s="24">
        <f t="shared" si="4"/>
        <v>9899380.0000001788</v>
      </c>
      <c r="L19" s="27">
        <f t="shared" si="5"/>
        <v>10889318.000000197</v>
      </c>
      <c r="M19" s="28">
        <f t="shared" si="6"/>
        <v>757.20172449761469</v>
      </c>
      <c r="N19" s="29"/>
    </row>
    <row r="20" spans="1:14">
      <c r="A20" s="20"/>
      <c r="B20" s="22">
        <v>13</v>
      </c>
      <c r="C20" s="98">
        <v>33</v>
      </c>
      <c r="D20" s="99">
        <v>134</v>
      </c>
      <c r="E20" s="24">
        <v>3.9800000000000182</v>
      </c>
      <c r="F20" s="25">
        <f t="shared" si="0"/>
        <v>7960.0000000000364</v>
      </c>
      <c r="G20" s="26">
        <f t="shared" si="1"/>
        <v>8242580.0000000373</v>
      </c>
      <c r="H20" s="24">
        <v>0.83999999999997499</v>
      </c>
      <c r="I20" s="25">
        <f t="shared" si="2"/>
        <v>1679.99999999995</v>
      </c>
      <c r="J20" s="26">
        <f t="shared" si="3"/>
        <v>2609459.9999999222</v>
      </c>
      <c r="K20" s="24">
        <f t="shared" si="4"/>
        <v>10852039.999999959</v>
      </c>
      <c r="L20" s="27">
        <f t="shared" si="5"/>
        <v>11937243.999999955</v>
      </c>
      <c r="M20" s="28">
        <f t="shared" si="6"/>
        <v>830.07050970029593</v>
      </c>
      <c r="N20" s="29"/>
    </row>
    <row r="21" spans="1:14">
      <c r="A21" s="20"/>
      <c r="B21" s="22">
        <v>14</v>
      </c>
      <c r="C21" s="98">
        <v>35</v>
      </c>
      <c r="D21" s="99">
        <v>159</v>
      </c>
      <c r="E21" s="24">
        <v>4.1199999999998909</v>
      </c>
      <c r="F21" s="25">
        <f t="shared" si="0"/>
        <v>8239.9999999997817</v>
      </c>
      <c r="G21" s="26">
        <f t="shared" si="1"/>
        <v>8532519.9999997746</v>
      </c>
      <c r="H21" s="24">
        <v>0.85000000000002274</v>
      </c>
      <c r="I21" s="25">
        <f t="shared" si="2"/>
        <v>1700.0000000000455</v>
      </c>
      <c r="J21" s="26">
        <f t="shared" si="3"/>
        <v>2640525.0000000708</v>
      </c>
      <c r="K21" s="24">
        <f t="shared" si="4"/>
        <v>11173044.999999845</v>
      </c>
      <c r="L21" s="27">
        <f t="shared" si="5"/>
        <v>12290349.49999983</v>
      </c>
      <c r="M21" s="28">
        <f t="shared" si="6"/>
        <v>854.62412210554419</v>
      </c>
      <c r="N21" s="29"/>
    </row>
    <row r="22" spans="1:14">
      <c r="A22" s="20"/>
      <c r="B22" s="22">
        <v>15</v>
      </c>
      <c r="C22" s="95">
        <v>37</v>
      </c>
      <c r="D22" s="99">
        <v>165</v>
      </c>
      <c r="E22" s="24">
        <v>4.1900000000000546</v>
      </c>
      <c r="F22" s="25">
        <f t="shared" si="0"/>
        <v>8380.0000000001091</v>
      </c>
      <c r="G22" s="26">
        <f t="shared" si="1"/>
        <v>8677490.0000001136</v>
      </c>
      <c r="H22" s="24">
        <v>0.89999999999997726</v>
      </c>
      <c r="I22" s="25">
        <f t="shared" si="2"/>
        <v>1799.9999999999545</v>
      </c>
      <c r="J22" s="26">
        <f t="shared" si="3"/>
        <v>2795849.9999999292</v>
      </c>
      <c r="K22" s="24">
        <f t="shared" si="4"/>
        <v>11473340.000000043</v>
      </c>
      <c r="L22" s="27">
        <f t="shared" si="5"/>
        <v>12620674.000000048</v>
      </c>
      <c r="M22" s="28">
        <f t="shared" si="6"/>
        <v>877.5936304846706</v>
      </c>
      <c r="N22" s="29"/>
    </row>
    <row r="23" spans="1:14">
      <c r="A23" s="20"/>
      <c r="B23" s="22">
        <v>16</v>
      </c>
      <c r="C23" s="95">
        <v>44</v>
      </c>
      <c r="D23" s="99">
        <v>158</v>
      </c>
      <c r="E23" s="24">
        <v>3.9700000000000273</v>
      </c>
      <c r="F23" s="25">
        <f t="shared" si="0"/>
        <v>7940.0000000000546</v>
      </c>
      <c r="G23" s="26">
        <f t="shared" si="1"/>
        <v>8221870.0000000568</v>
      </c>
      <c r="H23" s="24">
        <v>0.82000000000005002</v>
      </c>
      <c r="I23" s="25">
        <f t="shared" si="2"/>
        <v>1640.0000000001</v>
      </c>
      <c r="J23" s="26">
        <f t="shared" si="3"/>
        <v>2547330.0000001555</v>
      </c>
      <c r="K23" s="24">
        <f t="shared" si="4"/>
        <v>10769200.000000212</v>
      </c>
      <c r="L23" s="27">
        <f t="shared" si="5"/>
        <v>11846120.000000235</v>
      </c>
      <c r="M23" s="28">
        <f t="shared" si="6"/>
        <v>823.73409359573293</v>
      </c>
      <c r="N23" s="29"/>
    </row>
    <row r="24" spans="1:14">
      <c r="A24" s="20"/>
      <c r="B24" s="22">
        <v>17</v>
      </c>
      <c r="C24" s="95">
        <v>44</v>
      </c>
      <c r="D24" s="99">
        <v>215</v>
      </c>
      <c r="E24" s="24">
        <v>4.0999999999999091</v>
      </c>
      <c r="F24" s="25">
        <f t="shared" si="0"/>
        <v>8199.9999999998181</v>
      </c>
      <c r="G24" s="26">
        <f t="shared" si="1"/>
        <v>8491099.9999998119</v>
      </c>
      <c r="H24" s="24">
        <v>0.88999999999998636</v>
      </c>
      <c r="I24" s="25">
        <f t="shared" si="2"/>
        <v>1779.9999999999727</v>
      </c>
      <c r="J24" s="26">
        <f t="shared" si="3"/>
        <v>2764784.9999999576</v>
      </c>
      <c r="K24" s="24">
        <f t="shared" si="4"/>
        <v>11255884.999999769</v>
      </c>
      <c r="L24" s="27">
        <f t="shared" si="5"/>
        <v>12381473.499999747</v>
      </c>
      <c r="M24" s="28">
        <f t="shared" si="6"/>
        <v>860.96053821012072</v>
      </c>
      <c r="N24" s="29"/>
    </row>
    <row r="25" spans="1:14">
      <c r="A25" s="20"/>
      <c r="B25" s="22">
        <v>18</v>
      </c>
      <c r="C25" s="96">
        <v>41</v>
      </c>
      <c r="D25" s="99">
        <v>171</v>
      </c>
      <c r="E25" s="24">
        <v>4.1300000000001091</v>
      </c>
      <c r="F25" s="25">
        <f t="shared" si="0"/>
        <v>8260.0000000002183</v>
      </c>
      <c r="G25" s="26">
        <f t="shared" si="1"/>
        <v>8553230.0000002254</v>
      </c>
      <c r="H25" s="24">
        <v>0.82999999999998408</v>
      </c>
      <c r="I25" s="25">
        <f t="shared" si="2"/>
        <v>1659.9999999999682</v>
      </c>
      <c r="J25" s="26">
        <f t="shared" si="3"/>
        <v>2578394.9999999506</v>
      </c>
      <c r="K25" s="24">
        <f t="shared" si="4"/>
        <v>11131625.000000175</v>
      </c>
      <c r="L25" s="27">
        <f t="shared" si="5"/>
        <v>12244787.500000194</v>
      </c>
      <c r="M25" s="28">
        <f t="shared" si="6"/>
        <v>851.45591405327821</v>
      </c>
      <c r="N25" s="29"/>
    </row>
    <row r="26" spans="1:14">
      <c r="A26" s="20"/>
      <c r="B26" s="22">
        <v>19</v>
      </c>
      <c r="C26" s="95">
        <v>34</v>
      </c>
      <c r="D26" s="99">
        <v>169</v>
      </c>
      <c r="E26" s="24">
        <v>4.0199999999999818</v>
      </c>
      <c r="F26" s="25">
        <f t="shared" si="0"/>
        <v>8039.9999999999636</v>
      </c>
      <c r="G26" s="26">
        <f t="shared" si="1"/>
        <v>8325419.9999999627</v>
      </c>
      <c r="H26" s="24">
        <v>0.83999999999997499</v>
      </c>
      <c r="I26" s="25">
        <f t="shared" si="2"/>
        <v>1679.99999999995</v>
      </c>
      <c r="J26" s="26">
        <f t="shared" si="3"/>
        <v>2609459.9999999222</v>
      </c>
      <c r="K26" s="24">
        <f t="shared" si="4"/>
        <v>10934879.999999885</v>
      </c>
      <c r="L26" s="27">
        <f t="shared" si="5"/>
        <v>12028367.999999873</v>
      </c>
      <c r="M26" s="28">
        <f t="shared" si="6"/>
        <v>836.40692580487269</v>
      </c>
      <c r="N26" s="29"/>
    </row>
    <row r="27" spans="1:14">
      <c r="A27" s="20"/>
      <c r="B27" s="22">
        <v>20</v>
      </c>
      <c r="C27" s="96">
        <v>33</v>
      </c>
      <c r="D27" s="99">
        <v>191</v>
      </c>
      <c r="E27" s="24">
        <v>4.0299999999999727</v>
      </c>
      <c r="F27" s="25">
        <f t="shared" si="0"/>
        <v>8059.9999999999454</v>
      </c>
      <c r="G27" s="26">
        <f t="shared" si="1"/>
        <v>8346129.9999999432</v>
      </c>
      <c r="H27" s="24">
        <v>0.81000000000000227</v>
      </c>
      <c r="I27" s="25">
        <f t="shared" si="2"/>
        <v>1620.0000000000045</v>
      </c>
      <c r="J27" s="26">
        <f t="shared" si="3"/>
        <v>2516265.000000007</v>
      </c>
      <c r="K27" s="24">
        <f t="shared" si="4"/>
        <v>10862394.99999995</v>
      </c>
      <c r="L27" s="27">
        <f t="shared" si="5"/>
        <v>11948634.499999946</v>
      </c>
      <c r="M27" s="28">
        <f t="shared" si="6"/>
        <v>830.86256171336811</v>
      </c>
      <c r="N27" s="29"/>
    </row>
    <row r="28" spans="1:14">
      <c r="A28" s="20"/>
      <c r="B28" s="22">
        <v>21</v>
      </c>
      <c r="C28" s="95">
        <v>30</v>
      </c>
      <c r="D28" s="99">
        <v>195</v>
      </c>
      <c r="E28" s="24">
        <v>3.8399999999999181</v>
      </c>
      <c r="F28" s="25">
        <f t="shared" si="0"/>
        <v>7679.9999999998363</v>
      </c>
      <c r="G28" s="26">
        <f t="shared" si="1"/>
        <v>7952639.9999998305</v>
      </c>
      <c r="H28" s="24">
        <v>0.80000000000001137</v>
      </c>
      <c r="I28" s="25">
        <f t="shared" si="2"/>
        <v>1600.0000000000227</v>
      </c>
      <c r="J28" s="26">
        <f t="shared" si="3"/>
        <v>2485200.0000000354</v>
      </c>
      <c r="K28" s="24">
        <f t="shared" si="4"/>
        <v>10437839.999999866</v>
      </c>
      <c r="L28" s="27">
        <f t="shared" si="5"/>
        <v>11481623.999999853</v>
      </c>
      <c r="M28" s="28">
        <f t="shared" si="6"/>
        <v>798.38842917737657</v>
      </c>
      <c r="N28" s="29"/>
    </row>
    <row r="29" spans="1:14">
      <c r="A29" s="20"/>
      <c r="B29" s="22">
        <v>22</v>
      </c>
      <c r="C29" s="96">
        <v>26</v>
      </c>
      <c r="D29" s="99">
        <v>188</v>
      </c>
      <c r="E29" s="24">
        <v>4.0800000000001546</v>
      </c>
      <c r="F29" s="25">
        <f t="shared" si="0"/>
        <v>8160.0000000003092</v>
      </c>
      <c r="G29" s="26">
        <f t="shared" si="1"/>
        <v>8449680.0000003204</v>
      </c>
      <c r="H29" s="24">
        <v>0.81999999999999318</v>
      </c>
      <c r="I29" s="25">
        <f t="shared" si="2"/>
        <v>1639.9999999999864</v>
      </c>
      <c r="J29" s="26">
        <f t="shared" si="3"/>
        <v>2547329.9999999786</v>
      </c>
      <c r="K29" s="24">
        <f t="shared" si="4"/>
        <v>10997010.000000298</v>
      </c>
      <c r="L29" s="27">
        <f t="shared" si="5"/>
        <v>12096711.00000033</v>
      </c>
      <c r="M29" s="28">
        <f t="shared" si="6"/>
        <v>841.15923788334123</v>
      </c>
      <c r="N29" s="29"/>
    </row>
    <row r="30" spans="1:14">
      <c r="A30" s="20"/>
      <c r="B30" s="22">
        <v>23</v>
      </c>
      <c r="C30" s="95">
        <v>36</v>
      </c>
      <c r="D30" s="99">
        <v>183</v>
      </c>
      <c r="E30" s="24">
        <v>3.9099999999998545</v>
      </c>
      <c r="F30" s="25">
        <f t="shared" si="0"/>
        <v>7819.999999999709</v>
      </c>
      <c r="G30" s="26">
        <f t="shared" si="1"/>
        <v>8097609.9999996983</v>
      </c>
      <c r="H30" s="24">
        <v>0.81999999999999318</v>
      </c>
      <c r="I30" s="25">
        <f t="shared" si="2"/>
        <v>1639.9999999999864</v>
      </c>
      <c r="J30" s="26">
        <f t="shared" si="3"/>
        <v>2547329.9999999786</v>
      </c>
      <c r="K30" s="24">
        <f t="shared" si="4"/>
        <v>10644939.999999676</v>
      </c>
      <c r="L30" s="27">
        <f t="shared" si="5"/>
        <v>11709433.999999644</v>
      </c>
      <c r="M30" s="28">
        <f t="shared" si="6"/>
        <v>814.22946943881823</v>
      </c>
      <c r="N30" s="29"/>
    </row>
    <row r="31" spans="1:14">
      <c r="A31" s="20"/>
      <c r="B31" s="22">
        <v>24</v>
      </c>
      <c r="C31" s="96">
        <v>40</v>
      </c>
      <c r="D31" s="99">
        <v>204</v>
      </c>
      <c r="E31" s="24">
        <v>3.8900000000001</v>
      </c>
      <c r="F31" s="25">
        <f t="shared" si="0"/>
        <v>7780.0000000002001</v>
      </c>
      <c r="G31" s="26">
        <f t="shared" si="1"/>
        <v>8056190.0000002068</v>
      </c>
      <c r="H31" s="24">
        <v>0.85000000000002274</v>
      </c>
      <c r="I31" s="25">
        <f t="shared" si="2"/>
        <v>1700.0000000000455</v>
      </c>
      <c r="J31" s="26">
        <f t="shared" si="3"/>
        <v>2640525.0000000708</v>
      </c>
      <c r="K31" s="24">
        <f t="shared" si="4"/>
        <v>10696715.000000278</v>
      </c>
      <c r="L31" s="27">
        <f t="shared" si="5"/>
        <v>11766386.500000305</v>
      </c>
      <c r="M31" s="28">
        <f t="shared" si="6"/>
        <v>818.18972950422813</v>
      </c>
      <c r="N31" s="29"/>
    </row>
    <row r="32" spans="1:14">
      <c r="A32" s="20"/>
      <c r="B32" s="22">
        <v>25</v>
      </c>
      <c r="C32" s="95">
        <v>38</v>
      </c>
      <c r="D32" s="99">
        <v>205</v>
      </c>
      <c r="E32" s="24">
        <v>3.8299999999999272</v>
      </c>
      <c r="F32" s="25">
        <f t="shared" si="0"/>
        <v>7659.9999999998545</v>
      </c>
      <c r="G32" s="26">
        <f t="shared" si="1"/>
        <v>7931929.9999998491</v>
      </c>
      <c r="H32" s="24">
        <v>0.82999999999998408</v>
      </c>
      <c r="I32" s="25">
        <f t="shared" si="2"/>
        <v>1659.9999999999682</v>
      </c>
      <c r="J32" s="26">
        <f t="shared" si="3"/>
        <v>2578394.9999999506</v>
      </c>
      <c r="K32" s="24">
        <f t="shared" si="4"/>
        <v>10510324.999999799</v>
      </c>
      <c r="L32" s="27">
        <f t="shared" si="5"/>
        <v>11561357.49999978</v>
      </c>
      <c r="M32" s="28">
        <f t="shared" si="6"/>
        <v>803.93279326888114</v>
      </c>
      <c r="N32" s="29"/>
    </row>
    <row r="33" spans="1:16">
      <c r="A33" s="20"/>
      <c r="B33" s="22">
        <v>26</v>
      </c>
      <c r="C33" s="95">
        <v>37</v>
      </c>
      <c r="D33" s="99">
        <v>210</v>
      </c>
      <c r="E33" s="24">
        <v>3.8300000000001546</v>
      </c>
      <c r="F33" s="25">
        <f t="shared" si="0"/>
        <v>7660.0000000003092</v>
      </c>
      <c r="G33" s="26">
        <f t="shared" si="1"/>
        <v>7931930.0000003204</v>
      </c>
      <c r="H33" s="24">
        <v>0.83000000000004093</v>
      </c>
      <c r="I33" s="25">
        <f t="shared" si="2"/>
        <v>1660.0000000000819</v>
      </c>
      <c r="J33" s="26">
        <f t="shared" si="3"/>
        <v>2578395.0000001271</v>
      </c>
      <c r="K33" s="24">
        <f t="shared" si="4"/>
        <v>10510325.000000447</v>
      </c>
      <c r="L33" s="27">
        <f t="shared" si="5"/>
        <v>11561357.500000494</v>
      </c>
      <c r="M33" s="28">
        <f t="shared" si="6"/>
        <v>803.93279326893082</v>
      </c>
      <c r="N33" s="29"/>
    </row>
    <row r="34" spans="1:16">
      <c r="A34" s="20"/>
      <c r="B34" s="22">
        <v>27</v>
      </c>
      <c r="C34" s="95">
        <v>27</v>
      </c>
      <c r="D34" s="99">
        <v>150</v>
      </c>
      <c r="E34" s="24">
        <v>3.3099999999999454</v>
      </c>
      <c r="F34" s="25">
        <f t="shared" si="0"/>
        <v>6619.9999999998909</v>
      </c>
      <c r="G34" s="26">
        <f t="shared" si="1"/>
        <v>6855009.9999998873</v>
      </c>
      <c r="H34" s="24">
        <v>0.81000000000000227</v>
      </c>
      <c r="I34" s="25">
        <f t="shared" si="2"/>
        <v>1620.0000000000045</v>
      </c>
      <c r="J34" s="26">
        <f t="shared" si="3"/>
        <v>2516265.000000007</v>
      </c>
      <c r="K34" s="24">
        <f t="shared" si="4"/>
        <v>9371274.9999998938</v>
      </c>
      <c r="L34" s="27">
        <f t="shared" si="5"/>
        <v>10308402.499999885</v>
      </c>
      <c r="M34" s="28">
        <f t="shared" si="6"/>
        <v>716.80707183087998</v>
      </c>
      <c r="N34" s="29"/>
    </row>
    <row r="35" spans="1:16">
      <c r="A35" s="20"/>
      <c r="B35" s="22">
        <v>28</v>
      </c>
      <c r="C35" s="95">
        <v>36</v>
      </c>
      <c r="D35" s="99">
        <v>133</v>
      </c>
      <c r="E35" s="24">
        <v>3.7200000000000273</v>
      </c>
      <c r="F35" s="25">
        <f t="shared" si="0"/>
        <v>7440.0000000000546</v>
      </c>
      <c r="G35" s="26">
        <f t="shared" si="1"/>
        <v>7704120.0000000568</v>
      </c>
      <c r="H35" s="24">
        <v>0.76999999999998181</v>
      </c>
      <c r="I35" s="25">
        <f t="shared" si="2"/>
        <v>1539.9999999999636</v>
      </c>
      <c r="J35" s="26">
        <f t="shared" si="3"/>
        <v>2392004.9999999437</v>
      </c>
      <c r="K35" s="24">
        <f t="shared" si="4"/>
        <v>10096125</v>
      </c>
      <c r="L35" s="27">
        <f t="shared" si="5"/>
        <v>11105737.5</v>
      </c>
      <c r="M35" s="28">
        <f t="shared" si="6"/>
        <v>772.25071274598429</v>
      </c>
      <c r="N35" s="29"/>
    </row>
    <row r="36" spans="1:16">
      <c r="A36" s="20"/>
      <c r="B36" s="22">
        <v>29</v>
      </c>
      <c r="C36" s="95">
        <v>42</v>
      </c>
      <c r="D36" s="99">
        <v>190</v>
      </c>
      <c r="E36" s="24">
        <v>3.7200000000000273</v>
      </c>
      <c r="F36" s="25">
        <f t="shared" si="0"/>
        <v>7440.0000000000546</v>
      </c>
      <c r="G36" s="26">
        <f t="shared" si="1"/>
        <v>7704120.0000000568</v>
      </c>
      <c r="H36" s="24">
        <v>0.82999999999998408</v>
      </c>
      <c r="I36" s="25">
        <f t="shared" si="2"/>
        <v>1659.9999999999682</v>
      </c>
      <c r="J36" s="26">
        <f t="shared" si="3"/>
        <v>2578394.9999999506</v>
      </c>
      <c r="K36" s="24">
        <f t="shared" si="4"/>
        <v>10282515.000000007</v>
      </c>
      <c r="L36" s="27">
        <f t="shared" si="5"/>
        <v>11310766.500000009</v>
      </c>
      <c r="M36" s="28">
        <f t="shared" si="6"/>
        <v>786.50764898129546</v>
      </c>
      <c r="N36" s="29"/>
    </row>
    <row r="37" spans="1:16">
      <c r="A37" s="20"/>
      <c r="B37" s="22">
        <v>30</v>
      </c>
      <c r="C37" s="95">
        <v>34</v>
      </c>
      <c r="D37" s="99">
        <v>214</v>
      </c>
      <c r="E37" s="24">
        <v>3.9099999999998545</v>
      </c>
      <c r="F37" s="25">
        <f t="shared" si="0"/>
        <v>7819.999999999709</v>
      </c>
      <c r="G37" s="26">
        <f>F37*1035.5</f>
        <v>8097609.9999996983</v>
      </c>
      <c r="H37" s="24">
        <v>0.81999999999999318</v>
      </c>
      <c r="I37" s="25">
        <f t="shared" si="2"/>
        <v>1639.9999999999864</v>
      </c>
      <c r="J37" s="26">
        <f t="shared" si="3"/>
        <v>2547329.9999999786</v>
      </c>
      <c r="K37" s="24">
        <f t="shared" si="4"/>
        <v>10644939.999999676</v>
      </c>
      <c r="L37" s="27">
        <f t="shared" si="5"/>
        <v>11709433.999999644</v>
      </c>
      <c r="M37" s="28">
        <f t="shared" si="6"/>
        <v>814.22946943881823</v>
      </c>
      <c r="N37" s="29"/>
    </row>
    <row r="38" spans="1:16">
      <c r="C38" s="30">
        <f>SUM(C8:C37)</f>
        <v>871</v>
      </c>
      <c r="D38" s="30">
        <f>SUM(D8:D37)</f>
        <v>4472</v>
      </c>
      <c r="E38" s="31">
        <v>3.2799999999999727</v>
      </c>
      <c r="F38" s="30">
        <f>SUM(F8:F37)</f>
        <v>232799.99999999974</v>
      </c>
      <c r="I38" s="30">
        <f>SUM(I8:I37)</f>
        <v>48839.999999999913</v>
      </c>
      <c r="L38" s="32">
        <f>SUM(L8:L37)</f>
        <v>348617642.99999952</v>
      </c>
      <c r="M38" s="33">
        <f>SUM(M8:M37)</f>
        <v>24241.543912106223</v>
      </c>
      <c r="N38" s="34"/>
      <c r="P38" s="35"/>
    </row>
    <row r="40" spans="1:16">
      <c r="G40" s="85" t="s">
        <v>28</v>
      </c>
      <c r="H40" s="86"/>
      <c r="I40" s="87">
        <f>F38+I38</f>
        <v>281639.99999999965</v>
      </c>
      <c r="M40" s="36"/>
      <c r="P40" s="37"/>
    </row>
    <row r="41" spans="1:16">
      <c r="M41" s="38"/>
    </row>
  </sheetData>
  <mergeCells count="17">
    <mergeCell ref="F6:F7"/>
    <mergeCell ref="G6:G7"/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16" workbookViewId="0">
      <selection activeCell="O40" sqref="O40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42578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42578125" customWidth="1"/>
    <col min="21" max="21" width="21.42578125" customWidth="1"/>
  </cols>
  <sheetData>
    <row r="1" spans="1:21" ht="15.95">
      <c r="B1" s="105" t="s">
        <v>29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21" ht="15.95">
      <c r="B2" s="105" t="s">
        <v>16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11">
        <v>44713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6"/>
    </row>
    <row r="5" spans="1:21">
      <c r="A5" s="17"/>
      <c r="B5" s="104" t="s">
        <v>17</v>
      </c>
      <c r="C5" s="104" t="s">
        <v>18</v>
      </c>
      <c r="D5" s="104" t="s">
        <v>13</v>
      </c>
      <c r="E5" s="112" t="s">
        <v>30</v>
      </c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3" t="s">
        <v>31</v>
      </c>
      <c r="R5" s="113"/>
      <c r="S5" s="18"/>
    </row>
    <row r="6" spans="1:21" s="19" customFormat="1">
      <c r="A6" s="17"/>
      <c r="B6" s="104"/>
      <c r="C6" s="104"/>
      <c r="D6" s="104"/>
      <c r="E6" s="112" t="s">
        <v>32</v>
      </c>
      <c r="F6" s="112"/>
      <c r="G6" s="112"/>
      <c r="H6" s="112" t="s">
        <v>33</v>
      </c>
      <c r="I6" s="112"/>
      <c r="J6" s="112"/>
      <c r="K6" s="112" t="s">
        <v>34</v>
      </c>
      <c r="L6" s="112"/>
      <c r="M6" s="112"/>
      <c r="N6" s="114" t="s">
        <v>35</v>
      </c>
      <c r="O6" s="114"/>
      <c r="P6" s="114"/>
      <c r="Q6" s="113"/>
      <c r="R6" s="113"/>
      <c r="S6" s="18"/>
    </row>
    <row r="7" spans="1:21" ht="24">
      <c r="A7" s="20"/>
      <c r="B7" s="104"/>
      <c r="C7" s="104"/>
      <c r="D7" s="104"/>
      <c r="E7" s="104" t="s">
        <v>36</v>
      </c>
      <c r="F7" s="109" t="s">
        <v>37</v>
      </c>
      <c r="G7" s="43" t="s">
        <v>38</v>
      </c>
      <c r="H7" s="104" t="s">
        <v>39</v>
      </c>
      <c r="I7" s="104" t="s">
        <v>37</v>
      </c>
      <c r="J7" s="43" t="s">
        <v>38</v>
      </c>
      <c r="K7" s="104" t="s">
        <v>36</v>
      </c>
      <c r="L7" s="104" t="s">
        <v>37</v>
      </c>
      <c r="M7" s="43" t="s">
        <v>40</v>
      </c>
      <c r="N7" s="104" t="s">
        <v>41</v>
      </c>
      <c r="O7" s="104" t="s">
        <v>37</v>
      </c>
      <c r="P7" s="43" t="s">
        <v>40</v>
      </c>
      <c r="Q7" s="113"/>
      <c r="R7" s="113"/>
      <c r="S7" s="21"/>
    </row>
    <row r="8" spans="1:21">
      <c r="A8" s="20"/>
      <c r="B8" s="104"/>
      <c r="C8" s="104"/>
      <c r="D8" s="104"/>
      <c r="E8" s="104"/>
      <c r="F8" s="110"/>
      <c r="G8" s="44">
        <v>15840</v>
      </c>
      <c r="H8" s="104"/>
      <c r="I8" s="104"/>
      <c r="J8" s="44">
        <f>G8</f>
        <v>15840</v>
      </c>
      <c r="K8" s="104"/>
      <c r="L8" s="104"/>
      <c r="M8" s="44">
        <f>J8</f>
        <v>15840</v>
      </c>
      <c r="N8" s="104"/>
      <c r="O8" s="104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14</v>
      </c>
      <c r="D9" s="47">
        <f>Electricity!D8</f>
        <v>80</v>
      </c>
      <c r="E9" s="93">
        <v>10067.799999999999</v>
      </c>
      <c r="F9" s="101">
        <v>61.82979999999413</v>
      </c>
      <c r="G9" s="49">
        <f>F9*$G$8</f>
        <v>979384.03199990699</v>
      </c>
      <c r="H9" s="48">
        <v>867.77</v>
      </c>
      <c r="I9" s="94">
        <v>25.215279999999961</v>
      </c>
      <c r="J9" s="49">
        <f>I9*$J$8</f>
        <v>399410.0351999994</v>
      </c>
      <c r="K9" s="48"/>
      <c r="L9" s="24">
        <v>0</v>
      </c>
      <c r="M9" s="25">
        <f>L9*$M$8</f>
        <v>0</v>
      </c>
      <c r="N9" s="48"/>
      <c r="O9" s="24">
        <v>7.14</v>
      </c>
      <c r="P9" s="50">
        <f>O9*$P$8</f>
        <v>113097.59999999999</v>
      </c>
      <c r="Q9" s="51">
        <f>P9+G9+J9+M9</f>
        <v>1491891.6671999064</v>
      </c>
      <c r="R9" s="52">
        <f>Q9/14381</f>
        <v>103.740467783875</v>
      </c>
      <c r="S9" s="21"/>
    </row>
    <row r="10" spans="1:21">
      <c r="A10" s="20"/>
      <c r="B10" s="22">
        <v>2</v>
      </c>
      <c r="C10" s="46">
        <f>Electricity!C9</f>
        <v>16</v>
      </c>
      <c r="D10" s="47">
        <f>Electricity!D9</f>
        <v>80</v>
      </c>
      <c r="E10" s="93">
        <v>10084.36</v>
      </c>
      <c r="F10" s="102">
        <v>66.703680000005264</v>
      </c>
      <c r="G10" s="49">
        <f>F10*$G$8</f>
        <v>1056586.2912000834</v>
      </c>
      <c r="H10" s="48">
        <v>873.8</v>
      </c>
      <c r="I10" s="94">
        <v>24.288839999999887</v>
      </c>
      <c r="J10" s="49">
        <f>I10*$J$8</f>
        <v>384735.2255999982</v>
      </c>
      <c r="K10" s="48"/>
      <c r="L10" s="24">
        <v>0</v>
      </c>
      <c r="M10" s="25">
        <f t="shared" ref="M10:M38" si="0">L10*$M$8</f>
        <v>0</v>
      </c>
      <c r="N10" s="48"/>
      <c r="O10" s="24">
        <v>7.14</v>
      </c>
      <c r="P10" s="50">
        <f>O10*$P$8</f>
        <v>113097.59999999999</v>
      </c>
      <c r="Q10" s="51">
        <f>J10+M10+G10+P10</f>
        <v>1554419.1168000817</v>
      </c>
      <c r="R10" s="52">
        <f t="shared" ref="R10:R38" si="1">Q10/14381</f>
        <v>108.08838862388441</v>
      </c>
      <c r="S10" s="21"/>
    </row>
    <row r="11" spans="1:21">
      <c r="A11" s="20"/>
      <c r="B11" s="22">
        <v>3</v>
      </c>
      <c r="C11" s="46">
        <f>Electricity!C10</f>
        <v>15</v>
      </c>
      <c r="D11" s="47">
        <f>Electricity!D10</f>
        <v>82</v>
      </c>
      <c r="E11" s="93">
        <v>10097.790000000001</v>
      </c>
      <c r="F11" s="102">
        <v>54.096040000001167</v>
      </c>
      <c r="G11" s="49">
        <f t="shared" ref="G11:G38" si="2">F11*$G$8</f>
        <v>856881.27360001847</v>
      </c>
      <c r="H11" s="48">
        <v>879.73</v>
      </c>
      <c r="I11" s="94">
        <v>23.886040000000254</v>
      </c>
      <c r="J11" s="49">
        <f t="shared" ref="J11:J38" si="3">I11*$J$8</f>
        <v>378354.87360000401</v>
      </c>
      <c r="K11" s="48"/>
      <c r="L11" s="24">
        <v>0</v>
      </c>
      <c r="M11" s="25">
        <f t="shared" si="0"/>
        <v>0</v>
      </c>
      <c r="N11" s="48"/>
      <c r="O11" s="24">
        <v>7.14</v>
      </c>
      <c r="P11" s="50">
        <f t="shared" ref="P11:P38" si="4">O11*$P$8</f>
        <v>113097.59999999999</v>
      </c>
      <c r="Q11" s="51">
        <f t="shared" ref="Q11:Q38" si="5">J11+M11+G11+P11</f>
        <v>1348333.7472000225</v>
      </c>
      <c r="R11" s="52">
        <f t="shared" si="1"/>
        <v>93.757996467562933</v>
      </c>
      <c r="S11" s="21"/>
    </row>
    <row r="12" spans="1:21">
      <c r="A12" s="20"/>
      <c r="B12" s="22">
        <v>4</v>
      </c>
      <c r="C12" s="46">
        <f>Electricity!C11</f>
        <v>18</v>
      </c>
      <c r="D12" s="47">
        <f>Electricity!D11</f>
        <v>108</v>
      </c>
      <c r="E12" s="93">
        <v>10114.26</v>
      </c>
      <c r="F12" s="102">
        <v>66.341159999997359</v>
      </c>
      <c r="G12" s="49">
        <f t="shared" si="2"/>
        <v>1050843.9743999583</v>
      </c>
      <c r="H12" s="48">
        <v>885.78</v>
      </c>
      <c r="I12" s="94">
        <v>24.369399999999814</v>
      </c>
      <c r="J12" s="49">
        <f t="shared" si="3"/>
        <v>386011.29599999706</v>
      </c>
      <c r="K12" s="48"/>
      <c r="L12" s="24">
        <v>0</v>
      </c>
      <c r="M12" s="25">
        <f t="shared" si="0"/>
        <v>0</v>
      </c>
      <c r="N12" s="48"/>
      <c r="O12" s="24">
        <v>7.14</v>
      </c>
      <c r="P12" s="50">
        <f t="shared" si="4"/>
        <v>113097.59999999999</v>
      </c>
      <c r="Q12" s="51">
        <f t="shared" si="5"/>
        <v>1549952.8703999554</v>
      </c>
      <c r="R12" s="52">
        <f t="shared" si="1"/>
        <v>107.77782284959011</v>
      </c>
      <c r="S12" s="21"/>
    </row>
    <row r="13" spans="1:21">
      <c r="A13" s="20"/>
      <c r="B13" s="22">
        <v>5</v>
      </c>
      <c r="C13" s="46">
        <f>Electricity!C12</f>
        <v>16</v>
      </c>
      <c r="D13" s="47">
        <f>Electricity!D12</f>
        <v>112</v>
      </c>
      <c r="E13" s="93">
        <v>10131.75</v>
      </c>
      <c r="F13" s="102">
        <v>70.449719999999118</v>
      </c>
      <c r="G13" s="49">
        <f t="shared" si="2"/>
        <v>1115923.5647999861</v>
      </c>
      <c r="H13" s="48">
        <v>892.37</v>
      </c>
      <c r="I13" s="94">
        <v>26.544520000000126</v>
      </c>
      <c r="J13" s="49">
        <f t="shared" si="3"/>
        <v>420465.19680000201</v>
      </c>
      <c r="K13" s="48"/>
      <c r="L13" s="24">
        <v>0</v>
      </c>
      <c r="M13" s="25">
        <f t="shared" si="0"/>
        <v>0</v>
      </c>
      <c r="N13" s="48"/>
      <c r="O13" s="24">
        <v>7.14</v>
      </c>
      <c r="P13" s="50">
        <f t="shared" si="4"/>
        <v>113097.59999999999</v>
      </c>
      <c r="Q13" s="51">
        <f t="shared" si="5"/>
        <v>1649486.3615999883</v>
      </c>
      <c r="R13" s="52">
        <f t="shared" si="1"/>
        <v>114.69900296224104</v>
      </c>
      <c r="S13" s="21"/>
    </row>
    <row r="14" spans="1:21">
      <c r="A14" s="20"/>
      <c r="B14" s="22">
        <v>6</v>
      </c>
      <c r="C14" s="46">
        <f>Electricity!C13</f>
        <v>12</v>
      </c>
      <c r="D14" s="47">
        <f>Electricity!D13</f>
        <v>76</v>
      </c>
      <c r="E14" s="93">
        <v>10148.85</v>
      </c>
      <c r="F14" s="102">
        <v>68.878800000001462</v>
      </c>
      <c r="G14" s="49">
        <f t="shared" si="2"/>
        <v>1091040.1920000231</v>
      </c>
      <c r="H14" s="48">
        <v>898.69</v>
      </c>
      <c r="I14" s="94">
        <v>25.456960000000198</v>
      </c>
      <c r="J14" s="49">
        <f t="shared" si="3"/>
        <v>403238.24640000315</v>
      </c>
      <c r="K14" s="48"/>
      <c r="L14" s="24">
        <v>0</v>
      </c>
      <c r="M14" s="25">
        <f t="shared" si="0"/>
        <v>0</v>
      </c>
      <c r="N14" s="48"/>
      <c r="O14" s="24">
        <v>7.14</v>
      </c>
      <c r="P14" s="50">
        <f t="shared" si="4"/>
        <v>113097.59999999999</v>
      </c>
      <c r="Q14" s="51">
        <f t="shared" si="5"/>
        <v>1607376.0384000263</v>
      </c>
      <c r="R14" s="52">
        <f t="shared" si="1"/>
        <v>111.77081137612309</v>
      </c>
      <c r="S14" s="21"/>
    </row>
    <row r="15" spans="1:21">
      <c r="A15" s="20"/>
      <c r="B15" s="22">
        <v>7</v>
      </c>
      <c r="C15" s="46">
        <f>Electricity!C14</f>
        <v>14</v>
      </c>
      <c r="D15" s="47">
        <f>Electricity!D14</f>
        <v>90</v>
      </c>
      <c r="E15" s="93">
        <v>10167.99</v>
      </c>
      <c r="F15" s="102">
        <v>77.095919999997648</v>
      </c>
      <c r="G15" s="49">
        <f t="shared" si="2"/>
        <v>1221199.3727999628</v>
      </c>
      <c r="H15" s="48">
        <v>904.77</v>
      </c>
      <c r="I15" s="94">
        <v>24.490239999999705</v>
      </c>
      <c r="J15" s="49">
        <f t="shared" si="3"/>
        <v>387925.40159999533</v>
      </c>
      <c r="K15" s="48"/>
      <c r="L15" s="24">
        <v>0</v>
      </c>
      <c r="M15" s="25">
        <f t="shared" si="0"/>
        <v>0</v>
      </c>
      <c r="N15" s="48"/>
      <c r="O15" s="24">
        <v>7.14</v>
      </c>
      <c r="P15" s="50">
        <f t="shared" si="4"/>
        <v>113097.59999999999</v>
      </c>
      <c r="Q15" s="51">
        <f t="shared" si="5"/>
        <v>1722222.3743999582</v>
      </c>
      <c r="R15" s="52">
        <f t="shared" si="1"/>
        <v>119.75678842917448</v>
      </c>
      <c r="S15" s="21"/>
    </row>
    <row r="16" spans="1:21">
      <c r="A16" s="20"/>
      <c r="B16" s="22">
        <v>8</v>
      </c>
      <c r="C16" s="46">
        <f>Electricity!C15</f>
        <v>19</v>
      </c>
      <c r="D16" s="47">
        <f>Electricity!D15</f>
        <v>105</v>
      </c>
      <c r="E16" s="93">
        <v>10182.42</v>
      </c>
      <c r="F16" s="102">
        <v>58.124040000001166</v>
      </c>
      <c r="G16" s="49">
        <f t="shared" si="2"/>
        <v>920684.79360001849</v>
      </c>
      <c r="H16" s="48">
        <v>910.72</v>
      </c>
      <c r="I16" s="94">
        <v>23.966600000000181</v>
      </c>
      <c r="J16" s="49">
        <f t="shared" si="3"/>
        <v>379630.94400000287</v>
      </c>
      <c r="K16" s="48"/>
      <c r="L16" s="24">
        <v>0</v>
      </c>
      <c r="M16" s="25">
        <f t="shared" si="0"/>
        <v>0</v>
      </c>
      <c r="N16" s="48"/>
      <c r="O16" s="24">
        <v>7.14</v>
      </c>
      <c r="P16" s="50">
        <f t="shared" si="4"/>
        <v>113097.59999999999</v>
      </c>
      <c r="Q16" s="51">
        <f t="shared" si="5"/>
        <v>1413413.3376000214</v>
      </c>
      <c r="R16" s="52">
        <f t="shared" si="1"/>
        <v>98.283383464294658</v>
      </c>
      <c r="S16" s="21"/>
    </row>
    <row r="17" spans="1:19">
      <c r="A17" s="20"/>
      <c r="B17" s="22">
        <v>9</v>
      </c>
      <c r="C17" s="46">
        <f>Electricity!C16</f>
        <v>24</v>
      </c>
      <c r="D17" s="47">
        <f>Electricity!D16</f>
        <v>124</v>
      </c>
      <c r="E17" s="81">
        <v>10201.370000000001</v>
      </c>
      <c r="F17" s="102">
        <v>76.330600000002917</v>
      </c>
      <c r="G17" s="49">
        <f t="shared" si="2"/>
        <v>1209076.7040000462</v>
      </c>
      <c r="H17" s="48">
        <v>916.58</v>
      </c>
      <c r="I17" s="94">
        <v>23.604080000000053</v>
      </c>
      <c r="J17" s="49">
        <f t="shared" si="3"/>
        <v>373888.62720000086</v>
      </c>
      <c r="K17" s="48"/>
      <c r="L17" s="24">
        <v>0</v>
      </c>
      <c r="M17" s="25">
        <f t="shared" si="0"/>
        <v>0</v>
      </c>
      <c r="N17" s="48"/>
      <c r="O17" s="24">
        <v>7.14</v>
      </c>
      <c r="P17" s="50">
        <f t="shared" si="4"/>
        <v>113097.59999999999</v>
      </c>
      <c r="Q17" s="51">
        <f t="shared" si="5"/>
        <v>1696062.9312000473</v>
      </c>
      <c r="R17" s="52">
        <f t="shared" si="1"/>
        <v>117.93776032265123</v>
      </c>
      <c r="S17" s="21"/>
    </row>
    <row r="18" spans="1:19">
      <c r="A18" s="20"/>
      <c r="B18" s="22">
        <v>10</v>
      </c>
      <c r="C18" s="46">
        <f>Electricity!C17</f>
        <v>29</v>
      </c>
      <c r="D18" s="47">
        <f>Electricity!D17</f>
        <v>133</v>
      </c>
      <c r="E18" s="93">
        <v>10217.82</v>
      </c>
      <c r="F18" s="102">
        <v>66.260599999995591</v>
      </c>
      <c r="G18" s="49">
        <f t="shared" si="2"/>
        <v>1049567.9039999302</v>
      </c>
      <c r="H18" s="48">
        <v>922.62</v>
      </c>
      <c r="I18" s="94">
        <v>24.32911999999985</v>
      </c>
      <c r="J18" s="49">
        <f t="shared" si="3"/>
        <v>385373.2607999976</v>
      </c>
      <c r="K18" s="48"/>
      <c r="L18" s="24">
        <v>0</v>
      </c>
      <c r="M18" s="25">
        <f t="shared" si="0"/>
        <v>0</v>
      </c>
      <c r="N18" s="48"/>
      <c r="O18" s="24">
        <v>7.14</v>
      </c>
      <c r="P18" s="50">
        <f t="shared" si="4"/>
        <v>113097.59999999999</v>
      </c>
      <c r="Q18" s="51">
        <f t="shared" si="5"/>
        <v>1548038.7647999278</v>
      </c>
      <c r="R18" s="52">
        <f t="shared" si="1"/>
        <v>107.64472323203726</v>
      </c>
      <c r="S18" s="21"/>
    </row>
    <row r="19" spans="1:19">
      <c r="A19" s="20"/>
      <c r="B19" s="22">
        <v>11</v>
      </c>
      <c r="C19" s="46">
        <f>Electricity!C18</f>
        <v>24</v>
      </c>
      <c r="D19" s="47">
        <f>Electricity!D18</f>
        <v>130</v>
      </c>
      <c r="E19" s="93">
        <v>10232.77</v>
      </c>
      <c r="F19" s="102">
        <v>60.218600000002922</v>
      </c>
      <c r="G19" s="49">
        <f t="shared" si="2"/>
        <v>953862.62400004629</v>
      </c>
      <c r="H19" s="48">
        <v>929.73</v>
      </c>
      <c r="I19" s="94">
        <v>28.639080000000053</v>
      </c>
      <c r="J19" s="49">
        <f t="shared" si="3"/>
        <v>453643.02720000083</v>
      </c>
      <c r="K19" s="48"/>
      <c r="L19" s="24">
        <v>0</v>
      </c>
      <c r="M19" s="25">
        <f t="shared" si="0"/>
        <v>0</v>
      </c>
      <c r="N19" s="48"/>
      <c r="O19" s="24">
        <v>7.14</v>
      </c>
      <c r="P19" s="50">
        <f t="shared" si="4"/>
        <v>113097.59999999999</v>
      </c>
      <c r="Q19" s="51">
        <f t="shared" si="5"/>
        <v>1520603.2512000473</v>
      </c>
      <c r="R19" s="52">
        <f t="shared" si="1"/>
        <v>105.73696204714884</v>
      </c>
      <c r="S19" s="21"/>
    </row>
    <row r="20" spans="1:19">
      <c r="A20" s="20"/>
      <c r="B20" s="22">
        <v>12</v>
      </c>
      <c r="C20" s="46">
        <f>Electricity!C19</f>
        <v>23</v>
      </c>
      <c r="D20" s="47">
        <f>Electricity!D19</f>
        <v>118</v>
      </c>
      <c r="E20" s="93">
        <v>10248.5</v>
      </c>
      <c r="F20" s="102">
        <v>63.360439999998235</v>
      </c>
      <c r="G20" s="49">
        <f t="shared" si="2"/>
        <v>1003629.369599972</v>
      </c>
      <c r="H20" s="48">
        <v>936.12</v>
      </c>
      <c r="I20" s="94">
        <v>25.738919999999943</v>
      </c>
      <c r="J20" s="49">
        <f t="shared" si="3"/>
        <v>407704.49279999908</v>
      </c>
      <c r="K20" s="48"/>
      <c r="L20" s="24">
        <v>0</v>
      </c>
      <c r="M20" s="25">
        <f t="shared" si="0"/>
        <v>0</v>
      </c>
      <c r="N20" s="48"/>
      <c r="O20" s="24">
        <v>7.14</v>
      </c>
      <c r="P20" s="50">
        <f t="shared" si="4"/>
        <v>113097.59999999999</v>
      </c>
      <c r="Q20" s="51">
        <f t="shared" si="5"/>
        <v>1524431.4623999712</v>
      </c>
      <c r="R20" s="52">
        <f t="shared" si="1"/>
        <v>106.0031612822454</v>
      </c>
      <c r="S20" s="21"/>
    </row>
    <row r="21" spans="1:19">
      <c r="A21" s="20"/>
      <c r="B21" s="22">
        <v>13</v>
      </c>
      <c r="C21" s="46">
        <f>Electricity!C20</f>
        <v>33</v>
      </c>
      <c r="D21" s="47">
        <f>Electricity!D20</f>
        <v>134</v>
      </c>
      <c r="E21" s="93">
        <v>10266.620000000001</v>
      </c>
      <c r="F21" s="102">
        <v>72.987360000003221</v>
      </c>
      <c r="G21" s="49">
        <f t="shared" si="2"/>
        <v>1156119.7824000511</v>
      </c>
      <c r="H21" s="48">
        <v>942.67</v>
      </c>
      <c r="I21" s="94">
        <v>26.383399999999813</v>
      </c>
      <c r="J21" s="49">
        <f t="shared" si="3"/>
        <v>417913.05599999707</v>
      </c>
      <c r="K21" s="48"/>
      <c r="L21" s="24">
        <v>0</v>
      </c>
      <c r="M21" s="25">
        <f t="shared" si="0"/>
        <v>0</v>
      </c>
      <c r="N21" s="48"/>
      <c r="O21" s="24">
        <v>7.14</v>
      </c>
      <c r="P21" s="50">
        <f t="shared" si="4"/>
        <v>113097.59999999999</v>
      </c>
      <c r="Q21" s="51">
        <f t="shared" si="5"/>
        <v>1687130.4384000483</v>
      </c>
      <c r="R21" s="52">
        <f t="shared" si="1"/>
        <v>117.31662877408027</v>
      </c>
      <c r="S21" s="21"/>
    </row>
    <row r="22" spans="1:19">
      <c r="A22" s="20"/>
      <c r="B22" s="22">
        <v>14</v>
      </c>
      <c r="C22" s="46">
        <f>Electricity!C21</f>
        <v>35</v>
      </c>
      <c r="D22" s="47">
        <f>Electricity!D21</f>
        <v>159</v>
      </c>
      <c r="E22" s="93">
        <v>10284.52</v>
      </c>
      <c r="F22" s="102">
        <v>72.101199999998528</v>
      </c>
      <c r="G22" s="49">
        <f t="shared" si="2"/>
        <v>1142083.0079999766</v>
      </c>
      <c r="H22" s="48">
        <v>948.76</v>
      </c>
      <c r="I22" s="94">
        <v>24.530520000000127</v>
      </c>
      <c r="J22" s="49">
        <f t="shared" si="3"/>
        <v>388563.436800002</v>
      </c>
      <c r="K22" s="48"/>
      <c r="L22" s="24">
        <v>0</v>
      </c>
      <c r="M22" s="25">
        <f t="shared" si="0"/>
        <v>0</v>
      </c>
      <c r="N22" s="48"/>
      <c r="O22" s="24">
        <v>7.14</v>
      </c>
      <c r="P22" s="50">
        <f t="shared" si="4"/>
        <v>113097.59999999999</v>
      </c>
      <c r="Q22" s="51">
        <f t="shared" si="5"/>
        <v>1643744.0447999788</v>
      </c>
      <c r="R22" s="52">
        <f t="shared" si="1"/>
        <v>114.29970410958757</v>
      </c>
      <c r="S22" s="21"/>
    </row>
    <row r="23" spans="1:19">
      <c r="A23" s="20"/>
      <c r="B23" s="22">
        <v>15</v>
      </c>
      <c r="C23" s="46">
        <f>Electricity!C22</f>
        <v>37</v>
      </c>
      <c r="D23" s="47">
        <f>Electricity!D22</f>
        <v>165</v>
      </c>
      <c r="E23" s="93">
        <v>10303.709999999999</v>
      </c>
      <c r="F23" s="102">
        <v>77.297319999994713</v>
      </c>
      <c r="G23" s="49">
        <f t="shared" si="2"/>
        <v>1224389.5487999162</v>
      </c>
      <c r="H23" s="48">
        <v>954.4</v>
      </c>
      <c r="I23" s="94">
        <v>22.717919999999943</v>
      </c>
      <c r="J23" s="49">
        <f t="shared" si="3"/>
        <v>359851.85279999906</v>
      </c>
      <c r="K23" s="48"/>
      <c r="L23" s="24">
        <v>0</v>
      </c>
      <c r="M23" s="25">
        <f t="shared" si="0"/>
        <v>0</v>
      </c>
      <c r="N23" s="48"/>
      <c r="O23" s="24">
        <v>7.14</v>
      </c>
      <c r="P23" s="50">
        <f t="shared" si="4"/>
        <v>113097.59999999999</v>
      </c>
      <c r="Q23" s="51">
        <f t="shared" si="5"/>
        <v>1697339.0015999153</v>
      </c>
      <c r="R23" s="52">
        <f t="shared" si="1"/>
        <v>118.02649340100935</v>
      </c>
      <c r="S23" s="21"/>
    </row>
    <row r="24" spans="1:19">
      <c r="A24" s="20"/>
      <c r="B24" s="22">
        <v>16</v>
      </c>
      <c r="C24" s="46">
        <f>Electricity!C23</f>
        <v>44</v>
      </c>
      <c r="D24" s="47">
        <f>Electricity!D23</f>
        <v>158</v>
      </c>
      <c r="E24" s="93">
        <v>10322.35</v>
      </c>
      <c r="F24" s="102">
        <v>75.08192000000497</v>
      </c>
      <c r="G24" s="49">
        <f t="shared" si="2"/>
        <v>1189297.6128000787</v>
      </c>
      <c r="H24" s="48">
        <v>960.35</v>
      </c>
      <c r="I24" s="94">
        <v>23.966600000000181</v>
      </c>
      <c r="J24" s="49">
        <f t="shared" si="3"/>
        <v>379630.94400000287</v>
      </c>
      <c r="K24" s="48"/>
      <c r="L24" s="24">
        <v>0</v>
      </c>
      <c r="M24" s="25">
        <f t="shared" si="0"/>
        <v>0</v>
      </c>
      <c r="N24" s="48"/>
      <c r="O24" s="24">
        <v>7.14</v>
      </c>
      <c r="P24" s="50">
        <f t="shared" si="4"/>
        <v>113097.59999999999</v>
      </c>
      <c r="Q24" s="51">
        <f t="shared" si="5"/>
        <v>1682026.1568000817</v>
      </c>
      <c r="R24" s="52">
        <f t="shared" si="1"/>
        <v>116.96169646061342</v>
      </c>
      <c r="S24" s="21"/>
    </row>
    <row r="25" spans="1:19">
      <c r="A25" s="20"/>
      <c r="B25" s="22">
        <v>17</v>
      </c>
      <c r="C25" s="46">
        <f>Electricity!C24</f>
        <v>44</v>
      </c>
      <c r="D25" s="47">
        <f>Electricity!D24</f>
        <v>215</v>
      </c>
      <c r="E25" s="93">
        <v>10341.25</v>
      </c>
      <c r="F25" s="102">
        <v>76.129199999998534</v>
      </c>
      <c r="G25" s="49">
        <f t="shared" si="2"/>
        <v>1205886.5279999769</v>
      </c>
      <c r="H25" s="48">
        <v>967.44</v>
      </c>
      <c r="I25" s="94">
        <v>28.558520000000126</v>
      </c>
      <c r="J25" s="49">
        <f t="shared" si="3"/>
        <v>452366.95680000196</v>
      </c>
      <c r="K25" s="48"/>
      <c r="L25" s="24">
        <v>0</v>
      </c>
      <c r="M25" s="25">
        <f t="shared" si="0"/>
        <v>0</v>
      </c>
      <c r="N25" s="48"/>
      <c r="O25" s="24">
        <v>7.14</v>
      </c>
      <c r="P25" s="50">
        <f t="shared" si="4"/>
        <v>113097.59999999999</v>
      </c>
      <c r="Q25" s="51">
        <f t="shared" si="5"/>
        <v>1771351.0847999789</v>
      </c>
      <c r="R25" s="52">
        <f t="shared" si="1"/>
        <v>123.17301194631659</v>
      </c>
      <c r="S25" s="21"/>
    </row>
    <row r="26" spans="1:19">
      <c r="A26" s="20"/>
      <c r="B26" s="22">
        <v>18</v>
      </c>
      <c r="C26" s="46">
        <f>Electricity!C25</f>
        <v>41</v>
      </c>
      <c r="D26" s="47">
        <f>Electricity!D25</f>
        <v>171</v>
      </c>
      <c r="E26" s="93">
        <v>10357.76</v>
      </c>
      <c r="F26" s="102">
        <v>66.502280000000866</v>
      </c>
      <c r="G26" s="49">
        <f t="shared" si="2"/>
        <v>1053396.1152000136</v>
      </c>
      <c r="H26" s="48">
        <v>973.48</v>
      </c>
      <c r="I26" s="94">
        <v>24.32911999999985</v>
      </c>
      <c r="J26" s="49">
        <f t="shared" si="3"/>
        <v>385373.2607999976</v>
      </c>
      <c r="K26" s="48"/>
      <c r="L26" s="24">
        <v>0</v>
      </c>
      <c r="M26" s="25">
        <f t="shared" si="0"/>
        <v>0</v>
      </c>
      <c r="N26" s="48"/>
      <c r="O26" s="24">
        <v>7.14</v>
      </c>
      <c r="P26" s="50">
        <f t="shared" si="4"/>
        <v>113097.59999999999</v>
      </c>
      <c r="Q26" s="51">
        <f t="shared" si="5"/>
        <v>1551866.9760000114</v>
      </c>
      <c r="R26" s="52">
        <f t="shared" si="1"/>
        <v>107.91092246714494</v>
      </c>
      <c r="S26" s="21"/>
    </row>
    <row r="27" spans="1:19">
      <c r="A27" s="20"/>
      <c r="B27" s="22">
        <v>19</v>
      </c>
      <c r="C27" s="46">
        <f>Electricity!C26</f>
        <v>34</v>
      </c>
      <c r="D27" s="47">
        <f>Electricity!D26</f>
        <v>169</v>
      </c>
      <c r="E27" s="80">
        <v>10378.14</v>
      </c>
      <c r="F27" s="102">
        <v>82.090639999996768</v>
      </c>
      <c r="G27" s="49">
        <f t="shared" si="2"/>
        <v>1300315.7375999489</v>
      </c>
      <c r="H27" s="48">
        <v>979.78</v>
      </c>
      <c r="I27" s="94">
        <v>25.376399999999816</v>
      </c>
      <c r="J27" s="49">
        <f t="shared" si="3"/>
        <v>401962.17599999707</v>
      </c>
      <c r="K27" s="48"/>
      <c r="L27" s="24">
        <v>0</v>
      </c>
      <c r="M27" s="25">
        <f t="shared" si="0"/>
        <v>0</v>
      </c>
      <c r="N27" s="48"/>
      <c r="O27" s="24">
        <v>7.14</v>
      </c>
      <c r="P27" s="50">
        <f t="shared" si="4"/>
        <v>113097.59999999999</v>
      </c>
      <c r="Q27" s="51">
        <f t="shared" si="5"/>
        <v>1815375.5135999462</v>
      </c>
      <c r="R27" s="52">
        <f t="shared" si="1"/>
        <v>126.23430314998582</v>
      </c>
      <c r="S27" s="21"/>
    </row>
    <row r="28" spans="1:19">
      <c r="A28" s="20"/>
      <c r="B28" s="22">
        <v>20</v>
      </c>
      <c r="C28" s="46">
        <f>Electricity!C27</f>
        <v>33</v>
      </c>
      <c r="D28" s="47">
        <f>Electricity!D27</f>
        <v>191</v>
      </c>
      <c r="E28" s="80">
        <v>10397.23</v>
      </c>
      <c r="F28" s="102">
        <v>76.894520000000583</v>
      </c>
      <c r="G28" s="49">
        <f t="shared" si="2"/>
        <v>1218009.1968000091</v>
      </c>
      <c r="H28" s="48">
        <v>985.94</v>
      </c>
      <c r="I28" s="94">
        <v>24.812480000000328</v>
      </c>
      <c r="J28" s="49">
        <f t="shared" si="3"/>
        <v>393029.68320000521</v>
      </c>
      <c r="K28" s="48"/>
      <c r="L28" s="24">
        <v>0</v>
      </c>
      <c r="M28" s="25">
        <f t="shared" si="0"/>
        <v>0</v>
      </c>
      <c r="N28" s="48"/>
      <c r="O28" s="24">
        <v>7.14</v>
      </c>
      <c r="P28" s="50">
        <f t="shared" si="4"/>
        <v>113097.59999999999</v>
      </c>
      <c r="Q28" s="51">
        <f t="shared" si="5"/>
        <v>1724136.4800000144</v>
      </c>
      <c r="R28" s="52">
        <f t="shared" si="1"/>
        <v>119.88988804672933</v>
      </c>
      <c r="S28" s="21"/>
    </row>
    <row r="29" spans="1:19">
      <c r="A29" s="20"/>
      <c r="B29" s="22">
        <v>21</v>
      </c>
      <c r="C29" s="46">
        <f>Electricity!C28</f>
        <v>30</v>
      </c>
      <c r="D29" s="47">
        <f>Electricity!D28</f>
        <v>195</v>
      </c>
      <c r="E29" s="80">
        <v>10416.450000000001</v>
      </c>
      <c r="F29" s="102">
        <v>77.418160000004676</v>
      </c>
      <c r="G29" s="49">
        <f t="shared" si="2"/>
        <v>1226303.6544000742</v>
      </c>
      <c r="H29" s="48">
        <v>991.59</v>
      </c>
      <c r="I29" s="94">
        <v>22.758199999999906</v>
      </c>
      <c r="J29" s="49">
        <f t="shared" si="3"/>
        <v>360489.88799999852</v>
      </c>
      <c r="K29" s="48"/>
      <c r="L29" s="24">
        <v>0</v>
      </c>
      <c r="M29" s="25">
        <f t="shared" si="0"/>
        <v>0</v>
      </c>
      <c r="N29" s="48"/>
      <c r="O29" s="24">
        <v>7.14</v>
      </c>
      <c r="P29" s="50">
        <f t="shared" si="4"/>
        <v>113097.59999999999</v>
      </c>
      <c r="Q29" s="51">
        <f t="shared" si="5"/>
        <v>1699891.1424000729</v>
      </c>
      <c r="R29" s="52">
        <f t="shared" si="1"/>
        <v>118.20395955775487</v>
      </c>
      <c r="S29" s="21"/>
    </row>
    <row r="30" spans="1:19">
      <c r="A30" s="20"/>
      <c r="B30" s="22">
        <v>22</v>
      </c>
      <c r="C30" s="46">
        <f>Electricity!C29</f>
        <v>26</v>
      </c>
      <c r="D30" s="47">
        <f>Electricity!D29</f>
        <v>188</v>
      </c>
      <c r="E30" s="80">
        <v>10436.83</v>
      </c>
      <c r="F30" s="102">
        <v>82.090639999996768</v>
      </c>
      <c r="G30" s="49">
        <f t="shared" si="2"/>
        <v>1300315.7375999489</v>
      </c>
      <c r="H30" s="48">
        <v>997.55</v>
      </c>
      <c r="I30" s="94">
        <v>24.006879999999686</v>
      </c>
      <c r="J30" s="49">
        <f t="shared" si="3"/>
        <v>380268.97919999505</v>
      </c>
      <c r="K30" s="48"/>
      <c r="L30" s="24">
        <v>0</v>
      </c>
      <c r="M30" s="25">
        <f t="shared" si="0"/>
        <v>0</v>
      </c>
      <c r="N30" s="48"/>
      <c r="O30" s="24">
        <v>7.14</v>
      </c>
      <c r="P30" s="50">
        <f t="shared" si="4"/>
        <v>113097.59999999999</v>
      </c>
      <c r="Q30" s="51">
        <f t="shared" si="5"/>
        <v>1793682.316799944</v>
      </c>
      <c r="R30" s="52">
        <f t="shared" si="1"/>
        <v>124.72584081774174</v>
      </c>
      <c r="S30" s="21"/>
    </row>
    <row r="31" spans="1:19">
      <c r="A31" s="20"/>
      <c r="B31" s="22">
        <v>23</v>
      </c>
      <c r="C31" s="46">
        <f>Electricity!C30</f>
        <v>36</v>
      </c>
      <c r="D31" s="47">
        <f>Electricity!D30</f>
        <v>183</v>
      </c>
      <c r="E31" s="80">
        <v>10455.86</v>
      </c>
      <c r="F31" s="102">
        <v>76.652840000002627</v>
      </c>
      <c r="G31" s="49">
        <f t="shared" si="2"/>
        <v>1214180.9856000417</v>
      </c>
      <c r="H31" s="48">
        <v>1005.26</v>
      </c>
      <c r="I31" s="94">
        <v>31.055880000000144</v>
      </c>
      <c r="J31" s="49">
        <f t="shared" si="3"/>
        <v>491925.1392000023</v>
      </c>
      <c r="K31" s="48"/>
      <c r="L31" s="24">
        <v>0</v>
      </c>
      <c r="M31" s="25">
        <f t="shared" si="0"/>
        <v>0</v>
      </c>
      <c r="N31" s="48"/>
      <c r="O31" s="24">
        <v>7.14</v>
      </c>
      <c r="P31" s="50">
        <f t="shared" si="4"/>
        <v>113097.59999999999</v>
      </c>
      <c r="Q31" s="51">
        <f t="shared" si="5"/>
        <v>1819203.7248000442</v>
      </c>
      <c r="R31" s="52">
        <f t="shared" si="1"/>
        <v>126.50050238509452</v>
      </c>
      <c r="S31" s="21"/>
    </row>
    <row r="32" spans="1:19">
      <c r="A32" s="20"/>
      <c r="B32" s="22">
        <v>24</v>
      </c>
      <c r="C32" s="46">
        <f>Electricity!C31</f>
        <v>40</v>
      </c>
      <c r="D32" s="47">
        <f>Electricity!D31</f>
        <v>204</v>
      </c>
      <c r="E32" s="80">
        <v>10477.83</v>
      </c>
      <c r="F32" s="102">
        <v>88.495159999997355</v>
      </c>
      <c r="G32" s="49">
        <f t="shared" si="2"/>
        <v>1401763.3343999581</v>
      </c>
      <c r="H32" s="48">
        <v>1012.39</v>
      </c>
      <c r="I32" s="94">
        <v>28.719639999999977</v>
      </c>
      <c r="J32" s="49">
        <f t="shared" si="3"/>
        <v>454919.09759999963</v>
      </c>
      <c r="K32" s="48"/>
      <c r="L32" s="24">
        <v>0</v>
      </c>
      <c r="M32" s="25">
        <f t="shared" si="0"/>
        <v>0</v>
      </c>
      <c r="N32" s="48"/>
      <c r="O32" s="24">
        <v>7.14</v>
      </c>
      <c r="P32" s="50">
        <f t="shared" si="4"/>
        <v>113097.59999999999</v>
      </c>
      <c r="Q32" s="51">
        <f t="shared" si="5"/>
        <v>1969780.0319999577</v>
      </c>
      <c r="R32" s="52">
        <f t="shared" si="1"/>
        <v>136.97100563242876</v>
      </c>
      <c r="S32" s="21"/>
    </row>
    <row r="33" spans="1:21">
      <c r="A33" s="20"/>
      <c r="B33" s="22">
        <v>25</v>
      </c>
      <c r="C33" s="46">
        <f>Electricity!C32</f>
        <v>38</v>
      </c>
      <c r="D33" s="47">
        <f>Electricity!D32</f>
        <v>205</v>
      </c>
      <c r="E33" s="80">
        <v>10496.87</v>
      </c>
      <c r="F33" s="102">
        <v>76.693120000003503</v>
      </c>
      <c r="G33" s="49">
        <f t="shared" si="2"/>
        <v>1214819.0208000555</v>
      </c>
      <c r="H33" s="48">
        <v>1018.13</v>
      </c>
      <c r="I33" s="94">
        <v>23.120720000000034</v>
      </c>
      <c r="J33" s="49">
        <f t="shared" si="3"/>
        <v>366232.20480000053</v>
      </c>
      <c r="K33" s="48"/>
      <c r="L33" s="24">
        <v>0</v>
      </c>
      <c r="M33" s="25">
        <f t="shared" si="0"/>
        <v>0</v>
      </c>
      <c r="N33" s="48"/>
      <c r="O33" s="24">
        <v>7.14</v>
      </c>
      <c r="P33" s="50">
        <f t="shared" si="4"/>
        <v>113097.59999999999</v>
      </c>
      <c r="Q33" s="51">
        <f t="shared" si="5"/>
        <v>1694148.825600056</v>
      </c>
      <c r="R33" s="52">
        <f t="shared" si="1"/>
        <v>117.8046607051009</v>
      </c>
      <c r="S33" s="21"/>
    </row>
    <row r="34" spans="1:21">
      <c r="A34" s="20"/>
      <c r="B34" s="22">
        <v>26</v>
      </c>
      <c r="C34" s="46">
        <f>Electricity!C33</f>
        <v>37</v>
      </c>
      <c r="D34" s="47">
        <f>Electricity!D33</f>
        <v>210</v>
      </c>
      <c r="E34" s="80">
        <v>10515.98</v>
      </c>
      <c r="F34" s="102">
        <v>76.975079999995003</v>
      </c>
      <c r="G34" s="49">
        <f t="shared" si="2"/>
        <v>1219285.267199921</v>
      </c>
      <c r="H34" s="48">
        <v>1024.0899999999999</v>
      </c>
      <c r="I34" s="94">
        <v>24.006879999999686</v>
      </c>
      <c r="J34" s="49">
        <f t="shared" si="3"/>
        <v>380268.97919999505</v>
      </c>
      <c r="K34" s="48"/>
      <c r="L34" s="24">
        <v>0</v>
      </c>
      <c r="M34" s="25">
        <f t="shared" si="0"/>
        <v>0</v>
      </c>
      <c r="N34" s="48"/>
      <c r="O34" s="24">
        <v>7.14</v>
      </c>
      <c r="P34" s="50">
        <f t="shared" si="4"/>
        <v>113097.59999999999</v>
      </c>
      <c r="Q34" s="51">
        <f t="shared" si="5"/>
        <v>1712651.8463999161</v>
      </c>
      <c r="R34" s="52">
        <f t="shared" si="1"/>
        <v>119.09129034141688</v>
      </c>
      <c r="S34" s="21"/>
    </row>
    <row r="35" spans="1:21">
      <c r="A35" s="20"/>
      <c r="B35" s="22">
        <v>27</v>
      </c>
      <c r="C35" s="46">
        <f>Electricity!C34</f>
        <v>27</v>
      </c>
      <c r="D35" s="47">
        <f>Electricity!D34</f>
        <v>150</v>
      </c>
      <c r="E35" s="80">
        <v>10536.56</v>
      </c>
      <c r="F35" s="102">
        <v>82.896239999999693</v>
      </c>
      <c r="G35" s="49">
        <f t="shared" si="2"/>
        <v>1313076.4415999951</v>
      </c>
      <c r="H35" s="48">
        <v>1029.69</v>
      </c>
      <c r="I35" s="94">
        <v>22.556800000000546</v>
      </c>
      <c r="J35" s="49">
        <f t="shared" si="3"/>
        <v>357299.71200000867</v>
      </c>
      <c r="K35" s="48"/>
      <c r="L35" s="24">
        <v>0</v>
      </c>
      <c r="M35" s="25">
        <f t="shared" si="0"/>
        <v>0</v>
      </c>
      <c r="N35" s="48"/>
      <c r="O35" s="24">
        <v>7.14</v>
      </c>
      <c r="P35" s="50">
        <f t="shared" si="4"/>
        <v>113097.59999999999</v>
      </c>
      <c r="Q35" s="51">
        <f t="shared" si="5"/>
        <v>1783473.7536000039</v>
      </c>
      <c r="R35" s="52">
        <f t="shared" si="1"/>
        <v>124.01597619080759</v>
      </c>
      <c r="S35" s="21"/>
    </row>
    <row r="36" spans="1:21">
      <c r="A36" s="20"/>
      <c r="B36" s="22">
        <v>28</v>
      </c>
      <c r="C36" s="46">
        <f>Electricity!C35</f>
        <v>36</v>
      </c>
      <c r="D36" s="47">
        <f>Electricity!D35</f>
        <v>133</v>
      </c>
      <c r="E36" s="80">
        <v>10553.72</v>
      </c>
      <c r="F36" s="102">
        <v>69.120479999999404</v>
      </c>
      <c r="G36" s="49">
        <f t="shared" si="2"/>
        <v>1094868.4031999905</v>
      </c>
      <c r="H36" s="48">
        <v>1036.92</v>
      </c>
      <c r="I36" s="94">
        <v>29.122440000000068</v>
      </c>
      <c r="J36" s="49">
        <f t="shared" si="3"/>
        <v>461299.4496000011</v>
      </c>
      <c r="K36" s="48"/>
      <c r="L36" s="24">
        <v>0</v>
      </c>
      <c r="M36" s="25">
        <f t="shared" si="0"/>
        <v>0</v>
      </c>
      <c r="N36" s="48"/>
      <c r="O36" s="24">
        <v>7.14</v>
      </c>
      <c r="P36" s="50">
        <f t="shared" si="4"/>
        <v>113097.59999999999</v>
      </c>
      <c r="Q36" s="51">
        <f t="shared" si="5"/>
        <v>1669265.4527999917</v>
      </c>
      <c r="R36" s="52">
        <f t="shared" si="1"/>
        <v>116.07436567693426</v>
      </c>
      <c r="S36" s="21"/>
    </row>
    <row r="37" spans="1:21">
      <c r="A37" s="20"/>
      <c r="B37" s="22">
        <v>29</v>
      </c>
      <c r="C37" s="46">
        <f>Electricity!C36</f>
        <v>42</v>
      </c>
      <c r="D37" s="47">
        <f>Electricity!D36</f>
        <v>190</v>
      </c>
      <c r="E37" s="100">
        <v>10573.46</v>
      </c>
      <c r="F37" s="102">
        <v>79.512719999999106</v>
      </c>
      <c r="G37" s="49">
        <f t="shared" si="2"/>
        <v>1259481.4847999858</v>
      </c>
      <c r="H37" s="48">
        <v>1042.18</v>
      </c>
      <c r="I37" s="94">
        <v>21.187279999999962</v>
      </c>
      <c r="J37" s="49">
        <f t="shared" si="3"/>
        <v>335606.51519999938</v>
      </c>
      <c r="K37" s="48"/>
      <c r="L37" s="24">
        <v>0</v>
      </c>
      <c r="M37" s="25">
        <f t="shared" si="0"/>
        <v>0</v>
      </c>
      <c r="N37" s="48"/>
      <c r="O37" s="24">
        <v>7.14</v>
      </c>
      <c r="P37" s="50">
        <f t="shared" si="4"/>
        <v>113097.59999999999</v>
      </c>
      <c r="Q37" s="51">
        <f t="shared" si="5"/>
        <v>1708185.5999999852</v>
      </c>
      <c r="R37" s="52">
        <f t="shared" si="1"/>
        <v>118.78072456713616</v>
      </c>
      <c r="S37" s="21"/>
    </row>
    <row r="38" spans="1:21">
      <c r="A38" s="20"/>
      <c r="B38" s="22">
        <v>30</v>
      </c>
      <c r="C38" s="46">
        <f>Electricity!C37</f>
        <v>34</v>
      </c>
      <c r="D38" s="47">
        <f>Electricity!D37</f>
        <v>214</v>
      </c>
      <c r="E38" s="103">
        <v>10593.84</v>
      </c>
      <c r="F38" s="102">
        <v>82.0906400000041</v>
      </c>
      <c r="G38" s="49">
        <f t="shared" si="2"/>
        <v>1300315.7376000648</v>
      </c>
      <c r="H38" s="48">
        <v>1048.58</v>
      </c>
      <c r="I38" s="94">
        <v>25.779199999999449</v>
      </c>
      <c r="J38" s="49">
        <f t="shared" si="3"/>
        <v>408342.52799999126</v>
      </c>
      <c r="K38" s="48"/>
      <c r="L38" s="24">
        <v>0</v>
      </c>
      <c r="M38" s="25">
        <f t="shared" si="0"/>
        <v>0</v>
      </c>
      <c r="N38" s="48"/>
      <c r="O38" s="24">
        <v>7.14</v>
      </c>
      <c r="P38" s="50">
        <f t="shared" si="4"/>
        <v>113097.59999999999</v>
      </c>
      <c r="Q38" s="51">
        <f t="shared" si="5"/>
        <v>1821755.8656000562</v>
      </c>
      <c r="R38" s="52">
        <f t="shared" si="1"/>
        <v>126.67796854182993</v>
      </c>
      <c r="S38" s="21"/>
    </row>
    <row r="39" spans="1:21">
      <c r="C39" s="53">
        <f>SUM(C9:C38)</f>
        <v>871</v>
      </c>
      <c r="D39" s="53">
        <f>SUM(D9:D38)</f>
        <v>4472</v>
      </c>
      <c r="E39" s="30"/>
      <c r="F39" s="30">
        <f>SUM(F9:F38)</f>
        <v>2180.7189199999971</v>
      </c>
      <c r="G39" s="40"/>
      <c r="H39" s="40"/>
      <c r="I39" s="30">
        <f>SUM(I9:I38)</f>
        <v>753.51795999999979</v>
      </c>
      <c r="J39" s="40"/>
      <c r="K39" s="40"/>
      <c r="L39" s="30" t="s">
        <v>43</v>
      </c>
      <c r="M39" s="40"/>
      <c r="N39" s="39"/>
      <c r="O39" s="30">
        <f>SUM(O9:O38)</f>
        <v>214.19999999999982</v>
      </c>
      <c r="P39" s="40"/>
      <c r="Q39"/>
      <c r="R39" s="91">
        <f>SUM(R9:R38)</f>
        <v>3467.8562116125413</v>
      </c>
      <c r="U39" s="35"/>
    </row>
    <row r="40" spans="1:21">
      <c r="E40" s="54"/>
      <c r="F40" s="55"/>
      <c r="G40" s="41"/>
      <c r="H40" s="41"/>
      <c r="I40" s="41"/>
      <c r="J40" s="41"/>
      <c r="K40" s="41"/>
      <c r="L40" s="41"/>
      <c r="M40" s="41"/>
      <c r="N40" s="59" t="s">
        <v>44</v>
      </c>
      <c r="O40" s="63">
        <f>F39+I39+O39</f>
        <v>3148.4368799999966</v>
      </c>
      <c r="P40" s="56"/>
      <c r="Q40" s="30"/>
      <c r="R40" s="41"/>
      <c r="U40" s="37"/>
    </row>
    <row r="41" spans="1:21">
      <c r="B41" s="57"/>
      <c r="E41" s="39"/>
      <c r="F41" s="40"/>
      <c r="G41" s="40"/>
      <c r="H41" s="40"/>
      <c r="I41" s="40"/>
      <c r="J41" s="40"/>
      <c r="K41" s="40"/>
      <c r="L41" s="40"/>
      <c r="M41" s="41"/>
      <c r="N41" s="39"/>
      <c r="O41" s="40"/>
      <c r="P41" s="40"/>
      <c r="Q41" s="42"/>
      <c r="R41" s="58"/>
    </row>
    <row r="42" spans="1:21">
      <c r="E42" s="59"/>
      <c r="F42" s="59"/>
      <c r="G42" s="59"/>
      <c r="H42" s="59"/>
      <c r="I42" s="59"/>
      <c r="J42" s="59"/>
      <c r="K42" s="59"/>
      <c r="L42" s="59"/>
      <c r="M42" s="60"/>
      <c r="N42" s="59"/>
      <c r="O42" s="59"/>
      <c r="Q42" s="59"/>
      <c r="R42" s="61"/>
    </row>
    <row r="43" spans="1:21">
      <c r="R43" s="61"/>
    </row>
  </sheetData>
  <mergeCells count="20"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13" workbookViewId="0">
      <selection activeCell="L23" sqref="L23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4" style="76" customWidth="1"/>
    <col min="8" max="8" width="16.28515625" style="31" customWidth="1"/>
    <col min="9" max="9" width="2.42578125" customWidth="1"/>
    <col min="11" max="11" width="21.42578125" customWidth="1"/>
  </cols>
  <sheetData>
    <row r="1" spans="1:9" ht="15.95">
      <c r="B1" s="105" t="s">
        <v>45</v>
      </c>
      <c r="C1" s="105"/>
      <c r="D1" s="105"/>
      <c r="E1" s="105"/>
      <c r="F1" s="105"/>
      <c r="G1" s="105"/>
      <c r="H1" s="105"/>
    </row>
    <row r="2" spans="1:9" ht="15.95">
      <c r="B2" s="105" t="s">
        <v>16</v>
      </c>
      <c r="C2" s="105"/>
      <c r="D2" s="105"/>
      <c r="E2" s="105"/>
      <c r="F2" s="105"/>
      <c r="G2" s="105"/>
      <c r="H2" s="105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11">
        <v>44713</v>
      </c>
      <c r="C4" s="111"/>
      <c r="D4" s="111"/>
      <c r="E4" s="111"/>
      <c r="F4" s="111"/>
      <c r="G4" s="111"/>
      <c r="H4" s="111"/>
      <c r="I4" s="16"/>
    </row>
    <row r="5" spans="1:9">
      <c r="A5" s="66"/>
      <c r="B5" s="104" t="s">
        <v>46</v>
      </c>
      <c r="C5" s="104" t="s">
        <v>18</v>
      </c>
      <c r="D5" s="104" t="s">
        <v>13</v>
      </c>
      <c r="E5" s="104" t="s">
        <v>47</v>
      </c>
      <c r="F5" s="104"/>
      <c r="G5" s="104"/>
      <c r="H5" s="104" t="s">
        <v>23</v>
      </c>
      <c r="I5" s="18"/>
    </row>
    <row r="6" spans="1:9">
      <c r="A6" s="66"/>
      <c r="B6" s="104"/>
      <c r="C6" s="104"/>
      <c r="D6" s="104"/>
      <c r="E6" s="104"/>
      <c r="F6" s="104"/>
      <c r="G6" s="104"/>
      <c r="H6" s="104"/>
      <c r="I6" s="18"/>
    </row>
    <row r="7" spans="1:9" s="19" customFormat="1" ht="24">
      <c r="A7" s="66"/>
      <c r="B7" s="104"/>
      <c r="C7" s="104"/>
      <c r="D7" s="104"/>
      <c r="E7" s="43" t="s">
        <v>36</v>
      </c>
      <c r="F7" s="115" t="s">
        <v>48</v>
      </c>
      <c r="G7" s="67" t="s">
        <v>40</v>
      </c>
      <c r="H7" s="104"/>
      <c r="I7" s="18"/>
    </row>
    <row r="8" spans="1:9" s="19" customFormat="1">
      <c r="A8" s="66"/>
      <c r="B8" s="104"/>
      <c r="C8" s="104"/>
      <c r="D8" s="104"/>
      <c r="E8" s="68"/>
      <c r="F8" s="115"/>
      <c r="G8" s="67">
        <v>10700</v>
      </c>
      <c r="H8" s="104"/>
      <c r="I8" s="18"/>
    </row>
    <row r="9" spans="1:9">
      <c r="A9" s="69"/>
      <c r="B9" s="22">
        <v>1</v>
      </c>
      <c r="C9" s="23">
        <f>Gas!C9</f>
        <v>14</v>
      </c>
      <c r="D9" s="23">
        <f>Gas!D9</f>
        <v>80</v>
      </c>
      <c r="E9" s="70">
        <v>4555</v>
      </c>
      <c r="F9" s="71">
        <v>0</v>
      </c>
      <c r="G9" s="71">
        <f t="shared" ref="G9:G38" si="0">F9*$G$8</f>
        <v>0</v>
      </c>
      <c r="H9" s="83">
        <f>G9/14381</f>
        <v>0</v>
      </c>
      <c r="I9" s="21"/>
    </row>
    <row r="10" spans="1:9">
      <c r="A10" s="69"/>
      <c r="B10" s="22">
        <v>2</v>
      </c>
      <c r="C10" s="23">
        <f>Gas!C10</f>
        <v>16</v>
      </c>
      <c r="D10" s="23">
        <f>Gas!D10</f>
        <v>80</v>
      </c>
      <c r="E10" s="70">
        <v>4555</v>
      </c>
      <c r="F10" s="72">
        <f t="shared" ref="F10:F38" si="1">E10-E9</f>
        <v>0</v>
      </c>
      <c r="G10" s="71">
        <f>F10*$G$8</f>
        <v>0</v>
      </c>
      <c r="H10" s="83">
        <f t="shared" ref="H10:H38" si="2">G10/14381</f>
        <v>0</v>
      </c>
      <c r="I10" s="21"/>
    </row>
    <row r="11" spans="1:9">
      <c r="A11" s="69"/>
      <c r="B11" s="22">
        <v>3</v>
      </c>
      <c r="C11" s="23">
        <f>Gas!C11</f>
        <v>15</v>
      </c>
      <c r="D11" s="23">
        <f>Gas!D11</f>
        <v>82</v>
      </c>
      <c r="E11" s="70">
        <v>4555</v>
      </c>
      <c r="F11" s="72">
        <f t="shared" si="1"/>
        <v>0</v>
      </c>
      <c r="G11" s="71">
        <f t="shared" si="0"/>
        <v>0</v>
      </c>
      <c r="H11" s="83">
        <f t="shared" si="2"/>
        <v>0</v>
      </c>
      <c r="I11" s="21"/>
    </row>
    <row r="12" spans="1:9">
      <c r="A12" s="69"/>
      <c r="B12" s="22">
        <v>4</v>
      </c>
      <c r="C12" s="23">
        <f>Gas!C12</f>
        <v>18</v>
      </c>
      <c r="D12" s="23">
        <f>Gas!D12</f>
        <v>108</v>
      </c>
      <c r="E12" s="70">
        <v>4555</v>
      </c>
      <c r="F12" s="72">
        <f t="shared" si="1"/>
        <v>0</v>
      </c>
      <c r="G12" s="71">
        <f t="shared" si="0"/>
        <v>0</v>
      </c>
      <c r="H12" s="83">
        <f t="shared" si="2"/>
        <v>0</v>
      </c>
      <c r="I12" s="21"/>
    </row>
    <row r="13" spans="1:9">
      <c r="A13" s="69"/>
      <c r="B13" s="22">
        <v>5</v>
      </c>
      <c r="C13" s="23">
        <f>Gas!C13</f>
        <v>16</v>
      </c>
      <c r="D13" s="23">
        <f>Gas!D13</f>
        <v>112</v>
      </c>
      <c r="E13" s="70">
        <v>4555</v>
      </c>
      <c r="F13" s="72">
        <f t="shared" si="1"/>
        <v>0</v>
      </c>
      <c r="G13" s="71">
        <f t="shared" si="0"/>
        <v>0</v>
      </c>
      <c r="H13" s="83">
        <f t="shared" si="2"/>
        <v>0</v>
      </c>
      <c r="I13" s="21"/>
    </row>
    <row r="14" spans="1:9">
      <c r="A14" s="69"/>
      <c r="B14" s="22">
        <v>6</v>
      </c>
      <c r="C14" s="23">
        <f>Gas!C14</f>
        <v>12</v>
      </c>
      <c r="D14" s="23">
        <f>Gas!D14</f>
        <v>76</v>
      </c>
      <c r="E14" s="70">
        <v>4555</v>
      </c>
      <c r="F14" s="72">
        <f t="shared" si="1"/>
        <v>0</v>
      </c>
      <c r="G14" s="71">
        <f t="shared" si="0"/>
        <v>0</v>
      </c>
      <c r="H14" s="83">
        <f t="shared" si="2"/>
        <v>0</v>
      </c>
      <c r="I14" s="21"/>
    </row>
    <row r="15" spans="1:9">
      <c r="A15" s="69"/>
      <c r="B15" s="22">
        <v>7</v>
      </c>
      <c r="C15" s="23">
        <f>Gas!C15</f>
        <v>14</v>
      </c>
      <c r="D15" s="23">
        <f>Gas!D15</f>
        <v>90</v>
      </c>
      <c r="E15" s="70">
        <v>4564</v>
      </c>
      <c r="F15" s="72">
        <f t="shared" si="1"/>
        <v>9</v>
      </c>
      <c r="G15" s="71">
        <f t="shared" si="0"/>
        <v>96300</v>
      </c>
      <c r="H15" s="83">
        <f t="shared" si="2"/>
        <v>6.6963354425978725</v>
      </c>
      <c r="I15" s="21"/>
    </row>
    <row r="16" spans="1:9">
      <c r="A16" s="69"/>
      <c r="B16" s="22">
        <v>8</v>
      </c>
      <c r="C16" s="23">
        <f>Gas!C16</f>
        <v>19</v>
      </c>
      <c r="D16" s="23">
        <f>Gas!D16</f>
        <v>105</v>
      </c>
      <c r="E16" s="70">
        <v>4564</v>
      </c>
      <c r="F16" s="72">
        <f t="shared" si="1"/>
        <v>0</v>
      </c>
      <c r="G16" s="71">
        <f t="shared" si="0"/>
        <v>0</v>
      </c>
      <c r="H16" s="83">
        <f t="shared" si="2"/>
        <v>0</v>
      </c>
      <c r="I16" s="21"/>
    </row>
    <row r="17" spans="1:9">
      <c r="A17" s="69"/>
      <c r="B17" s="22">
        <v>9</v>
      </c>
      <c r="C17" s="23">
        <f>Gas!C17</f>
        <v>24</v>
      </c>
      <c r="D17" s="23">
        <f>Gas!D17</f>
        <v>124</v>
      </c>
      <c r="E17" s="70">
        <v>4564</v>
      </c>
      <c r="F17" s="72">
        <f t="shared" si="1"/>
        <v>0</v>
      </c>
      <c r="G17" s="71">
        <f t="shared" si="0"/>
        <v>0</v>
      </c>
      <c r="H17" s="83">
        <f t="shared" si="2"/>
        <v>0</v>
      </c>
      <c r="I17" s="21"/>
    </row>
    <row r="18" spans="1:9">
      <c r="A18" s="69"/>
      <c r="B18" s="22">
        <v>10</v>
      </c>
      <c r="C18" s="23">
        <f>Gas!C18</f>
        <v>29</v>
      </c>
      <c r="D18" s="23">
        <f>Gas!D18</f>
        <v>133</v>
      </c>
      <c r="E18" s="70">
        <v>4564</v>
      </c>
      <c r="F18" s="72">
        <f t="shared" si="1"/>
        <v>0</v>
      </c>
      <c r="G18" s="71">
        <f t="shared" si="0"/>
        <v>0</v>
      </c>
      <c r="H18" s="83">
        <f t="shared" si="2"/>
        <v>0</v>
      </c>
      <c r="I18" s="21"/>
    </row>
    <row r="19" spans="1:9">
      <c r="A19" s="69"/>
      <c r="B19" s="22">
        <v>11</v>
      </c>
      <c r="C19" s="23">
        <f>Gas!C19</f>
        <v>24</v>
      </c>
      <c r="D19" s="23">
        <f>Gas!D19</f>
        <v>130</v>
      </c>
      <c r="E19" s="70">
        <v>4564</v>
      </c>
      <c r="F19" s="72">
        <f t="shared" si="1"/>
        <v>0</v>
      </c>
      <c r="G19" s="71">
        <f t="shared" si="0"/>
        <v>0</v>
      </c>
      <c r="H19" s="83">
        <f t="shared" si="2"/>
        <v>0</v>
      </c>
      <c r="I19" s="21"/>
    </row>
    <row r="20" spans="1:9">
      <c r="A20" s="69"/>
      <c r="B20" s="22">
        <v>12</v>
      </c>
      <c r="C20" s="23">
        <f>Gas!C20</f>
        <v>23</v>
      </c>
      <c r="D20" s="23">
        <f>Gas!D20</f>
        <v>118</v>
      </c>
      <c r="E20" s="70">
        <v>4564</v>
      </c>
      <c r="F20" s="72">
        <f t="shared" si="1"/>
        <v>0</v>
      </c>
      <c r="G20" s="71">
        <f t="shared" si="0"/>
        <v>0</v>
      </c>
      <c r="H20" s="83">
        <f t="shared" si="2"/>
        <v>0</v>
      </c>
      <c r="I20" s="21"/>
    </row>
    <row r="21" spans="1:9">
      <c r="A21" s="69"/>
      <c r="B21" s="22">
        <v>13</v>
      </c>
      <c r="C21" s="23">
        <f>Gas!C21</f>
        <v>33</v>
      </c>
      <c r="D21" s="23">
        <f>Gas!D21</f>
        <v>134</v>
      </c>
      <c r="E21" s="70">
        <v>4564</v>
      </c>
      <c r="F21" s="72">
        <f t="shared" si="1"/>
        <v>0</v>
      </c>
      <c r="G21" s="71">
        <f t="shared" si="0"/>
        <v>0</v>
      </c>
      <c r="H21" s="83">
        <f t="shared" si="2"/>
        <v>0</v>
      </c>
      <c r="I21" s="21"/>
    </row>
    <row r="22" spans="1:9">
      <c r="A22" s="69"/>
      <c r="B22" s="22">
        <v>14</v>
      </c>
      <c r="C22" s="23">
        <f>Gas!C22</f>
        <v>35</v>
      </c>
      <c r="D22" s="23">
        <f>Gas!D22</f>
        <v>159</v>
      </c>
      <c r="E22" s="70">
        <v>4581</v>
      </c>
      <c r="F22" s="72">
        <f t="shared" si="1"/>
        <v>17</v>
      </c>
      <c r="G22" s="71">
        <f t="shared" si="0"/>
        <v>181900</v>
      </c>
      <c r="H22" s="83">
        <f t="shared" si="2"/>
        <v>12.648633613795981</v>
      </c>
      <c r="I22" s="21"/>
    </row>
    <row r="23" spans="1:9">
      <c r="A23" s="69"/>
      <c r="B23" s="22">
        <v>15</v>
      </c>
      <c r="C23" s="23">
        <f>Gas!C23</f>
        <v>37</v>
      </c>
      <c r="D23" s="23">
        <f>Gas!D23</f>
        <v>165</v>
      </c>
      <c r="E23" s="70">
        <v>4581</v>
      </c>
      <c r="F23" s="72">
        <f t="shared" si="1"/>
        <v>0</v>
      </c>
      <c r="G23" s="71">
        <f t="shared" si="0"/>
        <v>0</v>
      </c>
      <c r="H23" s="83">
        <f t="shared" si="2"/>
        <v>0</v>
      </c>
      <c r="I23" s="21"/>
    </row>
    <row r="24" spans="1:9">
      <c r="A24" s="69"/>
      <c r="B24" s="22">
        <v>16</v>
      </c>
      <c r="C24" s="23">
        <f>Gas!C24</f>
        <v>44</v>
      </c>
      <c r="D24" s="23">
        <f>Gas!D24</f>
        <v>158</v>
      </c>
      <c r="E24" s="70">
        <v>4581</v>
      </c>
      <c r="F24" s="72">
        <f t="shared" si="1"/>
        <v>0</v>
      </c>
      <c r="G24" s="71">
        <f t="shared" si="0"/>
        <v>0</v>
      </c>
      <c r="H24" s="83">
        <f t="shared" si="2"/>
        <v>0</v>
      </c>
      <c r="I24" s="21"/>
    </row>
    <row r="25" spans="1:9">
      <c r="A25" s="69"/>
      <c r="B25" s="22">
        <v>17</v>
      </c>
      <c r="C25" s="23">
        <f>Gas!C25</f>
        <v>44</v>
      </c>
      <c r="D25" s="23">
        <f>Gas!D25</f>
        <v>215</v>
      </c>
      <c r="E25" s="70">
        <v>4581</v>
      </c>
      <c r="F25" s="72">
        <f t="shared" si="1"/>
        <v>0</v>
      </c>
      <c r="G25" s="71">
        <f t="shared" si="0"/>
        <v>0</v>
      </c>
      <c r="H25" s="83">
        <f t="shared" si="2"/>
        <v>0</v>
      </c>
      <c r="I25" s="21"/>
    </row>
    <row r="26" spans="1:9">
      <c r="A26" s="69"/>
      <c r="B26" s="22">
        <v>18</v>
      </c>
      <c r="C26" s="23">
        <f>Gas!C26</f>
        <v>41</v>
      </c>
      <c r="D26" s="23">
        <f>Gas!D26</f>
        <v>171</v>
      </c>
      <c r="E26" s="70">
        <v>4581</v>
      </c>
      <c r="F26" s="72">
        <f t="shared" si="1"/>
        <v>0</v>
      </c>
      <c r="G26" s="71">
        <f t="shared" si="0"/>
        <v>0</v>
      </c>
      <c r="H26" s="83">
        <f t="shared" si="2"/>
        <v>0</v>
      </c>
      <c r="I26" s="21"/>
    </row>
    <row r="27" spans="1:9">
      <c r="A27" s="69"/>
      <c r="B27" s="22">
        <v>19</v>
      </c>
      <c r="C27" s="23">
        <f>Gas!C27</f>
        <v>34</v>
      </c>
      <c r="D27" s="23">
        <f>Gas!D27</f>
        <v>169</v>
      </c>
      <c r="E27" s="70">
        <v>4581</v>
      </c>
      <c r="F27" s="72">
        <f t="shared" si="1"/>
        <v>0</v>
      </c>
      <c r="G27" s="71">
        <f t="shared" si="0"/>
        <v>0</v>
      </c>
      <c r="H27" s="83">
        <f t="shared" si="2"/>
        <v>0</v>
      </c>
      <c r="I27" s="21"/>
    </row>
    <row r="28" spans="1:9">
      <c r="A28" s="69"/>
      <c r="B28" s="22">
        <v>20</v>
      </c>
      <c r="C28" s="23">
        <f>Gas!C28</f>
        <v>33</v>
      </c>
      <c r="D28" s="23">
        <f>Gas!D28</f>
        <v>191</v>
      </c>
      <c r="E28" s="70">
        <v>4594</v>
      </c>
      <c r="F28" s="72">
        <f t="shared" si="1"/>
        <v>13</v>
      </c>
      <c r="G28" s="71">
        <f t="shared" si="0"/>
        <v>139100</v>
      </c>
      <c r="H28" s="83">
        <f t="shared" si="2"/>
        <v>9.6724845281969269</v>
      </c>
      <c r="I28" s="21"/>
    </row>
    <row r="29" spans="1:9">
      <c r="A29" s="69"/>
      <c r="B29" s="22">
        <v>21</v>
      </c>
      <c r="C29" s="23">
        <f>Gas!C29</f>
        <v>30</v>
      </c>
      <c r="D29" s="23">
        <f>Gas!D29</f>
        <v>195</v>
      </c>
      <c r="E29" s="70">
        <v>4594</v>
      </c>
      <c r="F29" s="72">
        <f t="shared" si="1"/>
        <v>0</v>
      </c>
      <c r="G29" s="71">
        <f t="shared" si="0"/>
        <v>0</v>
      </c>
      <c r="H29" s="83">
        <f t="shared" si="2"/>
        <v>0</v>
      </c>
      <c r="I29" s="21"/>
    </row>
    <row r="30" spans="1:9">
      <c r="A30" s="69"/>
      <c r="B30" s="22">
        <v>22</v>
      </c>
      <c r="C30" s="23">
        <f>Gas!C30</f>
        <v>26</v>
      </c>
      <c r="D30" s="23">
        <f>Gas!D30</f>
        <v>188</v>
      </c>
      <c r="E30" s="70">
        <v>4594</v>
      </c>
      <c r="F30" s="72">
        <f t="shared" si="1"/>
        <v>0</v>
      </c>
      <c r="G30" s="71">
        <f t="shared" si="0"/>
        <v>0</v>
      </c>
      <c r="H30" s="83">
        <f t="shared" si="2"/>
        <v>0</v>
      </c>
      <c r="I30" s="21"/>
    </row>
    <row r="31" spans="1:9">
      <c r="A31" s="69"/>
      <c r="B31" s="22">
        <v>23</v>
      </c>
      <c r="C31" s="23">
        <f>Gas!C31</f>
        <v>36</v>
      </c>
      <c r="D31" s="23">
        <f>Gas!D31</f>
        <v>183</v>
      </c>
      <c r="E31" s="70">
        <v>4594</v>
      </c>
      <c r="F31" s="72">
        <f t="shared" si="1"/>
        <v>0</v>
      </c>
      <c r="G31" s="71">
        <f t="shared" si="0"/>
        <v>0</v>
      </c>
      <c r="H31" s="83">
        <f t="shared" si="2"/>
        <v>0</v>
      </c>
      <c r="I31" s="21"/>
    </row>
    <row r="32" spans="1:9">
      <c r="A32" s="69"/>
      <c r="B32" s="22">
        <v>24</v>
      </c>
      <c r="C32" s="23">
        <f>Gas!C32</f>
        <v>40</v>
      </c>
      <c r="D32" s="23">
        <f>Gas!D32</f>
        <v>204</v>
      </c>
      <c r="E32" s="70">
        <v>4594</v>
      </c>
      <c r="F32" s="72">
        <f t="shared" si="1"/>
        <v>0</v>
      </c>
      <c r="G32" s="71"/>
      <c r="H32" s="83">
        <f t="shared" si="2"/>
        <v>0</v>
      </c>
      <c r="I32" s="21"/>
    </row>
    <row r="33" spans="1:11">
      <c r="A33" s="69"/>
      <c r="B33" s="22">
        <v>25</v>
      </c>
      <c r="C33" s="23">
        <f>Gas!C33</f>
        <v>38</v>
      </c>
      <c r="D33" s="23">
        <f>Gas!D33</f>
        <v>205</v>
      </c>
      <c r="E33" s="70">
        <v>4594</v>
      </c>
      <c r="F33" s="72">
        <f t="shared" si="1"/>
        <v>0</v>
      </c>
      <c r="G33" s="71">
        <f t="shared" si="0"/>
        <v>0</v>
      </c>
      <c r="H33" s="83">
        <f t="shared" si="2"/>
        <v>0</v>
      </c>
      <c r="I33" s="21"/>
    </row>
    <row r="34" spans="1:11">
      <c r="A34" s="69"/>
      <c r="B34" s="22">
        <v>26</v>
      </c>
      <c r="C34" s="23">
        <f>Gas!C34</f>
        <v>37</v>
      </c>
      <c r="D34" s="23">
        <f>Gas!D34</f>
        <v>210</v>
      </c>
      <c r="E34" s="70">
        <v>4594</v>
      </c>
      <c r="F34" s="72">
        <f t="shared" si="1"/>
        <v>0</v>
      </c>
      <c r="G34" s="71">
        <f t="shared" si="0"/>
        <v>0</v>
      </c>
      <c r="H34" s="83">
        <f t="shared" si="2"/>
        <v>0</v>
      </c>
      <c r="I34" s="21"/>
    </row>
    <row r="35" spans="1:11">
      <c r="A35" s="69"/>
      <c r="B35" s="22">
        <v>27</v>
      </c>
      <c r="C35" s="23">
        <f>Gas!C35</f>
        <v>27</v>
      </c>
      <c r="D35" s="23">
        <f>Gas!D35</f>
        <v>150</v>
      </c>
      <c r="E35" s="70">
        <v>4970</v>
      </c>
      <c r="F35" s="72">
        <f t="shared" si="1"/>
        <v>376</v>
      </c>
      <c r="G35" s="71">
        <f t="shared" si="0"/>
        <v>4023200</v>
      </c>
      <c r="H35" s="83">
        <f t="shared" si="2"/>
        <v>279.75801404631113</v>
      </c>
      <c r="I35" s="21"/>
    </row>
    <row r="36" spans="1:11">
      <c r="A36" s="69"/>
      <c r="B36" s="22">
        <v>28</v>
      </c>
      <c r="C36" s="23">
        <f>Gas!C36</f>
        <v>36</v>
      </c>
      <c r="D36" s="23">
        <f>Gas!D36</f>
        <v>133</v>
      </c>
      <c r="E36" s="70">
        <v>4970</v>
      </c>
      <c r="F36" s="72">
        <f t="shared" si="1"/>
        <v>0</v>
      </c>
      <c r="G36" s="71">
        <f t="shared" si="0"/>
        <v>0</v>
      </c>
      <c r="H36" s="83">
        <f t="shared" si="2"/>
        <v>0</v>
      </c>
      <c r="I36" s="21"/>
    </row>
    <row r="37" spans="1:11">
      <c r="A37" s="69"/>
      <c r="B37" s="22">
        <v>29</v>
      </c>
      <c r="C37" s="23">
        <f>Gas!C37</f>
        <v>42</v>
      </c>
      <c r="D37" s="23">
        <f>Gas!D37</f>
        <v>190</v>
      </c>
      <c r="E37" s="70">
        <v>5079</v>
      </c>
      <c r="F37" s="72">
        <f t="shared" si="1"/>
        <v>109</v>
      </c>
      <c r="G37" s="71">
        <f t="shared" si="0"/>
        <v>1166300</v>
      </c>
      <c r="H37" s="83">
        <f t="shared" si="2"/>
        <v>81.100062582574225</v>
      </c>
      <c r="I37" s="21"/>
    </row>
    <row r="38" spans="1:11">
      <c r="A38" s="69"/>
      <c r="B38" s="22">
        <v>30</v>
      </c>
      <c r="C38" s="23">
        <f>Gas!C38</f>
        <v>34</v>
      </c>
      <c r="D38" s="23">
        <f>Gas!D38</f>
        <v>214</v>
      </c>
      <c r="E38" s="70">
        <v>5079</v>
      </c>
      <c r="F38" s="72">
        <f t="shared" si="1"/>
        <v>0</v>
      </c>
      <c r="G38" s="71">
        <f t="shared" si="0"/>
        <v>0</v>
      </c>
      <c r="H38" s="83">
        <f t="shared" si="2"/>
        <v>0</v>
      </c>
      <c r="I38" s="21"/>
    </row>
    <row r="39" spans="1:11">
      <c r="C39" s="30">
        <f>SUM(C9:C38)</f>
        <v>871</v>
      </c>
      <c r="D39" s="30">
        <f>SUM(D9:D38)</f>
        <v>4472</v>
      </c>
      <c r="E39" s="30"/>
      <c r="F39" s="30">
        <f>SUM(F9:F38)</f>
        <v>524</v>
      </c>
      <c r="G39" s="30"/>
      <c r="H39" s="73">
        <f>SUM(H9:H38)</f>
        <v>389.87553021347617</v>
      </c>
      <c r="K39" s="35"/>
    </row>
    <row r="40" spans="1:11">
      <c r="E40" s="30"/>
      <c r="F40" s="74"/>
      <c r="G40" s="74"/>
      <c r="H40" s="41"/>
    </row>
    <row r="41" spans="1:11">
      <c r="E41" s="59"/>
      <c r="F41" s="75"/>
      <c r="G41" s="75"/>
    </row>
    <row r="42" spans="1:11">
      <c r="E42" s="59"/>
      <c r="F42" s="75"/>
      <c r="G42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2"/>
  <sheetViews>
    <sheetView topLeftCell="A33" workbookViewId="0">
      <selection activeCell="H40" sqref="H40"/>
    </sheetView>
  </sheetViews>
  <sheetFormatPr defaultColWidth="8.85546875" defaultRowHeight="15"/>
  <cols>
    <col min="1" max="1" width="2.42578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42578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42578125" customWidth="1"/>
    <col min="15" max="15" width="20.42578125" customWidth="1"/>
  </cols>
  <sheetData>
    <row r="2" spans="1:13" ht="15.95">
      <c r="B2" s="105" t="s">
        <v>49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3" ht="15.95">
      <c r="B3" s="105" t="s">
        <v>16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106">
        <v>44713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6"/>
    </row>
    <row r="6" spans="1:13">
      <c r="A6" s="17"/>
      <c r="B6" s="104">
        <v>3</v>
      </c>
      <c r="C6" s="104" t="s">
        <v>50</v>
      </c>
      <c r="D6" s="104" t="s">
        <v>13</v>
      </c>
      <c r="E6" s="112" t="s">
        <v>51</v>
      </c>
      <c r="F6" s="112"/>
      <c r="G6" s="114" t="s">
        <v>52</v>
      </c>
      <c r="H6" s="114"/>
      <c r="I6" s="114"/>
      <c r="J6" s="114"/>
      <c r="K6" s="104" t="s">
        <v>53</v>
      </c>
      <c r="L6" s="104" t="s">
        <v>54</v>
      </c>
      <c r="M6" s="18"/>
    </row>
    <row r="7" spans="1:13" s="19" customFormat="1">
      <c r="A7" s="17"/>
      <c r="B7" s="104"/>
      <c r="C7" s="104"/>
      <c r="D7" s="104"/>
      <c r="E7" s="104" t="s">
        <v>55</v>
      </c>
      <c r="F7" s="104" t="s">
        <v>56</v>
      </c>
      <c r="G7" s="104" t="s">
        <v>55</v>
      </c>
      <c r="H7" s="104" t="s">
        <v>57</v>
      </c>
      <c r="I7" s="104" t="s">
        <v>55</v>
      </c>
      <c r="J7" s="104" t="s">
        <v>58</v>
      </c>
      <c r="K7" s="104"/>
      <c r="L7" s="104"/>
      <c r="M7" s="18"/>
    </row>
    <row r="8" spans="1:13">
      <c r="A8" s="20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21"/>
    </row>
    <row r="9" spans="1:13">
      <c r="A9" s="20"/>
      <c r="B9" s="22">
        <v>1</v>
      </c>
      <c r="C9" s="23">
        <f>'Fuel Diesel'!C9</f>
        <v>14</v>
      </c>
      <c r="D9" s="23">
        <f>'Fuel Diesel'!D9</f>
        <v>80</v>
      </c>
      <c r="E9" s="24">
        <v>0</v>
      </c>
      <c r="F9" s="26">
        <f>E9*13582</f>
        <v>0</v>
      </c>
      <c r="G9" s="24">
        <v>66</v>
      </c>
      <c r="H9" s="26">
        <f>G9*4000</f>
        <v>264000</v>
      </c>
      <c r="I9" s="24">
        <v>110</v>
      </c>
      <c r="J9" s="26">
        <f>I9*4000</f>
        <v>440000</v>
      </c>
      <c r="K9" s="24">
        <f t="shared" ref="K9:K38" si="0">F9+H9+J9</f>
        <v>704000</v>
      </c>
      <c r="L9" s="77">
        <f>K9/14381</f>
        <v>48.953480286489118</v>
      </c>
      <c r="M9" s="21"/>
    </row>
    <row r="10" spans="1:13">
      <c r="A10" s="20"/>
      <c r="B10" s="22">
        <v>2</v>
      </c>
      <c r="C10" s="23">
        <f>'Fuel Diesel'!C10</f>
        <v>16</v>
      </c>
      <c r="D10" s="23">
        <f>'Fuel Diesel'!D10</f>
        <v>80</v>
      </c>
      <c r="E10" s="24">
        <v>0</v>
      </c>
      <c r="F10" s="26">
        <f>E10*13582</f>
        <v>0</v>
      </c>
      <c r="G10" s="24">
        <v>65</v>
      </c>
      <c r="H10" s="26">
        <f>G10*4000</f>
        <v>260000</v>
      </c>
      <c r="I10" s="24">
        <v>108</v>
      </c>
      <c r="J10" s="26">
        <f>I10*4000</f>
        <v>432000</v>
      </c>
      <c r="K10" s="24">
        <f t="shared" si="0"/>
        <v>692000</v>
      </c>
      <c r="L10" s="77">
        <f t="shared" ref="L10:L38" si="1">K10/14381</f>
        <v>48.119045963423964</v>
      </c>
      <c r="M10" s="21"/>
    </row>
    <row r="11" spans="1:13">
      <c r="A11" s="20"/>
      <c r="B11" s="22">
        <v>3</v>
      </c>
      <c r="C11" s="23">
        <f>'Fuel Diesel'!C11</f>
        <v>15</v>
      </c>
      <c r="D11" s="23">
        <f>'Fuel Diesel'!D11</f>
        <v>82</v>
      </c>
      <c r="E11" s="24">
        <v>0</v>
      </c>
      <c r="F11" s="26">
        <f t="shared" ref="F11:F38" si="2">E11*13582</f>
        <v>0</v>
      </c>
      <c r="G11" s="24">
        <v>86</v>
      </c>
      <c r="H11" s="26">
        <f t="shared" ref="H11:H38" si="3">G11*4000</f>
        <v>344000</v>
      </c>
      <c r="I11" s="24">
        <v>139</v>
      </c>
      <c r="J11" s="26">
        <f t="shared" ref="J11:J38" si="4">I11*4000</f>
        <v>556000</v>
      </c>
      <c r="K11" s="24">
        <f t="shared" si="0"/>
        <v>900000</v>
      </c>
      <c r="L11" s="77">
        <f t="shared" si="1"/>
        <v>62.582574229886653</v>
      </c>
      <c r="M11" s="21"/>
    </row>
    <row r="12" spans="1:13">
      <c r="A12" s="20"/>
      <c r="B12" s="22">
        <v>4</v>
      </c>
      <c r="C12" s="23">
        <f>'Fuel Diesel'!C12</f>
        <v>18</v>
      </c>
      <c r="D12" s="23">
        <f>'Fuel Diesel'!D12</f>
        <v>108</v>
      </c>
      <c r="E12" s="24">
        <v>0</v>
      </c>
      <c r="F12" s="26">
        <f t="shared" si="2"/>
        <v>0</v>
      </c>
      <c r="G12" s="24">
        <v>76</v>
      </c>
      <c r="H12" s="26">
        <f t="shared" si="3"/>
        <v>304000</v>
      </c>
      <c r="I12" s="24">
        <v>125</v>
      </c>
      <c r="J12" s="26">
        <f t="shared" si="4"/>
        <v>500000</v>
      </c>
      <c r="K12" s="24">
        <f t="shared" si="0"/>
        <v>804000</v>
      </c>
      <c r="L12" s="77">
        <f t="shared" si="1"/>
        <v>55.907099645365413</v>
      </c>
      <c r="M12" s="21"/>
    </row>
    <row r="13" spans="1:13">
      <c r="A13" s="20"/>
      <c r="B13" s="22">
        <v>5</v>
      </c>
      <c r="C13" s="23">
        <f>'Fuel Diesel'!C13</f>
        <v>16</v>
      </c>
      <c r="D13" s="23">
        <f>'Fuel Diesel'!D13</f>
        <v>112</v>
      </c>
      <c r="E13" s="24">
        <v>0</v>
      </c>
      <c r="F13" s="26">
        <f t="shared" si="2"/>
        <v>0</v>
      </c>
      <c r="G13" s="24">
        <v>65</v>
      </c>
      <c r="H13" s="26">
        <f t="shared" si="3"/>
        <v>260000</v>
      </c>
      <c r="I13" s="24">
        <v>113</v>
      </c>
      <c r="J13" s="26">
        <f t="shared" si="4"/>
        <v>452000</v>
      </c>
      <c r="K13" s="24">
        <f t="shared" si="0"/>
        <v>712000</v>
      </c>
      <c r="L13" s="77">
        <f t="shared" si="1"/>
        <v>49.509769835199222</v>
      </c>
      <c r="M13" s="21"/>
    </row>
    <row r="14" spans="1:13">
      <c r="A14" s="20"/>
      <c r="B14" s="22">
        <v>6</v>
      </c>
      <c r="C14" s="23">
        <f>'Fuel Diesel'!C14</f>
        <v>12</v>
      </c>
      <c r="D14" s="23">
        <f>'Fuel Diesel'!D14</f>
        <v>76</v>
      </c>
      <c r="E14" s="24">
        <v>0</v>
      </c>
      <c r="F14" s="26">
        <f t="shared" si="2"/>
        <v>0</v>
      </c>
      <c r="G14" s="24">
        <v>75</v>
      </c>
      <c r="H14" s="26">
        <f t="shared" si="3"/>
        <v>300000</v>
      </c>
      <c r="I14" s="24">
        <v>120</v>
      </c>
      <c r="J14" s="26">
        <f t="shared" si="4"/>
        <v>480000</v>
      </c>
      <c r="K14" s="24">
        <f t="shared" si="0"/>
        <v>780000</v>
      </c>
      <c r="L14" s="77">
        <f t="shared" si="1"/>
        <v>54.2382309992351</v>
      </c>
      <c r="M14" s="21"/>
    </row>
    <row r="15" spans="1:13">
      <c r="A15" s="20"/>
      <c r="B15" s="22">
        <v>7</v>
      </c>
      <c r="C15" s="23">
        <f>'Fuel Diesel'!C15</f>
        <v>14</v>
      </c>
      <c r="D15" s="23">
        <f>'Fuel Diesel'!D15</f>
        <v>90</v>
      </c>
      <c r="E15" s="24">
        <v>0</v>
      </c>
      <c r="F15" s="26">
        <f t="shared" si="2"/>
        <v>0</v>
      </c>
      <c r="G15" s="24">
        <v>72</v>
      </c>
      <c r="H15" s="26">
        <f t="shared" si="3"/>
        <v>288000</v>
      </c>
      <c r="I15" s="24">
        <v>118</v>
      </c>
      <c r="J15" s="26">
        <f t="shared" si="4"/>
        <v>472000</v>
      </c>
      <c r="K15" s="24">
        <f t="shared" si="0"/>
        <v>760000</v>
      </c>
      <c r="L15" s="77">
        <f t="shared" si="1"/>
        <v>52.847507127459842</v>
      </c>
      <c r="M15" s="21"/>
    </row>
    <row r="16" spans="1:13">
      <c r="A16" s="20"/>
      <c r="B16" s="22">
        <v>8</v>
      </c>
      <c r="C16" s="23">
        <f>'Fuel Diesel'!C16</f>
        <v>19</v>
      </c>
      <c r="D16" s="23">
        <f>'Fuel Diesel'!D16</f>
        <v>105</v>
      </c>
      <c r="E16" s="24">
        <v>0</v>
      </c>
      <c r="F16" s="26">
        <f t="shared" si="2"/>
        <v>0</v>
      </c>
      <c r="G16" s="24">
        <v>59</v>
      </c>
      <c r="H16" s="26">
        <f t="shared" si="3"/>
        <v>236000</v>
      </c>
      <c r="I16" s="24">
        <v>99</v>
      </c>
      <c r="J16" s="26">
        <f t="shared" si="4"/>
        <v>396000</v>
      </c>
      <c r="K16" s="24">
        <f t="shared" si="0"/>
        <v>632000</v>
      </c>
      <c r="L16" s="77">
        <f t="shared" si="1"/>
        <v>43.946874348098184</v>
      </c>
      <c r="M16" s="21"/>
    </row>
    <row r="17" spans="1:13">
      <c r="A17" s="20"/>
      <c r="B17" s="22">
        <v>9</v>
      </c>
      <c r="C17" s="23">
        <f>'Fuel Diesel'!C17</f>
        <v>24</v>
      </c>
      <c r="D17" s="23">
        <f>'Fuel Diesel'!D17</f>
        <v>124</v>
      </c>
      <c r="E17" s="24">
        <v>0</v>
      </c>
      <c r="F17" s="26">
        <f t="shared" si="2"/>
        <v>0</v>
      </c>
      <c r="G17" s="24">
        <v>67</v>
      </c>
      <c r="H17" s="26">
        <f t="shared" si="3"/>
        <v>268000</v>
      </c>
      <c r="I17" s="24">
        <v>109</v>
      </c>
      <c r="J17" s="26">
        <f t="shared" si="4"/>
        <v>436000</v>
      </c>
      <c r="K17" s="24">
        <f t="shared" si="0"/>
        <v>704000</v>
      </c>
      <c r="L17" s="77">
        <f t="shared" si="1"/>
        <v>48.953480286489118</v>
      </c>
      <c r="M17" s="21"/>
    </row>
    <row r="18" spans="1:13">
      <c r="A18" s="20"/>
      <c r="B18" s="22">
        <v>10</v>
      </c>
      <c r="C18" s="23">
        <f>'Fuel Diesel'!C18</f>
        <v>29</v>
      </c>
      <c r="D18" s="23">
        <f>'Fuel Diesel'!D18</f>
        <v>133</v>
      </c>
      <c r="E18" s="24">
        <v>0</v>
      </c>
      <c r="F18" s="26">
        <f t="shared" si="2"/>
        <v>0</v>
      </c>
      <c r="G18" s="24">
        <v>80</v>
      </c>
      <c r="H18" s="26">
        <f t="shared" si="3"/>
        <v>320000</v>
      </c>
      <c r="I18" s="24">
        <v>130</v>
      </c>
      <c r="J18" s="26">
        <f t="shared" si="4"/>
        <v>520000</v>
      </c>
      <c r="K18" s="24">
        <f t="shared" si="0"/>
        <v>840000</v>
      </c>
      <c r="L18" s="77">
        <f t="shared" si="1"/>
        <v>58.41040261456088</v>
      </c>
      <c r="M18" s="21"/>
    </row>
    <row r="19" spans="1:13">
      <c r="A19" s="20"/>
      <c r="B19" s="22">
        <v>11</v>
      </c>
      <c r="C19" s="23">
        <f>'Fuel Diesel'!C19</f>
        <v>24</v>
      </c>
      <c r="D19" s="23">
        <f>'Fuel Diesel'!D19</f>
        <v>130</v>
      </c>
      <c r="E19" s="24">
        <v>0</v>
      </c>
      <c r="F19" s="26">
        <f t="shared" si="2"/>
        <v>0</v>
      </c>
      <c r="G19" s="24">
        <v>58</v>
      </c>
      <c r="H19" s="26">
        <f t="shared" si="3"/>
        <v>232000</v>
      </c>
      <c r="I19" s="24">
        <v>98</v>
      </c>
      <c r="J19" s="26">
        <f t="shared" si="4"/>
        <v>392000</v>
      </c>
      <c r="K19" s="24">
        <f t="shared" si="0"/>
        <v>624000</v>
      </c>
      <c r="L19" s="77">
        <f t="shared" si="1"/>
        <v>43.39058479938808</v>
      </c>
      <c r="M19" s="21"/>
    </row>
    <row r="20" spans="1:13">
      <c r="A20" s="20"/>
      <c r="B20" s="22">
        <v>12</v>
      </c>
      <c r="C20" s="23">
        <f>'Fuel Diesel'!C20</f>
        <v>23</v>
      </c>
      <c r="D20" s="23">
        <f>'Fuel Diesel'!D20</f>
        <v>118</v>
      </c>
      <c r="E20" s="24">
        <v>0</v>
      </c>
      <c r="F20" s="26">
        <f t="shared" si="2"/>
        <v>0</v>
      </c>
      <c r="G20" s="24">
        <v>54</v>
      </c>
      <c r="H20" s="26">
        <f>G20*4000</f>
        <v>216000</v>
      </c>
      <c r="I20" s="24">
        <v>93</v>
      </c>
      <c r="J20" s="26">
        <f t="shared" si="4"/>
        <v>372000</v>
      </c>
      <c r="K20" s="24">
        <f t="shared" si="0"/>
        <v>588000</v>
      </c>
      <c r="L20" s="77">
        <f t="shared" si="1"/>
        <v>40.887281830192613</v>
      </c>
      <c r="M20" s="21"/>
    </row>
    <row r="21" spans="1:13">
      <c r="A21" s="20"/>
      <c r="B21" s="22">
        <v>13</v>
      </c>
      <c r="C21" s="23">
        <f>'Fuel Diesel'!C21</f>
        <v>33</v>
      </c>
      <c r="D21" s="23">
        <f>'Fuel Diesel'!D21</f>
        <v>134</v>
      </c>
      <c r="E21" s="24">
        <v>0</v>
      </c>
      <c r="F21" s="26">
        <f t="shared" si="2"/>
        <v>0</v>
      </c>
      <c r="G21" s="24">
        <v>71</v>
      </c>
      <c r="H21" s="26">
        <f t="shared" si="3"/>
        <v>284000</v>
      </c>
      <c r="I21" s="24">
        <v>113</v>
      </c>
      <c r="J21" s="26">
        <f t="shared" si="4"/>
        <v>452000</v>
      </c>
      <c r="K21" s="24">
        <f t="shared" si="0"/>
        <v>736000</v>
      </c>
      <c r="L21" s="77">
        <f t="shared" si="1"/>
        <v>51.178638481329529</v>
      </c>
      <c r="M21" s="21"/>
    </row>
    <row r="22" spans="1:13">
      <c r="A22" s="20"/>
      <c r="B22" s="22">
        <v>14</v>
      </c>
      <c r="C22" s="23">
        <f>'Fuel Diesel'!C22</f>
        <v>35</v>
      </c>
      <c r="D22" s="23">
        <f>'Fuel Diesel'!D22</f>
        <v>159</v>
      </c>
      <c r="E22" s="24">
        <v>0</v>
      </c>
      <c r="F22" s="26">
        <f t="shared" si="2"/>
        <v>0</v>
      </c>
      <c r="G22" s="24">
        <v>74</v>
      </c>
      <c r="H22" s="26">
        <f t="shared" si="3"/>
        <v>296000</v>
      </c>
      <c r="I22" s="24">
        <v>128</v>
      </c>
      <c r="J22" s="26">
        <f t="shared" si="4"/>
        <v>512000</v>
      </c>
      <c r="K22" s="24">
        <f t="shared" si="0"/>
        <v>808000</v>
      </c>
      <c r="L22" s="77">
        <f t="shared" si="1"/>
        <v>56.185244419720462</v>
      </c>
      <c r="M22" s="21"/>
    </row>
    <row r="23" spans="1:13">
      <c r="A23" s="20"/>
      <c r="B23" s="22">
        <v>15</v>
      </c>
      <c r="C23" s="23">
        <f>'Fuel Diesel'!C23</f>
        <v>37</v>
      </c>
      <c r="D23" s="23">
        <f>'Fuel Diesel'!D23</f>
        <v>165</v>
      </c>
      <c r="E23" s="24">
        <v>0</v>
      </c>
      <c r="F23" s="26">
        <f t="shared" si="2"/>
        <v>0</v>
      </c>
      <c r="G23" s="24">
        <v>78</v>
      </c>
      <c r="H23" s="26">
        <f t="shared" si="3"/>
        <v>312000</v>
      </c>
      <c r="I23" s="24">
        <v>127</v>
      </c>
      <c r="J23" s="26">
        <f t="shared" si="4"/>
        <v>508000</v>
      </c>
      <c r="K23" s="24">
        <f t="shared" si="0"/>
        <v>820000</v>
      </c>
      <c r="L23" s="77">
        <f t="shared" si="1"/>
        <v>57.019678742785622</v>
      </c>
      <c r="M23" s="21"/>
    </row>
    <row r="24" spans="1:13">
      <c r="A24" s="20"/>
      <c r="B24" s="22">
        <v>16</v>
      </c>
      <c r="C24" s="23">
        <f>'Fuel Diesel'!C24</f>
        <v>44</v>
      </c>
      <c r="D24" s="23">
        <f>'Fuel Diesel'!D24</f>
        <v>158</v>
      </c>
      <c r="E24" s="24">
        <v>0</v>
      </c>
      <c r="F24" s="26">
        <f t="shared" si="2"/>
        <v>0</v>
      </c>
      <c r="G24" s="24">
        <v>72</v>
      </c>
      <c r="H24" s="26">
        <f t="shared" si="3"/>
        <v>288000</v>
      </c>
      <c r="I24" s="24">
        <v>221</v>
      </c>
      <c r="J24" s="26">
        <f t="shared" si="4"/>
        <v>884000</v>
      </c>
      <c r="K24" s="24">
        <f t="shared" si="0"/>
        <v>1172000</v>
      </c>
      <c r="L24" s="77">
        <f t="shared" si="1"/>
        <v>81.496418886030185</v>
      </c>
      <c r="M24" s="21"/>
    </row>
    <row r="25" spans="1:13">
      <c r="A25" s="20"/>
      <c r="B25" s="22">
        <v>17</v>
      </c>
      <c r="C25" s="23">
        <f>'Fuel Diesel'!C25</f>
        <v>44</v>
      </c>
      <c r="D25" s="23">
        <f>'Fuel Diesel'!D25</f>
        <v>215</v>
      </c>
      <c r="E25" s="24">
        <v>0</v>
      </c>
      <c r="F25" s="26">
        <f t="shared" si="2"/>
        <v>0</v>
      </c>
      <c r="G25" s="24">
        <v>112</v>
      </c>
      <c r="H25" s="26">
        <f t="shared" si="3"/>
        <v>448000</v>
      </c>
      <c r="I25" s="24">
        <v>85</v>
      </c>
      <c r="J25" s="26">
        <f t="shared" si="4"/>
        <v>340000</v>
      </c>
      <c r="K25" s="24">
        <f t="shared" si="0"/>
        <v>788000</v>
      </c>
      <c r="L25" s="77">
        <f t="shared" si="1"/>
        <v>54.794520547945204</v>
      </c>
      <c r="M25" s="21"/>
    </row>
    <row r="26" spans="1:13">
      <c r="A26" s="20"/>
      <c r="B26" s="22">
        <v>18</v>
      </c>
      <c r="C26" s="23">
        <f>'Fuel Diesel'!C26</f>
        <v>41</v>
      </c>
      <c r="D26" s="23">
        <f>'Fuel Diesel'!D26</f>
        <v>171</v>
      </c>
      <c r="E26" s="24">
        <v>0</v>
      </c>
      <c r="F26" s="26">
        <f t="shared" si="2"/>
        <v>0</v>
      </c>
      <c r="G26" s="24">
        <v>131</v>
      </c>
      <c r="H26" s="26">
        <f t="shared" si="3"/>
        <v>524000</v>
      </c>
      <c r="I26" s="24">
        <v>216</v>
      </c>
      <c r="J26" s="26">
        <f t="shared" si="4"/>
        <v>864000</v>
      </c>
      <c r="K26" s="24">
        <f t="shared" si="0"/>
        <v>1388000</v>
      </c>
      <c r="L26" s="77">
        <f t="shared" si="1"/>
        <v>96.51623670120297</v>
      </c>
      <c r="M26" s="21"/>
    </row>
    <row r="27" spans="1:13">
      <c r="A27" s="20"/>
      <c r="B27" s="22">
        <v>19</v>
      </c>
      <c r="C27" s="23">
        <f>'Fuel Diesel'!C27</f>
        <v>34</v>
      </c>
      <c r="D27" s="23">
        <f>'Fuel Diesel'!D27</f>
        <v>169</v>
      </c>
      <c r="E27" s="24">
        <v>0</v>
      </c>
      <c r="F27" s="26">
        <f t="shared" si="2"/>
        <v>0</v>
      </c>
      <c r="G27" s="24">
        <v>128</v>
      </c>
      <c r="H27" s="26">
        <f t="shared" si="3"/>
        <v>512000</v>
      </c>
      <c r="I27" s="24">
        <v>205</v>
      </c>
      <c r="J27" s="26">
        <f t="shared" si="4"/>
        <v>820000</v>
      </c>
      <c r="K27" s="24">
        <f t="shared" si="0"/>
        <v>1332000</v>
      </c>
      <c r="L27" s="77">
        <f t="shared" si="1"/>
        <v>92.622209860232246</v>
      </c>
      <c r="M27" s="21"/>
    </row>
    <row r="28" spans="1:13">
      <c r="A28" s="20"/>
      <c r="B28" s="22">
        <v>20</v>
      </c>
      <c r="C28" s="23">
        <f>'Fuel Diesel'!C28</f>
        <v>33</v>
      </c>
      <c r="D28" s="23">
        <f>'Fuel Diesel'!D28</f>
        <v>191</v>
      </c>
      <c r="E28" s="24">
        <v>0</v>
      </c>
      <c r="F28" s="26">
        <f t="shared" si="2"/>
        <v>0</v>
      </c>
      <c r="G28" s="24">
        <v>59</v>
      </c>
      <c r="H28" s="26">
        <f t="shared" si="3"/>
        <v>236000</v>
      </c>
      <c r="I28" s="24">
        <v>97</v>
      </c>
      <c r="J28" s="26">
        <f t="shared" si="4"/>
        <v>388000</v>
      </c>
      <c r="K28" s="24">
        <f t="shared" si="0"/>
        <v>624000</v>
      </c>
      <c r="L28" s="77">
        <f t="shared" si="1"/>
        <v>43.39058479938808</v>
      </c>
      <c r="M28" s="21"/>
    </row>
    <row r="29" spans="1:13">
      <c r="A29" s="20"/>
      <c r="B29" s="22">
        <v>21</v>
      </c>
      <c r="C29" s="23">
        <f>'Fuel Diesel'!C29</f>
        <v>30</v>
      </c>
      <c r="D29" s="23">
        <f>'Fuel Diesel'!D29</f>
        <v>195</v>
      </c>
      <c r="E29" s="24">
        <v>0</v>
      </c>
      <c r="F29" s="26">
        <f t="shared" si="2"/>
        <v>0</v>
      </c>
      <c r="G29" s="24">
        <v>70</v>
      </c>
      <c r="H29" s="26">
        <f t="shared" si="3"/>
        <v>280000</v>
      </c>
      <c r="I29" s="24">
        <v>122</v>
      </c>
      <c r="J29" s="26">
        <f t="shared" si="4"/>
        <v>488000</v>
      </c>
      <c r="K29" s="24">
        <f t="shared" si="0"/>
        <v>768000</v>
      </c>
      <c r="L29" s="77">
        <f t="shared" si="1"/>
        <v>53.403796676169947</v>
      </c>
      <c r="M29" s="21"/>
    </row>
    <row r="30" spans="1:13">
      <c r="A30" s="20"/>
      <c r="B30" s="22">
        <v>22</v>
      </c>
      <c r="C30" s="23">
        <f>'Fuel Diesel'!C30</f>
        <v>26</v>
      </c>
      <c r="D30" s="23">
        <f>'Fuel Diesel'!D30</f>
        <v>188</v>
      </c>
      <c r="E30" s="24">
        <v>0</v>
      </c>
      <c r="F30" s="26">
        <f t="shared" si="2"/>
        <v>0</v>
      </c>
      <c r="G30" s="24">
        <v>58</v>
      </c>
      <c r="H30" s="26">
        <f t="shared" si="3"/>
        <v>232000</v>
      </c>
      <c r="I30" s="24">
        <v>104</v>
      </c>
      <c r="J30" s="26">
        <f t="shared" si="4"/>
        <v>416000</v>
      </c>
      <c r="K30" s="24">
        <f t="shared" si="0"/>
        <v>648000</v>
      </c>
      <c r="L30" s="77">
        <f t="shared" si="1"/>
        <v>45.059453445518393</v>
      </c>
      <c r="M30" s="21"/>
    </row>
    <row r="31" spans="1:13">
      <c r="A31" s="20"/>
      <c r="B31" s="22">
        <v>23</v>
      </c>
      <c r="C31" s="23">
        <f>'Fuel Diesel'!C31</f>
        <v>36</v>
      </c>
      <c r="D31" s="23">
        <f>'Fuel Diesel'!D31</f>
        <v>183</v>
      </c>
      <c r="E31" s="24">
        <v>0</v>
      </c>
      <c r="F31" s="26">
        <f t="shared" si="2"/>
        <v>0</v>
      </c>
      <c r="G31" s="24">
        <v>59</v>
      </c>
      <c r="H31" s="26">
        <f t="shared" si="3"/>
        <v>236000</v>
      </c>
      <c r="I31" s="24">
        <v>95</v>
      </c>
      <c r="J31" s="26">
        <f t="shared" si="4"/>
        <v>380000</v>
      </c>
      <c r="K31" s="24">
        <f t="shared" si="0"/>
        <v>616000</v>
      </c>
      <c r="L31" s="77">
        <f t="shared" si="1"/>
        <v>42.834295250677975</v>
      </c>
      <c r="M31" s="21"/>
    </row>
    <row r="32" spans="1:13">
      <c r="A32" s="20"/>
      <c r="B32" s="22">
        <v>24</v>
      </c>
      <c r="C32" s="23">
        <f>'Fuel Diesel'!C32</f>
        <v>40</v>
      </c>
      <c r="D32" s="23">
        <f>'Fuel Diesel'!D32</f>
        <v>204</v>
      </c>
      <c r="E32" s="24">
        <v>0</v>
      </c>
      <c r="F32" s="26">
        <f t="shared" si="2"/>
        <v>0</v>
      </c>
      <c r="G32" s="24">
        <v>64</v>
      </c>
      <c r="H32" s="26">
        <f t="shared" si="3"/>
        <v>256000</v>
      </c>
      <c r="I32" s="24">
        <v>107</v>
      </c>
      <c r="J32" s="26">
        <f t="shared" si="4"/>
        <v>428000</v>
      </c>
      <c r="K32" s="24">
        <f t="shared" si="0"/>
        <v>684000</v>
      </c>
      <c r="L32" s="77">
        <f t="shared" si="1"/>
        <v>47.56275641471386</v>
      </c>
      <c r="M32" s="21"/>
    </row>
    <row r="33" spans="1:15">
      <c r="A33" s="20"/>
      <c r="B33" s="22">
        <v>25</v>
      </c>
      <c r="C33" s="23">
        <f>'Fuel Diesel'!C33</f>
        <v>38</v>
      </c>
      <c r="D33" s="23">
        <f>'Fuel Diesel'!D33</f>
        <v>205</v>
      </c>
      <c r="E33" s="24">
        <v>0</v>
      </c>
      <c r="F33" s="26">
        <f t="shared" si="2"/>
        <v>0</v>
      </c>
      <c r="G33" s="24">
        <v>58</v>
      </c>
      <c r="H33" s="26">
        <f t="shared" si="3"/>
        <v>232000</v>
      </c>
      <c r="I33" s="24">
        <v>96</v>
      </c>
      <c r="J33" s="26">
        <f t="shared" si="4"/>
        <v>384000</v>
      </c>
      <c r="K33" s="24">
        <f t="shared" si="0"/>
        <v>616000</v>
      </c>
      <c r="L33" s="77">
        <f t="shared" si="1"/>
        <v>42.834295250677975</v>
      </c>
      <c r="M33" s="21"/>
    </row>
    <row r="34" spans="1:15">
      <c r="A34" s="20"/>
      <c r="B34" s="22">
        <v>26</v>
      </c>
      <c r="C34" s="23">
        <f>'Fuel Diesel'!C34</f>
        <v>37</v>
      </c>
      <c r="D34" s="23">
        <f>'Fuel Diesel'!D34</f>
        <v>210</v>
      </c>
      <c r="E34" s="24">
        <v>0</v>
      </c>
      <c r="F34" s="26">
        <f t="shared" si="2"/>
        <v>0</v>
      </c>
      <c r="G34" s="24">
        <v>54</v>
      </c>
      <c r="H34" s="26">
        <f t="shared" si="3"/>
        <v>216000</v>
      </c>
      <c r="I34" s="24">
        <v>92</v>
      </c>
      <c r="J34" s="26">
        <f t="shared" si="4"/>
        <v>368000</v>
      </c>
      <c r="K34" s="24">
        <f t="shared" si="0"/>
        <v>584000</v>
      </c>
      <c r="L34" s="77">
        <f t="shared" si="1"/>
        <v>40.609137055837564</v>
      </c>
      <c r="M34" s="21"/>
    </row>
    <row r="35" spans="1:15">
      <c r="A35" s="20"/>
      <c r="B35" s="22">
        <v>27</v>
      </c>
      <c r="C35" s="23">
        <f>'Fuel Diesel'!C35</f>
        <v>27</v>
      </c>
      <c r="D35" s="23">
        <f>'Fuel Diesel'!D35</f>
        <v>150</v>
      </c>
      <c r="E35" s="24">
        <v>0</v>
      </c>
      <c r="F35" s="26">
        <f t="shared" si="2"/>
        <v>0</v>
      </c>
      <c r="G35" s="24">
        <v>64</v>
      </c>
      <c r="H35" s="26">
        <f t="shared" si="3"/>
        <v>256000</v>
      </c>
      <c r="I35" s="24">
        <v>105</v>
      </c>
      <c r="J35" s="26">
        <f t="shared" si="4"/>
        <v>420000</v>
      </c>
      <c r="K35" s="24">
        <f t="shared" si="0"/>
        <v>676000</v>
      </c>
      <c r="L35" s="77">
        <f t="shared" si="1"/>
        <v>47.006466866003755</v>
      </c>
      <c r="M35" s="21"/>
    </row>
    <row r="36" spans="1:15">
      <c r="A36" s="20"/>
      <c r="B36" s="22">
        <v>28</v>
      </c>
      <c r="C36" s="23">
        <f>'Fuel Diesel'!C36</f>
        <v>36</v>
      </c>
      <c r="D36" s="23">
        <f>'Fuel Diesel'!D36</f>
        <v>133</v>
      </c>
      <c r="E36" s="24">
        <v>0</v>
      </c>
      <c r="F36" s="26">
        <f t="shared" si="2"/>
        <v>0</v>
      </c>
      <c r="G36" s="24">
        <v>60</v>
      </c>
      <c r="H36" s="26">
        <f t="shared" si="3"/>
        <v>240000</v>
      </c>
      <c r="I36" s="24">
        <v>99</v>
      </c>
      <c r="J36" s="26">
        <f t="shared" si="4"/>
        <v>396000</v>
      </c>
      <c r="K36" s="24">
        <f t="shared" si="0"/>
        <v>636000</v>
      </c>
      <c r="L36" s="77">
        <f t="shared" si="1"/>
        <v>44.22501912245324</v>
      </c>
      <c r="M36" s="21"/>
    </row>
    <row r="37" spans="1:15">
      <c r="A37" s="20"/>
      <c r="B37" s="22">
        <v>29</v>
      </c>
      <c r="C37" s="23">
        <f>'Fuel Diesel'!C37</f>
        <v>42</v>
      </c>
      <c r="D37" s="23">
        <f>'Fuel Diesel'!D37</f>
        <v>190</v>
      </c>
      <c r="E37" s="24">
        <v>0</v>
      </c>
      <c r="F37" s="26">
        <f t="shared" si="2"/>
        <v>0</v>
      </c>
      <c r="G37" s="24">
        <v>69</v>
      </c>
      <c r="H37" s="26">
        <f t="shared" si="3"/>
        <v>276000</v>
      </c>
      <c r="I37" s="24">
        <v>119</v>
      </c>
      <c r="J37" s="26">
        <f t="shared" si="4"/>
        <v>476000</v>
      </c>
      <c r="K37" s="24">
        <f t="shared" si="0"/>
        <v>752000</v>
      </c>
      <c r="L37" s="77">
        <f t="shared" si="1"/>
        <v>52.291217578749738</v>
      </c>
      <c r="M37" s="21"/>
    </row>
    <row r="38" spans="1:15">
      <c r="A38" s="20"/>
      <c r="B38" s="22">
        <v>30</v>
      </c>
      <c r="C38" s="23">
        <f>'Fuel Diesel'!C38</f>
        <v>34</v>
      </c>
      <c r="D38" s="23">
        <f>'Fuel Diesel'!D38</f>
        <v>214</v>
      </c>
      <c r="E38" s="24">
        <v>0</v>
      </c>
      <c r="F38" s="26">
        <f t="shared" si="2"/>
        <v>0</v>
      </c>
      <c r="G38" s="24">
        <v>55</v>
      </c>
      <c r="H38" s="26">
        <f t="shared" si="3"/>
        <v>220000</v>
      </c>
      <c r="I38" s="24">
        <v>85</v>
      </c>
      <c r="J38" s="26">
        <f t="shared" si="4"/>
        <v>340000</v>
      </c>
      <c r="K38" s="24">
        <f t="shared" si="0"/>
        <v>560000</v>
      </c>
      <c r="L38" s="77">
        <f t="shared" si="1"/>
        <v>38.940268409707251</v>
      </c>
      <c r="M38" s="21"/>
    </row>
    <row r="39" spans="1:15">
      <c r="C39" s="30">
        <f>SUM(C9:C38)</f>
        <v>871</v>
      </c>
      <c r="D39" s="30">
        <f>SUM(D9:D38)</f>
        <v>4472</v>
      </c>
      <c r="E39" s="30">
        <v>0</v>
      </c>
      <c r="G39" s="30">
        <f>SUM(G9:G38)</f>
        <v>2159</v>
      </c>
      <c r="I39" s="30">
        <f>SUM(I9:I38)</f>
        <v>3578</v>
      </c>
      <c r="J39" s="90">
        <f>G39+I39</f>
        <v>5737</v>
      </c>
      <c r="K39" s="78"/>
      <c r="L39" s="84">
        <f>SUM(L9:L38)</f>
        <v>1595.716570474932</v>
      </c>
      <c r="O39" s="35"/>
    </row>
    <row r="40" spans="1:15">
      <c r="H40" s="89" t="s">
        <v>59</v>
      </c>
      <c r="I40" s="88">
        <f>G39+I39</f>
        <v>5737</v>
      </c>
      <c r="L40" s="36"/>
    </row>
    <row r="41" spans="1:15">
      <c r="E41" s="19"/>
      <c r="F41" s="19"/>
      <c r="G41" s="19"/>
      <c r="H41" s="19"/>
      <c r="I41" s="79"/>
      <c r="J41" s="79"/>
      <c r="L41" s="38"/>
    </row>
    <row r="42" spans="1:15">
      <c r="E42" s="19"/>
      <c r="F42" s="19"/>
      <c r="G42" s="19"/>
      <c r="H42" s="19"/>
      <c r="I42" s="79"/>
      <c r="J42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0D56E-76D4-4A07-ADB0-326CB9B396F7}"/>
</file>

<file path=customXml/itemProps2.xml><?xml version="1.0" encoding="utf-8"?>
<ds:datastoreItem xmlns:ds="http://schemas.openxmlformats.org/officeDocument/2006/customXml" ds:itemID="{38AAAFBA-24AE-41D5-B538-7FF216155BDB}"/>
</file>

<file path=customXml/itemProps3.xml><?xml version="1.0" encoding="utf-8"?>
<ds:datastoreItem xmlns:ds="http://schemas.openxmlformats.org/officeDocument/2006/customXml" ds:itemID="{E1F59F86-2A63-47CA-80BE-C2B9142462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</cp:lastModifiedBy>
  <cp:revision/>
  <dcterms:created xsi:type="dcterms:W3CDTF">2022-01-19T02:48:06Z</dcterms:created>
  <dcterms:modified xsi:type="dcterms:W3CDTF">2023-02-18T05:00:46Z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