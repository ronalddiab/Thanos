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4478D436-5B08-4E79-B1D1-4710E2EBBD0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17" i="31" l="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7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<sst xmlns="http://schemas.openxmlformats.org/spreadsheetml/2006/main" count="67" uniqueCount="32">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</sst>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180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-114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0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0</v>
      </c>
      <c r="J15" s="10">
        <v>3.61E-2</v>
      </c>
      <c r="K15" s="1">
        <f>'Feb 2022'!I18</f>
        <v>0</v>
      </c>
      <c r="L15" s="10">
        <v>0.75</v>
      </c>
      <c r="M15" s="10">
        <f>'Feb 2022'!L18</f>
        <v>0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0</v>
      </c>
      <c r="F16" s="10">
        <v>2.9000000000000001E-2</v>
      </c>
      <c r="G16" s="1">
        <f>'Feb 2022'!J19</f>
        <v>0</v>
      </c>
      <c r="H16" s="10">
        <v>0.112</v>
      </c>
      <c r="I16" s="1">
        <f>'Feb 2022'!G20*1000</f>
        <v>0</v>
      </c>
      <c r="J16" s="10">
        <v>3.61E-2</v>
      </c>
      <c r="K16" s="1">
        <f>'Feb 2022'!I19</f>
        <v>0</v>
      </c>
      <c r="L16" s="10">
        <v>0.75</v>
      </c>
      <c r="M16" s="10">
        <f>'Feb 2022'!L19</f>
        <v>0</v>
      </c>
      <c r="N16" s="10">
        <v>0.56299999999999994</v>
      </c>
      <c r="O16" s="14">
        <f>'Feb 2022'!D18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0</v>
      </c>
      <c r="F17" s="10">
        <v>2.9000000000000001E-2</v>
      </c>
      <c r="G17" s="1">
        <f>'Feb 2022'!J21</f>
        <v>0</v>
      </c>
      <c r="H17" s="10">
        <v>0.112</v>
      </c>
      <c r="I17" s="1">
        <f>'Feb 2022'!G21*1000</f>
        <v>0</v>
      </c>
      <c r="J17" s="10">
        <v>3.61E-2</v>
      </c>
      <c r="K17" s="1">
        <f>'Feb 2022'!I20</f>
        <v>0</v>
      </c>
      <c r="L17" s="10">
        <v>0.75</v>
      </c>
      <c r="M17" s="10">
        <f>'Feb 2022'!L20</f>
        <v>0</v>
      </c>
      <c r="N17" s="10">
        <v>0.56299999999999994</v>
      </c>
      <c r="O17" s="14">
        <f>'Feb 2022'!D20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0</v>
      </c>
      <c r="F18" s="10">
        <v>2.9000000000000001E-2</v>
      </c>
      <c r="G18" s="1">
        <f>'Feb 2022'!J22</f>
        <v>0</v>
      </c>
      <c r="H18" s="10">
        <v>0.112</v>
      </c>
      <c r="I18" s="1">
        <f>'Feb 2022'!G22*1000</f>
        <v>0</v>
      </c>
      <c r="J18" s="10">
        <v>3.61E-2</v>
      </c>
      <c r="K18" s="1">
        <f>'Feb 2022'!I21</f>
        <v>0</v>
      </c>
      <c r="L18" s="10">
        <v>0.75</v>
      </c>
      <c r="M18" s="10">
        <f>'Feb 2022'!L21</f>
        <v>0</v>
      </c>
      <c r="N18" s="10">
        <v>0.56299999999999994</v>
      </c>
      <c r="O18" s="14">
        <f>'Feb 2022'!D21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0</v>
      </c>
      <c r="F19" s="10">
        <v>2.9000000000000001E-2</v>
      </c>
      <c r="G19" s="1">
        <f>'Feb 2022'!J22</f>
        <v>0</v>
      </c>
      <c r="H19" s="10">
        <v>0.112</v>
      </c>
      <c r="I19" s="1">
        <f>'Feb 2022'!G23*1000</f>
        <v>0</v>
      </c>
      <c r="J19" s="10">
        <v>3.61E-2</v>
      </c>
      <c r="K19" s="1">
        <f>'Feb 2022'!I22</f>
        <v>0</v>
      </c>
      <c r="L19" s="10">
        <v>0.75</v>
      </c>
      <c r="M19" s="10">
        <f>'Feb 2022'!L22</f>
        <v>0</v>
      </c>
      <c r="N19" s="10">
        <v>0.56299999999999994</v>
      </c>
      <c r="O19" s="14">
        <f>'Feb 2022'!D22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0</v>
      </c>
      <c r="F20" s="10">
        <v>2.9000000000000001E-2</v>
      </c>
      <c r="G20" s="1">
        <f>'Feb 2022'!J23</f>
        <v>0</v>
      </c>
      <c r="H20" s="10">
        <v>0.112</v>
      </c>
      <c r="I20" s="1">
        <f>'Feb 2022'!G24*1000</f>
        <v>0</v>
      </c>
      <c r="J20" s="10">
        <v>3.61E-2</v>
      </c>
      <c r="K20" s="1">
        <f>'Feb 2022'!I23</f>
        <v>0</v>
      </c>
      <c r="L20" s="10">
        <v>0.75</v>
      </c>
      <c r="M20" s="10">
        <f>'Feb 2022'!L23</f>
        <v>0</v>
      </c>
      <c r="N20" s="10">
        <v>0.56299999999999994</v>
      </c>
      <c r="O20" s="14">
        <f>'Feb 2022'!D23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0</v>
      </c>
      <c r="F21" s="10">
        <v>2.9000000000000001E-2</v>
      </c>
      <c r="G21" s="1">
        <f>'Feb 2022'!J23</f>
        <v>0</v>
      </c>
      <c r="H21" s="10">
        <v>0.112</v>
      </c>
      <c r="I21" s="1">
        <f>'Feb 2022'!G25*1000</f>
        <v>0</v>
      </c>
      <c r="J21" s="10">
        <v>3.61E-2</v>
      </c>
      <c r="K21" s="1">
        <f>'Feb 2022'!I23</f>
        <v>0</v>
      </c>
      <c r="L21" s="10">
        <v>0.75</v>
      </c>
      <c r="M21" s="10">
        <f>'Feb 2022'!L24</f>
        <v>0</v>
      </c>
      <c r="N21" s="10">
        <v>0.56299999999999994</v>
      </c>
      <c r="O21" s="14">
        <f>'Feb 2022'!D24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0</v>
      </c>
      <c r="F22" s="10">
        <v>2.9000000000000001E-2</v>
      </c>
      <c r="G22" s="1">
        <f>'Feb 2022'!J24</f>
        <v>0</v>
      </c>
      <c r="H22" s="10">
        <v>0.112</v>
      </c>
      <c r="I22" s="1">
        <f>'Feb 2022'!G26*1000</f>
        <v>0</v>
      </c>
      <c r="J22" s="10">
        <v>3.61E-2</v>
      </c>
      <c r="K22" s="1">
        <f>'Feb 2022'!I24</f>
        <v>0</v>
      </c>
      <c r="L22" s="10">
        <v>0.75</v>
      </c>
      <c r="M22" s="10">
        <f>'Feb 2022'!L25</f>
        <v>0</v>
      </c>
      <c r="N22" s="10">
        <v>0.56299999999999994</v>
      </c>
      <c r="O22" s="14">
        <f>'Feb 2022'!D25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0</v>
      </c>
      <c r="F23" s="10">
        <v>2.9000000000000001E-2</v>
      </c>
      <c r="G23" s="1">
        <f>'Feb 2022'!J25</f>
        <v>0</v>
      </c>
      <c r="H23" s="10">
        <v>0.112</v>
      </c>
      <c r="I23" s="1">
        <f>'Feb 2022'!G27*1000</f>
        <v>0</v>
      </c>
      <c r="J23" s="10">
        <v>3.61E-2</v>
      </c>
      <c r="K23" s="1">
        <f>'Feb 2022'!I26</f>
        <v>0</v>
      </c>
      <c r="L23" s="10">
        <v>0.75</v>
      </c>
      <c r="M23" s="10">
        <f>'Feb 2022'!L26</f>
        <v>0</v>
      </c>
      <c r="N23" s="10">
        <v>0.56299999999999994</v>
      </c>
      <c r="O23" s="14">
        <f>'Feb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0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0</v>
      </c>
      <c r="J24" s="10">
        <v>3.61E-2</v>
      </c>
      <c r="K24" s="1">
        <f>'Feb 2022'!I27</f>
        <v>0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0</v>
      </c>
      <c r="F25" s="10">
        <v>2.9000000000000001E-2</v>
      </c>
      <c r="G25" s="1">
        <f>'Feb 2022'!J28</f>
        <v>0</v>
      </c>
      <c r="H25" s="10">
        <v>0.112</v>
      </c>
      <c r="I25" s="1">
        <f>'Feb 2022'!G28*1000</f>
        <v>0</v>
      </c>
      <c r="J25" s="10">
        <v>3.61E-2</v>
      </c>
      <c r="K25" s="1">
        <f>'Feb 2022'!I28</f>
        <v>0</v>
      </c>
      <c r="L25" s="10">
        <v>0.75</v>
      </c>
      <c r="M25" s="10">
        <f>'Feb 2022'!L28</f>
        <v>0</v>
      </c>
      <c r="N25" s="10">
        <v>0.56299999999999994</v>
      </c>
      <c r="O25" s="14">
        <f>'Feb 2022'!D28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0</v>
      </c>
      <c r="F26" s="10">
        <v>2.9000000000000001E-2</v>
      </c>
      <c r="G26" s="1">
        <f>'Feb 2022'!J29</f>
        <v>0</v>
      </c>
      <c r="H26" s="10">
        <v>0.112</v>
      </c>
      <c r="I26" s="1">
        <f>'Feb 2022'!G29*1000</f>
        <v>0</v>
      </c>
      <c r="J26" s="10">
        <v>3.61E-2</v>
      </c>
      <c r="K26" s="1">
        <f>'Feb 2022'!I29</f>
        <v>0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0</v>
      </c>
      <c r="F27" s="10">
        <v>2.9000000000000001E-2</v>
      </c>
      <c r="G27" s="1">
        <f>'Feb 2022'!J30</f>
        <v>0</v>
      </c>
      <c r="H27" s="10">
        <v>0.112</v>
      </c>
      <c r="I27" s="1">
        <f>'Feb 2022'!G30*1000</f>
        <v>0</v>
      </c>
      <c r="J27" s="10">
        <v>3.61E-2</v>
      </c>
      <c r="K27" s="1">
        <f>'Feb 2022'!I30</f>
        <v>0</v>
      </c>
      <c r="L27" s="10">
        <v>0.75</v>
      </c>
      <c r="M27" s="10">
        <f>'Feb 2022'!L30</f>
        <v>0</v>
      </c>
      <c r="N27" s="10">
        <v>0.56299999999999994</v>
      </c>
      <c r="O27" s="14">
        <f>'Feb 2022'!D30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0</v>
      </c>
      <c r="J28" s="10">
        <v>3.61E-2</v>
      </c>
      <c r="K28" s="1">
        <f>'Feb 2022'!I31</f>
        <v>0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D17" sqref="D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17" si="0">F7-F6</f>
        <v>26</v>
      </c>
      <c r="H6" s="4">
        <v>582585</v>
      </c>
      <c r="I6" s="3">
        <f t="shared" ref="I6:I17" si="1">H7-H6</f>
        <v>417</v>
      </c>
      <c r="J6" s="3">
        <v>2970</v>
      </c>
      <c r="K6" s="4">
        <v>322571</v>
      </c>
      <c r="L6" s="9">
        <f t="shared" ref="L6:L17" si="2">K7-K6</f>
        <v>180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322751</v>
      </c>
      <c r="L7" s="9">
        <f t="shared" si="2"/>
        <v>-114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/>
      <c r="E18" s="27"/>
      <c r="F18" s="25">
        <v>207110</v>
      </c>
      <c r="G18" s="8"/>
      <c r="H18" s="7">
        <v>587363</v>
      </c>
      <c r="I18" s="3"/>
      <c r="J18" s="3">
        <v>2970</v>
      </c>
      <c r="K18" s="4">
        <v>323244</v>
      </c>
      <c r="L18" s="9"/>
      <c r="N18" s="1"/>
    </row>
    <row r="19" spans="1:14" x14ac:dyDescent="0.2">
      <c r="B19" s="2">
        <v>15</v>
      </c>
      <c r="C19" s="11">
        <v>44607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44608</v>
      </c>
      <c r="D20" s="7"/>
      <c r="E20" s="27"/>
      <c r="F20" s="4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44609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44610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44611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44612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44613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44614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44615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44617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44618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44619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44620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2022-02-14T09:54:01Z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