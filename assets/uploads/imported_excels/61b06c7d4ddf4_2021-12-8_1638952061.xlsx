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508" documentId="8_{5B502D95-7A37-4D5A-8B6B-374537CC2F26}" xr6:coauthVersionLast="47" xr6:coauthVersionMax="47" xr10:uidLastSave="{6E203874-9542-4254-BB81-1F23931F244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2" l="1"/>
  <c r="V16" i="2"/>
  <c r="N16" i="2"/>
  <c r="N17" i="2"/>
  <c r="M16" i="2"/>
  <c r="M17" i="2"/>
  <c r="L16" i="2"/>
  <c r="L17" i="2"/>
  <c r="F16" i="2"/>
  <c r="F17" i="2"/>
  <c r="K15" i="6"/>
  <c r="K16" i="6"/>
  <c r="I16" i="6"/>
  <c r="I15" i="6"/>
  <c r="G15" i="6"/>
  <c r="G16" i="6"/>
  <c r="E15" i="6"/>
  <c r="E16" i="6"/>
  <c r="C15" i="6"/>
  <c r="C16" i="6"/>
  <c r="V12" i="2"/>
  <c r="V13" i="2"/>
  <c r="V14" i="2"/>
  <c r="N13" i="2"/>
  <c r="N14" i="2"/>
  <c r="N15" i="2"/>
  <c r="M13" i="2"/>
  <c r="M14" i="2"/>
  <c r="M15" i="2"/>
  <c r="L13" i="2"/>
  <c r="L14" i="2"/>
  <c r="L15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M4" i="4"/>
  <c r="M5" i="4"/>
  <c r="M6" i="4"/>
  <c r="M7" i="4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L31" i="22"/>
  <c r="L32" i="22"/>
  <c r="K31" i="22"/>
  <c r="K32" i="22"/>
  <c r="I31" i="22"/>
  <c r="I32" i="22"/>
  <c r="G32" i="22"/>
  <c r="E31" i="22"/>
  <c r="E32" i="22"/>
  <c r="B31" i="22"/>
  <c r="B32" i="22"/>
  <c r="I31" i="21"/>
  <c r="I32" i="21"/>
  <c r="H31" i="21"/>
  <c r="H32" i="21"/>
  <c r="G31" i="21"/>
  <c r="G32" i="21"/>
  <c r="F31" i="21"/>
  <c r="F32" i="21"/>
  <c r="E31" i="21"/>
  <c r="E32" i="21"/>
  <c r="B31" i="21"/>
  <c r="B32" i="21"/>
  <c r="X39" i="2"/>
  <c r="O39" i="2"/>
  <c r="Q39" i="2"/>
  <c r="H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40" i="2"/>
  <c r="G30" i="22"/>
  <c r="P39" i="4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7" i="4" l="1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X10" i="2" s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<sst xmlns="http://schemas.openxmlformats.org/spreadsheetml/2006/main" count="478" uniqueCount="186">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</sst>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  <c:pt idx="6">
                  <c:v>93.200000000011642</c:v>
                </c:pt>
                <c:pt idx="7">
                  <c:v>75.100000000005821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  <c:pt idx="6">
                  <c:v>2901</c:v>
                </c:pt>
                <c:pt idx="7">
                  <c:v>2753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  <c:pt idx="6">
                  <c:v>4036</c:v>
                </c:pt>
                <c:pt idx="7">
                  <c:v>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  <c:pt idx="6">
                  <c:v>1815</c:v>
                </c:pt>
                <c:pt idx="7">
                  <c:v>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256.4776</c:v>
                </c:pt>
                <c:pt idx="4">
                  <c:v>543.98657000000003</c:v>
                </c:pt>
                <c:pt idx="5">
                  <c:v>223.99447000000001</c:v>
                </c:pt>
                <c:pt idx="6">
                  <c:v>95.997630000000001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10335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256.4776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223.99447000000001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19</v>
      </c>
      <c r="L7" s="137">
        <f>'Consommation mensuel énergie'!E15</f>
        <v>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8752</v>
      </c>
      <c r="F8" s="134">
        <v>1.05</v>
      </c>
      <c r="G8" s="134">
        <f>'Consommation mensuel énergie'!V16</f>
        <v>95.997630000000001</v>
      </c>
      <c r="H8" s="134">
        <v>9.9649999999999999</v>
      </c>
      <c r="I8" s="134">
        <f>'Consommation mensuel énergie'!F16</f>
        <v>93.200000000011642</v>
      </c>
      <c r="J8" s="134">
        <v>11.4</v>
      </c>
      <c r="K8" s="137">
        <f>'Consommation mensuel énergie'!D16</f>
        <v>15</v>
      </c>
      <c r="L8" s="137">
        <f>'Consommation mensuel énergie'!E16</f>
        <v>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8045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75.100000000005821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2272.4278299999996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énergie'!N14</f>
        <v>1983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19</v>
      </c>
      <c r="I7" s="137">
        <f>'Consommation mensuel énergie'!E15</f>
        <v>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2901</v>
      </c>
      <c r="F8" s="137">
        <f>'Consommation mensuel énergie'!M16</f>
        <v>4036</v>
      </c>
      <c r="G8" s="137">
        <f>'Consommation mensuel énergie'!N16</f>
        <v>1815</v>
      </c>
      <c r="H8" s="137">
        <f>'Consommation mensuel énergie'!D16</f>
        <v>15</v>
      </c>
      <c r="I8" s="137">
        <f>'Consommation mensuel énergie'!E16</f>
        <v>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2753</v>
      </c>
      <c r="F9" s="137">
        <f>'Consommation mensuel énergie'!M17</f>
        <v>3746</v>
      </c>
      <c r="G9" s="137">
        <f>'Consommation mensuel énergie'!N17</f>
        <v>1546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3" activePane="bottomRight" state="frozen"/>
      <selection pane="bottomRight" activeCell="F16" sqref="F1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6">
        <f>F10*8.79</f>
        <v>727.81199999989758</v>
      </c>
      <c r="I10" s="167"/>
      <c r="J10" s="167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V10*10.491</f>
        <v>8056.8890906400002</v>
      </c>
    </row>
    <row r="11" spans="1:24" ht="32.25" customHeight="1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6">
        <f t="shared" ref="H11:H21" si="0">F11*8.79</f>
        <v>897.45900000005111</v>
      </c>
      <c r="I11" s="167"/>
      <c r="J11" s="167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V11*10.491</f>
        <v>2014.22227266</v>
      </c>
    </row>
    <row r="12" spans="1:24" ht="32.25" customHeight="1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6">
        <f t="shared" si="0"/>
        <v>870.20999999999992</v>
      </c>
      <c r="I12" s="167"/>
      <c r="J12" s="167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2014.22227266</v>
      </c>
    </row>
    <row r="13" spans="1:24" ht="32.25" customHeight="1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6">
        <f t="shared" si="0"/>
        <v>625.84799999997438</v>
      </c>
      <c r="I13" s="167"/>
      <c r="J13" s="167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256.4776</v>
      </c>
      <c r="W13" s="11"/>
      <c r="X13" s="34">
        <f t="shared" si="1"/>
        <v>2690.7065015999997</v>
      </c>
    </row>
    <row r="14" spans="1:24" ht="32.25" customHeight="1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6">
        <f t="shared" si="0"/>
        <v>674.1929999999744</v>
      </c>
      <c r="I14" s="167"/>
      <c r="J14" s="167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5706.9631058699997</v>
      </c>
    </row>
    <row r="15" spans="1:24" ht="32.25" customHeight="1">
      <c r="A15" s="5"/>
      <c r="B15" s="6">
        <v>44536</v>
      </c>
      <c r="C15" s="7"/>
      <c r="D15" s="143">
        <v>19</v>
      </c>
      <c r="E15" s="143">
        <v>27</v>
      </c>
      <c r="F15" s="13">
        <f>'Suivi EAU-ELEC'!E14</f>
        <v>93</v>
      </c>
      <c r="G15" s="11"/>
      <c r="H15" s="166">
        <f t="shared" si="0"/>
        <v>817.46999999999991</v>
      </c>
      <c r="I15" s="167"/>
      <c r="J15" s="167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1"/>
        <v>2349.92598477</v>
      </c>
    </row>
    <row r="16" spans="1:24" ht="32.25" customHeight="1">
      <c r="A16" s="5"/>
      <c r="B16" s="6">
        <v>44537</v>
      </c>
      <c r="C16" s="7"/>
      <c r="D16" s="143">
        <v>15</v>
      </c>
      <c r="E16" s="143">
        <v>21</v>
      </c>
      <c r="F16" s="13">
        <f>'Suivi EAU-ELEC'!E15</f>
        <v>93.200000000011642</v>
      </c>
      <c r="G16" s="11"/>
      <c r="H16" s="166">
        <f t="shared" si="0"/>
        <v>819.22800000010227</v>
      </c>
      <c r="I16" s="167"/>
      <c r="J16" s="167"/>
      <c r="K16" s="60">
        <v>42284</v>
      </c>
      <c r="L16" s="90">
        <f>'Suivi EAU-ELEC'!G15</f>
        <v>2901</v>
      </c>
      <c r="M16" s="91">
        <f>'Suivi EAU-ELEC'!I15</f>
        <v>4036</v>
      </c>
      <c r="N16" s="91">
        <f>'Suivi EAU-ELEC'!K15</f>
        <v>1815</v>
      </c>
      <c r="O16" s="91">
        <f t="shared" si="2"/>
        <v>8752</v>
      </c>
      <c r="P16" s="11"/>
      <c r="Q16" s="34">
        <f t="shared" si="3"/>
        <v>8280.8749000000007</v>
      </c>
      <c r="R16" s="11"/>
      <c r="S16" s="28"/>
      <c r="T16" s="11"/>
      <c r="U16" s="28"/>
      <c r="V16" s="146">
        <f>'Suvi Gaz'!O10</f>
        <v>95.997630000000001</v>
      </c>
      <c r="W16" s="11"/>
      <c r="X16" s="34">
        <f t="shared" si="1"/>
        <v>1007.11113633</v>
      </c>
    </row>
    <row r="17" spans="1:24" s="5" customFormat="1" ht="32.25" customHeight="1">
      <c r="A17" s="2"/>
      <c r="B17" s="6">
        <v>44538</v>
      </c>
      <c r="C17" s="7"/>
      <c r="D17" s="143"/>
      <c r="E17" s="143"/>
      <c r="F17" s="13">
        <f>'Suivi EAU-ELEC'!E16</f>
        <v>75.100000000005821</v>
      </c>
      <c r="G17" s="11"/>
      <c r="H17" s="166">
        <f t="shared" si="0"/>
        <v>660.12900000005106</v>
      </c>
      <c r="I17" s="167"/>
      <c r="J17" s="167"/>
      <c r="K17" s="60">
        <v>42285</v>
      </c>
      <c r="L17" s="90">
        <f>'Suivi EAU-ELEC'!G16</f>
        <v>2753</v>
      </c>
      <c r="M17" s="91">
        <f>'Suivi EAU-ELEC'!I16</f>
        <v>3746</v>
      </c>
      <c r="N17" s="91">
        <f>'Suivi EAU-ELEC'!K16</f>
        <v>1546</v>
      </c>
      <c r="O17" s="91">
        <f t="shared" si="2"/>
        <v>8045</v>
      </c>
      <c r="P17" s="12"/>
      <c r="Q17" s="34">
        <f t="shared" si="3"/>
        <v>7543.7133000000013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44539</v>
      </c>
      <c r="C18" s="7"/>
      <c r="D18" s="143"/>
      <c r="E18" s="143"/>
      <c r="F18" s="13"/>
      <c r="G18" s="11"/>
      <c r="H18" s="166">
        <f t="shared" si="0"/>
        <v>0</v>
      </c>
      <c r="I18" s="167"/>
      <c r="J18" s="167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44540</v>
      </c>
      <c r="C19" s="7"/>
      <c r="D19" s="143"/>
      <c r="E19" s="143"/>
      <c r="F19" s="13"/>
      <c r="G19" s="12"/>
      <c r="H19" s="166">
        <f t="shared" si="0"/>
        <v>0</v>
      </c>
      <c r="I19" s="167"/>
      <c r="J19" s="167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44541</v>
      </c>
      <c r="C20" s="7"/>
      <c r="D20" s="143"/>
      <c r="E20" s="143"/>
      <c r="F20" s="13"/>
      <c r="G20" s="12"/>
      <c r="H20" s="166">
        <f t="shared" si="0"/>
        <v>0</v>
      </c>
      <c r="I20" s="167"/>
      <c r="J20" s="167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44542</v>
      </c>
      <c r="C21" s="7"/>
      <c r="D21" s="143"/>
      <c r="E21" s="143"/>
      <c r="F21" s="13"/>
      <c r="G21" s="12"/>
      <c r="H21" s="166">
        <f t="shared" si="0"/>
        <v>0</v>
      </c>
      <c r="I21" s="167"/>
      <c r="J21" s="167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44543</v>
      </c>
      <c r="C22" s="7"/>
      <c r="D22" s="143"/>
      <c r="E22" s="143"/>
      <c r="F22" s="13"/>
      <c r="G22" s="12"/>
      <c r="H22" s="166">
        <f t="shared" ref="H22:H35" si="4">F22*8.79</f>
        <v>0</v>
      </c>
      <c r="I22" s="167"/>
      <c r="J22" s="167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44544</v>
      </c>
      <c r="C23" s="7"/>
      <c r="D23" s="143"/>
      <c r="E23" s="143"/>
      <c r="F23" s="13"/>
      <c r="G23" s="14"/>
      <c r="H23" s="166">
        <f t="shared" si="4"/>
        <v>0</v>
      </c>
      <c r="I23" s="167"/>
      <c r="J23" s="167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44545</v>
      </c>
      <c r="C24" s="7"/>
      <c r="D24" s="143"/>
      <c r="E24" s="143"/>
      <c r="F24" s="13"/>
      <c r="G24" s="14"/>
      <c r="H24" s="166">
        <f t="shared" si="4"/>
        <v>0</v>
      </c>
      <c r="I24" s="167"/>
      <c r="J24" s="167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44546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44547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44548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44549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44550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44551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44552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44553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44554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44555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44556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44557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44558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44559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>V38*10.491</f>
        <v>0</v>
      </c>
    </row>
    <row r="39" spans="1:24" ht="33.75" customHeight="1">
      <c r="A39" s="2"/>
      <c r="B39" s="6">
        <v>44560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>V39*10.491</f>
        <v>0</v>
      </c>
    </row>
    <row r="40" spans="1:24" ht="33.75" customHeight="1">
      <c r="A40" s="2"/>
      <c r="B40" s="6">
        <v>44561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216</v>
      </c>
      <c r="E41" s="8">
        <f>SUM(E10:E40)</f>
        <v>327</v>
      </c>
      <c r="F41" s="152">
        <f>SUM(F10:F40)</f>
        <v>693.10000000000582</v>
      </c>
      <c r="G41" s="1"/>
      <c r="H41" s="204">
        <f>SUM(H10:H40)</f>
        <v>6092.3490000000502</v>
      </c>
      <c r="I41" s="205"/>
      <c r="J41" s="206"/>
      <c r="K41" s="1"/>
      <c r="L41" s="53">
        <f>SUM(L10:L40)</f>
        <v>24673</v>
      </c>
      <c r="M41" s="53">
        <f>SUM(M10:M40)</f>
        <v>35135</v>
      </c>
      <c r="N41" s="54">
        <f>SUM(N10:N40)</f>
        <v>15740</v>
      </c>
      <c r="O41" s="55">
        <f>SUM(O10:O40)</f>
        <v>75548</v>
      </c>
      <c r="P41" s="31"/>
      <c r="Q41" s="32">
        <f>SUM(Q10:Q40)</f>
        <v>71309.337500000009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2272.4278299999996</v>
      </c>
      <c r="W41" s="31"/>
      <c r="X41" s="32">
        <f>SUM(X10:X40)</f>
        <v>23840.040364530003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24673</v>
      </c>
      <c r="J44" s="219"/>
      <c r="K44" s="220"/>
      <c r="L44" s="202">
        <f>I44*H44</f>
        <v>17234.090499999998</v>
      </c>
      <c r="M44" s="203"/>
      <c r="N44" s="175">
        <f>L44+L45+L46</f>
        <v>71602.025499999989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35135</v>
      </c>
      <c r="J45" s="219"/>
      <c r="K45" s="220"/>
      <c r="L45" s="202">
        <f>I45*H45</f>
        <v>33427.438999999998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15740</v>
      </c>
      <c r="J46" s="194"/>
      <c r="K46" s="195"/>
      <c r="L46" s="202">
        <f>I46*H46</f>
        <v>20940.495999999999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93082.633149999994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693.10000000000582</v>
      </c>
      <c r="J48" s="214"/>
      <c r="K48" s="215"/>
      <c r="L48" s="216">
        <f>I48*H48</f>
        <v>6092.3490000000502</v>
      </c>
      <c r="M48" s="217"/>
      <c r="N48" s="172">
        <f>L48</f>
        <v>6092.3490000000502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>
      <c r="A49" s="187" t="s">
        <v>40</v>
      </c>
      <c r="B49" s="188"/>
      <c r="C49" s="188"/>
      <c r="D49" s="188"/>
      <c r="E49" s="188"/>
      <c r="F49" s="189"/>
      <c r="G49" s="24"/>
      <c r="H49" s="25">
        <v>10.491</v>
      </c>
      <c r="I49" s="190">
        <f>V41</f>
        <v>2272.4278299999996</v>
      </c>
      <c r="J49" s="191"/>
      <c r="K49" s="192"/>
      <c r="L49" s="190">
        <f>I49*H49</f>
        <v>23840.040364529996</v>
      </c>
      <c r="M49" s="192"/>
      <c r="N49" s="169">
        <f>L49</f>
        <v>23840.040364529996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3" activePane="bottomRight" state="frozen"/>
      <selection pane="bottomRight" activeCell="B17" sqref="B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>H10-H9</f>
        <v>4977</v>
      </c>
      <c r="J10" s="51">
        <v>8429559</v>
      </c>
      <c r="K10" s="50">
        <f>J10-J9</f>
        <v>2203</v>
      </c>
    </row>
    <row r="11" spans="1:12" ht="19.5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>D11-D10</f>
        <v>99</v>
      </c>
      <c r="F11" s="51">
        <v>11287276</v>
      </c>
      <c r="G11" s="50">
        <f>F11-F10</f>
        <v>3397</v>
      </c>
      <c r="H11" s="51">
        <v>19214235</v>
      </c>
      <c r="I11" s="50">
        <f>H11-H10</f>
        <v>4591</v>
      </c>
      <c r="J11" s="51">
        <v>8431751</v>
      </c>
      <c r="K11" s="50">
        <f>J11-J10</f>
        <v>2192</v>
      </c>
    </row>
    <row r="12" spans="1:12" ht="19.5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>D12-D11</f>
        <v>71.19999999999709</v>
      </c>
      <c r="F12" s="51">
        <v>11290317</v>
      </c>
      <c r="G12" s="50">
        <f>F12-F11</f>
        <v>3041</v>
      </c>
      <c r="H12" s="51">
        <v>19218430</v>
      </c>
      <c r="I12" s="50">
        <f>H12-H11</f>
        <v>4195</v>
      </c>
      <c r="J12" s="51">
        <v>8433664</v>
      </c>
      <c r="K12" s="50">
        <f>J12-J11</f>
        <v>1913</v>
      </c>
    </row>
    <row r="13" spans="1:12" ht="19.5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>D13-D12</f>
        <v>76.69999999999709</v>
      </c>
      <c r="F13" s="51">
        <v>11293210</v>
      </c>
      <c r="G13" s="50">
        <f>F13-F12</f>
        <v>2893</v>
      </c>
      <c r="H13" s="51">
        <v>19222675</v>
      </c>
      <c r="I13" s="50">
        <f>H13-H12</f>
        <v>4245</v>
      </c>
      <c r="J13" s="51">
        <v>8435647</v>
      </c>
      <c r="K13" s="50">
        <f>J13-J12</f>
        <v>1983</v>
      </c>
    </row>
    <row r="14" spans="1:12" ht="19.5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>D14-D13</f>
        <v>93</v>
      </c>
      <c r="F14" s="51">
        <v>11296100</v>
      </c>
      <c r="G14" s="50">
        <f>F14-F13</f>
        <v>2890</v>
      </c>
      <c r="H14" s="51">
        <v>19226705</v>
      </c>
      <c r="I14" s="50">
        <f>H14-H13</f>
        <v>4030</v>
      </c>
      <c r="J14" s="51">
        <v>8437550</v>
      </c>
      <c r="K14" s="50">
        <f>J14-J13</f>
        <v>1903</v>
      </c>
    </row>
    <row r="15" spans="1:12" ht="19.5">
      <c r="A15" s="59">
        <v>44537</v>
      </c>
      <c r="B15" s="116">
        <v>2560</v>
      </c>
      <c r="C15" s="115">
        <f t="shared" ref="C15:C16" si="0">B15-B14</f>
        <v>0</v>
      </c>
      <c r="D15" s="57">
        <v>131143.1</v>
      </c>
      <c r="E15" s="50">
        <f t="shared" ref="E15:E16" si="1">D15-D14</f>
        <v>93.200000000011642</v>
      </c>
      <c r="F15" s="51">
        <v>11299001</v>
      </c>
      <c r="G15" s="50">
        <f t="shared" ref="G15:G16" si="2">F15-F14</f>
        <v>2901</v>
      </c>
      <c r="H15" s="51">
        <v>19230741</v>
      </c>
      <c r="I15" s="50">
        <f>H15-H14</f>
        <v>4036</v>
      </c>
      <c r="J15" s="51">
        <v>8439365</v>
      </c>
      <c r="K15" s="50">
        <f t="shared" ref="K15:K16" si="3">J15-J14</f>
        <v>1815</v>
      </c>
    </row>
    <row r="16" spans="1:12" ht="19.5">
      <c r="A16" s="59">
        <v>44538</v>
      </c>
      <c r="B16" s="116">
        <v>2560</v>
      </c>
      <c r="C16" s="115">
        <f t="shared" si="0"/>
        <v>0</v>
      </c>
      <c r="D16" s="57">
        <v>131218.20000000001</v>
      </c>
      <c r="E16" s="50">
        <f t="shared" si="1"/>
        <v>75.100000000005821</v>
      </c>
      <c r="F16" s="51">
        <v>11301754</v>
      </c>
      <c r="G16" s="50">
        <f t="shared" si="2"/>
        <v>2753</v>
      </c>
      <c r="H16" s="51">
        <v>19234487</v>
      </c>
      <c r="I16" s="50">
        <f>H16-H15</f>
        <v>3746</v>
      </c>
      <c r="J16" s="51">
        <v>8440911</v>
      </c>
      <c r="K16" s="50">
        <f t="shared" si="3"/>
        <v>1546</v>
      </c>
    </row>
    <row r="17" spans="1:29" ht="19.5">
      <c r="A17" s="59">
        <v>44539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44540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44541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44542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44543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44544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44545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44546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44547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44548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44549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44550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44551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44552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44553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44554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44555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44556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44557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44558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44559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44560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44561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44562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7" stopIfTrue="1" operator="lessThanOrEqual">
      <formula>0</formula>
    </cfRule>
  </conditionalFormatting>
  <conditionalFormatting sqref="E10:E40">
    <cfRule type="cellIs" dxfId="3" priority="4" stopIfTrue="1" operator="lessThanOrEqual">
      <formula>0</formula>
    </cfRule>
  </conditionalFormatting>
  <conditionalFormatting sqref="E10:E40">
    <cfRule type="cellIs" dxfId="2" priority="3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8" activePane="bottomRight" state="frozen"/>
      <selection pane="bottomRight" activeCell="H12" sqref="H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9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O4*10.491</f>
        <v>8056.8890906400002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44532</v>
      </c>
      <c r="B5" s="41">
        <v>53</v>
      </c>
      <c r="C5" s="39">
        <f t="shared" ref="C4:C35" si="7">IF(AC5&gt;0,((B5-R5)+(S5-B6)),IF(B6=0, ,(B5-B6)))</f>
        <v>0</v>
      </c>
      <c r="D5" s="41">
        <v>54</v>
      </c>
      <c r="E5" s="39">
        <f t="shared" ref="E4:E35" si="8">IF(AC5&gt;0,((D5-U5)+(V5-D6)),IF(D6=0, ,(D5-D6)))</f>
        <v>1</v>
      </c>
      <c r="F5" s="41">
        <v>56</v>
      </c>
      <c r="G5" s="39">
        <f t="shared" ref="G4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6" si="10">O5*10.491</f>
        <v>2014.22227266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1">IF(AC6&gt;0,((H6-AA6)+(AB6-H7)),IF(H7=0, ,(H6-H7)))</f>
        <v>2</v>
      </c>
      <c r="J6" s="39">
        <f t="shared" ref="J6:J42" si="12">B6+D6+F6+H6</f>
        <v>216</v>
      </c>
      <c r="K6" s="39">
        <f t="shared" ref="K6:K42" si="13">J6/4</f>
        <v>54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2014.22227266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1"/>
        <v>0</v>
      </c>
      <c r="J7" s="39">
        <f t="shared" si="12"/>
        <v>313</v>
      </c>
      <c r="K7" s="39">
        <f t="shared" si="13"/>
        <v>78.25</v>
      </c>
      <c r="L7" s="39">
        <f t="shared" si="14"/>
        <v>2</v>
      </c>
      <c r="M7" s="149">
        <f t="shared" si="3"/>
        <v>24196</v>
      </c>
      <c r="N7" s="39">
        <f t="shared" si="15"/>
        <v>483.92</v>
      </c>
      <c r="O7" s="39">
        <f>N7*0.53</f>
        <v>256.4776</v>
      </c>
      <c r="P7" s="42">
        <f t="shared" si="10"/>
        <v>2690.7065015999997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1"/>
        <v>5</v>
      </c>
      <c r="J8" s="39">
        <f t="shared" si="12"/>
        <v>305</v>
      </c>
      <c r="K8" s="39">
        <f t="shared" si="13"/>
        <v>76.25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5706.9631058699997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44536</v>
      </c>
      <c r="B9" s="41">
        <v>72</v>
      </c>
      <c r="C9" s="39">
        <f t="shared" si="7"/>
        <v>2</v>
      </c>
      <c r="D9" s="41">
        <v>70</v>
      </c>
      <c r="E9" s="39">
        <f t="shared" si="8"/>
        <v>0</v>
      </c>
      <c r="F9" s="41">
        <v>72</v>
      </c>
      <c r="G9" s="39">
        <f t="shared" si="9"/>
        <v>2</v>
      </c>
      <c r="H9" s="41">
        <v>74</v>
      </c>
      <c r="I9" s="39">
        <f t="shared" si="11"/>
        <v>3</v>
      </c>
      <c r="J9" s="39">
        <f t="shared" si="12"/>
        <v>288</v>
      </c>
      <c r="K9" s="39">
        <f t="shared" si="13"/>
        <v>72</v>
      </c>
      <c r="L9" s="39">
        <f t="shared" si="14"/>
        <v>1.75</v>
      </c>
      <c r="M9" s="149">
        <f t="shared" ref="M9:M42" si="17">6049*4</f>
        <v>24196</v>
      </c>
      <c r="N9" s="39">
        <f t="shared" si="15"/>
        <v>423.43</v>
      </c>
      <c r="O9" s="39">
        <f t="shared" si="16"/>
        <v>223.99447000000001</v>
      </c>
      <c r="P9" s="42">
        <f t="shared" si="10"/>
        <v>2349.92598477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44537</v>
      </c>
      <c r="B10" s="41">
        <v>70</v>
      </c>
      <c r="C10" s="39">
        <f t="shared" si="7"/>
        <v>1</v>
      </c>
      <c r="D10" s="41">
        <v>70</v>
      </c>
      <c r="E10" s="39">
        <f t="shared" si="8"/>
        <v>1</v>
      </c>
      <c r="F10" s="41">
        <v>70</v>
      </c>
      <c r="G10" s="39">
        <f t="shared" si="9"/>
        <v>0</v>
      </c>
      <c r="H10" s="41">
        <v>71</v>
      </c>
      <c r="I10" s="39">
        <f t="shared" si="11"/>
        <v>1</v>
      </c>
      <c r="J10" s="39">
        <f t="shared" si="12"/>
        <v>281</v>
      </c>
      <c r="K10" s="39">
        <f t="shared" si="13"/>
        <v>70.25</v>
      </c>
      <c r="L10" s="39">
        <f t="shared" si="14"/>
        <v>0.75</v>
      </c>
      <c r="M10" s="149">
        <f t="shared" si="17"/>
        <v>24196</v>
      </c>
      <c r="N10" s="39">
        <f t="shared" si="15"/>
        <v>181.47</v>
      </c>
      <c r="O10" s="148">
        <f t="shared" si="16"/>
        <v>95.997630000000001</v>
      </c>
      <c r="P10" s="42">
        <f t="shared" si="10"/>
        <v>1007.11113633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44538</v>
      </c>
      <c r="B11" s="41">
        <v>69</v>
      </c>
      <c r="C11" s="39">
        <f t="shared" si="7"/>
        <v>0</v>
      </c>
      <c r="D11" s="41">
        <v>69</v>
      </c>
      <c r="E11" s="39">
        <f t="shared" si="8"/>
        <v>0</v>
      </c>
      <c r="F11" s="41">
        <v>70</v>
      </c>
      <c r="G11" s="39">
        <f t="shared" si="9"/>
        <v>0</v>
      </c>
      <c r="H11" s="41">
        <v>70</v>
      </c>
      <c r="I11" s="39">
        <f t="shared" si="11"/>
        <v>0</v>
      </c>
      <c r="J11" s="39">
        <f t="shared" si="12"/>
        <v>278</v>
      </c>
      <c r="K11" s="39">
        <f t="shared" si="13"/>
        <v>69.5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44539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44540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44541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44542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44543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44544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44545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44546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44547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44548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44549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44550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44551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44552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44553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44554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44555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44556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44557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44558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44559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44560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44561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44562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9" si="27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4294.79</v>
      </c>
      <c r="O43" s="39">
        <f>N43*0.529</f>
        <v>2271.94391</v>
      </c>
      <c r="P43" s="42">
        <f>O43*10.491</f>
        <v>23834.963559809999</v>
      </c>
      <c r="Q43" s="284">
        <f>SUM(Q4:Q42)</f>
        <v>1894</v>
      </c>
      <c r="R43" s="285"/>
      <c r="S43" s="286"/>
      <c r="T43" s="287">
        <f>SUM(T4:T42)</f>
        <v>1890</v>
      </c>
      <c r="U43" s="285"/>
      <c r="V43" s="286"/>
      <c r="W43" s="287">
        <f>SUM(W4:W42)</f>
        <v>1890</v>
      </c>
      <c r="X43" s="285"/>
      <c r="Y43" s="286"/>
      <c r="Z43" s="287">
        <f>SUM(Z4:Z42)</f>
        <v>1890</v>
      </c>
      <c r="AA43" s="285"/>
      <c r="AB43" s="286"/>
      <c r="AC43" s="39">
        <f t="shared" si="20"/>
        <v>7564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7564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7564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4294.79</v>
      </c>
      <c r="L47" s="46">
        <f>O43</f>
        <v>2271.94391</v>
      </c>
      <c r="M47" s="46">
        <f>P43</f>
        <v>23834.963559809999</v>
      </c>
    </row>
    <row r="48" spans="1:31" ht="54.75" customHeight="1" thickBot="1">
      <c r="H48" s="280" t="s">
        <v>86</v>
      </c>
      <c r="I48" s="281"/>
      <c r="J48" s="282"/>
      <c r="K48" s="43">
        <f>AC44</f>
        <v>7564</v>
      </c>
      <c r="L48" s="44">
        <f>K48*0.529</f>
        <v>4001.3560000000002</v>
      </c>
      <c r="M48" s="44">
        <f>L48*10.491</f>
        <v>41978.225795999999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44497</v>
      </c>
      <c r="D8" s="350"/>
      <c r="E8" s="113">
        <v>44528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893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6"/>
      <c r="H17" s="337"/>
      <c r="I17" s="336">
        <f>+E17</f>
        <v>178715</v>
      </c>
      <c r="J17" s="337"/>
    </row>
    <row r="18" spans="1:10">
      <c r="A18" s="334" t="s">
        <v>111</v>
      </c>
      <c r="B18" s="335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6"/>
      <c r="H18" s="337"/>
      <c r="I18" s="336">
        <f>+E18</f>
        <v>115147</v>
      </c>
      <c r="J18" s="337"/>
    </row>
    <row r="19" spans="1:10">
      <c r="A19" s="334" t="s">
        <v>112</v>
      </c>
      <c r="B19" s="335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6"/>
      <c r="H19" s="337"/>
      <c r="I19" s="336">
        <f>+E19</f>
        <v>80666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374528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178715</v>
      </c>
      <c r="E25" s="72">
        <v>0.95140000000000002</v>
      </c>
      <c r="F25" s="73">
        <f>PRODUCT(D25*E25)</f>
        <v>170029.451</v>
      </c>
      <c r="G25" s="151">
        <v>14</v>
      </c>
      <c r="H25" s="65">
        <f>PRODUCT(0.14,F25)</f>
        <v>23804.123140000003</v>
      </c>
      <c r="I25" s="302">
        <f>SUM(H25,F25)</f>
        <v>193833.57414000001</v>
      </c>
      <c r="J25" s="303"/>
    </row>
    <row r="26" spans="1:10" ht="15">
      <c r="A26" s="299" t="s">
        <v>124</v>
      </c>
      <c r="B26" s="300"/>
      <c r="C26" s="301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302">
        <f t="shared" ref="I26:I31" si="0">SUM(H26,F26)</f>
        <v>91690.404630000005</v>
      </c>
      <c r="J26" s="303"/>
    </row>
    <row r="27" spans="1:10" ht="15">
      <c r="A27" s="299" t="s">
        <v>125</v>
      </c>
      <c r="B27" s="300"/>
      <c r="C27" s="301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302">
        <f>SUM(H27,F27)</f>
        <v>122342.57289600001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403992.3469</v>
      </c>
      <c r="G32" s="85"/>
      <c r="H32" s="86"/>
      <c r="I32" s="311">
        <f>SUM(I25:J31)</f>
        <v>460497.29546600004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2932.1999999999971</v>
      </c>
      <c r="C13" s="394"/>
      <c r="D13" s="394">
        <v>8.7899999999999991</v>
      </c>
      <c r="E13" s="394"/>
      <c r="F13" s="398">
        <f>PRODUCT(D13,B13)</f>
        <v>25774.037999999971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2932.1999999999971</v>
      </c>
      <c r="C19" s="394"/>
      <c r="D19" s="394">
        <v>2.61</v>
      </c>
      <c r="E19" s="394"/>
      <c r="F19" s="394">
        <f>PRODUCT(D19,B19)</f>
        <v>7653.0419999999922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33450.079999999965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2341.5055999999977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2549.7655999999979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35999.845599999964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2021-12-08T08:12:19Z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