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E11" i="1"/>
  <c r="L4" i="3" l="1"/>
  <c r="K4" i="3"/>
  <c r="I4" i="3"/>
  <c r="G4" i="3"/>
  <c r="E4" i="3"/>
  <c r="J4" i="2"/>
  <c r="I4" i="2"/>
  <c r="H4" i="2"/>
  <c r="F4" i="2"/>
  <c r="E4" i="2"/>
  <c r="E9" i="1" l="1"/>
  <c r="L3" i="3" l="1"/>
  <c r="K3" i="3"/>
  <c r="I3" i="3"/>
  <c r="G3" i="3"/>
  <c r="E3" i="3"/>
  <c r="J3" i="2"/>
  <c r="I3" i="2"/>
  <c r="H3" i="2"/>
  <c r="F3" i="2"/>
  <c r="E3" i="2"/>
  <c r="E8" i="1" l="1"/>
  <c r="J41" i="1"/>
  <c r="J44" i="1" s="1"/>
  <c r="I41" i="1"/>
  <c r="I42" i="1" s="1"/>
  <c r="I45" i="1" s="1"/>
  <c r="H41" i="1"/>
  <c r="G41" i="1"/>
  <c r="F41" i="1"/>
  <c r="C41" i="1"/>
  <c r="B41" i="1"/>
  <c r="C43" i="1" s="1"/>
  <c r="C45" i="1" s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E2" i="2" l="1"/>
  <c r="F2" i="2"/>
  <c r="H2" i="2"/>
  <c r="I2" i="2"/>
  <c r="J2" i="2"/>
  <c r="E2" i="3"/>
  <c r="G2" i="3"/>
  <c r="I2" i="3"/>
  <c r="K2" i="3"/>
  <c r="L2" i="3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25" i="2" l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<sst xmlns="http://schemas.openxmlformats.org/spreadsheetml/2006/main" count="106" uniqueCount="39">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</sst>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1" fontId="0" fillId="0" borderId="0" xfId="0" applyNumberFormat="1" applyFill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P10" sqref="P1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'4 - 2021'!B9-'4 - 2021'!B8+'4 - 2021'!C9-'4 - 2021'!C8</f>
        <v>9031</v>
      </c>
      <c r="F3" s="19">
        <v>0.11799999999999999</v>
      </c>
      <c r="G3" s="21">
        <f>(('4 - 2021'!E9-'4 - 2021'!E8)+('4 - 2021'!F9-'4 - 2021'!F8)+('4 - 2021'!G9-'4 - 2021'!G8))*1.81</f>
        <v>138.57360000000074</v>
      </c>
      <c r="H3" s="19">
        <v>0.99</v>
      </c>
      <c r="I3" s="21">
        <f>'4 - 2021'!J9-'4 - 2021'!J8</f>
        <v>21493</v>
      </c>
      <c r="J3" s="19">
        <v>8.1000000000000003E-2</v>
      </c>
      <c r="K3" s="43">
        <f>'4 - 2021'!H9-'4 - 2021'!H8</f>
        <v>0</v>
      </c>
      <c r="L3" s="21">
        <f>'4 - 2021'!I9-'4 - 2021'!I8</f>
        <v>97</v>
      </c>
      <c r="M3" s="20">
        <v>4.393629424766913</v>
      </c>
      <c r="N3" s="36">
        <v>78</v>
      </c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8772</v>
      </c>
      <c r="F4" s="19">
        <v>0.11799999999999999</v>
      </c>
      <c r="G4" s="21">
        <f>(('4 - 2021'!E10-'4 - 2021'!E9)+('4 - 2021'!F10-'4 - 2021'!F9)+('4 - 2021'!G10-'4 - 2021'!G9))*1.81</f>
        <v>139.13469999999816</v>
      </c>
      <c r="H4" s="19">
        <v>0.99</v>
      </c>
      <c r="I4" s="21">
        <f>'4 - 2021'!J10-'4 - 2021'!J9</f>
        <v>20619</v>
      </c>
      <c r="J4" s="19">
        <v>8.1000000000000003E-2</v>
      </c>
      <c r="K4" s="43">
        <f>'4 - 2021'!H10-'4 - 2021'!H9</f>
        <v>0</v>
      </c>
      <c r="L4" s="21">
        <f>'4 - 2021'!I10-'4 - 2021'!I9</f>
        <v>84</v>
      </c>
      <c r="M4" s="20">
        <v>4.393629424766913</v>
      </c>
      <c r="N4" s="36">
        <v>79</v>
      </c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8857</v>
      </c>
      <c r="F5" s="19">
        <v>0.11799999999999999</v>
      </c>
      <c r="G5" s="21">
        <f>(('4 - 2021'!E11-'4 - 2021'!E10)+('4 - 2021'!F11-'4 - 2021'!F10)+('4 - 2021'!G11-'4 - 2021'!G10))*1.81</f>
        <v>138.79080000000465</v>
      </c>
      <c r="H5" s="19">
        <v>0.99</v>
      </c>
      <c r="I5" s="21">
        <f>'4 - 2021'!J11-'4 - 2021'!J10</f>
        <v>19939</v>
      </c>
      <c r="J5" s="19">
        <v>8.1000000000000003E-2</v>
      </c>
      <c r="K5" s="43">
        <f>'4 - 2021'!H11-'4 - 2021'!H10</f>
        <v>0</v>
      </c>
      <c r="L5" s="21">
        <f>'4 - 2021'!I11-'4 - 2021'!I10</f>
        <v>101</v>
      </c>
      <c r="M5" s="20">
        <v>4.393629424766913</v>
      </c>
      <c r="N5" s="36">
        <v>86</v>
      </c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9039</v>
      </c>
      <c r="F6" s="19">
        <v>0.11799999999999999</v>
      </c>
      <c r="G6" s="21">
        <f>(('4 - 2021'!E12-'4 - 2021'!E11)+('4 - 2021'!F12-'4 - 2021'!F11)+('4 - 2021'!G12-'4 - 2021'!G11))*1.81</f>
        <v>137.86769999999765</v>
      </c>
      <c r="H6" s="19">
        <v>0.99</v>
      </c>
      <c r="I6" s="21">
        <f>'4 - 2021'!J12-'4 - 2021'!J11</f>
        <v>23039</v>
      </c>
      <c r="J6" s="19">
        <v>8.1000000000000003E-2</v>
      </c>
      <c r="K6" s="43">
        <f>'4 - 2021'!H12-'4 - 2021'!H11</f>
        <v>0</v>
      </c>
      <c r="L6" s="21">
        <f>'4 - 2021'!I12-'4 - 2021'!I11</f>
        <v>100</v>
      </c>
      <c r="M6" s="20">
        <v>4.393629424766913</v>
      </c>
      <c r="N6" s="36">
        <v>82</v>
      </c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8921</v>
      </c>
      <c r="F7" s="19">
        <v>0.11799999999999999</v>
      </c>
      <c r="G7" s="21">
        <f>(('4 - 2021'!E13-'4 - 2021'!E12)+('4 - 2021'!F13-'4 - 2021'!F12)+('4 - 2021'!G13-'4 - 2021'!G12))*1.81</f>
        <v>147.51500000000001</v>
      </c>
      <c r="H7" s="19">
        <v>0.99</v>
      </c>
      <c r="I7" s="21">
        <f>'4 - 2021'!J13-'4 - 2021'!J12</f>
        <v>20586</v>
      </c>
      <c r="J7" s="19">
        <v>8.1000000000000003E-2</v>
      </c>
      <c r="K7" s="43">
        <f>'4 - 2021'!H13-'4 - 2021'!H12</f>
        <v>0</v>
      </c>
      <c r="L7" s="21">
        <f>'4 - 2021'!I13-'4 - 2021'!I12</f>
        <v>93</v>
      </c>
      <c r="M7" s="20">
        <v>4.393629424766913</v>
      </c>
      <c r="N7" s="36">
        <v>86</v>
      </c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'4 - 2021'!B14-'4 - 2021'!B13+'4 - 2021'!C14-'4 - 2021'!C13</f>
        <v>8972</v>
      </c>
      <c r="F8" s="19">
        <v>0.11799999999999999</v>
      </c>
      <c r="G8" s="21">
        <f>(('4 - 2021'!E14-'4 - 2021'!E13)+('4 - 2021'!F14-'4 - 2021'!F13)+('4 - 2021'!G14-'4 - 2021'!G13))*1.81</f>
        <v>137.12560000000039</v>
      </c>
      <c r="H8" s="19">
        <v>0.99</v>
      </c>
      <c r="I8" s="21">
        <f>'4 - 2021'!J14-'4 - 2021'!J13</f>
        <v>19080</v>
      </c>
      <c r="J8" s="19">
        <v>8.1000000000000003E-2</v>
      </c>
      <c r="K8" s="43">
        <f>'4 - 2021'!H14-'4 - 2021'!H13</f>
        <v>0</v>
      </c>
      <c r="L8" s="21">
        <f>'4 - 2021'!I14-'4 - 2021'!I13</f>
        <v>102</v>
      </c>
      <c r="M8" s="20">
        <v>4.393629424766913</v>
      </c>
      <c r="N8" s="38">
        <v>91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v>0</v>
      </c>
      <c r="F9" s="19">
        <v>0.11799999999999999</v>
      </c>
      <c r="G9" s="21">
        <v>0</v>
      </c>
      <c r="H9" s="19">
        <v>0.99</v>
      </c>
      <c r="I9" s="21">
        <v>0</v>
      </c>
      <c r="J9" s="19">
        <v>8.1000000000000003E-2</v>
      </c>
      <c r="K9" s="43">
        <v>0</v>
      </c>
      <c r="L9" s="21">
        <v>0</v>
      </c>
      <c r="M9" s="20">
        <v>4.393629424766913</v>
      </c>
      <c r="N9" s="36"/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'4 - 2021'!B16-'4 - 2021'!B15+'4 - 2021'!C16-'4 - 2021'!C15</f>
        <v>0</v>
      </c>
      <c r="F10" s="19">
        <v>0.11799999999999999</v>
      </c>
      <c r="G10" s="21">
        <f>(('4 - 2021'!E16-'4 - 2021'!E15)+('4 - 2021'!F16-'4 - 2021'!F15)+('4 - 2021'!G16-'4 - 2021'!G15))*1.81</f>
        <v>0</v>
      </c>
      <c r="H10" s="19">
        <v>0.99</v>
      </c>
      <c r="I10" s="21">
        <f>'4 - 2021'!J16-'4 - 2021'!J15</f>
        <v>0</v>
      </c>
      <c r="J10" s="19">
        <v>8.1000000000000003E-2</v>
      </c>
      <c r="K10" s="43">
        <f>'4 - 2021'!H16-'4 - 2021'!H15</f>
        <v>0</v>
      </c>
      <c r="L10" s="21">
        <f>'4 - 2021'!I16-'4 - 2021'!I15</f>
        <v>0</v>
      </c>
      <c r="M10" s="20">
        <v>4.393629424766913</v>
      </c>
      <c r="N10" s="36"/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'4 - 2021'!B17-'4 - 2021'!B16+'4 - 2021'!C17-'4 - 2021'!C16</f>
        <v>0</v>
      </c>
      <c r="F11" s="19">
        <v>0.11799999999999999</v>
      </c>
      <c r="G11" s="21">
        <f>(('4 - 2021'!E17-'4 - 2021'!E16)+('4 - 2021'!F17-'4 - 2021'!F16)+('4 - 2021'!G17-'4 - 2021'!G16))*1.81</f>
        <v>0</v>
      </c>
      <c r="H11" s="19">
        <v>0.99</v>
      </c>
      <c r="I11" s="21">
        <f>'4 - 2021'!J17-'4 - 2021'!J16</f>
        <v>0</v>
      </c>
      <c r="J11" s="19">
        <v>8.1000000000000003E-2</v>
      </c>
      <c r="K11" s="43">
        <f>'4 - 2021'!H17-'4 - 2021'!H16</f>
        <v>0</v>
      </c>
      <c r="L11" s="21">
        <f>'4 - 2021'!I17-'4 - 2021'!I16</f>
        <v>0</v>
      </c>
      <c r="M11" s="20">
        <v>4.393629424766913</v>
      </c>
      <c r="N11" s="36"/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'4 - 2021'!B18-'4 - 2021'!B17+'4 - 2021'!C18-'4 - 2021'!C17</f>
        <v>0</v>
      </c>
      <c r="F12" s="19">
        <v>0.11799999999999999</v>
      </c>
      <c r="G12" s="21">
        <f>(('4 - 2021'!E18-'4 - 2021'!E17)+('4 - 2021'!F18-'4 - 2021'!F17)+('4 - 2021'!G18-'4 - 2021'!G17))*1.81</f>
        <v>0</v>
      </c>
      <c r="H12" s="19">
        <v>0.99</v>
      </c>
      <c r="I12" s="21">
        <f>'4 - 2021'!J18-'4 - 2021'!J17</f>
        <v>0</v>
      </c>
      <c r="J12" s="19">
        <v>8.1000000000000003E-2</v>
      </c>
      <c r="K12" s="43">
        <f>'4 - 2021'!H18-'4 - 2021'!H17</f>
        <v>0</v>
      </c>
      <c r="L12" s="21">
        <f>'4 - 2021'!I18-'4 - 2021'!I17</f>
        <v>0</v>
      </c>
      <c r="M12" s="20">
        <v>4.393629424766913</v>
      </c>
      <c r="N12" s="21"/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0</v>
      </c>
      <c r="F13" s="19">
        <v>0.11799999999999999</v>
      </c>
      <c r="G13" s="21">
        <f>(('4 - 2021'!E19-'4 - 2021'!E18)+('4 - 2021'!F19-'4 - 2021'!F18)+('4 - 2021'!G19-'4 - 2021'!G18))*1.81</f>
        <v>0</v>
      </c>
      <c r="H13" s="19">
        <v>0.99</v>
      </c>
      <c r="I13" s="21">
        <f>'4 - 2021'!J19-'4 - 2021'!J18</f>
        <v>0</v>
      </c>
      <c r="J13" s="19">
        <v>8.1000000000000003E-2</v>
      </c>
      <c r="K13" s="43">
        <f>'4 - 2021'!H19-'4 - 2021'!H18</f>
        <v>0</v>
      </c>
      <c r="L13" s="21">
        <f>'4 - 2021'!I19-'4 - 2021'!I18</f>
        <v>0</v>
      </c>
      <c r="M13" s="20">
        <v>4.393629424766913</v>
      </c>
      <c r="N13" s="21"/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0</v>
      </c>
      <c r="F14" s="19">
        <v>0.11799999999999999</v>
      </c>
      <c r="G14" s="21">
        <f>(('4 - 2021'!E20-'4 - 2021'!E19)+('4 - 2021'!F20-'4 - 2021'!F19)+('4 - 2021'!G20-'4 - 2021'!G19))*1.81</f>
        <v>0</v>
      </c>
      <c r="H14" s="19">
        <v>0.99</v>
      </c>
      <c r="I14" s="21">
        <f>'4 - 2021'!J20-'4 - 2021'!J19</f>
        <v>0</v>
      </c>
      <c r="J14" s="19">
        <v>8.1000000000000003E-2</v>
      </c>
      <c r="K14" s="43">
        <f>'4 - 2021'!H20-'4 - 2021'!H19</f>
        <v>0</v>
      </c>
      <c r="L14" s="21">
        <f>'4 - 2021'!I20-'4 - 2021'!I19</f>
        <v>0</v>
      </c>
      <c r="M14" s="20">
        <v>4.393629424766913</v>
      </c>
      <c r="N14" s="21"/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0</v>
      </c>
      <c r="F15" s="19">
        <v>0.11799999999999999</v>
      </c>
      <c r="G15" s="21">
        <f>(('4 - 2021'!E21-'4 - 2021'!E20)+('4 - 2021'!F21-'4 - 2021'!F20)+('4 - 2021'!G21-'4 - 2021'!G20))*1.81</f>
        <v>0</v>
      </c>
      <c r="H15" s="19">
        <v>0.99</v>
      </c>
      <c r="I15" s="21">
        <f>'4 - 2021'!J21-'4 - 2021'!J20</f>
        <v>0</v>
      </c>
      <c r="J15" s="19">
        <v>8.1000000000000003E-2</v>
      </c>
      <c r="K15" s="43">
        <f>'4 - 2021'!H21-'4 - 2021'!H20</f>
        <v>0</v>
      </c>
      <c r="L15" s="21">
        <f>'4 - 2021'!I21-'4 - 2021'!I20</f>
        <v>0</v>
      </c>
      <c r="M15" s="20">
        <v>4.393629424766913</v>
      </c>
      <c r="N15" s="21"/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'4 - 2021'!B22-'4 - 2021'!B21+'4 - 2021'!C22-'4 - 2021'!C21</f>
        <v>0</v>
      </c>
      <c r="F16" s="19">
        <v>0.11799999999999999</v>
      </c>
      <c r="G16" s="21">
        <f>(('4 - 2021'!E22-'4 - 2021'!E21)+('4 - 2021'!F22-'4 - 2021'!F21)+('4 - 2021'!G22-'4 - 2021'!G21))*1.81</f>
        <v>0</v>
      </c>
      <c r="H16" s="19">
        <v>0.99</v>
      </c>
      <c r="I16" s="21">
        <f>'4 - 2021'!J22-'4 - 2021'!J21</f>
        <v>0</v>
      </c>
      <c r="J16" s="19">
        <v>8.1000000000000003E-2</v>
      </c>
      <c r="K16" s="43">
        <f>'4 - 2021'!H22-'4 - 2021'!H21</f>
        <v>0</v>
      </c>
      <c r="L16" s="21">
        <f>'4 - 2021'!I22-'4 - 2021'!I21</f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'4 - 2021'!B23-'4 - 2021'!B22+'4 - 2021'!C23-'4 - 2021'!C22</f>
        <v>0</v>
      </c>
      <c r="F17" s="19">
        <v>0.11799999999999999</v>
      </c>
      <c r="G17" s="21">
        <f>(('4 - 2021'!E23-'4 - 2021'!E22)+('4 - 2021'!F23-'4 - 2021'!F22)+('4 - 2021'!G23-'4 - 2021'!G22))*1.81</f>
        <v>0</v>
      </c>
      <c r="H17" s="19">
        <v>0.99</v>
      </c>
      <c r="I17" s="21">
        <f>'4 - 2021'!J23-'4 - 2021'!J22</f>
        <v>0</v>
      </c>
      <c r="J17" s="19">
        <v>8.1000000000000003E-2</v>
      </c>
      <c r="K17" s="43">
        <f>'4 - 2021'!H23-'4 - 2021'!H22</f>
        <v>0</v>
      </c>
      <c r="L17" s="21">
        <f>'4 - 2021'!I23-'4 - 2021'!I22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0</v>
      </c>
      <c r="F18" s="19">
        <v>0.11799999999999999</v>
      </c>
      <c r="G18" s="21">
        <f>(('4 - 2021'!E24-'4 - 2021'!E23)+('4 - 2021'!F24-'4 - 2021'!F23)+('4 - 2021'!G24-'4 - 2021'!G23))*1.81</f>
        <v>0</v>
      </c>
      <c r="H18" s="19">
        <v>0.99</v>
      </c>
      <c r="I18" s="21">
        <f>'4 - 2021'!J24-'4 - 2021'!J23</f>
        <v>0</v>
      </c>
      <c r="J18" s="19">
        <v>8.1000000000000003E-2</v>
      </c>
      <c r="K18" s="43">
        <f>'4 - 2021'!H24-'4 - 2021'!H23</f>
        <v>0</v>
      </c>
      <c r="L18" s="21">
        <f>'4 - 2021'!I24-'4 - 2021'!I23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'4 - 2021'!B25-'4 - 2021'!B24+'4 - 2021'!C25-'4 - 2021'!C24</f>
        <v>0</v>
      </c>
      <c r="F19" s="19">
        <v>0.11799999999999999</v>
      </c>
      <c r="G19" s="21">
        <f>(('4 - 2021'!E25-'4 - 2021'!E24)+('4 - 2021'!F25-'4 - 2021'!F24)+('4 - 2021'!G25-'4 - 2021'!G24))*1.81</f>
        <v>0</v>
      </c>
      <c r="H19" s="19">
        <v>0.99</v>
      </c>
      <c r="I19" s="21">
        <f>'4 - 2021'!J25-'4 - 2021'!J24</f>
        <v>0</v>
      </c>
      <c r="J19" s="19">
        <v>8.1000000000000003E-2</v>
      </c>
      <c r="K19" s="43">
        <f>'4 - 2021'!H25-'4 - 2021'!H24</f>
        <v>0</v>
      </c>
      <c r="L19" s="21">
        <f>'4 - 2021'!I25-'4 - 2021'!I24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0</v>
      </c>
      <c r="F20" s="19">
        <v>0.11799999999999999</v>
      </c>
      <c r="G20" s="21">
        <f>(('4 - 2021'!E26-'4 - 2021'!E25)+('4 - 2021'!F26-'4 - 2021'!F25)+('4 - 2021'!G26-'4 - 2021'!G25))*1.81</f>
        <v>0</v>
      </c>
      <c r="H20" s="19">
        <v>0.99</v>
      </c>
      <c r="I20" s="21">
        <f>'4 - 2021'!J26-'4 - 2021'!J25</f>
        <v>0</v>
      </c>
      <c r="J20" s="19">
        <v>8.1000000000000003E-2</v>
      </c>
      <c r="K20" s="43">
        <f>'4 - 2021'!H26-'4 - 2021'!H25</f>
        <v>0</v>
      </c>
      <c r="L20" s="21">
        <f>'4 - 2021'!I26-'4 - 2021'!I25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'4 - 2021'!B27-'4 - 2021'!B26+'4 - 2021'!C27-'4 - 2021'!C26</f>
        <v>0</v>
      </c>
      <c r="F21" s="19">
        <v>0.11799999999999999</v>
      </c>
      <c r="G21" s="21">
        <f>(('4 - 2021'!E27-'4 - 2021'!E26)+('4 - 2021'!F27-'4 - 2021'!F26)+('4 - 2021'!G27-'4 - 2021'!G26))*1.81</f>
        <v>0</v>
      </c>
      <c r="H21" s="19">
        <v>0.99</v>
      </c>
      <c r="I21" s="21">
        <f>'4 - 2021'!J27-'4 - 2021'!J26</f>
        <v>0</v>
      </c>
      <c r="J21" s="19">
        <v>8.1000000000000003E-2</v>
      </c>
      <c r="K21" s="43">
        <f>'4 - 2021'!H27-'4 - 2021'!H26</f>
        <v>0</v>
      </c>
      <c r="L21" s="21">
        <f>'4 - 2021'!I27-'4 - 2021'!I26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'4 - 2021'!B28-'4 - 2021'!B27+'4 - 2021'!C28-'4 - 2021'!C27</f>
        <v>0</v>
      </c>
      <c r="F22" s="19">
        <v>0.11799999999999999</v>
      </c>
      <c r="G22" s="21">
        <f>(('4 - 2021'!E28-'4 - 2021'!E27)+('4 - 2021'!F28-'4 - 2021'!F27)+('4 - 2021'!G28-'4 - 2021'!G27))*1.81</f>
        <v>0</v>
      </c>
      <c r="H22" s="19">
        <v>0.99</v>
      </c>
      <c r="I22" s="21">
        <f>'4 - 2021'!J28-'4 - 2021'!J27</f>
        <v>0</v>
      </c>
      <c r="J22" s="19">
        <v>8.1000000000000003E-2</v>
      </c>
      <c r="K22" s="43">
        <f>'4 - 2021'!H28-'4 - 2021'!H27</f>
        <v>0</v>
      </c>
      <c r="L22" s="21">
        <f>'4 - 2021'!I28-'4 - 2021'!I27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'4 - 2021'!B29-'4 - 2021'!B28+'4 - 2021'!C29-'4 - 2021'!C28</f>
        <v>0</v>
      </c>
      <c r="F23" s="19">
        <v>0.11799999999999999</v>
      </c>
      <c r="G23" s="21">
        <f>(('4 - 2021'!E29-'4 - 2021'!E28)+('4 - 2021'!F29-'4 - 2021'!F28)+('4 - 2021'!G29-'4 - 2021'!G28))*1.81</f>
        <v>0</v>
      </c>
      <c r="H23" s="19">
        <v>0.99</v>
      </c>
      <c r="I23" s="21">
        <f>'4 - 2021'!J29-'4 - 2021'!J28</f>
        <v>0</v>
      </c>
      <c r="J23" s="19">
        <v>8.1000000000000003E-2</v>
      </c>
      <c r="K23" s="43">
        <f>'4 - 2021'!H29-'4 - 2021'!H28</f>
        <v>0</v>
      </c>
      <c r="L23" s="21">
        <f>'4 - 2021'!I29-'4 - 2021'!I28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'4 - 2021'!B30-'4 - 2021'!B29+'4 - 2021'!C30-'4 - 2021'!C29</f>
        <v>0</v>
      </c>
      <c r="F24" s="19">
        <v>0.11799999999999999</v>
      </c>
      <c r="G24" s="21">
        <f>(('4 - 2021'!E30-'4 - 2021'!E29)+('4 - 2021'!F30-'4 - 2021'!F29)+('4 - 2021'!G30-'4 - 2021'!G29))*1.81</f>
        <v>0</v>
      </c>
      <c r="H24" s="19">
        <v>0.99</v>
      </c>
      <c r="I24" s="21">
        <f>'4 - 2021'!J30-'4 - 2021'!J29</f>
        <v>0</v>
      </c>
      <c r="J24" s="19">
        <v>8.1000000000000003E-2</v>
      </c>
      <c r="K24" s="43">
        <f>'4 - 2021'!H30-'4 - 2021'!H29</f>
        <v>0</v>
      </c>
      <c r="L24" s="21">
        <f>'4 - 2021'!I30-'4 - 2021'!I29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'4 - 2021'!B31-'4 - 2021'!B30+'4 - 2021'!C31-'4 - 2021'!C30</f>
        <v>0</v>
      </c>
      <c r="F25" s="19">
        <v>0.11799999999999999</v>
      </c>
      <c r="G25" s="21">
        <f>(('4 - 2021'!E31-'4 - 2021'!E30)+('4 - 2021'!F31-'4 - 2021'!F30)+('4 - 2021'!G31-'4 - 2021'!G30))*1.81</f>
        <v>0</v>
      </c>
      <c r="H25" s="19">
        <v>0.99</v>
      </c>
      <c r="I25" s="21">
        <f>'4 - 2021'!J31-'4 - 2021'!J30</f>
        <v>0</v>
      </c>
      <c r="J25" s="19">
        <v>8.1000000000000003E-2</v>
      </c>
      <c r="K25" s="43">
        <f>'4 - 2021'!H31-'4 - 2021'!H30</f>
        <v>0</v>
      </c>
      <c r="L25" s="21">
        <f>'4 - 2021'!I31-'4 - 2021'!I30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'4 - 2021'!B32-'4 - 2021'!B31+'4 - 2021'!C32-'4 - 2021'!C31</f>
        <v>0</v>
      </c>
      <c r="F26" s="19">
        <v>0.11799999999999999</v>
      </c>
      <c r="G26" s="21">
        <f>(('4 - 2021'!E32-'4 - 2021'!E31)+('4 - 2021'!F32-'4 - 2021'!F31)+('4 - 2021'!G32-'4 - 2021'!G31))*1.81</f>
        <v>0</v>
      </c>
      <c r="H26" s="19">
        <v>0.99</v>
      </c>
      <c r="I26" s="21">
        <f>'4 - 2021'!J32-'4 - 2021'!J31</f>
        <v>0</v>
      </c>
      <c r="J26" s="19">
        <v>8.1000000000000003E-2</v>
      </c>
      <c r="K26" s="43">
        <f>'4 - 2021'!H32-'4 - 2021'!H31</f>
        <v>0</v>
      </c>
      <c r="L26" s="21">
        <f>'4 - 2021'!I32-'4 - 2021'!I31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0</v>
      </c>
      <c r="F27" s="19">
        <v>0.11799999999999999</v>
      </c>
      <c r="G27" s="21">
        <f>(('4 - 2021'!E33-'4 - 2021'!E32)+('4 - 2021'!F33-'4 - 2021'!F32)+('4 - 2021'!G33-'4 - 2021'!G32))*1.81</f>
        <v>0</v>
      </c>
      <c r="H27" s="19">
        <v>0.99</v>
      </c>
      <c r="I27" s="21">
        <f>'4 - 2021'!J33-'4 - 2021'!J32</f>
        <v>0</v>
      </c>
      <c r="J27" s="19">
        <v>8.1000000000000003E-2</v>
      </c>
      <c r="K27" s="43">
        <f>'4 - 2021'!H33-'4 - 2021'!H32</f>
        <v>0</v>
      </c>
      <c r="L27" s="21">
        <f>'4 - 2021'!I33-'4 - 2021'!I32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'4 - 2021'!B34-'4 - 2021'!B33+'4 - 2021'!C34-'4 - 2021'!C33</f>
        <v>0</v>
      </c>
      <c r="F28" s="19">
        <v>0.11799999999999999</v>
      </c>
      <c r="G28" s="21">
        <f>(('4 - 2021'!E34-'4 - 2021'!E33)+('4 - 2021'!F34-'4 - 2021'!F33)+('4 - 2021'!G34-'4 - 2021'!G33))*1.81</f>
        <v>0</v>
      </c>
      <c r="H28" s="19">
        <v>0.99</v>
      </c>
      <c r="I28" s="21">
        <f>'4 - 2021'!J34-'4 - 2021'!J33</f>
        <v>0</v>
      </c>
      <c r="J28" s="19">
        <v>8.1000000000000003E-2</v>
      </c>
      <c r="K28" s="43">
        <f>'4 - 2021'!H34-'4 - 2021'!H33</f>
        <v>0</v>
      </c>
      <c r="L28" s="21">
        <f>'4 - 2021'!I34-'4 - 2021'!I33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'4 - 2021'!B35-'4 - 2021'!B34+'4 - 2021'!C35-'4 - 2021'!C34</f>
        <v>0</v>
      </c>
      <c r="F29" s="19">
        <v>0.11799999999999999</v>
      </c>
      <c r="G29" s="21">
        <f>(('4 - 2021'!E35-'4 - 2021'!E34)+('4 - 2021'!F35-'4 - 2021'!F34)+('4 - 2021'!G35-'4 - 2021'!G34))*1.81</f>
        <v>0</v>
      </c>
      <c r="H29" s="19">
        <v>0.99</v>
      </c>
      <c r="I29" s="21">
        <f>'4 - 2021'!J35-'4 - 2021'!J34</f>
        <v>0</v>
      </c>
      <c r="J29" s="19">
        <v>8.1000000000000003E-2</v>
      </c>
      <c r="K29" s="43">
        <f>'4 - 2021'!H35-'4 - 2021'!H34</f>
        <v>0</v>
      </c>
      <c r="L29" s="21">
        <f>'4 - 2021'!I35-'4 - 2021'!I34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17" sqref="O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</f>
        <v>3359</v>
      </c>
      <c r="F3" s="21">
        <f>'4 - 2021'!C9-'4 - 2021'!C8</f>
        <v>5672</v>
      </c>
      <c r="G3" s="19">
        <v>0.11799999999999999</v>
      </c>
      <c r="H3" s="21">
        <f>'4 - 2021'!E9-'4 - 2021'!E8</f>
        <v>26</v>
      </c>
      <c r="I3" s="21">
        <f>'4 - 2021'!F9-'4 - 2021'!F8</f>
        <v>5.1300000000001091</v>
      </c>
      <c r="J3" s="21">
        <f>'4 - 2021'!G9-'4 - 2021'!G8</f>
        <v>45.430000000000291</v>
      </c>
      <c r="K3" s="19">
        <v>0.74</v>
      </c>
      <c r="L3" s="36">
        <v>78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3219</v>
      </c>
      <c r="F4" s="21">
        <f>'4 - 2021'!C10-'4 - 2021'!C9</f>
        <v>5553</v>
      </c>
      <c r="G4" s="19">
        <v>0.11799999999999999</v>
      </c>
      <c r="H4" s="21">
        <f>'4 - 2021'!E10-'4 - 2021'!E9</f>
        <v>26</v>
      </c>
      <c r="I4" s="21">
        <f>'4 - 2021'!F10-'4 - 2021'!F9</f>
        <v>5.4099999999998545</v>
      </c>
      <c r="J4" s="21">
        <f>'4 - 2021'!G10-'4 - 2021'!G9</f>
        <v>45.459999999999127</v>
      </c>
      <c r="K4" s="19">
        <v>0.74</v>
      </c>
      <c r="L4" s="36">
        <v>79</v>
      </c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3257</v>
      </c>
      <c r="F5" s="21">
        <f>'4 - 2021'!C11-'4 - 2021'!C10</f>
        <v>5600</v>
      </c>
      <c r="G5" s="19">
        <v>0.11799999999999999</v>
      </c>
      <c r="H5" s="21">
        <f>'4 - 2021'!E11-'4 - 2021'!E10</f>
        <v>26</v>
      </c>
      <c r="I5" s="21">
        <f>'4 - 2021'!F11-'4 - 2021'!F10</f>
        <v>5.3099999999999454</v>
      </c>
      <c r="J5" s="21">
        <f>'4 - 2021'!G11-'4 - 2021'!G10</f>
        <v>45.370000000002619</v>
      </c>
      <c r="K5" s="19">
        <v>0.74</v>
      </c>
      <c r="L5" s="36">
        <v>86</v>
      </c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3540</v>
      </c>
      <c r="F6" s="21">
        <f>'4 - 2021'!C12-'4 - 2021'!C11</f>
        <v>5499</v>
      </c>
      <c r="G6" s="19">
        <v>0.11799999999999999</v>
      </c>
      <c r="H6" s="21">
        <f>'4 - 2021'!E12-'4 - 2021'!E11</f>
        <v>26</v>
      </c>
      <c r="I6" s="21">
        <f>'4 - 2021'!F12-'4 - 2021'!F11</f>
        <v>5.4100000000003092</v>
      </c>
      <c r="J6" s="21">
        <f>'4 - 2021'!G12-'4 - 2021'!G11</f>
        <v>44.759999999998399</v>
      </c>
      <c r="K6" s="19">
        <v>0.74</v>
      </c>
      <c r="L6" s="36">
        <v>82</v>
      </c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3440</v>
      </c>
      <c r="F7" s="21">
        <f>'4 - 2021'!C13-'4 - 2021'!C12</f>
        <v>5481</v>
      </c>
      <c r="G7" s="19">
        <v>0.11799999999999999</v>
      </c>
      <c r="H7" s="21">
        <f>'4 - 2021'!E13-'4 - 2021'!E12</f>
        <v>26</v>
      </c>
      <c r="I7" s="21">
        <f>'4 - 2021'!F13-'4 - 2021'!F12</f>
        <v>5.319999999999709</v>
      </c>
      <c r="J7" s="21">
        <f>'4 - 2021'!G13-'4 - 2021'!G12</f>
        <v>50.180000000000291</v>
      </c>
      <c r="K7" s="19">
        <v>0.74</v>
      </c>
      <c r="L7" s="36">
        <v>86</v>
      </c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</f>
        <v>3428</v>
      </c>
      <c r="F8" s="21">
        <f>'4 - 2021'!C14-'4 - 2021'!C13</f>
        <v>5544</v>
      </c>
      <c r="G8" s="19">
        <v>0.11799999999999999</v>
      </c>
      <c r="H8" s="21">
        <f>'4 - 2021'!E14-'4 - 2021'!E13</f>
        <v>26</v>
      </c>
      <c r="I8" s="21">
        <f>'4 - 2021'!F14-'4 - 2021'!F13</f>
        <v>5.0799999999999272</v>
      </c>
      <c r="J8" s="21">
        <f>'4 - 2021'!G14-'4 - 2021'!G13</f>
        <v>44.680000000000291</v>
      </c>
      <c r="K8" s="19">
        <v>0.74</v>
      </c>
      <c r="L8" s="36">
        <v>91</v>
      </c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v>0</v>
      </c>
      <c r="F9" s="21">
        <v>0</v>
      </c>
      <c r="G9" s="19">
        <v>0.11799999999999999</v>
      </c>
      <c r="H9" s="21">
        <v>0</v>
      </c>
      <c r="I9" s="21">
        <v>0</v>
      </c>
      <c r="J9" s="21">
        <v>0</v>
      </c>
      <c r="K9" s="19">
        <v>0.74</v>
      </c>
      <c r="L9" s="36"/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</f>
        <v>0</v>
      </c>
      <c r="F10" s="21">
        <f>'4 - 2021'!C16-'4 - 2021'!C15</f>
        <v>0</v>
      </c>
      <c r="G10" s="19">
        <v>0.11799999999999999</v>
      </c>
      <c r="H10" s="21">
        <f>'4 - 2021'!E16-'4 - 2021'!E15</f>
        <v>0</v>
      </c>
      <c r="I10" s="21">
        <f>'4 - 2021'!F16-'4 - 2021'!F15</f>
        <v>0</v>
      </c>
      <c r="J10" s="21">
        <f>'4 - 2021'!G16-'4 - 2021'!G15</f>
        <v>0</v>
      </c>
      <c r="K10" s="19">
        <v>0.74</v>
      </c>
      <c r="L10" s="36"/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</f>
        <v>0</v>
      </c>
      <c r="F11" s="21">
        <f>'4 - 2021'!C17-'4 - 2021'!C16</f>
        <v>0</v>
      </c>
      <c r="G11" s="19">
        <v>0.11799999999999999</v>
      </c>
      <c r="H11" s="21">
        <f>'4 - 2021'!E17-'4 - 2021'!E16</f>
        <v>0</v>
      </c>
      <c r="I11" s="21">
        <f>'4 - 2021'!F17-'4 - 2021'!F16</f>
        <v>0</v>
      </c>
      <c r="J11" s="21">
        <f>'4 - 2021'!G17-'4 - 2021'!G16</f>
        <v>0</v>
      </c>
      <c r="K11" s="19">
        <v>0.74</v>
      </c>
      <c r="L11" s="36"/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</f>
        <v>0</v>
      </c>
      <c r="F12" s="21">
        <f>'4 - 2021'!C18-'4 - 2021'!C17</f>
        <v>0</v>
      </c>
      <c r="G12" s="19">
        <v>0.11799999999999999</v>
      </c>
      <c r="H12" s="21">
        <f>'4 - 2021'!E18-'4 - 2021'!E17</f>
        <v>0</v>
      </c>
      <c r="I12" s="21">
        <f>'4 - 2021'!F18-'4 - 2021'!F17</f>
        <v>0</v>
      </c>
      <c r="J12" s="21">
        <f>'4 - 2021'!G18-'4 - 2021'!G17</f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0</v>
      </c>
      <c r="F13" s="21">
        <f>'4 - 2021'!C19-'4 - 2021'!C18</f>
        <v>0</v>
      </c>
      <c r="G13" s="19">
        <v>0.11799999999999999</v>
      </c>
      <c r="H13" s="21">
        <f>'4 - 2021'!E19-'4 - 2021'!E18</f>
        <v>0</v>
      </c>
      <c r="I13" s="21">
        <f>'4 - 2021'!F19-'4 - 2021'!F18</f>
        <v>0</v>
      </c>
      <c r="J13" s="21">
        <f>'4 - 2021'!G19-'4 - 2021'!G18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0</v>
      </c>
      <c r="F14" s="21">
        <f>'4 - 2021'!C20-'4 - 2021'!C19</f>
        <v>0</v>
      </c>
      <c r="G14" s="19">
        <v>0.11799999999999999</v>
      </c>
      <c r="H14" s="21">
        <f>'4 - 2021'!E20-'4 - 2021'!E19</f>
        <v>0</v>
      </c>
      <c r="I14" s="21">
        <f>'4 - 2021'!F20-'4 - 2021'!F19</f>
        <v>0</v>
      </c>
      <c r="J14" s="21">
        <f>'4 - 2021'!G20-'4 - 2021'!G19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0</v>
      </c>
      <c r="F15" s="21">
        <f>'4 - 2021'!C21-'4 - 2021'!C20</f>
        <v>0</v>
      </c>
      <c r="G15" s="19">
        <v>0.11799999999999999</v>
      </c>
      <c r="H15" s="21">
        <f>'4 - 2021'!E21-'4 - 2021'!E20</f>
        <v>0</v>
      </c>
      <c r="I15" s="21">
        <f>'4 - 2021'!F21-'4 - 2021'!F20</f>
        <v>0</v>
      </c>
      <c r="J15" s="21">
        <f>'4 - 2021'!G21-'4 - 2021'!G20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</f>
        <v>0</v>
      </c>
      <c r="F16" s="21">
        <f>'4 - 2021'!C22-'4 - 2021'!C21</f>
        <v>0</v>
      </c>
      <c r="G16" s="19">
        <v>0.11799999999999999</v>
      </c>
      <c r="H16" s="21">
        <f>'4 - 2021'!E22-'4 - 2021'!E21</f>
        <v>0</v>
      </c>
      <c r="I16" s="21">
        <f>'4 - 2021'!F22-'4 - 2021'!F21</f>
        <v>0</v>
      </c>
      <c r="J16" s="21">
        <f>'4 - 2021'!G22-'4 - 2021'!G21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</f>
        <v>0</v>
      </c>
      <c r="F17" s="21">
        <f>'4 - 2021'!C23-'4 - 2021'!C22</f>
        <v>0</v>
      </c>
      <c r="G17" s="19">
        <v>0.11799999999999999</v>
      </c>
      <c r="H17" s="21">
        <f>'4 - 2021'!E23-'4 - 2021'!E22</f>
        <v>0</v>
      </c>
      <c r="I17" s="21">
        <f>'4 - 2021'!F23-'4 - 2021'!F22</f>
        <v>0</v>
      </c>
      <c r="J17" s="21">
        <f>'4 - 2021'!G23-'4 - 2021'!G22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0</v>
      </c>
      <c r="F18" s="21">
        <f>'4 - 2021'!C24-'4 - 2021'!C23</f>
        <v>0</v>
      </c>
      <c r="G18" s="19">
        <v>0.11799999999999999</v>
      </c>
      <c r="H18" s="21">
        <f>'4 - 2021'!E24-'4 - 2021'!E23</f>
        <v>0</v>
      </c>
      <c r="I18" s="21">
        <f>'4 - 2021'!F24-'4 - 2021'!F23</f>
        <v>0</v>
      </c>
      <c r="J18" s="21">
        <f>'4 - 2021'!G24-'4 - 2021'!G23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</f>
        <v>0</v>
      </c>
      <c r="F19" s="21">
        <f>'4 - 2021'!C25-'4 - 2021'!C24</f>
        <v>0</v>
      </c>
      <c r="G19" s="19">
        <v>0.11799999999999999</v>
      </c>
      <c r="H19" s="21">
        <f>'4 - 2021'!E25-'4 - 2021'!E24</f>
        <v>0</v>
      </c>
      <c r="I19" s="21">
        <f>'4 - 2021'!F25-'4 - 2021'!F24</f>
        <v>0</v>
      </c>
      <c r="J19" s="21">
        <f>'4 - 2021'!G25-'4 - 2021'!G24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0</v>
      </c>
      <c r="F20" s="21">
        <f>'4 - 2021'!C26-'4 - 2021'!C25</f>
        <v>0</v>
      </c>
      <c r="G20" s="19">
        <v>0.11799999999999999</v>
      </c>
      <c r="H20" s="21">
        <f>'4 - 2021'!E26-'4 - 2021'!E25</f>
        <v>0</v>
      </c>
      <c r="I20" s="21">
        <f>'4 - 2021'!F26-'4 - 2021'!F25</f>
        <v>0</v>
      </c>
      <c r="J20" s="21">
        <f>'4 - 2021'!G26-'4 - 2021'!G25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</f>
        <v>0</v>
      </c>
      <c r="F21" s="21">
        <f>'4 - 2021'!C27-'4 - 2021'!C26</f>
        <v>0</v>
      </c>
      <c r="G21" s="19">
        <v>0.11799999999999999</v>
      </c>
      <c r="H21" s="21">
        <f>'4 - 2021'!E27-'4 - 2021'!E26</f>
        <v>0</v>
      </c>
      <c r="I21" s="21">
        <f>'4 - 2021'!F27-'4 - 2021'!F26</f>
        <v>0</v>
      </c>
      <c r="J21" s="21">
        <f>'4 - 2021'!G27-'4 - 2021'!G26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</f>
        <v>0</v>
      </c>
      <c r="F22" s="21">
        <f>'4 - 2021'!C28-'4 - 2021'!C27</f>
        <v>0</v>
      </c>
      <c r="G22" s="19">
        <v>0.11799999999999999</v>
      </c>
      <c r="H22" s="21">
        <f>'4 - 2021'!E28-'4 - 2021'!E27</f>
        <v>0</v>
      </c>
      <c r="I22" s="21">
        <f>'4 - 2021'!F28-'4 - 2021'!F27</f>
        <v>0</v>
      </c>
      <c r="J22" s="21">
        <f>'4 - 2021'!G28-'4 - 2021'!G27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</f>
        <v>0</v>
      </c>
      <c r="F23" s="21">
        <f>'4 - 2021'!C29-'4 - 2021'!C28</f>
        <v>0</v>
      </c>
      <c r="G23" s="19">
        <v>0.11799999999999999</v>
      </c>
      <c r="H23" s="21">
        <f>'4 - 2021'!E29-'4 - 2021'!E28</f>
        <v>0</v>
      </c>
      <c r="I23" s="21">
        <f>'4 - 2021'!F29-'4 - 2021'!F28</f>
        <v>0</v>
      </c>
      <c r="J23" s="21">
        <f>'4 - 2021'!G29-'4 - 2021'!G28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</f>
        <v>0</v>
      </c>
      <c r="F24" s="21">
        <f>'4 - 2021'!C30-'4 - 2021'!C29</f>
        <v>0</v>
      </c>
      <c r="G24" s="19">
        <v>0.11799999999999999</v>
      </c>
      <c r="H24" s="21">
        <f>'4 - 2021'!E30-'4 - 2021'!E29</f>
        <v>0</v>
      </c>
      <c r="I24" s="21">
        <f>'4 - 2021'!F30-'4 - 2021'!F29</f>
        <v>0</v>
      </c>
      <c r="J24" s="21">
        <f>'4 - 2021'!G30-'4 - 2021'!G29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</f>
        <v>0</v>
      </c>
      <c r="F25" s="21">
        <f>'4 - 2021'!C31-'4 - 2021'!C30</f>
        <v>0</v>
      </c>
      <c r="G25" s="19">
        <v>0.11799999999999999</v>
      </c>
      <c r="H25" s="21">
        <f>'4 - 2021'!E31-'4 - 2021'!E30</f>
        <v>0</v>
      </c>
      <c r="I25" s="21">
        <f>'4 - 2021'!F31-'4 - 2021'!F30</f>
        <v>0</v>
      </c>
      <c r="J25" s="21">
        <f>'4 - 2021'!G31-'4 - 2021'!G30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</f>
        <v>0</v>
      </c>
      <c r="F26" s="21">
        <f>'4 - 2021'!C32-'4 - 2021'!C31</f>
        <v>0</v>
      </c>
      <c r="G26" s="19">
        <v>0.11799999999999999</v>
      </c>
      <c r="H26" s="21">
        <f>'4 - 2021'!E32-'4 - 2021'!E31</f>
        <v>0</v>
      </c>
      <c r="I26" s="21">
        <f>'4 - 2021'!F32-'4 - 2021'!F31</f>
        <v>0</v>
      </c>
      <c r="J26" s="21">
        <f>'4 - 2021'!G32-'4 - 2021'!G31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0</v>
      </c>
      <c r="F27" s="21">
        <f>'4 - 2021'!C33-'4 - 2021'!C32</f>
        <v>0</v>
      </c>
      <c r="G27" s="19">
        <v>0.11799999999999999</v>
      </c>
      <c r="H27" s="21">
        <f>'4 - 2021'!E33-'4 - 2021'!E32</f>
        <v>0</v>
      </c>
      <c r="I27" s="21">
        <f>'4 - 2021'!F33-'4 - 2021'!F32</f>
        <v>0</v>
      </c>
      <c r="J27" s="21">
        <f>'4 - 2021'!G33-'4 - 2021'!G32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</f>
        <v>0</v>
      </c>
      <c r="F28" s="21">
        <f>'4 - 2021'!C34-'4 - 2021'!C33</f>
        <v>0</v>
      </c>
      <c r="G28" s="19">
        <v>0.11799999999999999</v>
      </c>
      <c r="H28" s="21">
        <f>'4 - 2021'!E34-'4 - 2021'!E33</f>
        <v>0</v>
      </c>
      <c r="I28" s="21">
        <f>'4 - 2021'!F34-'4 - 2021'!F33</f>
        <v>0</v>
      </c>
      <c r="J28" s="21">
        <f>'4 - 2021'!G34-'4 - 2021'!G33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</f>
        <v>0</v>
      </c>
      <c r="F29" s="21">
        <f>'4 - 2021'!C35-'4 - 2021'!C34</f>
        <v>0</v>
      </c>
      <c r="G29" s="19">
        <v>0.11799999999999999</v>
      </c>
      <c r="H29" s="21">
        <f>'4 - 2021'!E35-'4 - 2021'!E34</f>
        <v>0</v>
      </c>
      <c r="I29" s="21">
        <f>'4 - 2021'!F35-'4 - 2021'!F34</f>
        <v>0</v>
      </c>
      <c r="J29" s="21">
        <f>'4 - 2021'!G35-'4 - 2021'!G34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G17" sqref="G17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</row>
    <row r="4" spans="1:17" ht="16.5" thickBot="1" x14ac:dyDescent="0.3">
      <c r="A4" s="69" t="s">
        <v>37</v>
      </c>
      <c r="B4" s="69"/>
      <c r="C4" s="69"/>
      <c r="D4" s="69"/>
      <c r="E4" s="69"/>
      <c r="F4" s="69"/>
      <c r="G4" s="69"/>
      <c r="H4" s="69"/>
      <c r="I4" s="69"/>
      <c r="J4" s="69"/>
    </row>
    <row r="5" spans="1:17" ht="16.5" thickBot="1" x14ac:dyDescent="0.3">
      <c r="A5" s="2"/>
      <c r="B5" s="70" t="s">
        <v>36</v>
      </c>
      <c r="C5" s="71"/>
      <c r="D5" s="70" t="s">
        <v>0</v>
      </c>
      <c r="E5" s="72"/>
      <c r="F5" s="72"/>
      <c r="G5" s="73"/>
      <c r="H5" s="74" t="s">
        <v>1</v>
      </c>
      <c r="I5" s="75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>
        <v>515748</v>
      </c>
      <c r="C9" s="55">
        <v>466700</v>
      </c>
      <c r="D9" s="15">
        <v>0.4</v>
      </c>
      <c r="E9" s="59">
        <f>E8+26</f>
        <v>13739.97</v>
      </c>
      <c r="F9" s="56">
        <v>3289.69</v>
      </c>
      <c r="G9" s="56">
        <v>27806.32</v>
      </c>
      <c r="H9" s="58">
        <v>14528</v>
      </c>
      <c r="I9" s="62">
        <v>114607</v>
      </c>
      <c r="J9" s="62">
        <v>45047905</v>
      </c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>
        <v>518967</v>
      </c>
      <c r="C10" s="62">
        <v>472253</v>
      </c>
      <c r="D10" s="15">
        <v>0.32</v>
      </c>
      <c r="E10" s="59">
        <v>13765.97</v>
      </c>
      <c r="F10" s="56">
        <v>3295.1</v>
      </c>
      <c r="G10" s="56">
        <v>27851.78</v>
      </c>
      <c r="H10" s="58">
        <v>14528</v>
      </c>
      <c r="I10" s="62">
        <v>114691</v>
      </c>
      <c r="J10" s="67">
        <v>45068524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>
        <v>522224</v>
      </c>
      <c r="C11" s="62">
        <v>477853</v>
      </c>
      <c r="D11" s="15">
        <v>0.8</v>
      </c>
      <c r="E11" s="59">
        <f>E10+26</f>
        <v>13791.97</v>
      </c>
      <c r="F11" s="56">
        <v>3300.41</v>
      </c>
      <c r="G11" s="56">
        <v>27897.15</v>
      </c>
      <c r="H11" s="58">
        <v>14528</v>
      </c>
      <c r="I11" s="62">
        <v>114792</v>
      </c>
      <c r="J11" s="62">
        <v>45088463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>
        <v>525764</v>
      </c>
      <c r="C12" s="58">
        <v>483352</v>
      </c>
      <c r="D12" s="15">
        <v>0.73</v>
      </c>
      <c r="E12" s="59">
        <v>13817.97</v>
      </c>
      <c r="F12" s="58">
        <v>3305.82</v>
      </c>
      <c r="G12" s="58">
        <v>27941.91</v>
      </c>
      <c r="H12" s="58">
        <v>14528</v>
      </c>
      <c r="I12" s="58">
        <v>114892</v>
      </c>
      <c r="J12" s="58">
        <v>45111502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>
        <v>529204</v>
      </c>
      <c r="C13" s="55">
        <v>488833</v>
      </c>
      <c r="D13" s="15">
        <v>0.65</v>
      </c>
      <c r="E13" s="59">
        <v>13843.97</v>
      </c>
      <c r="F13" s="56">
        <v>3311.14</v>
      </c>
      <c r="G13" s="56">
        <v>27992.09</v>
      </c>
      <c r="H13" s="62">
        <v>14528</v>
      </c>
      <c r="I13" s="55">
        <v>114985</v>
      </c>
      <c r="J13" s="55">
        <v>45132088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>
        <v>532632</v>
      </c>
      <c r="C14" s="62">
        <v>494377</v>
      </c>
      <c r="D14" s="15">
        <v>0.56000000000000005</v>
      </c>
      <c r="E14" s="59">
        <v>13869.97</v>
      </c>
      <c r="F14" s="56">
        <v>3316.22</v>
      </c>
      <c r="G14" s="55">
        <v>28036.77</v>
      </c>
      <c r="H14" s="62">
        <v>14528</v>
      </c>
      <c r="I14" s="62">
        <v>115087</v>
      </c>
      <c r="J14" s="62">
        <v>45151168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/>
      <c r="C15" s="62"/>
      <c r="D15" s="15"/>
      <c r="E15" s="59"/>
      <c r="F15" s="56"/>
      <c r="G15" s="55"/>
      <c r="H15" s="62"/>
      <c r="I15" s="62"/>
      <c r="J15" s="62"/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/>
      <c r="C16" s="62"/>
      <c r="D16" s="15"/>
      <c r="E16" s="59"/>
      <c r="F16" s="56"/>
      <c r="G16" s="55"/>
      <c r="H16" s="62"/>
      <c r="I16" s="62"/>
      <c r="J16" s="62"/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/>
      <c r="C17" s="55"/>
      <c r="D17" s="22"/>
      <c r="E17" s="59"/>
      <c r="F17" s="56"/>
      <c r="G17" s="55"/>
      <c r="H17" s="62"/>
      <c r="I17" s="55"/>
      <c r="J17" s="55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/>
      <c r="C18" s="62"/>
      <c r="D18" s="15"/>
      <c r="E18" s="59"/>
      <c r="F18" s="56"/>
      <c r="G18" s="55"/>
      <c r="H18" s="62"/>
      <c r="I18" s="62"/>
      <c r="J18" s="62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68">
        <f>B32-B10</f>
        <v>-518967</v>
      </c>
      <c r="C41" s="68">
        <f>C32-C10</f>
        <v>-472253</v>
      </c>
      <c r="D41" s="48"/>
      <c r="E41" s="68">
        <f>E32-E10</f>
        <v>-13765.97</v>
      </c>
      <c r="F41" s="68">
        <f>F32-F10</f>
        <v>-3295.1</v>
      </c>
      <c r="G41" s="68">
        <f>G32-G10</f>
        <v>-27851.78</v>
      </c>
      <c r="H41" s="68">
        <f>H32-H10</f>
        <v>-14528</v>
      </c>
      <c r="I41" s="68">
        <f t="shared" ref="I41:J41" si="2">I32-I10</f>
        <v>-114691</v>
      </c>
      <c r="J41" s="68">
        <f t="shared" si="2"/>
        <v>-45068524</v>
      </c>
      <c r="K41" s="48"/>
      <c r="L41" s="48"/>
    </row>
    <row r="42" spans="1:16" x14ac:dyDescent="0.25">
      <c r="I42" s="18">
        <f>I41*219.969</f>
        <v>-25228464.579</v>
      </c>
      <c r="J42" s="19">
        <v>768611</v>
      </c>
    </row>
    <row r="43" spans="1:16" x14ac:dyDescent="0.25">
      <c r="C43" s="21">
        <f>C41+B41</f>
        <v>-991220</v>
      </c>
      <c r="I43" s="19">
        <v>450276.54300000001</v>
      </c>
    </row>
    <row r="44" spans="1:16" x14ac:dyDescent="0.25">
      <c r="C44" s="19">
        <v>178662</v>
      </c>
      <c r="J44" s="49">
        <f>SUM(J42-J41)/J41</f>
        <v>-1.0170542749525144</v>
      </c>
    </row>
    <row r="45" spans="1:16" x14ac:dyDescent="0.25">
      <c r="C45" s="50">
        <f>SUM(C44-C43)/C43</f>
        <v>-1.1802445471237466</v>
      </c>
      <c r="I45" s="49">
        <f>SUM(I43-I42)/I42</f>
        <v>-1.0178479566836107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2021-04-07T05:22:58Z</dcterms:modified>
</cp:coreProperties>
</file>