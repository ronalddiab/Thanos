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8" i="2"/>
  <c r="AI7" i="2"/>
  <c r="AI6"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7" i="2"/>
  <c r="AC6" i="2"/>
  <c r="AN37" i="2" l="1"/>
  <c r="AH37" i="2"/>
  <c r="AG37" i="2"/>
  <c r="AF37" i="2"/>
  <c r="J37" i="2"/>
  <c r="I37" i="2"/>
  <c r="H37" i="2"/>
  <c r="G37" i="2"/>
  <c r="D37" i="2"/>
  <c r="Y33" i="3"/>
  <c r="Z33" i="3"/>
  <c r="R33" i="3"/>
  <c r="B32" i="1"/>
  <c r="E32" i="1"/>
  <c r="G32" i="1"/>
  <c r="K32" i="1"/>
  <c r="M32" i="1"/>
  <c r="N32" i="1"/>
  <c r="E31" i="3"/>
  <c r="F31" i="3"/>
  <c r="G31" i="3"/>
  <c r="H31" i="3"/>
  <c r="E32" i="3"/>
  <c r="F32" i="3"/>
  <c r="G32" i="3"/>
  <c r="H32" i="3"/>
  <c r="I32" i="3"/>
  <c r="J32" i="3"/>
  <c r="K32" i="3"/>
  <c r="L32" i="3"/>
  <c r="M32" i="3"/>
  <c r="N32" i="3"/>
  <c r="O32" i="3"/>
  <c r="P32" i="3"/>
  <c r="S32" i="3" s="1"/>
  <c r="Q32" i="3"/>
  <c r="R32" i="3"/>
  <c r="U32" i="3"/>
  <c r="V32" i="3"/>
  <c r="W32" i="3"/>
  <c r="Y32" i="3"/>
  <c r="B32" i="3"/>
  <c r="Z7" i="2"/>
  <c r="K6" i="2" l="1"/>
  <c r="L6" i="2" l="1"/>
  <c r="AK35" i="2"/>
  <c r="AL35" i="2"/>
  <c r="AM35" i="2" s="1"/>
  <c r="AK36" i="2"/>
  <c r="AE35" i="2"/>
  <c r="AO35" i="2" s="1"/>
  <c r="AD35" i="2"/>
  <c r="AD36" i="2"/>
  <c r="T32" i="3" s="1"/>
  <c r="Z35" i="2"/>
  <c r="AA35" i="2" s="1"/>
  <c r="Z36" i="2"/>
  <c r="AA36" i="2"/>
  <c r="T35" i="2"/>
  <c r="U35" i="2"/>
  <c r="T36" i="2"/>
  <c r="U36" i="2"/>
  <c r="R35" i="2"/>
  <c r="S35" i="2"/>
  <c r="R36" i="2"/>
  <c r="S36" i="2"/>
  <c r="K35" i="2"/>
  <c r="L35" i="2" s="1"/>
  <c r="K36" i="2"/>
  <c r="L36" i="2"/>
  <c r="M4" i="1"/>
  <c r="M5" i="1"/>
  <c r="M6" i="1"/>
  <c r="M8" i="1"/>
  <c r="M9" i="1"/>
  <c r="M10" i="1"/>
  <c r="M12" i="1"/>
  <c r="Y13" i="3"/>
  <c r="M13" i="1" s="1"/>
  <c r="Y14" i="3"/>
  <c r="M14" i="1" s="1"/>
  <c r="Y15" i="3"/>
  <c r="Y16" i="3"/>
  <c r="M16" i="1" s="1"/>
  <c r="Y17" i="3"/>
  <c r="M17" i="1" s="1"/>
  <c r="Y18" i="3"/>
  <c r="M18" i="1" s="1"/>
  <c r="Y19" i="3"/>
  <c r="Y20" i="3"/>
  <c r="M20" i="1" s="1"/>
  <c r="Y21" i="3"/>
  <c r="M21" i="1" s="1"/>
  <c r="Y22" i="3"/>
  <c r="M22" i="1" s="1"/>
  <c r="Y23" i="3"/>
  <c r="Y24" i="3"/>
  <c r="M24" i="1" s="1"/>
  <c r="Y25" i="3"/>
  <c r="M25" i="1" s="1"/>
  <c r="Y26" i="3"/>
  <c r="M26" i="1" s="1"/>
  <c r="Y27" i="3"/>
  <c r="Y28" i="3"/>
  <c r="M28" i="1" s="1"/>
  <c r="Y29" i="3"/>
  <c r="M29" i="1" s="1"/>
  <c r="Y30" i="3"/>
  <c r="M30" i="1" s="1"/>
  <c r="Y31" i="3"/>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N33" i="1" l="1"/>
  <c r="AL36" i="2"/>
  <c r="AM36" i="2" s="1"/>
  <c r="X32" i="3"/>
  <c r="I32" i="1"/>
  <c r="AE36" i="2"/>
  <c r="AO36" i="2" s="1"/>
  <c r="Z9" i="2"/>
  <c r="P5" i="3" s="1"/>
  <c r="G5" i="1"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R24" i="2"/>
  <c r="O20" i="3" s="1"/>
  <c r="R25" i="2"/>
  <c r="R26" i="2"/>
  <c r="R27" i="2"/>
  <c r="O23" i="3" s="1"/>
  <c r="R28" i="2"/>
  <c r="O24" i="3" s="1"/>
  <c r="R29" i="2"/>
  <c r="O25" i="3" s="1"/>
  <c r="R30" i="2"/>
  <c r="R31" i="2"/>
  <c r="O27" i="3" s="1"/>
  <c r="R32" i="2"/>
  <c r="O28" i="3" s="1"/>
  <c r="K28" i="1" s="1"/>
  <c r="R33" i="2"/>
  <c r="R34" i="2"/>
  <c r="O31" i="3"/>
  <c r="R6" i="2"/>
  <c r="R7" i="2"/>
  <c r="O3" i="3" s="1"/>
  <c r="R8" i="2"/>
  <c r="O4" i="3" s="1"/>
  <c r="R9" i="2"/>
  <c r="O5" i="3" s="1"/>
  <c r="R10" i="2"/>
  <c r="O6" i="3" s="1"/>
  <c r="R11" i="2"/>
  <c r="O7" i="3" s="1"/>
  <c r="R12" i="2"/>
  <c r="O8" i="3" s="1"/>
  <c r="R13" i="2"/>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T22" i="3" s="1"/>
  <c r="AD27" i="2"/>
  <c r="AE27" i="2" s="1"/>
  <c r="AD28" i="2"/>
  <c r="AE28" i="2" s="1"/>
  <c r="AD29" i="2"/>
  <c r="AE29" i="2" s="1"/>
  <c r="AD31" i="2"/>
  <c r="AE31" i="2" s="1"/>
  <c r="AD33" i="2"/>
  <c r="AE33" i="2" s="1"/>
  <c r="AK7" i="2"/>
  <c r="AL7" i="2" s="1"/>
  <c r="AM7" i="2" s="1"/>
  <c r="AD8" i="2"/>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E25" i="2" s="1"/>
  <c r="AE26" i="2"/>
  <c r="AD30" i="2"/>
  <c r="AE30" i="2" s="1"/>
  <c r="AD32" i="2"/>
  <c r="T28" i="3" s="1"/>
  <c r="AE32" i="2"/>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P3" i="3"/>
  <c r="Z8" i="2"/>
  <c r="AA8" i="2" s="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O21" i="3"/>
  <c r="S24" i="2"/>
  <c r="S23" i="2"/>
  <c r="O19" i="3"/>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T21" i="3"/>
  <c r="U32" i="2"/>
  <c r="P19" i="3"/>
  <c r="G19" i="1" s="1"/>
  <c r="U30" i="2"/>
  <c r="D40" i="2"/>
  <c r="G39" i="2"/>
  <c r="T27" i="3"/>
  <c r="P26" i="3"/>
  <c r="G26" i="1" s="1"/>
  <c r="P15" i="3"/>
  <c r="U11" i="2"/>
  <c r="P11" i="3"/>
  <c r="G11" i="1" s="1"/>
  <c r="P24" i="3"/>
  <c r="G24" i="1" s="1"/>
  <c r="U8" i="2"/>
  <c r="N10" i="3"/>
  <c r="N29" i="3"/>
  <c r="P27" i="3"/>
  <c r="S27" i="3" s="1"/>
  <c r="AL25" i="2"/>
  <c r="AM25" i="2" s="1"/>
  <c r="T20" i="3"/>
  <c r="T7" i="3"/>
  <c r="P17" i="3"/>
  <c r="G17" i="1" s="1"/>
  <c r="N24" i="3"/>
  <c r="U19" i="2"/>
  <c r="N19" i="3"/>
  <c r="N3" i="3"/>
  <c r="T23" i="3"/>
  <c r="G30" i="1"/>
  <c r="U16" i="2" l="1"/>
  <c r="U15" i="2"/>
  <c r="W33" i="3"/>
  <c r="I33" i="3"/>
  <c r="J33" i="3"/>
  <c r="M33" i="3"/>
  <c r="AL11" i="2"/>
  <c r="AM11" i="2" s="1"/>
  <c r="V33" i="3"/>
  <c r="U9" i="2"/>
  <c r="T37" i="2"/>
  <c r="U37" i="2" s="1"/>
  <c r="U33" i="3"/>
  <c r="Q33" i="3"/>
  <c r="K33" i="3"/>
  <c r="L33" i="3"/>
  <c r="X10" i="3"/>
  <c r="X27" i="3"/>
  <c r="I27" i="1" s="1"/>
  <c r="X9" i="3"/>
  <c r="X18" i="3"/>
  <c r="X2" i="3"/>
  <c r="AK37" i="2"/>
  <c r="T5" i="3"/>
  <c r="T12" i="3"/>
  <c r="T17" i="3"/>
  <c r="T30" i="3"/>
  <c r="T3" i="3"/>
  <c r="AE6" i="2"/>
  <c r="AD37" i="2"/>
  <c r="AE37" i="2" s="1"/>
  <c r="P4" i="3"/>
  <c r="G4" i="1" s="1"/>
  <c r="AA6" i="2"/>
  <c r="Z37" i="2"/>
  <c r="O2" i="3"/>
  <c r="O33" i="3" s="1"/>
  <c r="R37" i="2"/>
  <c r="R39" i="2" s="1"/>
  <c r="L7" i="2"/>
  <c r="L37" i="2" s="1"/>
  <c r="K37" i="2"/>
  <c r="S11" i="3"/>
  <c r="S5" i="3"/>
  <c r="E30" i="1"/>
  <c r="E17" i="1"/>
  <c r="N2" i="3"/>
  <c r="U6" i="2"/>
  <c r="AL6" i="2"/>
  <c r="G3" i="1"/>
  <c r="S3" i="3"/>
  <c r="P2" i="3"/>
  <c r="AA7" i="2"/>
  <c r="AO7" i="2" s="1"/>
  <c r="U25" i="2"/>
  <c r="I21" i="1"/>
  <c r="N18" i="3"/>
  <c r="K18" i="1" s="1"/>
  <c r="S23" i="3"/>
  <c r="K30" i="1"/>
  <c r="K24" i="1"/>
  <c r="E29" i="1"/>
  <c r="K7" i="1"/>
  <c r="S30" i="3"/>
  <c r="X31" i="3"/>
  <c r="X26" i="3"/>
  <c r="X13" i="3"/>
  <c r="I13" i="1" s="1"/>
  <c r="AL21" i="2"/>
  <c r="AM21" i="2" s="1"/>
  <c r="I31" i="1"/>
  <c r="T25" i="3"/>
  <c r="I25" i="1" s="1"/>
  <c r="I5" i="1"/>
  <c r="I7" i="1"/>
  <c r="T11" i="3"/>
  <c r="T16" i="3"/>
  <c r="I17" i="1"/>
  <c r="S19" i="3"/>
  <c r="S26" i="3"/>
  <c r="S4" i="3"/>
  <c r="AA17" i="2"/>
  <c r="AO17" i="2" s="1"/>
  <c r="S15" i="3"/>
  <c r="K15" i="1"/>
  <c r="K11" i="1"/>
  <c r="K8" i="1"/>
  <c r="K4" i="1"/>
  <c r="N31" i="3"/>
  <c r="K31" i="1" s="1"/>
  <c r="K25" i="1"/>
  <c r="K29" i="1"/>
  <c r="E24" i="1"/>
  <c r="E13" i="1"/>
  <c r="E6" i="1"/>
  <c r="X30" i="3"/>
  <c r="I30" i="1" s="1"/>
  <c r="AL34" i="2"/>
  <c r="AM34" i="2" s="1"/>
  <c r="AL24" i="2"/>
  <c r="AM24" i="2" s="1"/>
  <c r="AL9" i="2"/>
  <c r="AM9" i="2" s="1"/>
  <c r="X4" i="3"/>
  <c r="X19" i="3"/>
  <c r="AE17" i="2"/>
  <c r="I20" i="1"/>
  <c r="T8" i="3"/>
  <c r="I8" i="1" s="1"/>
  <c r="T24" i="3"/>
  <c r="I22" i="1"/>
  <c r="G13" i="1"/>
  <c r="S13" i="3"/>
  <c r="AO33" i="2"/>
  <c r="S14" i="3"/>
  <c r="G15" i="1"/>
  <c r="P29" i="3"/>
  <c r="AA9" i="2"/>
  <c r="AO9" i="2" s="1"/>
  <c r="S17" i="3"/>
  <c r="P10" i="3"/>
  <c r="P25" i="3"/>
  <c r="G25" i="1" s="1"/>
  <c r="N9" i="3"/>
  <c r="K9" i="1" s="1"/>
  <c r="N16" i="3"/>
  <c r="K16" i="1" s="1"/>
  <c r="AO15" i="2"/>
  <c r="K3" i="1"/>
  <c r="N27" i="3"/>
  <c r="K27" i="1" s="1"/>
  <c r="K26" i="1"/>
  <c r="K10" i="1"/>
  <c r="K13" i="1"/>
  <c r="N23" i="3"/>
  <c r="K23" i="1" s="1"/>
  <c r="K19" i="1"/>
  <c r="AO28" i="2"/>
  <c r="K5" i="1"/>
  <c r="K20" i="1"/>
  <c r="K12" i="1"/>
  <c r="N20" i="3"/>
  <c r="AO31" i="2"/>
  <c r="K21" i="1"/>
  <c r="U12" i="2"/>
  <c r="K6" i="1"/>
  <c r="AO20" i="2"/>
  <c r="E12" i="1"/>
  <c r="E9" i="1"/>
  <c r="E7" i="1"/>
  <c r="E4" i="1"/>
  <c r="E3" i="1"/>
  <c r="AO32" i="2"/>
  <c r="E23" i="1"/>
  <c r="E18" i="1"/>
  <c r="E16" i="1"/>
  <c r="E15" i="1"/>
  <c r="E14" i="1"/>
  <c r="E25" i="1"/>
  <c r="AO21" i="2"/>
  <c r="AO16" i="2"/>
  <c r="AO11" i="2"/>
  <c r="E28" i="1"/>
  <c r="E27" i="1"/>
  <c r="E26" i="1"/>
  <c r="E22" i="1"/>
  <c r="E21" i="1"/>
  <c r="E20" i="1"/>
  <c r="E19" i="1"/>
  <c r="E11" i="1"/>
  <c r="E10" i="1"/>
  <c r="E8" i="1"/>
  <c r="E5" i="1"/>
  <c r="E2" i="1"/>
  <c r="AO30" i="2"/>
  <c r="T4" i="3"/>
  <c r="AE8" i="2"/>
  <c r="AO8" i="2" s="1"/>
  <c r="AE19" i="2"/>
  <c r="AO19" i="2" s="1"/>
  <c r="T15" i="3"/>
  <c r="AE13" i="2"/>
  <c r="AO13" i="2" s="1"/>
  <c r="T9" i="3"/>
  <c r="AL15" i="2"/>
  <c r="AM15" i="2" s="1"/>
  <c r="X11" i="3"/>
  <c r="T18" i="3"/>
  <c r="I18" i="1" s="1"/>
  <c r="AE22" i="2"/>
  <c r="S22" i="3"/>
  <c r="S21" i="3"/>
  <c r="G21" i="1"/>
  <c r="AO23" i="2"/>
  <c r="T10" i="3"/>
  <c r="I10" i="1" s="1"/>
  <c r="AE14" i="2"/>
  <c r="AO14" i="2" s="1"/>
  <c r="AL32" i="2"/>
  <c r="AM32" i="2" s="1"/>
  <c r="X28" i="3"/>
  <c r="I28" i="1" s="1"/>
  <c r="AL28" i="2"/>
  <c r="AM28" i="2" s="1"/>
  <c r="X24" i="3"/>
  <c r="I24" i="1" s="1"/>
  <c r="X16" i="3"/>
  <c r="AL20" i="2"/>
  <c r="AM20" i="2" s="1"/>
  <c r="T6" i="3"/>
  <c r="AO22" i="2"/>
  <c r="AO6" i="2"/>
  <c r="X3" i="3"/>
  <c r="I3" i="1" s="1"/>
  <c r="S24" i="3"/>
  <c r="X12" i="3"/>
  <c r="AA26" i="2"/>
  <c r="AO26" i="2" s="1"/>
  <c r="N22" i="3"/>
  <c r="K22" i="1" s="1"/>
  <c r="N17" i="3"/>
  <c r="K17" i="1" s="1"/>
  <c r="T19" i="3"/>
  <c r="P18" i="3"/>
  <c r="P7" i="3"/>
  <c r="AA25" i="2"/>
  <c r="AO25" i="2" s="1"/>
  <c r="P12" i="3"/>
  <c r="S9" i="3"/>
  <c r="T26" i="3"/>
  <c r="AL26" i="2"/>
  <c r="AM26" i="2" s="1"/>
  <c r="S28" i="3"/>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I12" i="1" l="1"/>
  <c r="I9" i="1"/>
  <c r="AM6" i="2"/>
  <c r="AM37" i="2" s="1"/>
  <c r="AL37" i="2"/>
  <c r="T33" i="3"/>
  <c r="AA37" i="2"/>
  <c r="G2" i="1"/>
  <c r="P33" i="3"/>
  <c r="K2" i="1"/>
  <c r="N33" i="3"/>
  <c r="S25" i="3"/>
  <c r="I16" i="1"/>
  <c r="S2" i="3"/>
  <c r="I4" i="1"/>
  <c r="I26" i="1"/>
  <c r="I19" i="1"/>
  <c r="I11" i="1"/>
  <c r="AO34" i="2"/>
  <c r="AO37" i="2" s="1"/>
  <c r="S29" i="3"/>
  <c r="G29" i="1"/>
  <c r="G10" i="1"/>
  <c r="S10" i="3"/>
  <c r="U38" i="2"/>
  <c r="X33" i="3" s="1"/>
  <c r="AO12" i="2"/>
  <c r="G20" i="1"/>
  <c r="S20" i="3"/>
  <c r="G18" i="1"/>
  <c r="S18" i="3"/>
  <c r="S12" i="3"/>
  <c r="G12" i="1"/>
  <c r="S16" i="3"/>
  <c r="G16" i="1"/>
  <c r="I2" i="1"/>
  <c r="S8" i="3"/>
  <c r="G8" i="1"/>
  <c r="I15" i="1"/>
  <c r="G6" i="1"/>
  <c r="S6" i="3"/>
  <c r="S7" i="3"/>
  <c r="G7" i="1"/>
  <c r="I6" i="1"/>
  <c r="S33" i="3" l="1"/>
  <c r="U39" i="2"/>
  <c r="M2" i="1" l="1"/>
  <c r="M33" i="1" s="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<sst xmlns="http://schemas.openxmlformats.org/spreadsheetml/2006/main" count="220" uniqueCount="105">
  <si>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</si>
  <si>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</si>
  <si>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</si>
  <si>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</si>
  <si>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</si>
  <si>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</si>
  <si>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</si>
  <si>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</si>
  <si>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</si>
  <si>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</si>
  <si>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</si>
  <si>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</si>
  <si>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</si>
  <si>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</si>
  <si>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</si>
  <si>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</si>
  <si>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</si>
  <si>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</si>
  <si>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</si>
  <si>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</si>
  <si>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</si>
  <si>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</si>
  <si>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</si>
  <si>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</si>
  <si>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</si>
  <si>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</si>
  <si>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</si>
  <si>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</si>
  <si>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</si>
  <si>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</si>
  <si>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</si>
  <si>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</si>
  <si>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</si>
  <si>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</si>
  <si>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</si>
  <si>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</si>
  <si>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</si>
  <si>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</si>
  <si>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</si>
  <si>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</si>
  <si>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</si>
  <si>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</si>
  <si>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</si>
  <si>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</si>
  <si>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</si>
  <si>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</si>
  <si>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</si>
  <si>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</si>
  <si>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</si>
  <si>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</si>
  <si>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</si>
  <si>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</si>
  <si>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</si>
  <si>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</si>
  <si>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</si>
  <si>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</si>
  <si>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</si>
  <si>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</si>
  <si>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</si>
  <si>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</si>
  <si>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</si>
  <si>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</si>
  <si>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</si>
  <si>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</si>
  <si>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</si>
  <si>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</si>
  <si>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</si>
  <si>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</si>
  <si>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</si>
  <si>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</si>
  <si>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</si>
  <si>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</si>
  <si>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</si>
  <si>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</si>
  <si>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</si>
  <si>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</si>
  <si>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</si>
  <si>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</si>
  <si>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</si>
  <si>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</si>
  <si>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</si>
  <si>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</si>
  <si>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</si>
  <si>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</si>
  <si>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</si>
  <si>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</si>
  <si>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</si>
  <si>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</si>
  <si>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</si>
  <si>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</si>
  <si>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</si>
  <si>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</si>
  <si>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</si>
  <si>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</si>
  <si>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</si>
  <si>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</si>
  <si>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</si>
  <si>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</si>
  <si>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</si>
  <si>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</si>
  <si>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</si>
  <si>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</si>
  <si>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</si>
  <si>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</si>
  <si>
    <t>0001523.22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</si>
</sst>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6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0" borderId="1" xfId="0" applyFill="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M2" sqref="M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30" t="s">
        <v>0</v>
      </c>
      <c r="B1" s="131" t="s">
        <v>1</v>
      </c>
      <c r="C1" s="132" t="s">
        <v>2</v>
      </c>
      <c r="D1" s="131" t="s">
        <v>3</v>
      </c>
      <c r="E1" s="133" t="s">
        <v>4</v>
      </c>
      <c r="F1" s="134" t="s">
        <v>5</v>
      </c>
      <c r="G1" s="133" t="s">
        <v>10</v>
      </c>
      <c r="H1" s="134" t="s">
        <v>11</v>
      </c>
      <c r="I1" s="135" t="s">
        <v>82</v>
      </c>
      <c r="J1" s="136" t="s">
        <v>83</v>
      </c>
      <c r="K1" s="133" t="s">
        <v>6</v>
      </c>
      <c r="L1" s="137" t="s">
        <v>7</v>
      </c>
      <c r="M1" s="133" t="s">
        <v>8</v>
      </c>
      <c r="N1" s="138" t="s">
        <v>9</v>
      </c>
    </row>
    <row r="2" spans="1:15" x14ac:dyDescent="0.25">
      <c r="A2" s="121" t="s">
        <v>80</v>
      </c>
      <c r="B2" s="122">
        <v>1</v>
      </c>
      <c r="C2" s="123">
        <v>10</v>
      </c>
      <c r="D2" s="122">
        <v>2020</v>
      </c>
      <c r="E2" s="112">
        <f>Submetering!E2+Submetering!F2+Submetering!G2+Submetering!H2+Submetering!I2+Submetering!J2+Submetering!K2</f>
        <v>26407</v>
      </c>
      <c r="F2" s="124">
        <v>0.2</v>
      </c>
      <c r="G2" s="112">
        <f>Submetering!P2</f>
        <v>512.79999999993015</v>
      </c>
      <c r="H2" s="124">
        <v>6.47</v>
      </c>
      <c r="I2" s="112">
        <f>Submetering!T2-Submetering!T2*15%-Submetering!X2</f>
        <v>43688.914599997093</v>
      </c>
      <c r="J2" s="111">
        <v>0.21</v>
      </c>
      <c r="K2" s="112">
        <f>Submetering!N2-Submetering!O2</f>
        <v>49.091000000000008</v>
      </c>
      <c r="L2" s="124">
        <v>7.84</v>
      </c>
      <c r="M2" s="112">
        <f>Submetering!Y2</f>
        <v>98</v>
      </c>
      <c r="N2" s="113">
        <f>Submetering!Z2</f>
        <v>193</v>
      </c>
    </row>
    <row r="3" spans="1:15" x14ac:dyDescent="0.25">
      <c r="A3" s="125" t="s">
        <v>80</v>
      </c>
      <c r="B3" s="72">
        <f>B2+1</f>
        <v>2</v>
      </c>
      <c r="C3" s="73">
        <v>10</v>
      </c>
      <c r="D3" s="72">
        <v>2020</v>
      </c>
      <c r="E3" s="71">
        <f>Submetering!E3+Submetering!F3+Submetering!G3+Submetering!H3+Submetering!I3+Submetering!J3+Submetering!K3</f>
        <v>27185</v>
      </c>
      <c r="F3" s="74">
        <v>0.2</v>
      </c>
      <c r="G3" s="71">
        <f>Submetering!P3</f>
        <v>477.40000000002328</v>
      </c>
      <c r="H3" s="74">
        <v>6.47</v>
      </c>
      <c r="I3" s="71">
        <f>Submetering!T3-Submetering!T3*15%-Submetering!X3</f>
        <v>49793.28920000291</v>
      </c>
      <c r="J3" s="70">
        <v>0.21</v>
      </c>
      <c r="K3" s="71">
        <f>Submetering!N3-Submetering!O3</f>
        <v>64.783999999999978</v>
      </c>
      <c r="L3" s="74">
        <v>7.84</v>
      </c>
      <c r="M3" s="71">
        <f>Submetering!Y3</f>
        <v>91</v>
      </c>
      <c r="N3" s="115">
        <f>Submetering!Z3</f>
        <v>198</v>
      </c>
    </row>
    <row r="4" spans="1:15" x14ac:dyDescent="0.25">
      <c r="A4" s="125" t="s">
        <v>80</v>
      </c>
      <c r="B4" s="72">
        <f t="shared" ref="B4:B32" si="0">B3+1</f>
        <v>3</v>
      </c>
      <c r="C4" s="73">
        <v>10</v>
      </c>
      <c r="D4" s="72">
        <v>2020</v>
      </c>
      <c r="E4" s="71">
        <f>Submetering!E4+Submetering!F4+Submetering!G4+Submetering!H4+Submetering!I4+Submetering!J4+Submetering!K4</f>
        <v>29848</v>
      </c>
      <c r="F4" s="74">
        <v>0.2</v>
      </c>
      <c r="G4" s="71">
        <f>Submetering!P4</f>
        <v>409.5</v>
      </c>
      <c r="H4" s="74">
        <v>6.47</v>
      </c>
      <c r="I4" s="71">
        <f>Submetering!T4-Submetering!T4*15%-Submetering!X4</f>
        <v>62249.660799998557</v>
      </c>
      <c r="J4" s="70">
        <v>0.21</v>
      </c>
      <c r="K4" s="71">
        <f>Submetering!N4-Submetering!O4</f>
        <v>33.98599999999999</v>
      </c>
      <c r="L4" s="74">
        <v>7.84</v>
      </c>
      <c r="M4" s="71">
        <f>Submetering!Y4</f>
        <v>54</v>
      </c>
      <c r="N4" s="115">
        <f>Submetering!Z4</f>
        <v>86</v>
      </c>
    </row>
    <row r="5" spans="1:15" x14ac:dyDescent="0.25">
      <c r="A5" s="125" t="s">
        <v>80</v>
      </c>
      <c r="B5" s="72">
        <f t="shared" si="0"/>
        <v>4</v>
      </c>
      <c r="C5" s="73">
        <v>10</v>
      </c>
      <c r="D5" s="72">
        <v>2020</v>
      </c>
      <c r="E5" s="71">
        <f>Submetering!E5+Submetering!F5+Submetering!G5+Submetering!H5+Submetering!I5+Submetering!J5+Submetering!K5</f>
        <v>30641</v>
      </c>
      <c r="F5" s="74">
        <v>0.2</v>
      </c>
      <c r="G5" s="71">
        <f>Submetering!P5</f>
        <v>384.59999999997672</v>
      </c>
      <c r="H5" s="74">
        <v>6.47</v>
      </c>
      <c r="I5" s="71">
        <f>Submetering!T5-Submetering!T5*15%-Submetering!X5</f>
        <v>61614.269999998549</v>
      </c>
      <c r="J5" s="70">
        <v>0.21</v>
      </c>
      <c r="K5" s="81">
        <f>Submetering!N5-Submetering!O5</f>
        <v>60.635999999999996</v>
      </c>
      <c r="L5" s="74">
        <v>7.84</v>
      </c>
      <c r="M5" s="71">
        <f>Submetering!Y5</f>
        <v>47</v>
      </c>
      <c r="N5" s="115">
        <f>Submetering!Z5</f>
        <v>66</v>
      </c>
    </row>
    <row r="6" spans="1:15" x14ac:dyDescent="0.25">
      <c r="A6" s="125" t="s">
        <v>80</v>
      </c>
      <c r="B6" s="72">
        <f t="shared" si="0"/>
        <v>5</v>
      </c>
      <c r="C6" s="73">
        <v>10</v>
      </c>
      <c r="D6" s="72">
        <v>2020</v>
      </c>
      <c r="E6" s="71">
        <f>Submetering!E6+Submetering!F6+Submetering!G6+Submetering!H6+Submetering!I6+Submetering!J6+Submetering!K6</f>
        <v>28934</v>
      </c>
      <c r="F6" s="74">
        <v>0.2</v>
      </c>
      <c r="G6" s="71">
        <f>Submetering!P6</f>
        <v>431.40000000002328</v>
      </c>
      <c r="H6" s="74">
        <v>6.47</v>
      </c>
      <c r="I6" s="71">
        <f>Submetering!T6-Submetering!T6*15%-Submetering!X6</f>
        <v>59546.395000001459</v>
      </c>
      <c r="J6" s="70">
        <v>0.21</v>
      </c>
      <c r="K6" s="71">
        <f>Submetering!N6-Submetering!O6</f>
        <v>35.707999999999998</v>
      </c>
      <c r="L6" s="74">
        <v>7.84</v>
      </c>
      <c r="M6" s="71">
        <f>Submetering!Y6</f>
        <v>46</v>
      </c>
      <c r="N6" s="115">
        <f>Submetering!Z6</f>
        <v>70</v>
      </c>
    </row>
    <row r="7" spans="1:15" x14ac:dyDescent="0.25">
      <c r="A7" s="125" t="s">
        <v>80</v>
      </c>
      <c r="B7" s="72">
        <f t="shared" si="0"/>
        <v>6</v>
      </c>
      <c r="C7" s="73">
        <v>10</v>
      </c>
      <c r="D7" s="72">
        <v>2020</v>
      </c>
      <c r="E7" s="71">
        <f>Submetering!E7+Submetering!F7+Submetering!G7+Submetering!H7+Submetering!I7+Submetering!J7+Submetering!K7</f>
        <v>28005</v>
      </c>
      <c r="F7" s="74">
        <v>0.2</v>
      </c>
      <c r="G7" s="71">
        <f>Submetering!P7</f>
        <v>448</v>
      </c>
      <c r="H7" s="74">
        <v>6.47</v>
      </c>
      <c r="I7" s="71">
        <f>Submetering!T7-Submetering!T7*15%-Submetering!X7</f>
        <v>56579.987739998614</v>
      </c>
      <c r="J7" s="70">
        <v>0.21</v>
      </c>
      <c r="K7" s="71">
        <f>Submetering!N7-Submetering!O7</f>
        <v>35.775000000000006</v>
      </c>
      <c r="L7" s="74">
        <v>7.84</v>
      </c>
      <c r="M7" s="71">
        <f>Submetering!Y7</f>
        <v>64</v>
      </c>
      <c r="N7" s="115">
        <f>Submetering!Z7</f>
        <v>94</v>
      </c>
    </row>
    <row r="8" spans="1:15" x14ac:dyDescent="0.25">
      <c r="A8" s="125" t="s">
        <v>80</v>
      </c>
      <c r="B8" s="72">
        <f t="shared" si="0"/>
        <v>7</v>
      </c>
      <c r="C8" s="73">
        <v>10</v>
      </c>
      <c r="D8" s="72">
        <v>2020</v>
      </c>
      <c r="E8" s="71">
        <f>Submetering!E8+Submetering!F8+Submetering!G8+Submetering!H8+Submetering!I8+Submetering!J8+Submetering!K8</f>
        <v>28178</v>
      </c>
      <c r="F8" s="74">
        <v>0.2</v>
      </c>
      <c r="G8" s="71">
        <f>Submetering!P8</f>
        <v>434.69999999995343</v>
      </c>
      <c r="H8" s="74">
        <v>6.47</v>
      </c>
      <c r="I8" s="71">
        <f>Submetering!T8-Submetering!T8*15%-Submetering!X8</f>
        <v>56095.926080002697</v>
      </c>
      <c r="J8" s="70">
        <v>0.21</v>
      </c>
      <c r="K8" s="71">
        <f>Submetering!N8-Submetering!O8</f>
        <v>62.009</v>
      </c>
      <c r="L8" s="74">
        <v>7.84</v>
      </c>
      <c r="M8" s="71">
        <f>Submetering!Y8</f>
        <v>53</v>
      </c>
      <c r="N8" s="115">
        <f>Submetering!Z8</f>
        <v>85</v>
      </c>
    </row>
    <row r="9" spans="1:15" x14ac:dyDescent="0.25">
      <c r="A9" s="125" t="s">
        <v>80</v>
      </c>
      <c r="B9" s="72">
        <f t="shared" si="0"/>
        <v>8</v>
      </c>
      <c r="C9" s="73">
        <v>10</v>
      </c>
      <c r="D9" s="72">
        <v>2020</v>
      </c>
      <c r="E9" s="71">
        <f>Submetering!E9+Submetering!F9+Submetering!G9+Submetering!H9+Submetering!I9+Submetering!J9+Submetering!K9</f>
        <v>28710</v>
      </c>
      <c r="F9" s="74">
        <v>0.2</v>
      </c>
      <c r="G9" s="71">
        <f>Submetering!P9</f>
        <v>438.70000000006985</v>
      </c>
      <c r="H9" s="74">
        <v>6.47</v>
      </c>
      <c r="I9" s="71">
        <f>Submetering!T9-Submetering!T9*15%-Submetering!X9</f>
        <v>64955.7537800016</v>
      </c>
      <c r="J9" s="70">
        <v>0.21</v>
      </c>
      <c r="K9" s="71">
        <f>Submetering!N9-Submetering!O9</f>
        <v>26.12299999999999</v>
      </c>
      <c r="L9" s="74">
        <v>7.84</v>
      </c>
      <c r="M9" s="71">
        <f>Submetering!Y9</f>
        <v>42</v>
      </c>
      <c r="N9" s="115">
        <f>Submetering!Z9</f>
        <v>78</v>
      </c>
      <c r="O9" s="1" t="s">
        <v>12</v>
      </c>
    </row>
    <row r="10" spans="1:15" x14ac:dyDescent="0.25">
      <c r="A10" s="125" t="s">
        <v>80</v>
      </c>
      <c r="B10" s="72">
        <f t="shared" si="0"/>
        <v>9</v>
      </c>
      <c r="C10" s="73">
        <v>10</v>
      </c>
      <c r="D10" s="72">
        <v>2020</v>
      </c>
      <c r="E10" s="71">
        <f>Submetering!E10+Submetering!F10+Submetering!G10+Submetering!H10+Submetering!I10+Submetering!J10+Submetering!K10</f>
        <v>28670</v>
      </c>
      <c r="F10" s="74">
        <v>0.2</v>
      </c>
      <c r="G10" s="71">
        <f>Submetering!P10</f>
        <v>487.79999999993015</v>
      </c>
      <c r="H10" s="74">
        <v>6.47</v>
      </c>
      <c r="I10" s="71">
        <f>Submetering!T10-Submetering!T10*15%-Submetering!X10</f>
        <v>61940.068399995624</v>
      </c>
      <c r="J10" s="70">
        <v>0.21</v>
      </c>
      <c r="K10" s="71">
        <f>Submetering!N10-Submetering!O10</f>
        <v>31.497</v>
      </c>
      <c r="L10" s="74">
        <v>7.84</v>
      </c>
      <c r="M10" s="71">
        <f>Submetering!Y10</f>
        <v>46</v>
      </c>
      <c r="N10" s="115">
        <f>Submetering!Z10</f>
        <v>92</v>
      </c>
    </row>
    <row r="11" spans="1:15" x14ac:dyDescent="0.25">
      <c r="A11" s="125" t="s">
        <v>80</v>
      </c>
      <c r="B11" s="72">
        <f t="shared" si="0"/>
        <v>10</v>
      </c>
      <c r="C11" s="73">
        <v>10</v>
      </c>
      <c r="D11" s="72">
        <v>2020</v>
      </c>
      <c r="E11" s="71">
        <f>Submetering!E11+Submetering!F11+Submetering!G11+Submetering!H11+Submetering!I11+Submetering!J11+Submetering!K11</f>
        <v>27550</v>
      </c>
      <c r="F11" s="74">
        <v>0.2</v>
      </c>
      <c r="G11" s="71">
        <f>Submetering!P11</f>
        <v>437.60000000009313</v>
      </c>
      <c r="H11" s="74">
        <v>6.47</v>
      </c>
      <c r="I11" s="71">
        <f>Submetering!T11-Submetering!T11*15%-Submetering!X11</f>
        <v>50167.049860005747</v>
      </c>
      <c r="J11" s="70">
        <v>0.21</v>
      </c>
      <c r="K11" s="71">
        <f>Submetering!N11-Submetering!O11</f>
        <v>30.382000000000005</v>
      </c>
      <c r="L11" s="74">
        <v>7.84</v>
      </c>
      <c r="M11" s="71">
        <f>Submetering!Y11</f>
        <v>26</v>
      </c>
      <c r="N11" s="115">
        <f>Submetering!Z11</f>
        <v>48</v>
      </c>
    </row>
    <row r="12" spans="1:15" x14ac:dyDescent="0.25">
      <c r="A12" s="125" t="s">
        <v>80</v>
      </c>
      <c r="B12" s="72">
        <f t="shared" si="0"/>
        <v>11</v>
      </c>
      <c r="C12" s="73">
        <v>10</v>
      </c>
      <c r="D12" s="72">
        <v>2020</v>
      </c>
      <c r="E12" s="71">
        <f>Submetering!E12+Submetering!F12+Submetering!G12+Submetering!H12+Submetering!I12+Submetering!J12+Submetering!K12</f>
        <v>27886</v>
      </c>
      <c r="F12" s="74">
        <v>0.2</v>
      </c>
      <c r="G12" s="71">
        <f>Submetering!P12</f>
        <v>457.19999999995343</v>
      </c>
      <c r="H12" s="74">
        <v>6.47</v>
      </c>
      <c r="I12" s="71">
        <f>Submetering!T12-Submetering!T12*15%-Submetering!X12</f>
        <v>46030.383940000072</v>
      </c>
      <c r="J12" s="70">
        <v>0.21</v>
      </c>
      <c r="K12" s="71">
        <f>Submetering!N12-Submetering!O12</f>
        <v>43.771000000000001</v>
      </c>
      <c r="L12" s="74">
        <v>7.84</v>
      </c>
      <c r="M12" s="71">
        <f>Submetering!Y12</f>
        <v>41</v>
      </c>
      <c r="N12" s="115">
        <f>Submetering!Z12</f>
        <v>61</v>
      </c>
    </row>
    <row r="13" spans="1:15" x14ac:dyDescent="0.25">
      <c r="A13" s="125" t="s">
        <v>80</v>
      </c>
      <c r="B13" s="72">
        <f t="shared" si="0"/>
        <v>12</v>
      </c>
      <c r="C13" s="73">
        <v>10</v>
      </c>
      <c r="D13" s="72">
        <v>2020</v>
      </c>
      <c r="E13" s="71">
        <f>Submetering!E13+Submetering!F13+Submetering!G13+Submetering!H13+Submetering!I13+Submetering!J13+Submetering!K13</f>
        <v>0</v>
      </c>
      <c r="F13" s="74">
        <v>0.2</v>
      </c>
      <c r="G13" s="71" t="str">
        <f>Submetering!P13</f>
        <v>0</v>
      </c>
      <c r="H13" s="74">
        <v>6.47</v>
      </c>
      <c r="I13" s="71">
        <f>Submetering!T13-Submetering!T13*15%-Submetering!X13</f>
        <v>0</v>
      </c>
      <c r="J13" s="70">
        <v>0.21</v>
      </c>
      <c r="K13" s="71">
        <f>Submetering!N13-Submetering!O13</f>
        <v>0</v>
      </c>
      <c r="L13" s="74">
        <v>7.84</v>
      </c>
      <c r="M13" s="71">
        <f>Submetering!Y13</f>
        <v>0</v>
      </c>
      <c r="N13" s="115">
        <f>Submetering!Z13</f>
        <v>0</v>
      </c>
    </row>
    <row r="14" spans="1:15" x14ac:dyDescent="0.25">
      <c r="A14" s="125" t="s">
        <v>80</v>
      </c>
      <c r="B14" s="72">
        <f t="shared" si="0"/>
        <v>13</v>
      </c>
      <c r="C14" s="73">
        <v>10</v>
      </c>
      <c r="D14" s="72">
        <v>2020</v>
      </c>
      <c r="E14" s="71">
        <f>Submetering!E14+Submetering!F14+Submetering!G14+Submetering!H14+Submetering!I14+Submetering!J14+Submetering!K14</f>
        <v>0</v>
      </c>
      <c r="F14" s="74">
        <v>0.2</v>
      </c>
      <c r="G14" s="71">
        <f>Submetering!P14</f>
        <v>0</v>
      </c>
      <c r="H14" s="74">
        <v>6.47</v>
      </c>
      <c r="I14" s="71">
        <f>Submetering!T14-Submetering!T14*15%-Submetering!X14</f>
        <v>0</v>
      </c>
      <c r="J14" s="70">
        <v>0.21</v>
      </c>
      <c r="K14" s="71">
        <f>Submetering!N14-Submetering!O14</f>
        <v>0</v>
      </c>
      <c r="L14" s="74">
        <v>7.84</v>
      </c>
      <c r="M14" s="71">
        <f>Submetering!Y14</f>
        <v>0</v>
      </c>
      <c r="N14" s="115">
        <f>Submetering!Z14</f>
        <v>0</v>
      </c>
    </row>
    <row r="15" spans="1:15" x14ac:dyDescent="0.25">
      <c r="A15" s="125" t="s">
        <v>80</v>
      </c>
      <c r="B15" s="72">
        <f t="shared" si="0"/>
        <v>14</v>
      </c>
      <c r="C15" s="73">
        <v>10</v>
      </c>
      <c r="D15" s="72">
        <v>2020</v>
      </c>
      <c r="E15" s="71">
        <f>Submetering!E15+Submetering!F15+Submetering!G15+Submetering!H15+Submetering!I15+Submetering!J15+Submetering!K15</f>
        <v>0</v>
      </c>
      <c r="F15" s="74">
        <v>0.2</v>
      </c>
      <c r="G15" s="71">
        <f>Submetering!P15</f>
        <v>0</v>
      </c>
      <c r="H15" s="74">
        <v>6.47</v>
      </c>
      <c r="I15" s="71">
        <f>Submetering!T15-Submetering!T15*15%-Submetering!X15</f>
        <v>0</v>
      </c>
      <c r="J15" s="70">
        <v>0.21</v>
      </c>
      <c r="K15" s="81">
        <f>Submetering!N15-Submetering!O15</f>
        <v>0</v>
      </c>
      <c r="L15" s="74">
        <v>7.84</v>
      </c>
      <c r="M15" s="71">
        <f>Submetering!Y15</f>
        <v>0</v>
      </c>
      <c r="N15" s="115">
        <f>Submetering!Z15</f>
        <v>0</v>
      </c>
    </row>
    <row r="16" spans="1:15" x14ac:dyDescent="0.25">
      <c r="A16" s="125" t="s">
        <v>80</v>
      </c>
      <c r="B16" s="72">
        <f t="shared" si="0"/>
        <v>15</v>
      </c>
      <c r="C16" s="73">
        <v>10</v>
      </c>
      <c r="D16" s="72">
        <v>2020</v>
      </c>
      <c r="E16" s="71">
        <f>Submetering!E16+Submetering!F16+Submetering!G16+Submetering!H16+Submetering!I16+Submetering!J16+Submetering!K16</f>
        <v>0</v>
      </c>
      <c r="F16" s="74">
        <v>0.2</v>
      </c>
      <c r="G16" s="71">
        <f>Submetering!P16</f>
        <v>0</v>
      </c>
      <c r="H16" s="74">
        <v>6.47</v>
      </c>
      <c r="I16" s="71">
        <f>Submetering!T16-Submetering!T16*15%-Submetering!X16</f>
        <v>0</v>
      </c>
      <c r="J16" s="70">
        <v>0.21</v>
      </c>
      <c r="K16" s="71">
        <f>Submetering!N16-Submetering!O16</f>
        <v>0</v>
      </c>
      <c r="L16" s="74">
        <v>7.84</v>
      </c>
      <c r="M16" s="71">
        <f>Submetering!Y16</f>
        <v>0</v>
      </c>
      <c r="N16" s="115">
        <f>Submetering!Z16</f>
        <v>0</v>
      </c>
    </row>
    <row r="17" spans="1:14" x14ac:dyDescent="0.25">
      <c r="A17" s="125" t="s">
        <v>80</v>
      </c>
      <c r="B17" s="72">
        <f t="shared" si="0"/>
        <v>16</v>
      </c>
      <c r="C17" s="73">
        <v>10</v>
      </c>
      <c r="D17" s="72">
        <v>2020</v>
      </c>
      <c r="E17" s="71">
        <f>Submetering!E17+Submetering!F17+Submetering!G17+Submetering!H17+Submetering!I17+Submetering!J17+Submetering!K17</f>
        <v>0</v>
      </c>
      <c r="F17" s="74">
        <v>0.2</v>
      </c>
      <c r="G17" s="71">
        <f>Submetering!P17</f>
        <v>0</v>
      </c>
      <c r="H17" s="74">
        <v>6.47</v>
      </c>
      <c r="I17" s="71">
        <f>Submetering!T17-Submetering!T17*15%-Submetering!X17</f>
        <v>0</v>
      </c>
      <c r="J17" s="70">
        <v>0.21</v>
      </c>
      <c r="K17" s="71">
        <f>Submetering!N17-Submetering!O17</f>
        <v>0</v>
      </c>
      <c r="L17" s="74">
        <v>7.84</v>
      </c>
      <c r="M17" s="71">
        <f>Submetering!Y17</f>
        <v>0</v>
      </c>
      <c r="N17" s="115">
        <f>Submetering!Z17</f>
        <v>0</v>
      </c>
    </row>
    <row r="18" spans="1:14" x14ac:dyDescent="0.25">
      <c r="A18" s="125" t="s">
        <v>80</v>
      </c>
      <c r="B18" s="72">
        <f t="shared" si="0"/>
        <v>17</v>
      </c>
      <c r="C18" s="73">
        <v>10</v>
      </c>
      <c r="D18" s="72">
        <v>2020</v>
      </c>
      <c r="E18" s="71">
        <f>Submetering!E18+Submetering!F18+Submetering!G18+Submetering!H18+Submetering!I18+Submetering!J18+Submetering!K18</f>
        <v>0</v>
      </c>
      <c r="F18" s="74">
        <v>0.2</v>
      </c>
      <c r="G18" s="71">
        <f>Submetering!P18</f>
        <v>0</v>
      </c>
      <c r="H18" s="74">
        <v>6.47</v>
      </c>
      <c r="I18" s="71">
        <f>Submetering!T18-Submetering!T18*15%-Submetering!X18</f>
        <v>0</v>
      </c>
      <c r="J18" s="70">
        <v>0.21</v>
      </c>
      <c r="K18" s="71">
        <f>Submetering!N18-Submetering!O18</f>
        <v>0</v>
      </c>
      <c r="L18" s="74">
        <v>7.84</v>
      </c>
      <c r="M18" s="71">
        <f>Submetering!Y18</f>
        <v>0</v>
      </c>
      <c r="N18" s="115">
        <f>Submetering!Z18</f>
        <v>0</v>
      </c>
    </row>
    <row r="19" spans="1:14" x14ac:dyDescent="0.25">
      <c r="A19" s="125" t="s">
        <v>80</v>
      </c>
      <c r="B19" s="72">
        <f t="shared" si="0"/>
        <v>18</v>
      </c>
      <c r="C19" s="73">
        <v>10</v>
      </c>
      <c r="D19" s="72">
        <v>2020</v>
      </c>
      <c r="E19" s="71">
        <f>Submetering!E19+Submetering!F19+Submetering!G19+Submetering!H19+Submetering!I19+Submetering!J19+Submetering!K19</f>
        <v>0</v>
      </c>
      <c r="F19" s="74">
        <v>0.2</v>
      </c>
      <c r="G19" s="71">
        <f>Submetering!P19</f>
        <v>0</v>
      </c>
      <c r="H19" s="74">
        <v>6.47</v>
      </c>
      <c r="I19" s="71">
        <f>Submetering!T19-Submetering!T19*15%-Submetering!X19</f>
        <v>0</v>
      </c>
      <c r="J19" s="70">
        <v>0.21</v>
      </c>
      <c r="K19" s="71">
        <f>Submetering!N19-Submetering!O19</f>
        <v>0</v>
      </c>
      <c r="L19" s="74">
        <v>7.84</v>
      </c>
      <c r="M19" s="71">
        <f>Submetering!Y19</f>
        <v>0</v>
      </c>
      <c r="N19" s="115">
        <f>Submetering!Z19</f>
        <v>0</v>
      </c>
    </row>
    <row r="20" spans="1:14" x14ac:dyDescent="0.25">
      <c r="A20" s="125" t="s">
        <v>80</v>
      </c>
      <c r="B20" s="72">
        <f t="shared" si="0"/>
        <v>19</v>
      </c>
      <c r="C20" s="73">
        <v>10</v>
      </c>
      <c r="D20" s="72">
        <v>2020</v>
      </c>
      <c r="E20" s="71">
        <f>Submetering!E20+Submetering!F20+Submetering!G20+Submetering!H20+Submetering!I20+Submetering!J20+Submetering!K20</f>
        <v>0</v>
      </c>
      <c r="F20" s="74">
        <v>0.2</v>
      </c>
      <c r="G20" s="71">
        <f>Submetering!P20</f>
        <v>0</v>
      </c>
      <c r="H20" s="74">
        <v>6.47</v>
      </c>
      <c r="I20" s="71">
        <f>Submetering!T20-Submetering!T20*15%-Submetering!X20</f>
        <v>0</v>
      </c>
      <c r="J20" s="70">
        <v>0.21</v>
      </c>
      <c r="K20" s="71">
        <f>Submetering!N20-Submetering!O20</f>
        <v>0</v>
      </c>
      <c r="L20" s="74">
        <v>7.84</v>
      </c>
      <c r="M20" s="71">
        <f>Submetering!Y20</f>
        <v>0</v>
      </c>
      <c r="N20" s="115">
        <f>Submetering!Z20</f>
        <v>0</v>
      </c>
    </row>
    <row r="21" spans="1:14" x14ac:dyDescent="0.25">
      <c r="A21" s="125" t="s">
        <v>80</v>
      </c>
      <c r="B21" s="72">
        <f t="shared" si="0"/>
        <v>20</v>
      </c>
      <c r="C21" s="73">
        <v>10</v>
      </c>
      <c r="D21" s="72">
        <v>2020</v>
      </c>
      <c r="E21" s="71">
        <f>Submetering!E21+Submetering!F21+Submetering!G21+Submetering!H21+Submetering!I21+Submetering!J21+Submetering!K21</f>
        <v>0</v>
      </c>
      <c r="F21" s="74">
        <v>0.2</v>
      </c>
      <c r="G21" s="71">
        <f>Submetering!P21</f>
        <v>0</v>
      </c>
      <c r="H21" s="74">
        <v>6.47</v>
      </c>
      <c r="I21" s="71">
        <f>Submetering!T21-Submetering!T21*15%-Submetering!X21</f>
        <v>0</v>
      </c>
      <c r="J21" s="70">
        <v>0.21</v>
      </c>
      <c r="K21" s="71">
        <f>Submetering!N21-Submetering!O21</f>
        <v>0</v>
      </c>
      <c r="L21" s="74">
        <v>7.84</v>
      </c>
      <c r="M21" s="71">
        <f>Submetering!Y21</f>
        <v>0</v>
      </c>
      <c r="N21" s="115">
        <f>Submetering!Z21</f>
        <v>0</v>
      </c>
    </row>
    <row r="22" spans="1:14" x14ac:dyDescent="0.25">
      <c r="A22" s="125" t="s">
        <v>80</v>
      </c>
      <c r="B22" s="72">
        <f t="shared" si="0"/>
        <v>21</v>
      </c>
      <c r="C22" s="73">
        <v>10</v>
      </c>
      <c r="D22" s="72">
        <v>2020</v>
      </c>
      <c r="E22" s="71">
        <f>Submetering!E22+Submetering!F22+Submetering!G22+Submetering!H22+Submetering!I22+Submetering!J22+Submetering!K22</f>
        <v>0</v>
      </c>
      <c r="F22" s="74">
        <v>0.2</v>
      </c>
      <c r="G22" s="71">
        <f>Submetering!P22</f>
        <v>0</v>
      </c>
      <c r="H22" s="74">
        <v>6.47</v>
      </c>
      <c r="I22" s="71">
        <f>Submetering!T22-Submetering!T22*15%-Submetering!X22</f>
        <v>0</v>
      </c>
      <c r="J22" s="70">
        <v>0.21</v>
      </c>
      <c r="K22" s="71">
        <f>Submetering!N22-Submetering!O22</f>
        <v>0</v>
      </c>
      <c r="L22" s="74">
        <v>7.84</v>
      </c>
      <c r="M22" s="71">
        <f>Submetering!Y22</f>
        <v>0</v>
      </c>
      <c r="N22" s="115">
        <f>Submetering!Z22</f>
        <v>0</v>
      </c>
    </row>
    <row r="23" spans="1:14" x14ac:dyDescent="0.25">
      <c r="A23" s="125" t="s">
        <v>80</v>
      </c>
      <c r="B23" s="72">
        <f t="shared" si="0"/>
        <v>22</v>
      </c>
      <c r="C23" s="73">
        <v>10</v>
      </c>
      <c r="D23" s="72">
        <v>2020</v>
      </c>
      <c r="E23" s="71">
        <f>Submetering!E23+Submetering!F23+Submetering!G23+Submetering!H23+Submetering!I23+Submetering!J23+Submetering!K23</f>
        <v>0</v>
      </c>
      <c r="F23" s="74">
        <v>0.2</v>
      </c>
      <c r="G23" s="71">
        <f>Submetering!P23</f>
        <v>0</v>
      </c>
      <c r="H23" s="74">
        <v>6.47</v>
      </c>
      <c r="I23" s="71">
        <f>Submetering!T23-Submetering!T23*15%-Submetering!X23</f>
        <v>0</v>
      </c>
      <c r="J23" s="70">
        <v>0.21</v>
      </c>
      <c r="K23" s="71">
        <f>Submetering!N23-Submetering!O23</f>
        <v>0</v>
      </c>
      <c r="L23" s="74">
        <v>7.84</v>
      </c>
      <c r="M23" s="71">
        <f>Submetering!Y23</f>
        <v>0</v>
      </c>
      <c r="N23" s="115">
        <f>Submetering!Z23</f>
        <v>0</v>
      </c>
    </row>
    <row r="24" spans="1:14" x14ac:dyDescent="0.25">
      <c r="A24" s="125" t="s">
        <v>80</v>
      </c>
      <c r="B24" s="72">
        <f t="shared" si="0"/>
        <v>23</v>
      </c>
      <c r="C24" s="73">
        <v>10</v>
      </c>
      <c r="D24" s="72">
        <v>2020</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71">
        <f>Submetering!Y24</f>
        <v>0</v>
      </c>
      <c r="N24" s="115">
        <f>Submetering!Z24</f>
        <v>0</v>
      </c>
    </row>
    <row r="25" spans="1:14" x14ac:dyDescent="0.25">
      <c r="A25" s="125" t="s">
        <v>80</v>
      </c>
      <c r="B25" s="72">
        <f t="shared" si="0"/>
        <v>24</v>
      </c>
      <c r="C25" s="73">
        <v>10</v>
      </c>
      <c r="D25" s="72">
        <v>2020</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15">
        <f>Submetering!Z25</f>
        <v>0</v>
      </c>
    </row>
    <row r="26" spans="1:14" x14ac:dyDescent="0.25">
      <c r="A26" s="125" t="s">
        <v>80</v>
      </c>
      <c r="B26" s="72">
        <f>B25+1</f>
        <v>25</v>
      </c>
      <c r="C26" s="73">
        <v>10</v>
      </c>
      <c r="D26" s="72">
        <v>2020</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15">
        <f>Submetering!Z26</f>
        <v>0</v>
      </c>
    </row>
    <row r="27" spans="1:14" x14ac:dyDescent="0.25">
      <c r="A27" s="125" t="s">
        <v>80</v>
      </c>
      <c r="B27" s="72">
        <f t="shared" si="0"/>
        <v>26</v>
      </c>
      <c r="C27" s="73">
        <v>10</v>
      </c>
      <c r="D27" s="72">
        <v>2020</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15">
        <f>Submetering!Z27</f>
        <v>0</v>
      </c>
    </row>
    <row r="28" spans="1:14" x14ac:dyDescent="0.25">
      <c r="A28" s="125" t="s">
        <v>80</v>
      </c>
      <c r="B28" s="72">
        <f t="shared" si="0"/>
        <v>27</v>
      </c>
      <c r="C28" s="73">
        <v>10</v>
      </c>
      <c r="D28" s="72">
        <v>2020</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15">
        <f>Submetering!Z28</f>
        <v>0</v>
      </c>
    </row>
    <row r="29" spans="1:14" x14ac:dyDescent="0.25">
      <c r="A29" s="125" t="s">
        <v>80</v>
      </c>
      <c r="B29" s="72">
        <f t="shared" si="0"/>
        <v>28</v>
      </c>
      <c r="C29" s="73">
        <v>10</v>
      </c>
      <c r="D29" s="72">
        <v>2020</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15">
        <f>Submetering!Z29</f>
        <v>0</v>
      </c>
    </row>
    <row r="30" spans="1:14" x14ac:dyDescent="0.25">
      <c r="A30" s="125" t="s">
        <v>80</v>
      </c>
      <c r="B30" s="72">
        <f t="shared" si="0"/>
        <v>29</v>
      </c>
      <c r="C30" s="73">
        <v>10</v>
      </c>
      <c r="D30" s="72">
        <v>2020</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15">
        <f>Submetering!Z30</f>
        <v>0</v>
      </c>
    </row>
    <row r="31" spans="1:14" x14ac:dyDescent="0.25">
      <c r="A31" s="145" t="s">
        <v>80</v>
      </c>
      <c r="B31" s="146">
        <f t="shared" si="0"/>
        <v>30</v>
      </c>
      <c r="C31" s="73">
        <v>10</v>
      </c>
      <c r="D31" s="146">
        <v>2020</v>
      </c>
      <c r="E31" s="143">
        <f>Submetering!E31+Submetering!F31+Submetering!G31+Submetering!H31+Submetering!I31+Submetering!J31+Submetering!K31</f>
        <v>0</v>
      </c>
      <c r="F31" s="147">
        <v>0.2</v>
      </c>
      <c r="G31" s="143">
        <f>Submetering!P31</f>
        <v>0</v>
      </c>
      <c r="H31" s="147">
        <v>6.47</v>
      </c>
      <c r="I31" s="143">
        <f>Submetering!T31-Submetering!T31*15%-Submetering!X31</f>
        <v>0</v>
      </c>
      <c r="J31" s="142">
        <v>0.21</v>
      </c>
      <c r="K31" s="143">
        <f>Submetering!N31-Submetering!O31</f>
        <v>0</v>
      </c>
      <c r="L31" s="147">
        <v>7.84</v>
      </c>
      <c r="M31" s="143">
        <f>Submetering!Y31</f>
        <v>0</v>
      </c>
      <c r="N31" s="144">
        <f>Submetering!Z31</f>
        <v>0</v>
      </c>
    </row>
    <row r="32" spans="1:14" ht="15.75" thickBot="1" x14ac:dyDescent="0.3">
      <c r="A32" s="126" t="s">
        <v>80</v>
      </c>
      <c r="B32" s="127">
        <f t="shared" si="0"/>
        <v>31</v>
      </c>
      <c r="C32" s="128">
        <v>10</v>
      </c>
      <c r="D32" s="127">
        <v>2020</v>
      </c>
      <c r="E32" s="119">
        <f>Submetering!E32+Submetering!F32+Submetering!G32+Submetering!H32+Submetering!I32+Submetering!J32+Submetering!K32</f>
        <v>0</v>
      </c>
      <c r="F32" s="129">
        <v>0.2</v>
      </c>
      <c r="G32" s="119">
        <f>Submetering!P32</f>
        <v>0</v>
      </c>
      <c r="H32" s="129">
        <v>6.47</v>
      </c>
      <c r="I32" s="119">
        <f>Submetering!T32-Submetering!T32*15%-Submetering!X32</f>
        <v>0</v>
      </c>
      <c r="J32" s="118">
        <v>0.21</v>
      </c>
      <c r="K32" s="119">
        <f>Submetering!N32-Submetering!O32</f>
        <v>0</v>
      </c>
      <c r="L32" s="129">
        <v>7.84</v>
      </c>
      <c r="M32" s="119">
        <f>Submetering!Y32</f>
        <v>0</v>
      </c>
      <c r="N32" s="120">
        <f>Submetering!Z32</f>
        <v>0</v>
      </c>
    </row>
    <row r="33" spans="13:14" x14ac:dyDescent="0.25">
      <c r="M33" s="4">
        <f>SUM(M2:M32)</f>
        <v>608</v>
      </c>
      <c r="N33" s="4">
        <f>SUM(N2:N32)</f>
        <v>1071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I2" activePane="bottomRight" state="frozen"/>
      <selection pane="topRight" activeCell="C1" sqref="C1"/>
      <selection pane="bottomLeft" activeCell="A2" sqref="A2"/>
      <selection pane="bottomRight" activeCell="Y2" sqref="Y2:Y1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3" t="s">
        <v>0</v>
      </c>
      <c r="B1" s="104" t="s">
        <v>1</v>
      </c>
      <c r="C1" s="105" t="s">
        <v>2</v>
      </c>
      <c r="D1" s="104" t="s">
        <v>3</v>
      </c>
      <c r="E1" s="106" t="s">
        <v>64</v>
      </c>
      <c r="F1" s="106" t="s">
        <v>81</v>
      </c>
      <c r="G1" s="106" t="s">
        <v>84</v>
      </c>
      <c r="H1" s="106" t="s">
        <v>65</v>
      </c>
      <c r="I1" s="106" t="s">
        <v>66</v>
      </c>
      <c r="J1" s="106" t="s">
        <v>67</v>
      </c>
      <c r="K1" s="106" t="s">
        <v>68</v>
      </c>
      <c r="L1" s="107" t="s">
        <v>69</v>
      </c>
      <c r="M1" s="107" t="s">
        <v>70</v>
      </c>
      <c r="N1" s="107" t="s">
        <v>71</v>
      </c>
      <c r="O1" s="107" t="s">
        <v>72</v>
      </c>
      <c r="P1" s="107" t="s">
        <v>73</v>
      </c>
      <c r="Q1" s="107" t="s">
        <v>74</v>
      </c>
      <c r="R1" s="107" t="s">
        <v>75</v>
      </c>
      <c r="S1" s="107" t="s">
        <v>91</v>
      </c>
      <c r="T1" s="107" t="s">
        <v>86</v>
      </c>
      <c r="U1" s="107" t="s">
        <v>87</v>
      </c>
      <c r="V1" s="107" t="s">
        <v>88</v>
      </c>
      <c r="W1" s="107" t="s">
        <v>89</v>
      </c>
      <c r="X1" s="107" t="s">
        <v>90</v>
      </c>
      <c r="Y1" s="108" t="s">
        <v>8</v>
      </c>
      <c r="Z1" s="107" t="s">
        <v>9</v>
      </c>
    </row>
    <row r="2" spans="1:26" x14ac:dyDescent="0.25">
      <c r="A2" s="109" t="s">
        <v>80</v>
      </c>
      <c r="B2" s="110">
        <v>1</v>
      </c>
      <c r="C2" s="111">
        <v>10</v>
      </c>
      <c r="D2" s="110">
        <v>2020</v>
      </c>
      <c r="E2" s="112">
        <f>'FS-AD Daily '!B6</f>
        <v>4715</v>
      </c>
      <c r="F2" s="112">
        <f>'FS-AD Daily '!C6</f>
        <v>3912</v>
      </c>
      <c r="G2" s="112">
        <f>'FS-AD Daily '!D6</f>
        <v>919</v>
      </c>
      <c r="H2" s="112">
        <f>'FS-AD Daily '!E6</f>
        <v>4641</v>
      </c>
      <c r="I2" s="112">
        <f>'FS-AD Daily '!F6</f>
        <v>5040</v>
      </c>
      <c r="J2" s="112">
        <f>'FS-AD Daily '!G6</f>
        <v>2802</v>
      </c>
      <c r="K2" s="112">
        <f>'FS-AD Daily '!H6</f>
        <v>4378</v>
      </c>
      <c r="L2" s="112">
        <f>'FS-AD Daily '!I6</f>
        <v>2594</v>
      </c>
      <c r="M2" s="112">
        <f>'FS-AD Daily '!J6</f>
        <v>7424</v>
      </c>
      <c r="N2" s="112">
        <f>'FS-AD Daily '!T6</f>
        <v>132.03200000000001</v>
      </c>
      <c r="O2" s="112">
        <f>'FS-AD Daily '!R6</f>
        <v>82.941000000000003</v>
      </c>
      <c r="P2" s="112">
        <f>'FS-AD Daily '!Z6</f>
        <v>512.79999999993015</v>
      </c>
      <c r="Q2" s="112">
        <f>'FS-AD Daily '!V6</f>
        <v>286.3</v>
      </c>
      <c r="R2" s="112">
        <f>'FS-AD Daily '!W6</f>
        <v>0</v>
      </c>
      <c r="S2" s="112">
        <f>P2-Q2-R2</f>
        <v>226.49999999993014</v>
      </c>
      <c r="T2" s="112">
        <f>'FS-AD Daily '!AD6*3.516</f>
        <v>75281.076000000001</v>
      </c>
      <c r="U2" s="112">
        <f>('FS-AD Daily '!AF6)*1000</f>
        <v>37100</v>
      </c>
      <c r="V2" s="112">
        <f>('FS-AD Daily '!AG6)*1000</f>
        <v>18600</v>
      </c>
      <c r="W2" s="112">
        <f>'FS-AD Daily '!AH6*1000</f>
        <v>15100</v>
      </c>
      <c r="X2" s="112">
        <f>('FS-AD Daily '!AK6)*1000</f>
        <v>20300.00000000291</v>
      </c>
      <c r="Y2" s="112">
        <v>98</v>
      </c>
      <c r="Z2" s="113">
        <v>193</v>
      </c>
    </row>
    <row r="3" spans="1:26" x14ac:dyDescent="0.25">
      <c r="A3" s="114" t="s">
        <v>80</v>
      </c>
      <c r="B3" s="69">
        <f>B2+1</f>
        <v>2</v>
      </c>
      <c r="C3" s="70">
        <v>10</v>
      </c>
      <c r="D3" s="69">
        <v>2020</v>
      </c>
      <c r="E3" s="71">
        <f>'FS-AD Daily '!B7</f>
        <v>4900</v>
      </c>
      <c r="F3" s="71">
        <f>'FS-AD Daily '!C7</f>
        <v>3754</v>
      </c>
      <c r="G3" s="71">
        <f>'FS-AD Daily '!D7</f>
        <v>922</v>
      </c>
      <c r="H3" s="71">
        <f>'FS-AD Daily '!E7</f>
        <v>4664</v>
      </c>
      <c r="I3" s="71">
        <f>'FS-AD Daily '!F7</f>
        <v>4945</v>
      </c>
      <c r="J3" s="71">
        <f>'FS-AD Daily '!G7</f>
        <v>2900</v>
      </c>
      <c r="K3" s="71">
        <f>'FS-AD Daily '!H7</f>
        <v>5100</v>
      </c>
      <c r="L3" s="71">
        <f>'FS-AD Daily '!I7</f>
        <v>2465</v>
      </c>
      <c r="M3" s="71">
        <f>'FS-AD Daily '!J7</f>
        <v>7491</v>
      </c>
      <c r="N3" s="71">
        <f>'FS-AD Daily '!T7</f>
        <v>151.43799999999999</v>
      </c>
      <c r="O3" s="71">
        <f>'FS-AD Daily '!R7</f>
        <v>86.654000000000011</v>
      </c>
      <c r="P3" s="71">
        <f>'FS-AD Daily '!Z7</f>
        <v>477.40000000002328</v>
      </c>
      <c r="Q3" s="71">
        <f>'FS-AD Daily '!V7</f>
        <v>257.8</v>
      </c>
      <c r="R3" s="71">
        <f>'FS-AD Daily '!W7</f>
        <v>0</v>
      </c>
      <c r="S3" s="71">
        <f t="shared" ref="S3:S31" si="0">P3-Q3-R3</f>
        <v>219.60000000002327</v>
      </c>
      <c r="T3" s="71">
        <f>'FS-AD Daily '!AD7*3.516</f>
        <v>84109.751999999993</v>
      </c>
      <c r="U3" s="71">
        <f>('FS-AD Daily '!AF7)*1000</f>
        <v>41000</v>
      </c>
      <c r="V3" s="71">
        <f>('FS-AD Daily '!AG7)*1000</f>
        <v>25000</v>
      </c>
      <c r="W3" s="71">
        <f>'FS-AD Daily '!AH7*1000</f>
        <v>14900</v>
      </c>
      <c r="X3" s="71">
        <f>('FS-AD Daily '!AK7)*1000</f>
        <v>21699.99999999709</v>
      </c>
      <c r="Y3" s="71">
        <v>91</v>
      </c>
      <c r="Z3" s="115">
        <v>198</v>
      </c>
    </row>
    <row r="4" spans="1:26" x14ac:dyDescent="0.25">
      <c r="A4" s="114" t="s">
        <v>80</v>
      </c>
      <c r="B4" s="69">
        <f t="shared" ref="B4:B32" si="1">B3+1</f>
        <v>3</v>
      </c>
      <c r="C4" s="70">
        <v>10</v>
      </c>
      <c r="D4" s="69">
        <v>2020</v>
      </c>
      <c r="E4" s="71">
        <f>'FS-AD Daily '!B8</f>
        <v>5272</v>
      </c>
      <c r="F4" s="71">
        <f>'FS-AD Daily '!C8</f>
        <v>3612</v>
      </c>
      <c r="G4" s="71">
        <f>'FS-AD Daily '!D8</f>
        <v>874</v>
      </c>
      <c r="H4" s="71">
        <f>'FS-AD Daily '!E8</f>
        <v>4969</v>
      </c>
      <c r="I4" s="71">
        <f>'FS-AD Daily '!F8</f>
        <v>4999</v>
      </c>
      <c r="J4" s="71">
        <f>'FS-AD Daily '!G8</f>
        <v>2876</v>
      </c>
      <c r="K4" s="71">
        <f>'FS-AD Daily '!H8</f>
        <v>7246</v>
      </c>
      <c r="L4" s="71">
        <f>'FS-AD Daily '!I8</f>
        <v>2482</v>
      </c>
      <c r="M4" s="71">
        <f>'FS-AD Daily '!J8</f>
        <v>7244</v>
      </c>
      <c r="N4" s="71">
        <f>'FS-AD Daily '!T8</f>
        <v>116.56099999999999</v>
      </c>
      <c r="O4" s="71">
        <f>'FS-AD Daily '!R8</f>
        <v>82.575000000000003</v>
      </c>
      <c r="P4" s="71">
        <f>'FS-AD Daily '!Z8</f>
        <v>409.5</v>
      </c>
      <c r="Q4" s="71">
        <f>'FS-AD Daily '!V8</f>
        <v>202</v>
      </c>
      <c r="R4" s="71">
        <f>'FS-AD Daily '!W8</f>
        <v>0</v>
      </c>
      <c r="S4" s="71">
        <f t="shared" si="0"/>
        <v>207.5</v>
      </c>
      <c r="T4" s="71">
        <f>'FS-AD Daily '!AD8*3.516</f>
        <v>103117.24800000001</v>
      </c>
      <c r="U4" s="71">
        <f>('FS-AD Daily '!AF8)*1000</f>
        <v>48800</v>
      </c>
      <c r="V4" s="71">
        <f>('FS-AD Daily '!AG8)*1000</f>
        <v>37700</v>
      </c>
      <c r="W4" s="71">
        <f>'FS-AD Daily '!AH8*1000</f>
        <v>15500</v>
      </c>
      <c r="X4" s="71">
        <f>('FS-AD Daily '!AK8)*1000</f>
        <v>25400.000000001455</v>
      </c>
      <c r="Y4" s="71">
        <v>54</v>
      </c>
      <c r="Z4" s="115">
        <v>86</v>
      </c>
    </row>
    <row r="5" spans="1:26" x14ac:dyDescent="0.25">
      <c r="A5" s="114" t="s">
        <v>80</v>
      </c>
      <c r="B5" s="69">
        <f t="shared" si="1"/>
        <v>4</v>
      </c>
      <c r="C5" s="70">
        <v>10</v>
      </c>
      <c r="D5" s="69">
        <v>2020</v>
      </c>
      <c r="E5" s="71">
        <f>'FS-AD Daily '!B9</f>
        <v>5367</v>
      </c>
      <c r="F5" s="71">
        <f>'FS-AD Daily '!C9</f>
        <v>4031</v>
      </c>
      <c r="G5" s="71">
        <f>'FS-AD Daily '!D9</f>
        <v>873</v>
      </c>
      <c r="H5" s="71">
        <f>'FS-AD Daily '!E9</f>
        <v>5197</v>
      </c>
      <c r="I5" s="71">
        <f>'FS-AD Daily '!F9</f>
        <v>5114</v>
      </c>
      <c r="J5" s="71">
        <f>'FS-AD Daily '!G9</f>
        <v>2840</v>
      </c>
      <c r="K5" s="71">
        <f>'FS-AD Daily '!H9</f>
        <v>7219</v>
      </c>
      <c r="L5" s="71">
        <f>'FS-AD Daily '!I9</f>
        <v>2579</v>
      </c>
      <c r="M5" s="71">
        <f>'FS-AD Daily '!J9</f>
        <v>7270</v>
      </c>
      <c r="N5" s="71">
        <f>'FS-AD Daily '!T9</f>
        <v>131.78</v>
      </c>
      <c r="O5" s="71">
        <f>'FS-AD Daily '!R9</f>
        <v>71.144000000000005</v>
      </c>
      <c r="P5" s="71">
        <f>'FS-AD Daily '!Z9</f>
        <v>384.59999999997672</v>
      </c>
      <c r="Q5" s="71">
        <f>'FS-AD Daily '!V9</f>
        <v>162.69999999999999</v>
      </c>
      <c r="R5" s="71">
        <f>'FS-AD Daily '!W9</f>
        <v>0</v>
      </c>
      <c r="S5" s="71">
        <f t="shared" si="0"/>
        <v>221.89999999997673</v>
      </c>
      <c r="T5" s="71">
        <f>'FS-AD Daily '!AD9*3.516</f>
        <v>103546.2</v>
      </c>
      <c r="U5" s="71">
        <f>('FS-AD Daily '!AF9)*1000</f>
        <v>48400</v>
      </c>
      <c r="V5" s="71">
        <f>('FS-AD Daily '!AG9)*1000</f>
        <v>37300</v>
      </c>
      <c r="W5" s="71">
        <f>'FS-AD Daily '!AH9*1000</f>
        <v>15200</v>
      </c>
      <c r="X5" s="71">
        <f>('FS-AD Daily '!AK9)*1000</f>
        <v>26400.000000001455</v>
      </c>
      <c r="Y5" s="71">
        <v>47</v>
      </c>
      <c r="Z5" s="115">
        <v>66</v>
      </c>
    </row>
    <row r="6" spans="1:26" x14ac:dyDescent="0.25">
      <c r="A6" s="114" t="s">
        <v>80</v>
      </c>
      <c r="B6" s="69">
        <f t="shared" si="1"/>
        <v>5</v>
      </c>
      <c r="C6" s="70">
        <v>10</v>
      </c>
      <c r="D6" s="69">
        <v>2020</v>
      </c>
      <c r="E6" s="71">
        <f>'FS-AD Daily '!B10</f>
        <v>4916</v>
      </c>
      <c r="F6" s="71">
        <f>'FS-AD Daily '!C10</f>
        <v>3737</v>
      </c>
      <c r="G6" s="71">
        <f>'FS-AD Daily '!D10</f>
        <v>885</v>
      </c>
      <c r="H6" s="71">
        <f>'FS-AD Daily '!E10</f>
        <v>4964</v>
      </c>
      <c r="I6" s="71">
        <f>'FS-AD Daily '!F10</f>
        <v>5010</v>
      </c>
      <c r="J6" s="71">
        <f>'FS-AD Daily '!G10</f>
        <v>2678</v>
      </c>
      <c r="K6" s="71">
        <f>'FS-AD Daily '!H10</f>
        <v>6744</v>
      </c>
      <c r="L6" s="71">
        <f>'FS-AD Daily '!I10</f>
        <v>2532</v>
      </c>
      <c r="M6" s="71">
        <f>'FS-AD Daily '!J10</f>
        <v>7181</v>
      </c>
      <c r="N6" s="71">
        <f>'FS-AD Daily '!T10</f>
        <v>112.57599999999999</v>
      </c>
      <c r="O6" s="71">
        <f>'FS-AD Daily '!R10</f>
        <v>76.867999999999995</v>
      </c>
      <c r="P6" s="71">
        <f>'FS-AD Daily '!Z10</f>
        <v>431.40000000002328</v>
      </c>
      <c r="Q6" s="71">
        <f>'FS-AD Daily '!V10</f>
        <v>211.7</v>
      </c>
      <c r="R6" s="71">
        <f>'FS-AD Daily '!W10</f>
        <v>0</v>
      </c>
      <c r="S6" s="71">
        <f t="shared" si="0"/>
        <v>219.70000000002329</v>
      </c>
      <c r="T6" s="71">
        <f>'FS-AD Daily '!AD10*3.516</f>
        <v>101348.7</v>
      </c>
      <c r="U6" s="71">
        <f>('FS-AD Daily '!AF10)*1000</f>
        <v>46300</v>
      </c>
      <c r="V6" s="71">
        <f>('FS-AD Daily '!AG10)*1000</f>
        <v>36100</v>
      </c>
      <c r="W6" s="71">
        <f>'FS-AD Daily '!AH10*1000</f>
        <v>15200</v>
      </c>
      <c r="X6" s="71">
        <f>('FS-AD Daily '!AK10)*1000</f>
        <v>26599.999999998545</v>
      </c>
      <c r="Y6" s="71">
        <v>46</v>
      </c>
      <c r="Z6" s="115">
        <v>70</v>
      </c>
    </row>
    <row r="7" spans="1:26" x14ac:dyDescent="0.25">
      <c r="A7" s="114" t="s">
        <v>80</v>
      </c>
      <c r="B7" s="69">
        <f t="shared" si="1"/>
        <v>6</v>
      </c>
      <c r="C7" s="70">
        <v>10</v>
      </c>
      <c r="D7" s="69">
        <v>2020</v>
      </c>
      <c r="E7" s="71">
        <f>'FS-AD Daily '!B11</f>
        <v>4118</v>
      </c>
      <c r="F7" s="71">
        <f>'FS-AD Daily '!C11</f>
        <v>3653</v>
      </c>
      <c r="G7" s="71">
        <f>'FS-AD Daily '!D11</f>
        <v>909</v>
      </c>
      <c r="H7" s="71">
        <f>'FS-AD Daily '!E11</f>
        <v>4832</v>
      </c>
      <c r="I7" s="71">
        <f>'FS-AD Daily '!F11</f>
        <v>5095</v>
      </c>
      <c r="J7" s="71">
        <f>'FS-AD Daily '!G11</f>
        <v>2685</v>
      </c>
      <c r="K7" s="71">
        <f>'FS-AD Daily '!H11</f>
        <v>6713</v>
      </c>
      <c r="L7" s="71">
        <f>'FS-AD Daily '!I11</f>
        <v>2546</v>
      </c>
      <c r="M7" s="71">
        <f>'FS-AD Daily '!J11</f>
        <v>7251</v>
      </c>
      <c r="N7" s="71">
        <f>'FS-AD Daily '!T11</f>
        <v>108.128</v>
      </c>
      <c r="O7" s="71">
        <f>'FS-AD Daily '!R11</f>
        <v>72.352999999999994</v>
      </c>
      <c r="P7" s="71">
        <f>'FS-AD Daily '!Z11</f>
        <v>448</v>
      </c>
      <c r="Q7" s="71">
        <f>'FS-AD Daily '!V11</f>
        <v>212</v>
      </c>
      <c r="R7" s="71">
        <f>'FS-AD Daily '!W11</f>
        <v>0</v>
      </c>
      <c r="S7" s="71">
        <f t="shared" si="0"/>
        <v>236</v>
      </c>
      <c r="T7" s="71">
        <f>'FS-AD Daily '!AD11*3.516</f>
        <v>96447.044400000086</v>
      </c>
      <c r="U7" s="71">
        <f>('FS-AD Daily '!AF11)*1000</f>
        <v>43600</v>
      </c>
      <c r="V7" s="71">
        <f>('FS-AD Daily '!AG11)*1000</f>
        <v>34700</v>
      </c>
      <c r="W7" s="71">
        <f>'FS-AD Daily '!AH11*1000</f>
        <v>15000</v>
      </c>
      <c r="X7" s="71">
        <f>('FS-AD Daily '!AK11)*1000</f>
        <v>25400.000000001455</v>
      </c>
      <c r="Y7" s="71">
        <v>64</v>
      </c>
      <c r="Z7" s="115">
        <v>94</v>
      </c>
    </row>
    <row r="8" spans="1:26" x14ac:dyDescent="0.25">
      <c r="A8" s="114" t="s">
        <v>80</v>
      </c>
      <c r="B8" s="69">
        <f t="shared" si="1"/>
        <v>7</v>
      </c>
      <c r="C8" s="70">
        <v>10</v>
      </c>
      <c r="D8" s="69">
        <v>2020</v>
      </c>
      <c r="E8" s="71">
        <f>'FS-AD Daily '!B12</f>
        <v>4142</v>
      </c>
      <c r="F8" s="71">
        <f>'FS-AD Daily '!C12</f>
        <v>3905</v>
      </c>
      <c r="G8" s="71">
        <f>'FS-AD Daily '!D12</f>
        <v>912</v>
      </c>
      <c r="H8" s="71">
        <f>'FS-AD Daily '!E12</f>
        <v>4893</v>
      </c>
      <c r="I8" s="71">
        <f>'FS-AD Daily '!F12</f>
        <v>5105</v>
      </c>
      <c r="J8" s="71">
        <f>'FS-AD Daily '!G12</f>
        <v>2703</v>
      </c>
      <c r="K8" s="71">
        <f>'FS-AD Daily '!H12</f>
        <v>6518</v>
      </c>
      <c r="L8" s="71">
        <f>'FS-AD Daily '!I12</f>
        <v>2593</v>
      </c>
      <c r="M8" s="71">
        <f>'FS-AD Daily '!J12</f>
        <v>7384</v>
      </c>
      <c r="N8" s="71">
        <f>'FS-AD Daily '!T12</f>
        <v>140.946</v>
      </c>
      <c r="O8" s="71">
        <f>'FS-AD Daily '!R12</f>
        <v>78.936999999999998</v>
      </c>
      <c r="P8" s="71">
        <f>'FS-AD Daily '!Z12</f>
        <v>434.69999999995343</v>
      </c>
      <c r="Q8" s="71">
        <f>'FS-AD Daily '!V12</f>
        <v>227.2</v>
      </c>
      <c r="R8" s="71">
        <f>'FS-AD Daily '!W12</f>
        <v>0</v>
      </c>
      <c r="S8" s="71">
        <f t="shared" si="0"/>
        <v>207.49999999995345</v>
      </c>
      <c r="T8" s="71">
        <f>'FS-AD Daily '!AD12*3.516</f>
        <v>93289.324799999755</v>
      </c>
      <c r="U8" s="71">
        <f>('FS-AD Daily '!AF12)*1000</f>
        <v>43700</v>
      </c>
      <c r="V8" s="71">
        <f>('FS-AD Daily '!AG12)*1000</f>
        <v>33100</v>
      </c>
      <c r="W8" s="71">
        <f>'FS-AD Daily '!AH12*1000</f>
        <v>14600</v>
      </c>
      <c r="X8" s="71">
        <f>('FS-AD Daily '!AK12)*1000</f>
        <v>23199.99999999709</v>
      </c>
      <c r="Y8" s="71">
        <v>53</v>
      </c>
      <c r="Z8" s="115">
        <v>85</v>
      </c>
    </row>
    <row r="9" spans="1:26" x14ac:dyDescent="0.25">
      <c r="A9" s="114" t="s">
        <v>80</v>
      </c>
      <c r="B9" s="69">
        <f t="shared" si="1"/>
        <v>8</v>
      </c>
      <c r="C9" s="70">
        <v>10</v>
      </c>
      <c r="D9" s="69">
        <v>2020</v>
      </c>
      <c r="E9" s="71">
        <f>'FS-AD Daily '!B13</f>
        <v>4219</v>
      </c>
      <c r="F9" s="71">
        <f>'FS-AD Daily '!C13</f>
        <v>3762</v>
      </c>
      <c r="G9" s="71">
        <f>'FS-AD Daily '!D13</f>
        <v>882</v>
      </c>
      <c r="H9" s="71">
        <f>'FS-AD Daily '!E13</f>
        <v>4695</v>
      </c>
      <c r="I9" s="71">
        <f>'FS-AD Daily '!F13</f>
        <v>5239</v>
      </c>
      <c r="J9" s="71">
        <f>'FS-AD Daily '!G13</f>
        <v>2793</v>
      </c>
      <c r="K9" s="71">
        <f>'FS-AD Daily '!H13</f>
        <v>7120</v>
      </c>
      <c r="L9" s="71">
        <f>'FS-AD Daily '!I13</f>
        <v>2593</v>
      </c>
      <c r="M9" s="71">
        <f>'FS-AD Daily '!J13</f>
        <v>7509</v>
      </c>
      <c r="N9" s="71">
        <f>'FS-AD Daily '!T13</f>
        <v>106.30199999999999</v>
      </c>
      <c r="O9" s="71">
        <f>'FS-AD Daily '!R13</f>
        <v>80.179000000000002</v>
      </c>
      <c r="P9" s="71">
        <f>'FS-AD Daily '!Z13</f>
        <v>438.70000000006985</v>
      </c>
      <c r="Q9" s="71">
        <f>'FS-AD Daily '!V13</f>
        <v>213.3</v>
      </c>
      <c r="R9" s="71">
        <f>'FS-AD Daily '!W13</f>
        <v>0</v>
      </c>
      <c r="S9" s="71">
        <f t="shared" si="0"/>
        <v>225.40000000006984</v>
      </c>
      <c r="T9" s="71">
        <f>'FS-AD Daily '!AD13*3.516</f>
        <v>108300.88680000017</v>
      </c>
      <c r="U9" s="71">
        <f>('FS-AD Daily '!AF13)*1000</f>
        <v>49300</v>
      </c>
      <c r="V9" s="71">
        <f>('FS-AD Daily '!AG13)*1000</f>
        <v>40500</v>
      </c>
      <c r="W9" s="71">
        <f>'FS-AD Daily '!AH13*1000</f>
        <v>15200</v>
      </c>
      <c r="X9" s="71">
        <f>('FS-AD Daily '!AK13)*1000</f>
        <v>27099.999999998545</v>
      </c>
      <c r="Y9" s="71">
        <v>42</v>
      </c>
      <c r="Z9" s="115">
        <v>78</v>
      </c>
    </row>
    <row r="10" spans="1:26" x14ac:dyDescent="0.25">
      <c r="A10" s="114" t="s">
        <v>80</v>
      </c>
      <c r="B10" s="69">
        <f t="shared" si="1"/>
        <v>9</v>
      </c>
      <c r="C10" s="70">
        <v>10</v>
      </c>
      <c r="D10" s="69">
        <v>2020</v>
      </c>
      <c r="E10" s="71">
        <f>'FS-AD Daily '!B14</f>
        <v>4350</v>
      </c>
      <c r="F10" s="71">
        <f>'FS-AD Daily '!C14</f>
        <v>3738</v>
      </c>
      <c r="G10" s="71">
        <f>'FS-AD Daily '!D14</f>
        <v>922</v>
      </c>
      <c r="H10" s="71">
        <f>'FS-AD Daily '!E14</f>
        <v>4680</v>
      </c>
      <c r="I10" s="71">
        <f>'FS-AD Daily '!F14</f>
        <v>5099</v>
      </c>
      <c r="J10" s="71">
        <f>'FS-AD Daily '!G14</f>
        <v>2901</v>
      </c>
      <c r="K10" s="71">
        <f>'FS-AD Daily '!H14</f>
        <v>6980</v>
      </c>
      <c r="L10" s="71">
        <f>'FS-AD Daily '!I14</f>
        <v>2482</v>
      </c>
      <c r="M10" s="71">
        <f>'FS-AD Daily '!J14</f>
        <v>7390</v>
      </c>
      <c r="N10" s="71">
        <f>'FS-AD Daily '!T14</f>
        <v>119.32499999999999</v>
      </c>
      <c r="O10" s="71">
        <f>'FS-AD Daily '!R14</f>
        <v>87.827999999999989</v>
      </c>
      <c r="P10" s="71">
        <f>'FS-AD Daily '!Z14</f>
        <v>487.79999999993015</v>
      </c>
      <c r="Q10" s="71">
        <f>'FS-AD Daily '!V14</f>
        <v>234.3</v>
      </c>
      <c r="R10" s="71">
        <f>'FS-AD Daily '!W14</f>
        <v>0</v>
      </c>
      <c r="S10" s="71">
        <f t="shared" si="0"/>
        <v>253.49999999993014</v>
      </c>
      <c r="T10" s="71">
        <f>'FS-AD Daily '!AD14*3.516</f>
        <v>105458.90399999999</v>
      </c>
      <c r="U10" s="71">
        <f>('FS-AD Daily '!AF14)*1000</f>
        <v>48000</v>
      </c>
      <c r="V10" s="71">
        <f>('FS-AD Daily '!AG14)*1000</f>
        <v>40100</v>
      </c>
      <c r="W10" s="71">
        <f>'FS-AD Daily '!AH14*1000</f>
        <v>15300</v>
      </c>
      <c r="X10" s="71">
        <f>('FS-AD Daily '!AK14)*1000</f>
        <v>27700.000000004366</v>
      </c>
      <c r="Y10" s="71">
        <v>46</v>
      </c>
      <c r="Z10" s="115">
        <v>92</v>
      </c>
    </row>
    <row r="11" spans="1:26" x14ac:dyDescent="0.25">
      <c r="A11" s="114" t="s">
        <v>80</v>
      </c>
      <c r="B11" s="69">
        <f t="shared" si="1"/>
        <v>10</v>
      </c>
      <c r="C11" s="70">
        <v>10</v>
      </c>
      <c r="D11" s="69">
        <v>2020</v>
      </c>
      <c r="E11" s="71">
        <f>'FS-AD Daily '!B15</f>
        <v>4288</v>
      </c>
      <c r="F11" s="71">
        <f>'FS-AD Daily '!C15</f>
        <v>3523</v>
      </c>
      <c r="G11" s="71">
        <f>'FS-AD Daily '!D15</f>
        <v>926</v>
      </c>
      <c r="H11" s="71">
        <f>'FS-AD Daily '!E15</f>
        <v>4882</v>
      </c>
      <c r="I11" s="71">
        <f>'FS-AD Daily '!F15</f>
        <v>4989</v>
      </c>
      <c r="J11" s="71">
        <f>'FS-AD Daily '!G15</f>
        <v>2866</v>
      </c>
      <c r="K11" s="71">
        <f>'FS-AD Daily '!H15</f>
        <v>6076</v>
      </c>
      <c r="L11" s="71">
        <f>'FS-AD Daily '!I15</f>
        <v>2528</v>
      </c>
      <c r="M11" s="71">
        <f>'FS-AD Daily '!J15</f>
        <v>7100</v>
      </c>
      <c r="N11" s="71">
        <f>'FS-AD Daily '!T15</f>
        <v>111.709</v>
      </c>
      <c r="O11" s="71">
        <f>'FS-AD Daily '!R15</f>
        <v>81.326999999999998</v>
      </c>
      <c r="P11" s="71">
        <f>'FS-AD Daily '!Z15</f>
        <v>437.60000000009313</v>
      </c>
      <c r="Q11" s="71">
        <f>'FS-AD Daily '!V15</f>
        <v>202.6</v>
      </c>
      <c r="R11" s="71">
        <f>'FS-AD Daily '!W15</f>
        <v>0</v>
      </c>
      <c r="S11" s="71">
        <f t="shared" si="0"/>
        <v>235.00000000009314</v>
      </c>
      <c r="T11" s="71">
        <f>'FS-AD Daily '!AD15*3.516</f>
        <v>88902.411599999919</v>
      </c>
      <c r="U11" s="71">
        <f>('FS-AD Daily '!AF15)*1000</f>
        <v>41200</v>
      </c>
      <c r="V11" s="71">
        <f>('FS-AD Daily '!AG15)*1000</f>
        <v>28200</v>
      </c>
      <c r="W11" s="71">
        <f>'FS-AD Daily '!AH15*1000</f>
        <v>14700</v>
      </c>
      <c r="X11" s="71">
        <f>('FS-AD Daily '!AK15)*1000</f>
        <v>25399.999999994179</v>
      </c>
      <c r="Y11" s="71">
        <v>26</v>
      </c>
      <c r="Z11" s="115">
        <v>48</v>
      </c>
    </row>
    <row r="12" spans="1:26" x14ac:dyDescent="0.25">
      <c r="A12" s="114" t="s">
        <v>80</v>
      </c>
      <c r="B12" s="69">
        <f t="shared" si="1"/>
        <v>11</v>
      </c>
      <c r="C12" s="70">
        <v>10</v>
      </c>
      <c r="D12" s="69">
        <v>2020</v>
      </c>
      <c r="E12" s="71">
        <f>'FS-AD Daily '!B16</f>
        <v>4317</v>
      </c>
      <c r="F12" s="71">
        <f>'FS-AD Daily '!C16</f>
        <v>3647</v>
      </c>
      <c r="G12" s="71">
        <f>'FS-AD Daily '!D16</f>
        <v>904</v>
      </c>
      <c r="H12" s="71">
        <f>'FS-AD Daily '!E16</f>
        <v>4845</v>
      </c>
      <c r="I12" s="71">
        <f>'FS-AD Daily '!F16</f>
        <v>5186</v>
      </c>
      <c r="J12" s="71">
        <f>'FS-AD Daily '!G16</f>
        <v>3156</v>
      </c>
      <c r="K12" s="71">
        <f>'FS-AD Daily '!H16</f>
        <v>5831</v>
      </c>
      <c r="L12" s="71">
        <f>'FS-AD Daily '!I16</f>
        <v>2561</v>
      </c>
      <c r="M12" s="71">
        <f>'FS-AD Daily '!J16</f>
        <v>7277</v>
      </c>
      <c r="N12" s="71">
        <f>'FS-AD Daily '!T16</f>
        <v>117.458</v>
      </c>
      <c r="O12" s="71">
        <f>'FS-AD Daily '!R16</f>
        <v>73.686999999999998</v>
      </c>
      <c r="P12" s="71">
        <f>'FS-AD Daily '!Z16</f>
        <v>457.19999999995343</v>
      </c>
      <c r="Q12" s="71">
        <f>'FS-AD Daily '!V16</f>
        <v>215.6</v>
      </c>
      <c r="R12" s="71">
        <f>'FS-AD Daily '!W16</f>
        <v>0</v>
      </c>
      <c r="S12" s="71">
        <f t="shared" si="0"/>
        <v>241.59999999995344</v>
      </c>
      <c r="T12" s="71">
        <f>'FS-AD Daily '!AD16*3.516</f>
        <v>81212.216400000078</v>
      </c>
      <c r="U12" s="71">
        <f>('FS-AD Daily '!AF16)*1000</f>
        <v>40600</v>
      </c>
      <c r="V12" s="71">
        <f>('FS-AD Daily '!AG16)*1000</f>
        <v>21100</v>
      </c>
      <c r="W12" s="71">
        <f>'FS-AD Daily '!AH16*1000</f>
        <v>14700</v>
      </c>
      <c r="X12" s="71">
        <f>('FS-AD Daily '!AK16)*1000</f>
        <v>23000</v>
      </c>
      <c r="Y12" s="71">
        <v>41</v>
      </c>
      <c r="Z12" s="115">
        <v>61</v>
      </c>
    </row>
    <row r="13" spans="1:26" x14ac:dyDescent="0.25">
      <c r="A13" s="114" t="s">
        <v>80</v>
      </c>
      <c r="B13" s="69">
        <f t="shared" si="1"/>
        <v>12</v>
      </c>
      <c r="C13" s="70">
        <v>10</v>
      </c>
      <c r="D13" s="69">
        <v>2020</v>
      </c>
      <c r="E13" s="71">
        <f>'FS-AD Daily '!B17</f>
        <v>0</v>
      </c>
      <c r="F13" s="71">
        <f>'FS-AD Daily '!C17</f>
        <v>0</v>
      </c>
      <c r="G13" s="71">
        <f>'FS-AD Daily '!D17</f>
        <v>0</v>
      </c>
      <c r="H13" s="71">
        <f>'FS-AD Daily '!E17</f>
        <v>0</v>
      </c>
      <c r="I13" s="71">
        <f>'FS-AD Daily '!F17</f>
        <v>0</v>
      </c>
      <c r="J13" s="71">
        <f>'FS-AD Daily '!G17</f>
        <v>0</v>
      </c>
      <c r="K13" s="71">
        <f>'FS-AD Daily '!H17</f>
        <v>0</v>
      </c>
      <c r="L13" s="71">
        <f>'FS-AD Daily '!I17</f>
        <v>0</v>
      </c>
      <c r="M13" s="71">
        <f>'FS-AD Daily '!J17</f>
        <v>0</v>
      </c>
      <c r="N13" s="71">
        <f>'FS-AD Daily '!T17</f>
        <v>0</v>
      </c>
      <c r="O13" s="71">
        <f>'FS-AD Daily '!R17</f>
        <v>0</v>
      </c>
      <c r="P13" s="71" t="str">
        <f>'FS-AD Daily '!Z17</f>
        <v>0</v>
      </c>
      <c r="Q13" s="71">
        <f>'FS-AD Daily '!V17</f>
        <v>0</v>
      </c>
      <c r="R13" s="71">
        <f>'FS-AD Daily '!W17</f>
        <v>0</v>
      </c>
      <c r="S13" s="71">
        <f t="shared" si="0"/>
        <v>0</v>
      </c>
      <c r="T13" s="71">
        <f>'FS-AD Daily '!AD17*3.516</f>
        <v>0</v>
      </c>
      <c r="U13" s="71">
        <f>('FS-AD Daily '!AF17)*1000</f>
        <v>0</v>
      </c>
      <c r="V13" s="71">
        <f>('FS-AD Daily '!AG17)*1000</f>
        <v>0</v>
      </c>
      <c r="W13" s="71">
        <f>'FS-AD Daily '!AH17*1000</f>
        <v>0</v>
      </c>
      <c r="X13" s="71">
        <f>('FS-AD Daily '!AK17)*1000</f>
        <v>0</v>
      </c>
      <c r="Y13" s="71">
        <f>'FS-AD Daily '!AN17</f>
        <v>0</v>
      </c>
      <c r="Z13" s="115"/>
    </row>
    <row r="14" spans="1:26" x14ac:dyDescent="0.25">
      <c r="A14" s="114" t="s">
        <v>80</v>
      </c>
      <c r="B14" s="69">
        <f t="shared" si="1"/>
        <v>13</v>
      </c>
      <c r="C14" s="70">
        <v>10</v>
      </c>
      <c r="D14" s="69">
        <v>2020</v>
      </c>
      <c r="E14" s="71">
        <f>'FS-AD Daily '!B18</f>
        <v>0</v>
      </c>
      <c r="F14" s="71">
        <f>'FS-AD Daily '!C18</f>
        <v>0</v>
      </c>
      <c r="G14" s="71">
        <f>'FS-AD Daily '!D18</f>
        <v>0</v>
      </c>
      <c r="H14" s="71">
        <f>'FS-AD Daily '!E18</f>
        <v>0</v>
      </c>
      <c r="I14" s="71">
        <f>'FS-AD Daily '!F18</f>
        <v>0</v>
      </c>
      <c r="J14" s="71">
        <f>'FS-AD Daily '!G18</f>
        <v>0</v>
      </c>
      <c r="K14" s="71">
        <f>'FS-AD Daily '!H18</f>
        <v>0</v>
      </c>
      <c r="L14" s="71">
        <f>'FS-AD Daily '!I18</f>
        <v>0</v>
      </c>
      <c r="M14" s="71">
        <f>'FS-AD Daily '!J18</f>
        <v>0</v>
      </c>
      <c r="N14" s="71">
        <f>'FS-AD Daily '!T18</f>
        <v>0</v>
      </c>
      <c r="O14" s="71">
        <f>'FS-AD Daily '!R18</f>
        <v>0</v>
      </c>
      <c r="P14" s="71">
        <f>'FS-AD Daily '!Z18</f>
        <v>0</v>
      </c>
      <c r="Q14" s="71">
        <f>'FS-AD Daily '!V18</f>
        <v>0</v>
      </c>
      <c r="R14" s="71">
        <f>'FS-AD Daily '!W18</f>
        <v>0</v>
      </c>
      <c r="S14" s="71">
        <f t="shared" si="0"/>
        <v>0</v>
      </c>
      <c r="T14" s="71">
        <f>'FS-AD Daily '!AD18*3.516</f>
        <v>0</v>
      </c>
      <c r="U14" s="71">
        <f>('FS-AD Daily '!AF18)*1000</f>
        <v>0</v>
      </c>
      <c r="V14" s="71">
        <f>('FS-AD Daily '!AG18)*1000</f>
        <v>0</v>
      </c>
      <c r="W14" s="71">
        <f>'FS-AD Daily '!AH18*1000</f>
        <v>0</v>
      </c>
      <c r="X14" s="71">
        <f>('FS-AD Daily '!AK18)*1000</f>
        <v>0</v>
      </c>
      <c r="Y14" s="71">
        <f>'FS-AD Daily '!AN18</f>
        <v>0</v>
      </c>
      <c r="Z14" s="115"/>
    </row>
    <row r="15" spans="1:26" x14ac:dyDescent="0.25">
      <c r="A15" s="114" t="s">
        <v>80</v>
      </c>
      <c r="B15" s="69">
        <f t="shared" si="1"/>
        <v>14</v>
      </c>
      <c r="C15" s="70">
        <v>10</v>
      </c>
      <c r="D15" s="69">
        <v>2020</v>
      </c>
      <c r="E15" s="71">
        <f>'FS-AD Daily '!B19</f>
        <v>0</v>
      </c>
      <c r="F15" s="71">
        <f>'FS-AD Daily '!C19</f>
        <v>0</v>
      </c>
      <c r="G15" s="71">
        <f>'FS-AD Daily '!D19</f>
        <v>0</v>
      </c>
      <c r="H15" s="71">
        <f>'FS-AD Daily '!E19</f>
        <v>0</v>
      </c>
      <c r="I15" s="71">
        <f>'FS-AD Daily '!F19</f>
        <v>0</v>
      </c>
      <c r="J15" s="71">
        <f>'FS-AD Daily '!G19</f>
        <v>0</v>
      </c>
      <c r="K15" s="71">
        <f>'FS-AD Daily '!H19</f>
        <v>0</v>
      </c>
      <c r="L15" s="71">
        <f>'FS-AD Daily '!I19</f>
        <v>0</v>
      </c>
      <c r="M15" s="71">
        <f>'FS-AD Daily '!J19</f>
        <v>0</v>
      </c>
      <c r="N15" s="71">
        <f>'FS-AD Daily '!T19</f>
        <v>0</v>
      </c>
      <c r="O15" s="71">
        <f>'FS-AD Daily '!R19</f>
        <v>0</v>
      </c>
      <c r="P15" s="71">
        <f>'FS-AD Daily '!Z19</f>
        <v>0</v>
      </c>
      <c r="Q15" s="71">
        <f>'FS-AD Daily '!V19</f>
        <v>0</v>
      </c>
      <c r="R15" s="71">
        <f>'FS-AD Daily '!W19</f>
        <v>0</v>
      </c>
      <c r="S15" s="71">
        <f t="shared" si="0"/>
        <v>0</v>
      </c>
      <c r="T15" s="71">
        <f>'FS-AD Daily '!AD19*3.516</f>
        <v>0</v>
      </c>
      <c r="U15" s="71">
        <f>('FS-AD Daily '!AF19)*1000</f>
        <v>0</v>
      </c>
      <c r="V15" s="71">
        <f>('FS-AD Daily '!AG19)*1000</f>
        <v>0</v>
      </c>
      <c r="W15" s="71">
        <f>'FS-AD Daily '!AH19*1000</f>
        <v>0</v>
      </c>
      <c r="X15" s="71">
        <f>('FS-AD Daily '!AK19)*1000</f>
        <v>0</v>
      </c>
      <c r="Y15" s="71">
        <f>'FS-AD Daily '!AN19</f>
        <v>0</v>
      </c>
      <c r="Z15" s="115"/>
    </row>
    <row r="16" spans="1:26" x14ac:dyDescent="0.25">
      <c r="A16" s="114" t="s">
        <v>80</v>
      </c>
      <c r="B16" s="69">
        <f t="shared" si="1"/>
        <v>15</v>
      </c>
      <c r="C16" s="70">
        <v>10</v>
      </c>
      <c r="D16" s="69">
        <v>2020</v>
      </c>
      <c r="E16" s="71">
        <f>'FS-AD Daily '!B20</f>
        <v>0</v>
      </c>
      <c r="F16" s="71">
        <f>'FS-AD Daily '!C20</f>
        <v>0</v>
      </c>
      <c r="G16" s="71">
        <f>'FS-AD Daily '!D20</f>
        <v>0</v>
      </c>
      <c r="H16" s="71">
        <f>'FS-AD Daily '!E20</f>
        <v>0</v>
      </c>
      <c r="I16" s="71">
        <f>'FS-AD Daily '!F20</f>
        <v>0</v>
      </c>
      <c r="J16" s="71">
        <f>'FS-AD Daily '!G20</f>
        <v>0</v>
      </c>
      <c r="K16" s="71">
        <f>'FS-AD Daily '!H20</f>
        <v>0</v>
      </c>
      <c r="L16" s="71">
        <f>'FS-AD Daily '!I20</f>
        <v>0</v>
      </c>
      <c r="M16" s="71">
        <f>'FS-AD Daily '!J20</f>
        <v>0</v>
      </c>
      <c r="N16" s="71">
        <f>'FS-AD Daily '!T20</f>
        <v>0</v>
      </c>
      <c r="O16" s="71">
        <f>'FS-AD Daily '!R20</f>
        <v>0</v>
      </c>
      <c r="P16" s="71">
        <f>'FS-AD Daily '!Z20</f>
        <v>0</v>
      </c>
      <c r="Q16" s="71">
        <f>'FS-AD Daily '!V20</f>
        <v>0</v>
      </c>
      <c r="R16" s="71">
        <f>'FS-AD Daily '!W20</f>
        <v>0</v>
      </c>
      <c r="S16" s="71">
        <f t="shared" si="0"/>
        <v>0</v>
      </c>
      <c r="T16" s="71">
        <f>'FS-AD Daily '!AD20*3.516</f>
        <v>0</v>
      </c>
      <c r="U16" s="71">
        <f>('FS-AD Daily '!AF20)*1000</f>
        <v>0</v>
      </c>
      <c r="V16" s="71">
        <f>('FS-AD Daily '!AG20)*1000</f>
        <v>0</v>
      </c>
      <c r="W16" s="71">
        <f>'FS-AD Daily '!AH20*1000</f>
        <v>0</v>
      </c>
      <c r="X16" s="71">
        <f>('FS-AD Daily '!AK20)*1000</f>
        <v>0</v>
      </c>
      <c r="Y16" s="71">
        <f>'FS-AD Daily '!AN20</f>
        <v>0</v>
      </c>
      <c r="Z16" s="115"/>
    </row>
    <row r="17" spans="1:26" x14ac:dyDescent="0.25">
      <c r="A17" s="114" t="s">
        <v>80</v>
      </c>
      <c r="B17" s="69">
        <f t="shared" si="1"/>
        <v>16</v>
      </c>
      <c r="C17" s="70">
        <v>10</v>
      </c>
      <c r="D17" s="69">
        <v>2020</v>
      </c>
      <c r="E17" s="71">
        <f>'FS-AD Daily '!B21</f>
        <v>0</v>
      </c>
      <c r="F17" s="71">
        <f>'FS-AD Daily '!C21</f>
        <v>0</v>
      </c>
      <c r="G17" s="71">
        <f>'FS-AD Daily '!D21</f>
        <v>0</v>
      </c>
      <c r="H17" s="71">
        <f>'FS-AD Daily '!E21</f>
        <v>0</v>
      </c>
      <c r="I17" s="71">
        <f>'FS-AD Daily '!F21</f>
        <v>0</v>
      </c>
      <c r="J17" s="71">
        <f>'FS-AD Daily '!G21</f>
        <v>0</v>
      </c>
      <c r="K17" s="71">
        <f>'FS-AD Daily '!H21</f>
        <v>0</v>
      </c>
      <c r="L17" s="71">
        <f>'FS-AD Daily '!I21</f>
        <v>0</v>
      </c>
      <c r="M17" s="71">
        <f>'FS-AD Daily '!J21</f>
        <v>0</v>
      </c>
      <c r="N17" s="71">
        <f>'FS-AD Daily '!T21</f>
        <v>0</v>
      </c>
      <c r="O17" s="71">
        <f>'FS-AD Daily '!R21</f>
        <v>0</v>
      </c>
      <c r="P17" s="71">
        <f>'FS-AD Daily '!Z21</f>
        <v>0</v>
      </c>
      <c r="Q17" s="71">
        <f>'FS-AD Daily '!V21</f>
        <v>0</v>
      </c>
      <c r="R17" s="71">
        <f>'FS-AD Daily '!W21</f>
        <v>0</v>
      </c>
      <c r="S17" s="71">
        <f t="shared" si="0"/>
        <v>0</v>
      </c>
      <c r="T17" s="71">
        <f>'FS-AD Daily '!AD21*3.516</f>
        <v>0</v>
      </c>
      <c r="U17" s="71">
        <f>('FS-AD Daily '!AF21)*1000</f>
        <v>0</v>
      </c>
      <c r="V17" s="71">
        <f>('FS-AD Daily '!AG21)*1000</f>
        <v>0</v>
      </c>
      <c r="W17" s="71">
        <f>'FS-AD Daily '!AH21*1000</f>
        <v>0</v>
      </c>
      <c r="X17" s="71">
        <f>('FS-AD Daily '!AK21)*1000</f>
        <v>0</v>
      </c>
      <c r="Y17" s="71">
        <f>'FS-AD Daily '!AN21</f>
        <v>0</v>
      </c>
      <c r="Z17" s="115"/>
    </row>
    <row r="18" spans="1:26" x14ac:dyDescent="0.25">
      <c r="A18" s="114" t="s">
        <v>80</v>
      </c>
      <c r="B18" s="69">
        <f t="shared" si="1"/>
        <v>17</v>
      </c>
      <c r="C18" s="70">
        <v>10</v>
      </c>
      <c r="D18" s="69">
        <v>2020</v>
      </c>
      <c r="E18" s="71">
        <f>'FS-AD Daily '!B22</f>
        <v>0</v>
      </c>
      <c r="F18" s="71">
        <f>'FS-AD Daily '!C22</f>
        <v>0</v>
      </c>
      <c r="G18" s="71">
        <f>'FS-AD Daily '!D22</f>
        <v>0</v>
      </c>
      <c r="H18" s="71">
        <f>'FS-AD Daily '!E22</f>
        <v>0</v>
      </c>
      <c r="I18" s="71">
        <f>'FS-AD Daily '!F22</f>
        <v>0</v>
      </c>
      <c r="J18" s="71">
        <f>'FS-AD Daily '!G22</f>
        <v>0</v>
      </c>
      <c r="K18" s="71">
        <f>'FS-AD Daily '!H22</f>
        <v>0</v>
      </c>
      <c r="L18" s="71">
        <f>'FS-AD Daily '!I22</f>
        <v>0</v>
      </c>
      <c r="M18" s="71">
        <f>'FS-AD Daily '!J22</f>
        <v>0</v>
      </c>
      <c r="N18" s="71">
        <f>'FS-AD Daily '!T22</f>
        <v>0</v>
      </c>
      <c r="O18" s="71">
        <f>'FS-AD Daily '!R22</f>
        <v>0</v>
      </c>
      <c r="P18" s="71">
        <f>'FS-AD Daily '!Z22</f>
        <v>0</v>
      </c>
      <c r="Q18" s="71">
        <f>'FS-AD Daily '!V22</f>
        <v>0</v>
      </c>
      <c r="R18" s="71">
        <f>'FS-AD Daily '!W22</f>
        <v>0</v>
      </c>
      <c r="S18" s="71">
        <f t="shared" si="0"/>
        <v>0</v>
      </c>
      <c r="T18" s="71">
        <f>'FS-AD Daily '!AD22*3.516</f>
        <v>0</v>
      </c>
      <c r="U18" s="71">
        <f>('FS-AD Daily '!AF22)*1000</f>
        <v>0</v>
      </c>
      <c r="V18" s="71">
        <f>('FS-AD Daily '!AG22)*1000</f>
        <v>0</v>
      </c>
      <c r="W18" s="71">
        <f>'FS-AD Daily '!AH22*1000</f>
        <v>0</v>
      </c>
      <c r="X18" s="71">
        <f>('FS-AD Daily '!AK22)*1000</f>
        <v>0</v>
      </c>
      <c r="Y18" s="71">
        <f>'FS-AD Daily '!AN22</f>
        <v>0</v>
      </c>
      <c r="Z18" s="115"/>
    </row>
    <row r="19" spans="1:26" x14ac:dyDescent="0.25">
      <c r="A19" s="114" t="s">
        <v>80</v>
      </c>
      <c r="B19" s="69">
        <f t="shared" si="1"/>
        <v>18</v>
      </c>
      <c r="C19" s="70">
        <v>10</v>
      </c>
      <c r="D19" s="69">
        <v>2020</v>
      </c>
      <c r="E19" s="71">
        <f>'FS-AD Daily '!B23</f>
        <v>0</v>
      </c>
      <c r="F19" s="71">
        <f>'FS-AD Daily '!C23</f>
        <v>0</v>
      </c>
      <c r="G19" s="71">
        <f>'FS-AD Daily '!D23</f>
        <v>0</v>
      </c>
      <c r="H19" s="71">
        <f>'FS-AD Daily '!E23</f>
        <v>0</v>
      </c>
      <c r="I19" s="71">
        <f>'FS-AD Daily '!F23</f>
        <v>0</v>
      </c>
      <c r="J19" s="71">
        <f>'FS-AD Daily '!G23</f>
        <v>0</v>
      </c>
      <c r="K19" s="71">
        <f>'FS-AD Daily '!H23</f>
        <v>0</v>
      </c>
      <c r="L19" s="71">
        <f>'FS-AD Daily '!I23</f>
        <v>0</v>
      </c>
      <c r="M19" s="71">
        <f>'FS-AD Daily '!J23</f>
        <v>0</v>
      </c>
      <c r="N19" s="71">
        <f>'FS-AD Daily '!T23</f>
        <v>0</v>
      </c>
      <c r="O19" s="71">
        <f>'FS-AD Daily '!R23</f>
        <v>0</v>
      </c>
      <c r="P19" s="71">
        <f>'FS-AD Daily '!Z23</f>
        <v>0</v>
      </c>
      <c r="Q19" s="71">
        <f>'FS-AD Daily '!V23</f>
        <v>0</v>
      </c>
      <c r="R19" s="71">
        <f>'FS-AD Daily '!W23</f>
        <v>0</v>
      </c>
      <c r="S19" s="71">
        <f t="shared" si="0"/>
        <v>0</v>
      </c>
      <c r="T19" s="71">
        <f>'FS-AD Daily '!AD23*3.516</f>
        <v>0</v>
      </c>
      <c r="U19" s="71">
        <f>('FS-AD Daily '!AF23)*1000</f>
        <v>0</v>
      </c>
      <c r="V19" s="71">
        <f>('FS-AD Daily '!AG23)*1000</f>
        <v>0</v>
      </c>
      <c r="W19" s="71">
        <f>'FS-AD Daily '!AH23*1000</f>
        <v>0</v>
      </c>
      <c r="X19" s="71">
        <f>('FS-AD Daily '!AK23)*1000</f>
        <v>0</v>
      </c>
      <c r="Y19" s="71">
        <f>'FS-AD Daily '!AN23</f>
        <v>0</v>
      </c>
      <c r="Z19" s="115"/>
    </row>
    <row r="20" spans="1:26" x14ac:dyDescent="0.25">
      <c r="A20" s="114" t="s">
        <v>80</v>
      </c>
      <c r="B20" s="69">
        <f t="shared" si="1"/>
        <v>19</v>
      </c>
      <c r="C20" s="70">
        <v>10</v>
      </c>
      <c r="D20" s="69">
        <v>2020</v>
      </c>
      <c r="E20" s="71">
        <f>'FS-AD Daily '!B24</f>
        <v>0</v>
      </c>
      <c r="F20" s="71">
        <f>'FS-AD Daily '!C24</f>
        <v>0</v>
      </c>
      <c r="G20" s="71">
        <f>'FS-AD Daily '!D24</f>
        <v>0</v>
      </c>
      <c r="H20" s="71">
        <f>'FS-AD Daily '!E24</f>
        <v>0</v>
      </c>
      <c r="I20" s="71">
        <f>'FS-AD Daily '!F24</f>
        <v>0</v>
      </c>
      <c r="J20" s="71">
        <f>'FS-AD Daily '!G24</f>
        <v>0</v>
      </c>
      <c r="K20" s="71">
        <f>'FS-AD Daily '!H24</f>
        <v>0</v>
      </c>
      <c r="L20" s="71">
        <f>'FS-AD Daily '!I24</f>
        <v>0</v>
      </c>
      <c r="M20" s="71">
        <f>'FS-AD Daily '!J24</f>
        <v>0</v>
      </c>
      <c r="N20" s="71">
        <f>'FS-AD Daily '!T24</f>
        <v>0</v>
      </c>
      <c r="O20" s="71">
        <f>'FS-AD Daily '!R24</f>
        <v>0</v>
      </c>
      <c r="P20" s="71">
        <f>'FS-AD Daily '!Z24</f>
        <v>0</v>
      </c>
      <c r="Q20" s="71">
        <f>'FS-AD Daily '!V24</f>
        <v>0</v>
      </c>
      <c r="R20" s="71">
        <f>'FS-AD Daily '!W24</f>
        <v>0</v>
      </c>
      <c r="S20" s="71">
        <f t="shared" si="0"/>
        <v>0</v>
      </c>
      <c r="T20" s="71">
        <f>'FS-AD Daily '!AD24*3.516</f>
        <v>0</v>
      </c>
      <c r="U20" s="71">
        <f>('FS-AD Daily '!AF24)*1000</f>
        <v>0</v>
      </c>
      <c r="V20" s="71">
        <f>('FS-AD Daily '!AG24)*1000</f>
        <v>0</v>
      </c>
      <c r="W20" s="71">
        <f>'FS-AD Daily '!AH24*1000</f>
        <v>0</v>
      </c>
      <c r="X20" s="71">
        <f>('FS-AD Daily '!AK24)*1000</f>
        <v>0</v>
      </c>
      <c r="Y20" s="71">
        <f>'FS-AD Daily '!AN24</f>
        <v>0</v>
      </c>
      <c r="Z20" s="115"/>
    </row>
    <row r="21" spans="1:26" x14ac:dyDescent="0.25">
      <c r="A21" s="114" t="s">
        <v>80</v>
      </c>
      <c r="B21" s="69">
        <f t="shared" si="1"/>
        <v>20</v>
      </c>
      <c r="C21" s="70">
        <v>10</v>
      </c>
      <c r="D21" s="69">
        <v>2020</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f>'FS-AD Daily '!AN25</f>
        <v>0</v>
      </c>
      <c r="Z21" s="115"/>
    </row>
    <row r="22" spans="1:26" x14ac:dyDescent="0.25">
      <c r="A22" s="114" t="s">
        <v>80</v>
      </c>
      <c r="B22" s="69">
        <f t="shared" si="1"/>
        <v>21</v>
      </c>
      <c r="C22" s="70">
        <v>10</v>
      </c>
      <c r="D22" s="69">
        <v>2020</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f>'FS-AD Daily '!AN26</f>
        <v>0</v>
      </c>
      <c r="Z22" s="115"/>
    </row>
    <row r="23" spans="1:26" x14ac:dyDescent="0.25">
      <c r="A23" s="114" t="s">
        <v>80</v>
      </c>
      <c r="B23" s="69">
        <f t="shared" si="1"/>
        <v>22</v>
      </c>
      <c r="C23" s="70">
        <v>10</v>
      </c>
      <c r="D23" s="69">
        <v>2020</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f>'FS-AD Daily '!AN27</f>
        <v>0</v>
      </c>
      <c r="Z23" s="115"/>
    </row>
    <row r="24" spans="1:26" x14ac:dyDescent="0.25">
      <c r="A24" s="114" t="s">
        <v>80</v>
      </c>
      <c r="B24" s="69">
        <f t="shared" si="1"/>
        <v>23</v>
      </c>
      <c r="C24" s="70">
        <v>10</v>
      </c>
      <c r="D24" s="69">
        <v>2020</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15"/>
    </row>
    <row r="25" spans="1:26" x14ac:dyDescent="0.25">
      <c r="A25" s="114" t="s">
        <v>80</v>
      </c>
      <c r="B25" s="69">
        <f t="shared" si="1"/>
        <v>24</v>
      </c>
      <c r="C25" s="70">
        <v>10</v>
      </c>
      <c r="D25" s="69">
        <v>2020</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15"/>
    </row>
    <row r="26" spans="1:26" x14ac:dyDescent="0.25">
      <c r="A26" s="114" t="s">
        <v>80</v>
      </c>
      <c r="B26" s="69">
        <f>B25+1</f>
        <v>25</v>
      </c>
      <c r="C26" s="70">
        <v>10</v>
      </c>
      <c r="D26" s="69">
        <v>2020</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15"/>
    </row>
    <row r="27" spans="1:26" x14ac:dyDescent="0.25">
      <c r="A27" s="114" t="s">
        <v>80</v>
      </c>
      <c r="B27" s="69">
        <f t="shared" si="1"/>
        <v>26</v>
      </c>
      <c r="C27" s="70">
        <v>10</v>
      </c>
      <c r="D27" s="69">
        <v>2020</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15"/>
    </row>
    <row r="28" spans="1:26" x14ac:dyDescent="0.25">
      <c r="A28" s="114" t="s">
        <v>80</v>
      </c>
      <c r="B28" s="69">
        <f t="shared" si="1"/>
        <v>27</v>
      </c>
      <c r="C28" s="70">
        <v>10</v>
      </c>
      <c r="D28" s="69">
        <v>2020</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15"/>
    </row>
    <row r="29" spans="1:26" x14ac:dyDescent="0.25">
      <c r="A29" s="114" t="s">
        <v>80</v>
      </c>
      <c r="B29" s="69">
        <f t="shared" si="1"/>
        <v>28</v>
      </c>
      <c r="C29" s="70">
        <v>10</v>
      </c>
      <c r="D29" s="69">
        <v>2020</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15"/>
    </row>
    <row r="30" spans="1:26" x14ac:dyDescent="0.25">
      <c r="A30" s="114" t="s">
        <v>80</v>
      </c>
      <c r="B30" s="69">
        <f t="shared" si="1"/>
        <v>29</v>
      </c>
      <c r="C30" s="70">
        <v>10</v>
      </c>
      <c r="D30" s="69">
        <v>2020</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15"/>
    </row>
    <row r="31" spans="1:26" x14ac:dyDescent="0.25">
      <c r="A31" s="140" t="s">
        <v>80</v>
      </c>
      <c r="B31" s="141">
        <f t="shared" si="1"/>
        <v>30</v>
      </c>
      <c r="C31" s="70">
        <v>10</v>
      </c>
      <c r="D31" s="141">
        <v>2020</v>
      </c>
      <c r="E31" s="71">
        <f>'FS-AD Daily '!B35</f>
        <v>0</v>
      </c>
      <c r="F31" s="71">
        <f>'FS-AD Daily '!C35</f>
        <v>0</v>
      </c>
      <c r="G31" s="71">
        <f>'FS-AD Daily '!D35</f>
        <v>0</v>
      </c>
      <c r="H31" s="71">
        <f>'FS-AD Daily '!E35</f>
        <v>0</v>
      </c>
      <c r="I31" s="143">
        <f>'FS-AD Daily '!F35</f>
        <v>0</v>
      </c>
      <c r="J31" s="143">
        <f>'FS-AD Daily '!G35</f>
        <v>0</v>
      </c>
      <c r="K31" s="143">
        <f>'FS-AD Daily '!H35</f>
        <v>0</v>
      </c>
      <c r="L31" s="143">
        <f>'FS-AD Daily '!I35</f>
        <v>0</v>
      </c>
      <c r="M31" s="143">
        <f>'FS-AD Daily '!J35</f>
        <v>0</v>
      </c>
      <c r="N31" s="143">
        <f>'FS-AD Daily '!T35</f>
        <v>0</v>
      </c>
      <c r="O31" s="143">
        <f>'FS-AD Daily '!R35</f>
        <v>0</v>
      </c>
      <c r="P31" s="143">
        <f>'FS-AD Daily '!Z35</f>
        <v>0</v>
      </c>
      <c r="Q31" s="143">
        <f>'FS-AD Daily '!V35</f>
        <v>0</v>
      </c>
      <c r="R31" s="143">
        <f>'FS-AD Daily '!W35</f>
        <v>0</v>
      </c>
      <c r="S31" s="143">
        <f t="shared" si="0"/>
        <v>0</v>
      </c>
      <c r="T31" s="143">
        <f>'FS-AD Daily '!AD35*3.516</f>
        <v>0</v>
      </c>
      <c r="U31" s="143">
        <f>('FS-AD Daily '!AF35)*1000</f>
        <v>0</v>
      </c>
      <c r="V31" s="143">
        <f>('FS-AD Daily '!AG35)*1000</f>
        <v>0</v>
      </c>
      <c r="W31" s="143">
        <f>'FS-AD Daily '!AH35*1000</f>
        <v>0</v>
      </c>
      <c r="X31" s="143">
        <f>('FS-AD Daily '!AK35)*1000</f>
        <v>0</v>
      </c>
      <c r="Y31" s="143">
        <f>'FS-AD Daily '!AN35</f>
        <v>0</v>
      </c>
      <c r="Z31" s="144"/>
    </row>
    <row r="32" spans="1:26" ht="15.75" thickBot="1" x14ac:dyDescent="0.3">
      <c r="A32" s="116" t="s">
        <v>80</v>
      </c>
      <c r="B32" s="117">
        <f t="shared" si="1"/>
        <v>31</v>
      </c>
      <c r="C32" s="118">
        <v>10</v>
      </c>
      <c r="D32" s="117">
        <v>2020</v>
      </c>
      <c r="E32" s="119">
        <f>'FS-AD Daily '!B36</f>
        <v>0</v>
      </c>
      <c r="F32" s="119">
        <f>'FS-AD Daily '!C36</f>
        <v>0</v>
      </c>
      <c r="G32" s="119">
        <f>'FS-AD Daily '!D36</f>
        <v>0</v>
      </c>
      <c r="H32" s="119">
        <f>'FS-AD Daily '!E36</f>
        <v>0</v>
      </c>
      <c r="I32" s="119">
        <f>'FS-AD Daily '!F36</f>
        <v>0</v>
      </c>
      <c r="J32" s="119">
        <f>'FS-AD Daily '!G36</f>
        <v>0</v>
      </c>
      <c r="K32" s="119">
        <f>'FS-AD Daily '!H36</f>
        <v>0</v>
      </c>
      <c r="L32" s="119">
        <f>'FS-AD Daily '!I36</f>
        <v>0</v>
      </c>
      <c r="M32" s="119">
        <f>'FS-AD Daily '!J36</f>
        <v>0</v>
      </c>
      <c r="N32" s="119">
        <f>'FS-AD Daily '!T36</f>
        <v>0</v>
      </c>
      <c r="O32" s="119">
        <f>'FS-AD Daily '!R36</f>
        <v>0</v>
      </c>
      <c r="P32" s="119">
        <f>'FS-AD Daily '!Z36</f>
        <v>0</v>
      </c>
      <c r="Q32" s="119">
        <f>'FS-AD Daily '!V36</f>
        <v>0</v>
      </c>
      <c r="R32" s="119">
        <f>'FS-AD Daily '!W36</f>
        <v>0</v>
      </c>
      <c r="S32" s="119">
        <f t="shared" ref="S32" si="2">P32-Q32-R32</f>
        <v>0</v>
      </c>
      <c r="T32" s="119">
        <f>'FS-AD Daily '!AD36*3.516</f>
        <v>0</v>
      </c>
      <c r="U32" s="119">
        <f>('FS-AD Daily '!AF36)*1000</f>
        <v>0</v>
      </c>
      <c r="V32" s="119">
        <f>('FS-AD Daily '!AG36)*1000</f>
        <v>0</v>
      </c>
      <c r="W32" s="119">
        <f>'FS-AD Daily '!AH36*1000</f>
        <v>0</v>
      </c>
      <c r="X32" s="119">
        <f>('FS-AD Daily '!AK36)*1000</f>
        <v>0</v>
      </c>
      <c r="Y32" s="119">
        <f>'FS-AD Daily '!AN36</f>
        <v>0</v>
      </c>
      <c r="Z32" s="120"/>
    </row>
    <row r="33" spans="9:26" x14ac:dyDescent="0.25">
      <c r="I33" s="4">
        <f t="shared" ref="I33:W33" si="3">SUM(I2:I32)</f>
        <v>55821</v>
      </c>
      <c r="J33" s="4">
        <f t="shared" si="3"/>
        <v>31200</v>
      </c>
      <c r="K33" s="4">
        <f t="shared" si="3"/>
        <v>69925</v>
      </c>
      <c r="L33" s="4">
        <f t="shared" si="3"/>
        <v>27955</v>
      </c>
      <c r="M33" s="4">
        <f t="shared" si="3"/>
        <v>80521</v>
      </c>
      <c r="N33" s="4">
        <f t="shared" si="3"/>
        <v>1348.2550000000003</v>
      </c>
      <c r="O33" s="4">
        <f t="shared" si="3"/>
        <v>874.49299999999994</v>
      </c>
      <c r="P33" s="4">
        <f t="shared" si="3"/>
        <v>4919.6999999999534</v>
      </c>
      <c r="Q33" s="4">
        <f t="shared" si="3"/>
        <v>2425.5</v>
      </c>
      <c r="R33" s="4">
        <f t="shared" si="3"/>
        <v>0</v>
      </c>
      <c r="S33" s="4">
        <f t="shared" si="3"/>
        <v>2494.1999999999534</v>
      </c>
      <c r="T33" s="4">
        <f t="shared" si="3"/>
        <v>1041013.764</v>
      </c>
      <c r="U33" s="4">
        <f t="shared" si="3"/>
        <v>488000</v>
      </c>
      <c r="V33" s="4">
        <f t="shared" si="3"/>
        <v>352400</v>
      </c>
      <c r="W33" s="4">
        <f t="shared" si="3"/>
        <v>165400</v>
      </c>
      <c r="X33" s="4">
        <f>'FS-AD Daily '!U38</f>
        <v>3714.2940800000024</v>
      </c>
      <c r="Y33" s="4">
        <f>SUM(Y2:Y32)</f>
        <v>608</v>
      </c>
      <c r="Z33" s="4">
        <f>SUM(Z2:Z32)</f>
        <v>1071</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E5" activePane="bottomRight" state="frozen"/>
      <selection pane="topRight" activeCell="H1" sqref="H1"/>
      <selection pane="bottomLeft" activeCell="A5" sqref="A5"/>
      <selection pane="bottomRight" activeCell="AN19" sqref="AN19"/>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55" t="s">
        <v>14</v>
      </c>
      <c r="C1" s="155"/>
      <c r="D1" s="155"/>
      <c r="E1" s="155"/>
      <c r="F1" s="155"/>
      <c r="G1" s="155"/>
      <c r="H1" s="155"/>
      <c r="I1" s="155"/>
      <c r="J1" s="155"/>
      <c r="K1" s="25" t="s">
        <v>15</v>
      </c>
      <c r="L1" s="26" t="s">
        <v>16</v>
      </c>
      <c r="M1" s="27" t="s">
        <v>17</v>
      </c>
      <c r="N1" s="28" t="s">
        <v>18</v>
      </c>
      <c r="O1" s="28" t="s">
        <v>19</v>
      </c>
      <c r="P1" s="65" t="s">
        <v>20</v>
      </c>
      <c r="Q1" s="30" t="s">
        <v>21</v>
      </c>
      <c r="R1" s="31" t="s">
        <v>22</v>
      </c>
      <c r="S1" s="29" t="s">
        <v>23</v>
      </c>
      <c r="T1" s="32" t="s">
        <v>24</v>
      </c>
      <c r="U1" s="33" t="s">
        <v>25</v>
      </c>
      <c r="V1" s="32" t="s">
        <v>26</v>
      </c>
      <c r="W1" s="32" t="s">
        <v>27</v>
      </c>
      <c r="X1" s="156" t="s">
        <v>28</v>
      </c>
      <c r="Y1" s="156"/>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51" t="s">
        <v>41</v>
      </c>
      <c r="L2" s="150" t="s">
        <v>42</v>
      </c>
      <c r="M2" s="10"/>
      <c r="N2" s="10"/>
      <c r="O2" s="10"/>
      <c r="P2" s="10"/>
      <c r="Q2" s="10"/>
      <c r="R2" s="10"/>
      <c r="S2" s="159"/>
      <c r="T2" s="47"/>
      <c r="U2" s="153"/>
      <c r="V2" s="45"/>
      <c r="W2" s="45"/>
      <c r="X2" s="22">
        <v>1</v>
      </c>
      <c r="Y2" s="22">
        <v>2</v>
      </c>
      <c r="Z2" s="23"/>
      <c r="AA2" s="150" t="s">
        <v>101</v>
      </c>
      <c r="AB2" s="43"/>
      <c r="AC2" s="151" t="s">
        <v>43</v>
      </c>
      <c r="AD2" s="152"/>
      <c r="AE2" s="153" t="s">
        <v>100</v>
      </c>
      <c r="AF2" s="45"/>
      <c r="AG2" s="45"/>
      <c r="AH2" s="45"/>
      <c r="AI2" s="44"/>
      <c r="AJ2" s="44"/>
      <c r="AK2" s="44"/>
      <c r="AL2" s="44"/>
      <c r="AM2" s="153" t="s">
        <v>100</v>
      </c>
      <c r="AN2" s="154"/>
      <c r="AO2" s="149"/>
    </row>
    <row r="3" spans="1:44" ht="15" customHeight="1" x14ac:dyDescent="0.25">
      <c r="A3" s="9"/>
      <c r="B3" s="11" t="s">
        <v>44</v>
      </c>
      <c r="C3" s="11" t="s">
        <v>45</v>
      </c>
      <c r="D3" s="11" t="s">
        <v>46</v>
      </c>
      <c r="E3" s="11" t="s">
        <v>47</v>
      </c>
      <c r="F3" s="11" t="s">
        <v>48</v>
      </c>
      <c r="G3" s="11" t="s">
        <v>49</v>
      </c>
      <c r="H3" s="11" t="s">
        <v>50</v>
      </c>
      <c r="I3" s="11" t="s">
        <v>51</v>
      </c>
      <c r="J3" s="11" t="s">
        <v>52</v>
      </c>
      <c r="K3" s="157"/>
      <c r="L3" s="158"/>
      <c r="M3" s="10"/>
      <c r="N3" s="10"/>
      <c r="O3" s="10"/>
      <c r="P3" s="10"/>
      <c r="Q3" s="10"/>
      <c r="R3" s="10"/>
      <c r="S3" s="159"/>
      <c r="T3" s="47"/>
      <c r="U3" s="153"/>
      <c r="V3" s="45"/>
      <c r="W3" s="45"/>
      <c r="X3" s="11"/>
      <c r="Y3" s="11"/>
      <c r="Z3" s="12"/>
      <c r="AA3" s="150"/>
      <c r="AB3" s="43"/>
      <c r="AC3" s="151"/>
      <c r="AD3" s="152"/>
      <c r="AE3" s="153"/>
      <c r="AF3" s="45"/>
      <c r="AG3" s="45"/>
      <c r="AH3" s="45"/>
      <c r="AI3" s="13"/>
      <c r="AJ3" s="44"/>
      <c r="AK3" s="44"/>
      <c r="AL3" s="44"/>
      <c r="AM3" s="153"/>
      <c r="AN3" s="154"/>
      <c r="AO3" s="14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9"/>
      <c r="T4" s="47"/>
      <c r="U4" s="153"/>
      <c r="V4" s="45"/>
      <c r="W4" s="45"/>
      <c r="X4" s="52"/>
      <c r="Y4" s="88">
        <v>707118.3</v>
      </c>
      <c r="Z4" s="12"/>
      <c r="AA4" s="150"/>
      <c r="AB4" s="87">
        <v>709429</v>
      </c>
      <c r="AC4" s="151"/>
      <c r="AD4" s="152"/>
      <c r="AE4" s="153"/>
      <c r="AF4" s="45"/>
      <c r="AG4" s="45"/>
      <c r="AH4" s="45"/>
      <c r="AI4" s="43">
        <v>38380</v>
      </c>
      <c r="AJ4" s="43"/>
      <c r="AK4" s="43"/>
      <c r="AL4" s="43"/>
      <c r="AM4" s="153"/>
      <c r="AN4" s="154"/>
      <c r="AO4" s="14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2" t="e">
        <f>SUM(#REF!)</f>
        <v>#REF!</v>
      </c>
    </row>
    <row r="6" spans="1:44" x14ac:dyDescent="0.25">
      <c r="A6" s="80">
        <v>44105</v>
      </c>
      <c r="B6" s="86">
        <v>4715</v>
      </c>
      <c r="C6" s="86">
        <v>3912</v>
      </c>
      <c r="D6" s="86">
        <v>919</v>
      </c>
      <c r="E6" s="86">
        <v>4641</v>
      </c>
      <c r="F6" s="86">
        <v>5040</v>
      </c>
      <c r="G6" s="86">
        <v>2802</v>
      </c>
      <c r="H6" s="86">
        <v>4378</v>
      </c>
      <c r="I6" s="86">
        <v>2594</v>
      </c>
      <c r="J6" s="86">
        <v>7424</v>
      </c>
      <c r="K6" s="63">
        <f>SUM(B6:H6)</f>
        <v>26407</v>
      </c>
      <c r="L6" s="40">
        <f>K6*0.2</f>
        <v>5281.4000000000005</v>
      </c>
      <c r="M6" s="85">
        <v>120.63200000000001</v>
      </c>
      <c r="N6" s="85">
        <v>1.534</v>
      </c>
      <c r="O6" s="85">
        <v>7.8440000000000003</v>
      </c>
      <c r="P6" s="83">
        <v>73.563000000000002</v>
      </c>
      <c r="Q6" s="85">
        <v>11.4</v>
      </c>
      <c r="R6" s="85">
        <f t="shared" ref="R6:R34" si="0">N6+O6+P6</f>
        <v>82.941000000000003</v>
      </c>
      <c r="S6" s="85">
        <f t="shared" ref="S6:S34" si="1">(N6+O6+P6)*7.84</f>
        <v>650.25743999999997</v>
      </c>
      <c r="T6" s="64">
        <f t="shared" ref="T6:T34" si="2">M6+Q6</f>
        <v>132.03200000000001</v>
      </c>
      <c r="U6" s="85">
        <f>T6*7.84</f>
        <v>1035.1308800000002</v>
      </c>
      <c r="V6" s="85">
        <v>286.3</v>
      </c>
      <c r="W6" s="85">
        <v>0</v>
      </c>
      <c r="X6" s="86" t="s">
        <v>63</v>
      </c>
      <c r="Y6" s="86">
        <v>707631.1</v>
      </c>
      <c r="Z6" s="61">
        <f>IF((Y6-Y5&lt;0), "0",Y6-Y4)</f>
        <v>512.79999999993015</v>
      </c>
      <c r="AA6" s="91">
        <f>Z6*6.47</f>
        <v>3317.8159999995478</v>
      </c>
      <c r="AB6" s="75">
        <v>730840</v>
      </c>
      <c r="AC6" s="75">
        <f>AB4</f>
        <v>709429</v>
      </c>
      <c r="AD6" s="41">
        <f t="shared" ref="AD6:AD36" si="3">IF((AB6-AC6&lt;0), "0",AB6-AC6)</f>
        <v>21411</v>
      </c>
      <c r="AE6" s="85">
        <f>AD6*0.333415</f>
        <v>7138.7485650000008</v>
      </c>
      <c r="AF6" s="85">
        <v>37.1</v>
      </c>
      <c r="AG6" s="85">
        <v>18.600000000000001</v>
      </c>
      <c r="AH6" s="85">
        <v>15.1</v>
      </c>
      <c r="AI6" s="75">
        <f>AI4</f>
        <v>38380</v>
      </c>
      <c r="AJ6" s="75">
        <v>38400.300000000003</v>
      </c>
      <c r="AK6" s="59">
        <f>IF((AJ6-AI6)&lt;0, "0",AJ6-AI6)</f>
        <v>20.30000000000291</v>
      </c>
      <c r="AL6" s="139">
        <f t="shared" ref="AL6:AL34" si="4">AK6*(284.34513609)</f>
        <v>5772.2062626278275</v>
      </c>
      <c r="AM6" s="85">
        <f>AL6*0.333415</f>
        <v>1924.5401510540571</v>
      </c>
      <c r="AN6" s="112">
        <v>98</v>
      </c>
      <c r="AO6" s="77">
        <f t="shared" ref="AO6:AO34" si="5">L6+U6+AA6+AE6</f>
        <v>16773.095444999548</v>
      </c>
    </row>
    <row r="7" spans="1:44" x14ac:dyDescent="0.25">
      <c r="A7" s="79">
        <v>44106</v>
      </c>
      <c r="B7" s="87">
        <v>4900</v>
      </c>
      <c r="C7" s="87">
        <v>3754</v>
      </c>
      <c r="D7" s="87">
        <v>922</v>
      </c>
      <c r="E7" s="87">
        <v>4664</v>
      </c>
      <c r="F7" s="87">
        <v>4945</v>
      </c>
      <c r="G7" s="87">
        <v>2900</v>
      </c>
      <c r="H7" s="87">
        <v>5100</v>
      </c>
      <c r="I7" s="87">
        <v>2465</v>
      </c>
      <c r="J7" s="87">
        <v>7491</v>
      </c>
      <c r="K7" s="87">
        <f>SUM(B7:H7)</f>
        <v>27185</v>
      </c>
      <c r="L7" s="14">
        <f>K7*0.2</f>
        <v>5437</v>
      </c>
      <c r="M7" s="84">
        <v>142.61199999999999</v>
      </c>
      <c r="N7" s="84">
        <v>1.0549999999999999</v>
      </c>
      <c r="O7" s="84">
        <v>7.4370000000000003</v>
      </c>
      <c r="P7" s="82">
        <v>78.162000000000006</v>
      </c>
      <c r="Q7" s="84">
        <v>8.8260000000000005</v>
      </c>
      <c r="R7" s="84">
        <f t="shared" si="0"/>
        <v>86.654000000000011</v>
      </c>
      <c r="S7" s="84">
        <f>(N7+O7+P7)*7.84</f>
        <v>679.36736000000008</v>
      </c>
      <c r="T7" s="84">
        <f>M7+Q7</f>
        <v>151.43799999999999</v>
      </c>
      <c r="U7" s="84">
        <f>T7*7.84</f>
        <v>1187.2739199999999</v>
      </c>
      <c r="V7" s="84">
        <v>257.8</v>
      </c>
      <c r="W7" s="84">
        <v>0</v>
      </c>
      <c r="X7" s="87" t="s">
        <v>63</v>
      </c>
      <c r="Y7" s="87">
        <v>708108.5</v>
      </c>
      <c r="Z7" s="5">
        <f>IF((Y7-Y6&lt;0), "0",Y7-Y6)</f>
        <v>477.40000000002328</v>
      </c>
      <c r="AA7" s="14">
        <f t="shared" ref="AA7:AA34" si="6">Z7*6.47</f>
        <v>3088.7780000001503</v>
      </c>
      <c r="AB7" s="88">
        <v>754762</v>
      </c>
      <c r="AC7" s="88">
        <f>AB6</f>
        <v>730840</v>
      </c>
      <c r="AD7" s="5">
        <f t="shared" si="3"/>
        <v>23922</v>
      </c>
      <c r="AE7" s="84">
        <f>AD7*0.333415</f>
        <v>7975.95363</v>
      </c>
      <c r="AF7" s="84">
        <v>41</v>
      </c>
      <c r="AG7" s="84">
        <v>25</v>
      </c>
      <c r="AH7" s="84">
        <v>14.9</v>
      </c>
      <c r="AI7" s="88">
        <f>AJ6</f>
        <v>38400.300000000003</v>
      </c>
      <c r="AJ7" s="88">
        <v>38422</v>
      </c>
      <c r="AK7" s="48">
        <f t="shared" ref="AK7:AK34" si="7">IF((AJ7-AI7)&lt;0, "0",AJ7-AI7)</f>
        <v>21.69999999999709</v>
      </c>
      <c r="AL7" s="90">
        <f t="shared" si="4"/>
        <v>6170.2894531521724</v>
      </c>
      <c r="AM7" s="84">
        <f>AL7*0.333415</f>
        <v>2057.2670580227318</v>
      </c>
      <c r="AN7" s="71">
        <v>91</v>
      </c>
      <c r="AO7" s="78">
        <f t="shared" si="5"/>
        <v>17689.005550000151</v>
      </c>
    </row>
    <row r="8" spans="1:44" x14ac:dyDescent="0.25">
      <c r="A8" s="79">
        <v>44107</v>
      </c>
      <c r="B8" s="87">
        <v>5272</v>
      </c>
      <c r="C8" s="87">
        <v>3612</v>
      </c>
      <c r="D8" s="87">
        <v>874</v>
      </c>
      <c r="E8" s="87">
        <v>4969</v>
      </c>
      <c r="F8" s="87">
        <v>4999</v>
      </c>
      <c r="G8" s="87">
        <v>2876</v>
      </c>
      <c r="H8" s="87">
        <v>7246</v>
      </c>
      <c r="I8" s="87">
        <v>2482</v>
      </c>
      <c r="J8" s="87">
        <v>7244</v>
      </c>
      <c r="K8" s="87">
        <f>SUM(B8:H8)</f>
        <v>29848</v>
      </c>
      <c r="L8" s="14">
        <f t="shared" ref="L8:L34" si="8">K8*0.2</f>
        <v>5969.6</v>
      </c>
      <c r="M8" s="84">
        <v>104.58799999999999</v>
      </c>
      <c r="N8" s="84">
        <v>1.0329999999999999</v>
      </c>
      <c r="O8" s="84">
        <v>7.375</v>
      </c>
      <c r="P8" s="82">
        <v>74.167000000000002</v>
      </c>
      <c r="Q8" s="84">
        <v>11.973000000000001</v>
      </c>
      <c r="R8" s="84">
        <f t="shared" si="0"/>
        <v>82.575000000000003</v>
      </c>
      <c r="S8" s="84">
        <f>(N8+O8+P8)*7.84</f>
        <v>647.38800000000003</v>
      </c>
      <c r="T8" s="84">
        <f>M8+Q8</f>
        <v>116.56099999999999</v>
      </c>
      <c r="U8" s="84">
        <f>T8*7.84</f>
        <v>913.83823999999993</v>
      </c>
      <c r="V8" s="84">
        <v>202</v>
      </c>
      <c r="W8" s="84">
        <v>0</v>
      </c>
      <c r="X8" s="87" t="s">
        <v>63</v>
      </c>
      <c r="Y8" s="88">
        <v>708518</v>
      </c>
      <c r="Z8" s="5">
        <f t="shared" ref="Z8:Z34" si="9">IF((Y8-Y7&lt;0), "0",Y8-Y7)</f>
        <v>409.5</v>
      </c>
      <c r="AA8" s="14">
        <f t="shared" si="6"/>
        <v>2649.4649999999997</v>
      </c>
      <c r="AB8" s="88">
        <v>784090</v>
      </c>
      <c r="AC8" s="88">
        <f t="shared" ref="AC8:AC36" si="10">AB7</f>
        <v>754762</v>
      </c>
      <c r="AD8" s="5">
        <f t="shared" si="3"/>
        <v>29328</v>
      </c>
      <c r="AE8" s="84">
        <f t="shared" ref="AE8:AE36" si="11">AD8*0.333415</f>
        <v>9778.395120000001</v>
      </c>
      <c r="AF8" s="84">
        <v>48.8</v>
      </c>
      <c r="AG8" s="84">
        <v>37.700000000000003</v>
      </c>
      <c r="AH8" s="84">
        <v>15.5</v>
      </c>
      <c r="AI8" s="88">
        <f>AJ7</f>
        <v>38422</v>
      </c>
      <c r="AJ8" s="88">
        <v>38447.4</v>
      </c>
      <c r="AK8" s="48">
        <f t="shared" si="7"/>
        <v>25.400000000001455</v>
      </c>
      <c r="AL8" s="90">
        <f t="shared" si="4"/>
        <v>7222.3664566864136</v>
      </c>
      <c r="AM8" s="84">
        <f t="shared" ref="AM8:AM34" si="12">AL8*0.333415</f>
        <v>2408.0453121561009</v>
      </c>
      <c r="AN8" s="71">
        <v>54</v>
      </c>
      <c r="AO8" s="78">
        <f t="shared" si="5"/>
        <v>19311.298360000001</v>
      </c>
    </row>
    <row r="9" spans="1:44" x14ac:dyDescent="0.25">
      <c r="A9" s="79">
        <v>44108</v>
      </c>
      <c r="B9" s="87">
        <v>5367</v>
      </c>
      <c r="C9" s="87">
        <v>4031</v>
      </c>
      <c r="D9" s="87">
        <v>873</v>
      </c>
      <c r="E9" s="87">
        <v>5197</v>
      </c>
      <c r="F9" s="87">
        <v>5114</v>
      </c>
      <c r="G9" s="87">
        <v>2840</v>
      </c>
      <c r="H9" s="87">
        <v>7219</v>
      </c>
      <c r="I9" s="87">
        <v>2579</v>
      </c>
      <c r="J9" s="87">
        <v>7270</v>
      </c>
      <c r="K9" s="87">
        <f t="shared" ref="K9:K34" si="13">SUM(B9:H9)</f>
        <v>30641</v>
      </c>
      <c r="L9" s="14">
        <f t="shared" si="8"/>
        <v>6128.2000000000007</v>
      </c>
      <c r="M9" s="84">
        <v>121.36799999999999</v>
      </c>
      <c r="N9" s="84">
        <v>1.919</v>
      </c>
      <c r="O9" s="84">
        <v>8.0839999999999996</v>
      </c>
      <c r="P9" s="82">
        <v>61.140999999999998</v>
      </c>
      <c r="Q9" s="84">
        <v>10.412000000000001</v>
      </c>
      <c r="R9" s="84">
        <f t="shared" si="0"/>
        <v>71.144000000000005</v>
      </c>
      <c r="S9" s="84">
        <f t="shared" si="1"/>
        <v>557.76895999999999</v>
      </c>
      <c r="T9" s="84">
        <f t="shared" si="2"/>
        <v>131.78</v>
      </c>
      <c r="U9" s="84">
        <f t="shared" ref="U9:U37" si="14">T9*7.84</f>
        <v>1033.1551999999999</v>
      </c>
      <c r="V9" s="84">
        <v>162.69999999999999</v>
      </c>
      <c r="W9" s="84">
        <v>0</v>
      </c>
      <c r="X9" s="87" t="s">
        <v>63</v>
      </c>
      <c r="Y9" s="88">
        <v>708902.6</v>
      </c>
      <c r="Z9" s="5">
        <f t="shared" si="9"/>
        <v>384.59999999997672</v>
      </c>
      <c r="AA9" s="14">
        <f t="shared" si="6"/>
        <v>2488.3619999998491</v>
      </c>
      <c r="AB9" s="88">
        <v>813540</v>
      </c>
      <c r="AC9" s="88">
        <f t="shared" si="10"/>
        <v>784090</v>
      </c>
      <c r="AD9" s="5">
        <f t="shared" si="3"/>
        <v>29450</v>
      </c>
      <c r="AE9" s="84">
        <f t="shared" si="11"/>
        <v>9819.071750000001</v>
      </c>
      <c r="AF9" s="84">
        <v>48.4</v>
      </c>
      <c r="AG9" s="84">
        <v>37.299999999999997</v>
      </c>
      <c r="AH9" s="84">
        <v>15.2</v>
      </c>
      <c r="AI9" s="88">
        <f t="shared" ref="AI9:AI36" si="15">AJ8</f>
        <v>38447.4</v>
      </c>
      <c r="AJ9" s="88">
        <v>38473.800000000003</v>
      </c>
      <c r="AK9" s="48">
        <f t="shared" si="7"/>
        <v>26.400000000001455</v>
      </c>
      <c r="AL9" s="90">
        <f t="shared" si="4"/>
        <v>7506.7115927764135</v>
      </c>
      <c r="AM9" s="84">
        <f t="shared" si="12"/>
        <v>2502.8502457055479</v>
      </c>
      <c r="AN9" s="71">
        <v>47</v>
      </c>
      <c r="AO9" s="78">
        <f t="shared" si="5"/>
        <v>19468.788949999849</v>
      </c>
    </row>
    <row r="10" spans="1:44" x14ac:dyDescent="0.25">
      <c r="A10" s="79">
        <v>44109</v>
      </c>
      <c r="B10" s="87">
        <v>4916</v>
      </c>
      <c r="C10" s="87">
        <v>3737</v>
      </c>
      <c r="D10" s="87">
        <v>885</v>
      </c>
      <c r="E10" s="87">
        <v>4964</v>
      </c>
      <c r="F10" s="87">
        <v>5010</v>
      </c>
      <c r="G10" s="87">
        <v>2678</v>
      </c>
      <c r="H10" s="87">
        <v>6744</v>
      </c>
      <c r="I10" s="87">
        <v>2532</v>
      </c>
      <c r="J10" s="87">
        <v>7181</v>
      </c>
      <c r="K10" s="87">
        <f t="shared" si="13"/>
        <v>28934</v>
      </c>
      <c r="L10" s="14">
        <f t="shared" si="8"/>
        <v>5786.8</v>
      </c>
      <c r="M10" s="84">
        <v>99.704999999999998</v>
      </c>
      <c r="N10" s="84">
        <v>1.29</v>
      </c>
      <c r="O10" s="84">
        <v>7.6589999999999998</v>
      </c>
      <c r="P10" s="82">
        <v>67.918999999999997</v>
      </c>
      <c r="Q10" s="84">
        <v>12.871</v>
      </c>
      <c r="R10" s="84">
        <f t="shared" si="0"/>
        <v>76.867999999999995</v>
      </c>
      <c r="S10" s="84">
        <f t="shared" si="1"/>
        <v>602.64511999999991</v>
      </c>
      <c r="T10" s="84">
        <f t="shared" si="2"/>
        <v>112.57599999999999</v>
      </c>
      <c r="U10" s="84">
        <f t="shared" si="14"/>
        <v>882.59583999999995</v>
      </c>
      <c r="V10" s="84">
        <v>211.7</v>
      </c>
      <c r="W10" s="84">
        <v>0</v>
      </c>
      <c r="X10" s="87" t="s">
        <v>63</v>
      </c>
      <c r="Y10" s="88">
        <v>709334</v>
      </c>
      <c r="Z10" s="5">
        <f t="shared" si="9"/>
        <v>431.40000000002328</v>
      </c>
      <c r="AA10" s="14">
        <f t="shared" si="6"/>
        <v>2791.1580000001504</v>
      </c>
      <c r="AB10" s="88">
        <v>842365</v>
      </c>
      <c r="AC10" s="88">
        <f t="shared" si="10"/>
        <v>813540</v>
      </c>
      <c r="AD10" s="5">
        <f t="shared" si="3"/>
        <v>28825</v>
      </c>
      <c r="AE10" s="84">
        <f t="shared" si="11"/>
        <v>9610.6873750000013</v>
      </c>
      <c r="AF10" s="84">
        <v>46.3</v>
      </c>
      <c r="AG10" s="84">
        <v>36.1</v>
      </c>
      <c r="AH10" s="84">
        <v>15.2</v>
      </c>
      <c r="AI10" s="88">
        <f t="shared" si="15"/>
        <v>38473.800000000003</v>
      </c>
      <c r="AJ10" s="88">
        <v>38500.400000000001</v>
      </c>
      <c r="AK10" s="48">
        <f t="shared" si="7"/>
        <v>26.599999999998545</v>
      </c>
      <c r="AL10" s="90">
        <f t="shared" si="4"/>
        <v>7563.580619993586</v>
      </c>
      <c r="AM10" s="84">
        <f t="shared" si="12"/>
        <v>2521.8112324151616</v>
      </c>
      <c r="AN10" s="71">
        <v>46</v>
      </c>
      <c r="AO10" s="78">
        <f t="shared" si="5"/>
        <v>19071.241215000151</v>
      </c>
    </row>
    <row r="11" spans="1:44" x14ac:dyDescent="0.25">
      <c r="A11" s="79">
        <v>44110</v>
      </c>
      <c r="B11" s="87">
        <v>4118</v>
      </c>
      <c r="C11" s="87">
        <v>3653</v>
      </c>
      <c r="D11" s="87">
        <v>909</v>
      </c>
      <c r="E11" s="87">
        <v>4832</v>
      </c>
      <c r="F11" s="87">
        <v>5095</v>
      </c>
      <c r="G11" s="87">
        <v>2685</v>
      </c>
      <c r="H11" s="87">
        <v>6713</v>
      </c>
      <c r="I11" s="87">
        <v>2546</v>
      </c>
      <c r="J11" s="87">
        <v>7251</v>
      </c>
      <c r="K11" s="87">
        <f t="shared" si="13"/>
        <v>28005</v>
      </c>
      <c r="L11" s="14">
        <f t="shared" si="8"/>
        <v>5601</v>
      </c>
      <c r="M11" s="84">
        <v>97.12</v>
      </c>
      <c r="N11" s="84">
        <v>0.95899999999999996</v>
      </c>
      <c r="O11" s="84">
        <v>7.4669999999999996</v>
      </c>
      <c r="P11" s="82">
        <v>63.927</v>
      </c>
      <c r="Q11" s="84">
        <v>11.007999999999999</v>
      </c>
      <c r="R11" s="84">
        <f t="shared" si="0"/>
        <v>72.352999999999994</v>
      </c>
      <c r="S11" s="84">
        <f t="shared" si="1"/>
        <v>567.24751999999989</v>
      </c>
      <c r="T11" s="84">
        <f t="shared" si="2"/>
        <v>108.128</v>
      </c>
      <c r="U11" s="84">
        <f t="shared" si="14"/>
        <v>847.72352000000001</v>
      </c>
      <c r="V11" s="84">
        <v>212</v>
      </c>
      <c r="W11" s="84">
        <v>0</v>
      </c>
      <c r="X11" s="87" t="s">
        <v>63</v>
      </c>
      <c r="Y11" s="88">
        <v>709782</v>
      </c>
      <c r="Z11" s="5">
        <f t="shared" si="9"/>
        <v>448</v>
      </c>
      <c r="AA11" s="14">
        <f t="shared" si="6"/>
        <v>2898.56</v>
      </c>
      <c r="AB11" s="88">
        <v>869795.9</v>
      </c>
      <c r="AC11" s="88">
        <f t="shared" si="10"/>
        <v>842365</v>
      </c>
      <c r="AD11" s="5">
        <f t="shared" si="3"/>
        <v>27430.900000000023</v>
      </c>
      <c r="AE11" s="84">
        <f t="shared" si="11"/>
        <v>9145.8735235000077</v>
      </c>
      <c r="AF11" s="84">
        <v>43.6</v>
      </c>
      <c r="AG11" s="84">
        <v>34.700000000000003</v>
      </c>
      <c r="AH11" s="84">
        <v>15</v>
      </c>
      <c r="AI11" s="88">
        <f t="shared" si="15"/>
        <v>38500.400000000001</v>
      </c>
      <c r="AJ11" s="88">
        <v>38525.800000000003</v>
      </c>
      <c r="AK11" s="48">
        <f t="shared" si="7"/>
        <v>25.400000000001455</v>
      </c>
      <c r="AL11" s="90">
        <f t="shared" si="4"/>
        <v>7222.3664566864136</v>
      </c>
      <c r="AM11" s="84">
        <f t="shared" si="12"/>
        <v>2408.0453121561009</v>
      </c>
      <c r="AN11" s="71">
        <v>64</v>
      </c>
      <c r="AO11" s="78">
        <f t="shared" si="5"/>
        <v>18493.157043500007</v>
      </c>
    </row>
    <row r="12" spans="1:44" x14ac:dyDescent="0.25">
      <c r="A12" s="79">
        <v>44111</v>
      </c>
      <c r="B12" s="87">
        <v>4142</v>
      </c>
      <c r="C12" s="87">
        <v>3905</v>
      </c>
      <c r="D12" s="87">
        <v>912</v>
      </c>
      <c r="E12" s="87">
        <v>4893</v>
      </c>
      <c r="F12" s="87">
        <v>5105</v>
      </c>
      <c r="G12" s="87">
        <v>2703</v>
      </c>
      <c r="H12" s="87">
        <v>6518</v>
      </c>
      <c r="I12" s="87">
        <v>2593</v>
      </c>
      <c r="J12" s="87">
        <v>7384</v>
      </c>
      <c r="K12" s="87">
        <f t="shared" si="13"/>
        <v>28178</v>
      </c>
      <c r="L12" s="14">
        <f t="shared" si="8"/>
        <v>5635.6</v>
      </c>
      <c r="M12" s="84">
        <v>130.39400000000001</v>
      </c>
      <c r="N12" s="84">
        <v>0.85299999999999998</v>
      </c>
      <c r="O12" s="84">
        <v>7.6340000000000003</v>
      </c>
      <c r="P12" s="82">
        <v>70.45</v>
      </c>
      <c r="Q12" s="84">
        <v>10.552</v>
      </c>
      <c r="R12" s="84">
        <f t="shared" si="0"/>
        <v>78.936999999999998</v>
      </c>
      <c r="S12" s="84">
        <f t="shared" si="1"/>
        <v>618.86608000000001</v>
      </c>
      <c r="T12" s="84">
        <f t="shared" si="2"/>
        <v>140.946</v>
      </c>
      <c r="U12" s="84">
        <f t="shared" si="14"/>
        <v>1105.0166400000001</v>
      </c>
      <c r="V12" s="84">
        <v>227.2</v>
      </c>
      <c r="W12" s="84">
        <v>0</v>
      </c>
      <c r="X12" s="87" t="s">
        <v>63</v>
      </c>
      <c r="Y12" s="88">
        <v>710216.7</v>
      </c>
      <c r="Z12" s="5">
        <f t="shared" si="9"/>
        <v>434.69999999995343</v>
      </c>
      <c r="AA12" s="14">
        <f t="shared" si="6"/>
        <v>2812.5089999996985</v>
      </c>
      <c r="AB12" s="88">
        <v>896328.7</v>
      </c>
      <c r="AC12" s="88">
        <f t="shared" si="10"/>
        <v>869795.9</v>
      </c>
      <c r="AD12" s="5">
        <f t="shared" si="3"/>
        <v>26532.79999999993</v>
      </c>
      <c r="AE12" s="84">
        <f t="shared" si="11"/>
        <v>8846.4335119999778</v>
      </c>
      <c r="AF12" s="84">
        <v>43.7</v>
      </c>
      <c r="AG12" s="84">
        <v>33.1</v>
      </c>
      <c r="AH12" s="84">
        <v>14.6</v>
      </c>
      <c r="AI12" s="88">
        <f t="shared" si="15"/>
        <v>38525.800000000003</v>
      </c>
      <c r="AJ12" s="88">
        <v>38549</v>
      </c>
      <c r="AK12" s="48">
        <f t="shared" si="7"/>
        <v>23.19999999999709</v>
      </c>
      <c r="AL12" s="90">
        <f t="shared" si="4"/>
        <v>6596.8071572871722</v>
      </c>
      <c r="AM12" s="84">
        <f t="shared" si="12"/>
        <v>2199.4744583469028</v>
      </c>
      <c r="AN12" s="71">
        <v>53</v>
      </c>
      <c r="AO12" s="78">
        <f t="shared" si="5"/>
        <v>18399.559151999674</v>
      </c>
    </row>
    <row r="13" spans="1:44" x14ac:dyDescent="0.25">
      <c r="A13" s="79">
        <v>44112</v>
      </c>
      <c r="B13" s="87">
        <v>4219</v>
      </c>
      <c r="C13" s="87">
        <v>3762</v>
      </c>
      <c r="D13" s="87">
        <v>882</v>
      </c>
      <c r="E13" s="87">
        <v>4695</v>
      </c>
      <c r="F13" s="87">
        <v>5239</v>
      </c>
      <c r="G13" s="87">
        <v>2793</v>
      </c>
      <c r="H13" s="87">
        <v>7120</v>
      </c>
      <c r="I13" s="87">
        <v>2593</v>
      </c>
      <c r="J13" s="87">
        <v>7509</v>
      </c>
      <c r="K13" s="87">
        <f t="shared" si="13"/>
        <v>28710</v>
      </c>
      <c r="L13" s="14">
        <f t="shared" si="8"/>
        <v>5742</v>
      </c>
      <c r="M13" s="84">
        <v>98.88</v>
      </c>
      <c r="N13" s="84">
        <v>0.95899999999999996</v>
      </c>
      <c r="O13" s="84">
        <v>7.173</v>
      </c>
      <c r="P13" s="82">
        <v>72.046999999999997</v>
      </c>
      <c r="Q13" s="84">
        <v>7.4219999999999997</v>
      </c>
      <c r="R13" s="84">
        <f t="shared" si="0"/>
        <v>80.179000000000002</v>
      </c>
      <c r="S13" s="84">
        <f t="shared" si="1"/>
        <v>628.60335999999995</v>
      </c>
      <c r="T13" s="84">
        <f t="shared" si="2"/>
        <v>106.30199999999999</v>
      </c>
      <c r="U13" s="84">
        <f t="shared" si="14"/>
        <v>833.40767999999991</v>
      </c>
      <c r="V13" s="84">
        <v>213.3</v>
      </c>
      <c r="W13" s="84">
        <v>0</v>
      </c>
      <c r="X13" s="87" t="s">
        <v>63</v>
      </c>
      <c r="Y13" s="88">
        <v>710655.4</v>
      </c>
      <c r="Z13" s="5">
        <f t="shared" si="9"/>
        <v>438.70000000006985</v>
      </c>
      <c r="AA13" s="14">
        <f t="shared" si="6"/>
        <v>2838.3890000004517</v>
      </c>
      <c r="AB13" s="88">
        <v>927131</v>
      </c>
      <c r="AC13" s="88">
        <f t="shared" si="10"/>
        <v>896328.7</v>
      </c>
      <c r="AD13" s="5">
        <f t="shared" si="3"/>
        <v>30802.300000000047</v>
      </c>
      <c r="AE13" s="84">
        <f t="shared" si="11"/>
        <v>10269.948854500017</v>
      </c>
      <c r="AF13" s="84">
        <v>49.3</v>
      </c>
      <c r="AG13" s="84">
        <v>40.5</v>
      </c>
      <c r="AH13" s="84">
        <v>15.2</v>
      </c>
      <c r="AI13" s="88">
        <f t="shared" si="15"/>
        <v>38549</v>
      </c>
      <c r="AJ13" s="88">
        <v>38576.1</v>
      </c>
      <c r="AK13" s="48">
        <f t="shared" si="7"/>
        <v>27.099999999998545</v>
      </c>
      <c r="AL13" s="90">
        <f t="shared" si="4"/>
        <v>7705.7531880385859</v>
      </c>
      <c r="AM13" s="84">
        <f t="shared" si="12"/>
        <v>2569.2136991898851</v>
      </c>
      <c r="AN13" s="71">
        <v>42</v>
      </c>
      <c r="AO13" s="78">
        <f t="shared" si="5"/>
        <v>19683.745534500471</v>
      </c>
    </row>
    <row r="14" spans="1:44" x14ac:dyDescent="0.25">
      <c r="A14" s="79">
        <v>44113</v>
      </c>
      <c r="B14" s="87">
        <v>4350</v>
      </c>
      <c r="C14" s="87">
        <v>3738</v>
      </c>
      <c r="D14" s="87">
        <v>922</v>
      </c>
      <c r="E14" s="87">
        <v>4680</v>
      </c>
      <c r="F14" s="87">
        <v>5099</v>
      </c>
      <c r="G14" s="87">
        <v>2901</v>
      </c>
      <c r="H14" s="87">
        <v>6980</v>
      </c>
      <c r="I14" s="87">
        <v>2482</v>
      </c>
      <c r="J14" s="87">
        <v>7390</v>
      </c>
      <c r="K14" s="87">
        <f t="shared" si="13"/>
        <v>28670</v>
      </c>
      <c r="L14" s="14">
        <f t="shared" si="8"/>
        <v>5734</v>
      </c>
      <c r="M14" s="84">
        <v>108.23699999999999</v>
      </c>
      <c r="N14" s="84">
        <v>0.67600000000000005</v>
      </c>
      <c r="O14" s="84">
        <v>7.4180000000000001</v>
      </c>
      <c r="P14" s="82">
        <v>79.733999999999995</v>
      </c>
      <c r="Q14" s="84">
        <v>11.087999999999999</v>
      </c>
      <c r="R14" s="84">
        <f>N14+O14+P14</f>
        <v>87.827999999999989</v>
      </c>
      <c r="S14" s="84">
        <f t="shared" si="1"/>
        <v>688.57151999999985</v>
      </c>
      <c r="T14" s="84">
        <f t="shared" si="2"/>
        <v>119.32499999999999</v>
      </c>
      <c r="U14" s="84">
        <f t="shared" si="14"/>
        <v>935.50799999999992</v>
      </c>
      <c r="V14" s="84">
        <v>234.3</v>
      </c>
      <c r="W14" s="84">
        <v>0</v>
      </c>
      <c r="X14" s="87" t="s">
        <v>63</v>
      </c>
      <c r="Y14" s="88">
        <v>711143.2</v>
      </c>
      <c r="Z14" s="5">
        <f>IF((Y14-Y13&lt;0), "0",Y14-Y13)</f>
        <v>487.79999999993015</v>
      </c>
      <c r="AA14" s="14">
        <f t="shared" si="6"/>
        <v>3156.0659999995478</v>
      </c>
      <c r="AB14" s="88">
        <v>957125</v>
      </c>
      <c r="AC14" s="88">
        <f t="shared" si="10"/>
        <v>927131</v>
      </c>
      <c r="AD14" s="5">
        <f t="shared" si="3"/>
        <v>29994</v>
      </c>
      <c r="AE14" s="84">
        <f t="shared" si="11"/>
        <v>10000.44951</v>
      </c>
      <c r="AF14" s="84">
        <v>48</v>
      </c>
      <c r="AG14" s="84">
        <v>40.1</v>
      </c>
      <c r="AH14" s="84">
        <v>15.3</v>
      </c>
      <c r="AI14" s="88">
        <f t="shared" si="15"/>
        <v>38576.1</v>
      </c>
      <c r="AJ14" s="88">
        <v>38603.800000000003</v>
      </c>
      <c r="AK14" s="48">
        <f t="shared" si="7"/>
        <v>27.700000000004366</v>
      </c>
      <c r="AL14" s="90">
        <f t="shared" si="4"/>
        <v>7876.3602696942407</v>
      </c>
      <c r="AM14" s="84">
        <f t="shared" si="12"/>
        <v>2626.0966593201056</v>
      </c>
      <c r="AN14" s="71">
        <v>46</v>
      </c>
      <c r="AO14" s="78">
        <f t="shared" si="5"/>
        <v>19826.023509999548</v>
      </c>
    </row>
    <row r="15" spans="1:44" x14ac:dyDescent="0.25">
      <c r="A15" s="79">
        <v>44114</v>
      </c>
      <c r="B15" s="87">
        <v>4288</v>
      </c>
      <c r="C15" s="87">
        <v>3523</v>
      </c>
      <c r="D15" s="148">
        <v>926</v>
      </c>
      <c r="E15" s="148">
        <v>4882</v>
      </c>
      <c r="F15" s="148">
        <v>4989</v>
      </c>
      <c r="G15" s="148">
        <v>2866</v>
      </c>
      <c r="H15" s="148">
        <v>6076</v>
      </c>
      <c r="I15" s="148">
        <v>2528</v>
      </c>
      <c r="J15" s="148">
        <v>7100</v>
      </c>
      <c r="K15" s="87">
        <f t="shared" si="13"/>
        <v>27550</v>
      </c>
      <c r="L15" s="14">
        <f t="shared" si="8"/>
        <v>5510</v>
      </c>
      <c r="M15" s="84">
        <v>94.227999999999994</v>
      </c>
      <c r="N15" s="84">
        <v>0.88100000000000001</v>
      </c>
      <c r="O15" s="84">
        <v>6.8680000000000003</v>
      </c>
      <c r="P15" s="82">
        <v>73.578000000000003</v>
      </c>
      <c r="Q15" s="84">
        <v>17.481000000000002</v>
      </c>
      <c r="R15" s="84">
        <f t="shared" si="0"/>
        <v>81.326999999999998</v>
      </c>
      <c r="S15" s="84">
        <f t="shared" si="1"/>
        <v>637.60367999999994</v>
      </c>
      <c r="T15" s="84">
        <f t="shared" si="2"/>
        <v>111.709</v>
      </c>
      <c r="U15" s="84">
        <f t="shared" si="14"/>
        <v>875.79856000000007</v>
      </c>
      <c r="V15" s="84">
        <v>202.6</v>
      </c>
      <c r="W15" s="84">
        <v>0</v>
      </c>
      <c r="X15" s="87" t="s">
        <v>63</v>
      </c>
      <c r="Y15" s="88">
        <v>711580.8</v>
      </c>
      <c r="Z15" s="5">
        <f t="shared" si="9"/>
        <v>437.60000000009313</v>
      </c>
      <c r="AA15" s="14">
        <f t="shared" si="6"/>
        <v>2831.2720000006025</v>
      </c>
      <c r="AB15" s="88">
        <v>982410.1</v>
      </c>
      <c r="AC15" s="88">
        <f t="shared" si="10"/>
        <v>957125</v>
      </c>
      <c r="AD15" s="5">
        <f t="shared" si="3"/>
        <v>25285.099999999977</v>
      </c>
      <c r="AE15" s="84">
        <f t="shared" si="11"/>
        <v>8430.4316164999927</v>
      </c>
      <c r="AF15" s="84">
        <v>41.2</v>
      </c>
      <c r="AG15" s="84">
        <v>28.2</v>
      </c>
      <c r="AH15" s="84">
        <v>14.7</v>
      </c>
      <c r="AI15" s="88">
        <f t="shared" si="15"/>
        <v>38603.800000000003</v>
      </c>
      <c r="AJ15" s="88">
        <v>38629.199999999997</v>
      </c>
      <c r="AK15" s="48">
        <f t="shared" si="7"/>
        <v>25.399999999994179</v>
      </c>
      <c r="AL15" s="90">
        <f t="shared" si="4"/>
        <v>7222.3664566843445</v>
      </c>
      <c r="AM15" s="84">
        <f t="shared" si="12"/>
        <v>2408.045312155411</v>
      </c>
      <c r="AN15" s="71">
        <v>26</v>
      </c>
      <c r="AO15" s="89">
        <f t="shared" si="5"/>
        <v>17647.502176500595</v>
      </c>
    </row>
    <row r="16" spans="1:44" x14ac:dyDescent="0.25">
      <c r="A16" s="79">
        <v>44115</v>
      </c>
      <c r="B16" s="87">
        <v>4317</v>
      </c>
      <c r="C16" s="87">
        <v>3647</v>
      </c>
      <c r="D16" s="87">
        <v>904</v>
      </c>
      <c r="E16" s="87">
        <v>4845</v>
      </c>
      <c r="F16" s="87">
        <v>5186</v>
      </c>
      <c r="G16" s="87">
        <v>3156</v>
      </c>
      <c r="H16" s="87">
        <v>5831</v>
      </c>
      <c r="I16" s="87">
        <v>2561</v>
      </c>
      <c r="J16" s="87">
        <v>7277</v>
      </c>
      <c r="K16" s="87">
        <f t="shared" si="13"/>
        <v>27886</v>
      </c>
      <c r="L16" s="14">
        <f t="shared" si="8"/>
        <v>5577.2000000000007</v>
      </c>
      <c r="M16" s="84">
        <v>106.218</v>
      </c>
      <c r="N16" s="84">
        <v>1.466</v>
      </c>
      <c r="O16" s="84">
        <v>7.2720000000000002</v>
      </c>
      <c r="P16" s="82">
        <v>64.948999999999998</v>
      </c>
      <c r="Q16" s="84">
        <v>11.24</v>
      </c>
      <c r="R16" s="84">
        <f t="shared" si="0"/>
        <v>73.686999999999998</v>
      </c>
      <c r="S16" s="84">
        <f t="shared" si="1"/>
        <v>577.70607999999993</v>
      </c>
      <c r="T16" s="84">
        <f t="shared" si="2"/>
        <v>117.458</v>
      </c>
      <c r="U16" s="84">
        <f t="shared" si="14"/>
        <v>920.87072000000001</v>
      </c>
      <c r="V16" s="84">
        <v>215.6</v>
      </c>
      <c r="W16" s="84">
        <v>0</v>
      </c>
      <c r="X16" s="87" t="s">
        <v>63</v>
      </c>
      <c r="Y16" s="88">
        <v>712038</v>
      </c>
      <c r="Z16" s="5">
        <f t="shared" si="9"/>
        <v>457.19999999995343</v>
      </c>
      <c r="AA16" s="14">
        <f t="shared" si="6"/>
        <v>2958.0839999996988</v>
      </c>
      <c r="AB16" s="88">
        <v>1005508</v>
      </c>
      <c r="AC16" s="88">
        <f t="shared" si="10"/>
        <v>982410.1</v>
      </c>
      <c r="AD16" s="5">
        <f t="shared" si="3"/>
        <v>23097.900000000023</v>
      </c>
      <c r="AE16" s="84">
        <f t="shared" si="11"/>
        <v>7701.1863285000081</v>
      </c>
      <c r="AF16" s="84">
        <v>40.6</v>
      </c>
      <c r="AG16" s="84">
        <v>21.1</v>
      </c>
      <c r="AH16" s="84">
        <v>14.7</v>
      </c>
      <c r="AI16" s="88">
        <f t="shared" si="15"/>
        <v>38629.199999999997</v>
      </c>
      <c r="AJ16" s="88">
        <v>38652.199999999997</v>
      </c>
      <c r="AK16" s="48">
        <f t="shared" si="7"/>
        <v>23</v>
      </c>
      <c r="AL16" s="90">
        <f t="shared" si="4"/>
        <v>6539.9381300699997</v>
      </c>
      <c r="AM16" s="84">
        <f t="shared" si="12"/>
        <v>2180.5134716372891</v>
      </c>
      <c r="AN16" s="71">
        <v>41</v>
      </c>
      <c r="AO16" s="78">
        <f t="shared" si="5"/>
        <v>17157.341048499708</v>
      </c>
    </row>
    <row r="17" spans="1:41" x14ac:dyDescent="0.25">
      <c r="A17" s="79">
        <v>44116</v>
      </c>
      <c r="B17" s="87"/>
      <c r="C17" s="87"/>
      <c r="D17" s="87"/>
      <c r="E17" s="87"/>
      <c r="F17" s="87"/>
      <c r="G17" s="87"/>
      <c r="H17" s="87"/>
      <c r="I17" s="87"/>
      <c r="J17" s="87"/>
      <c r="K17" s="87">
        <f t="shared" si="13"/>
        <v>0</v>
      </c>
      <c r="L17" s="14">
        <f t="shared" si="8"/>
        <v>0</v>
      </c>
      <c r="M17" s="84"/>
      <c r="N17" s="84"/>
      <c r="O17" s="84"/>
      <c r="P17" s="82"/>
      <c r="Q17" s="84"/>
      <c r="R17" s="84">
        <f t="shared" si="0"/>
        <v>0</v>
      </c>
      <c r="S17" s="84">
        <f t="shared" si="1"/>
        <v>0</v>
      </c>
      <c r="T17" s="84">
        <f t="shared" si="2"/>
        <v>0</v>
      </c>
      <c r="U17" s="84">
        <f t="shared" si="14"/>
        <v>0</v>
      </c>
      <c r="V17" s="84"/>
      <c r="W17" s="84">
        <v>0</v>
      </c>
      <c r="X17" s="87" t="s">
        <v>63</v>
      </c>
      <c r="Y17" s="88"/>
      <c r="Z17" s="5" t="str">
        <f t="shared" si="9"/>
        <v>0</v>
      </c>
      <c r="AA17" s="14">
        <f t="shared" si="6"/>
        <v>0</v>
      </c>
      <c r="AB17" s="88"/>
      <c r="AC17" s="88">
        <f t="shared" si="10"/>
        <v>1005508</v>
      </c>
      <c r="AD17" s="5" t="str">
        <f t="shared" si="3"/>
        <v>0</v>
      </c>
      <c r="AE17" s="84">
        <f t="shared" si="11"/>
        <v>0</v>
      </c>
      <c r="AF17" s="84"/>
      <c r="AG17" s="84"/>
      <c r="AH17" s="84"/>
      <c r="AI17" s="88">
        <f t="shared" si="15"/>
        <v>38652.199999999997</v>
      </c>
      <c r="AJ17" s="88"/>
      <c r="AK17" s="48" t="str">
        <f t="shared" si="7"/>
        <v>0</v>
      </c>
      <c r="AL17" s="90">
        <f t="shared" si="4"/>
        <v>0</v>
      </c>
      <c r="AM17" s="84">
        <f t="shared" si="12"/>
        <v>0</v>
      </c>
      <c r="AN17" s="5"/>
      <c r="AO17" s="78">
        <f t="shared" si="5"/>
        <v>0</v>
      </c>
    </row>
    <row r="18" spans="1:41" x14ac:dyDescent="0.25">
      <c r="A18" s="79">
        <v>44117</v>
      </c>
      <c r="B18" s="87"/>
      <c r="C18" s="87"/>
      <c r="D18" s="87"/>
      <c r="E18" s="87"/>
      <c r="F18" s="87"/>
      <c r="G18" s="87"/>
      <c r="H18" s="87"/>
      <c r="I18" s="87"/>
      <c r="J18" s="87"/>
      <c r="K18" s="87">
        <f t="shared" si="13"/>
        <v>0</v>
      </c>
      <c r="L18" s="14">
        <f t="shared" si="8"/>
        <v>0</v>
      </c>
      <c r="M18" s="84"/>
      <c r="N18" s="84"/>
      <c r="O18" s="84"/>
      <c r="P18" s="82"/>
      <c r="Q18" s="84"/>
      <c r="R18" s="84">
        <f t="shared" si="0"/>
        <v>0</v>
      </c>
      <c r="S18" s="84">
        <f t="shared" si="1"/>
        <v>0</v>
      </c>
      <c r="T18" s="84">
        <f t="shared" si="2"/>
        <v>0</v>
      </c>
      <c r="U18" s="84">
        <f t="shared" si="14"/>
        <v>0</v>
      </c>
      <c r="V18" s="84"/>
      <c r="W18" s="84">
        <v>0</v>
      </c>
      <c r="X18" s="87" t="s">
        <v>63</v>
      </c>
      <c r="Y18" s="88"/>
      <c r="Z18" s="5">
        <f t="shared" si="9"/>
        <v>0</v>
      </c>
      <c r="AA18" s="14">
        <f t="shared" si="6"/>
        <v>0</v>
      </c>
      <c r="AB18" s="88"/>
      <c r="AC18" s="88">
        <f t="shared" si="10"/>
        <v>0</v>
      </c>
      <c r="AD18" s="5">
        <f t="shared" si="3"/>
        <v>0</v>
      </c>
      <c r="AE18" s="84">
        <f t="shared" si="11"/>
        <v>0</v>
      </c>
      <c r="AF18" s="82"/>
      <c r="AG18" s="82"/>
      <c r="AH18" s="82"/>
      <c r="AI18" s="88">
        <f t="shared" si="15"/>
        <v>0</v>
      </c>
      <c r="AJ18" s="88"/>
      <c r="AK18" s="48">
        <f t="shared" si="7"/>
        <v>0</v>
      </c>
      <c r="AL18" s="90">
        <f t="shared" si="4"/>
        <v>0</v>
      </c>
      <c r="AM18" s="84">
        <f t="shared" si="12"/>
        <v>0</v>
      </c>
      <c r="AN18" s="5"/>
      <c r="AO18" s="78">
        <f t="shared" si="5"/>
        <v>0</v>
      </c>
    </row>
    <row r="19" spans="1:41" x14ac:dyDescent="0.25">
      <c r="A19" s="79">
        <v>44118</v>
      </c>
      <c r="B19" s="87"/>
      <c r="C19" s="87"/>
      <c r="D19" s="87"/>
      <c r="E19" s="87"/>
      <c r="F19" s="87"/>
      <c r="G19" s="87"/>
      <c r="H19" s="87"/>
      <c r="I19" s="87"/>
      <c r="J19" s="87"/>
      <c r="K19" s="87">
        <f t="shared" si="13"/>
        <v>0</v>
      </c>
      <c r="L19" s="14">
        <f t="shared" si="8"/>
        <v>0</v>
      </c>
      <c r="M19" s="84"/>
      <c r="N19" s="84"/>
      <c r="O19" s="84"/>
      <c r="P19" s="82"/>
      <c r="Q19" s="84"/>
      <c r="R19" s="84">
        <f t="shared" si="0"/>
        <v>0</v>
      </c>
      <c r="S19" s="84">
        <f t="shared" si="1"/>
        <v>0</v>
      </c>
      <c r="T19" s="84">
        <f t="shared" si="2"/>
        <v>0</v>
      </c>
      <c r="U19" s="84">
        <f t="shared" si="14"/>
        <v>0</v>
      </c>
      <c r="V19" s="84"/>
      <c r="W19" s="84">
        <v>0</v>
      </c>
      <c r="X19" s="87" t="s">
        <v>63</v>
      </c>
      <c r="Y19" s="88"/>
      <c r="Z19" s="5">
        <f t="shared" si="9"/>
        <v>0</v>
      </c>
      <c r="AA19" s="14">
        <f t="shared" si="6"/>
        <v>0</v>
      </c>
      <c r="AB19" s="88"/>
      <c r="AC19" s="88">
        <f t="shared" si="10"/>
        <v>0</v>
      </c>
      <c r="AD19" s="5">
        <f t="shared" si="3"/>
        <v>0</v>
      </c>
      <c r="AE19" s="84">
        <f t="shared" si="11"/>
        <v>0</v>
      </c>
      <c r="AF19" s="84"/>
      <c r="AG19" s="84"/>
      <c r="AH19" s="84"/>
      <c r="AI19" s="88">
        <f t="shared" si="15"/>
        <v>0</v>
      </c>
      <c r="AJ19" s="88"/>
      <c r="AK19" s="48">
        <f t="shared" si="7"/>
        <v>0</v>
      </c>
      <c r="AL19" s="90">
        <f t="shared" si="4"/>
        <v>0</v>
      </c>
      <c r="AM19" s="84">
        <f t="shared" si="12"/>
        <v>0</v>
      </c>
      <c r="AN19" s="5"/>
      <c r="AO19" s="78">
        <f t="shared" si="5"/>
        <v>0</v>
      </c>
    </row>
    <row r="20" spans="1:41" x14ac:dyDescent="0.25">
      <c r="A20" s="79">
        <v>44119</v>
      </c>
      <c r="B20" s="87"/>
      <c r="C20" s="87"/>
      <c r="D20" s="87"/>
      <c r="E20" s="87"/>
      <c r="F20" s="87"/>
      <c r="G20" s="87"/>
      <c r="H20" s="87"/>
      <c r="I20" s="87"/>
      <c r="J20" s="87"/>
      <c r="K20" s="87">
        <f t="shared" si="13"/>
        <v>0</v>
      </c>
      <c r="L20" s="14">
        <f t="shared" si="8"/>
        <v>0</v>
      </c>
      <c r="M20" s="84"/>
      <c r="N20" s="84"/>
      <c r="O20" s="84"/>
      <c r="P20" s="82"/>
      <c r="Q20" s="84"/>
      <c r="R20" s="84">
        <f t="shared" si="0"/>
        <v>0</v>
      </c>
      <c r="S20" s="84">
        <f t="shared" si="1"/>
        <v>0</v>
      </c>
      <c r="T20" s="84">
        <f t="shared" si="2"/>
        <v>0</v>
      </c>
      <c r="U20" s="84">
        <f t="shared" si="14"/>
        <v>0</v>
      </c>
      <c r="V20" s="84"/>
      <c r="W20" s="84">
        <v>0</v>
      </c>
      <c r="X20" s="87" t="s">
        <v>63</v>
      </c>
      <c r="Y20" s="88"/>
      <c r="Z20" s="5">
        <f t="shared" si="9"/>
        <v>0</v>
      </c>
      <c r="AA20" s="14">
        <f t="shared" si="6"/>
        <v>0</v>
      </c>
      <c r="AB20" s="88"/>
      <c r="AC20" s="88">
        <f t="shared" si="10"/>
        <v>0</v>
      </c>
      <c r="AD20" s="5">
        <f t="shared" si="3"/>
        <v>0</v>
      </c>
      <c r="AE20" s="84">
        <f t="shared" si="11"/>
        <v>0</v>
      </c>
      <c r="AF20" s="84"/>
      <c r="AG20" s="84"/>
      <c r="AH20" s="84"/>
      <c r="AI20" s="88">
        <f t="shared" si="15"/>
        <v>0</v>
      </c>
      <c r="AJ20" s="88"/>
      <c r="AK20" s="48">
        <f t="shared" si="7"/>
        <v>0</v>
      </c>
      <c r="AL20" s="90">
        <f t="shared" si="4"/>
        <v>0</v>
      </c>
      <c r="AM20" s="84">
        <f t="shared" si="12"/>
        <v>0</v>
      </c>
      <c r="AN20" s="5"/>
      <c r="AO20" s="78">
        <f t="shared" si="5"/>
        <v>0</v>
      </c>
    </row>
    <row r="21" spans="1:41" x14ac:dyDescent="0.25">
      <c r="A21" s="79">
        <v>44120</v>
      </c>
      <c r="B21" s="87"/>
      <c r="C21" s="87"/>
      <c r="D21" s="87"/>
      <c r="E21" s="87"/>
      <c r="F21" s="87"/>
      <c r="G21" s="87"/>
      <c r="H21" s="87"/>
      <c r="I21" s="87"/>
      <c r="J21" s="87"/>
      <c r="K21" s="87">
        <f t="shared" si="13"/>
        <v>0</v>
      </c>
      <c r="L21" s="14">
        <f t="shared" si="8"/>
        <v>0</v>
      </c>
      <c r="M21" s="84"/>
      <c r="N21" s="84"/>
      <c r="O21" s="84"/>
      <c r="P21" s="82"/>
      <c r="Q21" s="84"/>
      <c r="R21" s="84">
        <f t="shared" si="0"/>
        <v>0</v>
      </c>
      <c r="S21" s="84">
        <f t="shared" si="1"/>
        <v>0</v>
      </c>
      <c r="T21" s="84">
        <f t="shared" si="2"/>
        <v>0</v>
      </c>
      <c r="U21" s="84">
        <f t="shared" si="14"/>
        <v>0</v>
      </c>
      <c r="V21" s="84"/>
      <c r="W21" s="84">
        <v>0</v>
      </c>
      <c r="X21" s="87" t="s">
        <v>63</v>
      </c>
      <c r="Y21" s="88"/>
      <c r="Z21" s="5">
        <f t="shared" si="9"/>
        <v>0</v>
      </c>
      <c r="AA21" s="14">
        <f t="shared" si="6"/>
        <v>0</v>
      </c>
      <c r="AB21" s="88"/>
      <c r="AC21" s="88">
        <f t="shared" si="10"/>
        <v>0</v>
      </c>
      <c r="AD21" s="5">
        <f t="shared" si="3"/>
        <v>0</v>
      </c>
      <c r="AE21" s="84">
        <f t="shared" si="11"/>
        <v>0</v>
      </c>
      <c r="AF21" s="84"/>
      <c r="AG21" s="84"/>
      <c r="AH21" s="84"/>
      <c r="AI21" s="88">
        <f t="shared" si="15"/>
        <v>0</v>
      </c>
      <c r="AJ21" s="88"/>
      <c r="AK21" s="48">
        <f t="shared" si="7"/>
        <v>0</v>
      </c>
      <c r="AL21" s="90">
        <f t="shared" si="4"/>
        <v>0</v>
      </c>
      <c r="AM21" s="84">
        <f t="shared" si="12"/>
        <v>0</v>
      </c>
      <c r="AN21" s="5"/>
      <c r="AO21" s="78">
        <f t="shared" si="5"/>
        <v>0</v>
      </c>
    </row>
    <row r="22" spans="1:41" x14ac:dyDescent="0.25">
      <c r="A22" s="79">
        <v>44121</v>
      </c>
      <c r="B22" s="87"/>
      <c r="C22" s="87"/>
      <c r="D22" s="87"/>
      <c r="E22" s="87"/>
      <c r="F22" s="87"/>
      <c r="G22" s="87"/>
      <c r="H22" s="87"/>
      <c r="I22" s="87"/>
      <c r="J22" s="87"/>
      <c r="K22" s="87">
        <f t="shared" si="13"/>
        <v>0</v>
      </c>
      <c r="L22" s="14">
        <f t="shared" si="8"/>
        <v>0</v>
      </c>
      <c r="M22" s="84"/>
      <c r="N22" s="84"/>
      <c r="O22" s="84"/>
      <c r="P22" s="82"/>
      <c r="Q22" s="84"/>
      <c r="R22" s="84">
        <f t="shared" si="0"/>
        <v>0</v>
      </c>
      <c r="S22" s="84">
        <f t="shared" si="1"/>
        <v>0</v>
      </c>
      <c r="T22" s="84">
        <f t="shared" si="2"/>
        <v>0</v>
      </c>
      <c r="U22" s="84">
        <f t="shared" si="14"/>
        <v>0</v>
      </c>
      <c r="V22" s="84"/>
      <c r="W22" s="84">
        <v>0</v>
      </c>
      <c r="X22" s="87" t="s">
        <v>63</v>
      </c>
      <c r="Y22" s="88"/>
      <c r="Z22" s="5">
        <f t="shared" si="9"/>
        <v>0</v>
      </c>
      <c r="AA22" s="14">
        <f t="shared" si="6"/>
        <v>0</v>
      </c>
      <c r="AB22" s="88"/>
      <c r="AC22" s="88">
        <f t="shared" si="10"/>
        <v>0</v>
      </c>
      <c r="AD22" s="5">
        <f t="shared" si="3"/>
        <v>0</v>
      </c>
      <c r="AE22" s="84">
        <f t="shared" si="11"/>
        <v>0</v>
      </c>
      <c r="AF22" s="84"/>
      <c r="AG22" s="84"/>
      <c r="AH22" s="84"/>
      <c r="AI22" s="88">
        <f t="shared" si="15"/>
        <v>0</v>
      </c>
      <c r="AJ22" s="88"/>
      <c r="AK22" s="48">
        <f t="shared" si="7"/>
        <v>0</v>
      </c>
      <c r="AL22" s="90">
        <f t="shared" si="4"/>
        <v>0</v>
      </c>
      <c r="AM22" s="84">
        <f t="shared" si="12"/>
        <v>0</v>
      </c>
      <c r="AN22" s="5"/>
      <c r="AO22" s="78">
        <f t="shared" si="5"/>
        <v>0</v>
      </c>
    </row>
    <row r="23" spans="1:41" x14ac:dyDescent="0.25">
      <c r="A23" s="79">
        <v>44122</v>
      </c>
      <c r="B23" s="87"/>
      <c r="C23" s="87"/>
      <c r="D23" s="87"/>
      <c r="E23" s="87"/>
      <c r="F23" s="87"/>
      <c r="G23" s="87"/>
      <c r="H23" s="87"/>
      <c r="I23" s="87"/>
      <c r="J23" s="87"/>
      <c r="K23" s="87">
        <f t="shared" si="13"/>
        <v>0</v>
      </c>
      <c r="L23" s="14">
        <f t="shared" si="8"/>
        <v>0</v>
      </c>
      <c r="M23" s="84"/>
      <c r="N23" s="84"/>
      <c r="O23" s="84"/>
      <c r="P23" s="82"/>
      <c r="Q23" s="84"/>
      <c r="R23" s="84">
        <f t="shared" si="0"/>
        <v>0</v>
      </c>
      <c r="S23" s="84">
        <f t="shared" si="1"/>
        <v>0</v>
      </c>
      <c r="T23" s="84">
        <f t="shared" si="2"/>
        <v>0</v>
      </c>
      <c r="U23" s="84">
        <f t="shared" si="14"/>
        <v>0</v>
      </c>
      <c r="V23" s="84"/>
      <c r="W23" s="84">
        <v>0</v>
      </c>
      <c r="X23" s="87" t="s">
        <v>63</v>
      </c>
      <c r="Y23" s="88"/>
      <c r="Z23" s="5">
        <f t="shared" si="9"/>
        <v>0</v>
      </c>
      <c r="AA23" s="14">
        <f t="shared" si="6"/>
        <v>0</v>
      </c>
      <c r="AB23" s="88"/>
      <c r="AC23" s="88">
        <f t="shared" si="10"/>
        <v>0</v>
      </c>
      <c r="AD23" s="5">
        <f t="shared" si="3"/>
        <v>0</v>
      </c>
      <c r="AE23" s="84">
        <f t="shared" si="11"/>
        <v>0</v>
      </c>
      <c r="AF23" s="84"/>
      <c r="AG23" s="84"/>
      <c r="AH23" s="84"/>
      <c r="AI23" s="88">
        <f t="shared" si="15"/>
        <v>0</v>
      </c>
      <c r="AJ23" s="88"/>
      <c r="AK23" s="48">
        <f t="shared" si="7"/>
        <v>0</v>
      </c>
      <c r="AL23" s="90">
        <f t="shared" si="4"/>
        <v>0</v>
      </c>
      <c r="AM23" s="84">
        <f t="shared" si="12"/>
        <v>0</v>
      </c>
      <c r="AN23" s="5"/>
      <c r="AO23" s="78">
        <f t="shared" si="5"/>
        <v>0</v>
      </c>
    </row>
    <row r="24" spans="1:41" x14ac:dyDescent="0.25">
      <c r="A24" s="79">
        <v>44123</v>
      </c>
      <c r="B24" s="87"/>
      <c r="C24" s="87"/>
      <c r="D24" s="87"/>
      <c r="E24" s="87"/>
      <c r="F24" s="87"/>
      <c r="G24" s="87"/>
      <c r="H24" s="87"/>
      <c r="I24" s="87"/>
      <c r="J24" s="87"/>
      <c r="K24" s="87">
        <f t="shared" si="13"/>
        <v>0</v>
      </c>
      <c r="L24" s="14">
        <f t="shared" si="8"/>
        <v>0</v>
      </c>
      <c r="M24" s="84"/>
      <c r="N24" s="84"/>
      <c r="O24" s="84"/>
      <c r="P24" s="82"/>
      <c r="Q24" s="84"/>
      <c r="R24" s="84">
        <f t="shared" si="0"/>
        <v>0</v>
      </c>
      <c r="S24" s="84">
        <f t="shared" si="1"/>
        <v>0</v>
      </c>
      <c r="T24" s="84">
        <f t="shared" si="2"/>
        <v>0</v>
      </c>
      <c r="U24" s="84">
        <f t="shared" si="14"/>
        <v>0</v>
      </c>
      <c r="V24" s="84"/>
      <c r="W24" s="84">
        <v>0</v>
      </c>
      <c r="X24" s="87" t="s">
        <v>63</v>
      </c>
      <c r="Y24" s="88"/>
      <c r="Z24" s="5">
        <f t="shared" si="9"/>
        <v>0</v>
      </c>
      <c r="AA24" s="14">
        <f t="shared" si="6"/>
        <v>0</v>
      </c>
      <c r="AB24" s="88"/>
      <c r="AC24" s="88">
        <f t="shared" si="10"/>
        <v>0</v>
      </c>
      <c r="AD24" s="5">
        <f t="shared" si="3"/>
        <v>0</v>
      </c>
      <c r="AE24" s="84">
        <f t="shared" si="11"/>
        <v>0</v>
      </c>
      <c r="AF24" s="84"/>
      <c r="AG24" s="84"/>
      <c r="AH24" s="84"/>
      <c r="AI24" s="88">
        <f t="shared" si="15"/>
        <v>0</v>
      </c>
      <c r="AJ24" s="88"/>
      <c r="AK24" s="48">
        <f t="shared" si="7"/>
        <v>0</v>
      </c>
      <c r="AL24" s="90">
        <f t="shared" si="4"/>
        <v>0</v>
      </c>
      <c r="AM24" s="84">
        <f t="shared" si="12"/>
        <v>0</v>
      </c>
      <c r="AN24" s="5"/>
      <c r="AO24" s="78">
        <f t="shared" si="5"/>
        <v>0</v>
      </c>
    </row>
    <row r="25" spans="1:41" x14ac:dyDescent="0.25">
      <c r="A25" s="79">
        <v>44124</v>
      </c>
      <c r="B25" s="87"/>
      <c r="C25" s="87"/>
      <c r="D25" s="87"/>
      <c r="E25" s="87"/>
      <c r="F25" s="87"/>
      <c r="G25" s="87"/>
      <c r="H25" s="87"/>
      <c r="I25" s="87"/>
      <c r="J25" s="87"/>
      <c r="K25" s="87">
        <f t="shared" si="13"/>
        <v>0</v>
      </c>
      <c r="L25" s="14">
        <f t="shared" si="8"/>
        <v>0</v>
      </c>
      <c r="M25" s="84"/>
      <c r="N25" s="84"/>
      <c r="O25" s="84"/>
      <c r="P25" s="82"/>
      <c r="Q25" s="84"/>
      <c r="R25" s="84">
        <f t="shared" si="0"/>
        <v>0</v>
      </c>
      <c r="S25" s="84">
        <f t="shared" si="1"/>
        <v>0</v>
      </c>
      <c r="T25" s="84">
        <f t="shared" si="2"/>
        <v>0</v>
      </c>
      <c r="U25" s="84">
        <f t="shared" si="14"/>
        <v>0</v>
      </c>
      <c r="V25" s="84"/>
      <c r="W25" s="84">
        <v>0</v>
      </c>
      <c r="X25" s="87" t="s">
        <v>63</v>
      </c>
      <c r="Y25" s="88"/>
      <c r="Z25" s="5">
        <f t="shared" si="9"/>
        <v>0</v>
      </c>
      <c r="AA25" s="14">
        <f t="shared" si="6"/>
        <v>0</v>
      </c>
      <c r="AB25" s="88"/>
      <c r="AC25" s="88">
        <f t="shared" si="10"/>
        <v>0</v>
      </c>
      <c r="AD25" s="5">
        <f t="shared" si="3"/>
        <v>0</v>
      </c>
      <c r="AE25" s="84">
        <f t="shared" si="11"/>
        <v>0</v>
      </c>
      <c r="AF25" s="84"/>
      <c r="AG25" s="84"/>
      <c r="AH25" s="84"/>
      <c r="AI25" s="88">
        <f t="shared" si="15"/>
        <v>0</v>
      </c>
      <c r="AJ25" s="88"/>
      <c r="AK25" s="48">
        <f t="shared" si="7"/>
        <v>0</v>
      </c>
      <c r="AL25" s="90">
        <f t="shared" si="4"/>
        <v>0</v>
      </c>
      <c r="AM25" s="84">
        <f t="shared" si="12"/>
        <v>0</v>
      </c>
      <c r="AN25" s="5"/>
      <c r="AO25" s="78">
        <f t="shared" si="5"/>
        <v>0</v>
      </c>
    </row>
    <row r="26" spans="1:41" x14ac:dyDescent="0.25">
      <c r="A26" s="79">
        <v>44125</v>
      </c>
      <c r="B26" s="87"/>
      <c r="C26" s="87"/>
      <c r="D26" s="87"/>
      <c r="E26" s="87"/>
      <c r="F26" s="87"/>
      <c r="G26" s="87"/>
      <c r="H26" s="87"/>
      <c r="I26" s="87"/>
      <c r="J26" s="87"/>
      <c r="K26" s="87">
        <f t="shared" si="13"/>
        <v>0</v>
      </c>
      <c r="L26" s="14">
        <f t="shared" si="8"/>
        <v>0</v>
      </c>
      <c r="M26" s="84"/>
      <c r="N26" s="84"/>
      <c r="O26" s="84"/>
      <c r="P26" s="82"/>
      <c r="Q26" s="84"/>
      <c r="R26" s="84">
        <f t="shared" si="0"/>
        <v>0</v>
      </c>
      <c r="S26" s="84">
        <f t="shared" si="1"/>
        <v>0</v>
      </c>
      <c r="T26" s="84">
        <f t="shared" si="2"/>
        <v>0</v>
      </c>
      <c r="U26" s="84">
        <f t="shared" si="14"/>
        <v>0</v>
      </c>
      <c r="V26" s="84"/>
      <c r="W26" s="84">
        <v>0</v>
      </c>
      <c r="X26" s="87" t="s">
        <v>63</v>
      </c>
      <c r="Y26" s="88"/>
      <c r="Z26" s="5">
        <f t="shared" si="9"/>
        <v>0</v>
      </c>
      <c r="AA26" s="14">
        <f t="shared" si="6"/>
        <v>0</v>
      </c>
      <c r="AB26" s="88"/>
      <c r="AC26" s="88">
        <f t="shared" si="10"/>
        <v>0</v>
      </c>
      <c r="AD26" s="5">
        <f t="shared" si="3"/>
        <v>0</v>
      </c>
      <c r="AE26" s="84">
        <f t="shared" si="11"/>
        <v>0</v>
      </c>
      <c r="AF26" s="84"/>
      <c r="AG26" s="84"/>
      <c r="AH26" s="84"/>
      <c r="AI26" s="88">
        <f t="shared" si="15"/>
        <v>0</v>
      </c>
      <c r="AJ26" s="88"/>
      <c r="AK26" s="48">
        <f t="shared" si="7"/>
        <v>0</v>
      </c>
      <c r="AL26" s="90">
        <f t="shared" si="4"/>
        <v>0</v>
      </c>
      <c r="AM26" s="84">
        <f t="shared" si="12"/>
        <v>0</v>
      </c>
      <c r="AN26" s="5"/>
      <c r="AO26" s="78">
        <f t="shared" si="5"/>
        <v>0</v>
      </c>
    </row>
    <row r="27" spans="1:41" x14ac:dyDescent="0.25">
      <c r="A27" s="79">
        <v>44126</v>
      </c>
      <c r="B27" s="87"/>
      <c r="C27" s="87"/>
      <c r="D27" s="87"/>
      <c r="E27" s="87"/>
      <c r="F27" s="87"/>
      <c r="G27" s="87"/>
      <c r="H27" s="87"/>
      <c r="I27" s="87"/>
      <c r="J27" s="87"/>
      <c r="K27" s="87">
        <f t="shared" si="13"/>
        <v>0</v>
      </c>
      <c r="L27" s="14">
        <f t="shared" si="8"/>
        <v>0</v>
      </c>
      <c r="M27" s="84"/>
      <c r="N27" s="84"/>
      <c r="O27" s="84"/>
      <c r="P27" s="82"/>
      <c r="Q27" s="84"/>
      <c r="R27" s="84">
        <f t="shared" si="0"/>
        <v>0</v>
      </c>
      <c r="S27" s="84">
        <f t="shared" si="1"/>
        <v>0</v>
      </c>
      <c r="T27" s="84">
        <f t="shared" si="2"/>
        <v>0</v>
      </c>
      <c r="U27" s="84">
        <f t="shared" si="14"/>
        <v>0</v>
      </c>
      <c r="V27" s="84"/>
      <c r="W27" s="84">
        <v>0</v>
      </c>
      <c r="X27" s="87" t="s">
        <v>63</v>
      </c>
      <c r="Y27" s="88"/>
      <c r="Z27" s="5">
        <f t="shared" si="9"/>
        <v>0</v>
      </c>
      <c r="AA27" s="14">
        <f t="shared" si="6"/>
        <v>0</v>
      </c>
      <c r="AB27" s="88"/>
      <c r="AC27" s="88">
        <f t="shared" si="10"/>
        <v>0</v>
      </c>
      <c r="AD27" s="5">
        <f t="shared" si="3"/>
        <v>0</v>
      </c>
      <c r="AE27" s="84">
        <f t="shared" si="11"/>
        <v>0</v>
      </c>
      <c r="AF27" s="84"/>
      <c r="AG27" s="84"/>
      <c r="AH27" s="84"/>
      <c r="AI27" s="88">
        <f t="shared" si="15"/>
        <v>0</v>
      </c>
      <c r="AJ27" s="88"/>
      <c r="AK27" s="48">
        <f t="shared" si="7"/>
        <v>0</v>
      </c>
      <c r="AL27" s="90">
        <f t="shared" si="4"/>
        <v>0</v>
      </c>
      <c r="AM27" s="84">
        <f t="shared" si="12"/>
        <v>0</v>
      </c>
      <c r="AN27" s="5"/>
      <c r="AO27" s="78">
        <f t="shared" si="5"/>
        <v>0</v>
      </c>
    </row>
    <row r="28" spans="1:41" x14ac:dyDescent="0.25">
      <c r="A28" s="79">
        <v>44127</v>
      </c>
      <c r="B28" s="87"/>
      <c r="C28" s="87"/>
      <c r="D28" s="87"/>
      <c r="E28" s="87"/>
      <c r="F28" s="87"/>
      <c r="G28" s="87"/>
      <c r="H28" s="87"/>
      <c r="I28" s="87"/>
      <c r="J28" s="87"/>
      <c r="K28" s="87">
        <f t="shared" si="13"/>
        <v>0</v>
      </c>
      <c r="L28" s="14">
        <f t="shared" si="8"/>
        <v>0</v>
      </c>
      <c r="M28" s="84"/>
      <c r="N28" s="84"/>
      <c r="O28" s="84"/>
      <c r="P28" s="82"/>
      <c r="Q28" s="84"/>
      <c r="R28" s="84">
        <f t="shared" si="0"/>
        <v>0</v>
      </c>
      <c r="S28" s="84">
        <f t="shared" si="1"/>
        <v>0</v>
      </c>
      <c r="T28" s="84">
        <f t="shared" si="2"/>
        <v>0</v>
      </c>
      <c r="U28" s="84">
        <f t="shared" si="14"/>
        <v>0</v>
      </c>
      <c r="V28" s="84"/>
      <c r="W28" s="84">
        <v>0</v>
      </c>
      <c r="X28" s="87" t="s">
        <v>63</v>
      </c>
      <c r="Y28" s="88"/>
      <c r="Z28" s="5">
        <f t="shared" si="9"/>
        <v>0</v>
      </c>
      <c r="AA28" s="14">
        <f t="shared" si="6"/>
        <v>0</v>
      </c>
      <c r="AB28" s="88"/>
      <c r="AC28" s="88">
        <f t="shared" si="10"/>
        <v>0</v>
      </c>
      <c r="AD28" s="5">
        <f t="shared" si="3"/>
        <v>0</v>
      </c>
      <c r="AE28" s="84">
        <f t="shared" si="11"/>
        <v>0</v>
      </c>
      <c r="AF28" s="84"/>
      <c r="AG28" s="84"/>
      <c r="AH28" s="84"/>
      <c r="AI28" s="88">
        <f t="shared" si="15"/>
        <v>0</v>
      </c>
      <c r="AJ28" s="88"/>
      <c r="AK28" s="48">
        <f t="shared" si="7"/>
        <v>0</v>
      </c>
      <c r="AL28" s="90">
        <f t="shared" si="4"/>
        <v>0</v>
      </c>
      <c r="AM28" s="84">
        <f t="shared" si="12"/>
        <v>0</v>
      </c>
      <c r="AN28" s="5"/>
      <c r="AO28" s="78">
        <f t="shared" si="5"/>
        <v>0</v>
      </c>
    </row>
    <row r="29" spans="1:41" x14ac:dyDescent="0.25">
      <c r="A29" s="79">
        <v>44128</v>
      </c>
      <c r="B29" s="87"/>
      <c r="C29" s="87"/>
      <c r="D29" s="87"/>
      <c r="E29" s="87"/>
      <c r="F29" s="87"/>
      <c r="G29" s="87"/>
      <c r="H29" s="87"/>
      <c r="I29" s="87"/>
      <c r="J29" s="87"/>
      <c r="K29" s="87">
        <f t="shared" si="13"/>
        <v>0</v>
      </c>
      <c r="L29" s="14">
        <f t="shared" si="8"/>
        <v>0</v>
      </c>
      <c r="M29" s="84"/>
      <c r="N29" s="84"/>
      <c r="O29" s="84"/>
      <c r="P29" s="82"/>
      <c r="Q29" s="84"/>
      <c r="R29" s="84">
        <f t="shared" si="0"/>
        <v>0</v>
      </c>
      <c r="S29" s="84">
        <f t="shared" si="1"/>
        <v>0</v>
      </c>
      <c r="T29" s="84">
        <f t="shared" si="2"/>
        <v>0</v>
      </c>
      <c r="U29" s="84">
        <f t="shared" si="14"/>
        <v>0</v>
      </c>
      <c r="V29" s="84"/>
      <c r="W29" s="84">
        <v>0</v>
      </c>
      <c r="X29" s="87" t="s">
        <v>63</v>
      </c>
      <c r="Y29" s="88"/>
      <c r="Z29" s="5">
        <f t="shared" si="9"/>
        <v>0</v>
      </c>
      <c r="AA29" s="14">
        <f t="shared" si="6"/>
        <v>0</v>
      </c>
      <c r="AB29" s="88"/>
      <c r="AC29" s="88">
        <f t="shared" si="10"/>
        <v>0</v>
      </c>
      <c r="AD29" s="5">
        <f t="shared" si="3"/>
        <v>0</v>
      </c>
      <c r="AE29" s="84">
        <f t="shared" si="11"/>
        <v>0</v>
      </c>
      <c r="AF29" s="84"/>
      <c r="AG29" s="84"/>
      <c r="AH29" s="84"/>
      <c r="AI29" s="88">
        <f t="shared" si="15"/>
        <v>0</v>
      </c>
      <c r="AJ29" s="88"/>
      <c r="AK29" s="48">
        <f t="shared" si="7"/>
        <v>0</v>
      </c>
      <c r="AL29" s="90">
        <f t="shared" si="4"/>
        <v>0</v>
      </c>
      <c r="AM29" s="84">
        <f t="shared" si="12"/>
        <v>0</v>
      </c>
      <c r="AN29" s="5"/>
      <c r="AO29" s="78">
        <f t="shared" si="5"/>
        <v>0</v>
      </c>
    </row>
    <row r="30" spans="1:41" x14ac:dyDescent="0.25">
      <c r="A30" s="79">
        <v>44129</v>
      </c>
      <c r="B30" s="87"/>
      <c r="C30" s="87"/>
      <c r="D30" s="87"/>
      <c r="E30" s="87"/>
      <c r="F30" s="87"/>
      <c r="G30" s="87"/>
      <c r="H30" s="87"/>
      <c r="I30" s="87"/>
      <c r="J30" s="87"/>
      <c r="K30" s="87">
        <f t="shared" si="13"/>
        <v>0</v>
      </c>
      <c r="L30" s="14">
        <f t="shared" si="8"/>
        <v>0</v>
      </c>
      <c r="M30" s="84"/>
      <c r="N30" s="84"/>
      <c r="O30" s="84"/>
      <c r="P30" s="82"/>
      <c r="Q30" s="84"/>
      <c r="R30" s="84">
        <f t="shared" si="0"/>
        <v>0</v>
      </c>
      <c r="S30" s="84">
        <f t="shared" si="1"/>
        <v>0</v>
      </c>
      <c r="T30" s="84">
        <f t="shared" si="2"/>
        <v>0</v>
      </c>
      <c r="U30" s="84">
        <f t="shared" si="14"/>
        <v>0</v>
      </c>
      <c r="V30" s="84"/>
      <c r="W30" s="84">
        <v>0</v>
      </c>
      <c r="X30" s="87" t="s">
        <v>63</v>
      </c>
      <c r="Y30" s="88"/>
      <c r="Z30" s="5">
        <f t="shared" si="9"/>
        <v>0</v>
      </c>
      <c r="AA30" s="14">
        <f t="shared" si="6"/>
        <v>0</v>
      </c>
      <c r="AB30" s="88"/>
      <c r="AC30" s="88">
        <f t="shared" si="10"/>
        <v>0</v>
      </c>
      <c r="AD30" s="5">
        <f t="shared" si="3"/>
        <v>0</v>
      </c>
      <c r="AE30" s="84">
        <f t="shared" si="11"/>
        <v>0</v>
      </c>
      <c r="AF30" s="84"/>
      <c r="AG30" s="84"/>
      <c r="AH30" s="84"/>
      <c r="AI30" s="88">
        <f t="shared" si="15"/>
        <v>0</v>
      </c>
      <c r="AJ30" s="88"/>
      <c r="AK30" s="48">
        <f t="shared" si="7"/>
        <v>0</v>
      </c>
      <c r="AL30" s="90">
        <f t="shared" si="4"/>
        <v>0</v>
      </c>
      <c r="AM30" s="84">
        <f t="shared" si="12"/>
        <v>0</v>
      </c>
      <c r="AN30" s="5"/>
      <c r="AO30" s="78">
        <f t="shared" si="5"/>
        <v>0</v>
      </c>
    </row>
    <row r="31" spans="1:41" x14ac:dyDescent="0.25">
      <c r="A31" s="79">
        <v>44130</v>
      </c>
      <c r="B31" s="87"/>
      <c r="C31" s="87"/>
      <c r="D31" s="87"/>
      <c r="E31" s="87"/>
      <c r="F31" s="87"/>
      <c r="G31" s="87"/>
      <c r="H31" s="87"/>
      <c r="I31" s="87"/>
      <c r="J31" s="87"/>
      <c r="K31" s="87">
        <f t="shared" si="13"/>
        <v>0</v>
      </c>
      <c r="L31" s="14">
        <f t="shared" si="8"/>
        <v>0</v>
      </c>
      <c r="M31" s="84"/>
      <c r="N31" s="84"/>
      <c r="O31" s="84"/>
      <c r="P31" s="82"/>
      <c r="Q31" s="84"/>
      <c r="R31" s="84">
        <f t="shared" si="0"/>
        <v>0</v>
      </c>
      <c r="S31" s="84">
        <f t="shared" si="1"/>
        <v>0</v>
      </c>
      <c r="T31" s="84">
        <f t="shared" si="2"/>
        <v>0</v>
      </c>
      <c r="U31" s="84">
        <f t="shared" si="14"/>
        <v>0</v>
      </c>
      <c r="V31" s="84"/>
      <c r="W31" s="84">
        <v>0</v>
      </c>
      <c r="X31" s="87" t="s">
        <v>63</v>
      </c>
      <c r="Y31" s="88"/>
      <c r="Z31" s="5">
        <f t="shared" si="9"/>
        <v>0</v>
      </c>
      <c r="AA31" s="14">
        <f t="shared" si="6"/>
        <v>0</v>
      </c>
      <c r="AB31" s="88"/>
      <c r="AC31" s="88">
        <f t="shared" si="10"/>
        <v>0</v>
      </c>
      <c r="AD31" s="5">
        <f t="shared" si="3"/>
        <v>0</v>
      </c>
      <c r="AE31" s="84">
        <f t="shared" si="11"/>
        <v>0</v>
      </c>
      <c r="AF31" s="84"/>
      <c r="AG31" s="84"/>
      <c r="AH31" s="84"/>
      <c r="AI31" s="88">
        <f t="shared" si="15"/>
        <v>0</v>
      </c>
      <c r="AJ31" s="88"/>
      <c r="AK31" s="48">
        <f t="shared" si="7"/>
        <v>0</v>
      </c>
      <c r="AL31" s="90">
        <f t="shared" si="4"/>
        <v>0</v>
      </c>
      <c r="AM31" s="84">
        <f t="shared" si="12"/>
        <v>0</v>
      </c>
      <c r="AN31" s="5"/>
      <c r="AO31" s="78">
        <f t="shared" si="5"/>
        <v>0</v>
      </c>
    </row>
    <row r="32" spans="1:41" x14ac:dyDescent="0.25">
      <c r="A32" s="79">
        <v>44131</v>
      </c>
      <c r="B32" s="87"/>
      <c r="C32" s="87"/>
      <c r="D32" s="87"/>
      <c r="E32" s="87"/>
      <c r="F32" s="87"/>
      <c r="G32" s="87"/>
      <c r="H32" s="87"/>
      <c r="I32" s="87"/>
      <c r="J32" s="87"/>
      <c r="K32" s="87">
        <f t="shared" si="13"/>
        <v>0</v>
      </c>
      <c r="L32" s="14">
        <f t="shared" si="8"/>
        <v>0</v>
      </c>
      <c r="M32" s="84"/>
      <c r="N32" s="84"/>
      <c r="O32" s="84"/>
      <c r="P32" s="82"/>
      <c r="Q32" s="84"/>
      <c r="R32" s="84">
        <f t="shared" si="0"/>
        <v>0</v>
      </c>
      <c r="S32" s="84">
        <f t="shared" si="1"/>
        <v>0</v>
      </c>
      <c r="T32" s="84">
        <f t="shared" si="2"/>
        <v>0</v>
      </c>
      <c r="U32" s="84">
        <f t="shared" si="14"/>
        <v>0</v>
      </c>
      <c r="V32" s="84"/>
      <c r="W32" s="84">
        <v>0</v>
      </c>
      <c r="X32" s="87" t="s">
        <v>63</v>
      </c>
      <c r="Y32" s="88"/>
      <c r="Z32" s="5">
        <f t="shared" si="9"/>
        <v>0</v>
      </c>
      <c r="AA32" s="14">
        <f t="shared" si="6"/>
        <v>0</v>
      </c>
      <c r="AB32" s="88"/>
      <c r="AC32" s="88">
        <f t="shared" si="10"/>
        <v>0</v>
      </c>
      <c r="AD32" s="5">
        <f t="shared" si="3"/>
        <v>0</v>
      </c>
      <c r="AE32" s="84">
        <f t="shared" si="11"/>
        <v>0</v>
      </c>
      <c r="AF32" s="84"/>
      <c r="AG32" s="84"/>
      <c r="AH32" s="84"/>
      <c r="AI32" s="88">
        <f t="shared" si="15"/>
        <v>0</v>
      </c>
      <c r="AJ32" s="88"/>
      <c r="AK32" s="48">
        <f t="shared" si="7"/>
        <v>0</v>
      </c>
      <c r="AL32" s="90">
        <f t="shared" si="4"/>
        <v>0</v>
      </c>
      <c r="AM32" s="84">
        <f t="shared" si="12"/>
        <v>0</v>
      </c>
      <c r="AN32" s="5"/>
      <c r="AO32" s="78">
        <f t="shared" si="5"/>
        <v>0</v>
      </c>
    </row>
    <row r="33" spans="1:41" x14ac:dyDescent="0.25">
      <c r="A33" s="79">
        <v>44132</v>
      </c>
      <c r="B33" s="87"/>
      <c r="C33" s="87"/>
      <c r="D33" s="87"/>
      <c r="E33" s="87"/>
      <c r="F33" s="87"/>
      <c r="G33" s="87"/>
      <c r="H33" s="87"/>
      <c r="I33" s="87"/>
      <c r="J33" s="87"/>
      <c r="K33" s="87">
        <f t="shared" si="13"/>
        <v>0</v>
      </c>
      <c r="L33" s="14">
        <f t="shared" si="8"/>
        <v>0</v>
      </c>
      <c r="M33" s="84"/>
      <c r="N33" s="84"/>
      <c r="O33" s="84"/>
      <c r="P33" s="82"/>
      <c r="Q33" s="84"/>
      <c r="R33" s="84">
        <f t="shared" si="0"/>
        <v>0</v>
      </c>
      <c r="S33" s="84">
        <f t="shared" si="1"/>
        <v>0</v>
      </c>
      <c r="T33" s="84">
        <f t="shared" si="2"/>
        <v>0</v>
      </c>
      <c r="U33" s="84">
        <f t="shared" si="14"/>
        <v>0</v>
      </c>
      <c r="V33" s="84"/>
      <c r="W33" s="84">
        <v>0</v>
      </c>
      <c r="X33" s="87" t="s">
        <v>63</v>
      </c>
      <c r="Y33" s="88"/>
      <c r="Z33" s="5">
        <f t="shared" si="9"/>
        <v>0</v>
      </c>
      <c r="AA33" s="14">
        <f t="shared" si="6"/>
        <v>0</v>
      </c>
      <c r="AB33" s="88"/>
      <c r="AC33" s="88">
        <f t="shared" si="10"/>
        <v>0</v>
      </c>
      <c r="AD33" s="5">
        <f t="shared" si="3"/>
        <v>0</v>
      </c>
      <c r="AE33" s="84">
        <f t="shared" si="11"/>
        <v>0</v>
      </c>
      <c r="AF33" s="84"/>
      <c r="AG33" s="84"/>
      <c r="AH33" s="84"/>
      <c r="AI33" s="88">
        <f t="shared" si="15"/>
        <v>0</v>
      </c>
      <c r="AJ33" s="88"/>
      <c r="AK33" s="48">
        <f t="shared" si="7"/>
        <v>0</v>
      </c>
      <c r="AL33" s="90">
        <f t="shared" si="4"/>
        <v>0</v>
      </c>
      <c r="AM33" s="84">
        <f t="shared" si="12"/>
        <v>0</v>
      </c>
      <c r="AN33" s="5"/>
      <c r="AO33" s="78">
        <f t="shared" si="5"/>
        <v>0</v>
      </c>
    </row>
    <row r="34" spans="1:41" x14ac:dyDescent="0.25">
      <c r="A34" s="79">
        <v>44133</v>
      </c>
      <c r="B34" s="87"/>
      <c r="C34" s="87"/>
      <c r="D34" s="87"/>
      <c r="E34" s="87"/>
      <c r="F34" s="87"/>
      <c r="G34" s="87"/>
      <c r="H34" s="87"/>
      <c r="I34" s="87"/>
      <c r="J34" s="87"/>
      <c r="K34" s="87">
        <f t="shared" si="13"/>
        <v>0</v>
      </c>
      <c r="L34" s="14">
        <f t="shared" si="8"/>
        <v>0</v>
      </c>
      <c r="M34" s="84"/>
      <c r="N34" s="84"/>
      <c r="O34" s="84"/>
      <c r="P34" s="82"/>
      <c r="Q34" s="84"/>
      <c r="R34" s="84">
        <f t="shared" si="0"/>
        <v>0</v>
      </c>
      <c r="S34" s="84">
        <f t="shared" si="1"/>
        <v>0</v>
      </c>
      <c r="T34" s="84">
        <f t="shared" si="2"/>
        <v>0</v>
      </c>
      <c r="U34" s="84">
        <f t="shared" si="14"/>
        <v>0</v>
      </c>
      <c r="V34" s="84"/>
      <c r="W34" s="84">
        <v>0</v>
      </c>
      <c r="X34" s="87" t="s">
        <v>63</v>
      </c>
      <c r="Y34" s="88"/>
      <c r="Z34" s="5">
        <f t="shared" si="9"/>
        <v>0</v>
      </c>
      <c r="AA34" s="14">
        <f t="shared" si="6"/>
        <v>0</v>
      </c>
      <c r="AB34" s="88"/>
      <c r="AC34" s="88">
        <f t="shared" si="10"/>
        <v>0</v>
      </c>
      <c r="AD34" s="5">
        <f t="shared" si="3"/>
        <v>0</v>
      </c>
      <c r="AE34" s="84">
        <f t="shared" si="11"/>
        <v>0</v>
      </c>
      <c r="AF34" s="84"/>
      <c r="AG34" s="84"/>
      <c r="AH34" s="84"/>
      <c r="AI34" s="88">
        <f t="shared" si="15"/>
        <v>0</v>
      </c>
      <c r="AJ34" s="88"/>
      <c r="AK34" s="48">
        <f t="shared" si="7"/>
        <v>0</v>
      </c>
      <c r="AL34" s="90">
        <f t="shared" si="4"/>
        <v>0</v>
      </c>
      <c r="AM34" s="84">
        <f t="shared" si="12"/>
        <v>0</v>
      </c>
      <c r="AN34" s="5"/>
      <c r="AO34" s="78">
        <f t="shared" si="5"/>
        <v>0</v>
      </c>
    </row>
    <row r="35" spans="1:41" x14ac:dyDescent="0.25">
      <c r="A35" s="79">
        <v>44134</v>
      </c>
      <c r="B35" s="87"/>
      <c r="C35" s="87"/>
      <c r="D35" s="87"/>
      <c r="E35" s="87"/>
      <c r="F35" s="87"/>
      <c r="G35" s="87"/>
      <c r="H35" s="87"/>
      <c r="I35" s="87"/>
      <c r="J35" s="87"/>
      <c r="K35" s="87">
        <f t="shared" ref="K35:K36" si="16">SUM(B35:H35)</f>
        <v>0</v>
      </c>
      <c r="L35" s="14">
        <f t="shared" ref="L35:L36" si="17">K35*0.2</f>
        <v>0</v>
      </c>
      <c r="M35" s="84"/>
      <c r="N35" s="84"/>
      <c r="O35" s="84"/>
      <c r="P35" s="82"/>
      <c r="Q35" s="84"/>
      <c r="R35" s="84">
        <f t="shared" ref="R35:R36" si="18">N35+O35+P35</f>
        <v>0</v>
      </c>
      <c r="S35" s="84">
        <f t="shared" ref="S35:S36" si="19">(N35+O35+P35)*7.84</f>
        <v>0</v>
      </c>
      <c r="T35" s="84">
        <f t="shared" ref="T35:T36" si="20">M35+Q35</f>
        <v>0</v>
      </c>
      <c r="U35" s="84">
        <f t="shared" ref="U35:U36" si="21">T35*7.84</f>
        <v>0</v>
      </c>
      <c r="V35" s="84"/>
      <c r="W35" s="84">
        <v>0</v>
      </c>
      <c r="X35" s="87" t="s">
        <v>103</v>
      </c>
      <c r="Y35" s="88"/>
      <c r="Z35" s="5">
        <f t="shared" ref="Z35:Z36" si="22">IF((Y35-Y34&lt;0), "0",Y35-Y34)</f>
        <v>0</v>
      </c>
      <c r="AA35" s="14">
        <f t="shared" ref="AA35:AA36" si="23">Z35*6.47</f>
        <v>0</v>
      </c>
      <c r="AB35" s="88"/>
      <c r="AC35" s="88">
        <f t="shared" si="10"/>
        <v>0</v>
      </c>
      <c r="AD35" s="5">
        <f t="shared" si="3"/>
        <v>0</v>
      </c>
      <c r="AE35" s="84">
        <f t="shared" si="11"/>
        <v>0</v>
      </c>
      <c r="AF35" s="84"/>
      <c r="AG35" s="84"/>
      <c r="AH35" s="84"/>
      <c r="AI35" s="88">
        <f t="shared" si="15"/>
        <v>0</v>
      </c>
      <c r="AJ35" s="88"/>
      <c r="AK35" s="48">
        <f t="shared" ref="AK35:AK36" si="24">IF((AJ35-AI35)&lt;0, "0",AJ35-AI35)</f>
        <v>0</v>
      </c>
      <c r="AL35" s="90">
        <f t="shared" ref="AL35:AL36" si="25">AK35*(284.34513609)</f>
        <v>0</v>
      </c>
      <c r="AM35" s="84">
        <f t="shared" ref="AM35:AM36" si="26">AL35*0.333415</f>
        <v>0</v>
      </c>
      <c r="AN35" s="5"/>
      <c r="AO35" s="78">
        <f t="shared" ref="AO35" si="27">L35+U35+AA35+AE35</f>
        <v>0</v>
      </c>
    </row>
    <row r="36" spans="1:41" ht="21.75" thickBot="1" x14ac:dyDescent="0.3">
      <c r="A36" s="92">
        <v>44135</v>
      </c>
      <c r="B36" s="93"/>
      <c r="C36" s="93"/>
      <c r="D36" s="93"/>
      <c r="E36" s="93"/>
      <c r="F36" s="93"/>
      <c r="G36" s="93"/>
      <c r="H36" s="93"/>
      <c r="I36" s="93"/>
      <c r="J36" s="93"/>
      <c r="K36" s="93">
        <f t="shared" si="16"/>
        <v>0</v>
      </c>
      <c r="L36" s="94">
        <f t="shared" si="17"/>
        <v>0</v>
      </c>
      <c r="M36" s="95"/>
      <c r="N36" s="95"/>
      <c r="O36" s="95"/>
      <c r="P36" s="96"/>
      <c r="Q36" s="95"/>
      <c r="R36" s="95">
        <f t="shared" si="18"/>
        <v>0</v>
      </c>
      <c r="S36" s="95">
        <f t="shared" si="19"/>
        <v>0</v>
      </c>
      <c r="T36" s="95">
        <f t="shared" si="20"/>
        <v>0</v>
      </c>
      <c r="U36" s="95">
        <f t="shared" si="21"/>
        <v>0</v>
      </c>
      <c r="V36" s="95"/>
      <c r="W36" s="95">
        <v>0</v>
      </c>
      <c r="X36" s="93" t="s">
        <v>104</v>
      </c>
      <c r="Y36" s="98"/>
      <c r="Z36" s="97">
        <f t="shared" si="22"/>
        <v>0</v>
      </c>
      <c r="AA36" s="94">
        <f t="shared" si="23"/>
        <v>0</v>
      </c>
      <c r="AB36" s="98"/>
      <c r="AC36" s="98">
        <f t="shared" si="10"/>
        <v>0</v>
      </c>
      <c r="AD36" s="97">
        <f t="shared" si="3"/>
        <v>0</v>
      </c>
      <c r="AE36" s="95">
        <f t="shared" si="11"/>
        <v>0</v>
      </c>
      <c r="AF36" s="95"/>
      <c r="AG36" s="95"/>
      <c r="AH36" s="95"/>
      <c r="AI36" s="98">
        <f t="shared" si="15"/>
        <v>0</v>
      </c>
      <c r="AJ36" s="98"/>
      <c r="AK36" s="99">
        <f t="shared" si="24"/>
        <v>0</v>
      </c>
      <c r="AL36" s="100">
        <f t="shared" si="25"/>
        <v>0</v>
      </c>
      <c r="AM36" s="95">
        <f t="shared" si="26"/>
        <v>0</v>
      </c>
      <c r="AN36" s="97"/>
      <c r="AO36" s="101">
        <f>L36+U36+AA36+AE36</f>
        <v>0</v>
      </c>
    </row>
    <row r="37" spans="1:41" x14ac:dyDescent="0.25">
      <c r="A37" s="76"/>
      <c r="D37" s="6">
        <f>SUM(D6:D36)</f>
        <v>9928</v>
      </c>
      <c r="E37" s="6" t="s">
        <v>93</v>
      </c>
      <c r="G37" s="6">
        <f t="shared" ref="G37:L37" si="28">SUM(G6:G36)</f>
        <v>31200</v>
      </c>
      <c r="H37" s="6">
        <f t="shared" si="28"/>
        <v>69925</v>
      </c>
      <c r="I37" s="6">
        <f t="shared" si="28"/>
        <v>27955</v>
      </c>
      <c r="J37" s="6">
        <f t="shared" si="28"/>
        <v>80521</v>
      </c>
      <c r="K37" s="6">
        <f t="shared" si="28"/>
        <v>312014</v>
      </c>
      <c r="L37" s="15">
        <f t="shared" si="28"/>
        <v>62402.8</v>
      </c>
      <c r="R37" s="16">
        <f>SUM(R6:R36)</f>
        <v>874.49299999999994</v>
      </c>
      <c r="T37" s="16">
        <f>SUM(T6:T36)</f>
        <v>1348.2550000000003</v>
      </c>
      <c r="U37" s="16">
        <f t="shared" si="14"/>
        <v>10570.319200000002</v>
      </c>
      <c r="Z37" s="17">
        <f>SUM(Z6:Z36)</f>
        <v>4919.6999999999534</v>
      </c>
      <c r="AA37" s="17">
        <f>SUM(AA6:AA36)</f>
        <v>31830.458999999697</v>
      </c>
      <c r="AD37" s="17">
        <f>SUM(AD6:AD36)</f>
        <v>296079</v>
      </c>
      <c r="AE37" s="16">
        <f>AD37*0.334569</f>
        <v>99058.854951000001</v>
      </c>
      <c r="AF37" s="16">
        <f>SUM(AF6:AF36)</f>
        <v>488</v>
      </c>
      <c r="AG37" s="16">
        <f>SUM(AG6:AG36)</f>
        <v>352.40000000000003</v>
      </c>
      <c r="AH37" s="16">
        <f>SUM(AH6:AH36)</f>
        <v>165.39999999999998</v>
      </c>
      <c r="AK37" s="42">
        <f>SUM(AK6:AK36)</f>
        <v>272.19999999999709</v>
      </c>
      <c r="AL37" s="42">
        <f>SUM(AL6:AL36)</f>
        <v>77398.746043697174</v>
      </c>
      <c r="AM37" s="42">
        <f>SUM(AM6:AM36)</f>
        <v>25805.902912159294</v>
      </c>
      <c r="AN37" s="42">
        <f>SUM(AN6:AN36)</f>
        <v>608</v>
      </c>
      <c r="AO37" s="42">
        <f>SUM(AO6:AO36)</f>
        <v>203520.75798499974</v>
      </c>
    </row>
    <row r="38" spans="1:41" x14ac:dyDescent="0.25">
      <c r="D38" s="6" t="e">
        <f>#REF!*24</f>
        <v>#REF!</v>
      </c>
      <c r="E38" s="6" t="s">
        <v>1</v>
      </c>
      <c r="R38" s="16">
        <v>7.84</v>
      </c>
      <c r="T38" s="16" t="s">
        <v>99</v>
      </c>
      <c r="U38" s="16">
        <f>U37-R39</f>
        <v>3714.2940800000024</v>
      </c>
    </row>
    <row r="39" spans="1:41" x14ac:dyDescent="0.25">
      <c r="D39" s="6" t="e">
        <f>D38*31</f>
        <v>#REF!</v>
      </c>
      <c r="E39" s="6" t="s">
        <v>2</v>
      </c>
      <c r="F39" s="6" t="s">
        <v>94</v>
      </c>
      <c r="G39" s="6" t="e">
        <f>D39*0.2</f>
        <v>#REF!</v>
      </c>
      <c r="R39" s="16">
        <f>R37*R38</f>
        <v>6856.0251199999993</v>
      </c>
      <c r="U39" s="16">
        <f>U38/R38</f>
        <v>473.76200000000034</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2020-10-12T11:43:48Z</dcterms:modified>
</cp:coreProperties>
</file>