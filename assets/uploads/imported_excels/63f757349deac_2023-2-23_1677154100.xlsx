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16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xr:revisionPtr revIDLastSave="49" documentId="11_D879BFF68D7A653BD56BD55A37AF1C0E725219D0" xr6:coauthVersionLast="47" xr6:coauthVersionMax="47" xr10:uidLastSave="{70474EB9-C5C1-4F57-8C94-F3B72A127AB7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January 2018" sheetId="14" r:id="rId2"/>
    <sheet name="RNs &amp; Covers January 2018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14" l="1"/>
  <c r="C47" i="14"/>
  <c r="AB12" i="14"/>
  <c r="AB13" i="14"/>
  <c r="AB14" i="14"/>
  <c r="AB15" i="14"/>
  <c r="H5" i="11" s="1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I12" i="14" l="1"/>
  <c r="N12" i="14"/>
  <c r="O12" i="14" s="1"/>
  <c r="P12" i="14"/>
  <c r="Q12" i="14"/>
  <c r="W12" i="14"/>
  <c r="I13" i="14"/>
  <c r="N13" i="14"/>
  <c r="O13" i="14" s="1"/>
  <c r="P13" i="14"/>
  <c r="Q13" i="14"/>
  <c r="V13" i="14"/>
  <c r="W13" i="14" s="1"/>
  <c r="C38" i="10" l="1"/>
  <c r="B38" i="10"/>
  <c r="AD40" i="14"/>
  <c r="AD41" i="14"/>
  <c r="AD42" i="14"/>
  <c r="AG40" i="14"/>
  <c r="AG41" i="14"/>
  <c r="AG42" i="14"/>
  <c r="V40" i="14"/>
  <c r="W40" i="14" s="1"/>
  <c r="V41" i="14"/>
  <c r="W41" i="14" s="1"/>
  <c r="V42" i="14"/>
  <c r="W42" i="14" s="1"/>
  <c r="Q40" i="14"/>
  <c r="Q41" i="14"/>
  <c r="Q42" i="14"/>
  <c r="N40" i="14"/>
  <c r="P40" i="14"/>
  <c r="N41" i="14"/>
  <c r="P41" i="14"/>
  <c r="N42" i="14"/>
  <c r="P42" i="14"/>
  <c r="I40" i="14"/>
  <c r="I41" i="14"/>
  <c r="I42" i="14"/>
  <c r="O42" i="14" l="1"/>
  <c r="F32" i="11" s="1"/>
  <c r="O41" i="14"/>
  <c r="O40" i="14"/>
  <c r="E30" i="11"/>
  <c r="F30" i="11"/>
  <c r="G30" i="11"/>
  <c r="H30" i="11"/>
  <c r="I30" i="11"/>
  <c r="J30" i="11"/>
  <c r="K30" i="11"/>
  <c r="L30" i="11"/>
  <c r="E31" i="11"/>
  <c r="F31" i="11"/>
  <c r="G31" i="11"/>
  <c r="H31" i="11"/>
  <c r="I31" i="11"/>
  <c r="J31" i="11"/>
  <c r="K31" i="11"/>
  <c r="L31" i="11"/>
  <c r="E32" i="11"/>
  <c r="G32" i="11"/>
  <c r="H32" i="11"/>
  <c r="I32" i="11"/>
  <c r="J32" i="11"/>
  <c r="K32" i="11"/>
  <c r="L32" i="11"/>
  <c r="Q33" i="14" l="1"/>
  <c r="Q34" i="14"/>
  <c r="Q35" i="14"/>
  <c r="Q36" i="14"/>
  <c r="Q37" i="14"/>
  <c r="Q38" i="14"/>
  <c r="Q39" i="14"/>
  <c r="Q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G31" i="14" l="1"/>
  <c r="AG32" i="14"/>
  <c r="AG33" i="14"/>
  <c r="AG34" i="14"/>
  <c r="AG35" i="14"/>
  <c r="AG36" i="14"/>
  <c r="AG37" i="14"/>
  <c r="AG38" i="14"/>
  <c r="AG39" i="14"/>
  <c r="AD31" i="14"/>
  <c r="AD32" i="14"/>
  <c r="AD33" i="14"/>
  <c r="AD34" i="14"/>
  <c r="AD35" i="14"/>
  <c r="AD36" i="14"/>
  <c r="AD37" i="14"/>
  <c r="AD38" i="14"/>
  <c r="AD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V31" i="14"/>
  <c r="V32" i="14"/>
  <c r="V33" i="14"/>
  <c r="V34" i="14"/>
  <c r="V35" i="14"/>
  <c r="V36" i="14"/>
  <c r="V37" i="14"/>
  <c r="V38" i="14"/>
  <c r="V39" i="14"/>
  <c r="Q31" i="14"/>
  <c r="K21" i="11" s="1"/>
  <c r="Q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O37" i="14" s="1"/>
  <c r="I36" i="14"/>
  <c r="I35" i="14"/>
  <c r="I34" i="14"/>
  <c r="I33" i="14"/>
  <c r="I32" i="14"/>
  <c r="I31" i="14"/>
  <c r="O35" i="14" l="1"/>
  <c r="O32" i="14"/>
  <c r="O39" i="14"/>
  <c r="O33" i="14"/>
  <c r="O34" i="14"/>
  <c r="O36" i="14"/>
  <c r="O38" i="14"/>
  <c r="O31" i="14"/>
  <c r="L29" i="11"/>
  <c r="W39" i="14"/>
  <c r="L27" i="11"/>
  <c r="W37" i="14"/>
  <c r="L25" i="11"/>
  <c r="W35" i="14"/>
  <c r="L23" i="11"/>
  <c r="W33" i="14"/>
  <c r="L21" i="11"/>
  <c r="W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W38" i="14"/>
  <c r="L26" i="11"/>
  <c r="W36" i="14"/>
  <c r="L24" i="11"/>
  <c r="W34" i="14"/>
  <c r="L22" i="11"/>
  <c r="W32" i="14"/>
  <c r="E21" i="11" l="1"/>
  <c r="E22" i="11"/>
  <c r="F28" i="11"/>
  <c r="F26" i="11"/>
  <c r="F24" i="11"/>
  <c r="F22" i="11"/>
  <c r="F29" i="11"/>
  <c r="F27" i="11"/>
  <c r="F25" i="11"/>
  <c r="F23" i="11"/>
  <c r="F21" i="11"/>
  <c r="Q30" i="14" l="1"/>
  <c r="Q29" i="14"/>
  <c r="Q28" i="14"/>
  <c r="Q27" i="14"/>
  <c r="Q26" i="14"/>
  <c r="Q25" i="14"/>
  <c r="Q23" i="14"/>
  <c r="Q22" i="14"/>
  <c r="Q21" i="14"/>
  <c r="Q20" i="14"/>
  <c r="Q19" i="14"/>
  <c r="Q18" i="14"/>
  <c r="Q17" i="14"/>
  <c r="Q16" i="14"/>
  <c r="Q15" i="14"/>
  <c r="Q14" i="14"/>
  <c r="AE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Y47" i="14"/>
  <c r="D47" i="14"/>
  <c r="Z47" i="14"/>
  <c r="J20" i="11"/>
  <c r="N30" i="14"/>
  <c r="I30" i="14"/>
  <c r="AG29" i="14"/>
  <c r="N29" i="14"/>
  <c r="I29" i="14"/>
  <c r="AG28" i="14"/>
  <c r="N28" i="14"/>
  <c r="I28" i="14"/>
  <c r="N27" i="14"/>
  <c r="I27" i="14"/>
  <c r="AG26" i="14"/>
  <c r="AD26" i="14"/>
  <c r="I26" i="14"/>
  <c r="AG25" i="14"/>
  <c r="I15" i="11"/>
  <c r="N25" i="14"/>
  <c r="P25" i="14"/>
  <c r="AG24" i="14"/>
  <c r="K14" i="11"/>
  <c r="N24" i="14"/>
  <c r="I24" i="14"/>
  <c r="AG23" i="14"/>
  <c r="P23" i="14"/>
  <c r="N23" i="14"/>
  <c r="N22" i="14"/>
  <c r="I22" i="14"/>
  <c r="P21" i="14"/>
  <c r="N21" i="14"/>
  <c r="AG20" i="14"/>
  <c r="V20" i="14"/>
  <c r="W20" i="14" s="1"/>
  <c r="N20" i="14"/>
  <c r="I20" i="14"/>
  <c r="I9" i="11"/>
  <c r="V19" i="14"/>
  <c r="W19" i="14" s="1"/>
  <c r="N19" i="14"/>
  <c r="AG18" i="14"/>
  <c r="P18" i="14"/>
  <c r="I18" i="14"/>
  <c r="AG17" i="14"/>
  <c r="I7" i="11"/>
  <c r="P17" i="14"/>
  <c r="N17" i="14"/>
  <c r="AG16" i="14"/>
  <c r="K6" i="11"/>
  <c r="N16" i="14"/>
  <c r="I16" i="14"/>
  <c r="AG15" i="14"/>
  <c r="P15" i="14"/>
  <c r="N15" i="14"/>
  <c r="N14" i="14"/>
  <c r="AG13" i="14"/>
  <c r="K2" i="11"/>
  <c r="H11" i="11" l="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D22" i="14"/>
  <c r="H12" i="11"/>
  <c r="AD24" i="14"/>
  <c r="H14" i="11"/>
  <c r="AD25" i="14"/>
  <c r="H15" i="11"/>
  <c r="G16" i="11"/>
  <c r="H16" i="11"/>
  <c r="AD28" i="14"/>
  <c r="H18" i="11"/>
  <c r="AD29" i="14"/>
  <c r="H19" i="11"/>
  <c r="AD30" i="14"/>
  <c r="H20" i="11"/>
  <c r="AD14" i="14"/>
  <c r="H4" i="11"/>
  <c r="AD16" i="14"/>
  <c r="H6" i="11"/>
  <c r="AD20" i="14"/>
  <c r="H10" i="11"/>
  <c r="AD27" i="14"/>
  <c r="H17" i="11"/>
  <c r="O29" i="14"/>
  <c r="O27" i="14"/>
  <c r="G20" i="11"/>
  <c r="O20" i="14"/>
  <c r="O30" i="14"/>
  <c r="G15" i="11"/>
  <c r="G14" i="11"/>
  <c r="O28" i="14"/>
  <c r="J13" i="11"/>
  <c r="J14" i="11"/>
  <c r="AG30" i="14"/>
  <c r="J6" i="11"/>
  <c r="J5" i="11"/>
  <c r="G7" i="11"/>
  <c r="G11" i="11"/>
  <c r="AG27" i="14"/>
  <c r="J17" i="11"/>
  <c r="G13" i="11"/>
  <c r="J4" i="11"/>
  <c r="AG14" i="14"/>
  <c r="G5" i="11"/>
  <c r="G3" i="11"/>
  <c r="AG21" i="14"/>
  <c r="J11" i="11"/>
  <c r="J12" i="11"/>
  <c r="AG22" i="14"/>
  <c r="J47" i="14"/>
  <c r="G47" i="14"/>
  <c r="R47" i="14"/>
  <c r="V15" i="14"/>
  <c r="V17" i="14"/>
  <c r="V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V29" i="14"/>
  <c r="G19" i="11"/>
  <c r="I17" i="11"/>
  <c r="K15" i="11"/>
  <c r="K7" i="11"/>
  <c r="L10" i="11"/>
  <c r="AA47" i="14"/>
  <c r="I10" i="11"/>
  <c r="M47" i="14"/>
  <c r="P16" i="14"/>
  <c r="I17" i="14"/>
  <c r="N18" i="14"/>
  <c r="O18" i="14" s="1"/>
  <c r="I21" i="14"/>
  <c r="O21" i="14" s="1"/>
  <c r="V27" i="14"/>
  <c r="G18" i="11"/>
  <c r="G10" i="11"/>
  <c r="I16" i="11"/>
  <c r="I8" i="11"/>
  <c r="J19" i="11"/>
  <c r="J3" i="11"/>
  <c r="L9" i="11"/>
  <c r="K47" i="14"/>
  <c r="O22" i="14"/>
  <c r="V24" i="14"/>
  <c r="P26" i="14"/>
  <c r="E47" i="14"/>
  <c r="I15" i="14"/>
  <c r="O15" i="14" s="1"/>
  <c r="O16" i="14"/>
  <c r="P19" i="14"/>
  <c r="V21" i="14"/>
  <c r="I23" i="14"/>
  <c r="O23" i="14" s="1"/>
  <c r="P28" i="14"/>
  <c r="G17" i="11"/>
  <c r="J18" i="11"/>
  <c r="J10" i="11"/>
  <c r="K13" i="11"/>
  <c r="K5" i="11"/>
  <c r="V25" i="14"/>
  <c r="F47" i="14"/>
  <c r="Q47" i="14"/>
  <c r="I14" i="14"/>
  <c r="O14" i="14" s="1"/>
  <c r="V14" i="14"/>
  <c r="P24" i="14"/>
  <c r="I25" i="14"/>
  <c r="O25" i="14" s="1"/>
  <c r="N26" i="14"/>
  <c r="O26" i="14" s="1"/>
  <c r="I14" i="11"/>
  <c r="I6" i="11"/>
  <c r="K12" i="11"/>
  <c r="K4" i="11"/>
  <c r="L2" i="11"/>
  <c r="H2" i="11"/>
  <c r="V18" i="14"/>
  <c r="V26" i="14"/>
  <c r="V22" i="14"/>
  <c r="V30" i="14"/>
  <c r="H47" i="14"/>
  <c r="V28" i="14"/>
  <c r="J2" i="11"/>
  <c r="X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D18" i="14"/>
  <c r="AD19" i="14"/>
  <c r="W24" i="14"/>
  <c r="L14" i="11"/>
  <c r="W22" i="14"/>
  <c r="L12" i="11"/>
  <c r="AD13" i="14"/>
  <c r="AD15" i="14"/>
  <c r="O17" i="14"/>
  <c r="W28" i="14"/>
  <c r="L18" i="11"/>
  <c r="W14" i="14"/>
  <c r="L4" i="11"/>
  <c r="W30" i="14"/>
  <c r="L20" i="11"/>
  <c r="W29" i="14"/>
  <c r="L19" i="11"/>
  <c r="S47" i="14"/>
  <c r="W18" i="14"/>
  <c r="L8" i="11"/>
  <c r="W25" i="14"/>
  <c r="L15" i="11"/>
  <c r="W23" i="14"/>
  <c r="L13" i="11"/>
  <c r="AD21" i="14"/>
  <c r="W26" i="14"/>
  <c r="L16" i="11"/>
  <c r="W17" i="14"/>
  <c r="L7" i="11"/>
  <c r="T47" i="14"/>
  <c r="W27" i="14"/>
  <c r="L17" i="11"/>
  <c r="W15" i="14"/>
  <c r="L5" i="11"/>
  <c r="AD23" i="14"/>
  <c r="AD17" i="14"/>
  <c r="W21" i="14"/>
  <c r="L11" i="11"/>
  <c r="AB47" i="14"/>
  <c r="AG19" i="14"/>
  <c r="J9" i="11"/>
  <c r="L3" i="11"/>
  <c r="AF47" i="14"/>
  <c r="AG12" i="14"/>
  <c r="V16" i="14"/>
  <c r="V47" i="14" s="1"/>
  <c r="AC47" i="14"/>
  <c r="AD12" i="14"/>
  <c r="N47" i="14"/>
  <c r="P47" i="14"/>
  <c r="U47" i="14"/>
  <c r="AD47" i="14" l="1"/>
  <c r="AC50" i="14"/>
  <c r="W47" i="14"/>
  <c r="V50" i="14"/>
  <c r="AG47" i="14"/>
  <c r="AF50" i="14"/>
  <c r="F7" i="11"/>
  <c r="F2" i="11"/>
  <c r="W16" i="14"/>
  <c r="L6" i="11"/>
  <c r="O47" i="14"/>
  <c r="P50" i="14" s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<sst xmlns="http://schemas.openxmlformats.org/spreadsheetml/2006/main" count="93" uniqueCount="49">
  <si>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</si>
  <si>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</si>
  <si>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</si>
  <si>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</si>
  <si>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</si>
  <si>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</si>
  <si>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</si>
  <si>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</si>
  <si>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</si>
  <si>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</si>
  <si>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</si>
  <si>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</si>
  <si>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</si>
  <si>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</si>
  <si>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</si>
  <si>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</si>
  <si>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</si>
  <si>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JANUARY 2018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</si>
  <si>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</si>
  <si>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</si>
  <si>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</si>
  <si>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</si>
  <si>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</si>
  <si>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</si>
  <si>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</si>
  <si>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</si>
  <si>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</si>
  <si>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</si>
  <si>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</si>
  <si>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</si>
  <si>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</si>
  <si>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</si>
  <si>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</si>
  <si>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</si>
  <si>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</si>
  <si>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</si>
  <si>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</si>
  <si>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</si>
  <si>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</si>
  <si>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</si>
  <si>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</si>
  <si>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</si>
  <si>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USD</t>
  </si>
  <si>
    <t>LPG Bulk (m3)</t>
  </si>
  <si>
    <t>50 Kg (tube) IVD &amp; TW</t>
  </si>
  <si>
    <t>Sundara 50 kg (tube)</t>
  </si>
  <si>
    <t>12 Kg (tube)</t>
  </si>
  <si>
    <t>Total kg</t>
  </si>
  <si>
    <t>Used (liters)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</si>
</sst>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0.0%"/>
    <numFmt numFmtId="170" formatCode="_-* #,##0.000_-;\-* #,##0.00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1" fontId="15" fillId="0" borderId="0" applyFont="0" applyFill="0" applyBorder="0" applyAlignment="0" applyProtection="0"/>
    <xf numFmtId="0" fontId="15" fillId="0" borderId="0"/>
  </cellStyleXfs>
  <cellXfs count="231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7" fillId="0" borderId="0" xfId="0" applyFont="1"/>
    <xf numFmtId="0" fontId="0" fillId="0" borderId="31" xfId="0" applyBorder="1" applyAlignment="1">
      <alignment horizontal="center" vertical="center" wrapText="1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1" xfId="2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5" fontId="0" fillId="0" borderId="33" xfId="2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8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4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0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2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2" xfId="0" applyNumberFormat="1" applyFill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65" fontId="0" fillId="0" borderId="39" xfId="2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67" fontId="0" fillId="0" borderId="25" xfId="0" applyNumberFormat="1" applyBorder="1" applyAlignment="1">
      <alignment horizontal="center" vertical="center" wrapText="1"/>
    </xf>
    <xf numFmtId="167" fontId="0" fillId="0" borderId="40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33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0" fillId="11" borderId="41" xfId="0" applyFont="1" applyFill="1" applyBorder="1" applyAlignment="1">
      <alignment horizontal="center" vertical="center" shrinkToFit="1"/>
    </xf>
    <xf numFmtId="0" fontId="10" fillId="11" borderId="42" xfId="0" applyFont="1" applyFill="1" applyBorder="1" applyAlignment="1">
      <alignment horizontal="center" vertical="center" shrinkToFit="1"/>
    </xf>
    <xf numFmtId="164" fontId="8" fillId="3" borderId="0" xfId="2" applyFont="1" applyFill="1" applyBorder="1" applyAlignment="1"/>
    <xf numFmtId="164" fontId="7" fillId="0" borderId="15" xfId="2" applyFont="1" applyBorder="1" applyAlignment="1">
      <alignment horizontal="center" vertical="center" wrapText="1"/>
    </xf>
    <xf numFmtId="164" fontId="7" fillId="0" borderId="27" xfId="2" applyFont="1" applyBorder="1" applyAlignment="1">
      <alignment horizontal="center" vertical="center" wrapText="1"/>
    </xf>
    <xf numFmtId="164" fontId="7" fillId="3" borderId="0" xfId="2" applyFont="1" applyFill="1" applyBorder="1"/>
    <xf numFmtId="164" fontId="11" fillId="0" borderId="0" xfId="2" applyFont="1" applyBorder="1"/>
    <xf numFmtId="164" fontId="7" fillId="0" borderId="0" xfId="2" applyFont="1"/>
    <xf numFmtId="165" fontId="8" fillId="3" borderId="0" xfId="2" applyNumberFormat="1" applyFont="1" applyFill="1" applyBorder="1" applyAlignment="1"/>
    <xf numFmtId="165" fontId="7" fillId="3" borderId="0" xfId="2" applyNumberFormat="1" applyFont="1" applyFill="1" applyBorder="1"/>
    <xf numFmtId="165" fontId="11" fillId="0" borderId="0" xfId="2" applyNumberFormat="1" applyFont="1" applyBorder="1"/>
    <xf numFmtId="165" fontId="7" fillId="0" borderId="0" xfId="2" applyNumberFormat="1" applyFont="1"/>
    <xf numFmtId="165" fontId="0" fillId="3" borderId="36" xfId="0" applyNumberFormat="1" applyFill="1" applyBorder="1"/>
    <xf numFmtId="165" fontId="1" fillId="0" borderId="36" xfId="0" applyNumberFormat="1" applyFont="1" applyBorder="1"/>
    <xf numFmtId="0" fontId="0" fillId="3" borderId="43" xfId="0" applyFill="1" applyBorder="1"/>
    <xf numFmtId="165" fontId="0" fillId="3" borderId="43" xfId="2" applyNumberFormat="1" applyFont="1" applyFill="1" applyBorder="1"/>
    <xf numFmtId="164" fontId="7" fillId="3" borderId="43" xfId="2" applyFont="1" applyFill="1" applyBorder="1"/>
    <xf numFmtId="165" fontId="7" fillId="3" borderId="43" xfId="2" applyNumberFormat="1" applyFont="1" applyFill="1" applyBorder="1"/>
    <xf numFmtId="0" fontId="0" fillId="3" borderId="45" xfId="0" applyFill="1" applyBorder="1"/>
    <xf numFmtId="43" fontId="0" fillId="3" borderId="43" xfId="0" applyNumberFormat="1" applyFill="1" applyBorder="1"/>
    <xf numFmtId="165" fontId="0" fillId="3" borderId="43" xfId="0" applyNumberFormat="1" applyFill="1" applyBorder="1"/>
    <xf numFmtId="165" fontId="0" fillId="0" borderId="43" xfId="2" applyNumberFormat="1" applyFont="1" applyBorder="1"/>
    <xf numFmtId="167" fontId="0" fillId="3" borderId="45" xfId="0" applyNumberFormat="1" applyFill="1" applyBorder="1"/>
    <xf numFmtId="165" fontId="8" fillId="6" borderId="22" xfId="2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8" xfId="2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5" fontId="8" fillId="0" borderId="49" xfId="2" applyNumberFormat="1" applyFont="1" applyBorder="1" applyAlignment="1">
      <alignment horizontal="center" vertical="center" wrapText="1"/>
    </xf>
    <xf numFmtId="165" fontId="7" fillId="0" borderId="50" xfId="2" applyNumberFormat="1" applyFont="1" applyBorder="1" applyAlignment="1">
      <alignment horizontal="center" vertical="center" wrapText="1"/>
    </xf>
    <xf numFmtId="165" fontId="7" fillId="0" borderId="20" xfId="2" applyNumberFormat="1" applyFont="1" applyBorder="1"/>
    <xf numFmtId="0" fontId="0" fillId="0" borderId="28" xfId="0" applyBorder="1"/>
    <xf numFmtId="165" fontId="0" fillId="0" borderId="28" xfId="2" applyNumberFormat="1" applyFont="1" applyBorder="1"/>
    <xf numFmtId="164" fontId="7" fillId="0" borderId="28" xfId="2" applyFont="1" applyBorder="1"/>
    <xf numFmtId="165" fontId="7" fillId="0" borderId="31" xfId="2" applyNumberFormat="1" applyFont="1" applyBorder="1"/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165" fontId="0" fillId="0" borderId="17" xfId="2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164" fontId="0" fillId="0" borderId="20" xfId="0" applyNumberFormat="1" applyBorder="1"/>
    <xf numFmtId="165" fontId="0" fillId="0" borderId="52" xfId="2" applyNumberFormat="1" applyFont="1" applyBorder="1"/>
    <xf numFmtId="0" fontId="0" fillId="0" borderId="31" xfId="0" applyBorder="1"/>
    <xf numFmtId="165" fontId="0" fillId="0" borderId="10" xfId="2" applyNumberFormat="1" applyFont="1" applyBorder="1"/>
    <xf numFmtId="0" fontId="0" fillId="0" borderId="53" xfId="0" applyBorder="1"/>
    <xf numFmtId="164" fontId="0" fillId="0" borderId="42" xfId="2" applyFont="1" applyBorder="1"/>
    <xf numFmtId="164" fontId="0" fillId="0" borderId="54" xfId="2" applyFont="1" applyBorder="1"/>
    <xf numFmtId="165" fontId="7" fillId="0" borderId="41" xfId="2" applyNumberFormat="1" applyFont="1" applyBorder="1" applyAlignment="1">
      <alignment horizontal="center" vertical="center" wrapText="1"/>
    </xf>
    <xf numFmtId="165" fontId="7" fillId="0" borderId="42" xfId="2" applyNumberFormat="1" applyFont="1" applyBorder="1"/>
    <xf numFmtId="165" fontId="7" fillId="0" borderId="54" xfId="2" applyNumberFormat="1" applyFont="1" applyBorder="1"/>
    <xf numFmtId="168" fontId="4" fillId="0" borderId="0" xfId="2" applyNumberFormat="1" applyFont="1" applyBorder="1"/>
    <xf numFmtId="165" fontId="0" fillId="3" borderId="13" xfId="2" applyNumberFormat="1" applyFont="1" applyFill="1" applyBorder="1"/>
    <xf numFmtId="0" fontId="0" fillId="3" borderId="56" xfId="0" applyFill="1" applyBorder="1"/>
    <xf numFmtId="0" fontId="0" fillId="3" borderId="14" xfId="0" applyFill="1" applyBorder="1"/>
    <xf numFmtId="0" fontId="0" fillId="3" borderId="57" xfId="0" applyFill="1" applyBorder="1"/>
    <xf numFmtId="0" fontId="0" fillId="3" borderId="58" xfId="0" applyFill="1" applyBorder="1"/>
    <xf numFmtId="165" fontId="0" fillId="3" borderId="44" xfId="2" applyNumberFormat="1" applyFont="1" applyFill="1" applyBorder="1"/>
    <xf numFmtId="0" fontId="10" fillId="11" borderId="54" xfId="0" applyFont="1" applyFill="1" applyBorder="1" applyAlignment="1">
      <alignment horizontal="center" vertical="center" shrinkToFit="1"/>
    </xf>
    <xf numFmtId="167" fontId="1" fillId="3" borderId="7" xfId="0" applyNumberFormat="1" applyFont="1" applyFill="1" applyBorder="1"/>
    <xf numFmtId="0" fontId="0" fillId="0" borderId="5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0" xfId="0" applyBorder="1"/>
    <xf numFmtId="165" fontId="0" fillId="0" borderId="20" xfId="0" applyNumberFormat="1" applyBorder="1"/>
    <xf numFmtId="0" fontId="0" fillId="0" borderId="20" xfId="0" applyBorder="1"/>
    <xf numFmtId="0" fontId="0" fillId="3" borderId="46" xfId="0" applyFill="1" applyBorder="1"/>
    <xf numFmtId="43" fontId="0" fillId="3" borderId="5" xfId="0" applyNumberFormat="1" applyFill="1" applyBorder="1"/>
    <xf numFmtId="0" fontId="0" fillId="3" borderId="60" xfId="0" applyFill="1" applyBorder="1"/>
    <xf numFmtId="165" fontId="1" fillId="0" borderId="11" xfId="2" applyNumberFormat="1" applyFont="1" applyBorder="1" applyAlignment="1">
      <alignment horizontal="center" vertical="center" wrapText="1"/>
    </xf>
    <xf numFmtId="165" fontId="13" fillId="3" borderId="8" xfId="2" applyNumberFormat="1" applyFont="1" applyFill="1" applyBorder="1" applyProtection="1">
      <protection locked="0"/>
    </xf>
    <xf numFmtId="165" fontId="1" fillId="12" borderId="6" xfId="0" applyNumberFormat="1" applyFont="1" applyFill="1" applyBorder="1"/>
    <xf numFmtId="165" fontId="0" fillId="3" borderId="22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38" xfId="2" applyNumberFormat="1" applyFont="1" applyBorder="1" applyAlignment="1">
      <alignment horizontal="center" vertical="center" wrapText="1"/>
    </xf>
    <xf numFmtId="168" fontId="0" fillId="0" borderId="24" xfId="2" applyNumberFormat="1" applyFont="1" applyBorder="1" applyAlignment="1">
      <alignment horizontal="center" vertical="center" wrapText="1"/>
    </xf>
    <xf numFmtId="168" fontId="0" fillId="0" borderId="21" xfId="2" applyNumberFormat="1" applyFont="1" applyBorder="1"/>
    <xf numFmtId="168" fontId="0" fillId="0" borderId="43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0" xfId="2" applyNumberFormat="1" applyFont="1" applyFill="1" applyBorder="1"/>
    <xf numFmtId="167" fontId="1" fillId="12" borderId="32" xfId="2" applyNumberFormat="1" applyFont="1" applyFill="1" applyBorder="1"/>
    <xf numFmtId="164" fontId="5" fillId="0" borderId="0" xfId="2" applyFont="1" applyBorder="1"/>
    <xf numFmtId="166" fontId="0" fillId="0" borderId="51" xfId="2" applyNumberFormat="1" applyFont="1" applyBorder="1"/>
    <xf numFmtId="165" fontId="0" fillId="0" borderId="54" xfId="2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7" fillId="0" borderId="0" xfId="4" applyFont="1"/>
    <xf numFmtId="9" fontId="0" fillId="0" borderId="0" xfId="0" applyNumberFormat="1"/>
    <xf numFmtId="165" fontId="1" fillId="5" borderId="6" xfId="0" applyNumberFormat="1" applyFont="1" applyFill="1" applyBorder="1"/>
    <xf numFmtId="0" fontId="0" fillId="5" borderId="27" xfId="0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5" fontId="4" fillId="3" borderId="0" xfId="0" applyNumberFormat="1" applyFont="1" applyFill="1"/>
    <xf numFmtId="165" fontId="4" fillId="0" borderId="0" xfId="0" applyNumberFormat="1" applyFont="1"/>
    <xf numFmtId="169" fontId="4" fillId="0" borderId="0" xfId="4" applyNumberFormat="1" applyFont="1" applyBorder="1"/>
    <xf numFmtId="167" fontId="4" fillId="0" borderId="0" xfId="0" applyNumberFormat="1" applyFont="1"/>
    <xf numFmtId="0" fontId="4" fillId="0" borderId="0" xfId="0" applyFont="1"/>
    <xf numFmtId="165" fontId="18" fillId="3" borderId="0" xfId="2" applyNumberFormat="1" applyFont="1" applyFill="1" applyBorder="1"/>
    <xf numFmtId="165" fontId="18" fillId="0" borderId="0" xfId="2" applyNumberFormat="1" applyFont="1" applyBorder="1"/>
    <xf numFmtId="3" fontId="18" fillId="0" borderId="0" xfId="0" applyNumberFormat="1" applyFont="1"/>
    <xf numFmtId="170" fontId="18" fillId="0" borderId="0" xfId="2" applyNumberFormat="1" applyFont="1"/>
    <xf numFmtId="10" fontId="18" fillId="0" borderId="0" xfId="4" applyNumberFormat="1" applyFont="1"/>
    <xf numFmtId="44" fontId="18" fillId="0" borderId="0" xfId="1" applyFont="1" applyBorder="1"/>
    <xf numFmtId="165" fontId="19" fillId="0" borderId="0" xfId="2" applyNumberFormat="1" applyFont="1" applyBorder="1"/>
    <xf numFmtId="168" fontId="18" fillId="0" borderId="0" xfId="2" applyNumberFormat="1" applyFont="1" applyBorder="1"/>
    <xf numFmtId="169" fontId="18" fillId="0" borderId="0" xfId="4" applyNumberFormat="1" applyFont="1" applyBorder="1"/>
    <xf numFmtId="165" fontId="20" fillId="0" borderId="0" xfId="2" applyNumberFormat="1" applyFont="1" applyBorder="1"/>
    <xf numFmtId="0" fontId="18" fillId="0" borderId="0" xfId="0" applyFont="1"/>
    <xf numFmtId="167" fontId="18" fillId="0" borderId="0" xfId="2" applyNumberFormat="1" applyFont="1" applyBorder="1"/>
    <xf numFmtId="0" fontId="16" fillId="3" borderId="0" xfId="0" applyFont="1" applyFill="1"/>
    <xf numFmtId="165" fontId="16" fillId="0" borderId="0" xfId="2" applyNumberFormat="1" applyFont="1"/>
    <xf numFmtId="0" fontId="16" fillId="0" borderId="0" xfId="0" applyFont="1"/>
    <xf numFmtId="164" fontId="17" fillId="0" borderId="0" xfId="2" applyFont="1"/>
    <xf numFmtId="165" fontId="17" fillId="0" borderId="0" xfId="2" applyNumberFormat="1" applyFont="1"/>
    <xf numFmtId="168" fontId="16" fillId="0" borderId="0" xfId="2" applyNumberFormat="1" applyFont="1"/>
    <xf numFmtId="167" fontId="16" fillId="0" borderId="0" xfId="0" applyNumberFormat="1" applyFont="1"/>
    <xf numFmtId="164" fontId="16" fillId="0" borderId="0" xfId="0" applyNumberFormat="1" applyFont="1"/>
    <xf numFmtId="164" fontId="16" fillId="0" borderId="0" xfId="2" applyFont="1"/>
    <xf numFmtId="9" fontId="16" fillId="0" borderId="0" xfId="4" applyFont="1"/>
    <xf numFmtId="165" fontId="8" fillId="6" borderId="36" xfId="0" applyNumberFormat="1" applyFont="1" applyFill="1" applyBorder="1"/>
    <xf numFmtId="166" fontId="21" fillId="0" borderId="8" xfId="0" applyNumberFormat="1" applyFont="1" applyBorder="1"/>
    <xf numFmtId="37" fontId="21" fillId="0" borderId="8" xfId="0" applyNumberFormat="1" applyFont="1" applyBorder="1"/>
    <xf numFmtId="0" fontId="0" fillId="5" borderId="2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left"/>
    </xf>
    <xf numFmtId="49" fontId="8" fillId="2" borderId="37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0" fontId="9" fillId="10" borderId="26" xfId="0" applyFont="1" applyFill="1" applyBorder="1" applyAlignment="1">
      <alignment horizontal="center" vertical="center" wrapText="1"/>
    </xf>
    <xf numFmtId="0" fontId="9" fillId="10" borderId="35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horizontal="center" vertical="center" wrapText="1"/>
    </xf>
    <xf numFmtId="164" fontId="0" fillId="0" borderId="26" xfId="2" applyFont="1" applyBorder="1" applyAlignment="1">
      <alignment horizontal="center" vertical="center" wrapText="1"/>
    </xf>
    <xf numFmtId="164" fontId="0" fillId="0" borderId="35" xfId="2" applyFont="1" applyBorder="1" applyAlignment="1">
      <alignment horizontal="center" vertical="center" wrapText="1"/>
    </xf>
    <xf numFmtId="164" fontId="0" fillId="0" borderId="36" xfId="2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165" fontId="8" fillId="0" borderId="26" xfId="2" applyNumberFormat="1" applyFont="1" applyBorder="1" applyAlignment="1">
      <alignment horizontal="center" vertical="center" wrapText="1"/>
    </xf>
    <xf numFmtId="165" fontId="8" fillId="0" borderId="36" xfId="2" applyNumberFormat="1" applyFont="1" applyBorder="1" applyAlignment="1">
      <alignment horizontal="center" vertical="center" wrapText="1"/>
    </xf>
    <xf numFmtId="17" fontId="6" fillId="3" borderId="55" xfId="0" applyNumberFormat="1" applyFont="1" applyFill="1" applyBorder="1" applyAlignment="1">
      <alignment horizontal="center"/>
    </xf>
    <xf numFmtId="0" fontId="6" fillId="3" borderId="55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</cellXfs>
  <cellStyles count="9">
    <cellStyle name="Comma" xfId="2" builtinId="3"/>
    <cellStyle name="Comma [0] 2" xfId="7" xr:uid="{00000000-0005-0000-0000-000001000000}"/>
    <cellStyle name="Comma 10" xfId="3" xr:uid="{00000000-0005-0000-0000-000002000000}"/>
    <cellStyle name="Comma 2" xfId="5" xr:uid="{00000000-0005-0000-0000-000003000000}"/>
    <cellStyle name="Currency" xfId="1" builtinId="4"/>
    <cellStyle name="Hyperlink 2" xfId="6" xr:uid="{00000000-0005-0000-0000-000006000000}"/>
    <cellStyle name="Normal" xfId="0" builtinId="0"/>
    <cellStyle name="Normal 2" xfId="8" xr:uid="{00000000-0005-0000-0000-000008000000}"/>
    <cellStyle name="Percent" xfId="4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52128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3"/>
  <sheetViews>
    <sheetView topLeftCell="A2" workbookViewId="0">
      <selection activeCell="H6" sqref="H6"/>
    </sheetView>
  </sheetViews>
  <sheetFormatPr defaultColWidth="11.5703125" defaultRowHeight="15"/>
  <cols>
    <col min="1" max="1" width="18.42578125" style="153" customWidth="1"/>
    <col min="2" max="2" width="11.5703125" style="154"/>
    <col min="3" max="3" width="11.5703125" style="155"/>
    <col min="4" max="4" width="13.42578125" style="154" customWidth="1"/>
    <col min="5" max="5" width="12.5703125" style="152" customWidth="1"/>
    <col min="6" max="6" width="12.5703125" style="156" customWidth="1"/>
    <col min="7" max="7" width="11.5703125" style="152"/>
    <col min="8" max="8" width="11.5703125" style="156"/>
    <col min="9" max="9" width="11.5703125" style="157"/>
    <col min="10" max="10" width="11.5703125" style="158"/>
    <col min="11" max="11" width="11.5703125" style="152"/>
    <col min="12" max="12" width="11.5703125" style="158"/>
    <col min="13" max="26" width="11.5703125" style="152"/>
  </cols>
  <sheetData>
    <row r="1" spans="1:15" s="146" customFormat="1" ht="60.75">
      <c r="A1" s="142" t="s">
        <v>0</v>
      </c>
      <c r="B1" s="142" t="s">
        <v>1</v>
      </c>
      <c r="C1" s="143" t="s">
        <v>2</v>
      </c>
      <c r="D1" s="142" t="s">
        <v>3</v>
      </c>
      <c r="E1" s="141" t="s">
        <v>4</v>
      </c>
      <c r="F1" s="144" t="s">
        <v>5</v>
      </c>
      <c r="G1" s="141" t="s">
        <v>6</v>
      </c>
      <c r="H1" s="144" t="s">
        <v>7</v>
      </c>
      <c r="I1" s="141" t="s">
        <v>8</v>
      </c>
      <c r="J1" s="144" t="s">
        <v>9</v>
      </c>
      <c r="K1" s="141" t="s">
        <v>10</v>
      </c>
      <c r="L1" s="145" t="s">
        <v>11</v>
      </c>
      <c r="M1" s="141" t="s">
        <v>12</v>
      </c>
      <c r="N1" s="141" t="s">
        <v>13</v>
      </c>
    </row>
    <row r="2" spans="1:15">
      <c r="A2" s="147" t="s">
        <v>14</v>
      </c>
      <c r="B2" s="148">
        <v>1</v>
      </c>
      <c r="C2" s="149">
        <v>1</v>
      </c>
      <c r="D2" s="148">
        <v>2018</v>
      </c>
      <c r="E2" s="150">
        <f>'FS Jimbaran January 2018'!P12</f>
        <v>13980.00000001946</v>
      </c>
      <c r="F2" s="159">
        <f>'FS Jimbaran January 2018'!O12/'FS Jimbaran January 2018'!P12</f>
        <v>1261.0510364804773</v>
      </c>
      <c r="G2" s="150">
        <f>'FS Jimbaran January 2018'!AB12</f>
        <v>347.43732000000938</v>
      </c>
      <c r="H2" s="159">
        <f>'FS Jimbaran January 2018'!AC12/'FS Jimbaran January 2018'!AB12</f>
        <v>12492.270864741813</v>
      </c>
      <c r="I2" s="150">
        <f>'FS Jimbaran January 2018'!AE12</f>
        <v>1573.2000000000698</v>
      </c>
      <c r="J2" s="151">
        <f>'FS Jimbaran January 2018'!AF12/'FS Jimbaran January 2018'!AE12</f>
        <v>8700</v>
      </c>
      <c r="K2" s="150">
        <f>'FS Jimbaran January 2018'!Q12</f>
        <v>678.30000000000291</v>
      </c>
      <c r="L2" s="159">
        <f>'FS Jimbaran January 2018'!V12/'FS Jimbaran January 2018'!Q12</f>
        <v>8588.9226006191784</v>
      </c>
      <c r="M2" s="198">
        <v>122</v>
      </c>
      <c r="N2" s="199">
        <v>955</v>
      </c>
    </row>
    <row r="3" spans="1:15">
      <c r="A3" s="147" t="s">
        <v>14</v>
      </c>
      <c r="B3" s="148">
        <f>B2+1</f>
        <v>2</v>
      </c>
      <c r="C3" s="149">
        <v>1</v>
      </c>
      <c r="D3" s="148">
        <v>2018</v>
      </c>
      <c r="E3" s="150">
        <f>'FS Jimbaran January 2018'!P13</f>
        <v>24399.999999974625</v>
      </c>
      <c r="F3" s="159">
        <f>'FS Jimbaran January 2018'!O13/'FS Jimbaran January 2018'!P13</f>
        <v>1189.6400250000843</v>
      </c>
      <c r="G3" s="150">
        <f>'FS Jimbaran January 2018'!AB13</f>
        <v>511.29020000000583</v>
      </c>
      <c r="H3" s="159">
        <f>'FS Jimbaran January 2018'!AC13/'FS Jimbaran January 2018'!AB13</f>
        <v>10983.182154870159</v>
      </c>
      <c r="I3" s="150">
        <f>'FS Jimbaran January 2018'!AE13</f>
        <v>116.70000000000613</v>
      </c>
      <c r="J3" s="151">
        <f>'FS Jimbaran January 2018'!AF13/'FS Jimbaran January 2018'!AE13</f>
        <v>8700</v>
      </c>
      <c r="K3" s="150">
        <f>'FS Jimbaran January 2018'!Q13</f>
        <v>438</v>
      </c>
      <c r="L3" s="159">
        <f>'FS Jimbaran January 2018'!V13/'FS Jimbaran January 2018'!Q13</f>
        <v>11918.079452054793</v>
      </c>
      <c r="M3" s="198">
        <v>108</v>
      </c>
      <c r="N3" s="199">
        <v>947</v>
      </c>
    </row>
    <row r="4" spans="1:15">
      <c r="A4" s="147" t="s">
        <v>14</v>
      </c>
      <c r="B4" s="148">
        <f t="shared" ref="B4:B32" si="0">B3+1</f>
        <v>3</v>
      </c>
      <c r="C4" s="149">
        <v>1</v>
      </c>
      <c r="D4" s="148">
        <v>2018</v>
      </c>
      <c r="E4" s="150">
        <f>'FS Jimbaran January 2018'!P14</f>
        <v>24940.000000013242</v>
      </c>
      <c r="F4" s="159">
        <f>'FS Jimbaran January 2018'!O14/'FS Jimbaran January 2018'!P14</f>
        <v>1186.993912590123</v>
      </c>
      <c r="G4" s="150">
        <f>'FS Jimbaran January 2018'!AB14</f>
        <v>106.81912000000351</v>
      </c>
      <c r="H4" s="159">
        <f>'FS Jimbaran January 2018'!AC14/'FS Jimbaran January 2018'!AB14</f>
        <v>10318.36365399752</v>
      </c>
      <c r="I4" s="150">
        <f>'FS Jimbaran January 2018'!AE14</f>
        <v>0</v>
      </c>
      <c r="J4" s="151" t="e">
        <f>'FS Jimbaran January 2018'!AF14/'FS Jimbaran January 2018'!AE14</f>
        <v>#DIV/0!</v>
      </c>
      <c r="K4" s="150">
        <f>'FS Jimbaran January 2018'!Q14</f>
        <v>502</v>
      </c>
      <c r="L4" s="159">
        <f>'FS Jimbaran January 2018'!V14/'FS Jimbaran January 2018'!Q14</f>
        <v>10049.402988047808</v>
      </c>
      <c r="M4" s="198">
        <v>106</v>
      </c>
      <c r="N4" s="199">
        <v>835</v>
      </c>
    </row>
    <row r="5" spans="1:15">
      <c r="A5" s="147" t="s">
        <v>14</v>
      </c>
      <c r="B5" s="148">
        <f t="shared" si="0"/>
        <v>4</v>
      </c>
      <c r="C5" s="149">
        <v>1</v>
      </c>
      <c r="D5" s="148">
        <v>2018</v>
      </c>
      <c r="E5" s="150">
        <f>'FS Jimbaran January 2018'!P15</f>
        <v>25419.999999997231</v>
      </c>
      <c r="F5" s="159">
        <f>'FS Jimbaran January 2018'!O15/'FS Jimbaran January 2018'!P15</f>
        <v>1184.2608151062625</v>
      </c>
      <c r="G5" s="150">
        <f>'FS Jimbaran January 2018'!AB15</f>
        <v>0</v>
      </c>
      <c r="H5" s="159" t="e">
        <f>'FS Jimbaran January 2018'!AC15/'FS Jimbaran January 2018'!AB15</f>
        <v>#DIV/0!</v>
      </c>
      <c r="I5" s="150">
        <f>'FS Jimbaran January 2018'!AE15</f>
        <v>4.7999999999592546</v>
      </c>
      <c r="J5" s="151">
        <f>'FS Jimbaran January 2018'!AF15/'FS Jimbaran January 2018'!AE15</f>
        <v>8700</v>
      </c>
      <c r="K5" s="150">
        <f>'FS Jimbaran January 2018'!Q15</f>
        <v>352.40000000000146</v>
      </c>
      <c r="L5" s="159">
        <f>'FS Jimbaran January 2018'!V15/'FS Jimbaran January 2018'!Q15</f>
        <v>10926.674063564105</v>
      </c>
      <c r="M5" s="198">
        <v>100</v>
      </c>
      <c r="N5" s="199">
        <v>921</v>
      </c>
    </row>
    <row r="6" spans="1:15">
      <c r="A6" s="147" t="s">
        <v>14</v>
      </c>
      <c r="B6" s="148">
        <f t="shared" si="0"/>
        <v>5</v>
      </c>
      <c r="C6" s="149">
        <v>1</v>
      </c>
      <c r="D6" s="148">
        <v>2018</v>
      </c>
      <c r="E6" s="150">
        <f>'FS Jimbaran January 2018'!P16</f>
        <v>24480.000000010932</v>
      </c>
      <c r="F6" s="159">
        <f>'FS Jimbaran January 2018'!O16/'FS Jimbaran January 2018'!P16</f>
        <v>1182.1981654411188</v>
      </c>
      <c r="G6" s="150">
        <f>'FS Jimbaran January 2018'!AB16</f>
        <v>150.31119999997654</v>
      </c>
      <c r="H6" s="159">
        <f>'FS Jimbaran January 2018'!AC16/'FS Jimbaran January 2018'!AB16</f>
        <v>10623.064772285838</v>
      </c>
      <c r="I6" s="150">
        <f>'FS Jimbaran January 2018'!AE16</f>
        <v>5.5999999999767169</v>
      </c>
      <c r="J6" s="151">
        <f>'FS Jimbaran January 2018'!AF16/'FS Jimbaran January 2018'!AE16</f>
        <v>8700</v>
      </c>
      <c r="K6" s="150">
        <f>'FS Jimbaran January 2018'!Q16</f>
        <v>406</v>
      </c>
      <c r="L6" s="159">
        <f>'FS Jimbaran January 2018'!V16/'FS Jimbaran January 2018'!Q16</f>
        <v>11243.214679802955</v>
      </c>
      <c r="M6" s="198">
        <v>92</v>
      </c>
      <c r="N6" s="199">
        <v>780</v>
      </c>
    </row>
    <row r="7" spans="1:15">
      <c r="A7" s="147" t="s">
        <v>14</v>
      </c>
      <c r="B7" s="148">
        <f t="shared" si="0"/>
        <v>6</v>
      </c>
      <c r="C7" s="149">
        <v>1</v>
      </c>
      <c r="D7" s="148">
        <v>2018</v>
      </c>
      <c r="E7" s="150">
        <f>'FS Jimbaran January 2018'!P17</f>
        <v>23819.999999999709</v>
      </c>
      <c r="F7" s="159">
        <f>'FS Jimbaran January 2018'!O17/'FS Jimbaran January 2018'!P17</f>
        <v>1191.2122254408273</v>
      </c>
      <c r="G7" s="150">
        <f>'FS Jimbaran January 2018'!AB17</f>
        <v>60.70195999999882</v>
      </c>
      <c r="H7" s="159">
        <f>'FS Jimbaran January 2018'!AC17/'FS Jimbaran January 2018'!AB17</f>
        <v>10153</v>
      </c>
      <c r="I7" s="150">
        <f>'FS Jimbaran January 2018'!AE17</f>
        <v>14.100000000034925</v>
      </c>
      <c r="J7" s="151">
        <f>'FS Jimbaran January 2018'!AF17/'FS Jimbaran January 2018'!AE17</f>
        <v>8700</v>
      </c>
      <c r="K7" s="150">
        <f>'FS Jimbaran January 2018'!Q17</f>
        <v>394.09999999999854</v>
      </c>
      <c r="L7" s="159">
        <f>'FS Jimbaran January 2018'!V17/'FS Jimbaran January 2018'!Q17</f>
        <v>11240.520426287771</v>
      </c>
      <c r="M7" s="198">
        <v>78</v>
      </c>
      <c r="N7" s="199">
        <v>702</v>
      </c>
    </row>
    <row r="8" spans="1:15">
      <c r="A8" s="147" t="s">
        <v>14</v>
      </c>
      <c r="B8" s="148">
        <f t="shared" si="0"/>
        <v>7</v>
      </c>
      <c r="C8" s="149">
        <v>1</v>
      </c>
      <c r="D8" s="148">
        <v>2018</v>
      </c>
      <c r="E8" s="150">
        <f>'FS Jimbaran January 2018'!P18</f>
        <v>21459.999999983553</v>
      </c>
      <c r="F8" s="159">
        <f>'FS Jimbaran January 2018'!O18/'FS Jimbaran January 2018'!P18</f>
        <v>1168.1484366263708</v>
      </c>
      <c r="G8" s="150">
        <f>'FS Jimbaran January 2018'!AB18</f>
        <v>300.14860000001761</v>
      </c>
      <c r="H8" s="159">
        <f>'FS Jimbaran January 2018'!AC18/'FS Jimbaran January 2018'!AB18</f>
        <v>11000.080412835459</v>
      </c>
      <c r="I8" s="150">
        <f>'FS Jimbaran January 2018'!AE18</f>
        <v>44.100000000034925</v>
      </c>
      <c r="J8" s="151">
        <f>'FS Jimbaran January 2018'!AF18/'FS Jimbaran January 2018'!AE18</f>
        <v>8700</v>
      </c>
      <c r="K8" s="150">
        <f>'FS Jimbaran January 2018'!Q18</f>
        <v>356</v>
      </c>
      <c r="L8" s="159">
        <f>'FS Jimbaran January 2018'!V18/'FS Jimbaran January 2018'!Q18</f>
        <v>10975.336516853931</v>
      </c>
      <c r="M8" s="198">
        <v>71</v>
      </c>
      <c r="N8" s="199">
        <v>556</v>
      </c>
    </row>
    <row r="9" spans="1:15">
      <c r="A9" s="147" t="s">
        <v>14</v>
      </c>
      <c r="B9" s="148">
        <f t="shared" si="0"/>
        <v>8</v>
      </c>
      <c r="C9" s="149">
        <v>1</v>
      </c>
      <c r="D9" s="148">
        <v>2018</v>
      </c>
      <c r="E9" s="150">
        <f>'FS Jimbaran January 2018'!P19</f>
        <v>21700.000000018917</v>
      </c>
      <c r="F9" s="159">
        <f>'FS Jimbaran January 2018'!O19/'FS Jimbaran January 2018'!P19</f>
        <v>1183.7963032256694</v>
      </c>
      <c r="G9" s="150">
        <f>'FS Jimbaran January 2018'!AB19</f>
        <v>475.36043999998356</v>
      </c>
      <c r="H9" s="159">
        <f>'FS Jimbaran January 2018'!AC19/'FS Jimbaran January 2018'!AB19</f>
        <v>12220.828782723345</v>
      </c>
      <c r="I9" s="150">
        <f>'FS Jimbaran January 2018'!AE19</f>
        <v>126.69999999998254</v>
      </c>
      <c r="J9" s="151">
        <f>'FS Jimbaran January 2018'!AF19/'FS Jimbaran January 2018'!AE19</f>
        <v>8700.0000000000018</v>
      </c>
      <c r="K9" s="150">
        <f>'FS Jimbaran January 2018'!Q19</f>
        <v>393</v>
      </c>
      <c r="L9" s="159">
        <f>'FS Jimbaran January 2018'!V19/'FS Jimbaran January 2018'!Q19</f>
        <v>11225.090839694656</v>
      </c>
      <c r="M9" s="198">
        <v>69</v>
      </c>
      <c r="N9" s="199">
        <v>641</v>
      </c>
      <c r="O9" s="152" t="s">
        <v>15</v>
      </c>
    </row>
    <row r="10" spans="1:15">
      <c r="A10" s="147" t="s">
        <v>14</v>
      </c>
      <c r="B10" s="148">
        <f t="shared" si="0"/>
        <v>9</v>
      </c>
      <c r="C10" s="149">
        <v>1</v>
      </c>
      <c r="D10" s="148">
        <v>2018</v>
      </c>
      <c r="E10" s="150">
        <f>'FS Jimbaran January 2018'!P20</f>
        <v>22279.999999982807</v>
      </c>
      <c r="F10" s="159">
        <f>'FS Jimbaran January 2018'!O20/'FS Jimbaran January 2018'!P20</f>
        <v>1185.1963788151866</v>
      </c>
      <c r="G10" s="150">
        <f>'FS Jimbaran January 2018'!AB20</f>
        <v>79.831520000015232</v>
      </c>
      <c r="H10" s="159">
        <f>'FS Jimbaran January 2018'!AC20/'FS Jimbaran January 2018'!AB20</f>
        <v>10374.265986166825</v>
      </c>
      <c r="I10" s="150">
        <f>'FS Jimbaran January 2018'!AE20</f>
        <v>12.099999999918509</v>
      </c>
      <c r="J10" s="151">
        <f>'FS Jimbaran January 2018'!AF20/'FS Jimbaran January 2018'!AE20</f>
        <v>8700</v>
      </c>
      <c r="K10" s="150">
        <f>'FS Jimbaran January 2018'!Q20</f>
        <v>407</v>
      </c>
      <c r="L10" s="159">
        <f>'FS Jimbaran January 2018'!V20/'FS Jimbaran January 2018'!Q20</f>
        <v>11654.474447174447</v>
      </c>
      <c r="M10" s="198">
        <v>55</v>
      </c>
      <c r="N10" s="199">
        <v>539</v>
      </c>
    </row>
    <row r="11" spans="1:15">
      <c r="A11" s="147" t="s">
        <v>14</v>
      </c>
      <c r="B11" s="148">
        <f t="shared" si="0"/>
        <v>10</v>
      </c>
      <c r="C11" s="149">
        <v>1</v>
      </c>
      <c r="D11" s="148">
        <v>2018</v>
      </c>
      <c r="E11" s="150">
        <f>'FS Jimbaran January 2018'!P21</f>
        <v>21059.999999995398</v>
      </c>
      <c r="F11" s="159">
        <f>'FS Jimbaran January 2018'!O21/'FS Jimbaran January 2018'!P21</f>
        <v>1182.5892735042432</v>
      </c>
      <c r="G11" s="150">
        <f>'FS Jimbaran January 2018'!AB21</f>
        <v>76.891080000002333</v>
      </c>
      <c r="H11" s="159">
        <f>'FS Jimbaran January 2018'!AC21/'FS Jimbaran January 2018'!AB21</f>
        <v>10382.7275574748</v>
      </c>
      <c r="I11" s="150">
        <f>'FS Jimbaran January 2018'!AE21</f>
        <v>0.90000000011059456</v>
      </c>
      <c r="J11" s="151">
        <f>'FS Jimbaran January 2018'!AF21/'FS Jimbaran January 2018'!AE21</f>
        <v>8700</v>
      </c>
      <c r="K11" s="150">
        <f>'FS Jimbaran January 2018'!Q21</f>
        <v>382</v>
      </c>
      <c r="L11" s="159">
        <f>'FS Jimbaran January 2018'!V21/'FS Jimbaran January 2018'!Q21</f>
        <v>11346.284136125654</v>
      </c>
      <c r="M11" s="198">
        <v>57</v>
      </c>
      <c r="N11" s="199">
        <v>500</v>
      </c>
    </row>
    <row r="12" spans="1:15">
      <c r="A12" s="147" t="s">
        <v>14</v>
      </c>
      <c r="B12" s="148">
        <f t="shared" si="0"/>
        <v>11</v>
      </c>
      <c r="C12" s="149">
        <v>1</v>
      </c>
      <c r="D12" s="148">
        <v>2018</v>
      </c>
      <c r="E12" s="150">
        <f>'FS Jimbaran January 2018'!P22</f>
        <v>21300.000000024625</v>
      </c>
      <c r="F12" s="159">
        <f>'FS Jimbaran January 2018'!O22/'FS Jimbaran January 2018'!P22</f>
        <v>1182.5398140844588</v>
      </c>
      <c r="G12" s="150">
        <f>'FS Jimbaran January 2018'!AB22</f>
        <v>69.48299999999999</v>
      </c>
      <c r="H12" s="159">
        <f>'FS Jimbaran January 2018'!AC22/'FS Jimbaran January 2018'!AB22</f>
        <v>10153</v>
      </c>
      <c r="I12" s="150">
        <f>'FS Jimbaran January 2018'!AE22</f>
        <v>188.99999999994179</v>
      </c>
      <c r="J12" s="151">
        <f>'FS Jimbaran January 2018'!AF22/'FS Jimbaran January 2018'!AE22</f>
        <v>8700</v>
      </c>
      <c r="K12" s="150">
        <f>'FS Jimbaran January 2018'!Q22</f>
        <v>498.29999999999563</v>
      </c>
      <c r="L12" s="159">
        <f>'FS Jimbaran January 2018'!V22/'FS Jimbaran January 2018'!Q22</f>
        <v>9015.3059602649409</v>
      </c>
      <c r="M12" s="198">
        <v>43</v>
      </c>
      <c r="N12" s="199">
        <v>411</v>
      </c>
    </row>
    <row r="13" spans="1:15">
      <c r="A13" s="147" t="s">
        <v>14</v>
      </c>
      <c r="B13" s="148">
        <f t="shared" si="0"/>
        <v>12</v>
      </c>
      <c r="C13" s="149">
        <v>1</v>
      </c>
      <c r="D13" s="148">
        <v>2018</v>
      </c>
      <c r="E13" s="150">
        <f>'FS Jimbaran January 2018'!P23</f>
        <v>20659.999999978481</v>
      </c>
      <c r="F13" s="159">
        <f>'FS Jimbaran January 2018'!O23/'FS Jimbaran January 2018'!P23</f>
        <v>1182.8497303969268</v>
      </c>
      <c r="G13" s="150">
        <f>'FS Jimbaran January 2018'!AB23</f>
        <v>63.397280000008202</v>
      </c>
      <c r="H13" s="159">
        <f>'FS Jimbaran January 2018'!AC23/'FS Jimbaran January 2018'!AB23</f>
        <v>10431.623940963993</v>
      </c>
      <c r="I13" s="150">
        <f>'FS Jimbaran January 2018'!AE23</f>
        <v>251.49999999994179</v>
      </c>
      <c r="J13" s="151">
        <f>'FS Jimbaran January 2018'!AF23/'FS Jimbaran January 2018'!AE23</f>
        <v>8699.9999999999982</v>
      </c>
      <c r="K13" s="150">
        <f>'FS Jimbaran January 2018'!Q23</f>
        <v>525</v>
      </c>
      <c r="L13" s="159">
        <f>'FS Jimbaran January 2018'!V23/'FS Jimbaran January 2018'!Q23</f>
        <v>9070.3609142857149</v>
      </c>
      <c r="M13" s="198">
        <v>31</v>
      </c>
      <c r="N13" s="199">
        <v>359</v>
      </c>
    </row>
    <row r="14" spans="1:15">
      <c r="A14" s="147" t="s">
        <v>14</v>
      </c>
      <c r="B14" s="148">
        <f t="shared" si="0"/>
        <v>13</v>
      </c>
      <c r="C14" s="149">
        <v>1</v>
      </c>
      <c r="D14" s="148">
        <v>2018</v>
      </c>
      <c r="E14" s="150">
        <f>'FS Jimbaran January 2018'!P24</f>
        <v>20799.999999997795</v>
      </c>
      <c r="F14" s="159">
        <f>'FS Jimbaran January 2018'!O24/'FS Jimbaran January 2018'!P24</f>
        <v>1189.0057240385315</v>
      </c>
      <c r="G14" s="150">
        <f>'FS Jimbaran January 2018'!AB24</f>
        <v>334.17831999998009</v>
      </c>
      <c r="H14" s="159">
        <f>'FS Jimbaran January 2018'!AC24/'FS Jimbaran January 2018'!AB24</f>
        <v>11019.53736244774</v>
      </c>
      <c r="I14" s="150">
        <f>'FS Jimbaran January 2018'!AE24</f>
        <v>71.100000000005821</v>
      </c>
      <c r="J14" s="151">
        <f>'FS Jimbaran January 2018'!AF24/'FS Jimbaran January 2018'!AE24</f>
        <v>8700</v>
      </c>
      <c r="K14" s="150">
        <f>'FS Jimbaran January 2018'!Q24</f>
        <v>554</v>
      </c>
      <c r="L14" s="159">
        <f>'FS Jimbaran January 2018'!V24/'FS Jimbaran January 2018'!Q24</f>
        <v>9222.0775451263544</v>
      </c>
      <c r="M14" s="198">
        <v>31</v>
      </c>
      <c r="N14" s="199">
        <v>337</v>
      </c>
    </row>
    <row r="15" spans="1:15">
      <c r="A15" s="147" t="s">
        <v>14</v>
      </c>
      <c r="B15" s="148">
        <f t="shared" si="0"/>
        <v>14</v>
      </c>
      <c r="C15" s="149">
        <v>1</v>
      </c>
      <c r="D15" s="148">
        <v>2018</v>
      </c>
      <c r="E15" s="150">
        <f>'FS Jimbaran January 2018'!P25</f>
        <v>22020.000000004529</v>
      </c>
      <c r="F15" s="159">
        <f>'FS Jimbaran January 2018'!O25/'FS Jimbaran January 2018'!P25</f>
        <v>1181.9040040871221</v>
      </c>
      <c r="G15" s="150">
        <f>'FS Jimbaran January 2018'!AB25</f>
        <v>461.58812000000353</v>
      </c>
      <c r="H15" s="159">
        <f>'FS Jimbaran January 2018'!AC25/'FS Jimbaran January 2018'!AB25</f>
        <v>12244.258327878959</v>
      </c>
      <c r="I15" s="150">
        <f>'FS Jimbaran January 2018'!AE25</f>
        <v>95.800000000017462</v>
      </c>
      <c r="J15" s="151">
        <f>'FS Jimbaran January 2018'!AF25/'FS Jimbaran January 2018'!AE25</f>
        <v>8700</v>
      </c>
      <c r="K15" s="150">
        <f>'FS Jimbaran January 2018'!Q25</f>
        <v>525.90000000000146</v>
      </c>
      <c r="L15" s="159">
        <f>'FS Jimbaran January 2018'!V25/'FS Jimbaran January 2018'!Q25</f>
        <v>8859.0219053051787</v>
      </c>
      <c r="M15" s="198">
        <v>20</v>
      </c>
      <c r="N15" s="199">
        <v>231</v>
      </c>
    </row>
    <row r="16" spans="1:15">
      <c r="A16" s="147" t="s">
        <v>14</v>
      </c>
      <c r="B16" s="148">
        <f t="shared" si="0"/>
        <v>15</v>
      </c>
      <c r="C16" s="149">
        <v>1</v>
      </c>
      <c r="D16" s="148">
        <v>2018</v>
      </c>
      <c r="E16" s="150">
        <f>'FS Jimbaran January 2018'!P26</f>
        <v>22540.00000001895</v>
      </c>
      <c r="F16" s="159">
        <f>'FS Jimbaran January 2018'!O26/'FS Jimbaran January 2018'!P26</f>
        <v>1183.5877360247946</v>
      </c>
      <c r="G16" s="150">
        <f>'FS Jimbaran January 2018'!AB26</f>
        <v>117.8155600000164</v>
      </c>
      <c r="H16" s="159">
        <f>'FS Jimbaran January 2018'!AC26/'FS Jimbaran January 2018'!AB26</f>
        <v>10302.929262314738</v>
      </c>
      <c r="I16" s="150">
        <f>'FS Jimbaran January 2018'!AE26</f>
        <v>337.10000000006403</v>
      </c>
      <c r="J16" s="151">
        <f>'FS Jimbaran January 2018'!AF26/'FS Jimbaran January 2018'!AE26</f>
        <v>8700</v>
      </c>
      <c r="K16" s="150">
        <f>'FS Jimbaran January 2018'!Q26</f>
        <v>555.40000000000146</v>
      </c>
      <c r="L16" s="159">
        <f>'FS Jimbaran January 2018'!V26/'FS Jimbaran January 2018'!Q26</f>
        <v>9138.0664386027984</v>
      </c>
      <c r="M16" s="198">
        <v>17</v>
      </c>
      <c r="N16" s="199">
        <v>294</v>
      </c>
    </row>
    <row r="17" spans="1:14">
      <c r="A17" s="147" t="s">
        <v>14</v>
      </c>
      <c r="B17" s="148">
        <f t="shared" si="0"/>
        <v>16</v>
      </c>
      <c r="C17" s="149">
        <v>1</v>
      </c>
      <c r="D17" s="148">
        <v>2018</v>
      </c>
      <c r="E17" s="150">
        <f>'FS Jimbaran January 2018'!P27</f>
        <v>21859.999999994103</v>
      </c>
      <c r="F17" s="159">
        <f>'FS Jimbaran January 2018'!O27/'FS Jimbaran January 2018'!P27</f>
        <v>1183.5895018298186</v>
      </c>
      <c r="G17" s="150">
        <f>'FS Jimbaran January 2018'!AB27</f>
        <v>90.7911199999742</v>
      </c>
      <c r="H17" s="159">
        <f>'FS Jimbaran January 2018'!AC27/'FS Jimbaran January 2018'!AB27</f>
        <v>10153</v>
      </c>
      <c r="I17" s="150">
        <f>'FS Jimbaran January 2018'!AE27</f>
        <v>250.5000000000291</v>
      </c>
      <c r="J17" s="151">
        <f>'FS Jimbaran January 2018'!AF27/'FS Jimbaran January 2018'!AE27</f>
        <v>8700</v>
      </c>
      <c r="K17" s="150">
        <f>'FS Jimbaran January 2018'!Q27</f>
        <v>558.59999999999854</v>
      </c>
      <c r="L17" s="159">
        <f>'FS Jimbaran January 2018'!V27/'FS Jimbaran January 2018'!Q27</f>
        <v>9159.9017185821813</v>
      </c>
      <c r="M17" s="198">
        <v>27</v>
      </c>
      <c r="N17" s="199">
        <v>292</v>
      </c>
    </row>
    <row r="18" spans="1:14">
      <c r="A18" s="147" t="s">
        <v>14</v>
      </c>
      <c r="B18" s="148">
        <f t="shared" si="0"/>
        <v>17</v>
      </c>
      <c r="C18" s="149">
        <v>1</v>
      </c>
      <c r="D18" s="148">
        <v>2018</v>
      </c>
      <c r="E18" s="150">
        <f>'FS Jimbaran January 2018'!P28</f>
        <v>21539.999999999509</v>
      </c>
      <c r="F18" s="159">
        <f>'FS Jimbaran January 2018'!O28/'FS Jimbaran January 2018'!P28</f>
        <v>1181.9865501392724</v>
      </c>
      <c r="G18" s="150">
        <f>'FS Jimbaran January 2018'!AB28</f>
        <v>70.852520000015232</v>
      </c>
      <c r="H18" s="159">
        <f>'FS Jimbaran January 2018'!AC28/'FS Jimbaran January 2018'!AB28</f>
        <v>10153</v>
      </c>
      <c r="I18" s="150">
        <f>'FS Jimbaran January 2018'!AE28</f>
        <v>408.29999999987194</v>
      </c>
      <c r="J18" s="151">
        <f>'FS Jimbaran January 2018'!AF28/'FS Jimbaran January 2018'!AE28</f>
        <v>8700</v>
      </c>
      <c r="K18" s="150">
        <f>'FS Jimbaran January 2018'!Q28</f>
        <v>544</v>
      </c>
      <c r="L18" s="159">
        <f>'FS Jimbaran January 2018'!V28/'FS Jimbaran January 2018'!Q28</f>
        <v>8913.6052941176476</v>
      </c>
      <c r="M18" s="198">
        <v>33</v>
      </c>
      <c r="N18" s="199">
        <v>266</v>
      </c>
    </row>
    <row r="19" spans="1:14">
      <c r="A19" s="147" t="s">
        <v>14</v>
      </c>
      <c r="B19" s="148">
        <f t="shared" si="0"/>
        <v>18</v>
      </c>
      <c r="C19" s="149">
        <v>1</v>
      </c>
      <c r="D19" s="148">
        <v>2018</v>
      </c>
      <c r="E19" s="150">
        <f>'FS Jimbaran January 2018'!P29</f>
        <v>22479.999999994448</v>
      </c>
      <c r="F19" s="159">
        <f>'FS Jimbaran January 2018'!O29/'FS Jimbaran January 2018'!P29</f>
        <v>1181.4250435943843</v>
      </c>
      <c r="G19" s="150">
        <f>'FS Jimbaran January 2018'!AB29</f>
        <v>80.801679999990611</v>
      </c>
      <c r="H19" s="159">
        <f>'FS Jimbaran January 2018'!AC29/'FS Jimbaran January 2018'!AB29</f>
        <v>10153</v>
      </c>
      <c r="I19" s="150">
        <f>'FS Jimbaran January 2018'!AE29</f>
        <v>42.400000000052387</v>
      </c>
      <c r="J19" s="151">
        <f>'FS Jimbaran January 2018'!AF29/'FS Jimbaran January 2018'!AE29</f>
        <v>8700</v>
      </c>
      <c r="K19" s="150">
        <f>'FS Jimbaran January 2018'!Q29</f>
        <v>486.90000000000146</v>
      </c>
      <c r="L19" s="159">
        <f>'FS Jimbaran January 2018'!V29/'FS Jimbaran January 2018'!Q29</f>
        <v>8266.7128773875429</v>
      </c>
      <c r="M19" s="198">
        <v>66</v>
      </c>
      <c r="N19" s="199">
        <v>385</v>
      </c>
    </row>
    <row r="20" spans="1:14">
      <c r="A20" s="147" t="s">
        <v>14</v>
      </c>
      <c r="B20" s="148">
        <f t="shared" si="0"/>
        <v>19</v>
      </c>
      <c r="C20" s="149">
        <v>1</v>
      </c>
      <c r="D20" s="148">
        <v>2018</v>
      </c>
      <c r="E20" s="150">
        <f>'FS Jimbaran January 2018'!P30</f>
        <v>20680.000000001201</v>
      </c>
      <c r="F20" s="159">
        <f>'FS Jimbaran January 2018'!O30/'FS Jimbaran January 2018'!P30</f>
        <v>1184.3352940038108</v>
      </c>
      <c r="G20" s="150">
        <f>'FS Jimbaran January 2018'!AB30</f>
        <v>320.49</v>
      </c>
      <c r="H20" s="159">
        <f>'FS Jimbaran January 2018'!AC30/'FS Jimbaran January 2018'!AB30</f>
        <v>10946.316484133669</v>
      </c>
      <c r="I20" s="150">
        <f>'FS Jimbaran January 2018'!AE30</f>
        <v>46.199999999953434</v>
      </c>
      <c r="J20" s="151">
        <f>'FS Jimbaran January 2018'!AF30/'FS Jimbaran January 2018'!AE30</f>
        <v>8700</v>
      </c>
      <c r="K20" s="150">
        <f>'FS Jimbaran January 2018'!Q30</f>
        <v>353.5</v>
      </c>
      <c r="L20" s="159">
        <f>'FS Jimbaran January 2018'!V30/'FS Jimbaran January 2018'!Q30</f>
        <v>11096.294936350778</v>
      </c>
      <c r="M20" s="198">
        <v>67</v>
      </c>
      <c r="N20" s="199">
        <v>442</v>
      </c>
    </row>
    <row r="21" spans="1:14">
      <c r="A21" s="147" t="s">
        <v>14</v>
      </c>
      <c r="B21" s="148">
        <f t="shared" si="0"/>
        <v>20</v>
      </c>
      <c r="C21" s="149">
        <v>1</v>
      </c>
      <c r="D21" s="148">
        <v>2018</v>
      </c>
      <c r="E21" s="150">
        <f>'FS Jimbaran January 2018'!P31</f>
        <v>19519.999999990774</v>
      </c>
      <c r="F21" s="159">
        <f>'FS Jimbaran January 2018'!O31/'FS Jimbaran January 2018'!P31</f>
        <v>1178.9426250000708</v>
      </c>
      <c r="G21" s="150">
        <f>'FS Jimbaran January 2018'!AB31</f>
        <v>498.51799999999997</v>
      </c>
      <c r="H21" s="159">
        <f>'FS Jimbaran January 2018'!AC31/'FS Jimbaran January 2018'!AB31</f>
        <v>12160.205356677192</v>
      </c>
      <c r="I21" s="150">
        <f>'FS Jimbaran January 2018'!AE31</f>
        <v>118.50000000005821</v>
      </c>
      <c r="J21" s="151">
        <f>'FS Jimbaran January 2018'!AF31/'FS Jimbaran January 2018'!AE31</f>
        <v>8700</v>
      </c>
      <c r="K21" s="150">
        <f>'FS Jimbaran January 2018'!Q31</f>
        <v>527</v>
      </c>
      <c r="L21" s="159">
        <f>'FS Jimbaran January 2018'!V31/'FS Jimbaran January 2018'!Q31</f>
        <v>8672.2659962049329</v>
      </c>
      <c r="M21" s="198">
        <v>66</v>
      </c>
      <c r="N21" s="199">
        <v>526</v>
      </c>
    </row>
    <row r="22" spans="1:14">
      <c r="A22" s="147" t="s">
        <v>14</v>
      </c>
      <c r="B22" s="148">
        <f t="shared" si="0"/>
        <v>21</v>
      </c>
      <c r="C22" s="149">
        <v>1</v>
      </c>
      <c r="D22" s="148">
        <v>2018</v>
      </c>
      <c r="E22" s="150">
        <f>'FS Jimbaran January 2018'!P32</f>
        <v>17919.999999997686</v>
      </c>
      <c r="F22" s="159">
        <f>'FS Jimbaran January 2018'!O32/'FS Jimbaran January 2018'!P32</f>
        <v>1179.818156250021</v>
      </c>
      <c r="G22" s="150">
        <f>'FS Jimbaran January 2018'!AB32</f>
        <v>83.577560000016405</v>
      </c>
      <c r="H22" s="159">
        <f>'FS Jimbaran January 2018'!AC32/'FS Jimbaran January 2018'!AB32</f>
        <v>10364.348596441396</v>
      </c>
      <c r="I22" s="150">
        <f>'FS Jimbaran January 2018'!AE32</f>
        <v>129.4999999999709</v>
      </c>
      <c r="J22" s="151">
        <f>'FS Jimbaran January 2018'!AF32/'FS Jimbaran January 2018'!AE32</f>
        <v>8700</v>
      </c>
      <c r="K22" s="150">
        <f>'FS Jimbaran January 2018'!Q32</f>
        <v>395.5</v>
      </c>
      <c r="L22" s="159">
        <f>'FS Jimbaran January 2018'!V32/'FS Jimbaran January 2018'!Q32</f>
        <v>5699.2754487989887</v>
      </c>
      <c r="M22" s="198">
        <v>71</v>
      </c>
      <c r="N22" s="199">
        <v>452</v>
      </c>
    </row>
    <row r="23" spans="1:14">
      <c r="A23" s="147" t="s">
        <v>14</v>
      </c>
      <c r="B23" s="148">
        <f t="shared" si="0"/>
        <v>22</v>
      </c>
      <c r="C23" s="149">
        <v>1</v>
      </c>
      <c r="D23" s="148">
        <v>2018</v>
      </c>
      <c r="E23" s="150">
        <f>'FS Jimbaran January 2018'!P33</f>
        <v>18939.999999999942</v>
      </c>
      <c r="F23" s="159">
        <f>'FS Jimbaran January 2018'!O33/'FS Jimbaran January 2018'!P33</f>
        <v>1182.8891974657352</v>
      </c>
      <c r="G23" s="150">
        <f>'FS Jimbaran January 2018'!AB33</f>
        <v>74.31659999998827</v>
      </c>
      <c r="H23" s="159">
        <f>'FS Jimbaran January 2018'!AC33/'FS Jimbaran January 2018'!AB33</f>
        <v>10153</v>
      </c>
      <c r="I23" s="150">
        <f>'FS Jimbaran January 2018'!AE33</f>
        <v>108.69999999995343</v>
      </c>
      <c r="J23" s="151">
        <f>'FS Jimbaran January 2018'!AF33/'FS Jimbaran January 2018'!AE33</f>
        <v>8700</v>
      </c>
      <c r="K23" s="150">
        <f>'FS Jimbaran January 2018'!Q33</f>
        <v>481</v>
      </c>
      <c r="L23" s="159">
        <f>'FS Jimbaran January 2018'!V33/'FS Jimbaran January 2018'!Q33</f>
        <v>7783.0683991683991</v>
      </c>
      <c r="M23" s="198">
        <v>59</v>
      </c>
      <c r="N23" s="199">
        <v>423</v>
      </c>
    </row>
    <row r="24" spans="1:14">
      <c r="A24" s="147" t="s">
        <v>14</v>
      </c>
      <c r="B24" s="148">
        <f t="shared" si="0"/>
        <v>23</v>
      </c>
      <c r="C24" s="149">
        <v>1</v>
      </c>
      <c r="D24" s="148">
        <v>2018</v>
      </c>
      <c r="E24" s="150">
        <f>'FS Jimbaran January 2018'!P34</f>
        <v>17960.000000008109</v>
      </c>
      <c r="F24" s="159">
        <f>'FS Jimbaran January 2018'!O34/'FS Jimbaran January 2018'!P34</f>
        <v>1185.0626575722333</v>
      </c>
      <c r="G24" s="150">
        <f>'FS Jimbaran January 2018'!AB34</f>
        <v>98.517999999999986</v>
      </c>
      <c r="H24" s="159">
        <f>'FS Jimbaran January 2018'!AC34/'FS Jimbaran January 2018'!AB34</f>
        <v>10511.59436854179</v>
      </c>
      <c r="I24" s="150">
        <f>'FS Jimbaran January 2018'!AE34</f>
        <v>876.20000000009895</v>
      </c>
      <c r="J24" s="151">
        <f>'FS Jimbaran January 2018'!AF34/'FS Jimbaran January 2018'!AE34</f>
        <v>8700</v>
      </c>
      <c r="K24" s="150">
        <f>'FS Jimbaran January 2018'!Q34</f>
        <v>489</v>
      </c>
      <c r="L24" s="159">
        <f>'FS Jimbaran January 2018'!V34/'FS Jimbaran January 2018'!Q34</f>
        <v>8031.8635582822089</v>
      </c>
      <c r="M24" s="198">
        <v>54</v>
      </c>
      <c r="N24" s="199">
        <v>392</v>
      </c>
    </row>
    <row r="25" spans="1:14">
      <c r="A25" s="147" t="s">
        <v>14</v>
      </c>
      <c r="B25" s="148">
        <f t="shared" si="0"/>
        <v>24</v>
      </c>
      <c r="C25" s="149">
        <v>1</v>
      </c>
      <c r="D25" s="148">
        <v>2018</v>
      </c>
      <c r="E25" s="150">
        <f>'FS Jimbaran January 2018'!P35</f>
        <v>18999.99999998579</v>
      </c>
      <c r="F25" s="159">
        <f>'FS Jimbaran January 2018'!O35/'FS Jimbaran January 2018'!P35</f>
        <v>1179.1537578948098</v>
      </c>
      <c r="G25" s="150">
        <f>'FS Jimbaran January 2018'!AB35</f>
        <v>61.708959999998818</v>
      </c>
      <c r="H25" s="159">
        <f>'FS Jimbaran January 2018'!AC35/'FS Jimbaran January 2018'!AB35</f>
        <v>10153</v>
      </c>
      <c r="I25" s="150">
        <f>'FS Jimbaran January 2018'!AE35</f>
        <v>731.09999999999388</v>
      </c>
      <c r="J25" s="151">
        <f>'FS Jimbaran January 2018'!AF35/'FS Jimbaran January 2018'!AE35</f>
        <v>8700</v>
      </c>
      <c r="K25" s="150">
        <f>'FS Jimbaran January 2018'!Q35</f>
        <v>358</v>
      </c>
      <c r="L25" s="159">
        <f>'FS Jimbaran January 2018'!V35/'FS Jimbaran January 2018'!Q35</f>
        <v>4582.2</v>
      </c>
      <c r="M25" s="198">
        <v>39</v>
      </c>
      <c r="N25" s="199">
        <v>317</v>
      </c>
    </row>
    <row r="26" spans="1:14">
      <c r="A26" s="147" t="s">
        <v>14</v>
      </c>
      <c r="B26" s="148">
        <f>B25+1</f>
        <v>25</v>
      </c>
      <c r="C26" s="149">
        <v>1</v>
      </c>
      <c r="D26" s="148">
        <v>2018</v>
      </c>
      <c r="E26" s="150">
        <f>'FS Jimbaran January 2018'!P36</f>
        <v>17980.000000010819</v>
      </c>
      <c r="F26" s="159">
        <f>'FS Jimbaran January 2018'!O36/'FS Jimbaran January 2018'!P36</f>
        <v>1179.5103170188638</v>
      </c>
      <c r="G26" s="150">
        <f>'FS Jimbaran January 2018'!AB36</f>
        <v>325.56528000000822</v>
      </c>
      <c r="H26" s="159">
        <f>'FS Jimbaran January 2018'!AC36/'FS Jimbaran January 2018'!AB36</f>
        <v>10933.949369048178</v>
      </c>
      <c r="I26" s="150">
        <f>'FS Jimbaran January 2018'!AE36</f>
        <v>538.09999999997672</v>
      </c>
      <c r="J26" s="151">
        <f>'FS Jimbaran January 2018'!AF36/'FS Jimbaran January 2018'!AE36</f>
        <v>8700</v>
      </c>
      <c r="K26" s="150">
        <f>'FS Jimbaran January 2018'!Q36</f>
        <v>364</v>
      </c>
      <c r="L26" s="159">
        <f>'FS Jimbaran January 2018'!V36/'FS Jimbaran January 2018'!Q36</f>
        <v>4582.2</v>
      </c>
      <c r="M26" s="198">
        <v>39</v>
      </c>
      <c r="N26" s="199">
        <v>334</v>
      </c>
    </row>
    <row r="27" spans="1:14">
      <c r="A27" s="147" t="s">
        <v>14</v>
      </c>
      <c r="B27" s="148">
        <f t="shared" si="0"/>
        <v>26</v>
      </c>
      <c r="C27" s="149">
        <v>1</v>
      </c>
      <c r="D27" s="148">
        <v>2018</v>
      </c>
      <c r="E27" s="150">
        <f>'FS Jimbaran January 2018'!P37</f>
        <v>18360.000000004562</v>
      </c>
      <c r="F27" s="159">
        <f>'FS Jimbaran January 2018'!O37/'FS Jimbaran January 2018'!P37</f>
        <v>1185.3080441176787</v>
      </c>
      <c r="G27" s="150">
        <f>'FS Jimbaran January 2018'!AB37</f>
        <v>486.03463999998945</v>
      </c>
      <c r="H27" s="159">
        <f>'FS Jimbaran January 2018'!AC37/'FS Jimbaran January 2018'!AB37</f>
        <v>12175.415521659157</v>
      </c>
      <c r="I27" s="150">
        <f>'FS Jimbaran January 2018'!AE37</f>
        <v>554.79999999995925</v>
      </c>
      <c r="J27" s="151">
        <f>'FS Jimbaran January 2018'!AF37/'FS Jimbaran January 2018'!AE37</f>
        <v>8700</v>
      </c>
      <c r="K27" s="150">
        <f>'FS Jimbaran January 2018'!Q37</f>
        <v>225.80000000000291</v>
      </c>
      <c r="L27" s="159">
        <f>'FS Jimbaran January 2018'!V37/'FS Jimbaran January 2018'!Q37</f>
        <v>4582.2</v>
      </c>
      <c r="M27" s="198">
        <v>39</v>
      </c>
      <c r="N27" s="199">
        <v>376</v>
      </c>
    </row>
    <row r="28" spans="1:14">
      <c r="A28" s="147" t="s">
        <v>14</v>
      </c>
      <c r="B28" s="148">
        <f t="shared" si="0"/>
        <v>27</v>
      </c>
      <c r="C28" s="149">
        <v>1</v>
      </c>
      <c r="D28" s="148">
        <v>2018</v>
      </c>
      <c r="E28" s="150">
        <f>'FS Jimbaran January 2018'!P38</f>
        <v>18000.000000004435</v>
      </c>
      <c r="F28" s="159">
        <f>'FS Jimbaran January 2018'!O38/'FS Jimbaran January 2018'!P38</f>
        <v>1177.5955449999062</v>
      </c>
      <c r="G28" s="150">
        <f>'FS Jimbaran January 2018'!AB38</f>
        <v>87.642400000011719</v>
      </c>
      <c r="H28" s="159">
        <f>'FS Jimbaran January 2018'!AC38/'FS Jimbaran January 2018'!AB38</f>
        <v>10556.092567067941</v>
      </c>
      <c r="I28" s="150">
        <f>'FS Jimbaran January 2018'!AE38</f>
        <v>539.70000000001164</v>
      </c>
      <c r="J28" s="151">
        <f>'FS Jimbaran January 2018'!AF38/'FS Jimbaran January 2018'!AE38</f>
        <v>8700</v>
      </c>
      <c r="K28" s="150">
        <f>'FS Jimbaran January 2018'!Q38</f>
        <v>223</v>
      </c>
      <c r="L28" s="159">
        <f>'FS Jimbaran January 2018'!V38/'FS Jimbaran January 2018'!Q38</f>
        <v>6803.5240358744386</v>
      </c>
      <c r="M28" s="198">
        <v>41</v>
      </c>
      <c r="N28" s="199">
        <v>436</v>
      </c>
    </row>
    <row r="29" spans="1:14">
      <c r="A29" s="147" t="s">
        <v>14</v>
      </c>
      <c r="B29" s="148">
        <f t="shared" si="0"/>
        <v>28</v>
      </c>
      <c r="C29" s="149">
        <v>1</v>
      </c>
      <c r="D29" s="148">
        <v>2018</v>
      </c>
      <c r="E29" s="150">
        <f>'FS Jimbaran January 2018'!P39</f>
        <v>18879.999999993288</v>
      </c>
      <c r="F29" s="159">
        <f>'FS Jimbaran January 2018'!O39/'FS Jimbaran January 2018'!P39</f>
        <v>1186.6483792373247</v>
      </c>
      <c r="G29" s="150">
        <f>'FS Jimbaran January 2018'!AB39</f>
        <v>73.708959999998825</v>
      </c>
      <c r="H29" s="159">
        <f>'FS Jimbaran January 2018'!AC39/'FS Jimbaran January 2018'!AB39</f>
        <v>10392.645220879527</v>
      </c>
      <c r="I29" s="150">
        <f>'FS Jimbaran January 2018'!AE39</f>
        <v>458.20000000006985</v>
      </c>
      <c r="J29" s="151">
        <f>'FS Jimbaran January 2018'!AF39/'FS Jimbaran January 2018'!AE39</f>
        <v>8700</v>
      </c>
      <c r="K29" s="150">
        <f>'FS Jimbaran January 2018'!Q39</f>
        <v>223</v>
      </c>
      <c r="L29" s="159">
        <f>'FS Jimbaran January 2018'!V39/'FS Jimbaran January 2018'!Q39</f>
        <v>6143.1304035874437</v>
      </c>
      <c r="M29" s="198">
        <v>42</v>
      </c>
      <c r="N29" s="199">
        <v>363</v>
      </c>
    </row>
    <row r="30" spans="1:14">
      <c r="A30" s="147" t="s">
        <v>14</v>
      </c>
      <c r="B30" s="148">
        <f t="shared" si="0"/>
        <v>29</v>
      </c>
      <c r="C30" s="149">
        <v>1</v>
      </c>
      <c r="D30" s="148">
        <v>2018</v>
      </c>
      <c r="E30" s="150">
        <f>'FS Jimbaran January 2018'!P40</f>
        <v>19500.000000011256</v>
      </c>
      <c r="F30" s="159">
        <f>'FS Jimbaran January 2018'!O40/'FS Jimbaran January 2018'!P40</f>
        <v>1179.0363415384365</v>
      </c>
      <c r="G30" s="150">
        <f>'FS Jimbaran January 2018'!AB40</f>
        <v>86.96108000000234</v>
      </c>
      <c r="H30" s="159">
        <f>'FS Jimbaran January 2018'!AC40/'FS Jimbaran January 2018'!AB40</f>
        <v>10356.125352169034</v>
      </c>
      <c r="I30" s="150">
        <f>'FS Jimbaran January 2018'!AE40</f>
        <v>376.9999999999709</v>
      </c>
      <c r="J30" s="151">
        <f>'FS Jimbaran January 2018'!AF40/'FS Jimbaran January 2018'!AE40</f>
        <v>8700</v>
      </c>
      <c r="K30" s="150">
        <f>'FS Jimbaran January 2018'!Q40</f>
        <v>371</v>
      </c>
      <c r="L30" s="159">
        <f>'FS Jimbaran January 2018'!V40/'FS Jimbaran January 2018'!Q40</f>
        <v>11330.319299191375</v>
      </c>
      <c r="M30" s="198">
        <v>47</v>
      </c>
      <c r="N30" s="199">
        <v>363</v>
      </c>
    </row>
    <row r="31" spans="1:14">
      <c r="A31" s="147" t="s">
        <v>14</v>
      </c>
      <c r="B31" s="148">
        <f t="shared" si="0"/>
        <v>30</v>
      </c>
      <c r="C31" s="149">
        <v>1</v>
      </c>
      <c r="D31" s="148">
        <v>2018</v>
      </c>
      <c r="E31" s="150">
        <f>'FS Jimbaran January 2018'!P41</f>
        <v>19479.999999992629</v>
      </c>
      <c r="F31" s="159">
        <f>'FS Jimbaran January 2018'!O41/'FS Jimbaran January 2018'!P41</f>
        <v>1184.7132535935141</v>
      </c>
      <c r="G31" s="150">
        <f>'FS Jimbaran January 2018'!AB41</f>
        <v>105.32187999999648</v>
      </c>
      <c r="H31" s="159">
        <f>'FS Jimbaran January 2018'!AC41/'FS Jimbaran January 2018'!AB41</f>
        <v>15958.935101044724</v>
      </c>
      <c r="I31" s="150">
        <f>'FS Jimbaran January 2018'!AE41</f>
        <v>395.80000000001746</v>
      </c>
      <c r="J31" s="151">
        <f>'FS Jimbaran January 2018'!AF41/'FS Jimbaran January 2018'!AE41</f>
        <v>8700</v>
      </c>
      <c r="K31" s="150">
        <f>'FS Jimbaran January 2018'!Q41</f>
        <v>396</v>
      </c>
      <c r="L31" s="159">
        <f>'FS Jimbaran January 2018'!V41/'FS Jimbaran January 2018'!Q41</f>
        <v>11580.462272727274</v>
      </c>
      <c r="M31" s="198">
        <v>55</v>
      </c>
      <c r="N31" s="199">
        <v>403</v>
      </c>
    </row>
    <row r="32" spans="1:14">
      <c r="A32" s="147" t="s">
        <v>14</v>
      </c>
      <c r="B32" s="148">
        <f t="shared" si="0"/>
        <v>31</v>
      </c>
      <c r="C32" s="149">
        <v>1</v>
      </c>
      <c r="D32" s="148">
        <v>2018</v>
      </c>
      <c r="E32" s="150">
        <f>'FS Jimbaran January 2018'!P42</f>
        <v>28879.999999987831</v>
      </c>
      <c r="F32" s="159">
        <f>'FS Jimbaran January 2018'!O42/'FS Jimbaran January 2018'!P42</f>
        <v>1150.4582046398841</v>
      </c>
      <c r="G32" s="150">
        <f>'FS Jimbaran January 2018'!AB42</f>
        <v>727.65983999999526</v>
      </c>
      <c r="H32" s="159">
        <f>'FS Jimbaran January 2018'!AC42/'FS Jimbaran January 2018'!AB42</f>
        <v>11061.460194807514</v>
      </c>
      <c r="I32" s="150">
        <f>'FS Jimbaran January 2018'!AE42</f>
        <v>544.4999999999709</v>
      </c>
      <c r="J32" s="151">
        <f>'FS Jimbaran January 2018'!AF42/'FS Jimbaran January 2018'!AE42</f>
        <v>8700</v>
      </c>
      <c r="K32" s="150">
        <f>'FS Jimbaran January 2018'!Q42</f>
        <v>395</v>
      </c>
      <c r="L32" s="159">
        <f>'FS Jimbaran January 2018'!V42/'FS Jimbaran January 2018'!Q42</f>
        <v>11259.243189873418</v>
      </c>
      <c r="M32" s="198">
        <v>51</v>
      </c>
      <c r="N32" s="199">
        <v>432</v>
      </c>
    </row>
    <row r="33" spans="5:14">
      <c r="E33" s="157"/>
      <c r="G33" s="157"/>
      <c r="K33" s="157"/>
      <c r="M33" s="157"/>
      <c r="N33" s="15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H113"/>
  <sheetViews>
    <sheetView tabSelected="1" zoomScale="62" zoomScaleNormal="62" workbookViewId="0">
      <pane xSplit="4" ySplit="10" topLeftCell="W34" activePane="bottomRight" state="frozen"/>
      <selection pane="bottomRight" activeCell="AB47" sqref="AB47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13.140625" style="3" customWidth="1"/>
    <col min="4" max="4" width="13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0" bestFit="1" customWidth="1"/>
    <col min="14" max="14" width="20.42578125" style="64" customWidth="1"/>
    <col min="15" max="15" width="20.7109375" customWidth="1"/>
    <col min="16" max="16" width="15.140625" style="64" customWidth="1"/>
    <col min="17" max="17" width="17.42578125" bestFit="1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7.85546875" bestFit="1" customWidth="1"/>
    <col min="23" max="23" width="9.85546875" customWidth="1"/>
    <col min="24" max="24" width="15.85546875" bestFit="1" customWidth="1"/>
    <col min="25" max="25" width="12.85546875" style="3" bestFit="1" customWidth="1"/>
    <col min="26" max="26" width="14.85546875" customWidth="1"/>
    <col min="27" max="27" width="12.28515625" bestFit="1" customWidth="1"/>
    <col min="28" max="28" width="10.7109375" bestFit="1" customWidth="1"/>
    <col min="29" max="29" width="19" style="3" customWidth="1"/>
    <col min="30" max="30" width="10.5703125" customWidth="1"/>
    <col min="31" max="31" width="13.28515625" style="82" bestFit="1" customWidth="1"/>
    <col min="32" max="32" width="20.7109375" bestFit="1" customWidth="1"/>
    <col min="33" max="33" width="11.7109375" style="37" customWidth="1"/>
    <col min="34" max="34" width="2.28515625" style="7" customWidth="1"/>
  </cols>
  <sheetData>
    <row r="5" spans="1:34">
      <c r="N5" s="160"/>
      <c r="S5" s="161"/>
    </row>
    <row r="6" spans="1:34" s="22" customFormat="1" ht="18.75">
      <c r="B6" s="22" t="s">
        <v>16</v>
      </c>
      <c r="C6" s="30"/>
      <c r="E6" s="30"/>
      <c r="F6" s="30"/>
      <c r="H6" s="30"/>
      <c r="L6" s="30"/>
      <c r="M6" s="55"/>
      <c r="N6" s="61"/>
      <c r="P6" s="61"/>
      <c r="Y6" s="30"/>
      <c r="AC6" s="30"/>
      <c r="AE6" s="79"/>
      <c r="AG6" s="33"/>
    </row>
    <row r="7" spans="1:34" s="11" customFormat="1">
      <c r="A7" s="26"/>
      <c r="B7" s="202" t="s">
        <v>17</v>
      </c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4"/>
      <c r="AH7" s="26"/>
    </row>
    <row r="8" spans="1:34" s="7" customFormat="1" ht="15.75" customHeight="1">
      <c r="A8" s="23"/>
      <c r="B8" s="205" t="s">
        <v>18</v>
      </c>
      <c r="C8" s="208" t="s">
        <v>19</v>
      </c>
      <c r="D8" s="211" t="s">
        <v>13</v>
      </c>
      <c r="E8" s="214" t="s">
        <v>20</v>
      </c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5" t="s">
        <v>21</v>
      </c>
      <c r="R8" s="216"/>
      <c r="S8" s="216"/>
      <c r="T8" s="216"/>
      <c r="U8" s="216"/>
      <c r="V8" s="216"/>
      <c r="W8" s="217"/>
      <c r="X8" s="218" t="s">
        <v>22</v>
      </c>
      <c r="Y8" s="218"/>
      <c r="Z8" s="218"/>
      <c r="AA8" s="218"/>
      <c r="AB8" s="218"/>
      <c r="AC8" s="218"/>
      <c r="AD8" s="218"/>
      <c r="AE8" s="218"/>
      <c r="AF8" s="218"/>
      <c r="AG8" s="219"/>
      <c r="AH8" s="25"/>
    </row>
    <row r="9" spans="1:34" ht="15" customHeight="1">
      <c r="B9" s="206"/>
      <c r="C9" s="209"/>
      <c r="D9" s="212"/>
      <c r="E9" s="220" t="s">
        <v>23</v>
      </c>
      <c r="F9" s="221"/>
      <c r="G9" s="221"/>
      <c r="H9" s="221"/>
      <c r="I9" s="222"/>
      <c r="J9" s="223" t="s">
        <v>24</v>
      </c>
      <c r="K9" s="223"/>
      <c r="L9" s="223"/>
      <c r="M9" s="223"/>
      <c r="N9" s="224"/>
      <c r="O9" s="211" t="s">
        <v>25</v>
      </c>
      <c r="P9" s="225" t="s">
        <v>26</v>
      </c>
      <c r="Q9" s="49"/>
      <c r="R9" s="49" t="s">
        <v>27</v>
      </c>
      <c r="S9" s="49"/>
      <c r="T9" s="50"/>
      <c r="U9" s="163"/>
      <c r="V9" s="200" t="s">
        <v>28</v>
      </c>
      <c r="W9" s="201"/>
      <c r="X9" s="218" t="s">
        <v>29</v>
      </c>
      <c r="Y9" s="218"/>
      <c r="Z9" s="218"/>
      <c r="AA9" s="218"/>
      <c r="AB9" s="218"/>
      <c r="AC9" s="218"/>
      <c r="AD9" s="219"/>
      <c r="AE9" s="128" t="s">
        <v>30</v>
      </c>
      <c r="AF9" s="32"/>
      <c r="AG9" s="34"/>
    </row>
    <row r="10" spans="1:34" ht="61.5" customHeight="1">
      <c r="A10" s="24"/>
      <c r="B10" s="207"/>
      <c r="C10" s="210"/>
      <c r="D10" s="213"/>
      <c r="E10" s="92" t="s">
        <v>31</v>
      </c>
      <c r="F10" s="77" t="s">
        <v>32</v>
      </c>
      <c r="G10" s="123" t="s">
        <v>33</v>
      </c>
      <c r="H10" s="16" t="s">
        <v>32</v>
      </c>
      <c r="I10" s="93" t="s">
        <v>34</v>
      </c>
      <c r="J10" s="92" t="s">
        <v>31</v>
      </c>
      <c r="K10" s="78" t="s">
        <v>32</v>
      </c>
      <c r="L10" s="123" t="s">
        <v>33</v>
      </c>
      <c r="M10" s="56" t="s">
        <v>32</v>
      </c>
      <c r="N10" s="85" t="s">
        <v>35</v>
      </c>
      <c r="O10" s="213"/>
      <c r="P10" s="226"/>
      <c r="Q10" s="164" t="s">
        <v>36</v>
      </c>
      <c r="R10" s="51" t="s">
        <v>37</v>
      </c>
      <c r="S10" s="51" t="s">
        <v>38</v>
      </c>
      <c r="T10" s="20" t="s">
        <v>39</v>
      </c>
      <c r="U10" s="20" t="s">
        <v>40</v>
      </c>
      <c r="V10" s="20" t="s">
        <v>41</v>
      </c>
      <c r="W10" s="12" t="s">
        <v>42</v>
      </c>
      <c r="X10" s="115" t="s">
        <v>43</v>
      </c>
      <c r="Y10" s="44" t="s">
        <v>44</v>
      </c>
      <c r="Z10" s="43" t="s">
        <v>45</v>
      </c>
      <c r="AA10" s="43" t="s">
        <v>46</v>
      </c>
      <c r="AB10" s="43" t="s">
        <v>47</v>
      </c>
      <c r="AC10" s="44" t="s">
        <v>41</v>
      </c>
      <c r="AD10" s="45" t="s">
        <v>42</v>
      </c>
      <c r="AE10" s="129" t="s">
        <v>48</v>
      </c>
      <c r="AF10" s="43" t="s">
        <v>41</v>
      </c>
      <c r="AG10" s="47" t="s">
        <v>42</v>
      </c>
      <c r="AH10" s="24"/>
    </row>
    <row r="11" spans="1:34">
      <c r="A11" s="24"/>
      <c r="B11" s="53"/>
      <c r="C11" s="94"/>
      <c r="D11" s="165"/>
      <c r="E11" s="166"/>
      <c r="F11" s="83"/>
      <c r="G11" s="17"/>
      <c r="H11" s="18"/>
      <c r="I11" s="95"/>
      <c r="J11" s="84"/>
      <c r="K11" s="17"/>
      <c r="L11" s="18"/>
      <c r="M11" s="57"/>
      <c r="N11" s="86"/>
      <c r="O11" s="52"/>
      <c r="P11" s="103"/>
      <c r="Q11" s="84"/>
      <c r="R11" s="17"/>
      <c r="S11" s="17"/>
      <c r="T11" s="19"/>
      <c r="U11" s="19"/>
      <c r="V11" s="19"/>
      <c r="W11" s="95"/>
      <c r="X11" s="116"/>
      <c r="Y11" s="41"/>
      <c r="Z11" s="38"/>
      <c r="AA11" s="38"/>
      <c r="AB11" s="38"/>
      <c r="AC11" s="41"/>
      <c r="AD11" s="42"/>
      <c r="AE11" s="130"/>
      <c r="AF11" s="38"/>
      <c r="AG11" s="46"/>
      <c r="AH11" s="24"/>
    </row>
    <row r="12" spans="1:34">
      <c r="A12" s="29"/>
      <c r="B12" s="54">
        <v>1</v>
      </c>
      <c r="C12" s="198">
        <v>98</v>
      </c>
      <c r="D12" s="199">
        <v>820</v>
      </c>
      <c r="E12" s="99">
        <v>8520.0000000186265</v>
      </c>
      <c r="F12" s="2">
        <v>9266087.8800202571</v>
      </c>
      <c r="G12" s="31">
        <v>4040.0000000008731</v>
      </c>
      <c r="H12" s="2">
        <v>6590668.1400014246</v>
      </c>
      <c r="I12" s="96">
        <f>F12+H12</f>
        <v>15856756.020021681</v>
      </c>
      <c r="J12" s="99">
        <v>1000</v>
      </c>
      <c r="K12" s="2">
        <v>1087569</v>
      </c>
      <c r="L12" s="167">
        <v>419.99999999995907</v>
      </c>
      <c r="M12" s="168">
        <v>685168.46999993327</v>
      </c>
      <c r="N12" s="87">
        <f>K12+M12</f>
        <v>1772737.4699999331</v>
      </c>
      <c r="O12" s="101">
        <f>N12+I12</f>
        <v>17629493.490021612</v>
      </c>
      <c r="P12" s="104">
        <f>L12+J12+G12+E12</f>
        <v>13980.00000001946</v>
      </c>
      <c r="Q12" s="169">
        <f>T12+R12</f>
        <v>678.30000000000291</v>
      </c>
      <c r="R12" s="2">
        <v>203</v>
      </c>
      <c r="S12" s="2">
        <v>3647946.54</v>
      </c>
      <c r="T12" s="27">
        <v>475.30000000000291</v>
      </c>
      <c r="U12" s="27">
        <v>2177919.6600000132</v>
      </c>
      <c r="V12" s="27">
        <f>U12+S12</f>
        <v>5825866.2000000132</v>
      </c>
      <c r="W12" s="118">
        <f t="shared" ref="W12:W39" si="0">V12/$AG$48</f>
        <v>448.96931201926105</v>
      </c>
      <c r="X12" s="124">
        <v>97.437320000009365</v>
      </c>
      <c r="Y12" s="2">
        <v>250</v>
      </c>
      <c r="Z12" s="2">
        <v>0</v>
      </c>
      <c r="AA12" s="2">
        <v>0</v>
      </c>
      <c r="AB12" s="2">
        <f>SUM(X12:AA12)</f>
        <v>347.43732000000938</v>
      </c>
      <c r="AC12" s="2">
        <v>4340281.109960095</v>
      </c>
      <c r="AD12" s="39">
        <f t="shared" ref="AD12:AD39" si="1">AC12/$AG$48</f>
        <v>334.48296905771269</v>
      </c>
      <c r="AE12" s="131">
        <v>1573.2000000000698</v>
      </c>
      <c r="AF12" s="2">
        <v>13686840.000000607</v>
      </c>
      <c r="AG12" s="35">
        <f t="shared" ref="AG12:AG42" si="2">AF12/$AG$48</f>
        <v>1054.7738186156698</v>
      </c>
      <c r="AH12" s="6"/>
    </row>
    <row r="13" spans="1:34">
      <c r="A13" s="29"/>
      <c r="B13" s="54">
        <v>2</v>
      </c>
      <c r="C13" s="198">
        <v>85</v>
      </c>
      <c r="D13" s="199">
        <v>762</v>
      </c>
      <c r="E13" s="99">
        <v>17879.999999975553</v>
      </c>
      <c r="F13" s="2">
        <v>19445733.719973411</v>
      </c>
      <c r="G13" s="31">
        <v>4119.9999999989814</v>
      </c>
      <c r="H13" s="2">
        <v>6721176.4199983394</v>
      </c>
      <c r="I13" s="96">
        <f t="shared" ref="I13:I42" si="3">F13+H13</f>
        <v>26166910.139971752</v>
      </c>
      <c r="J13" s="99">
        <v>1940.0000000000546</v>
      </c>
      <c r="K13" s="2">
        <v>2109883.8600000595</v>
      </c>
      <c r="L13" s="167">
        <v>460.00000000003638</v>
      </c>
      <c r="M13" s="168">
        <v>750422.61000005936</v>
      </c>
      <c r="N13" s="87">
        <f t="shared" ref="N13:N39" si="4">K13+M13</f>
        <v>2860306.4700001189</v>
      </c>
      <c r="O13" s="101">
        <f t="shared" ref="O13:O39" si="5">N13+I13</f>
        <v>29027216.60997187</v>
      </c>
      <c r="P13" s="104">
        <f t="shared" ref="P13:P39" si="6">L13+J13+G13+E13</f>
        <v>24399.999999974625</v>
      </c>
      <c r="Q13" s="169">
        <f t="shared" ref="Q13:Q42" si="7">T13+R13</f>
        <v>438</v>
      </c>
      <c r="R13" s="2">
        <v>240</v>
      </c>
      <c r="S13" s="2">
        <v>4312843.2</v>
      </c>
      <c r="T13" s="27">
        <v>198</v>
      </c>
      <c r="U13" s="27">
        <v>907275.6</v>
      </c>
      <c r="V13" s="27">
        <f t="shared" ref="V12:V39" si="8">U13+S13</f>
        <v>5220118.8</v>
      </c>
      <c r="W13" s="118">
        <f t="shared" si="0"/>
        <v>402.28749954724418</v>
      </c>
      <c r="X13" s="124">
        <v>99.290200000005854</v>
      </c>
      <c r="Y13" s="2"/>
      <c r="Z13" s="2">
        <v>400</v>
      </c>
      <c r="AA13" s="2">
        <v>12</v>
      </c>
      <c r="AB13" s="2">
        <f t="shared" ref="AB13:AB42" si="9">SUM(X13:AA13)</f>
        <v>511.29020000000583</v>
      </c>
      <c r="AC13" s="2">
        <v>5615593.400600059</v>
      </c>
      <c r="AD13" s="39">
        <f t="shared" si="1"/>
        <v>432.76467723328511</v>
      </c>
      <c r="AE13" s="131">
        <v>116.70000000000613</v>
      </c>
      <c r="AF13" s="2">
        <v>1015290.0000000533</v>
      </c>
      <c r="AG13" s="35">
        <f t="shared" si="2"/>
        <v>78.243137956044791</v>
      </c>
      <c r="AH13" s="6"/>
    </row>
    <row r="14" spans="1:34">
      <c r="A14" s="29"/>
      <c r="B14" s="54">
        <v>3</v>
      </c>
      <c r="C14" s="198">
        <v>71</v>
      </c>
      <c r="D14" s="199">
        <v>645</v>
      </c>
      <c r="E14" s="99">
        <v>18360.000000015134</v>
      </c>
      <c r="F14" s="2">
        <v>19967766.840016462</v>
      </c>
      <c r="G14" s="31">
        <v>4079.9999999981083</v>
      </c>
      <c r="H14" s="2">
        <v>6655922.2799969148</v>
      </c>
      <c r="I14" s="96">
        <f t="shared" si="3"/>
        <v>26623689.120013379</v>
      </c>
      <c r="J14" s="99">
        <v>2019.9999999999818</v>
      </c>
      <c r="K14" s="2">
        <v>2196889.3799999803</v>
      </c>
      <c r="L14" s="167">
        <v>480.00000000001819</v>
      </c>
      <c r="M14" s="168">
        <v>783049.68000002974</v>
      </c>
      <c r="N14" s="87">
        <f t="shared" si="4"/>
        <v>2979939.0600000098</v>
      </c>
      <c r="O14" s="101">
        <f t="shared" si="5"/>
        <v>29603628.180013388</v>
      </c>
      <c r="P14" s="104">
        <f t="shared" si="6"/>
        <v>24940.000000013242</v>
      </c>
      <c r="Q14" s="169">
        <f t="shared" si="7"/>
        <v>502</v>
      </c>
      <c r="R14" s="2">
        <v>205</v>
      </c>
      <c r="S14" s="2">
        <v>3683886.9</v>
      </c>
      <c r="T14" s="27">
        <v>297</v>
      </c>
      <c r="U14" s="27">
        <v>1360913.4</v>
      </c>
      <c r="V14" s="27">
        <f t="shared" si="8"/>
        <v>5044800.3</v>
      </c>
      <c r="W14" s="118">
        <f t="shared" si="0"/>
        <v>388.77661144458767</v>
      </c>
      <c r="X14" s="124">
        <v>94.819120000003508</v>
      </c>
      <c r="Y14" s="2"/>
      <c r="Z14" s="2">
        <v>0</v>
      </c>
      <c r="AA14" s="2">
        <v>12</v>
      </c>
      <c r="AB14" s="2">
        <f t="shared" si="9"/>
        <v>106.81912000000351</v>
      </c>
      <c r="AC14" s="2">
        <v>1102198.5253600357</v>
      </c>
      <c r="AD14" s="39">
        <f t="shared" si="1"/>
        <v>84.940727550443597</v>
      </c>
      <c r="AE14" s="131">
        <v>0</v>
      </c>
      <c r="AF14" s="2">
        <v>0</v>
      </c>
      <c r="AG14" s="35">
        <f t="shared" si="2"/>
        <v>0</v>
      </c>
      <c r="AH14" s="6"/>
    </row>
    <row r="15" spans="1:34">
      <c r="A15" s="29"/>
      <c r="B15" s="54">
        <v>4</v>
      </c>
      <c r="C15" s="198">
        <v>65</v>
      </c>
      <c r="D15" s="199">
        <v>703</v>
      </c>
      <c r="E15" s="99">
        <v>19119.999999995343</v>
      </c>
      <c r="F15" s="2">
        <v>20794319.279994939</v>
      </c>
      <c r="G15" s="31">
        <v>4080.0000000017462</v>
      </c>
      <c r="H15" s="2">
        <v>6655922.2800028492</v>
      </c>
      <c r="I15" s="96">
        <f t="shared" si="3"/>
        <v>27450241.55999779</v>
      </c>
      <c r="J15" s="99">
        <v>1780.0000000002001</v>
      </c>
      <c r="K15" s="2">
        <v>1935872.8200002175</v>
      </c>
      <c r="L15" s="167">
        <v>439.99999999994088</v>
      </c>
      <c r="M15" s="168">
        <v>717795.53999990365</v>
      </c>
      <c r="N15" s="87">
        <f t="shared" si="4"/>
        <v>2653668.3600001214</v>
      </c>
      <c r="O15" s="101">
        <f t="shared" si="5"/>
        <v>30103909.919997912</v>
      </c>
      <c r="P15" s="104">
        <f t="shared" si="6"/>
        <v>25419.999999997231</v>
      </c>
      <c r="Q15" s="169">
        <f t="shared" si="7"/>
        <v>352.40000000000146</v>
      </c>
      <c r="R15" s="2">
        <v>167</v>
      </c>
      <c r="S15" s="2">
        <v>3001020.06</v>
      </c>
      <c r="T15" s="27">
        <v>185.40000000000146</v>
      </c>
      <c r="U15" s="27">
        <v>849539.88000000664</v>
      </c>
      <c r="V15" s="27">
        <f t="shared" si="8"/>
        <v>3850559.9400000069</v>
      </c>
      <c r="W15" s="118">
        <f t="shared" si="0"/>
        <v>296.74269675996442</v>
      </c>
      <c r="X15" s="124">
        <v>0</v>
      </c>
      <c r="Y15" s="2"/>
      <c r="Z15" s="2">
        <v>0</v>
      </c>
      <c r="AA15" s="2">
        <v>0</v>
      </c>
      <c r="AB15" s="2">
        <f t="shared" si="9"/>
        <v>0</v>
      </c>
      <c r="AC15" s="2">
        <v>0</v>
      </c>
      <c r="AD15" s="39">
        <f t="shared" si="1"/>
        <v>0</v>
      </c>
      <c r="AE15" s="131">
        <v>4.7999999999592546</v>
      </c>
      <c r="AF15" s="2">
        <v>41759.999999645515</v>
      </c>
      <c r="AG15" s="35">
        <f t="shared" si="2"/>
        <v>3.2182267539486484</v>
      </c>
      <c r="AH15" s="6"/>
    </row>
    <row r="16" spans="1:34">
      <c r="A16" s="29"/>
      <c r="B16" s="54">
        <v>5</v>
      </c>
      <c r="C16" s="198">
        <v>58</v>
      </c>
      <c r="D16" s="199">
        <v>549</v>
      </c>
      <c r="E16" s="99">
        <v>18200.000000011642</v>
      </c>
      <c r="F16" s="2">
        <v>19793755.800012663</v>
      </c>
      <c r="G16" s="31">
        <v>3799.9999999992724</v>
      </c>
      <c r="H16" s="2">
        <v>6199143.2999988133</v>
      </c>
      <c r="I16" s="96">
        <f t="shared" si="3"/>
        <v>25992899.100011475</v>
      </c>
      <c r="J16" s="99">
        <v>2019.9999999999818</v>
      </c>
      <c r="K16" s="2">
        <v>2196889.3799999803</v>
      </c>
      <c r="L16" s="167">
        <v>460.00000000003638</v>
      </c>
      <c r="M16" s="168">
        <v>750422.61000005936</v>
      </c>
      <c r="N16" s="87">
        <f t="shared" si="4"/>
        <v>2947311.9900000398</v>
      </c>
      <c r="O16" s="101">
        <f t="shared" si="5"/>
        <v>28940211.090011515</v>
      </c>
      <c r="P16" s="104">
        <f t="shared" si="6"/>
        <v>24480.000000010932</v>
      </c>
      <c r="Q16" s="169">
        <f t="shared" si="7"/>
        <v>406</v>
      </c>
      <c r="R16" s="2">
        <v>202</v>
      </c>
      <c r="S16" s="2">
        <v>3629976.36</v>
      </c>
      <c r="T16" s="27">
        <v>204</v>
      </c>
      <c r="U16" s="27">
        <v>934768.79999999993</v>
      </c>
      <c r="V16" s="27">
        <f t="shared" si="8"/>
        <v>4564745.16</v>
      </c>
      <c r="W16" s="118">
        <f t="shared" si="0"/>
        <v>351.78124997591726</v>
      </c>
      <c r="X16" s="124">
        <v>102.31119999997654</v>
      </c>
      <c r="Y16" s="2"/>
      <c r="Z16" s="2">
        <v>0</v>
      </c>
      <c r="AA16" s="2">
        <v>48</v>
      </c>
      <c r="AB16" s="2">
        <f t="shared" si="9"/>
        <v>150.31119999997654</v>
      </c>
      <c r="AC16" s="2">
        <v>1596765.6135997619</v>
      </c>
      <c r="AD16" s="39">
        <f t="shared" si="1"/>
        <v>123.05444965315144</v>
      </c>
      <c r="AE16" s="131">
        <v>5.5999999999767169</v>
      </c>
      <c r="AF16" s="2">
        <v>48719.999999797437</v>
      </c>
      <c r="AG16" s="35">
        <f t="shared" si="2"/>
        <v>3.7545978796230171</v>
      </c>
      <c r="AH16" s="6"/>
    </row>
    <row r="17" spans="1:34">
      <c r="A17" s="29"/>
      <c r="B17" s="54">
        <v>6</v>
      </c>
      <c r="C17" s="198">
        <v>48</v>
      </c>
      <c r="D17" s="199">
        <v>646</v>
      </c>
      <c r="E17" s="99">
        <v>17279.999999998836</v>
      </c>
      <c r="F17" s="2">
        <v>18793192.319998737</v>
      </c>
      <c r="G17" s="31">
        <v>4040.0000000008731</v>
      </c>
      <c r="H17" s="2">
        <v>6590668.1400014246</v>
      </c>
      <c r="I17" s="96">
        <f t="shared" si="3"/>
        <v>25383860.460000161</v>
      </c>
      <c r="J17" s="99">
        <v>2000</v>
      </c>
      <c r="K17" s="2">
        <v>2175138</v>
      </c>
      <c r="L17" s="167">
        <v>500</v>
      </c>
      <c r="M17" s="168">
        <v>815676.75</v>
      </c>
      <c r="N17" s="87">
        <f t="shared" si="4"/>
        <v>2990814.75</v>
      </c>
      <c r="O17" s="101">
        <f t="shared" si="5"/>
        <v>28374675.210000161</v>
      </c>
      <c r="P17" s="104">
        <f t="shared" si="6"/>
        <v>23819.999999999709</v>
      </c>
      <c r="Q17" s="169">
        <f t="shared" si="7"/>
        <v>394.09999999999854</v>
      </c>
      <c r="R17" s="2">
        <v>196</v>
      </c>
      <c r="S17" s="2">
        <v>3522155.2800000003</v>
      </c>
      <c r="T17" s="27">
        <v>198.09999999999854</v>
      </c>
      <c r="U17" s="27">
        <v>907733.81999999331</v>
      </c>
      <c r="V17" s="27">
        <f t="shared" si="8"/>
        <v>4429889.099999994</v>
      </c>
      <c r="W17" s="118">
        <f t="shared" si="0"/>
        <v>341.3885924034123</v>
      </c>
      <c r="X17" s="124">
        <v>60.70195999999882</v>
      </c>
      <c r="Y17" s="2"/>
      <c r="Z17" s="2">
        <v>0</v>
      </c>
      <c r="AA17" s="2">
        <v>0</v>
      </c>
      <c r="AB17" s="2">
        <f t="shared" si="9"/>
        <v>60.70195999999882</v>
      </c>
      <c r="AC17" s="2">
        <v>616306.99987998803</v>
      </c>
      <c r="AD17" s="39">
        <f t="shared" si="1"/>
        <v>47.495586103363031</v>
      </c>
      <c r="AE17" s="131">
        <v>14.100000000034925</v>
      </c>
      <c r="AF17" s="2">
        <v>122670.00000030384</v>
      </c>
      <c r="AG17" s="35">
        <f t="shared" si="2"/>
        <v>9.4535410898278176</v>
      </c>
      <c r="AH17" s="6"/>
    </row>
    <row r="18" spans="1:34">
      <c r="A18" s="29"/>
      <c r="B18" s="54">
        <v>7</v>
      </c>
      <c r="C18" s="198">
        <v>45</v>
      </c>
      <c r="D18" s="199">
        <v>547</v>
      </c>
      <c r="E18" s="99">
        <v>16199.999999982538</v>
      </c>
      <c r="F18" s="2">
        <v>17618617.799981009</v>
      </c>
      <c r="G18" s="31">
        <v>2720.0000000011642</v>
      </c>
      <c r="H18" s="2">
        <v>4437281.5200018995</v>
      </c>
      <c r="I18" s="96">
        <f t="shared" si="3"/>
        <v>22055899.319982909</v>
      </c>
      <c r="J18" s="99">
        <v>2079.9999999999272</v>
      </c>
      <c r="K18" s="2">
        <v>2262143.5199999209</v>
      </c>
      <c r="L18" s="167">
        <v>459.99999999992269</v>
      </c>
      <c r="M18" s="168">
        <v>750422.60999987391</v>
      </c>
      <c r="N18" s="87">
        <f t="shared" si="4"/>
        <v>3012566.129999795</v>
      </c>
      <c r="O18" s="101">
        <f t="shared" si="5"/>
        <v>25068465.449982703</v>
      </c>
      <c r="P18" s="104">
        <f t="shared" si="6"/>
        <v>21459.999999983553</v>
      </c>
      <c r="Q18" s="169">
        <f t="shared" si="7"/>
        <v>356</v>
      </c>
      <c r="R18" s="2">
        <v>170</v>
      </c>
      <c r="S18" s="2">
        <v>3054930.6</v>
      </c>
      <c r="T18" s="27">
        <v>186</v>
      </c>
      <c r="U18" s="27">
        <v>852289.2</v>
      </c>
      <c r="V18" s="27">
        <f t="shared" si="8"/>
        <v>3907219.8</v>
      </c>
      <c r="W18" s="118">
        <f t="shared" si="0"/>
        <v>301.10917849675826</v>
      </c>
      <c r="X18" s="124">
        <v>50.148600000017581</v>
      </c>
      <c r="Y18" s="2">
        <v>250</v>
      </c>
      <c r="Z18" s="2">
        <v>0</v>
      </c>
      <c r="AA18" s="2">
        <v>0</v>
      </c>
      <c r="AB18" s="2">
        <f t="shared" si="9"/>
        <v>300.14860000001761</v>
      </c>
      <c r="AC18" s="2">
        <v>3301658.7358001787</v>
      </c>
      <c r="AD18" s="39">
        <f t="shared" si="1"/>
        <v>254.44172595906616</v>
      </c>
      <c r="AE18" s="131">
        <v>44.100000000034925</v>
      </c>
      <c r="AF18" s="2">
        <v>383670.00000030384</v>
      </c>
      <c r="AG18" s="35">
        <f t="shared" si="2"/>
        <v>29.567458302177609</v>
      </c>
      <c r="AH18" s="6"/>
    </row>
    <row r="19" spans="1:34">
      <c r="A19" s="29"/>
      <c r="B19" s="54">
        <v>8</v>
      </c>
      <c r="C19" s="198">
        <v>35</v>
      </c>
      <c r="D19" s="199">
        <v>374</v>
      </c>
      <c r="E19" s="99">
        <v>15960.000000020955</v>
      </c>
      <c r="F19" s="2">
        <v>17357601.24002279</v>
      </c>
      <c r="G19" s="31">
        <v>3399.9999999978172</v>
      </c>
      <c r="H19" s="2">
        <v>5546601.8999964399</v>
      </c>
      <c r="I19" s="96">
        <f t="shared" si="3"/>
        <v>22904203.140019231</v>
      </c>
      <c r="J19" s="99">
        <v>1900.0000000000909</v>
      </c>
      <c r="K19" s="2">
        <v>2066381.1000000988</v>
      </c>
      <c r="L19" s="167">
        <v>440.00000000005457</v>
      </c>
      <c r="M19" s="168">
        <v>717795.54000008909</v>
      </c>
      <c r="N19" s="87">
        <f t="shared" si="4"/>
        <v>2784176.6400001878</v>
      </c>
      <c r="O19" s="101">
        <f t="shared" si="5"/>
        <v>25688379.780019417</v>
      </c>
      <c r="P19" s="104">
        <f t="shared" si="6"/>
        <v>21700.000000018917</v>
      </c>
      <c r="Q19" s="169">
        <f t="shared" si="7"/>
        <v>393</v>
      </c>
      <c r="R19" s="2">
        <v>195</v>
      </c>
      <c r="S19" s="2">
        <v>3504185.1</v>
      </c>
      <c r="T19" s="27">
        <v>198</v>
      </c>
      <c r="U19" s="27">
        <v>907275.6</v>
      </c>
      <c r="V19" s="27">
        <f t="shared" si="8"/>
        <v>4411460.7</v>
      </c>
      <c r="W19" s="118">
        <f t="shared" si="0"/>
        <v>339.9684111315504</v>
      </c>
      <c r="X19" s="124">
        <v>63.360439999983583</v>
      </c>
      <c r="Y19" s="2"/>
      <c r="Z19" s="2">
        <v>400</v>
      </c>
      <c r="AA19" s="2">
        <v>12</v>
      </c>
      <c r="AB19" s="2">
        <f t="shared" si="9"/>
        <v>475.36043999998356</v>
      </c>
      <c r="AC19" s="2">
        <v>5809298.5473198332</v>
      </c>
      <c r="AD19" s="39">
        <f t="shared" si="1"/>
        <v>447.69252889890817</v>
      </c>
      <c r="AE19" s="131">
        <v>126.69999999998254</v>
      </c>
      <c r="AF19" s="2">
        <v>1102289.9999998482</v>
      </c>
      <c r="AG19" s="35">
        <f t="shared" si="2"/>
        <v>84.947777026812247</v>
      </c>
      <c r="AH19" s="6"/>
    </row>
    <row r="20" spans="1:34">
      <c r="A20" s="29"/>
      <c r="B20" s="54">
        <v>9</v>
      </c>
      <c r="C20" s="198">
        <v>34</v>
      </c>
      <c r="D20" s="199">
        <v>383</v>
      </c>
      <c r="E20" s="99">
        <v>16479.999999981374</v>
      </c>
      <c r="F20" s="2">
        <v>17923137.119979743</v>
      </c>
      <c r="G20" s="31">
        <v>3560.0000000013097</v>
      </c>
      <c r="H20" s="2">
        <v>5807618.4600021373</v>
      </c>
      <c r="I20" s="96">
        <f t="shared" si="3"/>
        <v>23730755.579981878</v>
      </c>
      <c r="J20" s="99">
        <v>1800.0000000001819</v>
      </c>
      <c r="K20" s="2">
        <v>1957624.2000001979</v>
      </c>
      <c r="L20" s="167">
        <v>439.99999999994088</v>
      </c>
      <c r="M20" s="168">
        <v>717795.53999990365</v>
      </c>
      <c r="N20" s="87">
        <f t="shared" si="4"/>
        <v>2675419.7400001017</v>
      </c>
      <c r="O20" s="101">
        <f t="shared" si="5"/>
        <v>26406175.319981981</v>
      </c>
      <c r="P20" s="104">
        <f t="shared" si="6"/>
        <v>22279.999999982807</v>
      </c>
      <c r="Q20" s="169">
        <f t="shared" si="7"/>
        <v>407</v>
      </c>
      <c r="R20" s="2">
        <v>215</v>
      </c>
      <c r="S20" s="2">
        <v>3863588.7</v>
      </c>
      <c r="T20" s="27">
        <v>192</v>
      </c>
      <c r="U20" s="27">
        <v>879782.39999999991</v>
      </c>
      <c r="V20" s="27">
        <f t="shared" si="8"/>
        <v>4743371.0999999996</v>
      </c>
      <c r="W20" s="118">
        <f t="shared" si="0"/>
        <v>365.5470253365998</v>
      </c>
      <c r="X20" s="124">
        <v>67.831520000015232</v>
      </c>
      <c r="Y20" s="2"/>
      <c r="Z20" s="2"/>
      <c r="AA20" s="2">
        <v>12</v>
      </c>
      <c r="AB20" s="2">
        <f t="shared" si="9"/>
        <v>79.831520000015232</v>
      </c>
      <c r="AC20" s="2">
        <v>828193.42256015469</v>
      </c>
      <c r="AD20" s="39">
        <f t="shared" si="1"/>
        <v>63.824574471983063</v>
      </c>
      <c r="AE20" s="131">
        <v>12.099999999918509</v>
      </c>
      <c r="AF20" s="2">
        <v>105269.99999929103</v>
      </c>
      <c r="AG20" s="35">
        <f t="shared" si="2"/>
        <v>8.1126132755931124</v>
      </c>
      <c r="AH20" s="6"/>
    </row>
    <row r="21" spans="1:34">
      <c r="A21" s="29"/>
      <c r="B21" s="54">
        <v>10</v>
      </c>
      <c r="C21" s="198">
        <v>35</v>
      </c>
      <c r="D21" s="199">
        <v>388</v>
      </c>
      <c r="E21" s="99">
        <v>15559.999999997672</v>
      </c>
      <c r="F21" s="2">
        <v>16922573.639997467</v>
      </c>
      <c r="G21" s="31">
        <v>3239.9999999979627</v>
      </c>
      <c r="H21" s="2">
        <v>5285585.3399966769</v>
      </c>
      <c r="I21" s="96">
        <f t="shared" si="3"/>
        <v>22208158.979994144</v>
      </c>
      <c r="J21" s="99">
        <v>1819.999999999709</v>
      </c>
      <c r="K21" s="2">
        <v>1979375.5799996837</v>
      </c>
      <c r="L21" s="167">
        <v>440.00000000005457</v>
      </c>
      <c r="M21" s="168">
        <v>717795.54000008909</v>
      </c>
      <c r="N21" s="87">
        <f t="shared" si="4"/>
        <v>2697171.1199997729</v>
      </c>
      <c r="O21" s="101">
        <f t="shared" si="5"/>
        <v>24905330.099993918</v>
      </c>
      <c r="P21" s="104">
        <f t="shared" si="6"/>
        <v>21059.999999995398</v>
      </c>
      <c r="Q21" s="169">
        <f t="shared" si="7"/>
        <v>382</v>
      </c>
      <c r="R21" s="2">
        <v>193</v>
      </c>
      <c r="S21" s="2">
        <v>3468244.74</v>
      </c>
      <c r="T21" s="27">
        <v>189</v>
      </c>
      <c r="U21" s="27">
        <v>866035.79999999993</v>
      </c>
      <c r="V21" s="27">
        <f t="shared" si="8"/>
        <v>4334280.54</v>
      </c>
      <c r="W21" s="118">
        <f t="shared" si="0"/>
        <v>334.02053623240897</v>
      </c>
      <c r="X21" s="124">
        <v>64.891080000002333</v>
      </c>
      <c r="Y21" s="2"/>
      <c r="Z21" s="2">
        <v>0</v>
      </c>
      <c r="AA21" s="2">
        <v>12</v>
      </c>
      <c r="AB21" s="2">
        <f t="shared" si="9"/>
        <v>76.891080000002333</v>
      </c>
      <c r="AC21" s="2">
        <v>798339.13524002372</v>
      </c>
      <c r="AD21" s="39">
        <f t="shared" si="1"/>
        <v>61.523859285811341</v>
      </c>
      <c r="AE21" s="131">
        <v>0.90000000011059456</v>
      </c>
      <c r="AF21" s="2">
        <v>7830.0000009621726</v>
      </c>
      <c r="AG21" s="35">
        <f t="shared" si="2"/>
        <v>0.60341751644464336</v>
      </c>
      <c r="AH21" s="6"/>
    </row>
    <row r="22" spans="1:34">
      <c r="A22" s="29"/>
      <c r="B22" s="54">
        <v>11</v>
      </c>
      <c r="C22" s="198">
        <v>32</v>
      </c>
      <c r="D22" s="199">
        <v>341</v>
      </c>
      <c r="E22" s="99">
        <v>15680.000000022119</v>
      </c>
      <c r="F22" s="2">
        <v>17053081.920024056</v>
      </c>
      <c r="G22" s="31">
        <v>3280.0000000024738</v>
      </c>
      <c r="H22" s="2">
        <v>5350839.4800040368</v>
      </c>
      <c r="I22" s="96">
        <f t="shared" si="3"/>
        <v>22403921.400028095</v>
      </c>
      <c r="J22" s="99">
        <v>1900.0000000000909</v>
      </c>
      <c r="K22" s="2">
        <v>2066381.1000000988</v>
      </c>
      <c r="L22" s="167">
        <v>439.99999999994088</v>
      </c>
      <c r="M22" s="168">
        <v>717795.53999990365</v>
      </c>
      <c r="N22" s="87">
        <f t="shared" si="4"/>
        <v>2784176.6400000025</v>
      </c>
      <c r="O22" s="101">
        <f t="shared" si="5"/>
        <v>25188098.040028095</v>
      </c>
      <c r="P22" s="104">
        <f t="shared" si="6"/>
        <v>21300.000000024625</v>
      </c>
      <c r="Q22" s="169">
        <f t="shared" si="7"/>
        <v>498.29999999999563</v>
      </c>
      <c r="R22" s="2">
        <v>165</v>
      </c>
      <c r="S22" s="2">
        <v>2965079.7</v>
      </c>
      <c r="T22" s="27">
        <v>333.29999999999563</v>
      </c>
      <c r="U22" s="27">
        <v>1527247.25999998</v>
      </c>
      <c r="V22" s="27">
        <f t="shared" si="8"/>
        <v>4492326.9599999804</v>
      </c>
      <c r="W22" s="118">
        <f t="shared" si="0"/>
        <v>346.20035465228591</v>
      </c>
      <c r="X22" s="124">
        <v>69.48299999999999</v>
      </c>
      <c r="Y22" s="2"/>
      <c r="Z22" s="2">
        <v>0</v>
      </c>
      <c r="AA22" s="2">
        <v>0</v>
      </c>
      <c r="AB22" s="2">
        <f t="shared" si="9"/>
        <v>69.48299999999999</v>
      </c>
      <c r="AC22" s="2">
        <v>705460.89899999986</v>
      </c>
      <c r="AD22" s="39">
        <f t="shared" si="1"/>
        <v>54.366215015463041</v>
      </c>
      <c r="AE22" s="131">
        <v>188.99999999994179</v>
      </c>
      <c r="AF22" s="2">
        <v>1644299.9999994936</v>
      </c>
      <c r="AG22" s="35">
        <f t="shared" si="2"/>
        <v>126.71767843776466</v>
      </c>
      <c r="AH22" s="6"/>
    </row>
    <row r="23" spans="1:34">
      <c r="A23" s="29"/>
      <c r="B23" s="54">
        <v>12</v>
      </c>
      <c r="C23" s="198">
        <v>28</v>
      </c>
      <c r="D23" s="199">
        <v>307</v>
      </c>
      <c r="E23" s="99">
        <v>15479.999999981374</v>
      </c>
      <c r="F23" s="2">
        <v>16835568.119979743</v>
      </c>
      <c r="G23" s="31">
        <v>3199.9999999970896</v>
      </c>
      <c r="H23" s="2">
        <v>5220331.1999952523</v>
      </c>
      <c r="I23" s="96">
        <f t="shared" si="3"/>
        <v>22055899.319974996</v>
      </c>
      <c r="J23" s="99">
        <v>1559.9999999999454</v>
      </c>
      <c r="K23" s="2">
        <v>1696607.6399999408</v>
      </c>
      <c r="L23" s="167">
        <v>420.00000000007276</v>
      </c>
      <c r="M23" s="168">
        <v>685168.47000011872</v>
      </c>
      <c r="N23" s="87">
        <f t="shared" si="4"/>
        <v>2381776.1100000595</v>
      </c>
      <c r="O23" s="101">
        <f t="shared" si="5"/>
        <v>24437675.429975055</v>
      </c>
      <c r="P23" s="104">
        <f t="shared" si="6"/>
        <v>20659.999999978481</v>
      </c>
      <c r="Q23" s="169">
        <f t="shared" si="7"/>
        <v>525</v>
      </c>
      <c r="R23" s="2">
        <v>176</v>
      </c>
      <c r="S23" s="2">
        <v>3162751.68</v>
      </c>
      <c r="T23" s="27">
        <v>349</v>
      </c>
      <c r="U23" s="27">
        <v>1599187.8</v>
      </c>
      <c r="V23" s="27">
        <f t="shared" si="8"/>
        <v>4761939.4800000004</v>
      </c>
      <c r="W23" s="118">
        <f t="shared" si="0"/>
        <v>366.97799414153263</v>
      </c>
      <c r="X23" s="124">
        <v>51.397280000008202</v>
      </c>
      <c r="Y23" s="2"/>
      <c r="Z23" s="2">
        <v>0</v>
      </c>
      <c r="AA23" s="2">
        <v>12</v>
      </c>
      <c r="AB23" s="2">
        <f t="shared" si="9"/>
        <v>63.397280000008202</v>
      </c>
      <c r="AC23" s="2">
        <v>661336.58384008333</v>
      </c>
      <c r="AD23" s="39">
        <f t="shared" si="1"/>
        <v>50.965782746581084</v>
      </c>
      <c r="AE23" s="131">
        <v>251.49999999994179</v>
      </c>
      <c r="AF23" s="2">
        <v>2188049.9999994934</v>
      </c>
      <c r="AG23" s="35">
        <f t="shared" si="2"/>
        <v>168.62167263016005</v>
      </c>
      <c r="AH23" s="6"/>
    </row>
    <row r="24" spans="1:34">
      <c r="A24" s="29"/>
      <c r="B24" s="54">
        <v>13</v>
      </c>
      <c r="C24" s="198">
        <v>30</v>
      </c>
      <c r="D24" s="199">
        <v>313</v>
      </c>
      <c r="E24" s="99">
        <v>15119.999999995343</v>
      </c>
      <c r="F24" s="2">
        <v>16444043.279994937</v>
      </c>
      <c r="G24" s="31">
        <v>3440.0000000023283</v>
      </c>
      <c r="H24" s="2">
        <v>5611856.0400037989</v>
      </c>
      <c r="I24" s="96">
        <f t="shared" si="3"/>
        <v>22055899.319998734</v>
      </c>
      <c r="J24" s="99">
        <v>1800.0000000001819</v>
      </c>
      <c r="K24" s="2">
        <v>1957624.2000001979</v>
      </c>
      <c r="L24" s="167">
        <v>439.99999999994088</v>
      </c>
      <c r="M24" s="168">
        <v>717795.53999990365</v>
      </c>
      <c r="N24" s="87">
        <f t="shared" si="4"/>
        <v>2675419.7400001017</v>
      </c>
      <c r="O24" s="101">
        <f t="shared" si="5"/>
        <v>24731319.059998836</v>
      </c>
      <c r="P24" s="104">
        <f t="shared" si="6"/>
        <v>20799.999999997795</v>
      </c>
      <c r="Q24" s="169">
        <f>T24+R24</f>
        <v>554</v>
      </c>
      <c r="R24" s="2">
        <v>192</v>
      </c>
      <c r="S24" s="2">
        <v>3450274.56</v>
      </c>
      <c r="T24" s="27">
        <v>362</v>
      </c>
      <c r="U24" s="27">
        <v>1658756.4</v>
      </c>
      <c r="V24" s="27">
        <f t="shared" si="8"/>
        <v>5109030.96</v>
      </c>
      <c r="W24" s="118">
        <f t="shared" si="0"/>
        <v>393.72653549721065</v>
      </c>
      <c r="X24" s="124">
        <v>60.178319999980062</v>
      </c>
      <c r="Y24" s="2">
        <v>250</v>
      </c>
      <c r="Z24" s="2">
        <v>0</v>
      </c>
      <c r="AA24" s="2">
        <v>24</v>
      </c>
      <c r="AB24" s="2">
        <f t="shared" si="9"/>
        <v>334.17831999998009</v>
      </c>
      <c r="AC24" s="2">
        <v>3682490.4829597976</v>
      </c>
      <c r="AD24" s="39">
        <f t="shared" si="1"/>
        <v>283.79045482574469</v>
      </c>
      <c r="AE24" s="131">
        <v>71.100000000005821</v>
      </c>
      <c r="AF24" s="2">
        <v>618570.00000005064</v>
      </c>
      <c r="AG24" s="35">
        <f t="shared" si="2"/>
        <v>47.669983793272905</v>
      </c>
      <c r="AH24" s="6"/>
    </row>
    <row r="25" spans="1:34">
      <c r="A25" s="29"/>
      <c r="B25" s="54">
        <v>14</v>
      </c>
      <c r="C25" s="198">
        <v>49</v>
      </c>
      <c r="D25" s="199">
        <v>386</v>
      </c>
      <c r="E25" s="99">
        <v>16320.000000006985</v>
      </c>
      <c r="F25" s="2">
        <v>17749126.080007598</v>
      </c>
      <c r="G25" s="31">
        <v>3399.9999999978172</v>
      </c>
      <c r="H25" s="2">
        <v>5546601.8999964399</v>
      </c>
      <c r="I25" s="96">
        <f t="shared" si="3"/>
        <v>23295727.980004039</v>
      </c>
      <c r="J25" s="99">
        <v>1879.9999999996544</v>
      </c>
      <c r="K25" s="2">
        <v>2044629.7199996242</v>
      </c>
      <c r="L25" s="167">
        <v>420.00000000007276</v>
      </c>
      <c r="M25" s="168">
        <v>685168.47000011872</v>
      </c>
      <c r="N25" s="87">
        <f t="shared" si="4"/>
        <v>2729798.1899997429</v>
      </c>
      <c r="O25" s="101">
        <f t="shared" si="5"/>
        <v>26025526.170003783</v>
      </c>
      <c r="P25" s="104">
        <f t="shared" si="6"/>
        <v>22020.000000004529</v>
      </c>
      <c r="Q25" s="169">
        <f t="shared" si="7"/>
        <v>525.90000000000146</v>
      </c>
      <c r="R25" s="2">
        <v>168</v>
      </c>
      <c r="S25" s="2">
        <v>3018990.24</v>
      </c>
      <c r="T25" s="27">
        <v>357.90000000000146</v>
      </c>
      <c r="U25" s="27">
        <v>1639969.3800000066</v>
      </c>
      <c r="V25" s="27">
        <f t="shared" si="8"/>
        <v>4658959.6200000066</v>
      </c>
      <c r="W25" s="118">
        <f t="shared" si="0"/>
        <v>359.04187008567345</v>
      </c>
      <c r="X25" s="124">
        <v>61.588120000003514</v>
      </c>
      <c r="Y25" s="2"/>
      <c r="Z25" s="2">
        <v>400</v>
      </c>
      <c r="AA25" s="2">
        <v>0</v>
      </c>
      <c r="AB25" s="2">
        <f t="shared" si="9"/>
        <v>461.58812000000353</v>
      </c>
      <c r="AC25" s="2">
        <v>5651804.1823600354</v>
      </c>
      <c r="AD25" s="39">
        <f t="shared" si="1"/>
        <v>435.55525449962471</v>
      </c>
      <c r="AE25" s="131">
        <v>95.800000000017462</v>
      </c>
      <c r="AF25" s="2">
        <v>833460.00000015192</v>
      </c>
      <c r="AG25" s="35">
        <f t="shared" si="2"/>
        <v>64.230442298115378</v>
      </c>
      <c r="AH25" s="6"/>
    </row>
    <row r="26" spans="1:34">
      <c r="A26" s="29"/>
      <c r="B26" s="54">
        <v>15</v>
      </c>
      <c r="C26" s="198">
        <v>49</v>
      </c>
      <c r="D26" s="199">
        <v>401</v>
      </c>
      <c r="E26" s="99">
        <v>16800.000000017462</v>
      </c>
      <c r="F26" s="2">
        <v>18271159.200018991</v>
      </c>
      <c r="G26" s="31">
        <v>3560.0000000013097</v>
      </c>
      <c r="H26" s="2">
        <v>5807618.4600021373</v>
      </c>
      <c r="I26" s="96">
        <f t="shared" si="3"/>
        <v>24078777.660021126</v>
      </c>
      <c r="J26" s="99">
        <v>1760.0000000002183</v>
      </c>
      <c r="K26" s="2">
        <v>1914121.4400002374</v>
      </c>
      <c r="L26" s="167">
        <v>419.99999999995907</v>
      </c>
      <c r="M26" s="168">
        <v>685168.46999993327</v>
      </c>
      <c r="N26" s="87">
        <f t="shared" si="4"/>
        <v>2599289.9100001706</v>
      </c>
      <c r="O26" s="101">
        <f t="shared" si="5"/>
        <v>26678067.570021298</v>
      </c>
      <c r="P26" s="104">
        <f t="shared" si="6"/>
        <v>22540.00000001895</v>
      </c>
      <c r="Q26" s="169">
        <f t="shared" si="7"/>
        <v>555.40000000000146</v>
      </c>
      <c r="R26" s="2">
        <v>189</v>
      </c>
      <c r="S26" s="2">
        <v>3396364.02</v>
      </c>
      <c r="T26" s="27">
        <v>366.40000000000146</v>
      </c>
      <c r="U26" s="27">
        <v>1678918.0800000066</v>
      </c>
      <c r="V26" s="27">
        <f t="shared" si="8"/>
        <v>5075282.1000000071</v>
      </c>
      <c r="W26" s="118">
        <f t="shared" si="0"/>
        <v>391.12568578053998</v>
      </c>
      <c r="X26" s="124">
        <v>105.8155600000164</v>
      </c>
      <c r="Y26" s="2"/>
      <c r="Z26" s="2"/>
      <c r="AA26" s="2">
        <v>12</v>
      </c>
      <c r="AB26" s="2">
        <f t="shared" si="9"/>
        <v>117.8155600000164</v>
      </c>
      <c r="AC26" s="2">
        <v>1213845.3806801667</v>
      </c>
      <c r="AD26" s="39">
        <f t="shared" si="1"/>
        <v>93.544772013770455</v>
      </c>
      <c r="AE26" s="131">
        <v>337.10000000006403</v>
      </c>
      <c r="AF26" s="2">
        <v>2932770.0000005569</v>
      </c>
      <c r="AG26" s="35">
        <f t="shared" si="2"/>
        <v>226.01338307614674</v>
      </c>
      <c r="AH26" s="6"/>
    </row>
    <row r="27" spans="1:34">
      <c r="A27" s="29"/>
      <c r="B27" s="54">
        <v>16</v>
      </c>
      <c r="C27" s="198">
        <v>48</v>
      </c>
      <c r="D27" s="199">
        <v>313</v>
      </c>
      <c r="E27" s="99">
        <v>16119.999999995343</v>
      </c>
      <c r="F27" s="2">
        <v>17531612.279994939</v>
      </c>
      <c r="G27" s="31">
        <v>3439.9999999986903</v>
      </c>
      <c r="H27" s="2">
        <v>5611856.0399978645</v>
      </c>
      <c r="I27" s="96">
        <f t="shared" si="3"/>
        <v>23143468.319992803</v>
      </c>
      <c r="J27" s="99">
        <v>1880.0000000001091</v>
      </c>
      <c r="K27" s="2">
        <v>2044629.7200001187</v>
      </c>
      <c r="L27" s="167">
        <v>419.99999999995907</v>
      </c>
      <c r="M27" s="168">
        <v>685168.46999993327</v>
      </c>
      <c r="N27" s="87">
        <f t="shared" si="4"/>
        <v>2729798.1900000521</v>
      </c>
      <c r="O27" s="101">
        <f t="shared" si="5"/>
        <v>25873266.509992857</v>
      </c>
      <c r="P27" s="104">
        <f t="shared" si="6"/>
        <v>21859.999999994103</v>
      </c>
      <c r="Q27" s="169">
        <f t="shared" si="7"/>
        <v>558.59999999999854</v>
      </c>
      <c r="R27" s="2">
        <v>191</v>
      </c>
      <c r="S27" s="2">
        <v>3432304.38</v>
      </c>
      <c r="T27" s="27">
        <v>367.59999999999854</v>
      </c>
      <c r="U27" s="27">
        <v>1684416.7199999932</v>
      </c>
      <c r="V27" s="27">
        <f t="shared" si="8"/>
        <v>5116721.0999999931</v>
      </c>
      <c r="W27" s="118">
        <f t="shared" si="0"/>
        <v>394.3191747282882</v>
      </c>
      <c r="X27" s="124">
        <v>90.7911199999742</v>
      </c>
      <c r="Y27" s="2"/>
      <c r="Z27" s="2">
        <v>0</v>
      </c>
      <c r="AA27" s="2">
        <v>0</v>
      </c>
      <c r="AB27" s="2">
        <f t="shared" si="9"/>
        <v>90.7911199999742</v>
      </c>
      <c r="AC27" s="2">
        <v>921802.24135973805</v>
      </c>
      <c r="AD27" s="39">
        <f t="shared" si="1"/>
        <v>71.038520953518201</v>
      </c>
      <c r="AE27" s="131">
        <v>250.5000000000291</v>
      </c>
      <c r="AF27" s="2">
        <v>2179350.0000002533</v>
      </c>
      <c r="AG27" s="35">
        <f t="shared" si="2"/>
        <v>167.95120872314027</v>
      </c>
      <c r="AH27" s="6"/>
    </row>
    <row r="28" spans="1:34">
      <c r="A28" s="29"/>
      <c r="B28" s="54">
        <v>17</v>
      </c>
      <c r="C28" s="198">
        <v>51</v>
      </c>
      <c r="D28" s="199">
        <v>344</v>
      </c>
      <c r="E28" s="99">
        <v>16000</v>
      </c>
      <c r="F28" s="2">
        <v>17401104</v>
      </c>
      <c r="G28" s="31">
        <v>3319.999999999709</v>
      </c>
      <c r="H28" s="2">
        <v>5416093.6199995251</v>
      </c>
      <c r="I28" s="96">
        <f t="shared" si="3"/>
        <v>22817197.619999524</v>
      </c>
      <c r="J28" s="99">
        <v>1799.9999999997272</v>
      </c>
      <c r="K28" s="2">
        <v>1957624.1999997033</v>
      </c>
      <c r="L28" s="167">
        <v>420.00000000007276</v>
      </c>
      <c r="M28" s="168">
        <v>685168.47000011872</v>
      </c>
      <c r="N28" s="87">
        <f t="shared" si="4"/>
        <v>2642792.669999822</v>
      </c>
      <c r="O28" s="101">
        <f t="shared" si="5"/>
        <v>25459990.289999347</v>
      </c>
      <c r="P28" s="104">
        <f t="shared" si="6"/>
        <v>21539.999999999509</v>
      </c>
      <c r="Q28" s="169">
        <f t="shared" si="7"/>
        <v>544</v>
      </c>
      <c r="R28" s="2">
        <v>176</v>
      </c>
      <c r="S28" s="2">
        <v>3162751.68</v>
      </c>
      <c r="T28" s="27">
        <v>368</v>
      </c>
      <c r="U28" s="27">
        <v>1686249.5999999999</v>
      </c>
      <c r="V28" s="27">
        <f t="shared" si="8"/>
        <v>4849001.28</v>
      </c>
      <c r="W28" s="118">
        <f t="shared" si="0"/>
        <v>373.68739581800065</v>
      </c>
      <c r="X28" s="124">
        <v>70.852520000015232</v>
      </c>
      <c r="Y28" s="2"/>
      <c r="Z28" s="2">
        <v>0</v>
      </c>
      <c r="AA28" s="2">
        <v>0</v>
      </c>
      <c r="AB28" s="2">
        <f t="shared" si="9"/>
        <v>70.852520000015232</v>
      </c>
      <c r="AC28" s="2">
        <v>719365.63556015468</v>
      </c>
      <c r="AD28" s="39">
        <f t="shared" si="1"/>
        <v>55.43778099259135</v>
      </c>
      <c r="AE28" s="131">
        <v>408.29999999987194</v>
      </c>
      <c r="AF28" s="2">
        <v>3552209.9999988861</v>
      </c>
      <c r="AG28" s="35">
        <f t="shared" si="2"/>
        <v>273.75041325999479</v>
      </c>
      <c r="AH28" s="6"/>
    </row>
    <row r="29" spans="1:34">
      <c r="A29" s="29"/>
      <c r="B29" s="54">
        <v>18</v>
      </c>
      <c r="C29" s="198">
        <v>31</v>
      </c>
      <c r="D29" s="199">
        <v>344</v>
      </c>
      <c r="E29" s="99">
        <v>16959.999999991851</v>
      </c>
      <c r="F29" s="2">
        <v>18445170.23999114</v>
      </c>
      <c r="G29" s="31">
        <v>3440.0000000023283</v>
      </c>
      <c r="H29" s="2">
        <v>5611856.0400037989</v>
      </c>
      <c r="I29" s="96">
        <f t="shared" si="3"/>
        <v>24057026.279994939</v>
      </c>
      <c r="J29" s="99">
        <v>1640.0000000003274</v>
      </c>
      <c r="K29" s="2">
        <v>1783613.1600003561</v>
      </c>
      <c r="L29" s="167">
        <v>439.99999999994088</v>
      </c>
      <c r="M29" s="168">
        <v>717795.53999990365</v>
      </c>
      <c r="N29" s="87">
        <f t="shared" si="4"/>
        <v>2501408.70000026</v>
      </c>
      <c r="O29" s="101">
        <f t="shared" si="5"/>
        <v>26558434.979995199</v>
      </c>
      <c r="P29" s="104">
        <f t="shared" si="6"/>
        <v>22479.999999994448</v>
      </c>
      <c r="Q29" s="169">
        <f t="shared" si="7"/>
        <v>486.90000000000146</v>
      </c>
      <c r="R29" s="2">
        <v>134</v>
      </c>
      <c r="S29" s="2">
        <v>2408004.12</v>
      </c>
      <c r="T29" s="27">
        <v>352.90000000000146</v>
      </c>
      <c r="U29" s="27">
        <v>1617058.3800000066</v>
      </c>
      <c r="V29" s="27">
        <f t="shared" si="8"/>
        <v>4025062.5000000065</v>
      </c>
      <c r="W29" s="118">
        <f t="shared" si="0"/>
        <v>310.19070459591501</v>
      </c>
      <c r="X29" s="124">
        <v>80.801679999990611</v>
      </c>
      <c r="Y29" s="2"/>
      <c r="Z29" s="2">
        <v>0</v>
      </c>
      <c r="AA29" s="2">
        <v>0</v>
      </c>
      <c r="AB29" s="2">
        <f t="shared" si="9"/>
        <v>80.801679999990611</v>
      </c>
      <c r="AC29" s="2">
        <v>820379.45703990466</v>
      </c>
      <c r="AD29" s="39">
        <f t="shared" si="1"/>
        <v>63.222392649858676</v>
      </c>
      <c r="AE29" s="131">
        <v>42.400000000052387</v>
      </c>
      <c r="AF29" s="2">
        <v>368880.00000045577</v>
      </c>
      <c r="AG29" s="35">
        <f t="shared" si="2"/>
        <v>28.427669660156162</v>
      </c>
      <c r="AH29" s="6"/>
    </row>
    <row r="30" spans="1:34">
      <c r="A30" s="29"/>
      <c r="B30" s="54">
        <v>19</v>
      </c>
      <c r="C30" s="198">
        <v>16</v>
      </c>
      <c r="D30" s="199">
        <v>176</v>
      </c>
      <c r="E30" s="99">
        <v>15160.000000003492</v>
      </c>
      <c r="F30" s="2">
        <v>16487546.040003797</v>
      </c>
      <c r="G30" s="31">
        <v>3239.9999999979627</v>
      </c>
      <c r="H30" s="2">
        <v>5285585.3399966769</v>
      </c>
      <c r="I30" s="96">
        <f t="shared" si="3"/>
        <v>21773131.380000472</v>
      </c>
      <c r="J30" s="99">
        <v>1839.9999999996908</v>
      </c>
      <c r="K30" s="2">
        <v>2001126.9599996638</v>
      </c>
      <c r="L30" s="167">
        <v>440.00000000005457</v>
      </c>
      <c r="M30" s="168">
        <v>717795.54000008909</v>
      </c>
      <c r="N30" s="87">
        <f t="shared" si="4"/>
        <v>2718922.4999997527</v>
      </c>
      <c r="O30" s="101">
        <f t="shared" si="5"/>
        <v>24492053.880000226</v>
      </c>
      <c r="P30" s="104">
        <f t="shared" si="6"/>
        <v>20680.000000001201</v>
      </c>
      <c r="Q30" s="169">
        <f t="shared" si="7"/>
        <v>353.5</v>
      </c>
      <c r="R30" s="2">
        <v>172</v>
      </c>
      <c r="S30" s="2">
        <v>3090870.96</v>
      </c>
      <c r="T30" s="27">
        <v>181.5</v>
      </c>
      <c r="U30" s="27">
        <v>831669.29999999993</v>
      </c>
      <c r="V30" s="27">
        <f t="shared" si="8"/>
        <v>3922540.26</v>
      </c>
      <c r="W30" s="118">
        <f t="shared" si="0"/>
        <v>302.28984694156713</v>
      </c>
      <c r="X30" s="124">
        <v>70.489999999999995</v>
      </c>
      <c r="Y30" s="2">
        <v>250</v>
      </c>
      <c r="Z30" s="2">
        <v>0</v>
      </c>
      <c r="AA30" s="2">
        <v>0</v>
      </c>
      <c r="AB30" s="2">
        <f t="shared" si="9"/>
        <v>320.49</v>
      </c>
      <c r="AC30" s="2">
        <v>3508184.9699999997</v>
      </c>
      <c r="AD30" s="39">
        <f t="shared" si="1"/>
        <v>270.35763238386909</v>
      </c>
      <c r="AE30" s="131">
        <v>46.199999999953434</v>
      </c>
      <c r="AF30" s="2">
        <v>401939.99999959487</v>
      </c>
      <c r="AG30" s="35">
        <f t="shared" si="2"/>
        <v>30.975432506987456</v>
      </c>
      <c r="AH30" s="6"/>
    </row>
    <row r="31" spans="1:34">
      <c r="A31" s="29"/>
      <c r="B31" s="54">
        <v>20</v>
      </c>
      <c r="C31" s="198">
        <v>11</v>
      </c>
      <c r="D31" s="199">
        <v>161</v>
      </c>
      <c r="E31" s="99">
        <v>14519.999999989523</v>
      </c>
      <c r="F31" s="2">
        <v>15791501.879988605</v>
      </c>
      <c r="G31" s="31">
        <v>2880.0000000010186</v>
      </c>
      <c r="H31" s="2">
        <v>4698298.0800016625</v>
      </c>
      <c r="I31" s="96">
        <f t="shared" si="3"/>
        <v>20489799.959990267</v>
      </c>
      <c r="J31" s="99">
        <v>1720.0000000002547</v>
      </c>
      <c r="K31" s="2">
        <v>1870618.680000277</v>
      </c>
      <c r="L31" s="167">
        <v>399.99999999997726</v>
      </c>
      <c r="M31" s="168">
        <v>652541.399999963</v>
      </c>
      <c r="N31" s="87">
        <f t="shared" si="4"/>
        <v>2523160.0800002399</v>
      </c>
      <c r="O31" s="101">
        <f t="shared" si="5"/>
        <v>23012960.039990507</v>
      </c>
      <c r="P31" s="104">
        <f t="shared" si="6"/>
        <v>19519.999999990774</v>
      </c>
      <c r="Q31" s="169">
        <f t="shared" si="7"/>
        <v>527</v>
      </c>
      <c r="R31" s="2">
        <v>161</v>
      </c>
      <c r="S31" s="2">
        <v>2893198.98</v>
      </c>
      <c r="T31" s="27">
        <v>366</v>
      </c>
      <c r="U31" s="27">
        <v>1677085.2</v>
      </c>
      <c r="V31" s="27">
        <f t="shared" si="8"/>
        <v>4570284.18</v>
      </c>
      <c r="W31" s="118">
        <f t="shared" si="0"/>
        <v>352.2081135380534</v>
      </c>
      <c r="X31" s="124">
        <v>74.517999999999986</v>
      </c>
      <c r="Y31" s="2"/>
      <c r="Z31" s="2">
        <v>400</v>
      </c>
      <c r="AA31" s="2">
        <v>24</v>
      </c>
      <c r="AB31" s="2">
        <f t="shared" si="9"/>
        <v>498.51799999999997</v>
      </c>
      <c r="AC31" s="2">
        <v>6062081.2539999997</v>
      </c>
      <c r="AD31" s="39">
        <f t="shared" si="1"/>
        <v>467.17318190610575</v>
      </c>
      <c r="AE31" s="131">
        <v>118.50000000005821</v>
      </c>
      <c r="AF31" s="2">
        <v>1030950.0000005064</v>
      </c>
      <c r="AG31" s="35">
        <f t="shared" si="2"/>
        <v>79.449972988820704</v>
      </c>
      <c r="AH31" s="6"/>
    </row>
    <row r="32" spans="1:34">
      <c r="A32" s="29"/>
      <c r="B32" s="54">
        <v>21</v>
      </c>
      <c r="C32" s="198">
        <v>12</v>
      </c>
      <c r="D32" s="199">
        <v>222</v>
      </c>
      <c r="E32" s="99">
        <v>13559.999999997672</v>
      </c>
      <c r="F32" s="2">
        <v>14747435.639997469</v>
      </c>
      <c r="G32" s="31">
        <v>2680.000000000291</v>
      </c>
      <c r="H32" s="2">
        <v>4372027.3800004749</v>
      </c>
      <c r="I32" s="96">
        <f t="shared" si="3"/>
        <v>19119463.019997943</v>
      </c>
      <c r="J32" s="99">
        <v>1319.999999999709</v>
      </c>
      <c r="K32" s="2">
        <v>1435591.0799996837</v>
      </c>
      <c r="L32" s="167">
        <v>360.00000000001364</v>
      </c>
      <c r="M32" s="168">
        <v>587287.26000002236</v>
      </c>
      <c r="N32" s="87">
        <f t="shared" si="4"/>
        <v>2022878.339999706</v>
      </c>
      <c r="O32" s="101">
        <f t="shared" si="5"/>
        <v>21142341.359997649</v>
      </c>
      <c r="P32" s="104">
        <f t="shared" si="6"/>
        <v>17919.999999997686</v>
      </c>
      <c r="Q32" s="169">
        <f t="shared" si="7"/>
        <v>395.5</v>
      </c>
      <c r="R32" s="2">
        <v>33</v>
      </c>
      <c r="S32" s="2">
        <v>593015.94000000006</v>
      </c>
      <c r="T32" s="27">
        <v>362.5</v>
      </c>
      <c r="U32" s="27">
        <v>1661047.5</v>
      </c>
      <c r="V32" s="27">
        <f t="shared" si="8"/>
        <v>2254063.44</v>
      </c>
      <c r="W32" s="118">
        <f t="shared" si="0"/>
        <v>173.7089862971049</v>
      </c>
      <c r="X32" s="124">
        <v>71.577560000016405</v>
      </c>
      <c r="Y32" s="2"/>
      <c r="Z32" s="2">
        <v>0</v>
      </c>
      <c r="AA32" s="2">
        <v>12</v>
      </c>
      <c r="AB32" s="2">
        <f t="shared" si="9"/>
        <v>83.577560000016405</v>
      </c>
      <c r="AC32" s="2">
        <v>866226.96668016654</v>
      </c>
      <c r="AD32" s="39">
        <f t="shared" si="1"/>
        <v>66.755622585861119</v>
      </c>
      <c r="AE32" s="131">
        <v>129.4999999999709</v>
      </c>
      <c r="AF32" s="2">
        <v>1126649.9999997467</v>
      </c>
      <c r="AG32" s="35">
        <f t="shared" si="2"/>
        <v>86.825075966623743</v>
      </c>
      <c r="AH32" s="6"/>
    </row>
    <row r="33" spans="1:34">
      <c r="A33" s="29"/>
      <c r="B33" s="54">
        <v>22</v>
      </c>
      <c r="C33" s="198">
        <v>19</v>
      </c>
      <c r="D33" s="199">
        <v>224</v>
      </c>
      <c r="E33" s="99">
        <v>13559.999999997672</v>
      </c>
      <c r="F33" s="2">
        <v>14747435.639997469</v>
      </c>
      <c r="G33" s="31">
        <v>2920.0000000018917</v>
      </c>
      <c r="H33" s="2">
        <v>4763552.2200030871</v>
      </c>
      <c r="I33" s="96">
        <f t="shared" si="3"/>
        <v>19510987.860000558</v>
      </c>
      <c r="J33" s="99">
        <v>2060.0000000004002</v>
      </c>
      <c r="K33" s="2">
        <v>2240392.1400004351</v>
      </c>
      <c r="L33" s="167">
        <v>399.99999999997726</v>
      </c>
      <c r="M33" s="168">
        <v>652541.399999963</v>
      </c>
      <c r="N33" s="87">
        <f t="shared" si="4"/>
        <v>2892933.5400003982</v>
      </c>
      <c r="O33" s="101">
        <f t="shared" si="5"/>
        <v>22403921.400000956</v>
      </c>
      <c r="P33" s="104">
        <f t="shared" si="6"/>
        <v>18939.999999999942</v>
      </c>
      <c r="Q33" s="169">
        <f t="shared" si="7"/>
        <v>481</v>
      </c>
      <c r="R33" s="2">
        <v>115</v>
      </c>
      <c r="S33" s="2">
        <v>2066570.7</v>
      </c>
      <c r="T33" s="27">
        <v>366</v>
      </c>
      <c r="U33" s="27">
        <v>1677085.2</v>
      </c>
      <c r="V33" s="27">
        <f t="shared" si="8"/>
        <v>3743655.9</v>
      </c>
      <c r="W33" s="118">
        <f t="shared" si="0"/>
        <v>288.50415649089979</v>
      </c>
      <c r="X33" s="124">
        <v>74.31659999998827</v>
      </c>
      <c r="Y33" s="2"/>
      <c r="Z33" s="2">
        <v>0</v>
      </c>
      <c r="AA33" s="2">
        <v>0</v>
      </c>
      <c r="AB33" s="2">
        <f t="shared" si="9"/>
        <v>74.31659999998827</v>
      </c>
      <c r="AC33" s="2">
        <v>754536.43979988096</v>
      </c>
      <c r="AD33" s="39">
        <f t="shared" si="1"/>
        <v>58.148212581746961</v>
      </c>
      <c r="AE33" s="131">
        <v>108.69999999995343</v>
      </c>
      <c r="AF33" s="2">
        <v>945689.99999959487</v>
      </c>
      <c r="AG33" s="35">
        <f t="shared" si="2"/>
        <v>72.879426699382861</v>
      </c>
      <c r="AH33" s="6"/>
    </row>
    <row r="34" spans="1:34">
      <c r="A34" s="29"/>
      <c r="B34" s="54">
        <v>23</v>
      </c>
      <c r="C34" s="198">
        <v>18</v>
      </c>
      <c r="D34" s="199">
        <v>178</v>
      </c>
      <c r="E34" s="99">
        <v>13200.000000011642</v>
      </c>
      <c r="F34" s="2">
        <v>14355910.800012661</v>
      </c>
      <c r="G34" s="31">
        <v>2839.9999999965075</v>
      </c>
      <c r="H34" s="2">
        <v>4633043.9399943026</v>
      </c>
      <c r="I34" s="96">
        <f t="shared" si="3"/>
        <v>18988954.740006965</v>
      </c>
      <c r="J34" s="99">
        <v>1539.9999999999636</v>
      </c>
      <c r="K34" s="2">
        <v>1674856.2599999604</v>
      </c>
      <c r="L34" s="167">
        <v>379.99999999999545</v>
      </c>
      <c r="M34" s="168">
        <v>619914.32999999262</v>
      </c>
      <c r="N34" s="87">
        <f t="shared" si="4"/>
        <v>2294770.5899999533</v>
      </c>
      <c r="O34" s="101">
        <f t="shared" si="5"/>
        <v>21283725.33000692</v>
      </c>
      <c r="P34" s="104">
        <f t="shared" si="6"/>
        <v>17960.000000008109</v>
      </c>
      <c r="Q34" s="169">
        <f t="shared" si="7"/>
        <v>489</v>
      </c>
      <c r="R34" s="2">
        <v>126</v>
      </c>
      <c r="S34" s="2">
        <v>2264242.6800000002</v>
      </c>
      <c r="T34" s="27">
        <v>363</v>
      </c>
      <c r="U34" s="27">
        <v>1663338.5999999999</v>
      </c>
      <c r="V34" s="27">
        <f t="shared" si="8"/>
        <v>3927581.2800000003</v>
      </c>
      <c r="W34" s="118">
        <f t="shared" si="0"/>
        <v>302.6783322248844</v>
      </c>
      <c r="X34" s="124">
        <v>74.517999999999986</v>
      </c>
      <c r="Y34" s="2"/>
      <c r="Z34" s="2">
        <v>0</v>
      </c>
      <c r="AA34" s="2">
        <v>24</v>
      </c>
      <c r="AB34" s="2">
        <f t="shared" si="9"/>
        <v>98.517999999999986</v>
      </c>
      <c r="AC34" s="2">
        <v>1035581.2539999998</v>
      </c>
      <c r="AD34" s="39">
        <f t="shared" si="1"/>
        <v>79.806879730334785</v>
      </c>
      <c r="AE34" s="131">
        <v>876.20000000009895</v>
      </c>
      <c r="AF34" s="2">
        <v>7622940.0000008605</v>
      </c>
      <c r="AG34" s="35">
        <f t="shared" si="2"/>
        <v>587.46047538209586</v>
      </c>
      <c r="AH34" s="6"/>
    </row>
    <row r="35" spans="1:34">
      <c r="A35" s="29"/>
      <c r="B35" s="54">
        <v>24</v>
      </c>
      <c r="C35" s="198">
        <v>19</v>
      </c>
      <c r="D35" s="199">
        <v>173</v>
      </c>
      <c r="E35" s="99">
        <v>14359.99999998603</v>
      </c>
      <c r="F35" s="2">
        <v>15617490.839984806</v>
      </c>
      <c r="G35" s="31">
        <v>2840.0000000001455</v>
      </c>
      <c r="H35" s="2">
        <v>4633043.9400002379</v>
      </c>
      <c r="I35" s="96">
        <f t="shared" si="3"/>
        <v>20250534.779985044</v>
      </c>
      <c r="J35" s="99">
        <v>1439.9999999995998</v>
      </c>
      <c r="K35" s="2">
        <v>1566099.3599995649</v>
      </c>
      <c r="L35" s="167">
        <v>360.00000000001364</v>
      </c>
      <c r="M35" s="168">
        <v>587287.26000002236</v>
      </c>
      <c r="N35" s="87">
        <f t="shared" si="4"/>
        <v>2153386.6199995875</v>
      </c>
      <c r="O35" s="101">
        <f t="shared" si="5"/>
        <v>22403921.399984632</v>
      </c>
      <c r="P35" s="104">
        <f t="shared" si="6"/>
        <v>18999.99999998579</v>
      </c>
      <c r="Q35" s="169">
        <f t="shared" si="7"/>
        <v>358</v>
      </c>
      <c r="R35" s="2">
        <v>0</v>
      </c>
      <c r="S35" s="2">
        <v>0</v>
      </c>
      <c r="T35" s="27">
        <v>358</v>
      </c>
      <c r="U35" s="27">
        <v>1640427.5999999999</v>
      </c>
      <c r="V35" s="27">
        <f t="shared" si="8"/>
        <v>1640427.5999999999</v>
      </c>
      <c r="W35" s="118">
        <f t="shared" si="0"/>
        <v>126.4192526408186</v>
      </c>
      <c r="X35" s="124">
        <v>61.708959999998818</v>
      </c>
      <c r="Y35" s="2"/>
      <c r="Z35" s="2">
        <v>0</v>
      </c>
      <c r="AA35" s="2">
        <v>0</v>
      </c>
      <c r="AB35" s="2">
        <f t="shared" si="9"/>
        <v>61.708959999998818</v>
      </c>
      <c r="AC35" s="2">
        <v>626531.07087998802</v>
      </c>
      <c r="AD35" s="39">
        <f t="shared" si="1"/>
        <v>48.283502263007428</v>
      </c>
      <c r="AE35" s="131">
        <v>731.09999999999388</v>
      </c>
      <c r="AF35" s="2">
        <v>6360569.9999999469</v>
      </c>
      <c r="AG35" s="35">
        <f t="shared" si="2"/>
        <v>490.17616246496033</v>
      </c>
      <c r="AH35" s="6"/>
    </row>
    <row r="36" spans="1:34">
      <c r="A36" s="29"/>
      <c r="B36" s="54">
        <v>25</v>
      </c>
      <c r="C36" s="198">
        <v>24</v>
      </c>
      <c r="D36" s="199">
        <v>186</v>
      </c>
      <c r="E36" s="99">
        <v>13480.000000010477</v>
      </c>
      <c r="F36" s="2">
        <v>14660430.120011395</v>
      </c>
      <c r="G36" s="31">
        <v>2680.000000000291</v>
      </c>
      <c r="H36" s="2">
        <v>4372027.3800004749</v>
      </c>
      <c r="I36" s="96">
        <f t="shared" si="3"/>
        <v>19032457.500011869</v>
      </c>
      <c r="J36" s="99">
        <v>1460.0000000000364</v>
      </c>
      <c r="K36" s="2">
        <v>1587850.7400000396</v>
      </c>
      <c r="L36" s="167">
        <v>360.00000000001364</v>
      </c>
      <c r="M36" s="168">
        <v>587287.26000002236</v>
      </c>
      <c r="N36" s="87">
        <f t="shared" si="4"/>
        <v>2175138.0000000619</v>
      </c>
      <c r="O36" s="101">
        <f t="shared" si="5"/>
        <v>21207595.500011932</v>
      </c>
      <c r="P36" s="104">
        <f t="shared" si="6"/>
        <v>17980.000000010819</v>
      </c>
      <c r="Q36" s="169">
        <f t="shared" si="7"/>
        <v>364</v>
      </c>
      <c r="R36" s="2">
        <v>0</v>
      </c>
      <c r="S36" s="2">
        <v>0</v>
      </c>
      <c r="T36" s="27">
        <v>364</v>
      </c>
      <c r="U36" s="27">
        <v>1667920.8</v>
      </c>
      <c r="V36" s="27">
        <f t="shared" si="8"/>
        <v>1667920.8</v>
      </c>
      <c r="W36" s="118">
        <f t="shared" si="0"/>
        <v>128.53801106496641</v>
      </c>
      <c r="X36" s="124">
        <v>75.565280000008201</v>
      </c>
      <c r="Y36" s="2">
        <v>250</v>
      </c>
      <c r="Z36" s="2">
        <v>0</v>
      </c>
      <c r="AA36" s="2">
        <v>0</v>
      </c>
      <c r="AB36" s="2">
        <f t="shared" si="9"/>
        <v>325.56528000000822</v>
      </c>
      <c r="AC36" s="2">
        <v>3559714.2878400832</v>
      </c>
      <c r="AD36" s="39">
        <f t="shared" si="1"/>
        <v>274.32872982848323</v>
      </c>
      <c r="AE36" s="131">
        <v>538.09999999997672</v>
      </c>
      <c r="AF36" s="2">
        <v>4681469.999999797</v>
      </c>
      <c r="AG36" s="35">
        <f t="shared" si="2"/>
        <v>360.77662839883175</v>
      </c>
      <c r="AH36" s="6"/>
    </row>
    <row r="37" spans="1:34">
      <c r="A37" s="29"/>
      <c r="B37" s="54">
        <v>26</v>
      </c>
      <c r="C37" s="198">
        <v>19</v>
      </c>
      <c r="D37" s="199">
        <v>299</v>
      </c>
      <c r="E37" s="99">
        <v>13440.000000002328</v>
      </c>
      <c r="F37" s="2">
        <v>14616927.360002533</v>
      </c>
      <c r="G37" s="31">
        <v>2920.0000000018917</v>
      </c>
      <c r="H37" s="2">
        <v>4763552.2200030871</v>
      </c>
      <c r="I37" s="96">
        <f t="shared" si="3"/>
        <v>19380479.58000562</v>
      </c>
      <c r="J37" s="99">
        <v>1620.0000000003456</v>
      </c>
      <c r="K37" s="2">
        <v>1761861.7800003758</v>
      </c>
      <c r="L37" s="167">
        <v>379.99999999999545</v>
      </c>
      <c r="M37" s="168">
        <v>619914.32999999262</v>
      </c>
      <c r="N37" s="87">
        <f t="shared" si="4"/>
        <v>2381776.1100003682</v>
      </c>
      <c r="O37" s="101">
        <f t="shared" si="5"/>
        <v>21762255.690005988</v>
      </c>
      <c r="P37" s="104">
        <f t="shared" si="6"/>
        <v>18360.000000004562</v>
      </c>
      <c r="Q37" s="169">
        <f t="shared" si="7"/>
        <v>225.80000000000291</v>
      </c>
      <c r="R37" s="2">
        <v>0</v>
      </c>
      <c r="S37" s="2">
        <v>0</v>
      </c>
      <c r="T37" s="27">
        <v>225.80000000000291</v>
      </c>
      <c r="U37" s="27">
        <v>1034660.7600000133</v>
      </c>
      <c r="V37" s="27">
        <f t="shared" si="8"/>
        <v>1034660.7600000133</v>
      </c>
      <c r="W37" s="118">
        <f t="shared" si="0"/>
        <v>79.735942028763148</v>
      </c>
      <c r="X37" s="124">
        <v>74.034639999989437</v>
      </c>
      <c r="Y37" s="2"/>
      <c r="Z37" s="2">
        <v>400</v>
      </c>
      <c r="AA37" s="2">
        <v>12</v>
      </c>
      <c r="AB37" s="2">
        <f t="shared" si="9"/>
        <v>486.03463999998945</v>
      </c>
      <c r="AC37" s="2">
        <v>5917673.6999198925</v>
      </c>
      <c r="AD37" s="39">
        <f t="shared" si="1"/>
        <v>456.04444019114328</v>
      </c>
      <c r="AE37" s="131">
        <v>554.79999999995925</v>
      </c>
      <c r="AF37" s="2">
        <v>4826759.9999996452</v>
      </c>
      <c r="AG37" s="35">
        <f t="shared" si="2"/>
        <v>371.97337564702809</v>
      </c>
      <c r="AH37" s="6"/>
    </row>
    <row r="38" spans="1:34">
      <c r="A38" s="29"/>
      <c r="B38" s="54">
        <v>27</v>
      </c>
      <c r="C38" s="198">
        <v>13</v>
      </c>
      <c r="D38" s="199">
        <v>229</v>
      </c>
      <c r="E38" s="99">
        <v>13320.000000006985</v>
      </c>
      <c r="F38" s="2">
        <v>14486419.080007596</v>
      </c>
      <c r="G38" s="31">
        <v>2559.9999999976717</v>
      </c>
      <c r="H38" s="2">
        <v>4176264.959996202</v>
      </c>
      <c r="I38" s="96">
        <f t="shared" si="3"/>
        <v>18662684.040003799</v>
      </c>
      <c r="J38" s="99">
        <v>1699.9999999998181</v>
      </c>
      <c r="K38" s="2">
        <v>1848867.2999998024</v>
      </c>
      <c r="L38" s="167">
        <v>419.99999999995907</v>
      </c>
      <c r="M38" s="168">
        <v>685168.46999993327</v>
      </c>
      <c r="N38" s="87">
        <f t="shared" si="4"/>
        <v>2534035.7699997355</v>
      </c>
      <c r="O38" s="101">
        <f t="shared" si="5"/>
        <v>21196719.810003534</v>
      </c>
      <c r="P38" s="104">
        <f t="shared" si="6"/>
        <v>18000.000000004435</v>
      </c>
      <c r="Q38" s="169">
        <f t="shared" si="7"/>
        <v>223</v>
      </c>
      <c r="R38" s="2">
        <v>37</v>
      </c>
      <c r="S38" s="2">
        <v>664896.66</v>
      </c>
      <c r="T38" s="27">
        <v>186</v>
      </c>
      <c r="U38" s="27">
        <v>852289.2</v>
      </c>
      <c r="V38" s="27">
        <f t="shared" si="8"/>
        <v>1517185.8599999999</v>
      </c>
      <c r="W38" s="118">
        <f t="shared" si="0"/>
        <v>116.92165051259661</v>
      </c>
      <c r="X38" s="124">
        <v>63.642400000011719</v>
      </c>
      <c r="Y38" s="2"/>
      <c r="Z38" s="2">
        <v>0</v>
      </c>
      <c r="AA38" s="2">
        <v>24</v>
      </c>
      <c r="AB38" s="2">
        <f t="shared" si="9"/>
        <v>87.642400000011719</v>
      </c>
      <c r="AC38" s="2">
        <v>925161.287200119</v>
      </c>
      <c r="AD38" s="39">
        <f t="shared" si="1"/>
        <v>71.297385206184529</v>
      </c>
      <c r="AE38" s="131">
        <v>539.70000000001164</v>
      </c>
      <c r="AF38" s="2">
        <v>4695390.0000001015</v>
      </c>
      <c r="AG38" s="35">
        <f t="shared" si="2"/>
        <v>361.84937065018056</v>
      </c>
      <c r="AH38" s="6"/>
    </row>
    <row r="39" spans="1:34">
      <c r="A39" s="29"/>
      <c r="B39" s="54">
        <v>28</v>
      </c>
      <c r="C39" s="198">
        <v>16</v>
      </c>
      <c r="D39" s="199">
        <v>301</v>
      </c>
      <c r="E39" s="99">
        <v>13679.999999993015</v>
      </c>
      <c r="F39" s="2">
        <v>14877943.919992402</v>
      </c>
      <c r="G39" s="31">
        <v>3000</v>
      </c>
      <c r="H39" s="2">
        <v>4894060.5</v>
      </c>
      <c r="I39" s="96">
        <f t="shared" si="3"/>
        <v>19772004.419992402</v>
      </c>
      <c r="J39" s="99">
        <v>1760.0000000002183</v>
      </c>
      <c r="K39" s="2">
        <v>1914121.4400002374</v>
      </c>
      <c r="L39" s="167">
        <v>440.00000000005457</v>
      </c>
      <c r="M39" s="168">
        <v>717795.54000008909</v>
      </c>
      <c r="N39" s="87">
        <f t="shared" si="4"/>
        <v>2631916.9800003264</v>
      </c>
      <c r="O39" s="101">
        <f t="shared" si="5"/>
        <v>22403921.399992727</v>
      </c>
      <c r="P39" s="104">
        <f t="shared" si="6"/>
        <v>18879.999999993288</v>
      </c>
      <c r="Q39" s="169">
        <f t="shared" si="7"/>
        <v>223</v>
      </c>
      <c r="R39" s="2">
        <v>26</v>
      </c>
      <c r="S39" s="2">
        <v>467224.68</v>
      </c>
      <c r="T39" s="27">
        <v>197</v>
      </c>
      <c r="U39" s="27">
        <v>902693.39999999991</v>
      </c>
      <c r="V39" s="27">
        <f t="shared" si="8"/>
        <v>1369918.0799999998</v>
      </c>
      <c r="W39" s="118">
        <f t="shared" si="0"/>
        <v>105.5724860108091</v>
      </c>
      <c r="X39" s="124">
        <v>61.708959999998818</v>
      </c>
      <c r="Y39" s="2"/>
      <c r="Z39" s="2">
        <v>0</v>
      </c>
      <c r="AA39" s="2">
        <v>12</v>
      </c>
      <c r="AB39" s="2">
        <f t="shared" si="9"/>
        <v>73.708959999998825</v>
      </c>
      <c r="AC39" s="2">
        <v>766031.07087998802</v>
      </c>
      <c r="AD39" s="39">
        <f t="shared" si="1"/>
        <v>59.034044221332316</v>
      </c>
      <c r="AE39" s="131">
        <v>458.20000000006985</v>
      </c>
      <c r="AF39" s="2">
        <v>3986340.0000006077</v>
      </c>
      <c r="AG39" s="35">
        <f t="shared" si="2"/>
        <v>307.20656222333599</v>
      </c>
      <c r="AH39" s="6"/>
    </row>
    <row r="40" spans="1:34">
      <c r="A40" s="29"/>
      <c r="B40" s="54">
        <v>29</v>
      </c>
      <c r="C40" s="198">
        <v>13</v>
      </c>
      <c r="D40" s="199">
        <v>203</v>
      </c>
      <c r="E40" s="99">
        <v>14480.000000010477</v>
      </c>
      <c r="F40" s="2">
        <v>15747999.120011395</v>
      </c>
      <c r="G40" s="31">
        <v>2880.0000000010186</v>
      </c>
      <c r="H40" s="2">
        <v>4698298.0800016625</v>
      </c>
      <c r="I40" s="96">
        <f t="shared" si="3"/>
        <v>20446297.200013056</v>
      </c>
      <c r="J40" s="99">
        <v>1739.9999999997817</v>
      </c>
      <c r="K40" s="2">
        <v>1892370.0599997626</v>
      </c>
      <c r="L40" s="167">
        <v>399.99999999997726</v>
      </c>
      <c r="M40" s="168">
        <v>652541.399999963</v>
      </c>
      <c r="N40" s="87">
        <f t="shared" ref="N40:N42" si="10">K40+M40</f>
        <v>2544911.4599997257</v>
      </c>
      <c r="O40" s="101">
        <f t="shared" ref="O40:O42" si="11">N40+I40</f>
        <v>22991208.660012782</v>
      </c>
      <c r="P40" s="104">
        <f t="shared" ref="P40:P42" si="12">L40+J40+G40+E40</f>
        <v>19500.000000011256</v>
      </c>
      <c r="Q40" s="169">
        <f t="shared" si="7"/>
        <v>371</v>
      </c>
      <c r="R40" s="2">
        <v>187</v>
      </c>
      <c r="S40" s="2">
        <v>3360423.66</v>
      </c>
      <c r="T40" s="27">
        <v>184</v>
      </c>
      <c r="U40" s="27">
        <v>843124.79999999993</v>
      </c>
      <c r="V40" s="27">
        <f t="shared" ref="V40:V42" si="13">U40+S40</f>
        <v>4203548.46</v>
      </c>
      <c r="W40" s="118">
        <f t="shared" ref="W40:W42" si="14">V40/$AG$48</f>
        <v>323.94569242352662</v>
      </c>
      <c r="X40" s="124">
        <v>74.96108000000234</v>
      </c>
      <c r="Y40" s="2"/>
      <c r="Z40" s="2">
        <v>0</v>
      </c>
      <c r="AA40" s="2">
        <v>12</v>
      </c>
      <c r="AB40" s="2">
        <f t="shared" si="9"/>
        <v>86.96108000000234</v>
      </c>
      <c r="AC40" s="2">
        <v>900579.8452400238</v>
      </c>
      <c r="AD40" s="39">
        <f t="shared" ref="AD40:AD42" si="15">AC40/$AG$48</f>
        <v>69.403020882255277</v>
      </c>
      <c r="AE40" s="131">
        <v>376.9999999999709</v>
      </c>
      <c r="AF40" s="2">
        <v>3279899.9999997467</v>
      </c>
      <c r="AG40" s="35">
        <f t="shared" si="2"/>
        <v>252.76489296850951</v>
      </c>
      <c r="AH40" s="6"/>
    </row>
    <row r="41" spans="1:34">
      <c r="A41" s="29"/>
      <c r="B41" s="54">
        <v>30</v>
      </c>
      <c r="C41" s="198">
        <v>17</v>
      </c>
      <c r="D41" s="199">
        <v>148</v>
      </c>
      <c r="E41" s="99">
        <v>14239.999999990687</v>
      </c>
      <c r="F41" s="2">
        <v>15486982.559989871</v>
      </c>
      <c r="G41" s="31">
        <v>3080.0000000017462</v>
      </c>
      <c r="H41" s="2">
        <v>5024568.7800028492</v>
      </c>
      <c r="I41" s="96">
        <f t="shared" si="3"/>
        <v>20511551.339992721</v>
      </c>
      <c r="J41" s="99">
        <v>1760.0000000002183</v>
      </c>
      <c r="K41" s="2">
        <v>1914121.4400002374</v>
      </c>
      <c r="L41" s="167">
        <v>399.99999999997726</v>
      </c>
      <c r="M41" s="168">
        <v>652541.399999963</v>
      </c>
      <c r="N41" s="87">
        <f t="shared" si="10"/>
        <v>2566662.8400002006</v>
      </c>
      <c r="O41" s="101">
        <f t="shared" si="11"/>
        <v>23078214.179992922</v>
      </c>
      <c r="P41" s="104">
        <f t="shared" si="12"/>
        <v>19479.999999992629</v>
      </c>
      <c r="Q41" s="169">
        <f t="shared" si="7"/>
        <v>396</v>
      </c>
      <c r="R41" s="2">
        <v>207</v>
      </c>
      <c r="S41" s="2">
        <v>3719827.2600000002</v>
      </c>
      <c r="T41" s="27">
        <v>189</v>
      </c>
      <c r="U41" s="27">
        <v>866035.79999999993</v>
      </c>
      <c r="V41" s="27">
        <f t="shared" si="13"/>
        <v>4585863.0600000005</v>
      </c>
      <c r="W41" s="118">
        <f t="shared" si="14"/>
        <v>353.40869707284708</v>
      </c>
      <c r="X41" s="124">
        <v>69.321879999996483</v>
      </c>
      <c r="Y41" s="2"/>
      <c r="Z41" s="2">
        <v>0</v>
      </c>
      <c r="AA41" s="2">
        <v>36</v>
      </c>
      <c r="AB41" s="2">
        <f t="shared" si="9"/>
        <v>105.32187999999648</v>
      </c>
      <c r="AC41" s="2">
        <v>1680825.0476399641</v>
      </c>
      <c r="AD41" s="39">
        <f t="shared" si="15"/>
        <v>129.53247454664418</v>
      </c>
      <c r="AE41" s="131">
        <v>395.80000000001746</v>
      </c>
      <c r="AF41" s="2">
        <v>3443460.0000001518</v>
      </c>
      <c r="AG41" s="35">
        <f t="shared" si="2"/>
        <v>265.36961442161328</v>
      </c>
      <c r="AH41" s="6"/>
    </row>
    <row r="42" spans="1:34">
      <c r="A42" s="29"/>
      <c r="B42" s="54">
        <v>31</v>
      </c>
      <c r="C42" s="198">
        <v>18</v>
      </c>
      <c r="D42" s="199">
        <v>180</v>
      </c>
      <c r="E42" s="99">
        <v>22519.999999989523</v>
      </c>
      <c r="F42" s="2">
        <v>24492053.879988603</v>
      </c>
      <c r="G42" s="31">
        <v>2919.9999999982538</v>
      </c>
      <c r="H42" s="2">
        <v>4763552.2199971518</v>
      </c>
      <c r="I42" s="96">
        <f t="shared" si="3"/>
        <v>29255606.099985756</v>
      </c>
      <c r="J42" s="99">
        <v>3019.9999999999818</v>
      </c>
      <c r="K42" s="2">
        <v>3284458.3799999803</v>
      </c>
      <c r="L42" s="167">
        <v>420.00000000007276</v>
      </c>
      <c r="M42" s="168">
        <v>685168.47000011872</v>
      </c>
      <c r="N42" s="87">
        <f t="shared" si="10"/>
        <v>3969626.8500000993</v>
      </c>
      <c r="O42" s="101">
        <f t="shared" si="11"/>
        <v>33225232.949985854</v>
      </c>
      <c r="P42" s="104">
        <f t="shared" si="12"/>
        <v>28879.999999987831</v>
      </c>
      <c r="Q42" s="169">
        <f t="shared" si="7"/>
        <v>395</v>
      </c>
      <c r="R42" s="2">
        <v>197</v>
      </c>
      <c r="S42" s="2">
        <v>3540125.46</v>
      </c>
      <c r="T42" s="27">
        <v>198</v>
      </c>
      <c r="U42" s="27">
        <v>907275.6</v>
      </c>
      <c r="V42" s="27">
        <f t="shared" si="13"/>
        <v>4447401.0599999996</v>
      </c>
      <c r="W42" s="118">
        <f t="shared" si="14"/>
        <v>342.7381483944701</v>
      </c>
      <c r="X42" s="124">
        <v>77.659839999995299</v>
      </c>
      <c r="Y42" s="2">
        <v>250</v>
      </c>
      <c r="Z42" s="2">
        <v>400</v>
      </c>
      <c r="AA42" s="2">
        <v>0</v>
      </c>
      <c r="AB42" s="2">
        <f t="shared" si="9"/>
        <v>727.65983999999526</v>
      </c>
      <c r="AC42" s="2">
        <v>8048980.3555199523</v>
      </c>
      <c r="AD42" s="39">
        <f t="shared" si="15"/>
        <v>620.29319737455216</v>
      </c>
      <c r="AE42" s="131">
        <v>544.4999999999709</v>
      </c>
      <c r="AF42" s="2">
        <v>4737149.9999997467</v>
      </c>
      <c r="AG42" s="35">
        <f t="shared" si="2"/>
        <v>365.06759740412917</v>
      </c>
      <c r="AH42" s="6"/>
    </row>
    <row r="43" spans="1:34">
      <c r="A43" s="29"/>
      <c r="B43" s="113"/>
      <c r="C43" s="139"/>
      <c r="D43" s="140"/>
      <c r="E43" s="97"/>
      <c r="F43" s="97"/>
      <c r="G43" s="88"/>
      <c r="H43" s="89"/>
      <c r="I43" s="98"/>
      <c r="J43" s="100"/>
      <c r="K43" s="88"/>
      <c r="L43" s="89"/>
      <c r="M43" s="90"/>
      <c r="N43" s="91"/>
      <c r="O43" s="102"/>
      <c r="P43" s="105"/>
      <c r="Q43" s="169"/>
      <c r="R43" s="2"/>
      <c r="S43" s="2"/>
      <c r="T43" s="27"/>
      <c r="U43" s="27"/>
      <c r="V43" s="15"/>
      <c r="W43" s="119"/>
      <c r="X43" s="117"/>
      <c r="Y43" s="2"/>
      <c r="Z43" s="1"/>
      <c r="AA43" s="1"/>
      <c r="AB43" s="1"/>
      <c r="AC43" s="2"/>
      <c r="AD43" s="39"/>
      <c r="AE43" s="131"/>
      <c r="AF43" s="2"/>
      <c r="AG43" s="35"/>
      <c r="AH43" s="6"/>
    </row>
    <row r="44" spans="1:34" s="7" customFormat="1" ht="4.5" customHeight="1">
      <c r="B44" s="108"/>
      <c r="C44" s="109"/>
      <c r="D44" s="109"/>
      <c r="E44" s="107"/>
      <c r="F44" s="6"/>
      <c r="H44" s="6"/>
      <c r="L44" s="6"/>
      <c r="M44" s="58"/>
      <c r="N44" s="62"/>
      <c r="P44" s="62"/>
      <c r="Q44" s="120"/>
      <c r="W44" s="28"/>
      <c r="Y44" s="6"/>
      <c r="AE44" s="80"/>
      <c r="AG44" s="28"/>
    </row>
    <row r="45" spans="1:34" s="7" customFormat="1" ht="6" customHeight="1">
      <c r="B45" s="108"/>
      <c r="C45" s="109"/>
      <c r="D45" s="109"/>
      <c r="E45" s="107"/>
      <c r="F45" s="6"/>
      <c r="H45" s="6"/>
      <c r="L45" s="6"/>
      <c r="M45" s="58"/>
      <c r="N45" s="62"/>
      <c r="P45" s="62"/>
      <c r="Q45" s="120"/>
      <c r="W45" s="121"/>
      <c r="Y45" s="6"/>
      <c r="AC45" s="6"/>
      <c r="AE45" s="81"/>
      <c r="AF45" s="4"/>
      <c r="AG45" s="36"/>
    </row>
    <row r="46" spans="1:34" s="7" customFormat="1">
      <c r="B46" s="110"/>
      <c r="C46" s="111"/>
      <c r="D46" s="111"/>
      <c r="E46" s="112"/>
      <c r="F46" s="68"/>
      <c r="G46" s="67"/>
      <c r="H46" s="68"/>
      <c r="I46" s="67"/>
      <c r="J46" s="67"/>
      <c r="K46" s="67"/>
      <c r="L46" s="68"/>
      <c r="M46" s="69"/>
      <c r="N46" s="70"/>
      <c r="O46" s="67"/>
      <c r="P46" s="70"/>
      <c r="Q46" s="122"/>
      <c r="R46" s="72"/>
      <c r="S46" s="67"/>
      <c r="T46" s="67"/>
      <c r="U46" s="67"/>
      <c r="V46" s="67"/>
      <c r="W46" s="71"/>
      <c r="X46" s="73"/>
      <c r="Y46" s="68"/>
      <c r="Z46" s="73"/>
      <c r="AA46" s="73"/>
      <c r="AB46" s="73"/>
      <c r="AC46" s="68"/>
      <c r="AD46" s="67"/>
      <c r="AE46" s="132"/>
      <c r="AF46" s="74"/>
      <c r="AG46" s="75"/>
    </row>
    <row r="47" spans="1:34">
      <c r="A47" s="21"/>
      <c r="B47" s="65"/>
      <c r="C47" s="66">
        <f>SUM(C12:C43)</f>
        <v>1107</v>
      </c>
      <c r="D47" s="66">
        <f>SUM(D12:D43)</f>
        <v>11246</v>
      </c>
      <c r="E47" s="66">
        <f>SUM(E12:E43)</f>
        <v>481559.99999999767</v>
      </c>
      <c r="F47" s="66">
        <f>SUM(F12:F43)</f>
        <v>523729727.63999754</v>
      </c>
      <c r="G47" s="66">
        <f>SUM(G12:G43)</f>
        <v>101599.99999999854</v>
      </c>
      <c r="H47" s="66">
        <f t="shared" ref="H47:O47" si="16">SUM(H12:H43)</f>
        <v>165745515.59999764</v>
      </c>
      <c r="I47" s="66">
        <f t="shared" si="16"/>
        <v>689475243.23999524</v>
      </c>
      <c r="J47" s="66">
        <f t="shared" si="16"/>
        <v>55560.000000000393</v>
      </c>
      <c r="K47" s="66">
        <f t="shared" si="16"/>
        <v>60425333.640000425</v>
      </c>
      <c r="L47" s="66">
        <f t="shared" si="16"/>
        <v>13120.000000000015</v>
      </c>
      <c r="M47" s="66">
        <f t="shared" si="16"/>
        <v>21403357.920000002</v>
      </c>
      <c r="N47" s="66">
        <f t="shared" si="16"/>
        <v>81828691.560000435</v>
      </c>
      <c r="O47" s="197">
        <f t="shared" si="16"/>
        <v>771303934.79999554</v>
      </c>
      <c r="P47" s="76">
        <f>SUM(P12:P43)</f>
        <v>651839.99999999662</v>
      </c>
      <c r="Q47" s="162">
        <f>SUM(Q12:Q42)</f>
        <v>13358.700000000004</v>
      </c>
      <c r="R47" s="48">
        <f>SUM(R12:R42)</f>
        <v>4638</v>
      </c>
      <c r="S47" s="48">
        <f t="shared" ref="S47:U47" si="17">SUM(S12:S42)</f>
        <v>83345694.840000018</v>
      </c>
      <c r="T47" s="48">
        <f t="shared" si="17"/>
        <v>8720.7000000000044</v>
      </c>
      <c r="U47" s="48">
        <f t="shared" si="17"/>
        <v>39959991.540000021</v>
      </c>
      <c r="V47" s="125">
        <f>SUM(V12:V42)</f>
        <v>123305686.38000003</v>
      </c>
      <c r="W47" s="114">
        <f>V47/$AG$48</f>
        <v>9502.5301442884593</v>
      </c>
      <c r="X47" s="40">
        <f>SUM(X12:X41)</f>
        <v>2138.0624000000116</v>
      </c>
      <c r="Y47" s="126">
        <f>SUM(Y12:Y41)</f>
        <v>1250</v>
      </c>
      <c r="Z47" s="40">
        <f>SUM(Z12:Z42)</f>
        <v>2400</v>
      </c>
      <c r="AA47" s="40">
        <f>SUM(AA12:AA42)</f>
        <v>312</v>
      </c>
      <c r="AB47" s="40">
        <f>SUM(AB12:AB42)</f>
        <v>6427.7222400000082</v>
      </c>
      <c r="AC47" s="136">
        <f>SUM(AC12:AC43)</f>
        <v>73037227.902720094</v>
      </c>
      <c r="AD47" s="137">
        <f>AC47/$AG$48</f>
        <v>5628.600595612399</v>
      </c>
      <c r="AE47" s="133">
        <f>SUM(AE12:AE43)</f>
        <v>8962.2000000000226</v>
      </c>
      <c r="AF47" s="134">
        <f>SUM(AF12:AF43)</f>
        <v>77971140.000000209</v>
      </c>
      <c r="AG47" s="135">
        <f>AF47/AG48</f>
        <v>6008.8316280173922</v>
      </c>
      <c r="AH47" s="21"/>
    </row>
    <row r="48" spans="1:34">
      <c r="A48" s="21"/>
      <c r="B48" s="21"/>
      <c r="C48" s="4"/>
      <c r="D48" s="10"/>
      <c r="E48" s="4"/>
      <c r="F48" s="4"/>
      <c r="G48" s="10"/>
      <c r="H48" s="4"/>
      <c r="I48" s="8"/>
      <c r="J48" s="8"/>
      <c r="K48" s="8"/>
      <c r="L48" s="14"/>
      <c r="M48" s="59"/>
      <c r="N48" s="63"/>
      <c r="O48" s="9"/>
      <c r="P48" s="63"/>
      <c r="Q48" s="10"/>
      <c r="R48" s="10"/>
      <c r="S48" s="10"/>
      <c r="T48" s="127"/>
      <c r="U48" s="10"/>
      <c r="V48" s="10"/>
      <c r="W48" s="10"/>
      <c r="X48" s="13"/>
      <c r="Y48" s="6"/>
      <c r="Z48" s="13"/>
      <c r="AA48" s="13"/>
      <c r="AB48" s="6"/>
      <c r="AC48" s="4"/>
      <c r="AD48" s="10"/>
      <c r="AE48" s="81"/>
      <c r="AF48" s="10"/>
      <c r="AG48" s="138">
        <v>12976.09</v>
      </c>
      <c r="AH48" s="21"/>
    </row>
    <row r="49" spans="1:34" s="174" customFormat="1">
      <c r="A49" s="170"/>
      <c r="B49" s="170"/>
      <c r="C49" s="14"/>
      <c r="D49" s="171"/>
      <c r="E49" s="14"/>
      <c r="F49" s="14"/>
      <c r="G49" s="171"/>
      <c r="H49" s="14"/>
      <c r="I49" s="8"/>
      <c r="J49" s="8"/>
      <c r="K49" s="8"/>
      <c r="L49" s="14"/>
      <c r="M49" s="63"/>
      <c r="N49" s="63"/>
      <c r="O49" s="9"/>
      <c r="P49" s="63"/>
      <c r="Q49" s="171"/>
      <c r="R49" s="171"/>
      <c r="S49" s="171"/>
      <c r="T49" s="172"/>
      <c r="U49" s="14"/>
      <c r="V49" s="171"/>
      <c r="W49" s="171"/>
      <c r="X49" s="171"/>
      <c r="Y49" s="14"/>
      <c r="Z49" s="171"/>
      <c r="AA49" s="171"/>
      <c r="AB49" s="14"/>
      <c r="AC49" s="14"/>
      <c r="AD49" s="171"/>
      <c r="AE49" s="106"/>
      <c r="AF49" s="171"/>
      <c r="AG49" s="173"/>
      <c r="AH49" s="170"/>
    </row>
    <row r="50" spans="1:34" s="176" customFormat="1">
      <c r="A50" s="175"/>
      <c r="B50" s="175"/>
      <c r="E50" s="177"/>
      <c r="F50" s="178"/>
      <c r="G50" s="177"/>
      <c r="I50" s="177"/>
      <c r="J50" s="177"/>
      <c r="K50" s="177"/>
      <c r="L50" s="177"/>
      <c r="M50" s="177"/>
      <c r="N50" s="179"/>
      <c r="O50" s="180"/>
      <c r="P50" s="181">
        <f>O47/P47</f>
        <v>1183.2718685567004</v>
      </c>
      <c r="T50" s="183"/>
      <c r="U50" s="184"/>
      <c r="V50" s="176">
        <f>V47/Q47</f>
        <v>9230.3657077410207</v>
      </c>
      <c r="W50" s="185"/>
      <c r="AC50" s="176">
        <f>AC47/AB47</f>
        <v>11362.847549355212</v>
      </c>
      <c r="AE50" s="182"/>
      <c r="AF50" s="176">
        <f>AF47/AE47</f>
        <v>8700.0000000000018</v>
      </c>
      <c r="AG50" s="186"/>
      <c r="AH50" s="175"/>
    </row>
    <row r="51" spans="1:34" s="189" customFormat="1">
      <c r="A51" s="187"/>
      <c r="B51" s="187"/>
      <c r="C51" s="188"/>
      <c r="E51" s="188"/>
      <c r="F51" s="188"/>
      <c r="H51" s="188"/>
      <c r="L51" s="188"/>
      <c r="M51" s="190"/>
      <c r="N51" s="191"/>
      <c r="P51" s="191"/>
      <c r="R51" s="196"/>
      <c r="U51" s="194"/>
      <c r="Y51" s="188"/>
      <c r="AC51" s="188"/>
      <c r="AE51" s="192"/>
      <c r="AF51" s="194"/>
      <c r="AG51" s="193"/>
      <c r="AH51" s="187"/>
    </row>
    <row r="52" spans="1:34" s="189" customFormat="1">
      <c r="A52" s="187"/>
      <c r="B52" s="187"/>
      <c r="C52" s="188"/>
      <c r="E52" s="188"/>
      <c r="F52" s="188"/>
      <c r="H52" s="188"/>
      <c r="L52" s="188"/>
      <c r="M52" s="190"/>
      <c r="N52" s="191"/>
      <c r="P52" s="191"/>
      <c r="Q52" s="195"/>
      <c r="R52" s="195"/>
      <c r="Y52" s="188"/>
      <c r="AC52" s="188"/>
      <c r="AE52" s="192"/>
      <c r="AG52" s="193"/>
      <c r="AH52" s="187"/>
    </row>
    <row r="53" spans="1:34" s="189" customFormat="1">
      <c r="A53" s="187"/>
      <c r="B53" s="187"/>
      <c r="C53" s="188"/>
      <c r="E53" s="188"/>
      <c r="F53" s="188"/>
      <c r="H53" s="188"/>
      <c r="L53" s="188"/>
      <c r="M53" s="190"/>
      <c r="N53" s="191"/>
      <c r="P53" s="191"/>
      <c r="Y53" s="188"/>
      <c r="AC53" s="188"/>
      <c r="AE53" s="192"/>
      <c r="AG53" s="193"/>
      <c r="AH53" s="187"/>
    </row>
    <row r="54" spans="1:34" s="189" customFormat="1">
      <c r="A54" s="187"/>
      <c r="B54" s="187"/>
      <c r="C54" s="188"/>
      <c r="E54" s="188"/>
      <c r="F54" s="188"/>
      <c r="H54" s="188"/>
      <c r="L54" s="188"/>
      <c r="M54" s="190"/>
      <c r="N54" s="191"/>
      <c r="P54" s="191"/>
      <c r="Y54" s="188"/>
      <c r="AC54" s="188"/>
      <c r="AE54" s="192"/>
      <c r="AG54" s="193"/>
      <c r="AH54" s="187"/>
    </row>
    <row r="55" spans="1:34" s="189" customFormat="1">
      <c r="A55" s="187"/>
      <c r="B55" s="187"/>
      <c r="C55" s="188"/>
      <c r="E55" s="188"/>
      <c r="F55" s="188"/>
      <c r="H55" s="188"/>
      <c r="L55" s="188"/>
      <c r="M55" s="190"/>
      <c r="N55" s="191"/>
      <c r="P55" s="191"/>
      <c r="Y55" s="188"/>
      <c r="AC55" s="188"/>
      <c r="AE55" s="192"/>
      <c r="AG55" s="193"/>
      <c r="AH55" s="187"/>
    </row>
    <row r="56" spans="1:34" s="189" customFormat="1">
      <c r="A56" s="187"/>
      <c r="B56" s="187"/>
      <c r="C56" s="188"/>
      <c r="E56" s="188"/>
      <c r="F56" s="188"/>
      <c r="H56" s="188"/>
      <c r="L56" s="188"/>
      <c r="M56" s="190"/>
      <c r="N56" s="191"/>
      <c r="P56" s="191"/>
      <c r="Y56" s="188"/>
      <c r="AC56" s="188"/>
      <c r="AE56" s="192"/>
      <c r="AG56" s="193"/>
      <c r="AH56" s="187"/>
    </row>
    <row r="57" spans="1:34" s="189" customFormat="1">
      <c r="A57" s="187"/>
      <c r="B57" s="187"/>
      <c r="C57" s="188"/>
      <c r="E57" s="188"/>
      <c r="F57" s="188"/>
      <c r="H57" s="188"/>
      <c r="L57" s="188"/>
      <c r="M57" s="190"/>
      <c r="N57" s="191"/>
      <c r="P57" s="191"/>
      <c r="Y57" s="188"/>
      <c r="AC57" s="188"/>
      <c r="AE57" s="192"/>
      <c r="AG57" s="193"/>
      <c r="AH57" s="187"/>
    </row>
    <row r="58" spans="1:34" s="189" customFormat="1">
      <c r="A58" s="187"/>
      <c r="B58" s="187"/>
      <c r="C58" s="188"/>
      <c r="E58" s="188"/>
      <c r="F58" s="188"/>
      <c r="H58" s="188"/>
      <c r="L58" s="188"/>
      <c r="M58" s="190"/>
      <c r="N58" s="191"/>
      <c r="P58" s="191"/>
      <c r="Y58" s="188"/>
      <c r="AC58" s="188"/>
      <c r="AE58" s="192"/>
      <c r="AG58" s="193"/>
      <c r="AH58" s="187"/>
    </row>
    <row r="59" spans="1:34" s="189" customFormat="1">
      <c r="A59" s="187"/>
      <c r="B59" s="187"/>
      <c r="C59" s="188"/>
      <c r="E59" s="188"/>
      <c r="F59" s="188"/>
      <c r="H59" s="188"/>
      <c r="L59" s="188"/>
      <c r="M59" s="190"/>
      <c r="N59" s="191"/>
      <c r="P59" s="191"/>
      <c r="Y59" s="188"/>
      <c r="AC59" s="188"/>
      <c r="AE59" s="192"/>
      <c r="AG59" s="193"/>
      <c r="AH59" s="187"/>
    </row>
    <row r="60" spans="1:34" s="189" customFormat="1">
      <c r="A60" s="187"/>
      <c r="B60" s="187"/>
      <c r="C60" s="188"/>
      <c r="E60" s="188"/>
      <c r="F60" s="188"/>
      <c r="H60" s="188"/>
      <c r="L60" s="188"/>
      <c r="M60" s="190"/>
      <c r="N60" s="191"/>
      <c r="P60" s="191"/>
      <c r="Y60" s="188"/>
      <c r="AC60" s="188"/>
      <c r="AE60" s="192"/>
      <c r="AG60" s="193"/>
      <c r="AH60" s="187"/>
    </row>
    <row r="61" spans="1:34" s="189" customFormat="1">
      <c r="A61" s="187"/>
      <c r="B61" s="187"/>
      <c r="C61" s="188"/>
      <c r="E61" s="188"/>
      <c r="F61" s="188"/>
      <c r="H61" s="188"/>
      <c r="L61" s="188"/>
      <c r="M61" s="190"/>
      <c r="N61" s="191"/>
      <c r="P61" s="191"/>
      <c r="Y61" s="188"/>
      <c r="AC61" s="188"/>
      <c r="AE61" s="192"/>
      <c r="AG61" s="193"/>
      <c r="AH61" s="187"/>
    </row>
    <row r="62" spans="1:34" s="189" customFormat="1">
      <c r="A62" s="187"/>
      <c r="B62" s="187"/>
      <c r="C62" s="188"/>
      <c r="E62" s="188"/>
      <c r="F62" s="188"/>
      <c r="H62" s="188"/>
      <c r="L62" s="188"/>
      <c r="M62" s="190"/>
      <c r="N62" s="191"/>
      <c r="P62" s="191"/>
      <c r="Y62" s="188"/>
      <c r="AC62" s="188"/>
      <c r="AE62" s="192"/>
      <c r="AG62" s="193"/>
      <c r="AH62" s="187"/>
    </row>
    <row r="63" spans="1:34" s="189" customFormat="1">
      <c r="A63" s="187"/>
      <c r="B63" s="187"/>
      <c r="C63" s="188"/>
      <c r="E63" s="188"/>
      <c r="F63" s="188"/>
      <c r="H63" s="188"/>
      <c r="L63" s="188"/>
      <c r="M63" s="190"/>
      <c r="N63" s="191"/>
      <c r="P63" s="191"/>
      <c r="Y63" s="188"/>
      <c r="AC63" s="188"/>
      <c r="AE63" s="192"/>
      <c r="AG63" s="193"/>
      <c r="AH63" s="187"/>
    </row>
    <row r="64" spans="1:34" s="189" customFormat="1">
      <c r="A64" s="187"/>
      <c r="B64" s="187"/>
      <c r="C64" s="188"/>
      <c r="E64" s="188"/>
      <c r="F64" s="188"/>
      <c r="H64" s="188"/>
      <c r="L64" s="188"/>
      <c r="M64" s="190"/>
      <c r="N64" s="191"/>
      <c r="P64" s="191"/>
      <c r="Y64" s="188"/>
      <c r="AC64" s="188"/>
      <c r="AE64" s="192"/>
      <c r="AG64" s="193"/>
      <c r="AH64" s="187"/>
    </row>
    <row r="65" spans="1:34" s="189" customFormat="1">
      <c r="A65" s="187"/>
      <c r="B65" s="187"/>
      <c r="C65" s="188"/>
      <c r="E65" s="188"/>
      <c r="F65" s="188"/>
      <c r="H65" s="188"/>
      <c r="L65" s="188"/>
      <c r="M65" s="190"/>
      <c r="N65" s="191"/>
      <c r="P65" s="191"/>
      <c r="Y65" s="188"/>
      <c r="AC65" s="188"/>
      <c r="AE65" s="192"/>
      <c r="AG65" s="193"/>
      <c r="AH65" s="187"/>
    </row>
    <row r="66" spans="1:34" s="189" customFormat="1">
      <c r="A66" s="187"/>
      <c r="B66" s="187"/>
      <c r="C66" s="188"/>
      <c r="E66" s="188"/>
      <c r="F66" s="188"/>
      <c r="H66" s="188"/>
      <c r="L66" s="188"/>
      <c r="M66" s="190"/>
      <c r="N66" s="191"/>
      <c r="P66" s="191"/>
      <c r="Y66" s="188"/>
      <c r="AC66" s="188"/>
      <c r="AE66" s="192"/>
      <c r="AG66" s="193"/>
      <c r="AH66" s="187"/>
    </row>
    <row r="67" spans="1:34" s="189" customFormat="1">
      <c r="A67" s="187"/>
      <c r="B67" s="187"/>
      <c r="C67" s="188"/>
      <c r="E67" s="188"/>
      <c r="F67" s="188"/>
      <c r="H67" s="188"/>
      <c r="L67" s="188"/>
      <c r="M67" s="190"/>
      <c r="N67" s="191"/>
      <c r="P67" s="191"/>
      <c r="Y67" s="188"/>
      <c r="AC67" s="188"/>
      <c r="AE67" s="192"/>
      <c r="AG67" s="193"/>
      <c r="AH67" s="187"/>
    </row>
    <row r="68" spans="1:34" s="189" customFormat="1">
      <c r="A68" s="187"/>
      <c r="B68" s="187"/>
      <c r="C68" s="188"/>
      <c r="E68" s="188"/>
      <c r="F68" s="188"/>
      <c r="H68" s="188"/>
      <c r="L68" s="188"/>
      <c r="M68" s="190"/>
      <c r="N68" s="191"/>
      <c r="P68" s="191"/>
      <c r="Y68" s="188"/>
      <c r="AC68" s="188"/>
      <c r="AE68" s="192"/>
      <c r="AG68" s="193"/>
      <c r="AH68" s="187"/>
    </row>
    <row r="69" spans="1:34" s="189" customFormat="1">
      <c r="A69" s="187"/>
      <c r="B69" s="187"/>
      <c r="C69" s="188"/>
      <c r="E69" s="188"/>
      <c r="F69" s="188"/>
      <c r="H69" s="188"/>
      <c r="L69" s="188"/>
      <c r="M69" s="190"/>
      <c r="N69" s="191"/>
      <c r="P69" s="191"/>
      <c r="Y69" s="188"/>
      <c r="AC69" s="188"/>
      <c r="AE69" s="192"/>
      <c r="AG69" s="193"/>
      <c r="AH69" s="187"/>
    </row>
    <row r="70" spans="1:34" s="189" customFormat="1">
      <c r="A70" s="187"/>
      <c r="B70" s="187"/>
      <c r="C70" s="188"/>
      <c r="E70" s="188"/>
      <c r="F70" s="188"/>
      <c r="H70" s="188"/>
      <c r="L70" s="188"/>
      <c r="M70" s="190"/>
      <c r="N70" s="191"/>
      <c r="P70" s="191"/>
      <c r="Y70" s="188"/>
      <c r="AC70" s="188"/>
      <c r="AE70" s="192"/>
      <c r="AG70" s="193"/>
      <c r="AH70" s="187"/>
    </row>
    <row r="71" spans="1:34" s="189" customFormat="1">
      <c r="A71" s="187"/>
      <c r="B71" s="187"/>
      <c r="C71" s="188"/>
      <c r="E71" s="188"/>
      <c r="F71" s="188"/>
      <c r="H71" s="188"/>
      <c r="L71" s="188"/>
      <c r="M71" s="190"/>
      <c r="N71" s="191"/>
      <c r="P71" s="191"/>
      <c r="Y71" s="188"/>
      <c r="AC71" s="188"/>
      <c r="AE71" s="192"/>
      <c r="AG71" s="193"/>
      <c r="AH71" s="187"/>
    </row>
    <row r="72" spans="1:34" s="189" customFormat="1">
      <c r="A72" s="187"/>
      <c r="B72" s="187"/>
      <c r="C72" s="188"/>
      <c r="E72" s="188"/>
      <c r="F72" s="188"/>
      <c r="H72" s="188"/>
      <c r="L72" s="188"/>
      <c r="M72" s="190"/>
      <c r="N72" s="191"/>
      <c r="P72" s="191"/>
      <c r="Y72" s="188"/>
      <c r="AC72" s="188"/>
      <c r="AE72" s="192"/>
      <c r="AG72" s="193"/>
      <c r="AH72" s="187"/>
    </row>
    <row r="73" spans="1:34" s="189" customFormat="1">
      <c r="A73" s="187"/>
      <c r="B73" s="187"/>
      <c r="C73" s="188"/>
      <c r="E73" s="188"/>
      <c r="F73" s="188"/>
      <c r="H73" s="188"/>
      <c r="L73" s="188"/>
      <c r="M73" s="190"/>
      <c r="N73" s="191"/>
      <c r="P73" s="191"/>
      <c r="Y73" s="188"/>
      <c r="AC73" s="188"/>
      <c r="AE73" s="192"/>
      <c r="AG73" s="193"/>
      <c r="AH73" s="187"/>
    </row>
    <row r="74" spans="1:34" s="189" customFormat="1">
      <c r="A74" s="187"/>
      <c r="B74" s="187"/>
      <c r="C74" s="188"/>
      <c r="E74" s="188"/>
      <c r="F74" s="188"/>
      <c r="H74" s="188"/>
      <c r="L74" s="188"/>
      <c r="M74" s="190"/>
      <c r="N74" s="191"/>
      <c r="P74" s="191"/>
      <c r="Y74" s="188"/>
      <c r="AC74" s="188"/>
      <c r="AE74" s="192"/>
      <c r="AG74" s="193"/>
      <c r="AH74" s="187"/>
    </row>
    <row r="75" spans="1:34" s="189" customFormat="1">
      <c r="A75" s="187"/>
      <c r="B75" s="187"/>
      <c r="C75" s="188"/>
      <c r="E75" s="188"/>
      <c r="F75" s="188"/>
      <c r="H75" s="188"/>
      <c r="L75" s="188"/>
      <c r="M75" s="190"/>
      <c r="N75" s="191"/>
      <c r="P75" s="191"/>
      <c r="Y75" s="188"/>
      <c r="AC75" s="188"/>
      <c r="AE75" s="192"/>
      <c r="AG75" s="193"/>
      <c r="AH75" s="187"/>
    </row>
    <row r="76" spans="1:34" s="189" customFormat="1">
      <c r="A76" s="187"/>
      <c r="B76" s="187"/>
      <c r="C76" s="188"/>
      <c r="E76" s="188"/>
      <c r="F76" s="188"/>
      <c r="H76" s="188"/>
      <c r="L76" s="188"/>
      <c r="M76" s="190"/>
      <c r="N76" s="191"/>
      <c r="P76" s="191"/>
      <c r="Y76" s="188"/>
      <c r="AC76" s="188"/>
      <c r="AE76" s="192"/>
      <c r="AG76" s="193"/>
      <c r="AH76" s="187"/>
    </row>
    <row r="77" spans="1:34" s="189" customFormat="1">
      <c r="A77" s="187"/>
      <c r="B77" s="187"/>
      <c r="C77" s="188"/>
      <c r="E77" s="188"/>
      <c r="F77" s="188"/>
      <c r="H77" s="188"/>
      <c r="L77" s="188"/>
      <c r="M77" s="190"/>
      <c r="N77" s="191"/>
      <c r="P77" s="191"/>
      <c r="Y77" s="188"/>
      <c r="AC77" s="188"/>
      <c r="AE77" s="192"/>
      <c r="AG77" s="193"/>
      <c r="AH77" s="187"/>
    </row>
    <row r="78" spans="1:34" s="189" customFormat="1">
      <c r="A78" s="187"/>
      <c r="B78" s="187"/>
      <c r="C78" s="188"/>
      <c r="E78" s="188"/>
      <c r="F78" s="188"/>
      <c r="H78" s="188"/>
      <c r="L78" s="188"/>
      <c r="M78" s="190"/>
      <c r="N78" s="191"/>
      <c r="P78" s="191"/>
      <c r="Y78" s="188"/>
      <c r="AC78" s="188"/>
      <c r="AE78" s="192"/>
      <c r="AG78" s="193"/>
      <c r="AH78" s="187"/>
    </row>
    <row r="79" spans="1:34" s="189" customFormat="1">
      <c r="A79" s="187"/>
      <c r="B79" s="187"/>
      <c r="C79" s="188"/>
      <c r="E79" s="188"/>
      <c r="F79" s="188"/>
      <c r="H79" s="188"/>
      <c r="L79" s="188"/>
      <c r="M79" s="190"/>
      <c r="N79" s="191"/>
      <c r="P79" s="191"/>
      <c r="Y79" s="188"/>
      <c r="AC79" s="188"/>
      <c r="AE79" s="192"/>
      <c r="AG79" s="193"/>
      <c r="AH79" s="187"/>
    </row>
    <row r="80" spans="1:34" s="189" customFormat="1">
      <c r="A80" s="187"/>
      <c r="B80" s="187"/>
      <c r="C80" s="188"/>
      <c r="E80" s="188"/>
      <c r="F80" s="188"/>
      <c r="H80" s="188"/>
      <c r="L80" s="188"/>
      <c r="M80" s="190"/>
      <c r="N80" s="191"/>
      <c r="P80" s="191"/>
      <c r="Y80" s="188"/>
      <c r="AC80" s="188"/>
      <c r="AE80" s="192"/>
      <c r="AG80" s="193"/>
      <c r="AH80" s="187"/>
    </row>
    <row r="81" spans="1:34" s="189" customFormat="1">
      <c r="A81" s="187"/>
      <c r="B81" s="187"/>
      <c r="C81" s="188"/>
      <c r="E81" s="188"/>
      <c r="F81" s="188"/>
      <c r="H81" s="188"/>
      <c r="L81" s="188"/>
      <c r="M81" s="190"/>
      <c r="N81" s="191"/>
      <c r="P81" s="191"/>
      <c r="Y81" s="188"/>
      <c r="AC81" s="188"/>
      <c r="AE81" s="192"/>
      <c r="AG81" s="193"/>
      <c r="AH81" s="187"/>
    </row>
    <row r="82" spans="1:34" s="189" customFormat="1">
      <c r="A82" s="187"/>
      <c r="B82" s="187"/>
      <c r="C82" s="188"/>
      <c r="E82" s="188"/>
      <c r="F82" s="188"/>
      <c r="H82" s="188"/>
      <c r="L82" s="188"/>
      <c r="M82" s="190"/>
      <c r="N82" s="191"/>
      <c r="P82" s="191"/>
      <c r="Y82" s="188"/>
      <c r="AC82" s="188"/>
      <c r="AE82" s="192"/>
      <c r="AG82" s="193"/>
      <c r="AH82" s="187"/>
    </row>
    <row r="83" spans="1:34" s="189" customFormat="1">
      <c r="A83" s="187"/>
      <c r="B83" s="187"/>
      <c r="C83" s="188"/>
      <c r="E83" s="188"/>
      <c r="F83" s="188"/>
      <c r="H83" s="188"/>
      <c r="L83" s="188"/>
      <c r="M83" s="190"/>
      <c r="N83" s="191"/>
      <c r="P83" s="191"/>
      <c r="Y83" s="188"/>
      <c r="AC83" s="188"/>
      <c r="AE83" s="192"/>
      <c r="AG83" s="193"/>
      <c r="AH83" s="187"/>
    </row>
    <row r="84" spans="1:34" s="189" customFormat="1">
      <c r="A84" s="187"/>
      <c r="B84" s="187"/>
      <c r="C84" s="188"/>
      <c r="E84" s="188"/>
      <c r="F84" s="188"/>
      <c r="H84" s="188"/>
      <c r="L84" s="188"/>
      <c r="M84" s="190"/>
      <c r="N84" s="191"/>
      <c r="P84" s="191"/>
      <c r="Y84" s="188"/>
      <c r="AC84" s="188"/>
      <c r="AE84" s="192"/>
      <c r="AG84" s="193"/>
      <c r="AH84" s="187"/>
    </row>
    <row r="85" spans="1:34" s="189" customFormat="1">
      <c r="A85" s="187"/>
      <c r="B85" s="187"/>
      <c r="C85" s="188"/>
      <c r="E85" s="188"/>
      <c r="F85" s="188"/>
      <c r="H85" s="188"/>
      <c r="L85" s="188"/>
      <c r="M85" s="190"/>
      <c r="N85" s="191"/>
      <c r="P85" s="191"/>
      <c r="Y85" s="188"/>
      <c r="AC85" s="188"/>
      <c r="AE85" s="192"/>
      <c r="AG85" s="193"/>
      <c r="AH85" s="187"/>
    </row>
    <row r="86" spans="1:34" s="189" customFormat="1">
      <c r="A86" s="187"/>
      <c r="B86" s="187"/>
      <c r="C86" s="188"/>
      <c r="E86" s="188"/>
      <c r="F86" s="188"/>
      <c r="H86" s="188"/>
      <c r="L86" s="188"/>
      <c r="M86" s="190"/>
      <c r="N86" s="191"/>
      <c r="P86" s="191"/>
      <c r="Y86" s="188"/>
      <c r="AC86" s="188"/>
      <c r="AE86" s="192"/>
      <c r="AG86" s="193"/>
      <c r="AH86" s="187"/>
    </row>
    <row r="87" spans="1:34" s="189" customFormat="1">
      <c r="A87" s="187"/>
      <c r="B87" s="187"/>
      <c r="C87" s="188"/>
      <c r="E87" s="188"/>
      <c r="F87" s="188"/>
      <c r="H87" s="188"/>
      <c r="L87" s="188"/>
      <c r="M87" s="190"/>
      <c r="N87" s="191"/>
      <c r="P87" s="191"/>
      <c r="Y87" s="188"/>
      <c r="AC87" s="188"/>
      <c r="AE87" s="192"/>
      <c r="AG87" s="193"/>
      <c r="AH87" s="187"/>
    </row>
    <row r="88" spans="1:34" s="189" customFormat="1">
      <c r="A88" s="187"/>
      <c r="B88" s="187"/>
      <c r="C88" s="188"/>
      <c r="E88" s="188"/>
      <c r="F88" s="188"/>
      <c r="H88" s="188"/>
      <c r="L88" s="188"/>
      <c r="M88" s="190"/>
      <c r="N88" s="191"/>
      <c r="P88" s="191"/>
      <c r="Y88" s="188"/>
      <c r="AC88" s="188"/>
      <c r="AE88" s="192"/>
      <c r="AG88" s="193"/>
      <c r="AH88" s="187"/>
    </row>
    <row r="89" spans="1:34" s="189" customFormat="1">
      <c r="A89" s="187"/>
      <c r="B89" s="187"/>
      <c r="C89" s="188"/>
      <c r="E89" s="188"/>
      <c r="F89" s="188"/>
      <c r="H89" s="188"/>
      <c r="L89" s="188"/>
      <c r="M89" s="190"/>
      <c r="N89" s="191"/>
      <c r="P89" s="191"/>
      <c r="Y89" s="188"/>
      <c r="AC89" s="188"/>
      <c r="AE89" s="192"/>
      <c r="AG89" s="193"/>
      <c r="AH89" s="187"/>
    </row>
    <row r="90" spans="1:34" s="189" customFormat="1">
      <c r="A90" s="187"/>
      <c r="B90" s="187"/>
      <c r="C90" s="188"/>
      <c r="E90" s="188"/>
      <c r="F90" s="188"/>
      <c r="H90" s="188"/>
      <c r="L90" s="188"/>
      <c r="M90" s="190"/>
      <c r="N90" s="191"/>
      <c r="P90" s="191"/>
      <c r="Y90" s="188"/>
      <c r="AC90" s="188"/>
      <c r="AE90" s="192"/>
      <c r="AG90" s="193"/>
      <c r="AH90" s="187"/>
    </row>
    <row r="91" spans="1:34" s="189" customFormat="1">
      <c r="A91" s="187"/>
      <c r="B91" s="187"/>
      <c r="C91" s="188"/>
      <c r="E91" s="188"/>
      <c r="F91" s="188"/>
      <c r="H91" s="188"/>
      <c r="L91" s="188"/>
      <c r="M91" s="190"/>
      <c r="N91" s="191"/>
      <c r="P91" s="191"/>
      <c r="Y91" s="188"/>
      <c r="AC91" s="188"/>
      <c r="AE91" s="192"/>
      <c r="AG91" s="193"/>
      <c r="AH91" s="187"/>
    </row>
    <row r="92" spans="1:34" s="189" customFormat="1">
      <c r="A92" s="187"/>
      <c r="B92" s="187"/>
      <c r="C92" s="188"/>
      <c r="E92" s="188"/>
      <c r="F92" s="188"/>
      <c r="H92" s="188"/>
      <c r="L92" s="188"/>
      <c r="M92" s="190"/>
      <c r="N92" s="191"/>
      <c r="P92" s="191"/>
      <c r="Y92" s="188"/>
      <c r="AC92" s="188"/>
      <c r="AE92" s="192"/>
      <c r="AG92" s="193"/>
      <c r="AH92" s="187"/>
    </row>
    <row r="93" spans="1:34" s="189" customFormat="1">
      <c r="A93" s="187"/>
      <c r="B93" s="187"/>
      <c r="C93" s="188"/>
      <c r="E93" s="188"/>
      <c r="F93" s="188"/>
      <c r="H93" s="188"/>
      <c r="L93" s="188"/>
      <c r="M93" s="190"/>
      <c r="N93" s="191"/>
      <c r="P93" s="191"/>
      <c r="Y93" s="188"/>
      <c r="AC93" s="188"/>
      <c r="AE93" s="192"/>
      <c r="AG93" s="193"/>
      <c r="AH93" s="187"/>
    </row>
    <row r="94" spans="1:34" s="189" customFormat="1">
      <c r="A94" s="187"/>
      <c r="B94" s="187"/>
      <c r="C94" s="188"/>
      <c r="E94" s="188"/>
      <c r="F94" s="188"/>
      <c r="H94" s="188"/>
      <c r="L94" s="188"/>
      <c r="M94" s="190"/>
      <c r="N94" s="191"/>
      <c r="P94" s="191"/>
      <c r="Y94" s="188"/>
      <c r="AC94" s="188"/>
      <c r="AE94" s="192"/>
      <c r="AG94" s="193"/>
      <c r="AH94" s="187"/>
    </row>
    <row r="95" spans="1:34" s="189" customFormat="1">
      <c r="A95" s="187"/>
      <c r="B95" s="187"/>
      <c r="C95" s="188"/>
      <c r="E95" s="188"/>
      <c r="F95" s="188"/>
      <c r="H95" s="188"/>
      <c r="L95" s="188"/>
      <c r="M95" s="190"/>
      <c r="N95" s="191"/>
      <c r="P95" s="191"/>
      <c r="Y95" s="188"/>
      <c r="AC95" s="188"/>
      <c r="AE95" s="192"/>
      <c r="AG95" s="193"/>
      <c r="AH95" s="187"/>
    </row>
    <row r="96" spans="1:34" s="189" customFormat="1">
      <c r="A96" s="187"/>
      <c r="B96" s="187"/>
      <c r="C96" s="188"/>
      <c r="E96" s="188"/>
      <c r="F96" s="188"/>
      <c r="H96" s="188"/>
      <c r="L96" s="188"/>
      <c r="M96" s="190"/>
      <c r="N96" s="191"/>
      <c r="P96" s="191"/>
      <c r="Y96" s="188"/>
      <c r="AC96" s="188"/>
      <c r="AE96" s="192"/>
      <c r="AG96" s="193"/>
      <c r="AH96" s="187"/>
    </row>
    <row r="97" spans="1:34" s="189" customFormat="1">
      <c r="A97" s="187"/>
      <c r="B97" s="187"/>
      <c r="C97" s="188"/>
      <c r="E97" s="188"/>
      <c r="F97" s="188"/>
      <c r="H97" s="188"/>
      <c r="L97" s="188"/>
      <c r="M97" s="190"/>
      <c r="N97" s="191"/>
      <c r="P97" s="191"/>
      <c r="Y97" s="188"/>
      <c r="AC97" s="188"/>
      <c r="AE97" s="192"/>
      <c r="AG97" s="193"/>
      <c r="AH97" s="187"/>
    </row>
    <row r="98" spans="1:34" s="189" customFormat="1">
      <c r="A98" s="187"/>
      <c r="B98" s="187"/>
      <c r="C98" s="188"/>
      <c r="E98" s="188"/>
      <c r="F98" s="188"/>
      <c r="H98" s="188"/>
      <c r="L98" s="188"/>
      <c r="M98" s="190"/>
      <c r="N98" s="191"/>
      <c r="P98" s="191"/>
      <c r="Y98" s="188"/>
      <c r="AC98" s="188"/>
      <c r="AE98" s="192"/>
      <c r="AG98" s="193"/>
      <c r="AH98" s="187"/>
    </row>
    <row r="99" spans="1:34" s="189" customFormat="1">
      <c r="A99" s="187"/>
      <c r="B99" s="187"/>
      <c r="C99" s="188"/>
      <c r="E99" s="188"/>
      <c r="F99" s="188"/>
      <c r="H99" s="188"/>
      <c r="L99" s="188"/>
      <c r="M99" s="190"/>
      <c r="N99" s="191"/>
      <c r="P99" s="191"/>
      <c r="Y99" s="188"/>
      <c r="AC99" s="188"/>
      <c r="AE99" s="192"/>
      <c r="AG99" s="193"/>
      <c r="AH99" s="187"/>
    </row>
    <row r="100" spans="1:34" s="189" customFormat="1">
      <c r="A100" s="187"/>
      <c r="B100" s="187"/>
      <c r="C100" s="188"/>
      <c r="E100" s="188"/>
      <c r="F100" s="188"/>
      <c r="H100" s="188"/>
      <c r="L100" s="188"/>
      <c r="M100" s="190"/>
      <c r="N100" s="191"/>
      <c r="P100" s="191"/>
      <c r="Y100" s="188"/>
      <c r="AC100" s="188"/>
      <c r="AE100" s="192"/>
      <c r="AG100" s="193"/>
      <c r="AH100" s="187"/>
    </row>
    <row r="101" spans="1:34" s="189" customFormat="1">
      <c r="A101" s="187"/>
      <c r="B101" s="187"/>
      <c r="C101" s="188"/>
      <c r="E101" s="188"/>
      <c r="F101" s="188"/>
      <c r="H101" s="188"/>
      <c r="L101" s="188"/>
      <c r="M101" s="190"/>
      <c r="N101" s="191"/>
      <c r="P101" s="191"/>
      <c r="Y101" s="188"/>
      <c r="AC101" s="188"/>
      <c r="AE101" s="192"/>
      <c r="AG101" s="193"/>
      <c r="AH101" s="187"/>
    </row>
    <row r="102" spans="1:34" s="189" customFormat="1">
      <c r="A102" s="187"/>
      <c r="B102" s="187"/>
      <c r="C102" s="188"/>
      <c r="E102" s="188"/>
      <c r="F102" s="188"/>
      <c r="H102" s="188"/>
      <c r="L102" s="188"/>
      <c r="M102" s="190"/>
      <c r="N102" s="191"/>
      <c r="P102" s="191"/>
      <c r="Y102" s="188"/>
      <c r="AC102" s="188"/>
      <c r="AE102" s="192"/>
      <c r="AG102" s="193"/>
      <c r="AH102" s="187"/>
    </row>
    <row r="103" spans="1:34" s="189" customFormat="1">
      <c r="A103" s="187"/>
      <c r="B103" s="187"/>
      <c r="C103" s="188"/>
      <c r="E103" s="188"/>
      <c r="F103" s="188"/>
      <c r="H103" s="188"/>
      <c r="L103" s="188"/>
      <c r="M103" s="190"/>
      <c r="N103" s="191"/>
      <c r="P103" s="191"/>
      <c r="Y103" s="188"/>
      <c r="AC103" s="188"/>
      <c r="AE103" s="192"/>
      <c r="AG103" s="193"/>
      <c r="AH103" s="187"/>
    </row>
    <row r="104" spans="1:34" s="189" customFormat="1">
      <c r="A104" s="187"/>
      <c r="B104" s="187"/>
      <c r="C104" s="188"/>
      <c r="E104" s="188"/>
      <c r="F104" s="188"/>
      <c r="H104" s="188"/>
      <c r="L104" s="188"/>
      <c r="M104" s="190"/>
      <c r="N104" s="191"/>
      <c r="P104" s="191"/>
      <c r="Y104" s="188"/>
      <c r="AC104" s="188"/>
      <c r="AE104" s="192"/>
      <c r="AG104" s="193"/>
      <c r="AH104" s="187"/>
    </row>
    <row r="105" spans="1:34" s="189" customFormat="1">
      <c r="A105" s="187"/>
      <c r="B105" s="187"/>
      <c r="C105" s="188"/>
      <c r="E105" s="188"/>
      <c r="F105" s="188"/>
      <c r="H105" s="188"/>
      <c r="L105" s="188"/>
      <c r="M105" s="190"/>
      <c r="N105" s="191"/>
      <c r="P105" s="191"/>
      <c r="Y105" s="188"/>
      <c r="AC105" s="188"/>
      <c r="AE105" s="192"/>
      <c r="AG105" s="193"/>
      <c r="AH105" s="187"/>
    </row>
    <row r="106" spans="1:34" s="189" customFormat="1">
      <c r="A106" s="187"/>
      <c r="B106" s="187"/>
      <c r="C106" s="188"/>
      <c r="E106" s="188"/>
      <c r="F106" s="188"/>
      <c r="H106" s="188"/>
      <c r="L106" s="188"/>
      <c r="M106" s="190"/>
      <c r="N106" s="191"/>
      <c r="P106" s="191"/>
      <c r="Y106" s="188"/>
      <c r="AC106" s="188"/>
      <c r="AE106" s="192"/>
      <c r="AG106" s="193"/>
      <c r="AH106" s="187"/>
    </row>
    <row r="107" spans="1:34" s="189" customFormat="1">
      <c r="A107" s="187"/>
      <c r="B107" s="187"/>
      <c r="C107" s="188"/>
      <c r="E107" s="188"/>
      <c r="F107" s="188"/>
      <c r="H107" s="188"/>
      <c r="L107" s="188"/>
      <c r="M107" s="190"/>
      <c r="N107" s="191"/>
      <c r="P107" s="191"/>
      <c r="Y107" s="188"/>
      <c r="AC107" s="188"/>
      <c r="AE107" s="192"/>
      <c r="AG107" s="193"/>
      <c r="AH107" s="187"/>
    </row>
    <row r="108" spans="1:34" s="189" customFormat="1">
      <c r="A108" s="187"/>
      <c r="B108" s="187"/>
      <c r="C108" s="188"/>
      <c r="E108" s="188"/>
      <c r="F108" s="188"/>
      <c r="H108" s="188"/>
      <c r="L108" s="188"/>
      <c r="M108" s="190"/>
      <c r="N108" s="191"/>
      <c r="P108" s="191"/>
      <c r="Y108" s="188"/>
      <c r="AC108" s="188"/>
      <c r="AE108" s="192"/>
      <c r="AG108" s="193"/>
      <c r="AH108" s="187"/>
    </row>
    <row r="109" spans="1:34" s="189" customFormat="1">
      <c r="A109" s="187"/>
      <c r="B109" s="187"/>
      <c r="C109" s="188"/>
      <c r="E109" s="188"/>
      <c r="F109" s="188"/>
      <c r="H109" s="188"/>
      <c r="L109" s="188"/>
      <c r="M109" s="190"/>
      <c r="N109" s="191"/>
      <c r="P109" s="191"/>
      <c r="Y109" s="188"/>
      <c r="AC109" s="188"/>
      <c r="AE109" s="192"/>
      <c r="AG109" s="193"/>
      <c r="AH109" s="187"/>
    </row>
    <row r="110" spans="1:34" s="189" customFormat="1">
      <c r="A110" s="187"/>
      <c r="B110" s="187"/>
      <c r="C110" s="188"/>
      <c r="E110" s="188"/>
      <c r="F110" s="188"/>
      <c r="H110" s="188"/>
      <c r="L110" s="188"/>
      <c r="M110" s="190"/>
      <c r="N110" s="191"/>
      <c r="P110" s="191"/>
      <c r="Y110" s="188"/>
      <c r="AC110" s="188"/>
      <c r="AE110" s="192"/>
      <c r="AG110" s="193"/>
      <c r="AH110" s="187"/>
    </row>
    <row r="111" spans="1:34" s="189" customFormat="1">
      <c r="A111" s="187"/>
      <c r="B111" s="187"/>
      <c r="C111" s="188"/>
      <c r="E111" s="188"/>
      <c r="F111" s="188"/>
      <c r="H111" s="188"/>
      <c r="L111" s="188"/>
      <c r="M111" s="190"/>
      <c r="N111" s="191"/>
      <c r="P111" s="191"/>
      <c r="Y111" s="188"/>
      <c r="AC111" s="188"/>
      <c r="AE111" s="192"/>
      <c r="AG111" s="193"/>
      <c r="AH111" s="187"/>
    </row>
    <row r="112" spans="1:34" s="189" customFormat="1">
      <c r="A112" s="187"/>
      <c r="B112" s="187"/>
      <c r="C112" s="188"/>
      <c r="E112" s="188"/>
      <c r="F112" s="188"/>
      <c r="H112" s="188"/>
      <c r="L112" s="188"/>
      <c r="M112" s="190"/>
      <c r="N112" s="191"/>
      <c r="P112" s="191"/>
      <c r="Y112" s="188"/>
      <c r="AC112" s="188"/>
      <c r="AE112" s="192"/>
      <c r="AG112" s="193"/>
      <c r="AH112" s="187"/>
    </row>
    <row r="113" spans="1:34" s="189" customFormat="1">
      <c r="A113" s="187"/>
      <c r="B113" s="187"/>
      <c r="C113" s="188"/>
      <c r="E113" s="188"/>
      <c r="F113" s="188"/>
      <c r="H113" s="188"/>
      <c r="L113" s="188"/>
      <c r="M113" s="190"/>
      <c r="N113" s="191"/>
      <c r="P113" s="191"/>
      <c r="Y113" s="188"/>
      <c r="AC113" s="188"/>
      <c r="AE113" s="192"/>
      <c r="AG113" s="193"/>
      <c r="AH113" s="187"/>
    </row>
  </sheetData>
  <mergeCells count="13">
    <mergeCell ref="V9:W9"/>
    <mergeCell ref="B7:AG7"/>
    <mergeCell ref="B8:B10"/>
    <mergeCell ref="C8:C10"/>
    <mergeCell ref="D8:D10"/>
    <mergeCell ref="E8:P8"/>
    <mergeCell ref="Q8:W8"/>
    <mergeCell ref="X8:AG8"/>
    <mergeCell ref="E9:I9"/>
    <mergeCell ref="J9:N9"/>
    <mergeCell ref="O9:O10"/>
    <mergeCell ref="X9:AD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31" activePane="bottomRight" state="frozen"/>
      <selection pane="bottomRight" activeCell="B1" sqref="B1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>
      <c r="A1" s="22" t="s">
        <v>16</v>
      </c>
    </row>
    <row r="2" spans="1:3" ht="18.75">
      <c r="A2" s="227">
        <v>43101</v>
      </c>
      <c r="B2" s="228"/>
      <c r="C2" s="228"/>
    </row>
    <row r="3" spans="1:3">
      <c r="A3" s="230" t="s">
        <v>18</v>
      </c>
      <c r="B3" s="229" t="s">
        <v>19</v>
      </c>
      <c r="C3" s="229" t="s">
        <v>13</v>
      </c>
    </row>
    <row r="4" spans="1:3">
      <c r="A4" s="230"/>
      <c r="B4" s="229"/>
      <c r="C4" s="229"/>
    </row>
    <row r="5" spans="1:3">
      <c r="A5" s="230"/>
      <c r="B5" s="229"/>
      <c r="C5" s="229"/>
    </row>
    <row r="6" spans="1:3">
      <c r="A6" s="1">
        <v>1</v>
      </c>
      <c r="B6" s="198">
        <v>98</v>
      </c>
      <c r="C6" s="199">
        <v>820</v>
      </c>
    </row>
    <row r="7" spans="1:3">
      <c r="A7" s="1">
        <v>2</v>
      </c>
      <c r="B7" s="198">
        <v>85</v>
      </c>
      <c r="C7" s="199">
        <v>762</v>
      </c>
    </row>
    <row r="8" spans="1:3">
      <c r="A8" s="1">
        <f>A7+1</f>
        <v>3</v>
      </c>
      <c r="B8" s="198">
        <v>71</v>
      </c>
      <c r="C8" s="199">
        <v>645</v>
      </c>
    </row>
    <row r="9" spans="1:3">
      <c r="A9" s="1">
        <f>A8+1</f>
        <v>4</v>
      </c>
      <c r="B9" s="198">
        <v>65</v>
      </c>
      <c r="C9" s="199">
        <v>703</v>
      </c>
    </row>
    <row r="10" spans="1:3">
      <c r="A10" s="1">
        <f t="shared" ref="A10:A36" si="0">A9+1</f>
        <v>5</v>
      </c>
      <c r="B10" s="198">
        <v>58</v>
      </c>
      <c r="C10" s="199">
        <v>549</v>
      </c>
    </row>
    <row r="11" spans="1:3">
      <c r="A11" s="1">
        <f t="shared" si="0"/>
        <v>6</v>
      </c>
      <c r="B11" s="198">
        <v>48</v>
      </c>
      <c r="C11" s="199">
        <v>646</v>
      </c>
    </row>
    <row r="12" spans="1:3">
      <c r="A12" s="1">
        <f t="shared" si="0"/>
        <v>7</v>
      </c>
      <c r="B12" s="198">
        <v>45</v>
      </c>
      <c r="C12" s="199">
        <v>547</v>
      </c>
    </row>
    <row r="13" spans="1:3">
      <c r="A13" s="1">
        <f t="shared" si="0"/>
        <v>8</v>
      </c>
      <c r="B13" s="198">
        <v>35</v>
      </c>
      <c r="C13" s="199">
        <v>374</v>
      </c>
    </row>
    <row r="14" spans="1:3">
      <c r="A14" s="1">
        <f t="shared" si="0"/>
        <v>9</v>
      </c>
      <c r="B14" s="198">
        <v>34</v>
      </c>
      <c r="C14" s="199">
        <v>383</v>
      </c>
    </row>
    <row r="15" spans="1:3">
      <c r="A15" s="1">
        <f t="shared" si="0"/>
        <v>10</v>
      </c>
      <c r="B15" s="198">
        <v>35</v>
      </c>
      <c r="C15" s="199">
        <v>388</v>
      </c>
    </row>
    <row r="16" spans="1:3">
      <c r="A16" s="1">
        <f t="shared" si="0"/>
        <v>11</v>
      </c>
      <c r="B16" s="198">
        <v>32</v>
      </c>
      <c r="C16" s="199">
        <v>341</v>
      </c>
    </row>
    <row r="17" spans="1:3">
      <c r="A17" s="1">
        <f t="shared" si="0"/>
        <v>12</v>
      </c>
      <c r="B17" s="198">
        <v>28</v>
      </c>
      <c r="C17" s="199">
        <v>307</v>
      </c>
    </row>
    <row r="18" spans="1:3">
      <c r="A18" s="1">
        <f t="shared" si="0"/>
        <v>13</v>
      </c>
      <c r="B18" s="198">
        <v>30</v>
      </c>
      <c r="C18" s="199">
        <v>313</v>
      </c>
    </row>
    <row r="19" spans="1:3">
      <c r="A19" s="1">
        <f t="shared" si="0"/>
        <v>14</v>
      </c>
      <c r="B19" s="198">
        <v>49</v>
      </c>
      <c r="C19" s="199">
        <v>386</v>
      </c>
    </row>
    <row r="20" spans="1:3">
      <c r="A20" s="1">
        <f t="shared" si="0"/>
        <v>15</v>
      </c>
      <c r="B20" s="198">
        <v>49</v>
      </c>
      <c r="C20" s="199">
        <v>401</v>
      </c>
    </row>
    <row r="21" spans="1:3">
      <c r="A21" s="1">
        <f t="shared" si="0"/>
        <v>16</v>
      </c>
      <c r="B21" s="198">
        <v>48</v>
      </c>
      <c r="C21" s="199">
        <v>313</v>
      </c>
    </row>
    <row r="22" spans="1:3">
      <c r="A22" s="1">
        <f t="shared" si="0"/>
        <v>17</v>
      </c>
      <c r="B22" s="198">
        <v>51</v>
      </c>
      <c r="C22" s="199">
        <v>344</v>
      </c>
    </row>
    <row r="23" spans="1:3">
      <c r="A23" s="1">
        <f t="shared" si="0"/>
        <v>18</v>
      </c>
      <c r="B23" s="198">
        <v>31</v>
      </c>
      <c r="C23" s="199">
        <v>344</v>
      </c>
    </row>
    <row r="24" spans="1:3">
      <c r="A24" s="1">
        <f t="shared" si="0"/>
        <v>19</v>
      </c>
      <c r="B24" s="198">
        <v>16</v>
      </c>
      <c r="C24" s="199">
        <v>176</v>
      </c>
    </row>
    <row r="25" spans="1:3">
      <c r="A25" s="1">
        <f t="shared" si="0"/>
        <v>20</v>
      </c>
      <c r="B25" s="198">
        <v>11</v>
      </c>
      <c r="C25" s="199">
        <v>161</v>
      </c>
    </row>
    <row r="26" spans="1:3">
      <c r="A26" s="1">
        <f t="shared" si="0"/>
        <v>21</v>
      </c>
      <c r="B26" s="198">
        <v>12</v>
      </c>
      <c r="C26" s="199">
        <v>222</v>
      </c>
    </row>
    <row r="27" spans="1:3">
      <c r="A27" s="1">
        <f t="shared" si="0"/>
        <v>22</v>
      </c>
      <c r="B27" s="198">
        <v>19</v>
      </c>
      <c r="C27" s="199">
        <v>224</v>
      </c>
    </row>
    <row r="28" spans="1:3">
      <c r="A28" s="1">
        <f t="shared" si="0"/>
        <v>23</v>
      </c>
      <c r="B28" s="198">
        <v>18</v>
      </c>
      <c r="C28" s="199">
        <v>178</v>
      </c>
    </row>
    <row r="29" spans="1:3">
      <c r="A29" s="1">
        <f t="shared" si="0"/>
        <v>24</v>
      </c>
      <c r="B29" s="198">
        <v>19</v>
      </c>
      <c r="C29" s="199">
        <v>173</v>
      </c>
    </row>
    <row r="30" spans="1:3">
      <c r="A30" s="1">
        <f t="shared" si="0"/>
        <v>25</v>
      </c>
      <c r="B30" s="198">
        <v>24</v>
      </c>
      <c r="C30" s="199">
        <v>186</v>
      </c>
    </row>
    <row r="31" spans="1:3">
      <c r="A31" s="1">
        <f t="shared" si="0"/>
        <v>26</v>
      </c>
      <c r="B31" s="198">
        <v>19</v>
      </c>
      <c r="C31" s="199">
        <v>299</v>
      </c>
    </row>
    <row r="32" spans="1:3">
      <c r="A32" s="1">
        <f t="shared" si="0"/>
        <v>27</v>
      </c>
      <c r="B32" s="198">
        <v>13</v>
      </c>
      <c r="C32" s="199">
        <v>229</v>
      </c>
    </row>
    <row r="33" spans="1:3">
      <c r="A33" s="1">
        <f t="shared" si="0"/>
        <v>28</v>
      </c>
      <c r="B33" s="198">
        <v>16</v>
      </c>
      <c r="C33" s="199">
        <v>301</v>
      </c>
    </row>
    <row r="34" spans="1:3">
      <c r="A34" s="1">
        <f t="shared" si="0"/>
        <v>29</v>
      </c>
      <c r="B34" s="198">
        <v>13</v>
      </c>
      <c r="C34" s="199">
        <v>203</v>
      </c>
    </row>
    <row r="35" spans="1:3">
      <c r="A35" s="1">
        <f t="shared" si="0"/>
        <v>30</v>
      </c>
      <c r="B35" s="198">
        <v>17</v>
      </c>
      <c r="C35" s="199">
        <v>148</v>
      </c>
    </row>
    <row r="36" spans="1:3">
      <c r="A36" s="1">
        <f t="shared" si="0"/>
        <v>31</v>
      </c>
      <c r="B36" s="198">
        <v>18</v>
      </c>
      <c r="C36" s="199">
        <v>180</v>
      </c>
    </row>
    <row r="38" spans="1:3">
      <c r="B38" s="5">
        <f>SUM(B6:B36)</f>
        <v>1107</v>
      </c>
      <c r="C38" s="5">
        <f>SUM(C6:C36)</f>
        <v>11246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5770F26C-86DA-4A8F-81F7-FF2897867C50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2023-02-23T11:21:27Z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1893000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