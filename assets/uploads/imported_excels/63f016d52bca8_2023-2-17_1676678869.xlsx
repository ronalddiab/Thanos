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10. October 2021\"/>
    </mc:Choice>
  </mc:AlternateContent>
  <xr:revisionPtr revIDLastSave="0" documentId="11_ABC395DFE22EA6F51F930B5DC6E2912F1EB72FA9" xr6:coauthVersionLast="47" xr6:coauthVersionMax="47" xr10:uidLastSave="{00000000-0000-0000-0000-000000000000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October 2021" sheetId="14" r:id="rId2"/>
    <sheet name="RNs &amp; Covers October 2021" sheetId="10" r:id="rId3"/>
    <sheet name="Residence Electricity October21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1" l="1"/>
  <c r="J32" i="11"/>
  <c r="M32" i="11"/>
  <c r="N32" i="11"/>
  <c r="AH46" i="14" l="1"/>
  <c r="D27" i="15" l="1"/>
  <c r="R46" i="14" s="1"/>
  <c r="D26" i="15"/>
  <c r="Q46" i="14" s="1"/>
  <c r="C37" i="10" l="1"/>
  <c r="B37" i="10"/>
  <c r="I42" i="14"/>
  <c r="N42" i="14"/>
  <c r="P42" i="14"/>
  <c r="E32" i="11" s="1"/>
  <c r="V42" i="14"/>
  <c r="K32" i="11" s="1"/>
  <c r="AA42" i="14"/>
  <c r="AG42" i="14"/>
  <c r="AI42" i="14"/>
  <c r="AL42" i="14"/>
  <c r="G32" i="11" l="1"/>
  <c r="H32" i="11"/>
  <c r="AB42" i="14"/>
  <c r="L32" i="11"/>
  <c r="O42" i="14"/>
  <c r="F32" i="11" s="1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W50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Y50" i="14" s="1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<sst xmlns="http://schemas.openxmlformats.org/spreadsheetml/2006/main" count="137" uniqueCount="80">
  <si>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</si>
  <si>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</si>
  <si>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</si>
  <si>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</si>
  <si>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</si>
  <si>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</si>
  <si>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</si>
  <si>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</si>
  <si>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</si>
  <si>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</si>
  <si>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</si>
  <si>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</si>
  <si>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</si>
  <si>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</si>
  <si>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</si>
  <si>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</si>
  <si>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</si>
  <si>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OCTOBER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</si>
  <si>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</si>
  <si>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</si>
  <si>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</si>
  <si>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</si>
  <si>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</si>
  <si>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</si>
  <si>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</si>
  <si>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</si>
  <si>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</si>
  <si>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</si>
  <si>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</si>
  <si>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</si>
  <si>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</si>
  <si>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</si>
  <si>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</si>
  <si>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</si>
  <si>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</si>
  <si>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</si>
  <si>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</si>
  <si>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</si>
  <si>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</si>
  <si>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</si>
  <si>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</si>
  <si>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</si>
  <si>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</si>
  <si>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</si>
  <si>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</si>
  <si>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</si>
  <si>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</si>
  <si>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</si>
  <si>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</si>
  <si>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</si>
  <si>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</si>
  <si>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</si>
  <si>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</si>
  <si>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Refer to:</t>
  </si>
  <si>
    <t>Residence Electricity October21'!A1</t>
  </si>
  <si>
    <t>kWh rate</t>
  </si>
  <si>
    <t>m3/RNs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</si>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</sst>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5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165" fontId="0" fillId="0" borderId="29" xfId="2" applyNumberFormat="1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10" xfId="2" applyNumberFormat="1" applyFont="1" applyBorder="1"/>
    <xf numFmtId="164" fontId="0" fillId="0" borderId="45" xfId="2" applyFont="1" applyBorder="1"/>
    <xf numFmtId="164" fontId="0" fillId="0" borderId="57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7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5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3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4" xfId="2" applyNumberFormat="1" applyFont="1" applyFill="1" applyBorder="1" applyProtection="1">
      <protection locked="0"/>
    </xf>
    <xf numFmtId="165" fontId="14" fillId="3" borderId="45" xfId="2" applyNumberFormat="1" applyFont="1" applyFill="1" applyBorder="1" applyProtection="1">
      <protection locked="0"/>
    </xf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7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5" fontId="14" fillId="3" borderId="55" xfId="2" applyNumberFormat="1" applyFont="1" applyFill="1" applyBorder="1" applyProtection="1">
      <protection locked="0"/>
    </xf>
    <xf numFmtId="165" fontId="14" fillId="3" borderId="57" xfId="2" applyNumberFormat="1" applyFont="1" applyFill="1" applyBorder="1" applyProtection="1">
      <protection locked="0"/>
    </xf>
    <xf numFmtId="165" fontId="0" fillId="0" borderId="56" xfId="2" applyNumberFormat="1" applyFont="1" applyBorder="1"/>
    <xf numFmtId="166" fontId="0" fillId="0" borderId="29" xfId="2" applyNumberFormat="1" applyFont="1" applyBorder="1"/>
    <xf numFmtId="164" fontId="0" fillId="0" borderId="32" xfId="0" applyNumberFormat="1" applyBorder="1"/>
    <xf numFmtId="165" fontId="2" fillId="0" borderId="29" xfId="2" applyNumberFormat="1" applyFont="1" applyBorder="1"/>
    <xf numFmtId="164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8" xfId="2" applyFont="1" applyFill="1" applyBorder="1"/>
    <xf numFmtId="165" fontId="1" fillId="0" borderId="56" xfId="2" applyNumberFormat="1" applyFont="1" applyBorder="1"/>
    <xf numFmtId="165" fontId="0" fillId="0" borderId="30" xfId="0" applyNumberFormat="1" applyBorder="1"/>
    <xf numFmtId="165" fontId="0" fillId="0" borderId="32" xfId="0" applyNumberFormat="1" applyBorder="1"/>
    <xf numFmtId="167" fontId="0" fillId="0" borderId="30" xfId="2" applyNumberFormat="1" applyFont="1" applyBorder="1"/>
    <xf numFmtId="168" fontId="0" fillId="0" borderId="69" xfId="2" applyNumberFormat="1" applyFont="1" applyBorder="1"/>
    <xf numFmtId="167" fontId="0" fillId="0" borderId="32" xfId="2" applyNumberFormat="1" applyFont="1" applyBorder="1"/>
    <xf numFmtId="0" fontId="1" fillId="0" borderId="8" xfId="0" applyFont="1" applyBorder="1" applyAlignment="1">
      <alignment horizontal="right"/>
    </xf>
    <xf numFmtId="43" fontId="2" fillId="0" borderId="8" xfId="3" applyFont="1" applyFill="1" applyBorder="1"/>
    <xf numFmtId="43" fontId="20" fillId="0" borderId="8" xfId="3" applyFont="1" applyFill="1" applyBorder="1"/>
    <xf numFmtId="0" fontId="21" fillId="0" borderId="8" xfId="0" applyFont="1" applyBorder="1" applyAlignment="1">
      <alignment horizontal="right"/>
    </xf>
    <xf numFmtId="43" fontId="22" fillId="0" borderId="8" xfId="3" applyFont="1" applyFill="1" applyBorder="1"/>
    <xf numFmtId="43" fontId="22" fillId="0" borderId="8" xfId="3" applyFont="1" applyBorder="1"/>
    <xf numFmtId="43" fontId="2" fillId="0" borderId="8" xfId="3" applyFont="1" applyBorder="1"/>
    <xf numFmtId="0" fontId="1" fillId="0" borderId="8" xfId="0" applyFont="1" applyBorder="1"/>
    <xf numFmtId="164" fontId="1" fillId="0" borderId="8" xfId="0" applyNumberFormat="1" applyFont="1" applyBorder="1"/>
    <xf numFmtId="164" fontId="20" fillId="0" borderId="8" xfId="0" applyNumberFormat="1" applyFont="1" applyBorder="1"/>
    <xf numFmtId="9" fontId="17" fillId="0" borderId="0" xfId="5" applyFont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E22" sqref="E22"/>
    </sheetView>
  </sheetViews>
  <sheetFormatPr defaultColWidth="11.5703125" defaultRowHeight="15"/>
  <cols>
    <col min="1" max="1" width="18.42578125" style="152" customWidth="1"/>
    <col min="2" max="2" width="11.5703125" style="153"/>
    <col min="3" max="3" width="11.5703125" style="154"/>
    <col min="4" max="4" width="13.42578125" style="153" customWidth="1"/>
    <col min="5" max="5" width="12.5703125" style="151" customWidth="1"/>
    <col min="6" max="6" width="12.5703125" style="155" customWidth="1"/>
    <col min="7" max="7" width="11.5703125" style="151"/>
    <col min="8" max="8" width="11.5703125" style="155"/>
    <col min="9" max="9" width="11.5703125" style="156"/>
    <col min="10" max="10" width="11.5703125" style="157"/>
    <col min="11" max="11" width="11.5703125" style="151"/>
    <col min="12" max="12" width="11.5703125" style="157"/>
    <col min="13" max="26" width="11.5703125" style="151"/>
  </cols>
  <sheetData>
    <row r="1" spans="1:15" s="145" customFormat="1" ht="60">
      <c r="A1" s="141" t="s">
        <v>0</v>
      </c>
      <c r="B1" s="141" t="s">
        <v>1</v>
      </c>
      <c r="C1" s="142" t="s">
        <v>2</v>
      </c>
      <c r="D1" s="141" t="s">
        <v>3</v>
      </c>
      <c r="E1" s="140" t="s">
        <v>4</v>
      </c>
      <c r="F1" s="143" t="s">
        <v>5</v>
      </c>
      <c r="G1" s="140" t="s">
        <v>6</v>
      </c>
      <c r="H1" s="143" t="s">
        <v>7</v>
      </c>
      <c r="I1" s="140" t="s">
        <v>8</v>
      </c>
      <c r="J1" s="143" t="s">
        <v>9</v>
      </c>
      <c r="K1" s="140" t="s">
        <v>10</v>
      </c>
      <c r="L1" s="144" t="s">
        <v>11</v>
      </c>
      <c r="M1" s="140" t="s">
        <v>12</v>
      </c>
      <c r="N1" s="140" t="s">
        <v>13</v>
      </c>
    </row>
    <row r="2" spans="1:15" ht="14.45">
      <c r="A2" s="146" t="s">
        <v>14</v>
      </c>
      <c r="B2" s="147">
        <v>1</v>
      </c>
      <c r="C2" s="148">
        <v>10</v>
      </c>
      <c r="D2" s="147">
        <v>2021</v>
      </c>
      <c r="E2" s="149">
        <f>'FS Jimbaran October 2021'!P12</f>
        <v>13220.00000000024</v>
      </c>
      <c r="F2" s="158">
        <f>'FS Jimbaran October 2021'!O12/'FS Jimbaran October 2021'!P12</f>
        <v>1182.1759856278347</v>
      </c>
      <c r="G2" s="149">
        <f>'FS Jimbaran October 2021'!AG12</f>
        <v>112</v>
      </c>
      <c r="H2" s="158">
        <f>'FS Jimbaran October 2021'!AH12/'FS Jimbaran October 2021'!AG12</f>
        <v>13888.392857142857</v>
      </c>
      <c r="I2" s="149">
        <f>'FS Jimbaran October 2021'!AJ12</f>
        <v>226</v>
      </c>
      <c r="J2" s="150">
        <f>'FS Jimbaran October 2021'!AK12/'FS Jimbaran October 2021'!AJ12</f>
        <v>11100</v>
      </c>
      <c r="K2" s="149">
        <f>'FS Jimbaran October 2021'!V12</f>
        <v>465.25714285714287</v>
      </c>
      <c r="L2" s="158">
        <f>'FS Jimbaran October 2021'!AA12/'FS Jimbaran October 2021'!V12</f>
        <v>7206.5363547040042</v>
      </c>
      <c r="M2" s="149">
        <f>+'RNs &amp; Covers October 2021'!B6</f>
        <v>11</v>
      </c>
      <c r="N2" s="149">
        <f>+'RNs &amp; Covers October 2021'!C6</f>
        <v>91</v>
      </c>
    </row>
    <row r="3" spans="1:15" ht="14.45">
      <c r="A3" s="146" t="s">
        <v>14</v>
      </c>
      <c r="B3" s="147">
        <f>B2+1</f>
        <v>2</v>
      </c>
      <c r="C3" s="148">
        <v>10</v>
      </c>
      <c r="D3" s="147">
        <v>2021</v>
      </c>
      <c r="E3" s="149">
        <f>'FS Jimbaran October 2021'!P13</f>
        <v>13739.999999999867</v>
      </c>
      <c r="F3" s="158">
        <f>'FS Jimbaran October 2021'!O13/'FS Jimbaran October 2021'!P13</f>
        <v>1181.7616572052398</v>
      </c>
      <c r="G3" s="149">
        <f>'FS Jimbaran October 2021'!AG13</f>
        <v>112</v>
      </c>
      <c r="H3" s="158">
        <f>'FS Jimbaran October 2021'!AH13/'FS Jimbaran October 2021'!AG13</f>
        <v>13888.392857142857</v>
      </c>
      <c r="I3" s="149">
        <f>'FS Jimbaran October 2021'!AJ13</f>
        <v>145</v>
      </c>
      <c r="J3" s="150">
        <f>'FS Jimbaran October 2021'!AK13/'FS Jimbaran October 2021'!AJ13</f>
        <v>11100</v>
      </c>
      <c r="K3" s="149">
        <f>'FS Jimbaran October 2021'!V13</f>
        <v>296.07272727272726</v>
      </c>
      <c r="L3" s="158">
        <f>'FS Jimbaran October 2021'!AA13/'FS Jimbaran October 2021'!V13</f>
        <v>7206.5363547040051</v>
      </c>
      <c r="M3" s="149">
        <f>+'RNs &amp; Covers October 2021'!B7</f>
        <v>7</v>
      </c>
      <c r="N3" s="149">
        <f>+'RNs &amp; Covers October 2021'!C7</f>
        <v>118</v>
      </c>
    </row>
    <row r="4" spans="1:15" ht="14.45">
      <c r="A4" s="146" t="s">
        <v>14</v>
      </c>
      <c r="B4" s="147">
        <f t="shared" ref="B4:B32" si="0">B3+1</f>
        <v>3</v>
      </c>
      <c r="C4" s="148">
        <v>10</v>
      </c>
      <c r="D4" s="147">
        <v>2021</v>
      </c>
      <c r="E4" s="149">
        <f>'FS Jimbaran October 2021'!P14</f>
        <v>13600.000000000051</v>
      </c>
      <c r="F4" s="158">
        <f>'FS Jimbaran October 2021'!O14/'FS Jimbaran October 2021'!P14</f>
        <v>1177.9331889705866</v>
      </c>
      <c r="G4" s="149">
        <f>'FS Jimbaran October 2021'!AG14</f>
        <v>112</v>
      </c>
      <c r="H4" s="158">
        <f>'FS Jimbaran October 2021'!AH14/'FS Jimbaran October 2021'!AG14</f>
        <v>13888.392857142857</v>
      </c>
      <c r="I4" s="149">
        <f>'FS Jimbaran October 2021'!AJ14</f>
        <v>103</v>
      </c>
      <c r="J4" s="150">
        <f>'FS Jimbaran October 2021'!AK14/'FS Jimbaran October 2021'!AJ14</f>
        <v>11100</v>
      </c>
      <c r="K4" s="149">
        <f>'FS Jimbaran October 2021'!V14</f>
        <v>211.48051948051949</v>
      </c>
      <c r="L4" s="158">
        <f>'FS Jimbaran October 2021'!AA14/'FS Jimbaran October 2021'!V14</f>
        <v>7206.5363547040033</v>
      </c>
      <c r="M4" s="149">
        <f>+'RNs &amp; Covers October 2021'!B8</f>
        <v>5</v>
      </c>
      <c r="N4" s="149">
        <f>+'RNs &amp; Covers October 2021'!C8</f>
        <v>114</v>
      </c>
    </row>
    <row r="5" spans="1:15" ht="14.45">
      <c r="A5" s="146" t="s">
        <v>14</v>
      </c>
      <c r="B5" s="147">
        <f t="shared" si="0"/>
        <v>4</v>
      </c>
      <c r="C5" s="148">
        <v>10</v>
      </c>
      <c r="D5" s="147">
        <v>2021</v>
      </c>
      <c r="E5" s="149">
        <f>'FS Jimbaran October 2021'!P15</f>
        <v>13419.999999999603</v>
      </c>
      <c r="F5" s="158">
        <f>'FS Jimbaran October 2021'!O15/'FS Jimbaran October 2021'!P15</f>
        <v>1184.0076818181863</v>
      </c>
      <c r="G5" s="149">
        <f>'FS Jimbaran October 2021'!AG15</f>
        <v>62</v>
      </c>
      <c r="H5" s="158">
        <f>'FS Jimbaran October 2021'!AH15/'FS Jimbaran October 2021'!AG15</f>
        <v>13653.225806451614</v>
      </c>
      <c r="I5" s="149">
        <f>'FS Jimbaran October 2021'!AJ15</f>
        <v>104</v>
      </c>
      <c r="J5" s="150">
        <f>'FS Jimbaran October 2021'!AK15/'FS Jimbaran October 2021'!AJ15</f>
        <v>11100</v>
      </c>
      <c r="K5" s="149">
        <f>'FS Jimbaran October 2021'!V15</f>
        <v>210.64935064935065</v>
      </c>
      <c r="L5" s="158">
        <f>'FS Jimbaran October 2021'!AA15/'FS Jimbaran October 2021'!V15</f>
        <v>7234.9715166461156</v>
      </c>
      <c r="M5" s="149">
        <f>+'RNs &amp; Covers October 2021'!B9</f>
        <v>5</v>
      </c>
      <c r="N5" s="149">
        <f>+'RNs &amp; Covers October 2021'!C9</f>
        <v>56</v>
      </c>
    </row>
    <row r="6" spans="1:15" ht="14.45">
      <c r="A6" s="146" t="s">
        <v>14</v>
      </c>
      <c r="B6" s="147">
        <f t="shared" si="0"/>
        <v>5</v>
      </c>
      <c r="C6" s="148">
        <v>10</v>
      </c>
      <c r="D6" s="147">
        <v>2021</v>
      </c>
      <c r="E6" s="149">
        <f>'FS Jimbaran October 2021'!P16</f>
        <v>13080.000000000338</v>
      </c>
      <c r="F6" s="158">
        <f>'FS Jimbaran October 2021'!O16/'FS Jimbaran October 2021'!P16</f>
        <v>1182.3571238532104</v>
      </c>
      <c r="G6" s="149">
        <f>'FS Jimbaran October 2021'!AG16</f>
        <v>112</v>
      </c>
      <c r="H6" s="158">
        <f>'FS Jimbaran October 2021'!AH16/'FS Jimbaran October 2021'!AG16</f>
        <v>13888.392857142857</v>
      </c>
      <c r="I6" s="149">
        <f>'FS Jimbaran October 2021'!AJ16</f>
        <v>82</v>
      </c>
      <c r="J6" s="150">
        <f>'FS Jimbaran October 2021'!AK16/'FS Jimbaran October 2021'!AJ16</f>
        <v>11100</v>
      </c>
      <c r="K6" s="149">
        <f>'FS Jimbaran October 2021'!V16</f>
        <v>169.18441558441558</v>
      </c>
      <c r="L6" s="158">
        <f>'FS Jimbaran October 2021'!AA16/'FS Jimbaran October 2021'!V16</f>
        <v>7206.5363547040042</v>
      </c>
      <c r="M6" s="149">
        <f>+'RNs &amp; Covers October 2021'!B10</f>
        <v>4</v>
      </c>
      <c r="N6" s="149">
        <f>+'RNs &amp; Covers October 2021'!C10</f>
        <v>76</v>
      </c>
    </row>
    <row r="7" spans="1:15" ht="14.45">
      <c r="A7" s="146" t="s">
        <v>14</v>
      </c>
      <c r="B7" s="147">
        <f t="shared" si="0"/>
        <v>6</v>
      </c>
      <c r="C7" s="148">
        <v>10</v>
      </c>
      <c r="D7" s="147">
        <v>2021</v>
      </c>
      <c r="E7" s="149">
        <f>'FS Jimbaran October 2021'!P17</f>
        <v>13139.999999999802</v>
      </c>
      <c r="F7" s="158">
        <f>'FS Jimbaran October 2021'!O17/'FS Jimbaran October 2021'!P17</f>
        <v>1176.9582328767119</v>
      </c>
      <c r="G7" s="149">
        <f>'FS Jimbaran October 2021'!AG17</f>
        <v>112</v>
      </c>
      <c r="H7" s="158">
        <f>'FS Jimbaran October 2021'!AH17/'FS Jimbaran October 2021'!AG17</f>
        <v>13888.392857142857</v>
      </c>
      <c r="I7" s="149">
        <f>'FS Jimbaran October 2021'!AJ17</f>
        <v>42</v>
      </c>
      <c r="J7" s="150">
        <f>'FS Jimbaran October 2021'!AK17/'FS Jimbaran October 2021'!AJ17</f>
        <v>11100</v>
      </c>
      <c r="K7" s="149">
        <f>'FS Jimbaran October 2021'!V17</f>
        <v>84.592207792207788</v>
      </c>
      <c r="L7" s="158">
        <f>'FS Jimbaran October 2021'!AA17/'FS Jimbaran October 2021'!V17</f>
        <v>7206.5363547040042</v>
      </c>
      <c r="M7" s="149">
        <f>+'RNs &amp; Covers October 2021'!B11</f>
        <v>2</v>
      </c>
      <c r="N7" s="149">
        <f>+'RNs &amp; Covers October 2021'!C11</f>
        <v>92</v>
      </c>
    </row>
    <row r="8" spans="1:15" ht="14.45">
      <c r="A8" s="146" t="s">
        <v>14</v>
      </c>
      <c r="B8" s="147">
        <f t="shared" si="0"/>
        <v>7</v>
      </c>
      <c r="C8" s="148">
        <v>10</v>
      </c>
      <c r="D8" s="147">
        <v>2021</v>
      </c>
      <c r="E8" s="149">
        <f>'FS Jimbaran October 2021'!P18</f>
        <v>13560.000000000173</v>
      </c>
      <c r="F8" s="158">
        <f>'FS Jimbaran October 2021'!O18/'FS Jimbaran October 2021'!P18</f>
        <v>1185.4181283185828</v>
      </c>
      <c r="G8" s="149">
        <f>'FS Jimbaran October 2021'!AG18</f>
        <v>112</v>
      </c>
      <c r="H8" s="158">
        <f>'FS Jimbaran October 2021'!AH18/'FS Jimbaran October 2021'!AG18</f>
        <v>13888.392857142857</v>
      </c>
      <c r="I8" s="149">
        <f>'FS Jimbaran October 2021'!AJ18</f>
        <v>123</v>
      </c>
      <c r="J8" s="150">
        <f>'FS Jimbaran October 2021'!AK18/'FS Jimbaran October 2021'!AJ18</f>
        <v>11100</v>
      </c>
      <c r="K8" s="149">
        <f>'FS Jimbaran October 2021'!V18</f>
        <v>253.77662337662338</v>
      </c>
      <c r="L8" s="158">
        <f>'FS Jimbaran October 2021'!AA18/'FS Jimbaran October 2021'!V18</f>
        <v>7206.5363547040042</v>
      </c>
      <c r="M8" s="149">
        <f>+'RNs &amp; Covers October 2021'!B12</f>
        <v>6</v>
      </c>
      <c r="N8" s="149">
        <f>+'RNs &amp; Covers October 2021'!C12</f>
        <v>113</v>
      </c>
    </row>
    <row r="9" spans="1:15" ht="14.45">
      <c r="A9" s="146" t="s">
        <v>14</v>
      </c>
      <c r="B9" s="147">
        <f t="shared" si="0"/>
        <v>8</v>
      </c>
      <c r="C9" s="148">
        <v>10</v>
      </c>
      <c r="D9" s="147">
        <v>2021</v>
      </c>
      <c r="E9" s="149">
        <f>'FS Jimbaran October 2021'!P19</f>
        <v>13500.000000000171</v>
      </c>
      <c r="F9" s="158">
        <f>'FS Jimbaran October 2021'!O19/'FS Jimbaran October 2021'!P19</f>
        <v>1184.2418000000002</v>
      </c>
      <c r="G9" s="149">
        <f>'FS Jimbaran October 2021'!AG19</f>
        <v>112</v>
      </c>
      <c r="H9" s="158">
        <f>'FS Jimbaran October 2021'!AH19/'FS Jimbaran October 2021'!AG19</f>
        <v>13888.392857142857</v>
      </c>
      <c r="I9" s="149">
        <f>'FS Jimbaran October 2021'!AJ19</f>
        <v>351</v>
      </c>
      <c r="J9" s="150">
        <f>'FS Jimbaran October 2021'!AK19/'FS Jimbaran October 2021'!AJ19</f>
        <v>11100</v>
      </c>
      <c r="K9" s="149">
        <f>'FS Jimbaran October 2021'!V19</f>
        <v>719.0337662337663</v>
      </c>
      <c r="L9" s="158">
        <f>'FS Jimbaran October 2021'!AA19/'FS Jimbaran October 2021'!V19</f>
        <v>7206.5363547040033</v>
      </c>
      <c r="M9" s="149">
        <f>+'RNs &amp; Covers October 2021'!B13</f>
        <v>17</v>
      </c>
      <c r="N9" s="149">
        <f>+'RNs &amp; Covers October 2021'!C13</f>
        <v>113</v>
      </c>
      <c r="O9" s="151" t="s">
        <v>15</v>
      </c>
    </row>
    <row r="10" spans="1:15" ht="14.45">
      <c r="A10" s="146" t="s">
        <v>14</v>
      </c>
      <c r="B10" s="147">
        <f t="shared" si="0"/>
        <v>9</v>
      </c>
      <c r="C10" s="148">
        <v>10</v>
      </c>
      <c r="D10" s="147">
        <v>2021</v>
      </c>
      <c r="E10" s="149">
        <f>'FS Jimbaran October 2021'!P20</f>
        <v>14659.999999999811</v>
      </c>
      <c r="F10" s="158">
        <f>'FS Jimbaran October 2021'!O20/'FS Jimbaran October 2021'!P20</f>
        <v>1184.7528601637127</v>
      </c>
      <c r="G10" s="149">
        <f>'FS Jimbaran October 2021'!AG20</f>
        <v>112</v>
      </c>
      <c r="H10" s="158">
        <f>'FS Jimbaran October 2021'!AH20/'FS Jimbaran October 2021'!AG20</f>
        <v>13888.392857142857</v>
      </c>
      <c r="I10" s="149">
        <f>'FS Jimbaran October 2021'!AJ20</f>
        <v>289</v>
      </c>
      <c r="J10" s="150">
        <f>'FS Jimbaran October 2021'!AK20/'FS Jimbaran October 2021'!AJ20</f>
        <v>11100</v>
      </c>
      <c r="K10" s="149">
        <f>'FS Jimbaran October 2021'!V20</f>
        <v>592.14545454545453</v>
      </c>
      <c r="L10" s="158">
        <f>'FS Jimbaran October 2021'!AA20/'FS Jimbaran October 2021'!V20</f>
        <v>7206.5363547040051</v>
      </c>
      <c r="M10" s="149">
        <f>+'RNs &amp; Covers October 2021'!B14</f>
        <v>14</v>
      </c>
      <c r="N10" s="149">
        <f>+'RNs &amp; Covers October 2021'!C14</f>
        <v>131</v>
      </c>
    </row>
    <row r="11" spans="1:15" ht="14.45">
      <c r="A11" s="146" t="s">
        <v>14</v>
      </c>
      <c r="B11" s="147">
        <f t="shared" si="0"/>
        <v>10</v>
      </c>
      <c r="C11" s="148">
        <v>10</v>
      </c>
      <c r="D11" s="147">
        <v>2021</v>
      </c>
      <c r="E11" s="149">
        <f>'FS Jimbaran October 2021'!P21</f>
        <v>14839.999999999876</v>
      </c>
      <c r="F11" s="158">
        <f>'FS Jimbaran October 2021'!O21/'FS Jimbaran October 2021'!P21</f>
        <v>1180.6426273584884</v>
      </c>
      <c r="G11" s="149">
        <f>'FS Jimbaran October 2021'!AG21</f>
        <v>162</v>
      </c>
      <c r="H11" s="158">
        <f>'FS Jimbaran October 2021'!AH21/'FS Jimbaran October 2021'!AG21</f>
        <v>13978.395061728395</v>
      </c>
      <c r="I11" s="149">
        <f>'FS Jimbaran October 2021'!AJ21</f>
        <v>186</v>
      </c>
      <c r="J11" s="150">
        <f>'FS Jimbaran October 2021'!AK21/'FS Jimbaran October 2021'!AJ21</f>
        <v>11100</v>
      </c>
      <c r="K11" s="149">
        <f>'FS Jimbaran October 2021'!V21</f>
        <v>380.66493506493509</v>
      </c>
      <c r="L11" s="158">
        <f>'FS Jimbaran October 2021'!AA21/'FS Jimbaran October 2021'!V21</f>
        <v>7206.5363547040042</v>
      </c>
      <c r="M11" s="149">
        <f>+'RNs &amp; Covers October 2021'!B15</f>
        <v>9</v>
      </c>
      <c r="N11" s="149">
        <f>+'RNs &amp; Covers October 2021'!C15</f>
        <v>172</v>
      </c>
    </row>
    <row r="12" spans="1:15" ht="14.45">
      <c r="A12" s="146" t="s">
        <v>14</v>
      </c>
      <c r="B12" s="147">
        <f t="shared" si="0"/>
        <v>11</v>
      </c>
      <c r="C12" s="148">
        <v>10</v>
      </c>
      <c r="D12" s="147">
        <v>2021</v>
      </c>
      <c r="E12" s="149">
        <f>'FS Jimbaran October 2021'!P22</f>
        <v>11760.000000000073</v>
      </c>
      <c r="F12" s="158">
        <f>'FS Jimbaran October 2021'!O22/'FS Jimbaran October 2021'!P22</f>
        <v>1196.6958214285748</v>
      </c>
      <c r="G12" s="149">
        <f>'FS Jimbaran October 2021'!AG22</f>
        <v>62</v>
      </c>
      <c r="H12" s="158">
        <f>'FS Jimbaran October 2021'!AH22/'FS Jimbaran October 2021'!AG22</f>
        <v>13653.225806451614</v>
      </c>
      <c r="I12" s="149">
        <f>'FS Jimbaran October 2021'!AJ22</f>
        <v>124</v>
      </c>
      <c r="J12" s="150">
        <f>'FS Jimbaran October 2021'!AK22/'FS Jimbaran October 2021'!AJ22</f>
        <v>11100</v>
      </c>
      <c r="K12" s="149">
        <f>'FS Jimbaran October 2021'!V22</f>
        <v>253.77662337662338</v>
      </c>
      <c r="L12" s="158">
        <f>'FS Jimbaran October 2021'!AA22/'FS Jimbaran October 2021'!V22</f>
        <v>7206.5363547040042</v>
      </c>
      <c r="M12" s="149">
        <f>+'RNs &amp; Covers October 2021'!B16</f>
        <v>6</v>
      </c>
      <c r="N12" s="149">
        <f>+'RNs &amp; Covers October 2021'!C16</f>
        <v>63</v>
      </c>
    </row>
    <row r="13" spans="1:15" ht="14.45">
      <c r="A13" s="146" t="s">
        <v>14</v>
      </c>
      <c r="B13" s="147">
        <f t="shared" si="0"/>
        <v>12</v>
      </c>
      <c r="C13" s="148">
        <v>10</v>
      </c>
      <c r="D13" s="147">
        <v>2021</v>
      </c>
      <c r="E13" s="149">
        <f>'FS Jimbaran October 2021'!P23</f>
        <v>16740.000000000065</v>
      </c>
      <c r="F13" s="158">
        <f>'FS Jimbaran October 2021'!O23/'FS Jimbaran October 2021'!P23</f>
        <v>1167.479983870965</v>
      </c>
      <c r="G13" s="149">
        <f>'FS Jimbaran October 2021'!AG23</f>
        <v>62</v>
      </c>
      <c r="H13" s="158">
        <f>'FS Jimbaran October 2021'!AH23/'FS Jimbaran October 2021'!AG23</f>
        <v>13653.225806451614</v>
      </c>
      <c r="I13" s="149">
        <f>'FS Jimbaran October 2021'!AJ23</f>
        <v>103</v>
      </c>
      <c r="J13" s="150">
        <f>'FS Jimbaran October 2021'!AK23/'FS Jimbaran October 2021'!AJ23</f>
        <v>11100</v>
      </c>
      <c r="K13" s="149">
        <f>'FS Jimbaran October 2021'!V23</f>
        <v>211.48051948051949</v>
      </c>
      <c r="L13" s="158">
        <f>'FS Jimbaran October 2021'!AA23/'FS Jimbaran October 2021'!V23</f>
        <v>7206.5363547040033</v>
      </c>
      <c r="M13" s="149">
        <f>+'RNs &amp; Covers October 2021'!B17</f>
        <v>5</v>
      </c>
      <c r="N13" s="149">
        <f>+'RNs &amp; Covers October 2021'!C17</f>
        <v>65</v>
      </c>
    </row>
    <row r="14" spans="1:15" ht="14.45">
      <c r="A14" s="146" t="s">
        <v>14</v>
      </c>
      <c r="B14" s="147">
        <f t="shared" si="0"/>
        <v>13</v>
      </c>
      <c r="C14" s="148">
        <v>10</v>
      </c>
      <c r="D14" s="147">
        <v>2021</v>
      </c>
      <c r="E14" s="149">
        <f>'FS Jimbaran October 2021'!P24</f>
        <v>14640</v>
      </c>
      <c r="F14" s="158">
        <f>'FS Jimbaran October 2021'!O24/'FS Jimbaran October 2021'!P24</f>
        <v>1185.6285000000021</v>
      </c>
      <c r="G14" s="149">
        <f>'FS Jimbaran October 2021'!AG24</f>
        <v>112</v>
      </c>
      <c r="H14" s="158">
        <f>'FS Jimbaran October 2021'!AH24/'FS Jimbaran October 2021'!AG24</f>
        <v>13888.392857142857</v>
      </c>
      <c r="I14" s="149">
        <f>'FS Jimbaran October 2021'!AJ24</f>
        <v>165</v>
      </c>
      <c r="J14" s="150">
        <f>'FS Jimbaran October 2021'!AK24/'FS Jimbaran October 2021'!AJ24</f>
        <v>11100</v>
      </c>
      <c r="K14" s="149">
        <f>'FS Jimbaran October 2021'!V24</f>
        <v>338.36883116883115</v>
      </c>
      <c r="L14" s="158">
        <f>'FS Jimbaran October 2021'!AA24/'FS Jimbaran October 2021'!V24</f>
        <v>7206.5363547040042</v>
      </c>
      <c r="M14" s="149">
        <f>+'RNs &amp; Covers October 2021'!B18</f>
        <v>8</v>
      </c>
      <c r="N14" s="149">
        <f>+'RNs &amp; Covers October 2021'!C18</f>
        <v>106</v>
      </c>
    </row>
    <row r="15" spans="1:15" ht="14.45">
      <c r="A15" s="146" t="s">
        <v>14</v>
      </c>
      <c r="B15" s="147">
        <f t="shared" si="0"/>
        <v>14</v>
      </c>
      <c r="C15" s="148">
        <v>10</v>
      </c>
      <c r="D15" s="147">
        <v>2021</v>
      </c>
      <c r="E15" s="149">
        <f>'FS Jimbaran October 2021'!P25</f>
        <v>15019.999999999869</v>
      </c>
      <c r="F15" s="158">
        <f>'FS Jimbaran October 2021'!O25/'FS Jimbaran October 2021'!P25</f>
        <v>1181.6994727030622</v>
      </c>
      <c r="G15" s="149">
        <f>'FS Jimbaran October 2021'!AG25</f>
        <v>62</v>
      </c>
      <c r="H15" s="158">
        <f>'FS Jimbaran October 2021'!AH25/'FS Jimbaran October 2021'!AG25</f>
        <v>14991.935483870968</v>
      </c>
      <c r="I15" s="149">
        <f>'FS Jimbaran October 2021'!AJ25</f>
        <v>167</v>
      </c>
      <c r="J15" s="150">
        <f>'FS Jimbaran October 2021'!AK25/'FS Jimbaran October 2021'!AJ25</f>
        <v>11100</v>
      </c>
      <c r="K15" s="149">
        <f>'FS Jimbaran October 2021'!V25</f>
        <v>340.63896103896104</v>
      </c>
      <c r="L15" s="158">
        <f>'FS Jimbaran October 2021'!AA25/'FS Jimbaran October 2021'!V25</f>
        <v>7158.5096304881581</v>
      </c>
      <c r="M15" s="149">
        <f>+'RNs &amp; Covers October 2021'!B19</f>
        <v>8</v>
      </c>
      <c r="N15" s="149">
        <f>+'RNs &amp; Covers October 2021'!C19</f>
        <v>85</v>
      </c>
    </row>
    <row r="16" spans="1:15" ht="14.45">
      <c r="A16" s="146" t="s">
        <v>14</v>
      </c>
      <c r="B16" s="147">
        <f t="shared" si="0"/>
        <v>15</v>
      </c>
      <c r="C16" s="148">
        <v>10</v>
      </c>
      <c r="D16" s="147">
        <v>2021</v>
      </c>
      <c r="E16" s="149">
        <f>'FS Jimbaran October 2021'!P26</f>
        <v>16720.000000000015</v>
      </c>
      <c r="F16" s="158">
        <f>'FS Jimbaran October 2021'!O26/'FS Jimbaran October 2021'!P26</f>
        <v>1190.3416686602891</v>
      </c>
      <c r="G16" s="149">
        <f>'FS Jimbaran October 2021'!AG26</f>
        <v>112</v>
      </c>
      <c r="H16" s="158">
        <f>'FS Jimbaran October 2021'!AH26/'FS Jimbaran October 2021'!AG26</f>
        <v>15370.535714285714</v>
      </c>
      <c r="I16" s="149">
        <f>'FS Jimbaran October 2021'!AJ26</f>
        <v>330</v>
      </c>
      <c r="J16" s="150">
        <f>'FS Jimbaran October 2021'!AK26/'FS Jimbaran October 2021'!AJ26</f>
        <v>11100</v>
      </c>
      <c r="K16" s="149">
        <f>'FS Jimbaran October 2021'!V26</f>
        <v>676.7376623376623</v>
      </c>
      <c r="L16" s="158">
        <f>'FS Jimbaran October 2021'!AA26/'FS Jimbaran October 2021'!V26</f>
        <v>7206.5363547040042</v>
      </c>
      <c r="M16" s="149">
        <f>+'RNs &amp; Covers October 2021'!B20</f>
        <v>16</v>
      </c>
      <c r="N16" s="149">
        <f>+'RNs &amp; Covers October 2021'!C20</f>
        <v>117</v>
      </c>
    </row>
    <row r="17" spans="1:14" ht="14.45">
      <c r="A17" s="146" t="s">
        <v>14</v>
      </c>
      <c r="B17" s="147">
        <f t="shared" si="0"/>
        <v>16</v>
      </c>
      <c r="C17" s="148">
        <v>10</v>
      </c>
      <c r="D17" s="147">
        <v>2021</v>
      </c>
      <c r="E17" s="149">
        <f>'FS Jimbaran October 2021'!P27</f>
        <v>18140.000000000116</v>
      </c>
      <c r="F17" s="158">
        <f>'FS Jimbaran October 2021'!O27/'FS Jimbaran October 2021'!P27</f>
        <v>1197.2851670341754</v>
      </c>
      <c r="G17" s="149">
        <f>'FS Jimbaran October 2021'!AG27</f>
        <v>224</v>
      </c>
      <c r="H17" s="158">
        <f>'FS Jimbaran October 2021'!AH27/'FS Jimbaran October 2021'!AG27</f>
        <v>15370.535714285714</v>
      </c>
      <c r="I17" s="149">
        <f>'FS Jimbaran October 2021'!AJ27</f>
        <v>929</v>
      </c>
      <c r="J17" s="150">
        <f>'FS Jimbaran October 2021'!AK27/'FS Jimbaran October 2021'!AJ27</f>
        <v>11100</v>
      </c>
      <c r="K17" s="149">
        <f>'FS Jimbaran October 2021'!V27</f>
        <v>1903.3246753246754</v>
      </c>
      <c r="L17" s="158">
        <f>'FS Jimbaran October 2021'!AA27/'FS Jimbaran October 2021'!V27</f>
        <v>7206.5363547040033</v>
      </c>
      <c r="M17" s="149">
        <f>+'RNs &amp; Covers October 2021'!B21</f>
        <v>45</v>
      </c>
      <c r="N17" s="149">
        <f>+'RNs &amp; Covers October 2021'!C21</f>
        <v>256</v>
      </c>
    </row>
    <row r="18" spans="1:14" ht="14.45">
      <c r="A18" s="146" t="s">
        <v>14</v>
      </c>
      <c r="B18" s="147">
        <f t="shared" si="0"/>
        <v>17</v>
      </c>
      <c r="C18" s="148">
        <v>10</v>
      </c>
      <c r="D18" s="147">
        <v>2021</v>
      </c>
      <c r="E18" s="149">
        <f>'FS Jimbaran October 2021'!P28</f>
        <v>17580.000000000069</v>
      </c>
      <c r="F18" s="158">
        <f>'FS Jimbaran October 2021'!O28/'FS Jimbaran October 2021'!P28</f>
        <v>1186.5513890785003</v>
      </c>
      <c r="G18" s="149">
        <f>'FS Jimbaran October 2021'!AG28</f>
        <v>236</v>
      </c>
      <c r="H18" s="158">
        <f>'FS Jimbaran October 2021'!AH28/'FS Jimbaran October 2021'!AG28</f>
        <v>15171.610169491525</v>
      </c>
      <c r="I18" s="149">
        <f>'FS Jimbaran October 2021'!AJ28</f>
        <v>1093</v>
      </c>
      <c r="J18" s="150">
        <f>'FS Jimbaran October 2021'!AK28/'FS Jimbaran October 2021'!AJ28</f>
        <v>11100</v>
      </c>
      <c r="K18" s="149">
        <f>'FS Jimbaran October 2021'!V28</f>
        <v>2241.6935064935064</v>
      </c>
      <c r="L18" s="158">
        <f>'FS Jimbaran October 2021'!AA28/'FS Jimbaran October 2021'!V28</f>
        <v>7206.5363547040042</v>
      </c>
      <c r="M18" s="149">
        <f>+'RNs &amp; Covers October 2021'!B22</f>
        <v>53</v>
      </c>
      <c r="N18" s="149">
        <f>+'RNs &amp; Covers October 2021'!C22</f>
        <v>327</v>
      </c>
    </row>
    <row r="19" spans="1:14" ht="14.45">
      <c r="A19" s="146" t="s">
        <v>14</v>
      </c>
      <c r="B19" s="147">
        <f t="shared" si="0"/>
        <v>18</v>
      </c>
      <c r="C19" s="148">
        <v>10</v>
      </c>
      <c r="D19" s="147">
        <v>2021</v>
      </c>
      <c r="E19" s="149">
        <f>'FS Jimbaran October 2021'!P29</f>
        <v>19159.999999999956</v>
      </c>
      <c r="F19" s="158">
        <f>'FS Jimbaran October 2021'!O29/'FS Jimbaran October 2021'!P29</f>
        <v>1196.5529498956132</v>
      </c>
      <c r="G19" s="149">
        <f>'FS Jimbaran October 2021'!AG29</f>
        <v>224</v>
      </c>
      <c r="H19" s="158">
        <f>'FS Jimbaran October 2021'!AH29/'FS Jimbaran October 2021'!AG29</f>
        <v>15370.535714285714</v>
      </c>
      <c r="I19" s="149">
        <f>'FS Jimbaran October 2021'!AJ29</f>
        <v>1011</v>
      </c>
      <c r="J19" s="150">
        <f>'FS Jimbaran October 2021'!AK29/'FS Jimbaran October 2021'!AJ29</f>
        <v>11100</v>
      </c>
      <c r="K19" s="149">
        <f>'FS Jimbaran October 2021'!V29</f>
        <v>2072.5090909090909</v>
      </c>
      <c r="L19" s="158">
        <f>'FS Jimbaran October 2021'!AA29/'FS Jimbaran October 2021'!V29</f>
        <v>7206.5363547040042</v>
      </c>
      <c r="M19" s="149">
        <f>+'RNs &amp; Covers October 2021'!B23</f>
        <v>49</v>
      </c>
      <c r="N19" s="149">
        <f>+'RNs &amp; Covers October 2021'!C23</f>
        <v>301</v>
      </c>
    </row>
    <row r="20" spans="1:14">
      <c r="A20" s="146" t="s">
        <v>14</v>
      </c>
      <c r="B20" s="147">
        <f t="shared" si="0"/>
        <v>19</v>
      </c>
      <c r="C20" s="148">
        <v>10</v>
      </c>
      <c r="D20" s="147">
        <v>2021</v>
      </c>
      <c r="E20" s="149">
        <f>'FS Jimbaran October 2021'!P30</f>
        <v>18719.999999999942</v>
      </c>
      <c r="F20" s="158">
        <f>'FS Jimbaran October 2021'!O30/'FS Jimbaran October 2021'!P30</f>
        <v>1181.1045817307711</v>
      </c>
      <c r="G20" s="149">
        <f>'FS Jimbaran October 2021'!AG30</f>
        <v>174</v>
      </c>
      <c r="H20" s="158">
        <f>'FS Jimbaran October 2021'!AH30/'FS Jimbaran October 2021'!AG30</f>
        <v>15235.632183908046</v>
      </c>
      <c r="I20" s="149">
        <f>'FS Jimbaran October 2021'!AJ30</f>
        <v>412</v>
      </c>
      <c r="J20" s="150">
        <f>'FS Jimbaran October 2021'!AK30/'FS Jimbaran October 2021'!AJ30</f>
        <v>11100</v>
      </c>
      <c r="K20" s="149">
        <f>'FS Jimbaran October 2021'!V30</f>
        <v>845.92207792207796</v>
      </c>
      <c r="L20" s="158">
        <f>'FS Jimbaran October 2021'!AA30/'FS Jimbaran October 2021'!V30</f>
        <v>7206.5363547040033</v>
      </c>
      <c r="M20" s="149">
        <f>+'RNs &amp; Covers October 2021'!B24</f>
        <v>20</v>
      </c>
      <c r="N20" s="149">
        <f>+'RNs &amp; Covers October 2021'!C24</f>
        <v>239</v>
      </c>
    </row>
    <row r="21" spans="1:14">
      <c r="A21" s="146" t="s">
        <v>14</v>
      </c>
      <c r="B21" s="147">
        <f t="shared" si="0"/>
        <v>20</v>
      </c>
      <c r="C21" s="148">
        <v>10</v>
      </c>
      <c r="D21" s="147">
        <v>2021</v>
      </c>
      <c r="E21" s="149">
        <f>'FS Jimbaran October 2021'!P31</f>
        <v>16820.00000000012</v>
      </c>
      <c r="F21" s="158">
        <f>'FS Jimbaran October 2021'!O31/'FS Jimbaran October 2021'!P31</f>
        <v>1181.9715410225924</v>
      </c>
      <c r="G21" s="149">
        <f>'FS Jimbaran October 2021'!AG31</f>
        <v>112</v>
      </c>
      <c r="H21" s="158">
        <f>'FS Jimbaran October 2021'!AH31/'FS Jimbaran October 2021'!AG31</f>
        <v>15370.535714285714</v>
      </c>
      <c r="I21" s="149">
        <f>'FS Jimbaran October 2021'!AJ31</f>
        <v>268</v>
      </c>
      <c r="J21" s="150">
        <f>'FS Jimbaran October 2021'!AK31/'FS Jimbaran October 2021'!AJ31</f>
        <v>11100</v>
      </c>
      <c r="K21" s="149">
        <f>'FS Jimbaran October 2021'!V31</f>
        <v>549.84935064935064</v>
      </c>
      <c r="L21" s="158">
        <f>'FS Jimbaran October 2021'!AA31/'FS Jimbaran October 2021'!V31</f>
        <v>7206.5363547040051</v>
      </c>
      <c r="M21" s="149">
        <f>+'RNs &amp; Covers October 2021'!B25</f>
        <v>13</v>
      </c>
      <c r="N21" s="149">
        <f>+'RNs &amp; Covers October 2021'!C25</f>
        <v>129</v>
      </c>
    </row>
    <row r="22" spans="1:14">
      <c r="A22" s="146" t="s">
        <v>14</v>
      </c>
      <c r="B22" s="147">
        <f t="shared" si="0"/>
        <v>21</v>
      </c>
      <c r="C22" s="148">
        <v>10</v>
      </c>
      <c r="D22" s="147">
        <v>2021</v>
      </c>
      <c r="E22" s="149">
        <f>'FS Jimbaran October 2021'!P32</f>
        <v>16559.999999999945</v>
      </c>
      <c r="F22" s="158">
        <f>'FS Jimbaran October 2021'!O32/'FS Jimbaran October 2021'!P32</f>
        <v>1182.7969619565215</v>
      </c>
      <c r="G22" s="149">
        <f>'FS Jimbaran October 2021'!AG32</f>
        <v>174</v>
      </c>
      <c r="H22" s="158">
        <f>'FS Jimbaran October 2021'!AH32/'FS Jimbaran October 2021'!AG32</f>
        <v>15235.632183908046</v>
      </c>
      <c r="I22" s="149">
        <f>'FS Jimbaran October 2021'!AJ32</f>
        <v>186</v>
      </c>
      <c r="J22" s="150">
        <f>'FS Jimbaran October 2021'!AK32/'FS Jimbaran October 2021'!AJ32</f>
        <v>11100</v>
      </c>
      <c r="K22" s="149">
        <f>'FS Jimbaran October 2021'!V32</f>
        <v>380.66493506493509</v>
      </c>
      <c r="L22" s="158">
        <f>'FS Jimbaran October 2021'!AA32/'FS Jimbaran October 2021'!V32</f>
        <v>7206.5363547040042</v>
      </c>
      <c r="M22" s="149">
        <f>+'RNs &amp; Covers October 2021'!B26</f>
        <v>9</v>
      </c>
      <c r="N22" s="149">
        <f>+'RNs &amp; Covers October 2021'!C26</f>
        <v>167</v>
      </c>
    </row>
    <row r="23" spans="1:14">
      <c r="A23" s="146" t="s">
        <v>14</v>
      </c>
      <c r="B23" s="147">
        <f t="shared" si="0"/>
        <v>22</v>
      </c>
      <c r="C23" s="148">
        <v>10</v>
      </c>
      <c r="D23" s="147">
        <v>2021</v>
      </c>
      <c r="E23" s="149">
        <f>'FS Jimbaran October 2021'!P33</f>
        <v>15300.000000000011</v>
      </c>
      <c r="F23" s="158">
        <f>'FS Jimbaran October 2021'!O33/'FS Jimbaran October 2021'!P33</f>
        <v>1178.5551647058824</v>
      </c>
      <c r="G23" s="149">
        <f>'FS Jimbaran October 2021'!AG33</f>
        <v>112</v>
      </c>
      <c r="H23" s="158">
        <f>'FS Jimbaran October 2021'!AH33/'FS Jimbaran October 2021'!AG33</f>
        <v>15370.535714285714</v>
      </c>
      <c r="I23" s="149">
        <f>'FS Jimbaran October 2021'!AJ33</f>
        <v>226</v>
      </c>
      <c r="J23" s="150">
        <f>'FS Jimbaran October 2021'!AK33/'FS Jimbaran October 2021'!AJ33</f>
        <v>11100</v>
      </c>
      <c r="K23" s="149">
        <f>'FS Jimbaran October 2021'!V33</f>
        <v>465.62857142857143</v>
      </c>
      <c r="L23" s="158">
        <f>'FS Jimbaran October 2021'!AA33/'FS Jimbaran October 2021'!V33</f>
        <v>7200.7877523470579</v>
      </c>
      <c r="M23" s="149">
        <f>+'RNs &amp; Covers October 2021'!B27</f>
        <v>11</v>
      </c>
      <c r="N23" s="149">
        <f>+'RNs &amp; Covers October 2021'!C27</f>
        <v>135</v>
      </c>
    </row>
    <row r="24" spans="1:14">
      <c r="A24" s="146" t="s">
        <v>14</v>
      </c>
      <c r="B24" s="147">
        <f t="shared" si="0"/>
        <v>23</v>
      </c>
      <c r="C24" s="148">
        <v>10</v>
      </c>
      <c r="D24" s="147">
        <v>2021</v>
      </c>
      <c r="E24" s="149">
        <f>'FS Jimbaran October 2021'!P34</f>
        <v>15159.999999999798</v>
      </c>
      <c r="F24" s="158">
        <f>'FS Jimbaran October 2021'!O34/'FS Jimbaran October 2021'!P34</f>
        <v>1182.9823753298156</v>
      </c>
      <c r="G24" s="149">
        <f>'FS Jimbaran October 2021'!AG34</f>
        <v>112</v>
      </c>
      <c r="H24" s="158">
        <f>'FS Jimbaran October 2021'!AH34/'FS Jimbaran October 2021'!AG34</f>
        <v>15370.535714285714</v>
      </c>
      <c r="I24" s="149">
        <f>'FS Jimbaran October 2021'!AJ34</f>
        <v>269</v>
      </c>
      <c r="J24" s="150">
        <f>'FS Jimbaran October 2021'!AK34/'FS Jimbaran October 2021'!AJ34</f>
        <v>11100</v>
      </c>
      <c r="K24" s="149">
        <f>'FS Jimbaran October 2021'!V34</f>
        <v>549.84935064935064</v>
      </c>
      <c r="L24" s="158">
        <f>'FS Jimbaran October 2021'!AA34/'FS Jimbaran October 2021'!V34</f>
        <v>7206.5363547040051</v>
      </c>
      <c r="M24" s="149">
        <f>+'RNs &amp; Covers October 2021'!B28</f>
        <v>13</v>
      </c>
      <c r="N24" s="149">
        <f>+'RNs &amp; Covers October 2021'!C28</f>
        <v>99</v>
      </c>
    </row>
    <row r="25" spans="1:14">
      <c r="A25" s="146" t="s">
        <v>14</v>
      </c>
      <c r="B25" s="147">
        <f t="shared" si="0"/>
        <v>24</v>
      </c>
      <c r="C25" s="148">
        <v>10</v>
      </c>
      <c r="D25" s="147">
        <v>2021</v>
      </c>
      <c r="E25" s="149">
        <f>'FS Jimbaran October 2021'!P35</f>
        <v>14840.000000000429</v>
      </c>
      <c r="F25" s="158">
        <f>'FS Jimbaran October 2021'!O35/'FS Jimbaran October 2021'!P35</f>
        <v>1180.6426273584889</v>
      </c>
      <c r="G25" s="149">
        <f>'FS Jimbaran October 2021'!AG35</f>
        <v>112</v>
      </c>
      <c r="H25" s="158">
        <f>'FS Jimbaran October 2021'!AH35/'FS Jimbaran October 2021'!AG35</f>
        <v>15370.535714285714</v>
      </c>
      <c r="I25" s="149">
        <f>'FS Jimbaran October 2021'!AJ35</f>
        <v>244</v>
      </c>
      <c r="J25" s="150">
        <f>'FS Jimbaran October 2021'!AK35/'FS Jimbaran October 2021'!AJ35</f>
        <v>11100</v>
      </c>
      <c r="K25" s="149">
        <f>'FS Jimbaran October 2021'!V35</f>
        <v>296.07272727272726</v>
      </c>
      <c r="L25" s="158">
        <f>'FS Jimbaran October 2021'!AA35/'FS Jimbaran October 2021'!V35</f>
        <v>7206.5363547040051</v>
      </c>
      <c r="M25" s="149">
        <f>+'RNs &amp; Covers October 2021'!B29</f>
        <v>7</v>
      </c>
      <c r="N25" s="149">
        <f>+'RNs &amp; Covers October 2021'!C29</f>
        <v>95</v>
      </c>
    </row>
    <row r="26" spans="1:14">
      <c r="A26" s="146" t="s">
        <v>14</v>
      </c>
      <c r="B26" s="147">
        <f>B25+1</f>
        <v>25</v>
      </c>
      <c r="C26" s="148">
        <v>10</v>
      </c>
      <c r="D26" s="147">
        <v>2021</v>
      </c>
      <c r="E26" s="149">
        <f>'FS Jimbaran October 2021'!P36</f>
        <v>14979.999999999918</v>
      </c>
      <c r="F26" s="158">
        <f>'FS Jimbaran October 2021'!O36/'FS Jimbaran October 2021'!P36</f>
        <v>1182.6768364485974</v>
      </c>
      <c r="G26" s="149">
        <f>'FS Jimbaran October 2021'!AG36</f>
        <v>62</v>
      </c>
      <c r="H26" s="158">
        <f>'FS Jimbaran October 2021'!AH36/'FS Jimbaran October 2021'!AG36</f>
        <v>14991.935483870968</v>
      </c>
      <c r="I26" s="149">
        <f>'FS Jimbaran October 2021'!AJ36</f>
        <v>267.7</v>
      </c>
      <c r="J26" s="150">
        <f>'FS Jimbaran October 2021'!AK36/'FS Jimbaran October 2021'!AJ36</f>
        <v>11100</v>
      </c>
      <c r="K26" s="149">
        <f>'FS Jimbaran October 2021'!V36</f>
        <v>549.28831168831175</v>
      </c>
      <c r="L26" s="158">
        <f>'FS Jimbaran October 2021'!AA36/'FS Jimbaran October 2021'!V36</f>
        <v>7213.8970568764307</v>
      </c>
      <c r="M26" s="149">
        <f>+'RNs &amp; Covers October 2021'!B30</f>
        <v>13</v>
      </c>
      <c r="N26" s="149">
        <f>+'RNs &amp; Covers October 2021'!C30</f>
        <v>56</v>
      </c>
    </row>
    <row r="27" spans="1:14">
      <c r="A27" s="146" t="s">
        <v>14</v>
      </c>
      <c r="B27" s="147">
        <f t="shared" si="0"/>
        <v>26</v>
      </c>
      <c r="C27" s="148">
        <v>10</v>
      </c>
      <c r="D27" s="147">
        <v>2021</v>
      </c>
      <c r="E27" s="149">
        <f>'FS Jimbaran October 2021'!P37</f>
        <v>14140</v>
      </c>
      <c r="F27" s="158">
        <f>'FS Jimbaran October 2021'!O37/'FS Jimbaran October 2021'!P37</f>
        <v>1186.7885198019824</v>
      </c>
      <c r="G27" s="149">
        <f>'FS Jimbaran October 2021'!AG37</f>
        <v>62</v>
      </c>
      <c r="H27" s="158">
        <f>'FS Jimbaran October 2021'!AH37/'FS Jimbaran October 2021'!AG37</f>
        <v>14991.935483870968</v>
      </c>
      <c r="I27" s="149">
        <f>'FS Jimbaran October 2021'!AJ37</f>
        <v>62</v>
      </c>
      <c r="J27" s="150">
        <f>'FS Jimbaran October 2021'!AK37/'FS Jimbaran October 2021'!AJ37</f>
        <v>11100</v>
      </c>
      <c r="K27" s="149">
        <f>'FS Jimbaran October 2021'!V37</f>
        <v>126.88831168831169</v>
      </c>
      <c r="L27" s="158">
        <f>'FS Jimbaran October 2021'!AA37/'FS Jimbaran October 2021'!V37</f>
        <v>7206.5363547040042</v>
      </c>
      <c r="M27" s="149">
        <f>+'RNs &amp; Covers October 2021'!B31</f>
        <v>3</v>
      </c>
      <c r="N27" s="149">
        <f>+'RNs &amp; Covers October 2021'!C31</f>
        <v>57</v>
      </c>
    </row>
    <row r="28" spans="1:14">
      <c r="A28" s="146" t="s">
        <v>14</v>
      </c>
      <c r="B28" s="147">
        <f t="shared" si="0"/>
        <v>27</v>
      </c>
      <c r="C28" s="148">
        <v>10</v>
      </c>
      <c r="D28" s="147">
        <v>2021</v>
      </c>
      <c r="E28" s="149">
        <f>'FS Jimbaran October 2021'!P38</f>
        <v>14319.999999999794</v>
      </c>
      <c r="F28" s="158">
        <f>'FS Jimbaran October 2021'!O38/'FS Jimbaran October 2021'!P38</f>
        <v>1173.3897381284917</v>
      </c>
      <c r="G28" s="149">
        <f>'FS Jimbaran October 2021'!AG38</f>
        <v>62</v>
      </c>
      <c r="H28" s="158">
        <f>'FS Jimbaran October 2021'!AH38/'FS Jimbaran October 2021'!AG38</f>
        <v>14991.935483870968</v>
      </c>
      <c r="I28" s="149">
        <f>'FS Jimbaran October 2021'!AJ38</f>
        <v>63</v>
      </c>
      <c r="J28" s="150">
        <f>'FS Jimbaran October 2021'!AK38/'FS Jimbaran October 2021'!AJ38</f>
        <v>11100</v>
      </c>
      <c r="K28" s="149">
        <f>'FS Jimbaran October 2021'!V38</f>
        <v>125.98961038961039</v>
      </c>
      <c r="L28" s="158">
        <f>'FS Jimbaran October 2021'!AA38/'FS Jimbaran October 2021'!V38</f>
        <v>7257.9415742382389</v>
      </c>
      <c r="M28" s="149">
        <f>+'RNs &amp; Covers October 2021'!B32</f>
        <v>3</v>
      </c>
      <c r="N28" s="149">
        <f>+'RNs &amp; Covers October 2021'!C32</f>
        <v>55</v>
      </c>
    </row>
    <row r="29" spans="1:14">
      <c r="A29" s="146" t="s">
        <v>14</v>
      </c>
      <c r="B29" s="147">
        <f t="shared" si="0"/>
        <v>28</v>
      </c>
      <c r="C29" s="148">
        <v>10</v>
      </c>
      <c r="D29" s="147">
        <v>2021</v>
      </c>
      <c r="E29" s="149">
        <f>'FS Jimbaran October 2021'!P39</f>
        <v>14299.99999999984</v>
      </c>
      <c r="F29" s="158">
        <f>'FS Jimbaran October 2021'!O39/'FS Jimbaran October 2021'!P39</f>
        <v>1181.8756825174821</v>
      </c>
      <c r="G29" s="149">
        <f>'FS Jimbaran October 2021'!AG39</f>
        <v>62</v>
      </c>
      <c r="H29" s="158">
        <f>'FS Jimbaran October 2021'!AH39/'FS Jimbaran October 2021'!AG39</f>
        <v>14991.935483870968</v>
      </c>
      <c r="I29" s="149">
        <f>'FS Jimbaran October 2021'!AJ39</f>
        <v>20</v>
      </c>
      <c r="J29" s="150">
        <f>'FS Jimbaran October 2021'!AK39/'FS Jimbaran October 2021'!AJ39</f>
        <v>11100</v>
      </c>
      <c r="K29" s="149">
        <f>'FS Jimbaran October 2021'!V39</f>
        <v>42.296103896103894</v>
      </c>
      <c r="L29" s="158">
        <f>'FS Jimbaran October 2021'!AA39/'FS Jimbaran October 2021'!V39</f>
        <v>7206.5363547040042</v>
      </c>
      <c r="M29" s="149">
        <f>+'RNs &amp; Covers October 2021'!B33</f>
        <v>1</v>
      </c>
      <c r="N29" s="149">
        <f>+'RNs &amp; Covers October 2021'!C33</f>
        <v>62</v>
      </c>
    </row>
    <row r="30" spans="1:14">
      <c r="A30" s="146" t="s">
        <v>14</v>
      </c>
      <c r="B30" s="147">
        <f t="shared" si="0"/>
        <v>29</v>
      </c>
      <c r="C30" s="148">
        <v>10</v>
      </c>
      <c r="D30" s="147">
        <v>2021</v>
      </c>
      <c r="E30" s="149">
        <f>'FS Jimbaran October 2021'!P40</f>
        <v>14680.000000000049</v>
      </c>
      <c r="F30" s="158">
        <f>'FS Jimbaran October 2021'!O40/'FS Jimbaran October 2021'!P40</f>
        <v>1180.1753521798378</v>
      </c>
      <c r="G30" s="149">
        <f>'FS Jimbaran October 2021'!AG40</f>
        <v>62</v>
      </c>
      <c r="H30" s="158">
        <f>'FS Jimbaran October 2021'!AH40/'FS Jimbaran October 2021'!AG40</f>
        <v>14991.935483870968</v>
      </c>
      <c r="I30" s="149">
        <f>'FS Jimbaran October 2021'!AJ40</f>
        <v>103</v>
      </c>
      <c r="J30" s="150">
        <f>'FS Jimbaran October 2021'!AK40/'FS Jimbaran October 2021'!AJ40</f>
        <v>11100</v>
      </c>
      <c r="K30" s="149">
        <f>'FS Jimbaran October 2021'!V40</f>
        <v>211.48051948051949</v>
      </c>
      <c r="L30" s="158">
        <f>'FS Jimbaran October 2021'!AA40/'FS Jimbaran October 2021'!V40</f>
        <v>7206.5363547040033</v>
      </c>
      <c r="M30" s="149">
        <f>+'RNs &amp; Covers October 2021'!B34</f>
        <v>5</v>
      </c>
      <c r="N30" s="149">
        <f>+'RNs &amp; Covers October 2021'!C34</f>
        <v>40</v>
      </c>
    </row>
    <row r="31" spans="1:14">
      <c r="A31" s="146" t="s">
        <v>14</v>
      </c>
      <c r="B31" s="147">
        <f t="shared" si="0"/>
        <v>30</v>
      </c>
      <c r="C31" s="148">
        <v>10</v>
      </c>
      <c r="D31" s="147">
        <v>2021</v>
      </c>
      <c r="E31" s="149">
        <f>'FS Jimbaran October 2021'!P41</f>
        <v>14200</v>
      </c>
      <c r="F31" s="158">
        <f>'FS Jimbaran October 2021'!O41/'FS Jimbaran October 2021'!P41</f>
        <v>1181.0080267605638</v>
      </c>
      <c r="G31" s="149">
        <f>'FS Jimbaran October 2021'!AG41</f>
        <v>162</v>
      </c>
      <c r="H31" s="158">
        <f>'FS Jimbaran October 2021'!AH41/'FS Jimbaran October 2021'!AG41</f>
        <v>15515.432098765432</v>
      </c>
      <c r="I31" s="149">
        <f>'FS Jimbaran October 2021'!AJ41</f>
        <v>165</v>
      </c>
      <c r="J31" s="150">
        <f>'FS Jimbaran October 2021'!AK41/'FS Jimbaran October 2021'!AJ41</f>
        <v>11100</v>
      </c>
      <c r="K31" s="149">
        <f>'FS Jimbaran October 2021'!V41</f>
        <v>338.36883116883115</v>
      </c>
      <c r="L31" s="158">
        <f>'FS Jimbaran October 2021'!AA41/'FS Jimbaran October 2021'!V41</f>
        <v>7206.5363547040042</v>
      </c>
      <c r="M31" s="149">
        <f>+'RNs &amp; Covers October 2021'!B35</f>
        <v>8</v>
      </c>
      <c r="N31" s="149">
        <f>+'RNs &amp; Covers October 2021'!C35</f>
        <v>116</v>
      </c>
    </row>
    <row r="32" spans="1:14">
      <c r="A32" s="146" t="s">
        <v>14</v>
      </c>
      <c r="B32" s="147">
        <f t="shared" si="0"/>
        <v>31</v>
      </c>
      <c r="C32" s="148">
        <v>10</v>
      </c>
      <c r="D32" s="147">
        <v>2021</v>
      </c>
      <c r="E32" s="149">
        <f>'FS Jimbaran October 2021'!P42</f>
        <v>14280.000000000027</v>
      </c>
      <c r="F32" s="158">
        <f>'FS Jimbaran October 2021'!O42/'FS Jimbaran October 2021'!P42</f>
        <v>1183.5309705882366</v>
      </c>
      <c r="G32" s="149">
        <f>'FS Jimbaran October 2021'!AG42</f>
        <v>162</v>
      </c>
      <c r="H32" s="158">
        <f>'FS Jimbaran October 2021'!AH42/'FS Jimbaran October 2021'!AG42</f>
        <v>15515.432098765432</v>
      </c>
      <c r="I32" s="149">
        <f>'FS Jimbaran October 2021'!AJ42</f>
        <v>82</v>
      </c>
      <c r="J32" s="150">
        <f>'FS Jimbaran October 2021'!AK42/'FS Jimbaran October 2021'!AJ42</f>
        <v>11100</v>
      </c>
      <c r="K32" s="149">
        <f>'FS Jimbaran October 2021'!V42</f>
        <v>380.66493506493509</v>
      </c>
      <c r="L32" s="158">
        <f>'FS Jimbaran October 2021'!AA42/'FS Jimbaran October 2021'!V42</f>
        <v>7206.5363547040042</v>
      </c>
      <c r="M32" s="149">
        <f>+'RNs &amp; Covers October 2021'!B36</f>
        <v>9</v>
      </c>
      <c r="N32" s="149">
        <f>+'RNs &amp; Covers October 2021'!C36</f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62" zoomScaleNormal="62" workbookViewId="0">
      <pane xSplit="4" ySplit="10" topLeftCell="P37" activePane="bottomRight" state="frozen"/>
      <selection pane="bottomRight" activeCell="Y50" sqref="Y50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9" bestFit="1" customWidth="1"/>
    <col min="14" max="14" width="20.42578125" style="63" customWidth="1"/>
    <col min="15" max="15" width="18.85546875" customWidth="1"/>
    <col min="16" max="16" width="15.140625" style="63" customWidth="1"/>
    <col min="17" max="17" width="19.7109375" customWidth="1"/>
    <col min="18" max="18" width="18.140625" style="84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4" bestFit="1" customWidth="1"/>
    <col min="37" max="37" width="20.7109375" bestFit="1" customWidth="1"/>
    <col min="38" max="38" width="9.42578125" style="36" bestFit="1" customWidth="1"/>
    <col min="39" max="39" width="2.28515625" style="7" customWidth="1"/>
  </cols>
  <sheetData>
    <row r="5" spans="1:39">
      <c r="N5" s="159"/>
      <c r="X5" s="160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4"/>
      <c r="N6" s="60"/>
      <c r="P6" s="60"/>
      <c r="R6" s="80"/>
      <c r="AD6" s="31"/>
      <c r="AH6" s="31"/>
      <c r="AJ6" s="80"/>
      <c r="AL6" s="33"/>
    </row>
    <row r="7" spans="1:39" s="11" customFormat="1" ht="16.5" thickBot="1">
      <c r="A7" s="27"/>
      <c r="B7" s="238" t="s">
        <v>17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40"/>
      <c r="AM7" s="27"/>
    </row>
    <row r="8" spans="1:39" s="7" customFormat="1" ht="15.75" customHeight="1" thickBot="1">
      <c r="A8" s="24"/>
      <c r="B8" s="241" t="s">
        <v>18</v>
      </c>
      <c r="C8" s="244" t="s">
        <v>19</v>
      </c>
      <c r="D8" s="247" t="s">
        <v>13</v>
      </c>
      <c r="E8" s="250" t="s">
        <v>20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1"/>
      <c r="V8" s="252" t="s">
        <v>21</v>
      </c>
      <c r="W8" s="253"/>
      <c r="X8" s="253"/>
      <c r="Y8" s="253"/>
      <c r="Z8" s="253"/>
      <c r="AA8" s="253"/>
      <c r="AB8" s="254"/>
      <c r="AC8" s="255" t="s">
        <v>22</v>
      </c>
      <c r="AD8" s="255"/>
      <c r="AE8" s="255"/>
      <c r="AF8" s="255"/>
      <c r="AG8" s="255"/>
      <c r="AH8" s="255"/>
      <c r="AI8" s="255"/>
      <c r="AJ8" s="255"/>
      <c r="AK8" s="255"/>
      <c r="AL8" s="256"/>
      <c r="AM8" s="26"/>
    </row>
    <row r="9" spans="1:39" ht="15" customHeight="1" thickBot="1">
      <c r="B9" s="242"/>
      <c r="C9" s="245"/>
      <c r="D9" s="248"/>
      <c r="E9" s="257" t="s">
        <v>23</v>
      </c>
      <c r="F9" s="258"/>
      <c r="G9" s="258"/>
      <c r="H9" s="258"/>
      <c r="I9" s="259"/>
      <c r="J9" s="260" t="s">
        <v>24</v>
      </c>
      <c r="K9" s="260"/>
      <c r="L9" s="260"/>
      <c r="M9" s="260"/>
      <c r="N9" s="261"/>
      <c r="O9" s="247" t="s">
        <v>25</v>
      </c>
      <c r="P9" s="262" t="s">
        <v>26</v>
      </c>
      <c r="Q9" s="264" t="s">
        <v>27</v>
      </c>
      <c r="R9" s="230" t="s">
        <v>28</v>
      </c>
      <c r="S9" s="232" t="s">
        <v>29</v>
      </c>
      <c r="T9" s="234" t="s">
        <v>30</v>
      </c>
      <c r="U9" s="235"/>
      <c r="V9" s="48"/>
      <c r="W9" s="48" t="s">
        <v>31</v>
      </c>
      <c r="X9" s="48"/>
      <c r="Y9" s="49"/>
      <c r="Z9" s="202"/>
      <c r="AA9" s="236" t="s">
        <v>32</v>
      </c>
      <c r="AB9" s="237"/>
      <c r="AC9" s="255" t="s">
        <v>33</v>
      </c>
      <c r="AD9" s="255"/>
      <c r="AE9" s="255"/>
      <c r="AF9" s="255"/>
      <c r="AG9" s="255"/>
      <c r="AH9" s="255"/>
      <c r="AI9" s="256"/>
      <c r="AJ9" s="266" t="s">
        <v>34</v>
      </c>
      <c r="AK9" s="267"/>
      <c r="AL9" s="268"/>
    </row>
    <row r="10" spans="1:39" ht="61.5" customHeight="1" thickBot="1">
      <c r="A10" s="25"/>
      <c r="B10" s="243"/>
      <c r="C10" s="246"/>
      <c r="D10" s="249"/>
      <c r="E10" s="92" t="s">
        <v>35</v>
      </c>
      <c r="F10" s="78" t="s">
        <v>36</v>
      </c>
      <c r="G10" s="121" t="s">
        <v>37</v>
      </c>
      <c r="H10" s="16" t="s">
        <v>36</v>
      </c>
      <c r="I10" s="93" t="s">
        <v>38</v>
      </c>
      <c r="J10" s="92" t="s">
        <v>35</v>
      </c>
      <c r="K10" s="79" t="s">
        <v>36</v>
      </c>
      <c r="L10" s="121" t="s">
        <v>37</v>
      </c>
      <c r="M10" s="55" t="s">
        <v>36</v>
      </c>
      <c r="N10" s="87" t="s">
        <v>39</v>
      </c>
      <c r="O10" s="249"/>
      <c r="P10" s="263"/>
      <c r="Q10" s="265"/>
      <c r="R10" s="231"/>
      <c r="S10" s="233"/>
      <c r="T10" s="162" t="s">
        <v>40</v>
      </c>
      <c r="U10" s="21" t="s">
        <v>41</v>
      </c>
      <c r="V10" s="163" t="s">
        <v>42</v>
      </c>
      <c r="W10" s="50" t="s">
        <v>43</v>
      </c>
      <c r="X10" s="50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115" t="s">
        <v>47</v>
      </c>
      <c r="AD10" s="43" t="s">
        <v>48</v>
      </c>
      <c r="AE10" s="42" t="s">
        <v>49</v>
      </c>
      <c r="AF10" s="42" t="s">
        <v>50</v>
      </c>
      <c r="AG10" s="42" t="s">
        <v>51</v>
      </c>
      <c r="AH10" s="43" t="s">
        <v>40</v>
      </c>
      <c r="AI10" s="44" t="s">
        <v>41</v>
      </c>
      <c r="AJ10" s="128" t="s">
        <v>52</v>
      </c>
      <c r="AK10" s="42" t="s">
        <v>40</v>
      </c>
      <c r="AL10" s="46" t="s">
        <v>41</v>
      </c>
      <c r="AM10" s="25"/>
    </row>
    <row r="11" spans="1:39">
      <c r="A11" s="25"/>
      <c r="B11" s="52"/>
      <c r="C11" s="94"/>
      <c r="D11" s="164"/>
      <c r="E11" s="165"/>
      <c r="F11" s="85"/>
      <c r="G11" s="17"/>
      <c r="H11" s="18"/>
      <c r="I11" s="95"/>
      <c r="J11" s="86"/>
      <c r="K11" s="17"/>
      <c r="L11" s="18"/>
      <c r="M11" s="56"/>
      <c r="N11" s="88"/>
      <c r="O11" s="51"/>
      <c r="P11" s="100"/>
      <c r="Q11" s="166"/>
      <c r="R11" s="103"/>
      <c r="S11" s="167"/>
      <c r="T11" s="167"/>
      <c r="U11" s="201"/>
      <c r="V11" s="86"/>
      <c r="W11" s="17"/>
      <c r="X11" s="17"/>
      <c r="Y11" s="19"/>
      <c r="Z11" s="19"/>
      <c r="AA11" s="19"/>
      <c r="AB11" s="95"/>
      <c r="AC11" s="116"/>
      <c r="AD11" s="40"/>
      <c r="AE11" s="37"/>
      <c r="AF11" s="37"/>
      <c r="AG11" s="37"/>
      <c r="AH11" s="40"/>
      <c r="AI11" s="41"/>
      <c r="AJ11" s="129"/>
      <c r="AK11" s="37"/>
      <c r="AL11" s="45"/>
      <c r="AM11" s="25"/>
    </row>
    <row r="12" spans="1:39">
      <c r="A12" s="30"/>
      <c r="B12" s="53">
        <v>1</v>
      </c>
      <c r="C12" s="137">
        <v>11</v>
      </c>
      <c r="D12" s="138">
        <v>91</v>
      </c>
      <c r="E12" s="97">
        <v>9760.0000000002183</v>
      </c>
      <c r="F12" s="2">
        <v>10614673.440000238</v>
      </c>
      <c r="G12" s="32">
        <v>2000</v>
      </c>
      <c r="H12" s="2">
        <v>3262707</v>
      </c>
      <c r="I12" s="96">
        <f>F12+H12</f>
        <v>13877380.440000238</v>
      </c>
      <c r="J12" s="97">
        <v>1160.000000000025</v>
      </c>
      <c r="K12" s="2">
        <v>1261580.0400000273</v>
      </c>
      <c r="L12" s="168">
        <v>299.99999999999716</v>
      </c>
      <c r="M12" s="169">
        <v>489406.04999999545</v>
      </c>
      <c r="N12" s="89">
        <f>+K12+M12</f>
        <v>1750986.0900000227</v>
      </c>
      <c r="O12" s="98">
        <f>N12+I12</f>
        <v>15628366.53000026</v>
      </c>
      <c r="P12" s="101">
        <f>L12+J12+G12+E12</f>
        <v>13220.00000000024</v>
      </c>
      <c r="Q12" s="123"/>
      <c r="R12" s="183"/>
      <c r="S12" s="195"/>
      <c r="T12" s="192"/>
      <c r="U12" s="191">
        <v>0</v>
      </c>
      <c r="V12" s="170">
        <f>Y12+W12</f>
        <v>465.25714285714287</v>
      </c>
      <c r="W12" s="2">
        <v>87.628571428571433</v>
      </c>
      <c r="X12" s="2">
        <v>1575276.7999999998</v>
      </c>
      <c r="Y12" s="28">
        <v>377.62857142857143</v>
      </c>
      <c r="Z12" s="28">
        <v>1777615.7142857146</v>
      </c>
      <c r="AA12" s="28">
        <f t="shared" ref="AA12:AA39" si="0">Z12+X12</f>
        <v>3352892.5142857144</v>
      </c>
      <c r="AB12" s="117">
        <f t="shared" ref="AB12:AB41" si="1">AA12/$AL$47</f>
        <v>258.39004771743373</v>
      </c>
      <c r="AC12" s="122">
        <v>0</v>
      </c>
      <c r="AD12" s="2">
        <v>0</v>
      </c>
      <c r="AE12" s="2">
        <v>100</v>
      </c>
      <c r="AF12" s="2">
        <v>12</v>
      </c>
      <c r="AG12" s="2">
        <f t="shared" ref="AG12:AG31" si="2">+AE12+AF12</f>
        <v>112</v>
      </c>
      <c r="AH12" s="2">
        <v>1555500</v>
      </c>
      <c r="AI12" s="38">
        <f t="shared" ref="AI12:AI41" si="3">AH12/$AL$47</f>
        <v>119.87432269659043</v>
      </c>
      <c r="AJ12" s="130">
        <v>226</v>
      </c>
      <c r="AK12" s="2">
        <v>2508600</v>
      </c>
      <c r="AL12" s="34">
        <f t="shared" ref="AL12:AL41" si="4">AK12/$AL$47</f>
        <v>193.32479968927467</v>
      </c>
      <c r="AM12" s="6"/>
    </row>
    <row r="13" spans="1:39">
      <c r="A13" s="30"/>
      <c r="B13" s="53">
        <v>2</v>
      </c>
      <c r="C13" s="137">
        <v>7</v>
      </c>
      <c r="D13" s="138">
        <v>118</v>
      </c>
      <c r="E13" s="97">
        <v>10119.999999999891</v>
      </c>
      <c r="F13" s="2">
        <v>11006198.27999988</v>
      </c>
      <c r="G13" s="32">
        <v>2039.9999999999636</v>
      </c>
      <c r="H13" s="2">
        <v>3327961.139999941</v>
      </c>
      <c r="I13" s="96">
        <f t="shared" ref="I13:I41" si="5">F13+H13</f>
        <v>14334159.419999821</v>
      </c>
      <c r="J13" s="97">
        <v>1240.0000000000091</v>
      </c>
      <c r="K13" s="2">
        <v>1348585.5600000101</v>
      </c>
      <c r="L13" s="168">
        <v>340.00000000000341</v>
      </c>
      <c r="M13" s="169">
        <v>554660.19000000553</v>
      </c>
      <c r="N13" s="89">
        <f t="shared" ref="N13:N41" si="6">+K13+M13</f>
        <v>1903245.7500000156</v>
      </c>
      <c r="O13" s="98">
        <f t="shared" ref="O13:O39" si="7">N13+I13</f>
        <v>16237405.169999836</v>
      </c>
      <c r="P13" s="101">
        <f t="shared" ref="P13:P39" si="8">L13+J13+G13+E13</f>
        <v>13739.999999999867</v>
      </c>
      <c r="Q13" s="173"/>
      <c r="R13" s="184"/>
      <c r="S13" s="195"/>
      <c r="T13" s="192"/>
      <c r="U13" s="191">
        <v>0</v>
      </c>
      <c r="V13" s="170">
        <f t="shared" ref="V13:V41" si="9">Y13+W13</f>
        <v>296.07272727272726</v>
      </c>
      <c r="W13" s="2">
        <v>55.763636363636365</v>
      </c>
      <c r="X13" s="2">
        <v>1002448.8727272727</v>
      </c>
      <c r="Y13" s="28">
        <v>240.30909090909091</v>
      </c>
      <c r="Z13" s="28">
        <v>1131210.0000000002</v>
      </c>
      <c r="AA13" s="28">
        <f t="shared" si="0"/>
        <v>2133658.872727273</v>
      </c>
      <c r="AB13" s="117">
        <f t="shared" si="1"/>
        <v>164.43003036563965</v>
      </c>
      <c r="AC13" s="122">
        <v>0</v>
      </c>
      <c r="AD13" s="2">
        <v>0</v>
      </c>
      <c r="AE13" s="2">
        <v>100</v>
      </c>
      <c r="AF13" s="2">
        <v>12</v>
      </c>
      <c r="AG13" s="2">
        <f t="shared" si="2"/>
        <v>112</v>
      </c>
      <c r="AH13" s="2">
        <v>1555500</v>
      </c>
      <c r="AI13" s="38">
        <f t="shared" si="3"/>
        <v>119.87432269659043</v>
      </c>
      <c r="AJ13" s="130">
        <v>145</v>
      </c>
      <c r="AK13" s="2">
        <v>1609500</v>
      </c>
      <c r="AL13" s="34">
        <f t="shared" si="4"/>
        <v>124.03582280949038</v>
      </c>
      <c r="AM13" s="6"/>
    </row>
    <row r="14" spans="1:39">
      <c r="A14" s="30"/>
      <c r="B14" s="53">
        <v>3</v>
      </c>
      <c r="C14" s="137">
        <v>5</v>
      </c>
      <c r="D14" s="138">
        <v>114</v>
      </c>
      <c r="E14" s="97">
        <v>9920.0000000000728</v>
      </c>
      <c r="F14" s="2">
        <v>10788684.480000081</v>
      </c>
      <c r="G14" s="32">
        <v>1919.9999999999591</v>
      </c>
      <c r="H14" s="2">
        <v>3132198.7199999336</v>
      </c>
      <c r="I14" s="96">
        <f t="shared" si="5"/>
        <v>13920883.200000014</v>
      </c>
      <c r="J14" s="97">
        <v>1420.0000000000159</v>
      </c>
      <c r="K14" s="2">
        <v>1544347.9800000172</v>
      </c>
      <c r="L14" s="168">
        <v>340.00000000000341</v>
      </c>
      <c r="M14" s="169">
        <v>554660.19000000553</v>
      </c>
      <c r="N14" s="89">
        <f t="shared" si="6"/>
        <v>2099008.1700000227</v>
      </c>
      <c r="O14" s="98">
        <f t="shared" si="7"/>
        <v>16019891.370000036</v>
      </c>
      <c r="P14" s="101">
        <f t="shared" si="8"/>
        <v>13600.000000000051</v>
      </c>
      <c r="Q14" s="173"/>
      <c r="R14" s="184"/>
      <c r="S14" s="195"/>
      <c r="T14" s="192"/>
      <c r="U14" s="191">
        <v>0</v>
      </c>
      <c r="V14" s="170">
        <f t="shared" si="9"/>
        <v>211.48051948051949</v>
      </c>
      <c r="W14" s="2">
        <v>39.831168831168831</v>
      </c>
      <c r="X14" s="2">
        <v>716034.90909090906</v>
      </c>
      <c r="Y14" s="28">
        <v>171.64935064935065</v>
      </c>
      <c r="Z14" s="28">
        <v>808007.14285714296</v>
      </c>
      <c r="AA14" s="28">
        <f t="shared" si="0"/>
        <v>1524042.0519480519</v>
      </c>
      <c r="AB14" s="117">
        <f t="shared" si="1"/>
        <v>117.45002168974258</v>
      </c>
      <c r="AC14" s="122">
        <v>0</v>
      </c>
      <c r="AD14" s="2">
        <v>0</v>
      </c>
      <c r="AE14" s="2">
        <v>100</v>
      </c>
      <c r="AF14" s="2">
        <v>12</v>
      </c>
      <c r="AG14" s="2">
        <f t="shared" si="2"/>
        <v>112</v>
      </c>
      <c r="AH14" s="2">
        <v>1555500</v>
      </c>
      <c r="AI14" s="38">
        <f t="shared" si="3"/>
        <v>119.87432269659043</v>
      </c>
      <c r="AJ14" s="130">
        <v>103</v>
      </c>
      <c r="AK14" s="2">
        <v>1143300</v>
      </c>
      <c r="AL14" s="34">
        <f t="shared" si="4"/>
        <v>88.108205168120747</v>
      </c>
      <c r="AM14" s="6"/>
    </row>
    <row r="15" spans="1:39">
      <c r="A15" s="30"/>
      <c r="B15" s="53">
        <v>4</v>
      </c>
      <c r="C15" s="137">
        <v>5</v>
      </c>
      <c r="D15" s="138">
        <v>56</v>
      </c>
      <c r="E15" s="97">
        <v>9919.999999999618</v>
      </c>
      <c r="F15" s="2">
        <v>10788684.479999585</v>
      </c>
      <c r="G15" s="32">
        <v>2080.0000000000409</v>
      </c>
      <c r="H15" s="2">
        <v>3393215.2800000673</v>
      </c>
      <c r="I15" s="96">
        <f t="shared" si="5"/>
        <v>14181899.759999651</v>
      </c>
      <c r="J15" s="97">
        <v>1119.9999999999477</v>
      </c>
      <c r="K15" s="2">
        <v>1218077.2799999432</v>
      </c>
      <c r="L15" s="168">
        <v>299.99999999999716</v>
      </c>
      <c r="M15" s="169">
        <v>489406.04999999545</v>
      </c>
      <c r="N15" s="89">
        <f t="shared" si="6"/>
        <v>1707483.3299999386</v>
      </c>
      <c r="O15" s="98">
        <f t="shared" si="7"/>
        <v>15889383.08999959</v>
      </c>
      <c r="P15" s="101">
        <f t="shared" si="8"/>
        <v>13419.999999999603</v>
      </c>
      <c r="Q15" s="173"/>
      <c r="R15" s="184"/>
      <c r="S15" s="195"/>
      <c r="T15" s="192"/>
      <c r="U15" s="191">
        <v>0</v>
      </c>
      <c r="V15" s="170">
        <f t="shared" si="9"/>
        <v>210.64935064935065</v>
      </c>
      <c r="W15" s="2">
        <v>39</v>
      </c>
      <c r="X15" s="2">
        <v>716034.90909090906</v>
      </c>
      <c r="Y15" s="28">
        <v>171.64935064935065</v>
      </c>
      <c r="Z15" s="28">
        <v>808007.14285714296</v>
      </c>
      <c r="AA15" s="28">
        <f t="shared" si="0"/>
        <v>1524042.0519480519</v>
      </c>
      <c r="AB15" s="117">
        <f t="shared" si="1"/>
        <v>117.45002168974258</v>
      </c>
      <c r="AC15" s="122">
        <v>0</v>
      </c>
      <c r="AD15" s="2">
        <v>0</v>
      </c>
      <c r="AE15" s="2">
        <v>50</v>
      </c>
      <c r="AF15" s="2">
        <v>12</v>
      </c>
      <c r="AG15" s="2">
        <f t="shared" si="2"/>
        <v>62</v>
      </c>
      <c r="AH15" s="2">
        <v>846500</v>
      </c>
      <c r="AI15" s="38">
        <f t="shared" si="3"/>
        <v>65.235367510552095</v>
      </c>
      <c r="AJ15" s="130">
        <v>104</v>
      </c>
      <c r="AK15" s="2">
        <v>1154400</v>
      </c>
      <c r="AL15" s="34">
        <f t="shared" si="4"/>
        <v>88.963624635772405</v>
      </c>
      <c r="AM15" s="6"/>
    </row>
    <row r="16" spans="1:39">
      <c r="A16" s="30"/>
      <c r="B16" s="53">
        <v>5</v>
      </c>
      <c r="C16" s="137">
        <v>4</v>
      </c>
      <c r="D16" s="138">
        <v>76</v>
      </c>
      <c r="E16" s="97">
        <v>9680.000000000291</v>
      </c>
      <c r="F16" s="2">
        <v>10527667.920000317</v>
      </c>
      <c r="G16" s="32">
        <v>1960.0000000000364</v>
      </c>
      <c r="H16" s="2">
        <v>3197452.8600000595</v>
      </c>
      <c r="I16" s="96">
        <f t="shared" si="5"/>
        <v>13725120.780000376</v>
      </c>
      <c r="J16" s="97">
        <v>1120.0000000000045</v>
      </c>
      <c r="K16" s="2">
        <v>1218077.2800000052</v>
      </c>
      <c r="L16" s="168">
        <v>320.00000000000739</v>
      </c>
      <c r="M16" s="169">
        <v>522033.1200000121</v>
      </c>
      <c r="N16" s="89">
        <f t="shared" si="6"/>
        <v>1740110.4000000171</v>
      </c>
      <c r="O16" s="98">
        <f t="shared" si="7"/>
        <v>15465231.180000393</v>
      </c>
      <c r="P16" s="101">
        <f t="shared" si="8"/>
        <v>13080.000000000338</v>
      </c>
      <c r="Q16" s="173"/>
      <c r="R16" s="184"/>
      <c r="S16" s="195"/>
      <c r="T16" s="192"/>
      <c r="U16" s="191">
        <v>0</v>
      </c>
      <c r="V16" s="170">
        <f t="shared" si="9"/>
        <v>169.18441558441558</v>
      </c>
      <c r="W16" s="2">
        <v>31.864935064935064</v>
      </c>
      <c r="X16" s="2">
        <v>572827.92727272725</v>
      </c>
      <c r="Y16" s="28">
        <v>137.31948051948052</v>
      </c>
      <c r="Z16" s="28">
        <v>646405.71428571432</v>
      </c>
      <c r="AA16" s="28">
        <f t="shared" si="0"/>
        <v>1219233.6415584416</v>
      </c>
      <c r="AB16" s="117">
        <f t="shared" si="1"/>
        <v>93.960017351794079</v>
      </c>
      <c r="AC16" s="122">
        <v>0</v>
      </c>
      <c r="AD16" s="2">
        <v>0</v>
      </c>
      <c r="AE16" s="2">
        <v>100</v>
      </c>
      <c r="AF16" s="2">
        <v>12</v>
      </c>
      <c r="AG16" s="2">
        <f t="shared" si="2"/>
        <v>112</v>
      </c>
      <c r="AH16" s="2">
        <v>1555500</v>
      </c>
      <c r="AI16" s="38">
        <f t="shared" si="3"/>
        <v>119.87432269659043</v>
      </c>
      <c r="AJ16" s="130">
        <v>82</v>
      </c>
      <c r="AK16" s="2">
        <v>910200</v>
      </c>
      <c r="AL16" s="34">
        <f t="shared" si="4"/>
        <v>70.144396347435944</v>
      </c>
      <c r="AM16" s="6"/>
    </row>
    <row r="17" spans="1:39">
      <c r="A17" s="30"/>
      <c r="B17" s="53">
        <v>6</v>
      </c>
      <c r="C17" s="137">
        <v>2</v>
      </c>
      <c r="D17" s="138">
        <v>92</v>
      </c>
      <c r="E17" s="97">
        <v>9719.9999999997999</v>
      </c>
      <c r="F17" s="2">
        <v>10571170.679999784</v>
      </c>
      <c r="G17" s="32">
        <v>1799.9999999999545</v>
      </c>
      <c r="H17" s="2">
        <v>2936436.2999999262</v>
      </c>
      <c r="I17" s="96">
        <f t="shared" si="5"/>
        <v>13507606.97999971</v>
      </c>
      <c r="J17" s="97">
        <v>1260.0000000000477</v>
      </c>
      <c r="K17" s="2">
        <v>1370336.9400000519</v>
      </c>
      <c r="L17" s="168">
        <v>359.99999999999943</v>
      </c>
      <c r="M17" s="169">
        <v>587287.25999999908</v>
      </c>
      <c r="N17" s="89">
        <f t="shared" si="6"/>
        <v>1957624.2000000509</v>
      </c>
      <c r="O17" s="98">
        <f t="shared" si="7"/>
        <v>15465231.179999761</v>
      </c>
      <c r="P17" s="101">
        <f t="shared" si="8"/>
        <v>13139.999999999802</v>
      </c>
      <c r="Q17" s="173"/>
      <c r="R17" s="184"/>
      <c r="S17" s="195"/>
      <c r="T17" s="192"/>
      <c r="U17" s="191">
        <v>0</v>
      </c>
      <c r="V17" s="170">
        <f t="shared" si="9"/>
        <v>84.592207792207788</v>
      </c>
      <c r="W17" s="2">
        <v>15.932467532467532</v>
      </c>
      <c r="X17" s="2">
        <v>286413.96363636362</v>
      </c>
      <c r="Y17" s="28">
        <v>68.659740259740261</v>
      </c>
      <c r="Z17" s="28">
        <v>323202.85714285716</v>
      </c>
      <c r="AA17" s="28">
        <f t="shared" si="0"/>
        <v>609616.82077922078</v>
      </c>
      <c r="AB17" s="117">
        <f t="shared" si="1"/>
        <v>46.980008675897039</v>
      </c>
      <c r="AC17" s="122">
        <v>0</v>
      </c>
      <c r="AD17" s="2">
        <v>0</v>
      </c>
      <c r="AE17" s="2">
        <v>100</v>
      </c>
      <c r="AF17" s="2">
        <v>12</v>
      </c>
      <c r="AG17" s="2">
        <f t="shared" si="2"/>
        <v>112</v>
      </c>
      <c r="AH17" s="2">
        <v>1555500</v>
      </c>
      <c r="AI17" s="38">
        <f t="shared" si="3"/>
        <v>119.87432269659043</v>
      </c>
      <c r="AJ17" s="130">
        <v>42</v>
      </c>
      <c r="AK17" s="2">
        <v>466200</v>
      </c>
      <c r="AL17" s="34">
        <f t="shared" si="4"/>
        <v>35.927617641369629</v>
      </c>
      <c r="AM17" s="6"/>
    </row>
    <row r="18" spans="1:39">
      <c r="A18" s="30"/>
      <c r="B18" s="53">
        <v>7</v>
      </c>
      <c r="C18" s="137">
        <v>6</v>
      </c>
      <c r="D18" s="138">
        <v>113</v>
      </c>
      <c r="E18" s="97">
        <v>9760.0000000002183</v>
      </c>
      <c r="F18" s="2">
        <v>10614673.440000238</v>
      </c>
      <c r="G18" s="32">
        <v>2000</v>
      </c>
      <c r="H18" s="2">
        <v>3262707</v>
      </c>
      <c r="I18" s="96">
        <f t="shared" si="5"/>
        <v>13877380.440000238</v>
      </c>
      <c r="J18" s="97">
        <v>1359.9999999999568</v>
      </c>
      <c r="K18" s="2">
        <v>1479093.8399999528</v>
      </c>
      <c r="L18" s="168">
        <v>439.99999999999773</v>
      </c>
      <c r="M18" s="169">
        <v>717795.53999999643</v>
      </c>
      <c r="N18" s="89">
        <f t="shared" si="6"/>
        <v>2196889.3799999491</v>
      </c>
      <c r="O18" s="98">
        <f t="shared" si="7"/>
        <v>16074269.820000187</v>
      </c>
      <c r="P18" s="101">
        <f t="shared" si="8"/>
        <v>13560.000000000173</v>
      </c>
      <c r="Q18" s="173"/>
      <c r="R18" s="184"/>
      <c r="S18" s="195"/>
      <c r="T18" s="192"/>
      <c r="U18" s="191">
        <v>0</v>
      </c>
      <c r="V18" s="170">
        <f t="shared" si="9"/>
        <v>253.77662337662338</v>
      </c>
      <c r="W18" s="2">
        <v>47.797402597402595</v>
      </c>
      <c r="X18" s="2">
        <v>859241.89090909087</v>
      </c>
      <c r="Y18" s="28">
        <v>205.97922077922078</v>
      </c>
      <c r="Z18" s="28">
        <v>969608.57142857148</v>
      </c>
      <c r="AA18" s="28">
        <f t="shared" si="0"/>
        <v>1828850.4623376625</v>
      </c>
      <c r="AB18" s="117">
        <f t="shared" si="1"/>
        <v>140.94002602769112</v>
      </c>
      <c r="AC18" s="122">
        <v>0</v>
      </c>
      <c r="AD18" s="2">
        <v>0</v>
      </c>
      <c r="AE18" s="2">
        <v>100</v>
      </c>
      <c r="AF18" s="2">
        <v>12</v>
      </c>
      <c r="AG18" s="2">
        <f t="shared" si="2"/>
        <v>112</v>
      </c>
      <c r="AH18" s="2">
        <v>1555500</v>
      </c>
      <c r="AI18" s="38">
        <f t="shared" si="3"/>
        <v>119.87432269659043</v>
      </c>
      <c r="AJ18" s="130">
        <v>123</v>
      </c>
      <c r="AK18" s="2">
        <v>1365300</v>
      </c>
      <c r="AL18" s="34">
        <f t="shared" si="4"/>
        <v>105.21659452115391</v>
      </c>
      <c r="AM18" s="6"/>
    </row>
    <row r="19" spans="1:39">
      <c r="A19" s="30"/>
      <c r="B19" s="53">
        <v>8</v>
      </c>
      <c r="C19" s="137">
        <v>17</v>
      </c>
      <c r="D19" s="138">
        <v>113</v>
      </c>
      <c r="E19" s="97">
        <v>9880.0000000001091</v>
      </c>
      <c r="F19" s="2">
        <v>10745181.720000118</v>
      </c>
      <c r="G19" s="32">
        <v>2080.0000000000409</v>
      </c>
      <c r="H19" s="2">
        <v>3393215.2800000673</v>
      </c>
      <c r="I19" s="96">
        <f t="shared" si="5"/>
        <v>14138397.000000186</v>
      </c>
      <c r="J19" s="97">
        <v>1220.0000000000273</v>
      </c>
      <c r="K19" s="2">
        <v>1326834.1800000297</v>
      </c>
      <c r="L19" s="168">
        <v>319.99999999999318</v>
      </c>
      <c r="M19" s="169">
        <v>522033.11999998894</v>
      </c>
      <c r="N19" s="89">
        <f t="shared" si="6"/>
        <v>1848867.3000000187</v>
      </c>
      <c r="O19" s="98">
        <f t="shared" si="7"/>
        <v>15987264.300000206</v>
      </c>
      <c r="P19" s="101">
        <f t="shared" si="8"/>
        <v>13500.000000000171</v>
      </c>
      <c r="Q19" s="173"/>
      <c r="R19" s="184"/>
      <c r="S19" s="195"/>
      <c r="T19" s="192"/>
      <c r="U19" s="191">
        <v>0</v>
      </c>
      <c r="V19" s="170">
        <f t="shared" si="9"/>
        <v>719.0337662337663</v>
      </c>
      <c r="W19" s="2">
        <v>135.42597402597403</v>
      </c>
      <c r="X19" s="2">
        <v>2434518.6909090909</v>
      </c>
      <c r="Y19" s="28">
        <v>583.60779220779227</v>
      </c>
      <c r="Z19" s="28">
        <v>2747224.2857142864</v>
      </c>
      <c r="AA19" s="28">
        <f t="shared" si="0"/>
        <v>5181742.9766233768</v>
      </c>
      <c r="AB19" s="117">
        <f t="shared" si="1"/>
        <v>399.33007374512482</v>
      </c>
      <c r="AC19" s="122">
        <v>0</v>
      </c>
      <c r="AD19" s="2">
        <v>0</v>
      </c>
      <c r="AE19" s="2">
        <v>100</v>
      </c>
      <c r="AF19" s="2">
        <v>12</v>
      </c>
      <c r="AG19" s="2">
        <f t="shared" si="2"/>
        <v>112</v>
      </c>
      <c r="AH19" s="2">
        <v>1555500</v>
      </c>
      <c r="AI19" s="38">
        <f t="shared" si="3"/>
        <v>119.87432269659043</v>
      </c>
      <c r="AJ19" s="130">
        <v>351</v>
      </c>
      <c r="AK19" s="2">
        <v>3896100</v>
      </c>
      <c r="AL19" s="34">
        <f t="shared" si="4"/>
        <v>300.25223314573185</v>
      </c>
      <c r="AM19" s="6"/>
    </row>
    <row r="20" spans="1:39">
      <c r="A20" s="30"/>
      <c r="B20" s="53">
        <v>9</v>
      </c>
      <c r="C20" s="137">
        <v>14</v>
      </c>
      <c r="D20" s="138">
        <v>131</v>
      </c>
      <c r="E20" s="97">
        <v>10719.9999999998</v>
      </c>
      <c r="F20" s="2">
        <v>11658739.679999784</v>
      </c>
      <c r="G20" s="32">
        <v>2240.0000000000091</v>
      </c>
      <c r="H20" s="2">
        <v>3654231.8400000152</v>
      </c>
      <c r="I20" s="96">
        <f t="shared" si="5"/>
        <v>15312971.519999798</v>
      </c>
      <c r="J20" s="97">
        <v>1319.9999999999932</v>
      </c>
      <c r="K20" s="2">
        <v>1435591.0799999926</v>
      </c>
      <c r="L20" s="168">
        <v>380.00000000000966</v>
      </c>
      <c r="M20" s="169">
        <v>619914.33000001579</v>
      </c>
      <c r="N20" s="89">
        <f t="shared" si="6"/>
        <v>2055505.4100000085</v>
      </c>
      <c r="O20" s="98">
        <f t="shared" si="7"/>
        <v>17368476.929999806</v>
      </c>
      <c r="P20" s="101">
        <f t="shared" si="8"/>
        <v>14659.999999999811</v>
      </c>
      <c r="Q20" s="173"/>
      <c r="R20" s="184"/>
      <c r="S20" s="195"/>
      <c r="T20" s="192"/>
      <c r="U20" s="191">
        <v>0</v>
      </c>
      <c r="V20" s="170">
        <f t="shared" si="9"/>
        <v>592.14545454545453</v>
      </c>
      <c r="W20" s="2">
        <v>111.52727272727273</v>
      </c>
      <c r="X20" s="2">
        <v>2004897.7454545454</v>
      </c>
      <c r="Y20" s="28">
        <v>480.61818181818182</v>
      </c>
      <c r="Z20" s="28">
        <v>2262420.0000000005</v>
      </c>
      <c r="AA20" s="28">
        <f t="shared" si="0"/>
        <v>4267317.7454545461</v>
      </c>
      <c r="AB20" s="117">
        <f t="shared" si="1"/>
        <v>328.8600607312793</v>
      </c>
      <c r="AC20" s="122">
        <v>0</v>
      </c>
      <c r="AD20" s="2">
        <v>0</v>
      </c>
      <c r="AE20" s="2">
        <v>100</v>
      </c>
      <c r="AF20" s="2">
        <v>12</v>
      </c>
      <c r="AG20" s="2">
        <f t="shared" si="2"/>
        <v>112</v>
      </c>
      <c r="AH20" s="2">
        <v>1555500</v>
      </c>
      <c r="AI20" s="38">
        <f t="shared" si="3"/>
        <v>119.87432269659043</v>
      </c>
      <c r="AJ20" s="130">
        <v>289</v>
      </c>
      <c r="AK20" s="2">
        <v>3207900</v>
      </c>
      <c r="AL20" s="34">
        <f t="shared" si="4"/>
        <v>247.2162261513291</v>
      </c>
      <c r="AM20" s="6"/>
    </row>
    <row r="21" spans="1:39">
      <c r="A21" s="30"/>
      <c r="B21" s="53">
        <v>10</v>
      </c>
      <c r="C21" s="137">
        <v>9</v>
      </c>
      <c r="D21" s="138">
        <v>172</v>
      </c>
      <c r="E21" s="97">
        <v>11039.999999999964</v>
      </c>
      <c r="F21" s="2">
        <v>12006761.759999961</v>
      </c>
      <c r="G21" s="32">
        <v>2199.9999999999318</v>
      </c>
      <c r="H21" s="2">
        <v>3588977.6999998894</v>
      </c>
      <c r="I21" s="96">
        <f t="shared" si="5"/>
        <v>15595739.45999985</v>
      </c>
      <c r="J21" s="97">
        <v>1259.9999999999909</v>
      </c>
      <c r="K21" s="2">
        <v>1370336.9399999902</v>
      </c>
      <c r="L21" s="168">
        <v>339.9999999999892</v>
      </c>
      <c r="M21" s="169">
        <v>554660.18999998248</v>
      </c>
      <c r="N21" s="89">
        <f t="shared" si="6"/>
        <v>1924997.1299999726</v>
      </c>
      <c r="O21" s="98">
        <f t="shared" si="7"/>
        <v>17520736.589999821</v>
      </c>
      <c r="P21" s="101">
        <f t="shared" si="8"/>
        <v>14839.999999999876</v>
      </c>
      <c r="Q21" s="173"/>
      <c r="R21" s="184"/>
      <c r="S21" s="195"/>
      <c r="T21" s="192"/>
      <c r="U21" s="191">
        <v>0</v>
      </c>
      <c r="V21" s="170">
        <f t="shared" si="9"/>
        <v>380.66493506493509</v>
      </c>
      <c r="W21" s="2">
        <v>71.696103896103892</v>
      </c>
      <c r="X21" s="2">
        <v>1288862.8363636364</v>
      </c>
      <c r="Y21" s="28">
        <v>308.96883116883117</v>
      </c>
      <c r="Z21" s="28">
        <v>1454412.8571428573</v>
      </c>
      <c r="AA21" s="28">
        <f t="shared" si="0"/>
        <v>2743275.6935064937</v>
      </c>
      <c r="AB21" s="117">
        <f t="shared" si="1"/>
        <v>211.41003904153669</v>
      </c>
      <c r="AC21" s="122">
        <v>0</v>
      </c>
      <c r="AD21" s="2">
        <v>0</v>
      </c>
      <c r="AE21" s="2">
        <v>150</v>
      </c>
      <c r="AF21" s="2">
        <v>12</v>
      </c>
      <c r="AG21" s="2">
        <f t="shared" si="2"/>
        <v>162</v>
      </c>
      <c r="AH21" s="2">
        <v>2264500</v>
      </c>
      <c r="AI21" s="38">
        <f t="shared" si="3"/>
        <v>174.51327788262873</v>
      </c>
      <c r="AJ21" s="130">
        <v>186</v>
      </c>
      <c r="AK21" s="2">
        <v>2064600</v>
      </c>
      <c r="AL21" s="34">
        <f t="shared" si="4"/>
        <v>159.10802098320835</v>
      </c>
      <c r="AM21" s="6"/>
    </row>
    <row r="22" spans="1:39">
      <c r="A22" s="30"/>
      <c r="B22" s="53">
        <v>11</v>
      </c>
      <c r="C22" s="137">
        <v>6</v>
      </c>
      <c r="D22" s="138">
        <v>63</v>
      </c>
      <c r="E22" s="97">
        <v>8200</v>
      </c>
      <c r="F22" s="2">
        <v>8918065.8000000007</v>
      </c>
      <c r="G22" s="32">
        <v>2040.0000000000773</v>
      </c>
      <c r="H22" s="2">
        <v>3327961.1400001268</v>
      </c>
      <c r="I22" s="96">
        <f t="shared" si="5"/>
        <v>12246026.940000128</v>
      </c>
      <c r="J22" s="97">
        <v>1199.9999999999886</v>
      </c>
      <c r="K22" s="2">
        <v>1305082.7999999875</v>
      </c>
      <c r="L22" s="168">
        <v>320.00000000000739</v>
      </c>
      <c r="M22" s="169">
        <v>522033.1200000121</v>
      </c>
      <c r="N22" s="89">
        <f t="shared" si="6"/>
        <v>1827115.9199999995</v>
      </c>
      <c r="O22" s="98">
        <f t="shared" si="7"/>
        <v>14073142.860000128</v>
      </c>
      <c r="P22" s="101">
        <f t="shared" si="8"/>
        <v>11760.000000000073</v>
      </c>
      <c r="Q22" s="173"/>
      <c r="R22" s="184"/>
      <c r="S22" s="195"/>
      <c r="T22" s="192"/>
      <c r="U22" s="191">
        <v>0</v>
      </c>
      <c r="V22" s="170">
        <f t="shared" si="9"/>
        <v>253.77662337662338</v>
      </c>
      <c r="W22" s="2">
        <v>47.797402597402595</v>
      </c>
      <c r="X22" s="2">
        <v>859241.89090909087</v>
      </c>
      <c r="Y22" s="28">
        <v>205.97922077922078</v>
      </c>
      <c r="Z22" s="28">
        <v>969608.57142857148</v>
      </c>
      <c r="AA22" s="28">
        <f t="shared" si="0"/>
        <v>1828850.4623376625</v>
      </c>
      <c r="AB22" s="117">
        <f t="shared" si="1"/>
        <v>140.94002602769112</v>
      </c>
      <c r="AC22" s="122">
        <v>0</v>
      </c>
      <c r="AD22" s="2">
        <v>0</v>
      </c>
      <c r="AE22" s="2">
        <v>50</v>
      </c>
      <c r="AF22" s="2">
        <v>12</v>
      </c>
      <c r="AG22" s="2">
        <f t="shared" si="2"/>
        <v>62</v>
      </c>
      <c r="AH22" s="2">
        <v>846500</v>
      </c>
      <c r="AI22" s="38">
        <f t="shared" si="3"/>
        <v>65.235367510552095</v>
      </c>
      <c r="AJ22" s="130">
        <v>124</v>
      </c>
      <c r="AK22" s="2">
        <v>1376400</v>
      </c>
      <c r="AL22" s="34">
        <f t="shared" si="4"/>
        <v>106.07201398880557</v>
      </c>
      <c r="AM22" s="6"/>
    </row>
    <row r="23" spans="1:39">
      <c r="A23" s="30"/>
      <c r="B23" s="53">
        <v>12</v>
      </c>
      <c r="C23" s="137">
        <v>5</v>
      </c>
      <c r="D23" s="138">
        <v>65</v>
      </c>
      <c r="E23" s="97">
        <v>12840.000000000146</v>
      </c>
      <c r="F23" s="2">
        <v>13964385.960000157</v>
      </c>
      <c r="G23" s="32">
        <v>2079.9999999999272</v>
      </c>
      <c r="H23" s="2">
        <v>3393215.2799998815</v>
      </c>
      <c r="I23" s="96">
        <f t="shared" si="5"/>
        <v>17357601.240000039</v>
      </c>
      <c r="J23" s="97">
        <v>1439.9999999999977</v>
      </c>
      <c r="K23" s="2">
        <v>1566099.3599999975</v>
      </c>
      <c r="L23" s="168">
        <v>379.99999999999545</v>
      </c>
      <c r="M23" s="169">
        <v>619914.32999999262</v>
      </c>
      <c r="N23" s="89">
        <f t="shared" si="6"/>
        <v>2186013.6899999902</v>
      </c>
      <c r="O23" s="98">
        <f t="shared" si="7"/>
        <v>19543614.93000003</v>
      </c>
      <c r="P23" s="101">
        <f t="shared" si="8"/>
        <v>16740.000000000065</v>
      </c>
      <c r="Q23" s="173"/>
      <c r="R23" s="184"/>
      <c r="S23" s="195"/>
      <c r="T23" s="192"/>
      <c r="U23" s="191">
        <v>0</v>
      </c>
      <c r="V23" s="170">
        <f t="shared" si="9"/>
        <v>211.48051948051949</v>
      </c>
      <c r="W23" s="2">
        <v>39.831168831168831</v>
      </c>
      <c r="X23" s="2">
        <v>716034.90909090906</v>
      </c>
      <c r="Y23" s="28">
        <v>171.64935064935065</v>
      </c>
      <c r="Z23" s="28">
        <v>808007.14285714296</v>
      </c>
      <c r="AA23" s="28">
        <f t="shared" si="0"/>
        <v>1524042.0519480519</v>
      </c>
      <c r="AB23" s="117">
        <f t="shared" si="1"/>
        <v>117.45002168974258</v>
      </c>
      <c r="AC23" s="122">
        <v>0</v>
      </c>
      <c r="AD23" s="2">
        <v>0</v>
      </c>
      <c r="AE23" s="2">
        <v>50</v>
      </c>
      <c r="AF23" s="2">
        <v>12</v>
      </c>
      <c r="AG23" s="2">
        <f t="shared" si="2"/>
        <v>62</v>
      </c>
      <c r="AH23" s="2">
        <v>846500</v>
      </c>
      <c r="AI23" s="38">
        <f t="shared" si="3"/>
        <v>65.235367510552095</v>
      </c>
      <c r="AJ23" s="130">
        <v>103</v>
      </c>
      <c r="AK23" s="2">
        <v>1143300</v>
      </c>
      <c r="AL23" s="34">
        <f t="shared" si="4"/>
        <v>88.108205168120747</v>
      </c>
      <c r="AM23" s="6"/>
    </row>
    <row r="24" spans="1:39">
      <c r="A24" s="30"/>
      <c r="B24" s="53">
        <v>13</v>
      </c>
      <c r="C24" s="137">
        <v>8</v>
      </c>
      <c r="D24" s="138">
        <v>106</v>
      </c>
      <c r="E24" s="97">
        <v>10599.999999999909</v>
      </c>
      <c r="F24" s="2">
        <v>11528231.399999902</v>
      </c>
      <c r="G24" s="32">
        <v>2320.00000000005</v>
      </c>
      <c r="H24" s="2">
        <v>3784740.1200000816</v>
      </c>
      <c r="I24" s="96">
        <f t="shared" si="5"/>
        <v>15312971.519999983</v>
      </c>
      <c r="J24" s="97">
        <v>1400.0000000000341</v>
      </c>
      <c r="K24" s="2">
        <v>1522596.6000000371</v>
      </c>
      <c r="L24" s="168">
        <v>320.00000000000739</v>
      </c>
      <c r="M24" s="169">
        <v>522033.1200000121</v>
      </c>
      <c r="N24" s="89">
        <f t="shared" si="6"/>
        <v>2044629.7200000491</v>
      </c>
      <c r="O24" s="98">
        <f t="shared" si="7"/>
        <v>17357601.240000032</v>
      </c>
      <c r="P24" s="101">
        <f t="shared" si="8"/>
        <v>14640</v>
      </c>
      <c r="Q24" s="173"/>
      <c r="R24" s="184"/>
      <c r="S24" s="195"/>
      <c r="T24" s="192"/>
      <c r="U24" s="191">
        <v>0</v>
      </c>
      <c r="V24" s="170">
        <f>Y24+W24</f>
        <v>338.36883116883115</v>
      </c>
      <c r="W24" s="2">
        <v>63.729870129870129</v>
      </c>
      <c r="X24" s="2">
        <v>1145655.8545454545</v>
      </c>
      <c r="Y24" s="28">
        <v>274.63896103896104</v>
      </c>
      <c r="Z24" s="28">
        <v>1292811.4285714286</v>
      </c>
      <c r="AA24" s="28">
        <f t="shared" si="0"/>
        <v>2438467.2831168831</v>
      </c>
      <c r="AB24" s="117">
        <f t="shared" si="1"/>
        <v>187.92003470358816</v>
      </c>
      <c r="AC24" s="122">
        <v>0</v>
      </c>
      <c r="AD24" s="2">
        <v>0</v>
      </c>
      <c r="AE24" s="2">
        <v>100</v>
      </c>
      <c r="AF24" s="2">
        <v>12</v>
      </c>
      <c r="AG24" s="2">
        <f t="shared" si="2"/>
        <v>112</v>
      </c>
      <c r="AH24" s="2">
        <v>1555500</v>
      </c>
      <c r="AI24" s="38">
        <f t="shared" si="3"/>
        <v>119.87432269659043</v>
      </c>
      <c r="AJ24" s="130">
        <v>165</v>
      </c>
      <c r="AK24" s="2">
        <v>1831500</v>
      </c>
      <c r="AL24" s="34">
        <f t="shared" si="4"/>
        <v>141.14421216252353</v>
      </c>
      <c r="AM24" s="6"/>
    </row>
    <row r="25" spans="1:39">
      <c r="A25" s="30"/>
      <c r="B25" s="53">
        <v>14</v>
      </c>
      <c r="C25" s="137">
        <v>8</v>
      </c>
      <c r="D25" s="138">
        <v>85</v>
      </c>
      <c r="E25" s="97">
        <v>11079.999999999927</v>
      </c>
      <c r="F25" s="2">
        <v>12050264.519999921</v>
      </c>
      <c r="G25" s="32">
        <v>2279.9999999999727</v>
      </c>
      <c r="H25" s="2">
        <v>3719485.9799999557</v>
      </c>
      <c r="I25" s="96">
        <f t="shared" si="5"/>
        <v>15769750.499999877</v>
      </c>
      <c r="J25" s="97">
        <v>1339.999999999975</v>
      </c>
      <c r="K25" s="2">
        <v>1457342.459999973</v>
      </c>
      <c r="L25" s="168">
        <v>319.99999999999318</v>
      </c>
      <c r="M25" s="169">
        <v>522033.11999998894</v>
      </c>
      <c r="N25" s="89">
        <f t="shared" si="6"/>
        <v>1979375.5799999619</v>
      </c>
      <c r="O25" s="98">
        <f t="shared" si="7"/>
        <v>17749126.079999838</v>
      </c>
      <c r="P25" s="101">
        <f t="shared" si="8"/>
        <v>15019.999999999869</v>
      </c>
      <c r="Q25" s="173"/>
      <c r="R25" s="184"/>
      <c r="S25" s="195"/>
      <c r="T25" s="192"/>
      <c r="U25" s="191">
        <v>0</v>
      </c>
      <c r="V25" s="170">
        <f t="shared" si="9"/>
        <v>340.63896103896104</v>
      </c>
      <c r="W25" s="2">
        <v>66</v>
      </c>
      <c r="X25" s="2">
        <v>1145655.8545454545</v>
      </c>
      <c r="Y25" s="28">
        <v>274.63896103896104</v>
      </c>
      <c r="Z25" s="28">
        <v>1292811.4285714286</v>
      </c>
      <c r="AA25" s="28">
        <f t="shared" si="0"/>
        <v>2438467.2831168831</v>
      </c>
      <c r="AB25" s="117">
        <f t="shared" si="1"/>
        <v>187.92003470358816</v>
      </c>
      <c r="AC25" s="122">
        <v>0</v>
      </c>
      <c r="AD25" s="2">
        <v>0</v>
      </c>
      <c r="AE25" s="2">
        <v>50</v>
      </c>
      <c r="AF25" s="2">
        <v>12</v>
      </c>
      <c r="AG25" s="2">
        <f t="shared" si="2"/>
        <v>62</v>
      </c>
      <c r="AH25" s="2">
        <v>929500</v>
      </c>
      <c r="AI25" s="38">
        <f t="shared" si="3"/>
        <v>71.631747313713149</v>
      </c>
      <c r="AJ25" s="130">
        <v>167</v>
      </c>
      <c r="AK25" s="2">
        <v>1853700</v>
      </c>
      <c r="AL25" s="34">
        <f t="shared" si="4"/>
        <v>142.85505109782684</v>
      </c>
      <c r="AM25" s="6"/>
    </row>
    <row r="26" spans="1:39">
      <c r="A26" s="30"/>
      <c r="B26" s="53">
        <v>15</v>
      </c>
      <c r="C26" s="137">
        <v>16</v>
      </c>
      <c r="D26" s="138">
        <v>117</v>
      </c>
      <c r="E26" s="97">
        <v>12039.999999999964</v>
      </c>
      <c r="F26" s="2">
        <v>13094330.759999961</v>
      </c>
      <c r="G26" s="32">
        <v>2680.0000000000637</v>
      </c>
      <c r="H26" s="2">
        <v>4372027.3800001042</v>
      </c>
      <c r="I26" s="96">
        <f t="shared" si="5"/>
        <v>17466358.140000064</v>
      </c>
      <c r="J26" s="97">
        <v>1519.9999999999818</v>
      </c>
      <c r="K26" s="2">
        <v>1653104.8799999803</v>
      </c>
      <c r="L26" s="168">
        <v>480.00000000000398</v>
      </c>
      <c r="M26" s="169">
        <v>783049.68000000657</v>
      </c>
      <c r="N26" s="89">
        <f t="shared" si="6"/>
        <v>2436154.559999987</v>
      </c>
      <c r="O26" s="98">
        <f t="shared" si="7"/>
        <v>19902512.700000051</v>
      </c>
      <c r="P26" s="101">
        <f t="shared" si="8"/>
        <v>16720.000000000015</v>
      </c>
      <c r="Q26" s="173"/>
      <c r="R26" s="184"/>
      <c r="S26" s="195"/>
      <c r="T26" s="192"/>
      <c r="U26" s="191">
        <v>0</v>
      </c>
      <c r="V26" s="170">
        <f t="shared" si="9"/>
        <v>676.7376623376623</v>
      </c>
      <c r="W26" s="2">
        <v>127.45974025974026</v>
      </c>
      <c r="X26" s="2">
        <v>2291311.709090909</v>
      </c>
      <c r="Y26" s="28">
        <v>549.27792207792209</v>
      </c>
      <c r="Z26" s="28">
        <v>2585622.8571428573</v>
      </c>
      <c r="AA26" s="28">
        <f t="shared" si="0"/>
        <v>4876934.5662337663</v>
      </c>
      <c r="AB26" s="117">
        <f t="shared" si="1"/>
        <v>375.84006940717632</v>
      </c>
      <c r="AC26" s="122">
        <v>0</v>
      </c>
      <c r="AD26" s="2">
        <v>0</v>
      </c>
      <c r="AE26" s="2">
        <v>100</v>
      </c>
      <c r="AF26" s="2">
        <v>12</v>
      </c>
      <c r="AG26" s="2">
        <f t="shared" si="2"/>
        <v>112</v>
      </c>
      <c r="AH26" s="2">
        <v>1721500</v>
      </c>
      <c r="AI26" s="38">
        <f t="shared" si="3"/>
        <v>132.66708230291252</v>
      </c>
      <c r="AJ26" s="130">
        <v>330</v>
      </c>
      <c r="AK26" s="2">
        <v>3663000</v>
      </c>
      <c r="AL26" s="34">
        <f t="shared" si="4"/>
        <v>282.28842432504706</v>
      </c>
      <c r="AM26" s="6"/>
    </row>
    <row r="27" spans="1:39">
      <c r="A27" s="30"/>
      <c r="B27" s="53">
        <v>16</v>
      </c>
      <c r="C27" s="137">
        <v>45</v>
      </c>
      <c r="D27" s="138">
        <v>256</v>
      </c>
      <c r="E27" s="97">
        <v>12840.000000000146</v>
      </c>
      <c r="F27" s="2">
        <v>13964385.960000157</v>
      </c>
      <c r="G27" s="32">
        <v>3199.9999999999318</v>
      </c>
      <c r="H27" s="2">
        <v>5220331.1999998884</v>
      </c>
      <c r="I27" s="96">
        <f t="shared" si="5"/>
        <v>19184717.160000045</v>
      </c>
      <c r="J27" s="97">
        <v>1640.0000000000432</v>
      </c>
      <c r="K27" s="2">
        <v>1783613.1600000469</v>
      </c>
      <c r="L27" s="168">
        <v>459.99999999999375</v>
      </c>
      <c r="M27" s="169">
        <v>750422.60999998986</v>
      </c>
      <c r="N27" s="89">
        <f t="shared" si="6"/>
        <v>2534035.7700000368</v>
      </c>
      <c r="O27" s="98">
        <f t="shared" si="7"/>
        <v>21718752.930000082</v>
      </c>
      <c r="P27" s="101">
        <f t="shared" si="8"/>
        <v>18140.000000000116</v>
      </c>
      <c r="Q27" s="173" t="s">
        <v>53</v>
      </c>
      <c r="R27" s="173" t="s">
        <v>53</v>
      </c>
      <c r="S27" s="195"/>
      <c r="T27" s="192"/>
      <c r="U27" s="191">
        <v>0</v>
      </c>
      <c r="V27" s="170">
        <f t="shared" si="9"/>
        <v>1903.3246753246754</v>
      </c>
      <c r="W27" s="2">
        <v>358.48051948051949</v>
      </c>
      <c r="X27" s="2">
        <v>6444314.1818181816</v>
      </c>
      <c r="Y27" s="28">
        <v>1544.8441558441559</v>
      </c>
      <c r="Z27" s="28">
        <v>7272064.2857142864</v>
      </c>
      <c r="AA27" s="28">
        <f t="shared" si="0"/>
        <v>13716378.467532467</v>
      </c>
      <c r="AB27" s="117">
        <f t="shared" si="1"/>
        <v>1057.0501952076834</v>
      </c>
      <c r="AC27" s="122">
        <v>0</v>
      </c>
      <c r="AD27" s="2">
        <v>0</v>
      </c>
      <c r="AE27" s="2">
        <v>200</v>
      </c>
      <c r="AF27" s="2">
        <v>24</v>
      </c>
      <c r="AG27" s="2">
        <f t="shared" si="2"/>
        <v>224</v>
      </c>
      <c r="AH27" s="2">
        <v>3443000</v>
      </c>
      <c r="AI27" s="38">
        <f t="shared" si="3"/>
        <v>265.33416460582504</v>
      </c>
      <c r="AJ27" s="130">
        <v>929</v>
      </c>
      <c r="AK27" s="2">
        <v>10311900</v>
      </c>
      <c r="AL27" s="34">
        <f t="shared" si="4"/>
        <v>794.68468544839004</v>
      </c>
      <c r="AM27" s="6"/>
    </row>
    <row r="28" spans="1:39">
      <c r="A28" s="30"/>
      <c r="B28" s="53">
        <v>17</v>
      </c>
      <c r="C28" s="137">
        <v>53</v>
      </c>
      <c r="D28" s="138">
        <v>327</v>
      </c>
      <c r="E28" s="97">
        <v>13000</v>
      </c>
      <c r="F28" s="2">
        <v>14138397</v>
      </c>
      <c r="G28" s="32">
        <v>2800.0000000000682</v>
      </c>
      <c r="H28" s="2">
        <v>4567789.8000001116</v>
      </c>
      <c r="I28" s="96">
        <f t="shared" si="5"/>
        <v>18706186.800000113</v>
      </c>
      <c r="J28" s="97">
        <v>1379.9999999999955</v>
      </c>
      <c r="K28" s="2">
        <v>1500845.2199999951</v>
      </c>
      <c r="L28" s="168">
        <v>400.00000000000568</v>
      </c>
      <c r="M28" s="169">
        <v>652541.40000000934</v>
      </c>
      <c r="N28" s="89">
        <f t="shared" si="6"/>
        <v>2153386.6200000043</v>
      </c>
      <c r="O28" s="98">
        <f t="shared" si="7"/>
        <v>20859573.420000117</v>
      </c>
      <c r="P28" s="101">
        <f t="shared" si="8"/>
        <v>17580.000000000069</v>
      </c>
      <c r="Q28" s="174" t="s">
        <v>54</v>
      </c>
      <c r="R28" s="174" t="s">
        <v>54</v>
      </c>
      <c r="S28" s="195"/>
      <c r="T28" s="192"/>
      <c r="U28" s="191">
        <v>0</v>
      </c>
      <c r="V28" s="170">
        <f t="shared" si="9"/>
        <v>2241.6935064935064</v>
      </c>
      <c r="W28" s="2">
        <v>422.2103896103896</v>
      </c>
      <c r="X28" s="2">
        <v>7589970.0363636361</v>
      </c>
      <c r="Y28" s="28">
        <v>1819.483116883117</v>
      </c>
      <c r="Z28" s="28">
        <v>8564875.7142857146</v>
      </c>
      <c r="AA28" s="28">
        <f t="shared" si="0"/>
        <v>16154845.750649352</v>
      </c>
      <c r="AB28" s="117">
        <f t="shared" si="1"/>
        <v>1244.9702299112716</v>
      </c>
      <c r="AC28" s="122">
        <v>0</v>
      </c>
      <c r="AD28" s="2">
        <v>0</v>
      </c>
      <c r="AE28" s="2">
        <v>200</v>
      </c>
      <c r="AF28" s="2">
        <v>36</v>
      </c>
      <c r="AG28" s="2">
        <f t="shared" si="2"/>
        <v>236</v>
      </c>
      <c r="AH28" s="2">
        <v>3580500</v>
      </c>
      <c r="AI28" s="38">
        <f t="shared" si="3"/>
        <v>275.93057693033882</v>
      </c>
      <c r="AJ28" s="130">
        <v>1093</v>
      </c>
      <c r="AK28" s="2">
        <v>12132300</v>
      </c>
      <c r="AL28" s="34">
        <f t="shared" si="4"/>
        <v>934.9734781432619</v>
      </c>
      <c r="AM28" s="6"/>
    </row>
    <row r="29" spans="1:39">
      <c r="A29" s="30"/>
      <c r="B29" s="53">
        <v>18</v>
      </c>
      <c r="C29" s="137">
        <v>49</v>
      </c>
      <c r="D29" s="138">
        <v>301</v>
      </c>
      <c r="E29" s="97">
        <v>13440.000000000055</v>
      </c>
      <c r="F29" s="2">
        <v>14616927.360000061</v>
      </c>
      <c r="G29" s="32">
        <v>3359.9999999999</v>
      </c>
      <c r="H29" s="2">
        <v>5481347.7599998368</v>
      </c>
      <c r="I29" s="96">
        <f t="shared" si="5"/>
        <v>20098275.119999897</v>
      </c>
      <c r="J29" s="97">
        <v>1879.9999999999955</v>
      </c>
      <c r="K29" s="2">
        <v>2044629.7199999951</v>
      </c>
      <c r="L29" s="168">
        <v>480.00000000000398</v>
      </c>
      <c r="M29" s="169">
        <v>783049.68000000657</v>
      </c>
      <c r="N29" s="89">
        <f t="shared" si="6"/>
        <v>2827679.4000000018</v>
      </c>
      <c r="O29" s="98">
        <f t="shared" si="7"/>
        <v>22925954.519999899</v>
      </c>
      <c r="P29" s="101">
        <f t="shared" si="8"/>
        <v>19159.999999999956</v>
      </c>
      <c r="Q29" s="174"/>
      <c r="R29" s="187"/>
      <c r="S29" s="195"/>
      <c r="T29" s="192"/>
      <c r="U29" s="191">
        <v>0</v>
      </c>
      <c r="V29" s="170">
        <f t="shared" si="9"/>
        <v>2072.5090909090909</v>
      </c>
      <c r="W29" s="2">
        <v>390.34545454545452</v>
      </c>
      <c r="X29" s="2">
        <v>7017142.1090909084</v>
      </c>
      <c r="Y29" s="28">
        <v>1682.1636363636364</v>
      </c>
      <c r="Z29" s="28">
        <v>7918470.0000000009</v>
      </c>
      <c r="AA29" s="28">
        <f t="shared" si="0"/>
        <v>14935612.109090909</v>
      </c>
      <c r="AB29" s="117">
        <f t="shared" si="1"/>
        <v>1151.0102125594774</v>
      </c>
      <c r="AC29" s="122">
        <v>0</v>
      </c>
      <c r="AD29" s="2">
        <v>0</v>
      </c>
      <c r="AE29" s="2">
        <v>200</v>
      </c>
      <c r="AF29" s="2">
        <v>24</v>
      </c>
      <c r="AG29" s="2">
        <f t="shared" si="2"/>
        <v>224</v>
      </c>
      <c r="AH29" s="2">
        <v>3443000</v>
      </c>
      <c r="AI29" s="38">
        <f t="shared" si="3"/>
        <v>265.33416460582504</v>
      </c>
      <c r="AJ29" s="130">
        <v>1011</v>
      </c>
      <c r="AK29" s="2">
        <v>11222100</v>
      </c>
      <c r="AL29" s="34">
        <f t="shared" si="4"/>
        <v>864.82908179582603</v>
      </c>
      <c r="AM29" s="6"/>
    </row>
    <row r="30" spans="1:39">
      <c r="A30" s="30"/>
      <c r="B30" s="53">
        <v>19</v>
      </c>
      <c r="C30" s="137">
        <v>20</v>
      </c>
      <c r="D30" s="138">
        <v>239</v>
      </c>
      <c r="E30" s="97">
        <v>13639.999999999873</v>
      </c>
      <c r="F30" s="2">
        <v>14834441.15999986</v>
      </c>
      <c r="G30" s="32">
        <v>2800.0000000000682</v>
      </c>
      <c r="H30" s="2">
        <v>4567789.8000001116</v>
      </c>
      <c r="I30" s="96">
        <f t="shared" si="5"/>
        <v>19402230.959999971</v>
      </c>
      <c r="J30" s="97">
        <v>1860.0000000000136</v>
      </c>
      <c r="K30" s="2">
        <v>2022878.3400000148</v>
      </c>
      <c r="L30" s="168">
        <v>419.99999999998749</v>
      </c>
      <c r="M30" s="169">
        <v>685168.4699999796</v>
      </c>
      <c r="N30" s="89">
        <f t="shared" si="6"/>
        <v>2708046.8099999945</v>
      </c>
      <c r="O30" s="98">
        <f t="shared" si="7"/>
        <v>22110277.769999966</v>
      </c>
      <c r="P30" s="101">
        <f t="shared" si="8"/>
        <v>18719.999999999942</v>
      </c>
      <c r="Q30" s="173"/>
      <c r="R30" s="173"/>
      <c r="S30" s="195"/>
      <c r="T30" s="192"/>
      <c r="U30" s="191">
        <v>0</v>
      </c>
      <c r="V30" s="170">
        <f t="shared" si="9"/>
        <v>845.92207792207796</v>
      </c>
      <c r="W30" s="2">
        <v>159.32467532467533</v>
      </c>
      <c r="X30" s="2">
        <v>2864139.6363636362</v>
      </c>
      <c r="Y30" s="28">
        <v>686.59740259740261</v>
      </c>
      <c r="Z30" s="28">
        <v>3232028.5714285718</v>
      </c>
      <c r="AA30" s="28">
        <f t="shared" si="0"/>
        <v>6096168.2077922076</v>
      </c>
      <c r="AB30" s="117">
        <f t="shared" si="1"/>
        <v>469.80008675897034</v>
      </c>
      <c r="AC30" s="122">
        <v>0</v>
      </c>
      <c r="AD30" s="2">
        <v>0</v>
      </c>
      <c r="AE30" s="2">
        <v>150</v>
      </c>
      <c r="AF30" s="2">
        <v>24</v>
      </c>
      <c r="AG30" s="2">
        <f t="shared" si="2"/>
        <v>174</v>
      </c>
      <c r="AH30" s="2">
        <v>2651000</v>
      </c>
      <c r="AI30" s="38">
        <f t="shared" si="3"/>
        <v>204.29882961662565</v>
      </c>
      <c r="AJ30" s="130">
        <v>412</v>
      </c>
      <c r="AK30" s="2">
        <v>4573200</v>
      </c>
      <c r="AL30" s="34">
        <f t="shared" si="4"/>
        <v>352.43282067248299</v>
      </c>
      <c r="AM30" s="6"/>
    </row>
    <row r="31" spans="1:39">
      <c r="A31" s="30"/>
      <c r="B31" s="53">
        <v>20</v>
      </c>
      <c r="C31" s="137">
        <v>13</v>
      </c>
      <c r="D31" s="138">
        <v>129</v>
      </c>
      <c r="E31" s="97">
        <v>12360.000000000127</v>
      </c>
      <c r="F31" s="2">
        <v>13442352.840000138</v>
      </c>
      <c r="G31" s="32">
        <v>2480.0000000000182</v>
      </c>
      <c r="H31" s="2">
        <v>4045756.68000003</v>
      </c>
      <c r="I31" s="96">
        <f t="shared" si="5"/>
        <v>17488109.520000167</v>
      </c>
      <c r="J31" s="97">
        <v>1539.9999999999636</v>
      </c>
      <c r="K31" s="2">
        <v>1674856.2599999604</v>
      </c>
      <c r="L31" s="168">
        <v>440.00000000001194</v>
      </c>
      <c r="M31" s="169">
        <v>717795.54000001948</v>
      </c>
      <c r="N31" s="89">
        <f t="shared" si="6"/>
        <v>2392651.7999999798</v>
      </c>
      <c r="O31" s="98">
        <f t="shared" si="7"/>
        <v>19880761.320000146</v>
      </c>
      <c r="P31" s="101">
        <f t="shared" si="8"/>
        <v>16820.00000000012</v>
      </c>
      <c r="Q31" s="174"/>
      <c r="R31" s="174"/>
      <c r="S31" s="195"/>
      <c r="T31" s="192"/>
      <c r="U31" s="191">
        <v>0</v>
      </c>
      <c r="V31" s="170">
        <f t="shared" si="9"/>
        <v>549.84935064935064</v>
      </c>
      <c r="W31" s="2">
        <v>103.56103896103896</v>
      </c>
      <c r="X31" s="2">
        <v>1861690.7636363637</v>
      </c>
      <c r="Y31" s="28">
        <v>446.28831168831169</v>
      </c>
      <c r="Z31" s="28">
        <v>2100818.5714285718</v>
      </c>
      <c r="AA31" s="28">
        <f t="shared" si="0"/>
        <v>3962509.3350649355</v>
      </c>
      <c r="AB31" s="117">
        <f t="shared" si="1"/>
        <v>305.37005639333074</v>
      </c>
      <c r="AC31" s="122">
        <v>0</v>
      </c>
      <c r="AD31" s="2">
        <v>0</v>
      </c>
      <c r="AE31" s="2">
        <v>100</v>
      </c>
      <c r="AF31" s="2">
        <v>12</v>
      </c>
      <c r="AG31" s="2">
        <f t="shared" si="2"/>
        <v>112</v>
      </c>
      <c r="AH31" s="2">
        <v>1721500</v>
      </c>
      <c r="AI31" s="38">
        <f t="shared" si="3"/>
        <v>132.66708230291252</v>
      </c>
      <c r="AJ31" s="130">
        <v>268</v>
      </c>
      <c r="AK31" s="2">
        <v>2974800</v>
      </c>
      <c r="AL31" s="34">
        <f t="shared" si="4"/>
        <v>229.25241733064428</v>
      </c>
      <c r="AM31" s="6"/>
    </row>
    <row r="32" spans="1:39">
      <c r="A32" s="30"/>
      <c r="B32" s="53">
        <v>21</v>
      </c>
      <c r="C32" s="137">
        <v>9</v>
      </c>
      <c r="D32" s="138">
        <v>167</v>
      </c>
      <c r="E32" s="97">
        <v>12079.999999999927</v>
      </c>
      <c r="F32" s="2">
        <v>13137833.519999921</v>
      </c>
      <c r="G32" s="32">
        <v>2399.9999999999773</v>
      </c>
      <c r="H32" s="2">
        <v>3915248.3999999636</v>
      </c>
      <c r="I32" s="96">
        <f t="shared" si="5"/>
        <v>17053081.919999886</v>
      </c>
      <c r="J32" s="97">
        <v>1580.0000000000409</v>
      </c>
      <c r="K32" s="2">
        <v>1718359.0200000445</v>
      </c>
      <c r="L32" s="168">
        <v>500</v>
      </c>
      <c r="M32" s="169">
        <v>815676.75</v>
      </c>
      <c r="N32" s="89">
        <f>+K32+M32</f>
        <v>2534035.7700000443</v>
      </c>
      <c r="O32" s="98">
        <f t="shared" si="7"/>
        <v>19587117.689999931</v>
      </c>
      <c r="P32" s="101">
        <f t="shared" si="8"/>
        <v>16559.999999999945</v>
      </c>
      <c r="Q32" s="173"/>
      <c r="R32" s="185"/>
      <c r="S32" s="195"/>
      <c r="T32" s="192"/>
      <c r="U32" s="191">
        <v>0</v>
      </c>
      <c r="V32" s="170">
        <f t="shared" si="9"/>
        <v>380.66493506493509</v>
      </c>
      <c r="W32" s="2">
        <v>71.696103896103892</v>
      </c>
      <c r="X32" s="2">
        <v>1288862.8363636364</v>
      </c>
      <c r="Y32" s="28">
        <v>308.96883116883117</v>
      </c>
      <c r="Z32" s="28">
        <v>1454412.8571428573</v>
      </c>
      <c r="AA32" s="28">
        <f t="shared" si="0"/>
        <v>2743275.6935064937</v>
      </c>
      <c r="AB32" s="117">
        <f t="shared" si="1"/>
        <v>211.41003904153669</v>
      </c>
      <c r="AC32" s="122">
        <v>0</v>
      </c>
      <c r="AD32" s="2">
        <v>0</v>
      </c>
      <c r="AE32" s="2">
        <v>150</v>
      </c>
      <c r="AF32" s="2">
        <v>24</v>
      </c>
      <c r="AG32" s="2">
        <f t="shared" ref="AG32:AG40" si="10">+AE32+AF32</f>
        <v>174</v>
      </c>
      <c r="AH32" s="2">
        <v>2651000</v>
      </c>
      <c r="AI32" s="38">
        <f t="shared" si="3"/>
        <v>204.29882961662565</v>
      </c>
      <c r="AJ32" s="130">
        <v>186</v>
      </c>
      <c r="AK32" s="2">
        <v>2064600</v>
      </c>
      <c r="AL32" s="34">
        <f t="shared" si="4"/>
        <v>159.10802098320835</v>
      </c>
      <c r="AM32" s="6"/>
    </row>
    <row r="33" spans="1:39">
      <c r="A33" s="30"/>
      <c r="B33" s="53">
        <v>22</v>
      </c>
      <c r="C33" s="137">
        <v>11</v>
      </c>
      <c r="D33" s="138">
        <v>135</v>
      </c>
      <c r="E33" s="97">
        <v>11440.000000000055</v>
      </c>
      <c r="F33" s="2">
        <v>12441789.360000061</v>
      </c>
      <c r="G33" s="32">
        <v>2240.0000000000091</v>
      </c>
      <c r="H33" s="2">
        <v>3654231.8400000152</v>
      </c>
      <c r="I33" s="96">
        <f t="shared" si="5"/>
        <v>16096021.200000076</v>
      </c>
      <c r="J33" s="97">
        <v>1299.9999999999545</v>
      </c>
      <c r="K33" s="2">
        <v>1413839.6999999506</v>
      </c>
      <c r="L33" s="168">
        <v>319.99999999999318</v>
      </c>
      <c r="M33" s="169">
        <v>522033.11999998894</v>
      </c>
      <c r="N33" s="89">
        <f t="shared" si="6"/>
        <v>1935872.8199999395</v>
      </c>
      <c r="O33" s="98">
        <f t="shared" si="7"/>
        <v>18031894.020000014</v>
      </c>
      <c r="P33" s="101">
        <f t="shared" si="8"/>
        <v>15300.000000000011</v>
      </c>
      <c r="Q33" s="173"/>
      <c r="R33" s="186"/>
      <c r="S33" s="195"/>
      <c r="T33" s="192"/>
      <c r="U33" s="191">
        <v>0</v>
      </c>
      <c r="V33" s="170">
        <f t="shared" si="9"/>
        <v>465.62857142857143</v>
      </c>
      <c r="W33" s="2">
        <v>88</v>
      </c>
      <c r="X33" s="2">
        <v>1575276.7999999998</v>
      </c>
      <c r="Y33" s="28">
        <v>377.62857142857143</v>
      </c>
      <c r="Z33" s="28">
        <v>1777615.7142857146</v>
      </c>
      <c r="AA33" s="28">
        <f t="shared" si="0"/>
        <v>3352892.5142857144</v>
      </c>
      <c r="AB33" s="117">
        <f t="shared" si="1"/>
        <v>258.39004771743373</v>
      </c>
      <c r="AC33" s="122">
        <v>0</v>
      </c>
      <c r="AD33" s="2">
        <v>0</v>
      </c>
      <c r="AE33" s="2">
        <v>100</v>
      </c>
      <c r="AF33" s="2">
        <v>12</v>
      </c>
      <c r="AG33" s="2">
        <f t="shared" si="10"/>
        <v>112</v>
      </c>
      <c r="AH33" s="2">
        <v>1721500</v>
      </c>
      <c r="AI33" s="38">
        <f t="shared" si="3"/>
        <v>132.66708230291252</v>
      </c>
      <c r="AJ33" s="130">
        <v>226</v>
      </c>
      <c r="AK33" s="2">
        <v>2508600</v>
      </c>
      <c r="AL33" s="34">
        <f t="shared" si="4"/>
        <v>193.32479968927467</v>
      </c>
      <c r="AM33" s="6"/>
    </row>
    <row r="34" spans="1:39">
      <c r="A34" s="30"/>
      <c r="B34" s="53">
        <v>23</v>
      </c>
      <c r="C34" s="137">
        <v>13</v>
      </c>
      <c r="D34" s="138">
        <v>99</v>
      </c>
      <c r="E34" s="97">
        <v>11199.999999999818</v>
      </c>
      <c r="F34" s="2">
        <v>12180772.799999803</v>
      </c>
      <c r="G34" s="32">
        <v>2279.9999999999727</v>
      </c>
      <c r="H34" s="2">
        <v>3719485.9799999557</v>
      </c>
      <c r="I34" s="96">
        <f t="shared" si="5"/>
        <v>15900258.779999759</v>
      </c>
      <c r="J34" s="97">
        <v>1300.0000000000114</v>
      </c>
      <c r="K34" s="2">
        <v>1413839.7000000123</v>
      </c>
      <c r="L34" s="168">
        <v>379.99999999999545</v>
      </c>
      <c r="M34" s="169">
        <v>619914.32999999262</v>
      </c>
      <c r="N34" s="89">
        <f t="shared" si="6"/>
        <v>2033754.0300000049</v>
      </c>
      <c r="O34" s="98">
        <f t="shared" si="7"/>
        <v>17934012.809999764</v>
      </c>
      <c r="P34" s="101">
        <f t="shared" si="8"/>
        <v>15159.999999999798</v>
      </c>
      <c r="Q34" s="174"/>
      <c r="R34" s="187"/>
      <c r="S34" s="195"/>
      <c r="T34" s="192"/>
      <c r="U34" s="191">
        <v>0</v>
      </c>
      <c r="V34" s="170">
        <f t="shared" si="9"/>
        <v>549.84935064935064</v>
      </c>
      <c r="W34" s="2">
        <v>103.56103896103896</v>
      </c>
      <c r="X34" s="2">
        <v>1861690.7636363637</v>
      </c>
      <c r="Y34" s="28">
        <v>446.28831168831169</v>
      </c>
      <c r="Z34" s="28">
        <v>2100818.5714285718</v>
      </c>
      <c r="AA34" s="28">
        <f t="shared" si="0"/>
        <v>3962509.3350649355</v>
      </c>
      <c r="AB34" s="117">
        <f t="shared" si="1"/>
        <v>305.37005639333074</v>
      </c>
      <c r="AC34" s="122">
        <v>0</v>
      </c>
      <c r="AD34" s="2">
        <v>0</v>
      </c>
      <c r="AE34" s="2">
        <v>100</v>
      </c>
      <c r="AF34" s="2">
        <v>12</v>
      </c>
      <c r="AG34" s="2">
        <f t="shared" si="10"/>
        <v>112</v>
      </c>
      <c r="AH34" s="2">
        <v>1721500</v>
      </c>
      <c r="AI34" s="38">
        <f t="shared" si="3"/>
        <v>132.66708230291252</v>
      </c>
      <c r="AJ34" s="130">
        <v>269</v>
      </c>
      <c r="AK34" s="2">
        <v>2985900</v>
      </c>
      <c r="AL34" s="34">
        <f t="shared" si="4"/>
        <v>230.10783679829595</v>
      </c>
      <c r="AM34" s="6"/>
    </row>
    <row r="35" spans="1:39">
      <c r="A35" s="30"/>
      <c r="B35" s="53">
        <v>24</v>
      </c>
      <c r="C35" s="137">
        <v>7</v>
      </c>
      <c r="D35" s="138">
        <v>95</v>
      </c>
      <c r="E35" s="97">
        <v>11040.000000000418</v>
      </c>
      <c r="F35" s="2">
        <v>12006761.760000456</v>
      </c>
      <c r="G35" s="32">
        <v>2240.0000000000091</v>
      </c>
      <c r="H35" s="2">
        <v>3654231.8400000152</v>
      </c>
      <c r="I35" s="96">
        <f t="shared" si="5"/>
        <v>15660993.600000471</v>
      </c>
      <c r="J35" s="97">
        <v>1259.9999999999909</v>
      </c>
      <c r="K35" s="2">
        <v>1370336.9399999902</v>
      </c>
      <c r="L35" s="168">
        <v>300.00000000001137</v>
      </c>
      <c r="M35" s="169">
        <v>489406.05000001861</v>
      </c>
      <c r="N35" s="89">
        <f t="shared" si="6"/>
        <v>1859742.9900000088</v>
      </c>
      <c r="O35" s="98">
        <f t="shared" si="7"/>
        <v>17520736.59000048</v>
      </c>
      <c r="P35" s="101">
        <f t="shared" si="8"/>
        <v>14840.000000000429</v>
      </c>
      <c r="Q35" s="173"/>
      <c r="R35" s="185"/>
      <c r="S35" s="195"/>
      <c r="T35" s="192"/>
      <c r="U35" s="191">
        <v>0</v>
      </c>
      <c r="V35" s="170">
        <f t="shared" si="9"/>
        <v>296.07272727272726</v>
      </c>
      <c r="W35" s="2">
        <v>55.763636363636365</v>
      </c>
      <c r="X35" s="2">
        <v>1002448.8727272727</v>
      </c>
      <c r="Y35" s="28">
        <v>240.30909090909091</v>
      </c>
      <c r="Z35" s="28">
        <v>1131210.0000000002</v>
      </c>
      <c r="AA35" s="28">
        <f t="shared" si="0"/>
        <v>2133658.872727273</v>
      </c>
      <c r="AB35" s="117">
        <f t="shared" si="1"/>
        <v>164.43003036563965</v>
      </c>
      <c r="AC35" s="122">
        <v>0</v>
      </c>
      <c r="AD35" s="2">
        <v>0</v>
      </c>
      <c r="AE35" s="2">
        <v>100</v>
      </c>
      <c r="AF35" s="2">
        <v>12</v>
      </c>
      <c r="AG35" s="2">
        <f t="shared" si="10"/>
        <v>112</v>
      </c>
      <c r="AH35" s="2">
        <v>1721500</v>
      </c>
      <c r="AI35" s="38">
        <f t="shared" si="3"/>
        <v>132.66708230291252</v>
      </c>
      <c r="AJ35" s="130">
        <v>244</v>
      </c>
      <c r="AK35" s="2">
        <v>2708400</v>
      </c>
      <c r="AL35" s="34">
        <f t="shared" si="4"/>
        <v>208.7223501070045</v>
      </c>
      <c r="AM35" s="6"/>
    </row>
    <row r="36" spans="1:39">
      <c r="A36" s="30"/>
      <c r="B36" s="53">
        <v>25</v>
      </c>
      <c r="C36" s="137">
        <v>13</v>
      </c>
      <c r="D36" s="138">
        <v>56</v>
      </c>
      <c r="E36" s="97">
        <v>11079.999999999927</v>
      </c>
      <c r="F36" s="2">
        <v>12050264.519999921</v>
      </c>
      <c r="G36" s="32">
        <v>2279.9999999999727</v>
      </c>
      <c r="H36" s="2">
        <v>3719485.9799999557</v>
      </c>
      <c r="I36" s="96">
        <f t="shared" si="5"/>
        <v>15769750.499999877</v>
      </c>
      <c r="J36" s="97">
        <v>1280.0000000000296</v>
      </c>
      <c r="K36" s="2">
        <v>1392088.3200000322</v>
      </c>
      <c r="L36" s="168">
        <v>339.9999999999892</v>
      </c>
      <c r="M36" s="169">
        <v>554660.18999998248</v>
      </c>
      <c r="N36" s="89">
        <f t="shared" si="6"/>
        <v>1946748.5100000147</v>
      </c>
      <c r="O36" s="98">
        <f t="shared" si="7"/>
        <v>17716499.009999894</v>
      </c>
      <c r="P36" s="101">
        <f t="shared" si="8"/>
        <v>14979.999999999918</v>
      </c>
      <c r="Q36" s="173"/>
      <c r="R36" s="185"/>
      <c r="S36" s="195"/>
      <c r="T36" s="192"/>
      <c r="U36" s="191">
        <v>0</v>
      </c>
      <c r="V36" s="170">
        <f t="shared" si="9"/>
        <v>549.28831168831175</v>
      </c>
      <c r="W36" s="2">
        <v>103</v>
      </c>
      <c r="X36" s="2">
        <v>1861690.7636363637</v>
      </c>
      <c r="Y36" s="28">
        <v>446.28831168831169</v>
      </c>
      <c r="Z36" s="28">
        <v>2100818.5714285718</v>
      </c>
      <c r="AA36" s="28">
        <f t="shared" si="0"/>
        <v>3962509.3350649355</v>
      </c>
      <c r="AB36" s="117">
        <f t="shared" si="1"/>
        <v>305.37005639333074</v>
      </c>
      <c r="AC36" s="122">
        <v>0</v>
      </c>
      <c r="AD36" s="2">
        <v>0</v>
      </c>
      <c r="AE36" s="2">
        <v>50</v>
      </c>
      <c r="AF36" s="2">
        <v>12</v>
      </c>
      <c r="AG36" s="2">
        <f t="shared" si="10"/>
        <v>62</v>
      </c>
      <c r="AH36" s="2">
        <v>929500</v>
      </c>
      <c r="AI36" s="38">
        <f t="shared" si="3"/>
        <v>71.631747313713149</v>
      </c>
      <c r="AJ36" s="130">
        <v>267.7</v>
      </c>
      <c r="AK36" s="2">
        <v>2971470</v>
      </c>
      <c r="AL36" s="34">
        <f t="shared" si="4"/>
        <v>228.99579149034878</v>
      </c>
      <c r="AM36" s="6"/>
    </row>
    <row r="37" spans="1:39">
      <c r="A37" s="30"/>
      <c r="B37" s="53">
        <v>26</v>
      </c>
      <c r="C37" s="137">
        <v>3</v>
      </c>
      <c r="D37" s="138">
        <v>57</v>
      </c>
      <c r="E37" s="97">
        <v>10559.999999999945</v>
      </c>
      <c r="F37" s="2">
        <v>11484728.639999941</v>
      </c>
      <c r="G37" s="32">
        <v>2200.0000000000455</v>
      </c>
      <c r="H37" s="2">
        <v>3588977.7000000747</v>
      </c>
      <c r="I37" s="96">
        <f t="shared" si="5"/>
        <v>15073706.340000015</v>
      </c>
      <c r="J37" s="97">
        <v>1000</v>
      </c>
      <c r="K37" s="2">
        <v>1087569</v>
      </c>
      <c r="L37" s="168">
        <v>380.00000000000966</v>
      </c>
      <c r="M37" s="169">
        <v>619914.33000001579</v>
      </c>
      <c r="N37" s="89">
        <f t="shared" si="6"/>
        <v>1707483.3300000159</v>
      </c>
      <c r="O37" s="98">
        <f t="shared" si="7"/>
        <v>16781189.670000032</v>
      </c>
      <c r="P37" s="101">
        <f t="shared" si="8"/>
        <v>14140</v>
      </c>
      <c r="Q37" s="173"/>
      <c r="R37" s="185"/>
      <c r="S37" s="195"/>
      <c r="T37" s="192"/>
      <c r="U37" s="191">
        <v>0</v>
      </c>
      <c r="V37" s="170">
        <f t="shared" si="9"/>
        <v>126.88831168831169</v>
      </c>
      <c r="W37" s="2">
        <v>23.898701298701297</v>
      </c>
      <c r="X37" s="2">
        <v>429620.94545454544</v>
      </c>
      <c r="Y37" s="28">
        <v>102.98961038961039</v>
      </c>
      <c r="Z37" s="28">
        <v>484804.28571428574</v>
      </c>
      <c r="AA37" s="28">
        <f t="shared" si="0"/>
        <v>914425.23116883123</v>
      </c>
      <c r="AB37" s="117">
        <f t="shared" si="1"/>
        <v>70.470013013845559</v>
      </c>
      <c r="AC37" s="122">
        <v>0</v>
      </c>
      <c r="AD37" s="2">
        <v>0</v>
      </c>
      <c r="AE37" s="2">
        <v>50</v>
      </c>
      <c r="AF37" s="2">
        <v>12</v>
      </c>
      <c r="AG37" s="2">
        <f t="shared" si="10"/>
        <v>62</v>
      </c>
      <c r="AH37" s="2">
        <v>929500</v>
      </c>
      <c r="AI37" s="38">
        <f t="shared" si="3"/>
        <v>71.631747313713149</v>
      </c>
      <c r="AJ37" s="130">
        <v>62</v>
      </c>
      <c r="AK37" s="2">
        <v>688200</v>
      </c>
      <c r="AL37" s="34">
        <f t="shared" si="4"/>
        <v>53.036006994402783</v>
      </c>
      <c r="AM37" s="6"/>
    </row>
    <row r="38" spans="1:39">
      <c r="A38" s="30"/>
      <c r="B38" s="53">
        <v>27</v>
      </c>
      <c r="C38" s="137">
        <v>3</v>
      </c>
      <c r="D38" s="138">
        <v>55</v>
      </c>
      <c r="E38" s="97">
        <v>10679.999999999836</v>
      </c>
      <c r="F38" s="2">
        <v>11615236.919999823</v>
      </c>
      <c r="G38" s="32">
        <v>2039.9999999999636</v>
      </c>
      <c r="H38" s="2">
        <v>3327961.139999941</v>
      </c>
      <c r="I38" s="96">
        <f t="shared" si="5"/>
        <v>14943198.059999764</v>
      </c>
      <c r="J38" s="97">
        <v>1379.9999999999955</v>
      </c>
      <c r="K38" s="2">
        <v>1500845.2199999951</v>
      </c>
      <c r="L38" s="168">
        <v>219.99999999999886</v>
      </c>
      <c r="M38" s="169">
        <v>358897.76999999821</v>
      </c>
      <c r="N38" s="89">
        <f t="shared" si="6"/>
        <v>1859742.9899999932</v>
      </c>
      <c r="O38" s="98">
        <f t="shared" si="7"/>
        <v>16802941.049999759</v>
      </c>
      <c r="P38" s="101">
        <f t="shared" si="8"/>
        <v>14319.999999999794</v>
      </c>
      <c r="Q38" s="173"/>
      <c r="R38" s="185"/>
      <c r="S38" s="195"/>
      <c r="T38" s="192"/>
      <c r="U38" s="191">
        <v>0</v>
      </c>
      <c r="V38" s="170">
        <f t="shared" si="9"/>
        <v>125.98961038961039</v>
      </c>
      <c r="W38" s="2">
        <v>23</v>
      </c>
      <c r="X38" s="2">
        <v>429620.94545454544</v>
      </c>
      <c r="Y38" s="28">
        <v>102.98961038961039</v>
      </c>
      <c r="Z38" s="28">
        <v>484804.28571428574</v>
      </c>
      <c r="AA38" s="28">
        <f t="shared" si="0"/>
        <v>914425.23116883123</v>
      </c>
      <c r="AB38" s="117">
        <f t="shared" si="1"/>
        <v>70.470013013845559</v>
      </c>
      <c r="AC38" s="122">
        <v>0</v>
      </c>
      <c r="AD38" s="2">
        <v>0</v>
      </c>
      <c r="AE38" s="2">
        <v>50</v>
      </c>
      <c r="AF38" s="2">
        <v>12</v>
      </c>
      <c r="AG38" s="2">
        <f t="shared" si="10"/>
        <v>62</v>
      </c>
      <c r="AH38" s="2">
        <v>929500</v>
      </c>
      <c r="AI38" s="38">
        <f t="shared" si="3"/>
        <v>71.631747313713149</v>
      </c>
      <c r="AJ38" s="130">
        <v>63</v>
      </c>
      <c r="AK38" s="2">
        <v>699300</v>
      </c>
      <c r="AL38" s="34">
        <f t="shared" si="4"/>
        <v>53.89142646205444</v>
      </c>
      <c r="AM38" s="6"/>
    </row>
    <row r="39" spans="1:39">
      <c r="A39" s="30"/>
      <c r="B39" s="53">
        <v>28</v>
      </c>
      <c r="C39" s="137">
        <v>1</v>
      </c>
      <c r="D39" s="138">
        <v>62</v>
      </c>
      <c r="E39" s="97">
        <v>10639.999999999873</v>
      </c>
      <c r="F39" s="2">
        <v>11571734.15999986</v>
      </c>
      <c r="G39" s="32">
        <v>2159.9999999999682</v>
      </c>
      <c r="H39" s="2">
        <v>3523723.5599999484</v>
      </c>
      <c r="I39" s="96">
        <f t="shared" si="5"/>
        <v>15095457.719999809</v>
      </c>
      <c r="J39" s="97">
        <v>1180.0000000000068</v>
      </c>
      <c r="K39" s="2">
        <v>1283331.4200000076</v>
      </c>
      <c r="L39" s="168">
        <v>319.99999999999318</v>
      </c>
      <c r="M39" s="169">
        <v>522033.11999998894</v>
      </c>
      <c r="N39" s="89">
        <f t="shared" si="6"/>
        <v>1805364.5399999965</v>
      </c>
      <c r="O39" s="98">
        <f t="shared" si="7"/>
        <v>16900822.259999804</v>
      </c>
      <c r="P39" s="101">
        <f t="shared" si="8"/>
        <v>14299.99999999984</v>
      </c>
      <c r="Q39" s="173"/>
      <c r="R39" s="188"/>
      <c r="S39" s="195"/>
      <c r="T39" s="192"/>
      <c r="U39" s="191">
        <v>0</v>
      </c>
      <c r="V39" s="170">
        <f t="shared" si="9"/>
        <v>42.296103896103894</v>
      </c>
      <c r="W39" s="2">
        <v>7.9662337662337661</v>
      </c>
      <c r="X39" s="2">
        <v>143206.98181818181</v>
      </c>
      <c r="Y39" s="28">
        <v>34.32987012987013</v>
      </c>
      <c r="Z39" s="28">
        <v>161601.42857142858</v>
      </c>
      <c r="AA39" s="28">
        <f t="shared" si="0"/>
        <v>304808.41038961039</v>
      </c>
      <c r="AB39" s="117">
        <f t="shared" si="1"/>
        <v>23.49000433794852</v>
      </c>
      <c r="AC39" s="122">
        <v>0</v>
      </c>
      <c r="AD39" s="2">
        <v>0</v>
      </c>
      <c r="AE39" s="2">
        <v>50</v>
      </c>
      <c r="AF39" s="2">
        <v>12</v>
      </c>
      <c r="AG39" s="2">
        <f t="shared" si="10"/>
        <v>62</v>
      </c>
      <c r="AH39" s="2">
        <v>929500</v>
      </c>
      <c r="AI39" s="38">
        <f t="shared" si="3"/>
        <v>71.631747313713149</v>
      </c>
      <c r="AJ39" s="130">
        <v>20</v>
      </c>
      <c r="AK39" s="2">
        <v>222000</v>
      </c>
      <c r="AL39" s="34">
        <f t="shared" si="4"/>
        <v>17.108389353033154</v>
      </c>
      <c r="AM39" s="6"/>
    </row>
    <row r="40" spans="1:39">
      <c r="A40" s="30"/>
      <c r="B40" s="53">
        <v>29</v>
      </c>
      <c r="C40" s="137">
        <v>5</v>
      </c>
      <c r="D40" s="138">
        <v>40</v>
      </c>
      <c r="E40" s="97">
        <v>11000</v>
      </c>
      <c r="F40" s="2">
        <v>11963259</v>
      </c>
      <c r="G40" s="32">
        <v>2200.0000000000455</v>
      </c>
      <c r="H40" s="2">
        <v>3588977.7000000747</v>
      </c>
      <c r="I40" s="96">
        <f t="shared" si="5"/>
        <v>15552236.700000074</v>
      </c>
      <c r="J40" s="97">
        <v>1180.0000000000068</v>
      </c>
      <c r="K40" s="2">
        <v>1283331.4200000076</v>
      </c>
      <c r="L40" s="168">
        <v>299.99999999999716</v>
      </c>
      <c r="M40" s="169">
        <v>489406.04999999545</v>
      </c>
      <c r="N40" s="89">
        <f t="shared" si="6"/>
        <v>1772737.470000003</v>
      </c>
      <c r="O40" s="98">
        <f t="shared" ref="O40:O41" si="11">N40+I40</f>
        <v>17324974.170000076</v>
      </c>
      <c r="P40" s="101">
        <f t="shared" ref="P40:P41" si="12">L40+J40+G40+E40</f>
        <v>14680.000000000049</v>
      </c>
      <c r="Q40" s="174"/>
      <c r="R40" s="189"/>
      <c r="S40" s="195"/>
      <c r="T40" s="192"/>
      <c r="U40" s="191">
        <v>0</v>
      </c>
      <c r="V40" s="170">
        <f t="shared" si="9"/>
        <v>211.48051948051949</v>
      </c>
      <c r="W40" s="2">
        <v>39.831168831168831</v>
      </c>
      <c r="X40" s="2">
        <v>716034.90909090906</v>
      </c>
      <c r="Y40" s="28">
        <v>171.64935064935065</v>
      </c>
      <c r="Z40" s="28">
        <v>808007.14285714296</v>
      </c>
      <c r="AA40" s="28">
        <f t="shared" ref="AA40:AA41" si="13">Z40+X40</f>
        <v>1524042.0519480519</v>
      </c>
      <c r="AB40" s="117">
        <f t="shared" si="1"/>
        <v>117.45002168974258</v>
      </c>
      <c r="AC40" s="122">
        <v>0</v>
      </c>
      <c r="AD40" s="2">
        <v>0</v>
      </c>
      <c r="AE40" s="2">
        <v>50</v>
      </c>
      <c r="AF40" s="2">
        <v>12</v>
      </c>
      <c r="AG40" s="2">
        <f t="shared" si="10"/>
        <v>62</v>
      </c>
      <c r="AH40" s="2">
        <v>929500</v>
      </c>
      <c r="AI40" s="38">
        <f t="shared" si="3"/>
        <v>71.631747313713149</v>
      </c>
      <c r="AJ40" s="130">
        <v>103</v>
      </c>
      <c r="AK40" s="2">
        <v>1143300</v>
      </c>
      <c r="AL40" s="34">
        <f t="shared" si="4"/>
        <v>88.108205168120747</v>
      </c>
      <c r="AM40" s="6"/>
    </row>
    <row r="41" spans="1:39" ht="17.25" customHeight="1">
      <c r="A41" s="30"/>
      <c r="B41" s="53">
        <v>30</v>
      </c>
      <c r="C41" s="137">
        <v>8</v>
      </c>
      <c r="D41" s="138">
        <v>116</v>
      </c>
      <c r="E41" s="97">
        <v>10560</v>
      </c>
      <c r="F41" s="2">
        <v>11484728.639999999</v>
      </c>
      <c r="G41" s="32">
        <v>2120.0000000000045</v>
      </c>
      <c r="H41" s="2">
        <v>3458469.4200000078</v>
      </c>
      <c r="I41" s="96">
        <f t="shared" si="5"/>
        <v>14943198.060000006</v>
      </c>
      <c r="J41" s="97">
        <v>1199.9999999999886</v>
      </c>
      <c r="K41" s="2">
        <v>1305082.7999999875</v>
      </c>
      <c r="L41" s="168">
        <v>320.00000000000739</v>
      </c>
      <c r="M41" s="169">
        <v>522033.1200000121</v>
      </c>
      <c r="N41" s="89">
        <f t="shared" si="6"/>
        <v>1827115.9199999995</v>
      </c>
      <c r="O41" s="98">
        <f t="shared" si="11"/>
        <v>16770313.980000006</v>
      </c>
      <c r="P41" s="101">
        <f t="shared" si="12"/>
        <v>14200</v>
      </c>
      <c r="Q41" s="173"/>
      <c r="R41" s="190"/>
      <c r="S41" s="195"/>
      <c r="T41" s="192"/>
      <c r="U41" s="191">
        <v>0</v>
      </c>
      <c r="V41" s="170">
        <f t="shared" si="9"/>
        <v>338.36883116883115</v>
      </c>
      <c r="W41" s="2">
        <v>63.729870129870129</v>
      </c>
      <c r="X41" s="2">
        <v>1145655.8545454545</v>
      </c>
      <c r="Y41" s="28">
        <v>274.63896103896104</v>
      </c>
      <c r="Z41" s="28">
        <v>1292811.4285714286</v>
      </c>
      <c r="AA41" s="28">
        <f t="shared" si="13"/>
        <v>2438467.2831168831</v>
      </c>
      <c r="AB41" s="117">
        <f t="shared" si="1"/>
        <v>187.92003470358816</v>
      </c>
      <c r="AC41" s="122">
        <v>0</v>
      </c>
      <c r="AD41" s="2">
        <v>0</v>
      </c>
      <c r="AE41" s="2">
        <v>150</v>
      </c>
      <c r="AF41" s="2">
        <v>12</v>
      </c>
      <c r="AG41" s="2">
        <f>+AE41+AF41</f>
        <v>162</v>
      </c>
      <c r="AH41" s="2">
        <v>2513500</v>
      </c>
      <c r="AI41" s="38">
        <f t="shared" si="3"/>
        <v>193.70241729211187</v>
      </c>
      <c r="AJ41" s="130">
        <v>165</v>
      </c>
      <c r="AK41" s="2">
        <v>1831500</v>
      </c>
      <c r="AL41" s="34">
        <f t="shared" si="4"/>
        <v>141.14421216252353</v>
      </c>
      <c r="AM41" s="6"/>
    </row>
    <row r="42" spans="1:39" ht="16.5" thickBot="1">
      <c r="A42" s="30"/>
      <c r="B42" s="112">
        <v>31</v>
      </c>
      <c r="C42" s="203">
        <v>9</v>
      </c>
      <c r="D42" s="204">
        <v>141</v>
      </c>
      <c r="E42" s="205">
        <v>10560</v>
      </c>
      <c r="F42" s="90">
        <v>11484728.639999999</v>
      </c>
      <c r="G42" s="206">
        <v>2200.0000000000455</v>
      </c>
      <c r="H42" s="90">
        <v>3588977.7000000747</v>
      </c>
      <c r="I42" s="207">
        <f t="shared" ref="I42" si="14">F42+H42</f>
        <v>15073706.340000074</v>
      </c>
      <c r="J42" s="205">
        <v>1199.9999999999886</v>
      </c>
      <c r="K42" s="90">
        <v>1305082.7999999875</v>
      </c>
      <c r="L42" s="208">
        <v>319.99999999999318</v>
      </c>
      <c r="M42" s="209">
        <v>522033.11999998894</v>
      </c>
      <c r="N42" s="91">
        <f t="shared" ref="N42" si="15">+K42+M42</f>
        <v>1827115.9199999764</v>
      </c>
      <c r="O42" s="99">
        <f t="shared" ref="O42" si="16">N42+I42</f>
        <v>16900822.26000005</v>
      </c>
      <c r="P42" s="102">
        <f t="shared" ref="P42" si="17">L42+J42+G42+E42</f>
        <v>14280.000000000027</v>
      </c>
      <c r="Q42" s="210"/>
      <c r="R42" s="211"/>
      <c r="S42" s="196"/>
      <c r="T42" s="196"/>
      <c r="U42" s="212">
        <v>0</v>
      </c>
      <c r="V42" s="213">
        <f t="shared" ref="V42" si="18">Y42+W42</f>
        <v>380.66493506493509</v>
      </c>
      <c r="W42" s="90">
        <v>71.696103896103892</v>
      </c>
      <c r="X42" s="90">
        <v>1288862.8363636364</v>
      </c>
      <c r="Y42" s="214">
        <v>308.96883116883117</v>
      </c>
      <c r="Z42" s="214">
        <v>1454412.8571428573</v>
      </c>
      <c r="AA42" s="214">
        <f t="shared" ref="AA42" si="19">Z42+X42</f>
        <v>2743275.6935064937</v>
      </c>
      <c r="AB42" s="215">
        <f t="shared" ref="AB42" si="20">AA42/$AL$47</f>
        <v>211.41003904153669</v>
      </c>
      <c r="AC42" s="90">
        <v>0</v>
      </c>
      <c r="AD42" s="90">
        <v>0</v>
      </c>
      <c r="AE42" s="90">
        <v>150</v>
      </c>
      <c r="AF42" s="90">
        <v>12</v>
      </c>
      <c r="AG42" s="90">
        <f>+AE42+AF42</f>
        <v>162</v>
      </c>
      <c r="AH42" s="90">
        <v>2513500</v>
      </c>
      <c r="AI42" s="216">
        <f t="shared" ref="AI42" si="21">AH42/$AL$47</f>
        <v>193.70241729211187</v>
      </c>
      <c r="AJ42" s="217">
        <v>82</v>
      </c>
      <c r="AK42" s="90">
        <v>910200</v>
      </c>
      <c r="AL42" s="218">
        <f t="shared" ref="AL42" si="22">AK42/$AL$47</f>
        <v>70.144396347435944</v>
      </c>
      <c r="AM42" s="6"/>
    </row>
    <row r="43" spans="1:39" s="7" customFormat="1" ht="4.5" customHeight="1">
      <c r="B43" s="107"/>
      <c r="C43" s="108"/>
      <c r="D43" s="108"/>
      <c r="E43" s="106"/>
      <c r="F43" s="6"/>
      <c r="H43" s="6"/>
      <c r="L43" s="6"/>
      <c r="M43" s="57"/>
      <c r="N43" s="61"/>
      <c r="P43" s="61"/>
      <c r="R43" s="81"/>
      <c r="S43" s="6"/>
      <c r="U43" s="29"/>
      <c r="V43" s="118"/>
      <c r="AB43" s="29"/>
      <c r="AD43" s="6"/>
      <c r="AJ43" s="81"/>
      <c r="AL43" s="29"/>
    </row>
    <row r="44" spans="1:39" s="7" customFormat="1" ht="6" customHeight="1">
      <c r="B44" s="107"/>
      <c r="C44" s="108"/>
      <c r="D44" s="108"/>
      <c r="E44" s="106"/>
      <c r="F44" s="6"/>
      <c r="H44" s="6"/>
      <c r="L44" s="6"/>
      <c r="M44" s="57"/>
      <c r="N44" s="61"/>
      <c r="P44" s="61"/>
      <c r="R44" s="81"/>
      <c r="S44" s="14"/>
      <c r="T44" s="14"/>
      <c r="U44" s="29"/>
      <c r="V44" s="118"/>
      <c r="AB44" s="119"/>
      <c r="AD44" s="6"/>
      <c r="AH44" s="6"/>
      <c r="AJ44" s="83"/>
      <c r="AK44" s="4"/>
      <c r="AL44" s="35"/>
    </row>
    <row r="45" spans="1:39" s="7" customFormat="1" ht="16.5" thickBot="1">
      <c r="B45" s="109"/>
      <c r="C45" s="110"/>
      <c r="D45" s="110"/>
      <c r="E45" s="111"/>
      <c r="F45" s="67"/>
      <c r="G45" s="66"/>
      <c r="H45" s="67"/>
      <c r="I45" s="66"/>
      <c r="J45" s="66"/>
      <c r="K45" s="66"/>
      <c r="L45" s="67"/>
      <c r="M45" s="68"/>
      <c r="N45" s="69"/>
      <c r="O45" s="66"/>
      <c r="P45" s="69"/>
      <c r="Q45" s="66"/>
      <c r="R45" s="82"/>
      <c r="S45" s="70"/>
      <c r="T45" s="66"/>
      <c r="U45" s="171"/>
      <c r="V45" s="120"/>
      <c r="W45" s="72"/>
      <c r="X45" s="66"/>
      <c r="Y45" s="66"/>
      <c r="Z45" s="66"/>
      <c r="AA45" s="66"/>
      <c r="AB45" s="71"/>
      <c r="AC45" s="73"/>
      <c r="AD45" s="67"/>
      <c r="AE45" s="73"/>
      <c r="AF45" s="73"/>
      <c r="AG45" s="73"/>
      <c r="AH45" s="67"/>
      <c r="AI45" s="66"/>
      <c r="AJ45" s="131"/>
      <c r="AK45" s="74"/>
      <c r="AL45" s="75"/>
    </row>
    <row r="46" spans="1:39" ht="17.25" thickTop="1" thickBot="1">
      <c r="A46" s="22"/>
      <c r="B46" s="64"/>
      <c r="C46" s="65">
        <f t="shared" ref="C46:P46" si="23">SUM(C12:C42)</f>
        <v>385</v>
      </c>
      <c r="D46" s="65">
        <f t="shared" si="23"/>
        <v>3787</v>
      </c>
      <c r="E46" s="65">
        <f t="shared" si="23"/>
        <v>341399.99999999994</v>
      </c>
      <c r="F46" s="65">
        <f t="shared" si="23"/>
        <v>371296056.5999999</v>
      </c>
      <c r="G46" s="65">
        <f t="shared" si="23"/>
        <v>70720.000000000015</v>
      </c>
      <c r="H46" s="65">
        <f t="shared" si="23"/>
        <v>115369319.52000007</v>
      </c>
      <c r="I46" s="65">
        <f t="shared" si="23"/>
        <v>486665376.11999995</v>
      </c>
      <c r="J46" s="65">
        <f t="shared" si="23"/>
        <v>41540.000000000015</v>
      </c>
      <c r="K46" s="65">
        <f t="shared" si="23"/>
        <v>45177616.260000035</v>
      </c>
      <c r="L46" s="65">
        <f t="shared" si="23"/>
        <v>11159.999999999989</v>
      </c>
      <c r="M46" s="65">
        <f t="shared" si="23"/>
        <v>18205905.059999999</v>
      </c>
      <c r="N46" s="65">
        <f t="shared" si="23"/>
        <v>63383521.320000023</v>
      </c>
      <c r="O46" s="65">
        <f t="shared" si="23"/>
        <v>550048897.44000018</v>
      </c>
      <c r="P46" s="77">
        <f t="shared" si="23"/>
        <v>464819.99999999988</v>
      </c>
      <c r="Q46" s="172">
        <f>+'Residence Electricity October21'!D26</f>
        <v>48407</v>
      </c>
      <c r="R46" s="113">
        <f>+'Residence Electricity October21'!D27</f>
        <v>81490832</v>
      </c>
      <c r="S46" s="105">
        <f>Q46+P46</f>
        <v>513226.99999999988</v>
      </c>
      <c r="T46" s="105">
        <f>R46+O46</f>
        <v>631539729.44000018</v>
      </c>
      <c r="U46" s="125">
        <f>T46/AL47</f>
        <v>48669.493617877204</v>
      </c>
      <c r="V46" s="161">
        <f t="shared" ref="V46:AA46" si="24">SUM(V12:V41)</f>
        <v>15903.685714285712</v>
      </c>
      <c r="W46" s="47">
        <f t="shared" si="24"/>
        <v>2995.6545454545458</v>
      </c>
      <c r="X46" s="47">
        <f t="shared" si="24"/>
        <v>53845825.163636357</v>
      </c>
      <c r="Y46" s="47">
        <f t="shared" si="24"/>
        <v>12908.031168831169</v>
      </c>
      <c r="Z46" s="47">
        <f t="shared" si="24"/>
        <v>60762137.142857149</v>
      </c>
      <c r="AA46" s="124">
        <f t="shared" si="24"/>
        <v>114607962.30649352</v>
      </c>
      <c r="AB46" s="114">
        <f>AA46/$AL$47</f>
        <v>8832.241631068644</v>
      </c>
      <c r="AC46" s="39">
        <f>SUM(AC12:AC41)</f>
        <v>0</v>
      </c>
      <c r="AD46" s="126">
        <f>SUM(AD12:AD41)</f>
        <v>0</v>
      </c>
      <c r="AE46" s="39">
        <f>SUM(AE12:AE41)</f>
        <v>3050</v>
      </c>
      <c r="AF46" s="39">
        <f>SUM(AF12:AF41)</f>
        <v>432</v>
      </c>
      <c r="AG46" s="194">
        <f>SUM(AG12:AG41)</f>
        <v>3482</v>
      </c>
      <c r="AH46" s="134">
        <f>SUM(AH12:AH42)</f>
        <v>53783500</v>
      </c>
      <c r="AI46" s="135">
        <f>AH46/$AL$47</f>
        <v>4144.8155800399045</v>
      </c>
      <c r="AJ46" s="193">
        <f>SUM(AJ12:AJ42)</f>
        <v>7940.7</v>
      </c>
      <c r="AK46" s="132">
        <v>0</v>
      </c>
      <c r="AL46" s="133">
        <f>AK46/AL47</f>
        <v>0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8"/>
      <c r="N47" s="62"/>
      <c r="O47" s="9"/>
      <c r="P47" s="62"/>
      <c r="Q47" s="9"/>
      <c r="R47" s="104"/>
      <c r="S47" s="13"/>
      <c r="T47" s="76" t="s">
        <v>55</v>
      </c>
      <c r="U47" s="139">
        <f>U46/S46</f>
        <v>9.4830345281673056E-2</v>
      </c>
      <c r="V47" s="175" t="s">
        <v>56</v>
      </c>
      <c r="W47" s="10"/>
      <c r="X47" s="10"/>
      <c r="Y47" s="127"/>
      <c r="Z47" s="10"/>
      <c r="AA47" s="10"/>
      <c r="AB47" s="10"/>
      <c r="AC47" s="14"/>
      <c r="AD47" s="6"/>
      <c r="AE47" s="14"/>
      <c r="AF47" s="14"/>
      <c r="AG47" s="6"/>
      <c r="AH47" s="199"/>
      <c r="AI47" s="10"/>
      <c r="AJ47" s="83"/>
      <c r="AK47" s="10"/>
      <c r="AL47" s="136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8"/>
      <c r="N48" s="62"/>
      <c r="O48" s="9"/>
      <c r="P48" s="62"/>
      <c r="Q48" s="9"/>
      <c r="R48" s="104"/>
      <c r="S48" s="13"/>
      <c r="T48" s="200"/>
      <c r="U48" s="139"/>
      <c r="V48" s="175"/>
      <c r="W48" s="10"/>
      <c r="X48" s="198"/>
      <c r="Y48" s="127"/>
      <c r="Z48" s="198"/>
      <c r="AA48" s="10"/>
      <c r="AB48" s="10"/>
      <c r="AC48" s="14"/>
      <c r="AD48" s="6"/>
      <c r="AE48" s="14"/>
      <c r="AF48" s="14"/>
      <c r="AG48" s="6"/>
      <c r="AH48" s="199"/>
      <c r="AI48" s="10"/>
      <c r="AJ48" s="83"/>
      <c r="AK48" s="10"/>
      <c r="AL48" s="136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8"/>
      <c r="N49" s="62"/>
      <c r="O49" s="9"/>
      <c r="P49" s="62"/>
      <c r="Q49" s="9"/>
      <c r="R49" s="104"/>
      <c r="S49" s="13"/>
      <c r="T49" s="76"/>
      <c r="U49" s="139"/>
      <c r="V49" s="175"/>
      <c r="W49" s="10"/>
      <c r="X49" s="10"/>
      <c r="Y49" s="127"/>
      <c r="Z49" s="198"/>
      <c r="AA49" s="10"/>
      <c r="AB49" s="10"/>
      <c r="AC49" s="14"/>
      <c r="AD49" s="6"/>
      <c r="AE49" s="14"/>
      <c r="AF49" s="14"/>
      <c r="AG49" s="6"/>
      <c r="AH49" s="199"/>
      <c r="AI49" s="10"/>
      <c r="AJ49" s="83"/>
      <c r="AK49" s="10"/>
      <c r="AL49" s="136"/>
      <c r="AM49" s="22"/>
    </row>
    <row r="50" spans="1:39" s="178" customFormat="1">
      <c r="A50" s="176"/>
      <c r="B50" s="176"/>
      <c r="C50" s="177"/>
      <c r="E50" s="177"/>
      <c r="F50" s="177"/>
      <c r="H50" s="177"/>
      <c r="L50" s="177"/>
      <c r="M50" s="179"/>
      <c r="N50" s="180"/>
      <c r="P50" s="180"/>
      <c r="R50" s="181"/>
      <c r="T50" s="197"/>
      <c r="W50" s="178">
        <f>W46/V46</f>
        <v>0.18836228276088582</v>
      </c>
      <c r="Y50" s="229">
        <f>Y46/V46</f>
        <v>0.81163771723911438</v>
      </c>
      <c r="AD50" s="177"/>
      <c r="AH50" s="177"/>
      <c r="AJ50" s="181"/>
      <c r="AL50" s="182"/>
      <c r="AM50" s="176"/>
    </row>
    <row r="51" spans="1:39" s="178" customFormat="1">
      <c r="A51" s="176"/>
      <c r="B51" s="176"/>
      <c r="C51" s="177"/>
      <c r="E51" s="177"/>
      <c r="F51" s="177"/>
      <c r="H51" s="177"/>
      <c r="L51" s="177"/>
      <c r="M51" s="179"/>
      <c r="N51" s="180"/>
      <c r="P51" s="180"/>
      <c r="R51" s="181"/>
      <c r="T51" s="197"/>
      <c r="AD51" s="177"/>
      <c r="AH51" s="177"/>
      <c r="AJ51" s="181"/>
      <c r="AL51" s="182"/>
      <c r="AM51" s="176"/>
    </row>
    <row r="52" spans="1:39" s="178" customFormat="1">
      <c r="A52" s="176"/>
      <c r="B52" s="176"/>
      <c r="C52" s="177"/>
      <c r="E52" s="177"/>
      <c r="F52" s="177"/>
      <c r="H52" s="177"/>
      <c r="L52" s="177"/>
      <c r="M52" s="179"/>
      <c r="N52" s="180"/>
      <c r="P52" s="180"/>
      <c r="R52" s="181"/>
      <c r="AD52" s="177"/>
      <c r="AH52" s="177"/>
      <c r="AJ52" s="181"/>
      <c r="AL52" s="182"/>
      <c r="AM52" s="176"/>
    </row>
    <row r="53" spans="1:39" s="178" customFormat="1">
      <c r="A53" s="176"/>
      <c r="B53" s="176"/>
      <c r="C53" s="177"/>
      <c r="E53" s="177"/>
      <c r="F53" s="177"/>
      <c r="H53" s="177"/>
      <c r="L53" s="177"/>
      <c r="M53" s="179"/>
      <c r="N53" s="180"/>
      <c r="P53" s="180"/>
      <c r="R53" s="181"/>
      <c r="AD53" s="177"/>
      <c r="AH53" s="177"/>
      <c r="AJ53" s="181"/>
      <c r="AL53" s="182"/>
      <c r="AM53" s="176"/>
    </row>
    <row r="54" spans="1:39" s="178" customFormat="1">
      <c r="A54" s="176"/>
      <c r="B54" s="176"/>
      <c r="C54" s="177"/>
      <c r="E54" s="177"/>
      <c r="F54" s="177"/>
      <c r="H54" s="177"/>
      <c r="L54" s="177"/>
      <c r="M54" s="179"/>
      <c r="N54" s="180"/>
      <c r="P54" s="180"/>
      <c r="R54" s="181"/>
      <c r="T54" s="197"/>
      <c r="AD54" s="177"/>
      <c r="AH54" s="177"/>
      <c r="AJ54" s="181"/>
      <c r="AL54" s="182"/>
      <c r="AM54" s="176"/>
    </row>
    <row r="55" spans="1:39" s="178" customFormat="1">
      <c r="A55" s="176"/>
      <c r="B55" s="176"/>
      <c r="C55" s="177"/>
      <c r="E55" s="177"/>
      <c r="F55" s="177"/>
      <c r="H55" s="177"/>
      <c r="L55" s="177"/>
      <c r="M55" s="179"/>
      <c r="N55" s="180"/>
      <c r="P55" s="180"/>
      <c r="R55" s="181"/>
      <c r="AD55" s="177"/>
      <c r="AH55" s="177"/>
      <c r="AJ55" s="181"/>
      <c r="AL55" s="182"/>
      <c r="AM55" s="176"/>
    </row>
    <row r="56" spans="1:39" s="178" customFormat="1">
      <c r="A56" s="176"/>
      <c r="B56" s="176"/>
      <c r="C56" s="177"/>
      <c r="E56" s="177"/>
      <c r="F56" s="177"/>
      <c r="H56" s="177"/>
      <c r="L56" s="177"/>
      <c r="M56" s="179"/>
      <c r="N56" s="180"/>
      <c r="P56" s="180"/>
      <c r="R56" s="181"/>
      <c r="AD56" s="177"/>
      <c r="AH56" s="177"/>
      <c r="AJ56" s="181"/>
      <c r="AL56" s="182"/>
      <c r="AM56" s="176"/>
    </row>
    <row r="57" spans="1:39" s="178" customFormat="1">
      <c r="A57" s="176"/>
      <c r="B57" s="176"/>
      <c r="C57" s="177"/>
      <c r="E57" s="177"/>
      <c r="F57" s="177"/>
      <c r="H57" s="177"/>
      <c r="L57" s="177"/>
      <c r="M57" s="179"/>
      <c r="N57" s="180"/>
      <c r="P57" s="180"/>
      <c r="R57" s="181"/>
      <c r="AD57" s="177"/>
      <c r="AH57" s="177"/>
      <c r="AJ57" s="181"/>
      <c r="AL57" s="182"/>
      <c r="AM57" s="176"/>
    </row>
    <row r="58" spans="1:39" s="178" customFormat="1">
      <c r="A58" s="176"/>
      <c r="B58" s="176"/>
      <c r="C58" s="177"/>
      <c r="E58" s="177"/>
      <c r="F58" s="177"/>
      <c r="H58" s="177"/>
      <c r="L58" s="177"/>
      <c r="M58" s="179"/>
      <c r="N58" s="180"/>
      <c r="P58" s="180"/>
      <c r="R58" s="181"/>
      <c r="AD58" s="177"/>
      <c r="AH58" s="177"/>
      <c r="AJ58" s="181"/>
      <c r="AL58" s="182"/>
      <c r="AM58" s="176"/>
    </row>
    <row r="59" spans="1:39" s="178" customFormat="1">
      <c r="A59" s="176"/>
      <c r="B59" s="176"/>
      <c r="C59" s="177"/>
      <c r="E59" s="177"/>
      <c r="F59" s="177"/>
      <c r="H59" s="177"/>
      <c r="L59" s="177"/>
      <c r="M59" s="179"/>
      <c r="N59" s="180"/>
      <c r="P59" s="180"/>
      <c r="R59" s="181"/>
      <c r="AD59" s="177"/>
      <c r="AH59" s="177"/>
      <c r="AJ59" s="181"/>
      <c r="AL59" s="182"/>
      <c r="AM59" s="176"/>
    </row>
    <row r="60" spans="1:39" s="178" customFormat="1">
      <c r="A60" s="176"/>
      <c r="B60" s="176"/>
      <c r="C60" s="177"/>
      <c r="E60" s="177"/>
      <c r="F60" s="177"/>
      <c r="H60" s="177"/>
      <c r="L60" s="177"/>
      <c r="M60" s="179"/>
      <c r="N60" s="180"/>
      <c r="P60" s="180"/>
      <c r="R60" s="181"/>
      <c r="AD60" s="177"/>
      <c r="AH60" s="177"/>
      <c r="AJ60" s="181"/>
      <c r="AL60" s="182"/>
      <c r="AM60" s="176"/>
    </row>
    <row r="61" spans="1:39" s="178" customFormat="1">
      <c r="A61" s="176"/>
      <c r="B61" s="176"/>
      <c r="C61" s="177"/>
      <c r="E61" s="177"/>
      <c r="F61" s="177"/>
      <c r="H61" s="177"/>
      <c r="L61" s="177"/>
      <c r="M61" s="179"/>
      <c r="N61" s="180"/>
      <c r="P61" s="180"/>
      <c r="R61" s="181"/>
      <c r="AD61" s="177"/>
      <c r="AH61" s="177"/>
      <c r="AJ61" s="181"/>
      <c r="AL61" s="182"/>
      <c r="AM61" s="176"/>
    </row>
    <row r="62" spans="1:39" s="178" customFormat="1">
      <c r="A62" s="176"/>
      <c r="B62" s="176"/>
      <c r="C62" s="177"/>
      <c r="E62" s="177"/>
      <c r="F62" s="177"/>
      <c r="H62" s="177"/>
      <c r="I62" s="177"/>
      <c r="J62" s="177"/>
      <c r="L62" s="177"/>
      <c r="M62" s="179"/>
      <c r="N62" s="180"/>
      <c r="P62" s="180"/>
      <c r="R62" s="181"/>
      <c r="AD62" s="177"/>
      <c r="AH62" s="177"/>
      <c r="AJ62" s="181"/>
      <c r="AL62" s="182"/>
      <c r="AM62" s="176"/>
    </row>
    <row r="63" spans="1:39" s="178" customFormat="1">
      <c r="A63" s="176"/>
      <c r="B63" s="176"/>
      <c r="C63" s="177"/>
      <c r="E63" s="177"/>
      <c r="F63" s="177"/>
      <c r="H63" s="177"/>
      <c r="L63" s="177"/>
      <c r="M63" s="179"/>
      <c r="N63" s="180"/>
      <c r="P63" s="180"/>
      <c r="R63" s="181"/>
      <c r="AD63" s="177"/>
      <c r="AH63" s="177"/>
      <c r="AJ63" s="181"/>
      <c r="AL63" s="182"/>
      <c r="AM63" s="176"/>
    </row>
    <row r="64" spans="1:39" s="178" customFormat="1">
      <c r="A64" s="176"/>
      <c r="B64" s="176"/>
      <c r="C64" s="177"/>
      <c r="E64" s="177"/>
      <c r="F64" s="177"/>
      <c r="H64" s="177"/>
      <c r="L64" s="177"/>
      <c r="M64" s="179"/>
      <c r="N64" s="180"/>
      <c r="P64" s="180"/>
      <c r="R64" s="181"/>
      <c r="AD64" s="177"/>
      <c r="AH64" s="177"/>
      <c r="AJ64" s="181"/>
      <c r="AL64" s="182"/>
      <c r="AM64" s="176"/>
    </row>
    <row r="65" spans="1:39" s="178" customFormat="1">
      <c r="A65" s="176"/>
      <c r="B65" s="176"/>
      <c r="C65" s="177"/>
      <c r="E65" s="177"/>
      <c r="F65" s="177"/>
      <c r="H65" s="177"/>
      <c r="L65" s="177"/>
      <c r="M65" s="179"/>
      <c r="N65" s="180"/>
      <c r="P65" s="180"/>
      <c r="R65" s="181"/>
      <c r="AD65" s="177"/>
      <c r="AH65" s="177"/>
      <c r="AJ65" s="181"/>
      <c r="AL65" s="182"/>
      <c r="AM65" s="176"/>
    </row>
    <row r="66" spans="1:39" s="178" customFormat="1">
      <c r="A66" s="176"/>
      <c r="B66" s="176"/>
      <c r="C66" s="177"/>
      <c r="E66" s="177"/>
      <c r="F66" s="177"/>
      <c r="H66" s="177"/>
      <c r="L66" s="177"/>
      <c r="M66" s="179"/>
      <c r="N66" s="180"/>
      <c r="P66" s="180"/>
      <c r="R66" s="181"/>
      <c r="AD66" s="177"/>
      <c r="AH66" s="177"/>
      <c r="AJ66" s="181"/>
      <c r="AL66" s="182"/>
      <c r="AM66" s="176"/>
    </row>
    <row r="67" spans="1:39" s="178" customFormat="1">
      <c r="A67" s="176"/>
      <c r="B67" s="176"/>
      <c r="C67" s="177"/>
      <c r="E67" s="177"/>
      <c r="F67" s="177"/>
      <c r="H67" s="177"/>
      <c r="L67" s="177"/>
      <c r="M67" s="179"/>
      <c r="N67" s="180"/>
      <c r="P67" s="180"/>
      <c r="R67" s="181"/>
      <c r="AD67" s="177"/>
      <c r="AH67" s="177"/>
      <c r="AJ67" s="181"/>
      <c r="AL67" s="182"/>
      <c r="AM67" s="176"/>
    </row>
    <row r="68" spans="1:39" s="178" customFormat="1">
      <c r="A68" s="176"/>
      <c r="B68" s="176"/>
      <c r="C68" s="177"/>
      <c r="E68" s="177"/>
      <c r="F68" s="177"/>
      <c r="H68" s="177"/>
      <c r="L68" s="177"/>
      <c r="M68" s="179"/>
      <c r="N68" s="180"/>
      <c r="P68" s="180"/>
      <c r="R68" s="181"/>
      <c r="AD68" s="177"/>
      <c r="AH68" s="177"/>
      <c r="AJ68" s="181"/>
      <c r="AL68" s="182"/>
      <c r="AM68" s="176"/>
    </row>
    <row r="69" spans="1:39" s="178" customFormat="1">
      <c r="A69" s="176"/>
      <c r="B69" s="176"/>
      <c r="C69" s="177"/>
      <c r="E69" s="177"/>
      <c r="F69" s="177"/>
      <c r="H69" s="177"/>
      <c r="L69" s="177"/>
      <c r="M69" s="179"/>
      <c r="N69" s="180"/>
      <c r="P69" s="180"/>
      <c r="R69" s="181"/>
      <c r="AD69" s="177"/>
      <c r="AH69" s="177"/>
      <c r="AJ69" s="181"/>
      <c r="AL69" s="182"/>
      <c r="AM69" s="176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28" location="'Residence Electricity October21'!A1" display="'Residence Electricity October21'!A1" xr:uid="{00000000-0004-0000-0100-000000000000}"/>
    <hyperlink ref="R28" location="'Residence Electricity October21'!A1" display="'Residence Electricity October21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D21" sqref="D2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9">
        <v>44470</v>
      </c>
      <c r="B2" s="270"/>
      <c r="C2" s="270"/>
    </row>
    <row r="3" spans="1:3">
      <c r="A3" s="272" t="s">
        <v>18</v>
      </c>
      <c r="B3" s="271" t="s">
        <v>19</v>
      </c>
      <c r="C3" s="271" t="s">
        <v>13</v>
      </c>
    </row>
    <row r="4" spans="1:3">
      <c r="A4" s="272"/>
      <c r="B4" s="271"/>
      <c r="C4" s="271"/>
    </row>
    <row r="5" spans="1:3">
      <c r="A5" s="272"/>
      <c r="B5" s="271"/>
      <c r="C5" s="271"/>
    </row>
    <row r="6" spans="1:3">
      <c r="A6" s="1">
        <v>1</v>
      </c>
      <c r="B6" s="1">
        <v>11</v>
      </c>
      <c r="C6" s="1">
        <v>91</v>
      </c>
    </row>
    <row r="7" spans="1:3">
      <c r="A7" s="1">
        <v>2</v>
      </c>
      <c r="B7" s="1">
        <v>7</v>
      </c>
      <c r="C7" s="1">
        <v>118</v>
      </c>
    </row>
    <row r="8" spans="1:3">
      <c r="A8" s="1">
        <f>A7+1</f>
        <v>3</v>
      </c>
      <c r="B8" s="1">
        <v>5</v>
      </c>
      <c r="C8" s="1">
        <v>114</v>
      </c>
    </row>
    <row r="9" spans="1:3">
      <c r="A9" s="1">
        <f>A8+1</f>
        <v>4</v>
      </c>
      <c r="B9" s="1">
        <v>5</v>
      </c>
      <c r="C9" s="1">
        <v>56</v>
      </c>
    </row>
    <row r="10" spans="1:3">
      <c r="A10" s="1">
        <f t="shared" ref="A10:A36" si="0">A9+1</f>
        <v>5</v>
      </c>
      <c r="B10" s="1">
        <v>4</v>
      </c>
      <c r="C10" s="1">
        <v>76</v>
      </c>
    </row>
    <row r="11" spans="1:3">
      <c r="A11" s="1">
        <f t="shared" si="0"/>
        <v>6</v>
      </c>
      <c r="B11" s="1">
        <v>2</v>
      </c>
      <c r="C11" s="1">
        <v>92</v>
      </c>
    </row>
    <row r="12" spans="1:3">
      <c r="A12" s="1">
        <f t="shared" si="0"/>
        <v>7</v>
      </c>
      <c r="B12" s="1">
        <v>6</v>
      </c>
      <c r="C12" s="1">
        <v>113</v>
      </c>
    </row>
    <row r="13" spans="1:3">
      <c r="A13" s="1">
        <f t="shared" si="0"/>
        <v>8</v>
      </c>
      <c r="B13" s="1">
        <v>17</v>
      </c>
      <c r="C13" s="1">
        <v>113</v>
      </c>
    </row>
    <row r="14" spans="1:3">
      <c r="A14" s="1">
        <f t="shared" si="0"/>
        <v>9</v>
      </c>
      <c r="B14" s="1">
        <v>14</v>
      </c>
      <c r="C14" s="1">
        <v>131</v>
      </c>
    </row>
    <row r="15" spans="1:3">
      <c r="A15" s="1">
        <f t="shared" si="0"/>
        <v>10</v>
      </c>
      <c r="B15" s="1">
        <v>9</v>
      </c>
      <c r="C15" s="1">
        <v>172</v>
      </c>
    </row>
    <row r="16" spans="1:3">
      <c r="A16" s="1">
        <f t="shared" si="0"/>
        <v>11</v>
      </c>
      <c r="B16" s="1">
        <v>6</v>
      </c>
      <c r="C16" s="1">
        <v>63</v>
      </c>
    </row>
    <row r="17" spans="1:3">
      <c r="A17" s="1">
        <f t="shared" si="0"/>
        <v>12</v>
      </c>
      <c r="B17" s="1">
        <v>5</v>
      </c>
      <c r="C17" s="1">
        <v>65</v>
      </c>
    </row>
    <row r="18" spans="1:3">
      <c r="A18" s="1">
        <f t="shared" si="0"/>
        <v>13</v>
      </c>
      <c r="B18" s="1">
        <v>8</v>
      </c>
      <c r="C18" s="1">
        <v>106</v>
      </c>
    </row>
    <row r="19" spans="1:3">
      <c r="A19" s="1">
        <f t="shared" si="0"/>
        <v>14</v>
      </c>
      <c r="B19" s="1">
        <v>8</v>
      </c>
      <c r="C19" s="1">
        <v>85</v>
      </c>
    </row>
    <row r="20" spans="1:3">
      <c r="A20" s="1">
        <f t="shared" si="0"/>
        <v>15</v>
      </c>
      <c r="B20" s="1">
        <v>16</v>
      </c>
      <c r="C20" s="1">
        <v>117</v>
      </c>
    </row>
    <row r="21" spans="1:3">
      <c r="A21" s="1">
        <f t="shared" si="0"/>
        <v>16</v>
      </c>
      <c r="B21" s="1">
        <v>45</v>
      </c>
      <c r="C21" s="1">
        <v>256</v>
      </c>
    </row>
    <row r="22" spans="1:3">
      <c r="A22" s="1">
        <f t="shared" si="0"/>
        <v>17</v>
      </c>
      <c r="B22" s="1">
        <v>53</v>
      </c>
      <c r="C22" s="1">
        <v>327</v>
      </c>
    </row>
    <row r="23" spans="1:3">
      <c r="A23" s="1">
        <f t="shared" si="0"/>
        <v>18</v>
      </c>
      <c r="B23" s="1">
        <v>49</v>
      </c>
      <c r="C23" s="1">
        <v>301</v>
      </c>
    </row>
    <row r="24" spans="1:3">
      <c r="A24" s="1">
        <f t="shared" si="0"/>
        <v>19</v>
      </c>
      <c r="B24" s="1">
        <v>20</v>
      </c>
      <c r="C24" s="1">
        <v>239</v>
      </c>
    </row>
    <row r="25" spans="1:3">
      <c r="A25" s="1">
        <f t="shared" si="0"/>
        <v>20</v>
      </c>
      <c r="B25" s="1">
        <v>13</v>
      </c>
      <c r="C25" s="1">
        <v>129</v>
      </c>
    </row>
    <row r="26" spans="1:3">
      <c r="A26" s="1">
        <f t="shared" si="0"/>
        <v>21</v>
      </c>
      <c r="B26" s="1">
        <v>9</v>
      </c>
      <c r="C26" s="1">
        <v>167</v>
      </c>
    </row>
    <row r="27" spans="1:3">
      <c r="A27" s="1">
        <f t="shared" si="0"/>
        <v>22</v>
      </c>
      <c r="B27" s="1">
        <v>11</v>
      </c>
      <c r="C27" s="1">
        <v>135</v>
      </c>
    </row>
    <row r="28" spans="1:3">
      <c r="A28" s="1">
        <f t="shared" si="0"/>
        <v>23</v>
      </c>
      <c r="B28" s="1">
        <v>13</v>
      </c>
      <c r="C28" s="1">
        <v>99</v>
      </c>
    </row>
    <row r="29" spans="1:3">
      <c r="A29" s="1">
        <f t="shared" si="0"/>
        <v>24</v>
      </c>
      <c r="B29" s="1">
        <v>7</v>
      </c>
      <c r="C29" s="1">
        <v>95</v>
      </c>
    </row>
    <row r="30" spans="1:3">
      <c r="A30" s="1">
        <f t="shared" si="0"/>
        <v>25</v>
      </c>
      <c r="B30" s="1">
        <v>13</v>
      </c>
      <c r="C30" s="1">
        <v>56</v>
      </c>
    </row>
    <row r="31" spans="1:3">
      <c r="A31" s="1">
        <f t="shared" si="0"/>
        <v>26</v>
      </c>
      <c r="B31" s="1">
        <v>3</v>
      </c>
      <c r="C31" s="1">
        <v>57</v>
      </c>
    </row>
    <row r="32" spans="1:3">
      <c r="A32" s="1">
        <f t="shared" si="0"/>
        <v>27</v>
      </c>
      <c r="B32" s="1">
        <v>3</v>
      </c>
      <c r="C32" s="1">
        <v>55</v>
      </c>
    </row>
    <row r="33" spans="1:3">
      <c r="A33" s="1">
        <f t="shared" si="0"/>
        <v>28</v>
      </c>
      <c r="B33" s="1">
        <v>1</v>
      </c>
      <c r="C33" s="1">
        <v>62</v>
      </c>
    </row>
    <row r="34" spans="1:3">
      <c r="A34" s="1">
        <f t="shared" si="0"/>
        <v>29</v>
      </c>
      <c r="B34" s="1">
        <v>5</v>
      </c>
      <c r="C34" s="1">
        <v>40</v>
      </c>
    </row>
    <row r="35" spans="1:3">
      <c r="A35" s="1">
        <f t="shared" si="0"/>
        <v>30</v>
      </c>
      <c r="B35" s="1">
        <v>8</v>
      </c>
      <c r="C35" s="1">
        <v>116</v>
      </c>
    </row>
    <row r="36" spans="1:3">
      <c r="A36" s="1">
        <f t="shared" si="0"/>
        <v>31</v>
      </c>
      <c r="B36" s="1">
        <v>9</v>
      </c>
      <c r="C36" s="1">
        <v>141</v>
      </c>
    </row>
    <row r="37" spans="1:3">
      <c r="B37" s="5">
        <f>SUM(B6:B36)</f>
        <v>385</v>
      </c>
      <c r="C37" s="5">
        <f>SUM(C6:C36)</f>
        <v>3787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D27"/>
  <sheetViews>
    <sheetView workbookViewId="0">
      <selection activeCell="F27" sqref="F27"/>
    </sheetView>
  </sheetViews>
  <sheetFormatPr defaultRowHeight="1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>
      <c r="B6" s="219" t="s">
        <v>57</v>
      </c>
      <c r="C6" s="1" t="s">
        <v>58</v>
      </c>
      <c r="D6" s="220">
        <v>2411</v>
      </c>
    </row>
    <row r="7" spans="2:4">
      <c r="B7" s="219"/>
      <c r="C7" s="1" t="s">
        <v>59</v>
      </c>
      <c r="D7" s="221">
        <v>3657331</v>
      </c>
    </row>
    <row r="8" spans="2:4">
      <c r="B8" s="222" t="s">
        <v>60</v>
      </c>
      <c r="C8" s="1" t="s">
        <v>61</v>
      </c>
      <c r="D8" s="220">
        <v>7686</v>
      </c>
    </row>
    <row r="9" spans="2:4">
      <c r="B9" s="222"/>
      <c r="C9" s="1" t="s">
        <v>59</v>
      </c>
      <c r="D9" s="223">
        <v>12769558</v>
      </c>
    </row>
    <row r="10" spans="2:4">
      <c r="B10" s="222" t="s">
        <v>62</v>
      </c>
      <c r="C10" s="1" t="s">
        <v>63</v>
      </c>
      <c r="D10" s="220">
        <v>1268</v>
      </c>
    </row>
    <row r="11" spans="2:4">
      <c r="B11" s="222"/>
      <c r="C11" s="1" t="s">
        <v>59</v>
      </c>
      <c r="D11" s="223">
        <v>3522178</v>
      </c>
    </row>
    <row r="12" spans="2:4">
      <c r="B12" s="222" t="s">
        <v>64</v>
      </c>
      <c r="C12" s="1" t="s">
        <v>65</v>
      </c>
      <c r="D12" s="220">
        <v>6170</v>
      </c>
    </row>
    <row r="13" spans="2:4">
      <c r="B13" s="222"/>
      <c r="C13" s="1" t="s">
        <v>59</v>
      </c>
      <c r="D13" s="223">
        <v>10250869</v>
      </c>
    </row>
    <row r="14" spans="2:4">
      <c r="B14" s="222" t="s">
        <v>66</v>
      </c>
      <c r="C14" s="1" t="s">
        <v>67</v>
      </c>
      <c r="D14" s="220">
        <v>6293</v>
      </c>
    </row>
    <row r="15" spans="2:4">
      <c r="B15" s="222"/>
      <c r="C15" s="1" t="s">
        <v>59</v>
      </c>
      <c r="D15" s="223">
        <v>10455222</v>
      </c>
    </row>
    <row r="16" spans="2:4">
      <c r="B16" s="222" t="s">
        <v>68</v>
      </c>
      <c r="C16" s="1" t="s">
        <v>69</v>
      </c>
      <c r="D16" s="220">
        <v>5660</v>
      </c>
    </row>
    <row r="17" spans="2:4">
      <c r="B17" s="222"/>
      <c r="C17" s="1" t="s">
        <v>59</v>
      </c>
      <c r="D17" s="223">
        <v>9403552</v>
      </c>
    </row>
    <row r="18" spans="2:4">
      <c r="B18" s="222" t="s">
        <v>70</v>
      </c>
      <c r="C18" s="1" t="s">
        <v>71</v>
      </c>
      <c r="D18" s="220">
        <v>5238</v>
      </c>
    </row>
    <row r="19" spans="2:4">
      <c r="B19" s="222"/>
      <c r="C19" s="1" t="s">
        <v>59</v>
      </c>
      <c r="D19" s="223">
        <v>8702440</v>
      </c>
    </row>
    <row r="20" spans="2:4">
      <c r="B20" s="222" t="s">
        <v>72</v>
      </c>
      <c r="C20" s="1" t="s">
        <v>73</v>
      </c>
      <c r="D20" s="220">
        <v>4360</v>
      </c>
    </row>
    <row r="21" spans="2:4">
      <c r="B21" s="222"/>
      <c r="C21" s="1" t="s">
        <v>59</v>
      </c>
      <c r="D21" s="224">
        <v>7243726</v>
      </c>
    </row>
    <row r="22" spans="2:4">
      <c r="B22" s="222" t="s">
        <v>74</v>
      </c>
      <c r="C22" s="1" t="s">
        <v>75</v>
      </c>
      <c r="D22" s="225">
        <v>6405</v>
      </c>
    </row>
    <row r="23" spans="2:4">
      <c r="B23" s="222"/>
      <c r="C23" s="1" t="s">
        <v>59</v>
      </c>
      <c r="D23" s="224">
        <v>10641299</v>
      </c>
    </row>
    <row r="24" spans="2:4">
      <c r="B24" s="222" t="s">
        <v>76</v>
      </c>
      <c r="C24" s="1" t="s">
        <v>77</v>
      </c>
      <c r="D24" s="225">
        <v>2916</v>
      </c>
    </row>
    <row r="25" spans="2:4">
      <c r="B25" s="226"/>
      <c r="C25" s="1" t="s">
        <v>59</v>
      </c>
      <c r="D25" s="224">
        <v>4844657</v>
      </c>
    </row>
    <row r="26" spans="2:4">
      <c r="B26" s="273" t="s">
        <v>78</v>
      </c>
      <c r="C26" s="274"/>
      <c r="D26" s="227">
        <f>+D6+D8+D10+D12+D14+D16+D18+D20+D22+D24</f>
        <v>48407</v>
      </c>
    </row>
    <row r="27" spans="2:4">
      <c r="B27" s="273" t="s">
        <v>79</v>
      </c>
      <c r="C27" s="274"/>
      <c r="D27" s="228">
        <f>+D7+D9+D11+D13+D15+D17+D19+D21+D23+D25</f>
        <v>81490832</v>
      </c>
    </row>
  </sheetData>
  <mergeCells count="2">
    <mergeCell ref="B26:C26"/>
    <mergeCell ref="B27:C2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15E749CB-23A1-49FE-8FC3-96785FE58E83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2023-02-11T05:37:54Z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1895100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