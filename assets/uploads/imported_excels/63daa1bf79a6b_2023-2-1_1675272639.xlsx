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5" i="7" l="1"/>
  <c r="K33" i="3" l="1"/>
  <c r="I33" i="3"/>
  <c r="G33" i="3"/>
  <c r="E33" i="3"/>
  <c r="P18" i="7" l="1"/>
  <c r="P19" i="7"/>
  <c r="P30" i="7"/>
  <c r="P31" i="7"/>
  <c r="P32" i="7"/>
  <c r="BJ27" i="7" l="1"/>
  <c r="BJ28" i="7"/>
  <c r="BJ29" i="7"/>
  <c r="BJ30" i="7"/>
  <c r="BJ31" i="7"/>
  <c r="BJ32" i="7"/>
  <c r="BJ33" i="7"/>
  <c r="BH27" i="7" l="1"/>
  <c r="T20" i="7" l="1"/>
  <c r="T21" i="7"/>
  <c r="T22" i="7"/>
  <c r="BF19" i="7" l="1"/>
  <c r="D18" i="7" l="1"/>
  <c r="D19" i="7"/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8" i="7"/>
  <c r="BH29" i="7"/>
  <c r="BH30" i="7"/>
  <c r="BH31" i="7"/>
  <c r="BH32" i="7"/>
  <c r="BH33" i="7"/>
  <c r="BJ6" i="7"/>
  <c r="BJ7" i="7"/>
  <c r="BJ8" i="7"/>
  <c r="BJ9" i="7"/>
  <c r="BJ10" i="7"/>
  <c r="BJ11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<sst xmlns="http://schemas.openxmlformats.org/spreadsheetml/2006/main" count="315" uniqueCount="149">
  <si>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</si>
  <si>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</si>
  <si>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</si>
  <si>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</si>
  <si>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</si>
  <si>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</si>
  <si>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</si>
  <si>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</si>
  <si>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</si>
  <si>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</si>
  <si>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</si>
  <si>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</si>
  <si>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</si>
  <si>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</si>
  <si>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</si>
  <si>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</si>
  <si>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</si>
  <si>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</si>
  <si>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</si>
  <si>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</si>
  <si>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</si>
  <si>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</si>
  <si>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</si>
  <si>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</si>
  <si>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</si>
  <si>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</si>
  <si>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</si>
  <si>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</si>
  <si>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</si>
  <si>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</si>
  <si>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</si>
  <si>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</si>
  <si>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</si>
  <si>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</si>
  <si>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</si>
  <si>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</si>
  <si>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</si>
  <si>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</si>
  <si>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</si>
  <si>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</si>
  <si>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</si>
  <si>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</si>
  <si>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</si>
  <si>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</si>
  <si>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</si>
  <si>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</si>
  <si>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</si>
  <si>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</si>
  <si>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</si>
  <si>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</si>
  <si>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</si>
  <si>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</si>
  <si>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</si>
  <si>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</si>
  <si>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</si>
  <si>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</si>
  <si>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</si>
  <si>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</si>
  <si>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</si>
  <si>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</si>
  <si>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</si>
  <si>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</si>
  <si>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</si>
  <si>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</si>
  <si>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</si>
  <si>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</si>
  <si>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</si>
  <si>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</si>
  <si>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</si>
  <si>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</si>
  <si>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</si>
  <si>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</si>
  <si>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</si>
  <si>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</si>
  <si>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</si>
  <si>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</si>
  <si>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</si>
  <si>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</si>
  <si>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</si>
  <si>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</si>
  <si>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</si>
  <si>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</si>
  <si>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</si>
  <si>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</si>
  <si>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</si>
  <si>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</si>
  <si>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</si>
  <si>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</si>
  <si>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</si>
  <si>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</si>
  <si>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</si>
  <si>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</si>
  <si>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</si>
  <si>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</si>
  <si>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</si>
  <si>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</si>
  <si>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</si>
  <si>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</si>
  <si>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</si>
  <si>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</si>
  <si>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</si>
  <si>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</si>
  <si>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</si>
  <si>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</si>
  <si>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</si>
  <si>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</si>
  <si>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</si>
  <si>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</si>
  <si>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</si>
  <si>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</si>
  <si>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</si>
  <si>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</si>
  <si>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</si>
  <si>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</si>
  <si>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</si>
  <si>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</si>
  <si>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</si>
  <si>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</si>
  <si>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</si>
  <si>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</si>
  <si>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</si>
  <si>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</si>
  <si>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</si>
  <si>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</si>
  <si>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</si>
  <si>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</si>
  <si>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</si>
  <si>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</si>
  <si>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</si>
  <si>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</si>
  <si>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</si>
  <si>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</si>
  <si>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</si>
  <si>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</si>
  <si>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</si>
  <si>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</si>
  <si>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</si>
  <si>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</si>
  <si>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</si>
  <si>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</si>
  <si>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</si>
  <si>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</si>
  <si>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</si>
  <si>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</si>
  <si>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</si>
  <si>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</si>
  <si>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VILLA 100
(GWH)</t>
  </si>
  <si>
    <t>Total Renewable Energy Production  (MWH)
(KWH)</t>
  </si>
  <si>
    <t>Difference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</si>
</sst>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F37" sqref="F3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11399.999999999522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154</v>
      </c>
      <c r="J16" s="11">
        <f t="shared" si="2"/>
        <v>10.487297712684205</v>
      </c>
      <c r="K16" s="13">
        <f>'FS Desroches Daily'!CN18</f>
        <v>24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11199.99999999992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121.29999999999927</v>
      </c>
      <c r="J17" s="11">
        <f t="shared" si="2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11000.000000000453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100.79999999999927</v>
      </c>
      <c r="J18" s="11">
        <f t="shared" si="2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10999.99999999964</v>
      </c>
      <c r="F19" s="11">
        <f t="shared" si="0"/>
        <v>0.58765030286592534</v>
      </c>
      <c r="G19" s="12">
        <f>(Submetering!AX19+Submetering!AY19+Submetering!AZ19+Submetering!BA19+Submetering!BB19)</f>
        <v>14.651999999999997</v>
      </c>
      <c r="H19" s="11">
        <f t="shared" si="1"/>
        <v>0.99</v>
      </c>
      <c r="I19" s="12">
        <f>'FS Desroches Daily'!CM21</f>
        <v>107.10000000000218</v>
      </c>
      <c r="J19" s="11">
        <f t="shared" si="2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12299.999999999947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104.59999999999854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12100.000000000111</v>
      </c>
      <c r="F21" s="11">
        <f t="shared" si="0"/>
        <v>0.58765030286592534</v>
      </c>
      <c r="G21" s="12">
        <f>(Submetering!AX21+Submetering!AY21+Submetering!AZ21+Submetering!BA21+Submetering!BB21)</f>
        <v>12.820499999999999</v>
      </c>
      <c r="H21" s="11">
        <f t="shared" si="1"/>
        <v>0.99</v>
      </c>
      <c r="I21" s="12">
        <f>'FS Desroches Daily'!CM23</f>
        <v>115.40000000000146</v>
      </c>
      <c r="J21" s="11">
        <f t="shared" si="2"/>
        <v>10.487297712684205</v>
      </c>
      <c r="K21" s="13">
        <f>'FS Desroches Daily'!CN23</f>
        <v>21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7.3259999999999996</v>
      </c>
      <c r="H22" s="11">
        <f t="shared" si="1"/>
        <v>0.99</v>
      </c>
      <c r="I22" s="12">
        <f>'FS Desroches Daily'!CM24</f>
        <v>102</v>
      </c>
      <c r="J22" s="11">
        <f t="shared" si="2"/>
        <v>10.487297712684205</v>
      </c>
      <c r="K22" s="13">
        <f>'FS Desroches Daily'!CN24</f>
        <v>18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11099.9999999994</v>
      </c>
      <c r="F23" s="11">
        <f t="shared" si="0"/>
        <v>0.58765030286592534</v>
      </c>
      <c r="G23" s="12">
        <f>(Submetering!AX23+Submetering!AY23+Submetering!AZ23+Submetering!BA23+Submetering!BB23)</f>
        <v>7.3259999999999996</v>
      </c>
      <c r="H23" s="11">
        <f t="shared" si="1"/>
        <v>0.99</v>
      </c>
      <c r="I23" s="12">
        <f>'FS Desroches Daily'!CM25</f>
        <v>93.700000000000728</v>
      </c>
      <c r="J23" s="11">
        <f t="shared" si="2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11199.999999999687</v>
      </c>
      <c r="F24" s="11">
        <f t="shared" si="0"/>
        <v>0.58765030286592534</v>
      </c>
      <c r="G24" s="12">
        <f>(Submetering!AX24+Submetering!AY24+Submetering!AZ24+Submetering!BA24+Submetering!BB24)</f>
        <v>10.988999999999999</v>
      </c>
      <c r="H24" s="11">
        <f t="shared" si="1"/>
        <v>0.99</v>
      </c>
      <c r="I24" s="12">
        <f>'FS Desroches Daily'!CM26</f>
        <v>88.299999999999272</v>
      </c>
      <c r="J24" s="11">
        <f t="shared" si="2"/>
        <v>10.487297712684205</v>
      </c>
      <c r="K24" s="13">
        <f>'FS Desroches Daily'!CN26</f>
        <v>15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12900.000000000024</v>
      </c>
      <c r="F25" s="11">
        <f t="shared" si="0"/>
        <v>0.58765030286592534</v>
      </c>
      <c r="G25" s="12">
        <f>(Submetering!AX25+Submetering!AY25+Submetering!AZ25+Submetering!BA25+Submetering!BB25)</f>
        <v>10.988999999999999</v>
      </c>
      <c r="H25" s="11">
        <f t="shared" si="1"/>
        <v>0.99</v>
      </c>
      <c r="I25" s="12">
        <f>'FS Desroches Daily'!CM27</f>
        <v>110.79999999999927</v>
      </c>
      <c r="J25" s="11">
        <f t="shared" si="2"/>
        <v>10.487297712684205</v>
      </c>
      <c r="K25" s="13">
        <f>'FS Desroches Daily'!CN27</f>
        <v>15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11999.999999999012</v>
      </c>
      <c r="F26" s="11">
        <f t="shared" si="0"/>
        <v>0.58765030286592534</v>
      </c>
      <c r="G26" s="12">
        <f>(Submetering!AX26+Submetering!AY26+Submetering!AZ26+Submetering!BA26+Submetering!BB26)</f>
        <v>5.4944999999999995</v>
      </c>
      <c r="H26" s="11">
        <f t="shared" si="1"/>
        <v>0.99</v>
      </c>
      <c r="I26" s="12">
        <f>'FS Desroches Daily'!CM28</f>
        <v>107</v>
      </c>
      <c r="J26" s="11">
        <f t="shared" si="2"/>
        <v>10.487297712684205</v>
      </c>
      <c r="K26" s="13">
        <f>'FS Desroches Daily'!CN28</f>
        <v>12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12400.000000001633</v>
      </c>
      <c r="F27" s="11">
        <f t="shared" si="0"/>
        <v>0.58765030286592534</v>
      </c>
      <c r="G27" s="12">
        <f>(Submetering!AX27+Submetering!AY27+Submetering!AZ27+Submetering!BA27+Submetering!BB27)</f>
        <v>16.483499999999999</v>
      </c>
      <c r="H27" s="11">
        <f t="shared" si="1"/>
        <v>0.99</v>
      </c>
      <c r="I27" s="12">
        <f>'FS Desroches Daily'!CM29</f>
        <v>85</v>
      </c>
      <c r="J27" s="11">
        <f t="shared" si="2"/>
        <v>10.487297712684205</v>
      </c>
      <c r="K27" s="13">
        <f>'FS Desroches Daily'!CN29</f>
        <v>11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11499.999999999523</v>
      </c>
      <c r="F28" s="11">
        <f t="shared" si="0"/>
        <v>0.58765030286592534</v>
      </c>
      <c r="G28" s="12">
        <f>(Submetering!AX28+Submetering!AY28+Submetering!AZ28+Submetering!BA28+Submetering!BB28)</f>
        <v>16.483499999999999</v>
      </c>
      <c r="H28" s="11">
        <f t="shared" si="1"/>
        <v>0.99</v>
      </c>
      <c r="I28" s="12">
        <f>'FS Desroches Daily'!CM30</f>
        <v>99.200000000000728</v>
      </c>
      <c r="J28" s="11">
        <f t="shared" si="2"/>
        <v>10.487297712684205</v>
      </c>
      <c r="K28" s="13">
        <f>'FS Desroches Daily'!CN30</f>
        <v>9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11899.999999999825</v>
      </c>
      <c r="F29" s="11">
        <f t="shared" si="0"/>
        <v>0.58765030286592534</v>
      </c>
      <c r="G29" s="12">
        <f>(Submetering!AX29+Submetering!AY29+Submetering!AZ29+Submetering!BA29+Submetering!BB29)</f>
        <v>12.820499999999999</v>
      </c>
      <c r="H29" s="11">
        <f t="shared" si="1"/>
        <v>0.99</v>
      </c>
      <c r="I29" s="12">
        <f>'FS Desroches Daily'!CM31</f>
        <v>99.299999999999272</v>
      </c>
      <c r="J29" s="11">
        <f t="shared" si="2"/>
        <v>10.487297712684205</v>
      </c>
      <c r="K29" s="13">
        <f>'FS Desroches Daily'!CN31</f>
        <v>10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9100.0000000010295</v>
      </c>
      <c r="F30" s="11">
        <f t="shared" si="0"/>
        <v>0.58765030286592534</v>
      </c>
      <c r="G30" s="12">
        <f>(Submetering!AX30+Submetering!AY30+Submetering!AZ30+Submetering!BA30+Submetering!BB30)</f>
        <v>14.651999999999997</v>
      </c>
      <c r="H30" s="11">
        <f t="shared" si="1"/>
        <v>0.99</v>
      </c>
      <c r="I30" s="12">
        <f>'FS Desroches Daily'!CM32</f>
        <v>98.099999999998545</v>
      </c>
      <c r="J30" s="11">
        <f t="shared" si="2"/>
        <v>10.487297712684205</v>
      </c>
      <c r="K30" s="13">
        <f>'FS Desroches Daily'!CN32</f>
        <v>10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8199.9999999994998</v>
      </c>
      <c r="F31" s="11">
        <f t="shared" si="0"/>
        <v>0.58765030286592534</v>
      </c>
      <c r="G31" s="12">
        <f>(Submetering!AX31+Submetering!AY31+Submetering!AZ31+Submetering!BA31+Submetering!BB31)</f>
        <v>5.4944999999999995</v>
      </c>
      <c r="H31" s="11">
        <f t="shared" si="1"/>
        <v>0.99</v>
      </c>
      <c r="I31" s="12">
        <f>'FS Desroches Daily'!CM33</f>
        <v>81.400000000001455</v>
      </c>
      <c r="J31" s="11">
        <f t="shared" si="2"/>
        <v>10.487297712684205</v>
      </c>
      <c r="K31" s="13">
        <f>'FS Desroches Daily'!CN33</f>
        <v>10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8800.0000000001601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79.200000000000728</v>
      </c>
      <c r="J32" s="11">
        <f t="shared" si="2"/>
        <v>10.487297712684205</v>
      </c>
      <c r="K32" s="13">
        <f>'FS Desroches Daily'!CN34</f>
        <v>10</v>
      </c>
    </row>
    <row r="33" spans="5:11" x14ac:dyDescent="0.25">
      <c r="E33" s="17">
        <f>SUM(E2:E32)</f>
        <v>377700.00000000076</v>
      </c>
      <c r="G33" s="19">
        <f>SUM(G2:G32)</f>
        <v>349.81649999999991</v>
      </c>
      <c r="I33" s="19">
        <f>SUM(I2:I32)</f>
        <v>3690.2000000000007</v>
      </c>
      <c r="K33" s="19">
        <f>SUM(K2:K32)</f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39" sqref="E3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2499.9999999999468</v>
      </c>
      <c r="F16" s="32">
        <f>'FS Desroches Daily'!F18</f>
        <v>3199.9999999996476</v>
      </c>
      <c r="G16" s="31">
        <f>'FS Desroches Daily'!H18</f>
        <v>3899.9999999997926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1300.0000000000789</v>
      </c>
      <c r="K16" s="13">
        <f>'FS Desroches Daily'!P18</f>
        <v>161</v>
      </c>
      <c r="L16" s="31">
        <f>'FS Desroches Daily'!R18</f>
        <v>2</v>
      </c>
      <c r="M16" s="31">
        <f>'FS Desroches Daily'!T18</f>
        <v>1500</v>
      </c>
      <c r="N16" s="31">
        <f>'FS Desroches Daily'!V18</f>
        <v>514.69999999995343</v>
      </c>
      <c r="O16" s="31">
        <f>'FS Desroches Daily'!X18</f>
        <v>259.99999999999091</v>
      </c>
      <c r="P16" s="31">
        <f>'FS Desroches Daily'!Z18</f>
        <v>2699.9999999999245</v>
      </c>
      <c r="Q16" s="31">
        <f>'FS Desroches Daily'!AB18</f>
        <v>229.9999999999045</v>
      </c>
      <c r="R16" s="31">
        <f>'FS Desroches Daily'!AD18</f>
        <v>250</v>
      </c>
      <c r="S16" s="31">
        <f>'FS Desroches Daily'!AF18</f>
        <v>670.00000000007276</v>
      </c>
      <c r="T16" s="31">
        <f>'FS Desroches Daily'!AH18</f>
        <v>41</v>
      </c>
      <c r="U16" s="35">
        <f>'FS Desroches Daily'!AJ18</f>
        <v>499.99999999994492</v>
      </c>
      <c r="V16" s="35">
        <f>'FS Desroches Daily'!AL18</f>
        <v>129.99999999999545</v>
      </c>
      <c r="W16" s="35">
        <f>'FS Desroches Daily'!AN18</f>
        <v>100.00000000002274</v>
      </c>
      <c r="X16" s="35">
        <f>'FS Desroches Daily'!AP18</f>
        <v>149.99999999997726</v>
      </c>
      <c r="Y16" s="35">
        <f>'FS Desroches Daily'!AR18</f>
        <v>160.00000000002501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90.000000000031832</v>
      </c>
      <c r="AC16" s="35">
        <f>'FS Desroches Daily'!AZ18</f>
        <v>149.99999999997726</v>
      </c>
      <c r="AD16" s="35">
        <f>'FS Desroches Daily'!BB18</f>
        <v>110.00000000001364</v>
      </c>
      <c r="AE16" s="35">
        <f>'FS Desroches Daily'!BD18</f>
        <v>60.000000000002274</v>
      </c>
      <c r="AF16" s="31">
        <f>'FS Desroches Daily'!BF18</f>
        <v>38</v>
      </c>
      <c r="AG16" s="32">
        <f>'FS Desroches Daily'!BH18</f>
        <v>40.000000000020464</v>
      </c>
      <c r="AH16" s="32">
        <f>'FS Desroches Daily'!BJ18</f>
        <v>30.000000000029559</v>
      </c>
      <c r="AI16" s="32">
        <f>'FS Desroches Daily'!BL18</f>
        <v>69.999999999993179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40.000000000020464</v>
      </c>
      <c r="AN16" s="32">
        <f>'FS Desroches Daily'!BV18</f>
        <v>40</v>
      </c>
      <c r="AO16" s="32">
        <f>'FS Desroches Daily'!BX18</f>
        <v>30.000000000001137</v>
      </c>
      <c r="AP16" s="32">
        <f>'FS Desroches Daily'!BZ18</f>
        <v>51</v>
      </c>
      <c r="AQ16" s="31">
        <f>'FS Desroches Daily'!CB18</f>
        <v>80.799999999995634</v>
      </c>
      <c r="AR16" s="31">
        <f>'FS Desroches Daily'!CD18</f>
        <v>21.600000000002183</v>
      </c>
      <c r="AS16" s="31">
        <f>'FS Desroches Daily'!CF18</f>
        <v>0.6000000000003638</v>
      </c>
      <c r="AT16" s="31">
        <f>'FS Desroches Daily'!CH18</f>
        <v>68.400000000008731</v>
      </c>
      <c r="AU16" s="31">
        <f>'FS Desroches Daily'!CJ18</f>
        <v>307</v>
      </c>
      <c r="AV16" s="31">
        <f>'FS Desroches Daily'!CL18</f>
        <v>1000</v>
      </c>
      <c r="AW16" s="31">
        <f>'FS Desroches Daily'!CM18</f>
        <v>154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2499.9999999999468</v>
      </c>
      <c r="F17" s="32">
        <f>'FS Desroches Daily'!F19</f>
        <v>3099.9999999998809</v>
      </c>
      <c r="G17" s="31">
        <f>'FS Desroches Daily'!H19</f>
        <v>3700.0000000002588</v>
      </c>
      <c r="H17" s="32">
        <f>'FS Desroches Daily'!J19</f>
        <v>1600.0000000002678</v>
      </c>
      <c r="I17" s="31">
        <f>'FS Desroches Daily'!L19</f>
        <v>2199.9999999997576</v>
      </c>
      <c r="J17" s="32">
        <f>'FS Desroches Daily'!N19</f>
        <v>1499.9999999996128</v>
      </c>
      <c r="K17" s="13">
        <f>'FS Desroches Daily'!P19</f>
        <v>36</v>
      </c>
      <c r="L17" s="31">
        <f>'FS Desroches Daily'!R19</f>
        <v>4</v>
      </c>
      <c r="M17" s="31">
        <f>'FS Desroches Daily'!T19</f>
        <v>1300.0000000001819</v>
      </c>
      <c r="N17" s="31">
        <f>'FS Desroches Daily'!V19</f>
        <v>477.69999999995343</v>
      </c>
      <c r="O17" s="31">
        <f>'FS Desroches Daily'!X19</f>
        <v>250</v>
      </c>
      <c r="P17" s="31">
        <f>'FS Desroches Daily'!Z19</f>
        <v>2900.0000000003465</v>
      </c>
      <c r="Q17" s="31">
        <f>'FS Desroches Daily'!AB19</f>
        <v>379.99999999999545</v>
      </c>
      <c r="R17" s="31">
        <f>'FS Desroches Daily'!AD19</f>
        <v>299.99999999995453</v>
      </c>
      <c r="S17" s="31">
        <f>'FS Desroches Daily'!AF19</f>
        <v>730.00000000001819</v>
      </c>
      <c r="T17" s="31">
        <f>'FS Desroches Daily'!AH19</f>
        <v>44</v>
      </c>
      <c r="U17" s="35">
        <f>'FS Desroches Daily'!AJ19</f>
        <v>600.00000000015598</v>
      </c>
      <c r="V17" s="35">
        <f>'FS Desroches Daily'!AL19</f>
        <v>170.00000000001592</v>
      </c>
      <c r="W17" s="35">
        <f>'FS Desroches Daily'!AN19</f>
        <v>139.99999999998636</v>
      </c>
      <c r="X17" s="35">
        <f>'FS Desroches Daily'!AP19</f>
        <v>180.00000000000682</v>
      </c>
      <c r="Y17" s="35">
        <f>'FS Desroches Daily'!AR19</f>
        <v>159.99999999996817</v>
      </c>
      <c r="Z17" s="35">
        <f>'FS Desroches Daily'!AU20</f>
        <v>385.52</v>
      </c>
      <c r="AA17" s="35">
        <f>'FS Desroches Daily'!AU20</f>
        <v>385.52</v>
      </c>
      <c r="AB17" s="35">
        <f>'FS Desroches Daily'!AV19</f>
        <v>129.99999999999545</v>
      </c>
      <c r="AC17" s="35">
        <f>'FS Desroches Daily'!AZ19</f>
        <v>139.99999999998636</v>
      </c>
      <c r="AD17" s="35">
        <f>'FS Desroches Daily'!BB19</f>
        <v>139.99999999998636</v>
      </c>
      <c r="AE17" s="35">
        <f>'FS Desroches Daily'!BD19</f>
        <v>60.000000000002274</v>
      </c>
      <c r="AF17" s="31">
        <f>'FS Desroches Daily'!BF19</f>
        <v>49</v>
      </c>
      <c r="AG17" s="32">
        <f>'FS Desroches Daily'!BH19</f>
        <v>39.99999999996362</v>
      </c>
      <c r="AH17" s="32">
        <f>'FS Desroches Daily'!BJ19</f>
        <v>50.000000000011369</v>
      </c>
      <c r="AI17" s="32">
        <f>'FS Desroches Daily'!BL19</f>
        <v>69.999999999993179</v>
      </c>
      <c r="AJ17" s="32">
        <f>'FS Desroches Daily'!BN19</f>
        <v>40.000000000020464</v>
      </c>
      <c r="AK17" s="32">
        <f>'FS Desroches Daily'!BP19</f>
        <v>39.99999999996362</v>
      </c>
      <c r="AL17" s="32">
        <f>'FS Desroches Daily'!BR19</f>
        <v>49</v>
      </c>
      <c r="AM17" s="32">
        <f>'FS Desroches Daily'!BT19</f>
        <v>29.999999999972715</v>
      </c>
      <c r="AN17" s="32">
        <f>'FS Desroches Daily'!BV19</f>
        <v>43</v>
      </c>
      <c r="AO17" s="32">
        <f>'FS Desroches Daily'!BX19</f>
        <v>50.000000000011369</v>
      </c>
      <c r="AP17" s="32">
        <f>'FS Desroches Daily'!BZ19</f>
        <v>56</v>
      </c>
      <c r="AQ17" s="31">
        <f>'FS Desroches Daily'!CB19</f>
        <v>93.700000000004366</v>
      </c>
      <c r="AR17" s="31">
        <f>'FS Desroches Daily'!CD19</f>
        <v>24.799999999999272</v>
      </c>
      <c r="AS17" s="31">
        <f>'FS Desroches Daily'!CF19</f>
        <v>5.2999999999992724</v>
      </c>
      <c r="AT17" s="31">
        <f>'FS Desroches Daily'!CH19</f>
        <v>60.299999999988358</v>
      </c>
      <c r="AU17" s="31">
        <f>'FS Desroches Daily'!CJ19</f>
        <v>322</v>
      </c>
      <c r="AV17" s="31">
        <f>'FS Desroches Daily'!CL19</f>
        <v>1200.0000000000455</v>
      </c>
      <c r="AW17" s="31">
        <f>'FS Desroches Daily'!CM19</f>
        <v>121.29999999999927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2400.0000000001796</v>
      </c>
      <c r="F18" s="32">
        <f>'FS Desroches Daily'!F20</f>
        <v>2900.0000000003465</v>
      </c>
      <c r="G18" s="31">
        <f>'FS Desroches Daily'!H20</f>
        <v>3800.0000000000255</v>
      </c>
      <c r="H18" s="32">
        <f>'FS Desroches Daily'!J20</f>
        <v>1599.9999999998238</v>
      </c>
      <c r="I18" s="31">
        <f>'FS Desroches Daily'!L20</f>
        <v>2099.9999999999909</v>
      </c>
      <c r="J18" s="32">
        <f>'FS Desroches Daily'!N20</f>
        <v>1300.0000000000789</v>
      </c>
      <c r="K18" s="13">
        <f>'FS Desroches Daily'!P20</f>
        <v>22</v>
      </c>
      <c r="L18" s="31">
        <f>'FS Desroches Daily'!R20</f>
        <v>4</v>
      </c>
      <c r="M18" s="31">
        <f>'FS Desroches Daily'!T20</f>
        <v>1500</v>
      </c>
      <c r="N18" s="31">
        <f>'FS Desroches Daily'!V20</f>
        <v>468.80000000004657</v>
      </c>
      <c r="O18" s="31">
        <f>'FS Desroches Daily'!X20</f>
        <v>310.00000000005912</v>
      </c>
      <c r="P18" s="31">
        <f>'FS Desroches Daily'!Z20</f>
        <v>2500.0000000003906</v>
      </c>
      <c r="Q18" s="31">
        <f>'FS Desroches Daily'!AB20</f>
        <v>240.00000000000909</v>
      </c>
      <c r="R18" s="31">
        <f>'FS Desroches Daily'!AD20</f>
        <v>279.99999999997272</v>
      </c>
      <c r="S18" s="31">
        <f>'FS Desroches Daily'!AF20</f>
        <v>639.99999999998636</v>
      </c>
      <c r="T18" s="31">
        <f>'FS Desroches Daily'!AH20</f>
        <v>44</v>
      </c>
      <c r="U18" s="35">
        <f>'FS Desroches Daily'!AJ20</f>
        <v>599.99999999993395</v>
      </c>
      <c r="V18" s="35">
        <f>'FS Desroches Daily'!AL20</f>
        <v>170.00000000001592</v>
      </c>
      <c r="W18" s="35">
        <f>'FS Desroches Daily'!AN20</f>
        <v>160.00000000002501</v>
      </c>
      <c r="X18" s="35">
        <f>'FS Desroches Daily'!AP20</f>
        <v>180.00000000000682</v>
      </c>
      <c r="Y18" s="35">
        <f>'FS Desroches Daily'!AR20</f>
        <v>160.00000000002501</v>
      </c>
      <c r="Z18" s="35">
        <f>'FS Desroches Daily'!AT20</f>
        <v>340.00000000003183</v>
      </c>
      <c r="AA18" s="35">
        <f>'FS Desroches Daily'!AT20</f>
        <v>340.00000000003183</v>
      </c>
      <c r="AB18" s="35">
        <f>'FS Desroches Daily'!AV20</f>
        <v>99.999999999965894</v>
      </c>
      <c r="AC18" s="35">
        <f>'FS Desroches Daily'!AZ20</f>
        <v>120.00000000000455</v>
      </c>
      <c r="AD18" s="35">
        <f>'FS Desroches Daily'!BB20</f>
        <v>120.00000000000455</v>
      </c>
      <c r="AE18" s="35">
        <f>'FS Desroches Daily'!BD20</f>
        <v>69.999999999993179</v>
      </c>
      <c r="AF18" s="31">
        <f>'FS Desroches Daily'!BF20</f>
        <v>53</v>
      </c>
      <c r="AG18" s="32">
        <f>'FS Desroches Daily'!BH20</f>
        <v>30.000000000029559</v>
      </c>
      <c r="AH18" s="32">
        <f>'FS Desroches Daily'!BJ20</f>
        <v>39.99999999996362</v>
      </c>
      <c r="AI18" s="32">
        <f>'FS Desroches Daily'!BL20</f>
        <v>69.999999999993179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47</v>
      </c>
      <c r="AM18" s="32">
        <f>'FS Desroches Daily'!BT20</f>
        <v>40.000000000020464</v>
      </c>
      <c r="AN18" s="32">
        <f>'FS Desroches Daily'!BV20</f>
        <v>36</v>
      </c>
      <c r="AO18" s="32">
        <f>'FS Desroches Daily'!BX20</f>
        <v>39.999999999992042</v>
      </c>
      <c r="AP18" s="32">
        <f>'FS Desroches Daily'!BZ20</f>
        <v>55</v>
      </c>
      <c r="AQ18" s="31">
        <f>'FS Desroches Daily'!CB20</f>
        <v>84.19999999999709</v>
      </c>
      <c r="AR18" s="31">
        <f>'FS Desroches Daily'!CD20</f>
        <v>10.700000000000728</v>
      </c>
      <c r="AS18" s="31">
        <f>'FS Desroches Daily'!CF20</f>
        <v>0.6000000000003638</v>
      </c>
      <c r="AT18" s="31">
        <f>'FS Desroches Daily'!CH20</f>
        <v>62.900000000008731</v>
      </c>
      <c r="AU18" s="31">
        <f>'FS Desroches Daily'!CJ20</f>
        <v>309</v>
      </c>
      <c r="AV18" s="31">
        <f>'FS Desroches Daily'!CL20</f>
        <v>1000</v>
      </c>
      <c r="AW18" s="31">
        <f>'FS Desroches Daily'!CM20</f>
        <v>100.79999999999927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2400.0000000001796</v>
      </c>
      <c r="F19" s="32">
        <f>'FS Desroches Daily'!F21</f>
        <v>3000.0000000001137</v>
      </c>
      <c r="G19" s="31">
        <f>'FS Desroches Daily'!H21</f>
        <v>3599.9999999996035</v>
      </c>
      <c r="H19" s="32">
        <f>'FS Desroches Daily'!J21</f>
        <v>1599.9999999998238</v>
      </c>
      <c r="I19" s="31">
        <f>'FS Desroches Daily'!L21</f>
        <v>2000.0000000002237</v>
      </c>
      <c r="J19" s="32">
        <f>'FS Desroches Daily'!N21</f>
        <v>1500.0000000000568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699.9999999998181</v>
      </c>
      <c r="N19" s="31">
        <f>'FS Desroches Daily'!V21</f>
        <v>349.80000000004657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330.00000000004093</v>
      </c>
      <c r="R19" s="31">
        <f>'FS Desroches Daily'!AD21</f>
        <v>310.00000000005912</v>
      </c>
      <c r="S19" s="31">
        <f>'FS Desroches Daily'!AF21</f>
        <v>729.9999999999045</v>
      </c>
      <c r="T19" s="31">
        <f>'FS Desroches Daily'!AH21</f>
        <v>43</v>
      </c>
      <c r="U19" s="35">
        <f>'FS Desroches Daily'!AJ21</f>
        <v>599.99999999993395</v>
      </c>
      <c r="V19" s="35">
        <f>'FS Desroches Daily'!AL21</f>
        <v>180.00000000000682</v>
      </c>
      <c r="W19" s="35">
        <f>'FS Desroches Daily'!AN21</f>
        <v>149.99999999997726</v>
      </c>
      <c r="X19" s="35">
        <f>'FS Desroches Daily'!AP21</f>
        <v>209.99999999997954</v>
      </c>
      <c r="Y19" s="35">
        <f>'FS Desroches Daily'!AR21</f>
        <v>189.99999999999773</v>
      </c>
      <c r="Z19" s="35">
        <f>'FS Desroches Daily'!AT21</f>
        <v>310.00000000000227</v>
      </c>
      <c r="AA19" s="35">
        <f>'FS Desroches Daily'!AT21</f>
        <v>310.00000000000227</v>
      </c>
      <c r="AB19" s="35">
        <f>'FS Desroches Daily'!AV21</f>
        <v>90.000000000031832</v>
      </c>
      <c r="AC19" s="35">
        <f>'FS Desroches Daily'!AZ21</f>
        <v>129.99999999999545</v>
      </c>
      <c r="AD19" s="35">
        <f>'FS Desroches Daily'!BB21</f>
        <v>139.99999999998636</v>
      </c>
      <c r="AE19" s="35">
        <f>'FS Desroches Daily'!BD21</f>
        <v>60.000000000002274</v>
      </c>
      <c r="AF19" s="31">
        <f>'FS Desroches Daily'!BF21</f>
        <v>49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29.999999999972715</v>
      </c>
      <c r="AL19" s="32">
        <f>'FS Desroches Daily'!BR21</f>
        <v>45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51</v>
      </c>
      <c r="AQ19" s="31">
        <f>'FS Desroches Daily'!CB21</f>
        <v>88.5</v>
      </c>
      <c r="AR19" s="31">
        <f>'FS Desroches Daily'!CD21</f>
        <v>11</v>
      </c>
      <c r="AS19" s="31">
        <f>'FS Desroches Daily'!CF21</f>
        <v>3.1000000000003638</v>
      </c>
      <c r="AT19" s="31">
        <f>'FS Desroches Daily'!CH21</f>
        <v>47</v>
      </c>
      <c r="AU19" s="31">
        <f>'FS Desroches Daily'!CJ21</f>
        <v>319</v>
      </c>
      <c r="AV19" s="31">
        <f>'FS Desroches Daily'!CL21</f>
        <v>1100.0000000001364</v>
      </c>
      <c r="AW19" s="31">
        <f>'FS Desroches Daily'!CM21</f>
        <v>107.10000000000218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2999.9999999996694</v>
      </c>
      <c r="F20" s="32">
        <f>'FS Desroches Daily'!F22</f>
        <v>3499.9999999998367</v>
      </c>
      <c r="G20" s="31">
        <f>'FS Desroches Daily'!H22</f>
        <v>3600.0000000004916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1599.9999999998238</v>
      </c>
      <c r="K20" s="13">
        <f>'FS Desroches Daily'!P22</f>
        <v>36</v>
      </c>
      <c r="L20" s="31">
        <f>'FS Desroches Daily'!R22</f>
        <v>5</v>
      </c>
      <c r="M20" s="31">
        <f>'FS Desroches Daily'!T22</f>
        <v>1100.0000000001364</v>
      </c>
      <c r="N20" s="31">
        <f>'FS Desroches Daily'!V22</f>
        <v>454</v>
      </c>
      <c r="O20" s="31">
        <f>'FS Desroches Daily'!X22</f>
        <v>350.00000000002274</v>
      </c>
      <c r="P20" s="31">
        <f>'FS Desroches Daily'!Z22</f>
        <v>3099.9999999998809</v>
      </c>
      <c r="Q20" s="31">
        <f>'FS Desroches Daily'!AB22</f>
        <v>220.00000000002728</v>
      </c>
      <c r="R20" s="31">
        <f>'FS Desroches Daily'!AD22</f>
        <v>399.99999999997726</v>
      </c>
      <c r="S20" s="31">
        <f>'FS Desroches Daily'!AF22</f>
        <v>940.00000000005457</v>
      </c>
      <c r="T20" s="31">
        <f>'FS Desroches Daily'!AH22</f>
        <v>43</v>
      </c>
      <c r="U20" s="35">
        <f>'FS Desroches Daily'!AJ22</f>
        <v>699.99999999992292</v>
      </c>
      <c r="V20" s="35">
        <f>'FS Desroches Daily'!AL22</f>
        <v>199.99999999998863</v>
      </c>
      <c r="W20" s="35">
        <f>'FS Desroches Daily'!AN22</f>
        <v>120.00000000000455</v>
      </c>
      <c r="X20" s="35">
        <f>'FS Desroches Daily'!AP22</f>
        <v>300.00000000001137</v>
      </c>
      <c r="Y20" s="35">
        <f>'FS Desroches Daily'!AR22</f>
        <v>209.99999999997954</v>
      </c>
      <c r="Z20" s="35">
        <f>'FS Desroches Daily'!AT22</f>
        <v>389.99999999998636</v>
      </c>
      <c r="AA20" s="35">
        <f>'FS Desroches Daily'!AT22</f>
        <v>389.99999999998636</v>
      </c>
      <c r="AB20" s="35">
        <f>'FS Desroches Daily'!AV22</f>
        <v>159.99999999996817</v>
      </c>
      <c r="AC20" s="35">
        <f>'FS Desroches Daily'!AZ22</f>
        <v>170.00000000001592</v>
      </c>
      <c r="AD20" s="35">
        <f>'FS Desroches Daily'!BB22</f>
        <v>160.00000000002501</v>
      </c>
      <c r="AE20" s="35">
        <f>'FS Desroches Daily'!BD22</f>
        <v>90.000000000031832</v>
      </c>
      <c r="AF20" s="31">
        <f>'FS Desroches Daily'!BF22</f>
        <v>30</v>
      </c>
      <c r="AG20" s="32">
        <f>'FS Desroches Daily'!BH22</f>
        <v>39.99999999996362</v>
      </c>
      <c r="AH20" s="32">
        <f>'FS Desroches Daily'!BJ22</f>
        <v>39.99999999996362</v>
      </c>
      <c r="AI20" s="32">
        <f>'FS Desroches Daily'!BL22</f>
        <v>60.000000000002274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44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73.19999999999709</v>
      </c>
      <c r="AR20" s="31">
        <f>'FS Desroches Daily'!CD22</f>
        <v>7.5999999999985448</v>
      </c>
      <c r="AS20" s="31">
        <f>'FS Desroches Daily'!CF22</f>
        <v>3.5</v>
      </c>
      <c r="AT20" s="31">
        <f>'FS Desroches Daily'!CH22</f>
        <v>62.30000000000291</v>
      </c>
      <c r="AU20" s="31">
        <f>'FS Desroches Daily'!CJ22</f>
        <v>343</v>
      </c>
      <c r="AV20" s="31">
        <f>'FS Desroches Daily'!CL22</f>
        <v>1099.9999999999091</v>
      </c>
      <c r="AW20" s="31">
        <f>'FS Desroches Daily'!CM22</f>
        <v>104.59999999999854</v>
      </c>
      <c r="AX20" s="31">
        <f>IF(LPG!F27-LPG!F26&lt;0,"0",(LPG!F27-LPG!F26)*1.8315)</f>
        <v>0</v>
      </c>
      <c r="AY20" s="31">
        <f>IF(LPG!H27-LPG!H26&lt;0,"0",(LPG!H27-LPG!H26)*1.8315)</f>
        <v>7.3259999999999996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2700.0000000003688</v>
      </c>
      <c r="F21" s="32">
        <f>'FS Desroches Daily'!F23</f>
        <v>3199.9999999996476</v>
      </c>
      <c r="G21" s="31">
        <f>'FS Desroches Daily'!H23</f>
        <v>3800.0000000000255</v>
      </c>
      <c r="H21" s="32">
        <f>'FS Desroches Daily'!J23</f>
        <v>1700.0000000000348</v>
      </c>
      <c r="I21" s="31">
        <f>'FS Desroches Daily'!L23</f>
        <v>2299.9999999999686</v>
      </c>
      <c r="J21" s="32">
        <f>'FS Desroches Daily'!N23</f>
        <v>1700.0000000000348</v>
      </c>
      <c r="K21" s="13">
        <f>'FS Desroches Daily'!P23</f>
        <v>28</v>
      </c>
      <c r="L21" s="31">
        <f>'FS Desroches Daily'!R23</f>
        <v>5</v>
      </c>
      <c r="M21" s="31">
        <f>'FS Desroches Daily'!T23</f>
        <v>1299.9999999999545</v>
      </c>
      <c r="N21" s="31">
        <f>'FS Desroches Daily'!V23</f>
        <v>440.59999999997672</v>
      </c>
      <c r="O21" s="31">
        <f>'FS Desroches Daily'!X23</f>
        <v>330.00000000004093</v>
      </c>
      <c r="P21" s="31">
        <f>'FS Desroches Daily'!Z23</f>
        <v>2900.0000000003465</v>
      </c>
      <c r="Q21" s="31">
        <f>'FS Desroches Daily'!AB23</f>
        <v>370.00000000000455</v>
      </c>
      <c r="R21" s="31">
        <f>'FS Desroches Daily'!AD23</f>
        <v>399.99999999997726</v>
      </c>
      <c r="S21" s="31">
        <f>'FS Desroches Daily'!AF23</f>
        <v>889.99999999998636</v>
      </c>
      <c r="T21" s="31">
        <f>'FS Desroches Daily'!AH23</f>
        <v>47</v>
      </c>
      <c r="U21" s="35">
        <f>'FS Desroches Daily'!AJ23</f>
        <v>700.00000000014495</v>
      </c>
      <c r="V21" s="35">
        <f>'FS Desroches Daily'!AL23</f>
        <v>199.99999999998863</v>
      </c>
      <c r="W21" s="35">
        <f>'FS Desroches Daily'!AN23</f>
        <v>120.00000000000455</v>
      </c>
      <c r="X21" s="35">
        <f>'FS Desroches Daily'!AP23</f>
        <v>269.99999999998181</v>
      </c>
      <c r="Y21" s="35">
        <f>'FS Desroches Daily'!AR23</f>
        <v>220.00000000002728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110.00000000001364</v>
      </c>
      <c r="AC21" s="35">
        <f>'FS Desroches Daily'!AZ23</f>
        <v>139.99999999998636</v>
      </c>
      <c r="AD21" s="35">
        <f>'FS Desroches Daily'!BB23</f>
        <v>139.99999999998636</v>
      </c>
      <c r="AE21" s="35">
        <f>'FS Desroches Daily'!BD23</f>
        <v>69.999999999993179</v>
      </c>
      <c r="AF21" s="31">
        <f>'FS Desroches Daily'!BF23</f>
        <v>76</v>
      </c>
      <c r="AG21" s="32">
        <f>'FS Desroches Daily'!BH23</f>
        <v>30.000000000029559</v>
      </c>
      <c r="AH21" s="32">
        <f>'FS Desroches Daily'!BJ23</f>
        <v>60.000000000002274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43</v>
      </c>
      <c r="AM21" s="32">
        <f>'FS Desroches Daily'!BT23</f>
        <v>50.000000000011369</v>
      </c>
      <c r="AN21" s="32">
        <f>'FS Desroches Daily'!BV23</f>
        <v>40</v>
      </c>
      <c r="AO21" s="32">
        <f>'FS Desroches Daily'!BX23</f>
        <v>49.999999999982947</v>
      </c>
      <c r="AP21" s="32">
        <f>'FS Desroches Daily'!BZ23</f>
        <v>53</v>
      </c>
      <c r="AQ21" s="31">
        <f>'FS Desroches Daily'!CB23</f>
        <v>87.400000000001455</v>
      </c>
      <c r="AR21" s="31">
        <f>'FS Desroches Daily'!CD23</f>
        <v>17.400000000001455</v>
      </c>
      <c r="AS21" s="31">
        <f>'FS Desroches Daily'!CF23</f>
        <v>0.5</v>
      </c>
      <c r="AT21" s="31">
        <f>'FS Desroches Daily'!CH23</f>
        <v>59.599999999991269</v>
      </c>
      <c r="AU21" s="31">
        <f>'FS Desroches Daily'!CJ23</f>
        <v>361</v>
      </c>
      <c r="AV21" s="31">
        <f>'FS Desroches Daily'!CL23</f>
        <v>1000</v>
      </c>
      <c r="AW21" s="31">
        <f>'FS Desroches Daily'!CM23</f>
        <v>115.40000000000146</v>
      </c>
      <c r="AX21" s="31">
        <f>IF(LPG!F28-LPG!F27&lt;0,"0",(LPG!F28-LPG!F27)*1.8315)</f>
        <v>0</v>
      </c>
      <c r="AY21" s="31">
        <f>IF(LPG!H28-LPG!H27&lt;0,"0",(LPG!H28-LPG!H27)*1.8315)</f>
        <v>7.3259999999999996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21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2499.9999999999468</v>
      </c>
      <c r="F22" s="32">
        <f>'FS Desroches Daily'!F24</f>
        <v>3100.000000000769</v>
      </c>
      <c r="G22" s="31">
        <f>'FS Desroches Daily'!H24</f>
        <v>3499.9999999998367</v>
      </c>
      <c r="H22" s="32">
        <f>'FS Desroches Daily'!J24</f>
        <v>1600.0000000002678</v>
      </c>
      <c r="I22" s="31">
        <f>'FS Desroches Daily'!L24</f>
        <v>2099.9999999999909</v>
      </c>
      <c r="J22" s="32">
        <f>'FS Desroches Daily'!N24</f>
        <v>1800.0000000002458</v>
      </c>
      <c r="K22" s="13">
        <f>'FS Desroches Daily'!P24</f>
        <v>32</v>
      </c>
      <c r="L22" s="31">
        <f>'FS Desroches Daily'!R24</f>
        <v>5</v>
      </c>
      <c r="M22" s="31">
        <f>'FS Desroches Daily'!T24</f>
        <v>1299.9999999999545</v>
      </c>
      <c r="N22" s="31">
        <f>'FS Desroches Daily'!V24</f>
        <v>464.29999999993015</v>
      </c>
      <c r="O22" s="31">
        <f>'FS Desroches Daily'!X24</f>
        <v>359.99999999989996</v>
      </c>
      <c r="P22" s="31">
        <f>'FS Desroches Daily'!Z24</f>
        <v>3000.0000000001137</v>
      </c>
      <c r="Q22" s="31">
        <f>'FS Desroches Daily'!AB24</f>
        <v>289.99999999996362</v>
      </c>
      <c r="R22" s="31">
        <f>'FS Desroches Daily'!AD24</f>
        <v>460.00000000003638</v>
      </c>
      <c r="S22" s="31">
        <f>'FS Desroches Daily'!AF24</f>
        <v>1019.9999999999818</v>
      </c>
      <c r="T22" s="31">
        <f>'FS Desroches Daily'!AH24</f>
        <v>36</v>
      </c>
      <c r="U22" s="35">
        <f>'FS Desroches Daily'!AJ24</f>
        <v>799.99999999991189</v>
      </c>
      <c r="V22" s="35">
        <f>'FS Desroches Daily'!AL24</f>
        <v>220.00000000002728</v>
      </c>
      <c r="W22" s="35">
        <f>'FS Desroches Daily'!AN24</f>
        <v>129.99999999999545</v>
      </c>
      <c r="X22" s="35">
        <f>'FS Desroches Daily'!AP24</f>
        <v>220.00000000002728</v>
      </c>
      <c r="Y22" s="35">
        <f>'FS Desroches Daily'!AR24</f>
        <v>169.99999999995907</v>
      </c>
      <c r="Z22" s="35">
        <f>'FS Desroches Daily'!AT24</f>
        <v>250</v>
      </c>
      <c r="AA22" s="35">
        <f>'FS Desroches Daily'!AT24</f>
        <v>250</v>
      </c>
      <c r="AB22" s="35">
        <f>'FS Desroches Daily'!AV24</f>
        <v>120.00000000000455</v>
      </c>
      <c r="AC22" s="35">
        <f>'FS Desroches Daily'!AZ24</f>
        <v>170.00000000001592</v>
      </c>
      <c r="AD22" s="35">
        <f>'FS Desroches Daily'!BB24</f>
        <v>170.00000000001592</v>
      </c>
      <c r="AE22" s="35">
        <f>'FS Desroches Daily'!BD24</f>
        <v>99.999999999965894</v>
      </c>
      <c r="AF22" s="31">
        <f>'FS Desroches Daily'!BF24</f>
        <v>35</v>
      </c>
      <c r="AG22" s="32">
        <f>'FS Desroches Daily'!BH24</f>
        <v>49.999999999954525</v>
      </c>
      <c r="AH22" s="32">
        <f>'FS Desroches Daily'!BJ24</f>
        <v>10.000000000047748</v>
      </c>
      <c r="AI22" s="32">
        <f>'FS Desroches Daily'!BL24</f>
        <v>69.999999999993179</v>
      </c>
      <c r="AJ22" s="32">
        <f>'FS Desroches Daily'!BN24</f>
        <v>39.999999999992042</v>
      </c>
      <c r="AK22" s="32">
        <f>'FS Desroches Daily'!BP24</f>
        <v>39.99999999996362</v>
      </c>
      <c r="AL22" s="32">
        <f>'FS Desroches Daily'!BR24</f>
        <v>42</v>
      </c>
      <c r="AM22" s="32">
        <f>'FS Desroches Daily'!BT24</f>
        <v>60.000000000002274</v>
      </c>
      <c r="AN22" s="32">
        <f>'FS Desroches Daily'!BV24</f>
        <v>41</v>
      </c>
      <c r="AO22" s="32">
        <f>'FS Desroches Daily'!BX24</f>
        <v>40.000000000020464</v>
      </c>
      <c r="AP22" s="32">
        <f>'FS Desroches Daily'!BZ24</f>
        <v>52</v>
      </c>
      <c r="AQ22" s="31">
        <f>'FS Desroches Daily'!CB24</f>
        <v>87.900000000001455</v>
      </c>
      <c r="AR22" s="31">
        <f>'FS Desroches Daily'!CD24</f>
        <v>13.599999999998545</v>
      </c>
      <c r="AS22" s="31">
        <f>'FS Desroches Daily'!CF24</f>
        <v>0.5</v>
      </c>
      <c r="AT22" s="31">
        <f>'FS Desroches Daily'!CH24</f>
        <v>39.30000000000291</v>
      </c>
      <c r="AU22" s="31">
        <f>'FS Desroches Daily'!CJ24</f>
        <v>322</v>
      </c>
      <c r="AV22" s="31">
        <f>'FS Desroches Daily'!CL24</f>
        <v>1000</v>
      </c>
      <c r="AW22" s="31">
        <f>'FS Desroches Daily'!CM24</f>
        <v>102</v>
      </c>
      <c r="AX22" s="31">
        <f>IF(LPG!F29-LPG!F28&lt;0,"0",(LPG!F29-LPG!F28)*1.8315)</f>
        <v>0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18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2299.9999999999686</v>
      </c>
      <c r="F23" s="32">
        <f>'FS Desroches Daily'!F25</f>
        <v>2899.9999999994584</v>
      </c>
      <c r="G23" s="31">
        <f>'FS Desroches Daily'!H25</f>
        <v>3400.0000000000696</v>
      </c>
      <c r="H23" s="32">
        <f>'FS Desroches Daily'!J25</f>
        <v>1599.9999999998238</v>
      </c>
      <c r="I23" s="31">
        <f>'FS Desroches Daily'!L25</f>
        <v>2200.0000000002019</v>
      </c>
      <c r="J23" s="32">
        <f>'FS Desroches Daily'!N25</f>
        <v>1700.0000000000348</v>
      </c>
      <c r="K23" s="13">
        <f>'FS Desroches Daily'!P25</f>
        <v>20</v>
      </c>
      <c r="L23" s="31">
        <f>'FS Desroches Daily'!R25</f>
        <v>6</v>
      </c>
      <c r="M23" s="31">
        <f>'FS Desroches Daily'!T25</f>
        <v>1100.0000000001364</v>
      </c>
      <c r="N23" s="31">
        <f>'FS Desroches Daily'!V25</f>
        <v>426.30000000004657</v>
      </c>
      <c r="O23" s="31">
        <f>'FS Desroches Daily'!X25</f>
        <v>320.00000000005002</v>
      </c>
      <c r="P23" s="31">
        <f>'FS Desroches Daily'!Z25</f>
        <v>2599.9999999992697</v>
      </c>
      <c r="Q23" s="31">
        <f>'FS Desroches Daily'!AB25</f>
        <v>269.99999999998181</v>
      </c>
      <c r="R23" s="31">
        <f>'FS Desroches Daily'!AD25</f>
        <v>429.99999999994998</v>
      </c>
      <c r="S23" s="31">
        <f>'FS Desroches Daily'!AF25</f>
        <v>870.00000000000455</v>
      </c>
      <c r="T23" s="31">
        <f>'FS Desroches Daily'!AH25</f>
        <v>38</v>
      </c>
      <c r="U23" s="35">
        <f>'FS Desroches Daily'!AJ25</f>
        <v>800.00000000013392</v>
      </c>
      <c r="V23" s="35">
        <f>'FS Desroches Daily'!AL25</f>
        <v>189.99999999999773</v>
      </c>
      <c r="W23" s="35">
        <f>'FS Desroches Daily'!AN25</f>
        <v>120.00000000000455</v>
      </c>
      <c r="X23" s="35">
        <f>'FS Desroches Daily'!AP25</f>
        <v>170.00000000001592</v>
      </c>
      <c r="Y23" s="35">
        <f>'FS Desroches Daily'!AR25</f>
        <v>150.00000000003411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120.00000000000455</v>
      </c>
      <c r="AC23" s="35">
        <f>'FS Desroches Daily'!AZ25</f>
        <v>139.99999999998636</v>
      </c>
      <c r="AD23" s="35">
        <f>'FS Desroches Daily'!BB25</f>
        <v>149.99999999997726</v>
      </c>
      <c r="AE23" s="35">
        <f>'FS Desroches Daily'!BD25</f>
        <v>70.000000000050022</v>
      </c>
      <c r="AF23" s="31">
        <f>'FS Desroches Daily'!BF25</f>
        <v>45</v>
      </c>
      <c r="AG23" s="32">
        <f>'FS Desroches Daily'!BH25</f>
        <v>40.000000000020464</v>
      </c>
      <c r="AH23" s="32">
        <f>'FS Desroches Daily'!BJ25</f>
        <v>39.99999999996362</v>
      </c>
      <c r="AI23" s="32">
        <f>'FS Desroches Daily'!BL25</f>
        <v>60.000000000002274</v>
      </c>
      <c r="AJ23" s="32">
        <f>'FS Desroches Daily'!BN25</f>
        <v>40.000000000020464</v>
      </c>
      <c r="AK23" s="32">
        <f>'FS Desroches Daily'!BP25</f>
        <v>30.000000000029559</v>
      </c>
      <c r="AL23" s="32">
        <f>'FS Desroches Daily'!BR25</f>
        <v>48</v>
      </c>
      <c r="AM23" s="32">
        <f>'FS Desroches Daily'!BT25</f>
        <v>39.999999999992042</v>
      </c>
      <c r="AN23" s="32">
        <f>'FS Desroches Daily'!BV25</f>
        <v>36</v>
      </c>
      <c r="AO23" s="32">
        <f>'FS Desroches Daily'!BX25</f>
        <v>49.999999999982947</v>
      </c>
      <c r="AP23" s="32">
        <f>'FS Desroches Daily'!BZ25</f>
        <v>52</v>
      </c>
      <c r="AQ23" s="31">
        <f>'FS Desroches Daily'!CB25</f>
        <v>91.599999999998545</v>
      </c>
      <c r="AR23" s="31">
        <f>'FS Desroches Daily'!CD25</f>
        <v>10.400000000001455</v>
      </c>
      <c r="AS23" s="31">
        <f>'FS Desroches Daily'!CF25</f>
        <v>2.5</v>
      </c>
      <c r="AT23" s="31">
        <f>'FS Desroches Daily'!CH25</f>
        <v>55.30000000000291</v>
      </c>
      <c r="AU23" s="31">
        <f>'FS Desroches Daily'!CJ25</f>
        <v>336</v>
      </c>
      <c r="AV23" s="31">
        <f>'FS Desroches Daily'!CL25</f>
        <v>799.99999999995453</v>
      </c>
      <c r="AW23" s="31">
        <f>'FS Desroches Daily'!CM25</f>
        <v>93.700000000000728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2599.9999999997135</v>
      </c>
      <c r="F24" s="32">
        <f>'FS Desroches Daily'!F26</f>
        <v>3000.0000000001137</v>
      </c>
      <c r="G24" s="31">
        <f>'FS Desroches Daily'!H26</f>
        <v>3000.0000000001137</v>
      </c>
      <c r="H24" s="32">
        <f>'FS Desroches Daily'!J26</f>
        <v>1700.0000000000348</v>
      </c>
      <c r="I24" s="31">
        <f>'FS Desroches Daily'!L26</f>
        <v>2200.0000000002019</v>
      </c>
      <c r="J24" s="32">
        <f>'FS Desroches Daily'!N26</f>
        <v>1799.9999999998017</v>
      </c>
      <c r="K24" s="13">
        <f>'FS Desroches Daily'!P26</f>
        <v>21</v>
      </c>
      <c r="L24" s="31">
        <f>'FS Desroches Daily'!R26</f>
        <v>4</v>
      </c>
      <c r="M24" s="31">
        <f>'FS Desroches Daily'!T26</f>
        <v>899.99999999986358</v>
      </c>
      <c r="N24" s="31">
        <f>'FS Desroches Daily'!V26</f>
        <v>428.69999999995343</v>
      </c>
      <c r="O24" s="31">
        <f>'FS Desroches Daily'!X26</f>
        <v>330.00000000004093</v>
      </c>
      <c r="P24" s="31">
        <f>'FS Desroches Daily'!Z26</f>
        <v>2699.9999999999245</v>
      </c>
      <c r="Q24" s="31">
        <f>'FS Desroches Daily'!AB26</f>
        <v>330.00000000004093</v>
      </c>
      <c r="R24" s="31">
        <f>'FS Desroches Daily'!AD26</f>
        <v>440.00000000005457</v>
      </c>
      <c r="S24" s="31">
        <f>'FS Desroches Daily'!AF26</f>
        <v>850.00000000002274</v>
      </c>
      <c r="T24" s="31">
        <f>'FS Desroches Daily'!AH26</f>
        <v>36</v>
      </c>
      <c r="U24" s="35">
        <f>'FS Desroches Daily'!AJ26</f>
        <v>799.99999999991189</v>
      </c>
      <c r="V24" s="35">
        <f>'FS Desroches Daily'!AL26</f>
        <v>189.99999999999773</v>
      </c>
      <c r="W24" s="35">
        <f>'FS Desroches Daily'!AN26</f>
        <v>129.99999999999545</v>
      </c>
      <c r="X24" s="35">
        <f>'FS Desroches Daily'!AP26</f>
        <v>189.99999999999773</v>
      </c>
      <c r="Y24" s="35">
        <f>'FS Desroches Daily'!AR26</f>
        <v>159.99999999996817</v>
      </c>
      <c r="Z24" s="35">
        <f>'FS Desroches Daily'!AT26</f>
        <v>180.00000000000682</v>
      </c>
      <c r="AA24" s="35">
        <f>'FS Desroches Daily'!AT26</f>
        <v>180.00000000000682</v>
      </c>
      <c r="AB24" s="35">
        <f>'FS Desroches Daily'!AV26</f>
        <v>120.00000000000455</v>
      </c>
      <c r="AC24" s="35">
        <f>'FS Desroches Daily'!AZ26</f>
        <v>149.99999999997726</v>
      </c>
      <c r="AD24" s="35">
        <f>'FS Desroches Daily'!BB26</f>
        <v>129.99999999999545</v>
      </c>
      <c r="AE24" s="35">
        <f>'FS Desroches Daily'!BD26</f>
        <v>79.999999999984084</v>
      </c>
      <c r="AF24" s="31">
        <f>'FS Desroches Daily'!BF26</f>
        <v>72</v>
      </c>
      <c r="AG24" s="32">
        <f>'FS Desroches Daily'!BH26</f>
        <v>50.000000000011369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49.999999999982947</v>
      </c>
      <c r="AK24" s="32">
        <f>'FS Desroches Daily'!BP26</f>
        <v>39.99999999996362</v>
      </c>
      <c r="AL24" s="32">
        <f>'FS Desroches Daily'!BR26</f>
        <v>44</v>
      </c>
      <c r="AM24" s="32">
        <f>'FS Desroches Daily'!BT26</f>
        <v>50.000000000011369</v>
      </c>
      <c r="AN24" s="32">
        <f>'FS Desroches Daily'!BV26</f>
        <v>44</v>
      </c>
      <c r="AO24" s="32">
        <f>'FS Desroches Daily'!BX26</f>
        <v>50.000000000011369</v>
      </c>
      <c r="AP24" s="32">
        <f>'FS Desroches Daily'!BZ26</f>
        <v>57</v>
      </c>
      <c r="AQ24" s="31">
        <f>'FS Desroches Daily'!CB26</f>
        <v>86.700000000004366</v>
      </c>
      <c r="AR24" s="31">
        <f>'FS Desroches Daily'!CD26</f>
        <v>9.7999999999992724</v>
      </c>
      <c r="AS24" s="31">
        <f>'FS Desroches Daily'!CF26</f>
        <v>3</v>
      </c>
      <c r="AT24" s="31">
        <f>'FS Desroches Daily'!CH26</f>
        <v>55.80000000000291</v>
      </c>
      <c r="AU24" s="31">
        <f>'FS Desroches Daily'!CJ26</f>
        <v>372</v>
      </c>
      <c r="AV24" s="31">
        <f>'FS Desroches Daily'!CL26</f>
        <v>900.00000000009095</v>
      </c>
      <c r="AW24" s="31">
        <f>'FS Desroches Daily'!CM26</f>
        <v>88.299999999999272</v>
      </c>
      <c r="AX24" s="31">
        <f>IF(LPG!F31-LPG!F30&lt;0,"0",(LPG!F31-LPG!F30)*1.8315)</f>
        <v>0</v>
      </c>
      <c r="AY24" s="31">
        <f>IF(LPG!H31-LPG!H30&lt;0,"0",(LPG!H31-LPG!H30)*1.8315)</f>
        <v>3.6629999999999998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15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2800.0000000001355</v>
      </c>
      <c r="F25" s="32">
        <f>'FS Desroches Daily'!F27</f>
        <v>3400.0000000000696</v>
      </c>
      <c r="G25" s="31">
        <f>'FS Desroches Daily'!H27</f>
        <v>3499.9999999998367</v>
      </c>
      <c r="H25" s="32">
        <f>'FS Desroches Daily'!J27</f>
        <v>1799.9999999998017</v>
      </c>
      <c r="I25" s="31">
        <f>'FS Desroches Daily'!L27</f>
        <v>2399.9999999997358</v>
      </c>
      <c r="J25" s="32">
        <f>'FS Desroches Daily'!N27</f>
        <v>2400.0000000001796</v>
      </c>
      <c r="K25" s="13">
        <f>'FS Desroches Daily'!P27</f>
        <v>33</v>
      </c>
      <c r="L25" s="31">
        <f>'FS Desroches Daily'!R27</f>
        <v>5</v>
      </c>
      <c r="M25" s="31">
        <f>'FS Desroches Daily'!T27</f>
        <v>1100.0000000001364</v>
      </c>
      <c r="N25" s="31">
        <f>'FS Desroches Daily'!V27</f>
        <v>518.20000000006985</v>
      </c>
      <c r="O25" s="31">
        <f>'FS Desroches Daily'!X27</f>
        <v>399.99999999997726</v>
      </c>
      <c r="P25" s="31">
        <f>'FS Desroches Daily'!Z27</f>
        <v>3100.000000000769</v>
      </c>
      <c r="Q25" s="31">
        <f>'FS Desroches Daily'!AB27</f>
        <v>240.00000000000909</v>
      </c>
      <c r="R25" s="31">
        <f>'FS Desroches Daily'!AD27</f>
        <v>509.99999999999091</v>
      </c>
      <c r="S25" s="31">
        <f>'FS Desroches Daily'!AF27</f>
        <v>1009.9999999999909</v>
      </c>
      <c r="T25" s="31">
        <f>'FS Desroches Daily'!AH27</f>
        <v>40</v>
      </c>
      <c r="U25" s="35">
        <f>'FS Desroches Daily'!AJ27</f>
        <v>799.99999999991189</v>
      </c>
      <c r="V25" s="35">
        <f>'FS Desroches Daily'!AL27</f>
        <v>250</v>
      </c>
      <c r="W25" s="35">
        <f>'FS Desroches Daily'!AN27</f>
        <v>209.99999999997954</v>
      </c>
      <c r="X25" s="35">
        <f>'FS Desroches Daily'!AP27</f>
        <v>229.99999999996135</v>
      </c>
      <c r="Y25" s="35">
        <f>'FS Desroches Daily'!AR27</f>
        <v>200.00000000004547</v>
      </c>
      <c r="Z25" s="35">
        <f>'FS Desroches Daily'!AT27</f>
        <v>199.99999999998863</v>
      </c>
      <c r="AA25" s="35">
        <f>'FS Desroches Daily'!AT27</f>
        <v>199.99999999998863</v>
      </c>
      <c r="AB25" s="35">
        <f>'FS Desroches Daily'!AV27</f>
        <v>159.99999999996817</v>
      </c>
      <c r="AC25" s="35">
        <f>'FS Desroches Daily'!AZ27</f>
        <v>180.00000000000682</v>
      </c>
      <c r="AD25" s="35">
        <f>'FS Desroches Daily'!BB27</f>
        <v>180.00000000000682</v>
      </c>
      <c r="AE25" s="35">
        <f>'FS Desroches Daily'!BD27</f>
        <v>99.999999999965894</v>
      </c>
      <c r="AF25" s="31">
        <f>'FS Desroches Daily'!BF27</f>
        <v>52</v>
      </c>
      <c r="AG25" s="32">
        <f>'FS Desroches Daily'!BH27</f>
        <v>50.000000000011369</v>
      </c>
      <c r="AH25" s="32">
        <f>'FS Desroches Daily'!BJ27</f>
        <v>50.000000000011369</v>
      </c>
      <c r="AI25" s="32">
        <f>'FS Desroches Daily'!BL27</f>
        <v>79.999999999984084</v>
      </c>
      <c r="AJ25" s="32">
        <f>'FS Desroches Daily'!BN27</f>
        <v>60.000000000002274</v>
      </c>
      <c r="AK25" s="32">
        <f>'FS Desroches Daily'!BP27</f>
        <v>40.000000000020464</v>
      </c>
      <c r="AL25" s="32">
        <f>'FS Desroches Daily'!BR27</f>
        <v>49</v>
      </c>
      <c r="AM25" s="32">
        <f>'FS Desroches Daily'!BT27</f>
        <v>60.000000000002274</v>
      </c>
      <c r="AN25" s="32">
        <f>'FS Desroches Daily'!BV27</f>
        <v>46</v>
      </c>
      <c r="AO25" s="32">
        <f>'FS Desroches Daily'!BX27</f>
        <v>60.000000000002274</v>
      </c>
      <c r="AP25" s="32">
        <f>'FS Desroches Daily'!BZ27</f>
        <v>58</v>
      </c>
      <c r="AQ25" s="31">
        <f>'FS Desroches Daily'!CB27</f>
        <v>87.099999999998545</v>
      </c>
      <c r="AR25" s="31">
        <f>'FS Desroches Daily'!CD27</f>
        <v>16.899999999997817</v>
      </c>
      <c r="AS25" s="31">
        <f>'FS Desroches Daily'!CF27</f>
        <v>1.7000000000007276</v>
      </c>
      <c r="AT25" s="31">
        <f>'FS Desroches Daily'!CH27</f>
        <v>50.5</v>
      </c>
      <c r="AU25" s="31">
        <f>'FS Desroches Daily'!CJ27</f>
        <v>349</v>
      </c>
      <c r="AV25" s="31">
        <f>'FS Desroches Daily'!CL27</f>
        <v>1000</v>
      </c>
      <c r="AW25" s="31">
        <f>'FS Desroches Daily'!CM27</f>
        <v>110.79999999999927</v>
      </c>
      <c r="AX25" s="31">
        <f>IF(LPG!F32-LPG!F31&lt;0,"0",(LPG!F32-LPG!F31)*1.8315)</f>
        <v>0</v>
      </c>
      <c r="AY25" s="31">
        <f>IF(LPG!H32-LPG!H31&lt;0,"0",(LPG!H32-LPG!H31)*1.8315)</f>
        <v>5.4944999999999995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15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2899.9999999999027</v>
      </c>
      <c r="F26" s="32">
        <f>'FS Desroches Daily'!F28</f>
        <v>3599.9999999996035</v>
      </c>
      <c r="G26" s="31">
        <f>'FS Desroches Daily'!H28</f>
        <v>3199.9999999996476</v>
      </c>
      <c r="H26" s="32">
        <f>'FS Desroches Daily'!J28</f>
        <v>1900.0000000000127</v>
      </c>
      <c r="I26" s="31">
        <f>'FS Desroches Daily'!L28</f>
        <v>2299.9999999999686</v>
      </c>
      <c r="J26" s="32">
        <f>'FS Desroches Daily'!N28</f>
        <v>1399.9999999998458</v>
      </c>
      <c r="K26" s="13">
        <f>'FS Desroches Daily'!P28</f>
        <v>16</v>
      </c>
      <c r="L26" s="31">
        <f>'FS Desroches Daily'!R28</f>
        <v>6</v>
      </c>
      <c r="M26" s="31">
        <f>'FS Desroches Daily'!T28</f>
        <v>899.99999999986358</v>
      </c>
      <c r="N26" s="31">
        <f>'FS Desroches Daily'!V28</f>
        <v>390.29999999993015</v>
      </c>
      <c r="O26" s="31">
        <f>'FS Desroches Daily'!X28</f>
        <v>439.99999999994088</v>
      </c>
      <c r="P26" s="31">
        <f>'FS Desroches Daily'!Z28</f>
        <v>3099.9999999998809</v>
      </c>
      <c r="Q26" s="31">
        <f>'FS Desroches Daily'!AB28</f>
        <v>370.00000000000455</v>
      </c>
      <c r="R26" s="31">
        <f>'FS Desroches Daily'!AD28</f>
        <v>519.99999999998181</v>
      </c>
      <c r="S26" s="31">
        <f>'FS Desroches Daily'!AF28</f>
        <v>1000</v>
      </c>
      <c r="T26" s="31">
        <f>'FS Desroches Daily'!AH28</f>
        <v>44</v>
      </c>
      <c r="U26" s="35">
        <f>'FS Desroches Daily'!AJ28</f>
        <v>700.00000000014495</v>
      </c>
      <c r="V26" s="35">
        <f>'FS Desroches Daily'!AL28</f>
        <v>239.99999999995225</v>
      </c>
      <c r="W26" s="35">
        <f>'FS Desroches Daily'!AN28</f>
        <v>220.00000000002728</v>
      </c>
      <c r="X26" s="35">
        <f>'FS Desroches Daily'!AP28</f>
        <v>230.00000000001819</v>
      </c>
      <c r="Y26" s="35">
        <f>'FS Desroches Daily'!AR28</f>
        <v>189.99999999999773</v>
      </c>
      <c r="Z26" s="35">
        <f>'FS Desroches Daily'!AT28</f>
        <v>229.99999999996135</v>
      </c>
      <c r="AA26" s="35">
        <f>'FS Desroches Daily'!AT28</f>
        <v>229.99999999996135</v>
      </c>
      <c r="AB26" s="35">
        <f>'FS Desroches Daily'!AV28</f>
        <v>140.0000000000432</v>
      </c>
      <c r="AC26" s="35">
        <f>'FS Desroches Daily'!AZ28</f>
        <v>170.00000000001592</v>
      </c>
      <c r="AD26" s="35">
        <f>'FS Desroches Daily'!BB28</f>
        <v>160.00000000002501</v>
      </c>
      <c r="AE26" s="35">
        <f>'FS Desroches Daily'!BD28</f>
        <v>100.00000000002274</v>
      </c>
      <c r="AF26" s="31">
        <f>'FS Desroches Daily'!BF28</f>
        <v>43</v>
      </c>
      <c r="AG26" s="32">
        <f>'FS Desroches Daily'!BH28</f>
        <v>39.99999999996362</v>
      </c>
      <c r="AH26" s="32">
        <f>'FS Desroches Daily'!BJ28</f>
        <v>50.000000000011369</v>
      </c>
      <c r="AI26" s="32">
        <f>'FS Desroches Daily'!BL28</f>
        <v>60.000000000002274</v>
      </c>
      <c r="AJ26" s="32">
        <f>'FS Desroches Daily'!BN28</f>
        <v>50.000000000011369</v>
      </c>
      <c r="AK26" s="32">
        <f>'FS Desroches Daily'!BP28</f>
        <v>50.000000000011369</v>
      </c>
      <c r="AL26" s="32">
        <f>'FS Desroches Daily'!BR28</f>
        <v>53</v>
      </c>
      <c r="AM26" s="32">
        <f>'FS Desroches Daily'!BT28</f>
        <v>60.000000000002274</v>
      </c>
      <c r="AN26" s="32">
        <f>'FS Desroches Daily'!BV28</f>
        <v>45</v>
      </c>
      <c r="AO26" s="32">
        <f>'FS Desroches Daily'!BX28</f>
        <v>79.999999999984084</v>
      </c>
      <c r="AP26" s="32">
        <f>'FS Desroches Daily'!BZ28</f>
        <v>59</v>
      </c>
      <c r="AQ26" s="31">
        <f>'FS Desroches Daily'!CB28</f>
        <v>89</v>
      </c>
      <c r="AR26" s="31">
        <f>'FS Desroches Daily'!CD28</f>
        <v>13.600000000002183</v>
      </c>
      <c r="AS26" s="31">
        <f>'FS Desroches Daily'!CF28</f>
        <v>0.2999999999992724</v>
      </c>
      <c r="AT26" s="31">
        <f>'FS Desroches Daily'!CH28</f>
        <v>44.599999999991269</v>
      </c>
      <c r="AU26" s="31">
        <f>'FS Desroches Daily'!CJ28</f>
        <v>361</v>
      </c>
      <c r="AV26" s="31">
        <f>'FS Desroches Daily'!CL28</f>
        <v>1000</v>
      </c>
      <c r="AW26" s="31">
        <f>'FS Desroches Daily'!CM28</f>
        <v>107</v>
      </c>
      <c r="AX26" s="31">
        <f>IF(LPG!F33-LPG!F32&lt;0,"0",(LPG!F33-LPG!F32)*1.8315)</f>
        <v>0</v>
      </c>
      <c r="AY26" s="31">
        <f>IF(LPG!H33-LPG!H32&lt;0,"0",(LPG!H33-LPG!H32)*1.8315)</f>
        <v>5.4944999999999995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12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2800.0000000001355</v>
      </c>
      <c r="F27" s="32">
        <f>'FS Desroches Daily'!F29</f>
        <v>3500.0000000007249</v>
      </c>
      <c r="G27" s="31">
        <f>'FS Desroches Daily'!H29</f>
        <v>3500.0000000007249</v>
      </c>
      <c r="H27" s="32">
        <f>'FS Desroches Daily'!J29</f>
        <v>1900.0000000000127</v>
      </c>
      <c r="I27" s="31">
        <f>'FS Desroches Daily'!L29</f>
        <v>2299.9999999999686</v>
      </c>
      <c r="J27" s="32">
        <f>'FS Desroches Daily'!N29</f>
        <v>1700.0000000000348</v>
      </c>
      <c r="K27" s="13">
        <f>'FS Desroches Daily'!P29</f>
        <v>20</v>
      </c>
      <c r="L27" s="31">
        <f>'FS Desroches Daily'!R29</f>
        <v>4</v>
      </c>
      <c r="M27" s="31">
        <f>'FS Desroches Daily'!T29</f>
        <v>1000</v>
      </c>
      <c r="N27" s="31">
        <f>'FS Desroches Daily'!V29</f>
        <v>494.80000000004657</v>
      </c>
      <c r="O27" s="31">
        <f>'FS Desroches Daily'!X29</f>
        <v>440.00000000005457</v>
      </c>
      <c r="P27" s="31">
        <f>'FS Desroches Daily'!Z29</f>
        <v>3000.0000000001137</v>
      </c>
      <c r="Q27" s="31">
        <f>'FS Desroches Daily'!AB29</f>
        <v>250</v>
      </c>
      <c r="R27" s="31">
        <f>'FS Desroches Daily'!AD29</f>
        <v>409.99999999996817</v>
      </c>
      <c r="S27" s="31">
        <f>'FS Desroches Daily'!AF29</f>
        <v>940.00000000005457</v>
      </c>
      <c r="T27" s="31">
        <f>'FS Desroches Daily'!AH29</f>
        <v>42</v>
      </c>
      <c r="U27" s="35">
        <f>'FS Desroches Daily'!AJ29</f>
        <v>799.99999999991189</v>
      </c>
      <c r="V27" s="35">
        <f>'FS Desroches Daily'!AL29</f>
        <v>250</v>
      </c>
      <c r="W27" s="35">
        <f>'FS Desroches Daily'!AN29</f>
        <v>189.99999999999773</v>
      </c>
      <c r="X27" s="35">
        <f>'FS Desroches Daily'!AP29</f>
        <v>209.99999999997954</v>
      </c>
      <c r="Y27" s="35">
        <f>'FS Desroches Daily'!AR29</f>
        <v>169.99999999995907</v>
      </c>
      <c r="Z27" s="35">
        <f>'FS Desroches Daily'!AT29</f>
        <v>210.00000000003638</v>
      </c>
      <c r="AA27" s="35">
        <f>'FS Desroches Daily'!AT29</f>
        <v>210.00000000003638</v>
      </c>
      <c r="AB27" s="35">
        <f>'FS Desroches Daily'!AV29</f>
        <v>159.99999999996817</v>
      </c>
      <c r="AC27" s="35">
        <f>'FS Desroches Daily'!AZ29</f>
        <v>170.00000000001592</v>
      </c>
      <c r="AD27" s="35">
        <f>'FS Desroches Daily'!BB29</f>
        <v>159.99999999996817</v>
      </c>
      <c r="AE27" s="35">
        <f>'FS Desroches Daily'!BD29</f>
        <v>100.00000000002274</v>
      </c>
      <c r="AF27" s="31">
        <f>'FS Desroches Daily'!BF29</f>
        <v>54</v>
      </c>
      <c r="AG27" s="32">
        <f>'FS Desroches Daily'!BH29</f>
        <v>50.000000000011369</v>
      </c>
      <c r="AH27" s="32">
        <f>'FS Desroches Daily'!BJ29</f>
        <v>49.999999999954525</v>
      </c>
      <c r="AI27" s="32">
        <f>'FS Desroches Daily'!BL29</f>
        <v>69.999999999993179</v>
      </c>
      <c r="AJ27" s="32">
        <f>'FS Desroches Daily'!BN29</f>
        <v>60.000000000002274</v>
      </c>
      <c r="AK27" s="32">
        <f>'FS Desroches Daily'!BP29</f>
        <v>39.99999999996362</v>
      </c>
      <c r="AL27" s="32">
        <f>'FS Desroches Daily'!BR29</f>
        <v>52</v>
      </c>
      <c r="AM27" s="32">
        <f>'FS Desroches Daily'!BT29</f>
        <v>59.999999999973852</v>
      </c>
      <c r="AN27" s="32">
        <f>'FS Desroches Daily'!BV29</f>
        <v>53</v>
      </c>
      <c r="AO27" s="32">
        <f>'FS Desroches Daily'!BX29</f>
        <v>60.000000000002274</v>
      </c>
      <c r="AP27" s="32">
        <f>'FS Desroches Daily'!BZ29</f>
        <v>67</v>
      </c>
      <c r="AQ27" s="31">
        <f>'FS Desroches Daily'!CB29</f>
        <v>81.599999999998545</v>
      </c>
      <c r="AR27" s="31">
        <f>'FS Desroches Daily'!CD29</f>
        <v>4.5</v>
      </c>
      <c r="AS27" s="31">
        <f>'FS Desroches Daily'!CF29</f>
        <v>4</v>
      </c>
      <c r="AT27" s="31">
        <f>'FS Desroches Daily'!CH29</f>
        <v>44.80000000000291</v>
      </c>
      <c r="AU27" s="31">
        <f>'FS Desroches Daily'!CJ29</f>
        <v>361</v>
      </c>
      <c r="AV27" s="31">
        <f>'FS Desroches Daily'!CL29</f>
        <v>1000</v>
      </c>
      <c r="AW27" s="31">
        <f>'FS Desroches Daily'!CM29</f>
        <v>85</v>
      </c>
      <c r="AX27" s="31">
        <f>IF(LPG!F35-LPG!F33&lt;0,"0",(LPG!F35-LPG!F33)*1.8315)</f>
        <v>0</v>
      </c>
      <c r="AY27" s="31">
        <f>IF(LPG!H35-LPG!H33&lt;0,"0",(LPG!H35-LPG!H33)*1.8315)</f>
        <v>5.4944999999999995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10.988999999999999</v>
      </c>
      <c r="BC27" s="13">
        <f>'FS Desroches Daily'!CN29</f>
        <v>11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2499.9999999999468</v>
      </c>
      <c r="F28" s="32">
        <f>'FS Desroches Daily'!F30</f>
        <v>3199.9999999996476</v>
      </c>
      <c r="G28" s="31">
        <f>'FS Desroches Daily'!H30</f>
        <v>3499.9999999998367</v>
      </c>
      <c r="H28" s="32">
        <f>'FS Desroches Daily'!J30</f>
        <v>1700.0000000000348</v>
      </c>
      <c r="I28" s="31">
        <f>'FS Desroches Daily'!L30</f>
        <v>2099.9999999999909</v>
      </c>
      <c r="J28" s="32">
        <f>'FS Desroches Daily'!N30</f>
        <v>1900.0000000000127</v>
      </c>
      <c r="K28" s="13">
        <f>'FS Desroches Daily'!P30</f>
        <v>161</v>
      </c>
      <c r="L28" s="31">
        <f>'FS Desroches Daily'!R30</f>
        <v>11</v>
      </c>
      <c r="M28" s="31">
        <f>'FS Desroches Daily'!T30</f>
        <v>900.00000000009095</v>
      </c>
      <c r="N28" s="31">
        <f>'FS Desroches Daily'!V30</f>
        <v>368</v>
      </c>
      <c r="O28" s="31">
        <f>'FS Desroches Daily'!X30</f>
        <v>360.00000000001364</v>
      </c>
      <c r="P28" s="31">
        <f>'FS Desroches Daily'!Z30</f>
        <v>2599.9999999992697</v>
      </c>
      <c r="Q28" s="31">
        <f>'FS Desroches Daily'!AB30</f>
        <v>429.99999999994998</v>
      </c>
      <c r="R28" s="31">
        <f>'FS Desroches Daily'!AD30</f>
        <v>389.99999999998636</v>
      </c>
      <c r="S28" s="31">
        <f>'FS Desroches Daily'!AF30</f>
        <v>969.9999999999136</v>
      </c>
      <c r="T28" s="31">
        <f>'FS Desroches Daily'!AH30</f>
        <v>42</v>
      </c>
      <c r="U28" s="35">
        <f>'FS Desroches Daily'!AJ30</f>
        <v>700.00000000014495</v>
      </c>
      <c r="V28" s="35">
        <f>'FS Desroches Daily'!AL30</f>
        <v>210.00000000003638</v>
      </c>
      <c r="W28" s="35">
        <f>'FS Desroches Daily'!AN30</f>
        <v>159.99999999996817</v>
      </c>
      <c r="X28" s="35">
        <f>'FS Desroches Daily'!AP30</f>
        <v>170.00000000001592</v>
      </c>
      <c r="Y28" s="35">
        <f>'FS Desroches Daily'!AR30</f>
        <v>140.0000000000432</v>
      </c>
      <c r="Z28" s="35">
        <f>'FS Desroches Daily'!AT30</f>
        <v>159.99999999996817</v>
      </c>
      <c r="AA28" s="35">
        <f>'FS Desroches Daily'!AT30</f>
        <v>159.99999999996817</v>
      </c>
      <c r="AB28" s="35">
        <f>'FS Desroches Daily'!AV30</f>
        <v>120.00000000000455</v>
      </c>
      <c r="AC28" s="35">
        <f>'FS Desroches Daily'!AZ30</f>
        <v>149.99999999997726</v>
      </c>
      <c r="AD28" s="35">
        <f>'FS Desroches Daily'!BB30</f>
        <v>150.00000000003411</v>
      </c>
      <c r="AE28" s="35">
        <f>'FS Desroches Daily'!BD30</f>
        <v>89.999999999974989</v>
      </c>
      <c r="AF28" s="31">
        <f>'FS Desroches Daily'!BF30</f>
        <v>52</v>
      </c>
      <c r="AG28" s="32">
        <f>'FS Desroches Daily'!BH30</f>
        <v>50.000000000011369</v>
      </c>
      <c r="AH28" s="32">
        <f>'FS Desroches Daily'!BJ30</f>
        <v>40.000000000020464</v>
      </c>
      <c r="AI28" s="32">
        <f>'FS Desroches Daily'!BL30</f>
        <v>70.000000000050022</v>
      </c>
      <c r="AJ28" s="32">
        <f>'FS Desroches Daily'!BN30</f>
        <v>39.999999999992042</v>
      </c>
      <c r="AK28" s="32">
        <f>'FS Desroches Daily'!BP30</f>
        <v>50.000000000011369</v>
      </c>
      <c r="AL28" s="32">
        <f>'FS Desroches Daily'!BR30</f>
        <v>48</v>
      </c>
      <c r="AM28" s="32">
        <f>'FS Desroches Daily'!BT30</f>
        <v>50.000000000011369</v>
      </c>
      <c r="AN28" s="32">
        <f>'FS Desroches Daily'!BV30</f>
        <v>42</v>
      </c>
      <c r="AO28" s="32">
        <f>'FS Desroches Daily'!BX30</f>
        <v>60.000000000002274</v>
      </c>
      <c r="AP28" s="32">
        <f>'FS Desroches Daily'!BZ30</f>
        <v>55</v>
      </c>
      <c r="AQ28" s="31">
        <f>'FS Desroches Daily'!CB30</f>
        <v>71.5</v>
      </c>
      <c r="AR28" s="31">
        <f>'FS Desroches Daily'!CD30</f>
        <v>7.3999999999978172</v>
      </c>
      <c r="AS28" s="31">
        <f>'FS Desroches Daily'!CF30</f>
        <v>2.8999999999996362</v>
      </c>
      <c r="AT28" s="31">
        <f>'FS Desroches Daily'!CH30</f>
        <v>54.19999999999709</v>
      </c>
      <c r="AU28" s="31">
        <f>'FS Desroches Daily'!CJ30</f>
        <v>333</v>
      </c>
      <c r="AV28" s="31">
        <f>'FS Desroches Daily'!CL30</f>
        <v>1299.9999999999545</v>
      </c>
      <c r="AW28" s="31">
        <f>'FS Desroches Daily'!CM30</f>
        <v>99.200000000000728</v>
      </c>
      <c r="AX28" s="31">
        <f>IF(LPG!F36-LPG!F34&lt;0,"0",(LPG!F36-LPG!F34)*1.8315)</f>
        <v>0</v>
      </c>
      <c r="AY28" s="31">
        <f>IF(LPG!H36-LPG!H34&lt;0,"0",(LPG!H36-LPG!H34)*1.8315)</f>
        <v>7.3259999999999996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9.1574999999999989</v>
      </c>
      <c r="BC28" s="13">
        <f>'FS Desroches Daily'!CN30</f>
        <v>9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2699.9999999999245</v>
      </c>
      <c r="F29" s="32">
        <f>'FS Desroches Daily'!F31</f>
        <v>3199.9999999996476</v>
      </c>
      <c r="G29" s="31">
        <f>'FS Desroches Daily'!H31</f>
        <v>3099.9999999998809</v>
      </c>
      <c r="H29" s="32">
        <f>'FS Desroches Daily'!J31</f>
        <v>1800.0000000002458</v>
      </c>
      <c r="I29" s="31">
        <f>'FS Desroches Daily'!L31</f>
        <v>2299.9999999999686</v>
      </c>
      <c r="J29" s="32">
        <f>'FS Desroches Daily'!N31</f>
        <v>1700.0000000000348</v>
      </c>
      <c r="K29" s="13">
        <f>'FS Desroches Daily'!P31</f>
        <v>41</v>
      </c>
      <c r="L29" s="31">
        <f>'FS Desroches Daily'!R31</f>
        <v>6</v>
      </c>
      <c r="M29" s="31">
        <f>'FS Desroches Daily'!T31</f>
        <v>799.99999999995453</v>
      </c>
      <c r="N29" s="31">
        <f>'FS Desroches Daily'!V31</f>
        <v>353.40000000002328</v>
      </c>
      <c r="O29" s="31">
        <f>'FS Desroches Daily'!X31</f>
        <v>409.99999999996817</v>
      </c>
      <c r="P29" s="31">
        <f>'FS Desroches Daily'!Z31</f>
        <v>2800.0000000005798</v>
      </c>
      <c r="Q29" s="31">
        <f>'FS Desroches Daily'!AB31</f>
        <v>269.99999999998181</v>
      </c>
      <c r="R29" s="31">
        <f>'FS Desroches Daily'!AD31</f>
        <v>340.00000000003183</v>
      </c>
      <c r="S29" s="31">
        <f>'FS Desroches Daily'!AF31</f>
        <v>920.00000000007276</v>
      </c>
      <c r="T29" s="31">
        <f>'FS Desroches Daily'!AH31</f>
        <v>38</v>
      </c>
      <c r="U29" s="35">
        <f>'FS Desroches Daily'!AJ31</f>
        <v>699.99999999992292</v>
      </c>
      <c r="V29" s="35">
        <f>'FS Desroches Daily'!AL31</f>
        <v>230.00000000001819</v>
      </c>
      <c r="W29" s="35">
        <f>'FS Desroches Daily'!AN31</f>
        <v>170.00000000001592</v>
      </c>
      <c r="X29" s="35">
        <f>'FS Desroches Daily'!AP31</f>
        <v>199.99999999998863</v>
      </c>
      <c r="Y29" s="35">
        <f>'FS Desroches Daily'!AR31</f>
        <v>219.99999999997044</v>
      </c>
      <c r="Z29" s="35">
        <f>'FS Desroches Daily'!AT31</f>
        <v>210.00000000003638</v>
      </c>
      <c r="AA29" s="35">
        <f>'FS Desroches Daily'!AT31</f>
        <v>210.00000000003638</v>
      </c>
      <c r="AB29" s="35">
        <f>'FS Desroches Daily'!AV31</f>
        <v>139.99999999998636</v>
      </c>
      <c r="AC29" s="35">
        <f>'FS Desroches Daily'!AZ31</f>
        <v>160.00000000002501</v>
      </c>
      <c r="AD29" s="35">
        <f>'FS Desroches Daily'!BB31</f>
        <v>129.99999999999545</v>
      </c>
      <c r="AE29" s="35">
        <f>'FS Desroches Daily'!BD31</f>
        <v>79.999999999984084</v>
      </c>
      <c r="AF29" s="31">
        <f>'FS Desroches Daily'!BF31</f>
        <v>40</v>
      </c>
      <c r="AG29" s="32">
        <f>'FS Desroches Daily'!BH31</f>
        <v>50.000000000011369</v>
      </c>
      <c r="AH29" s="32">
        <f>'FS Desroches Daily'!BJ31</f>
        <v>50.000000000011369</v>
      </c>
      <c r="AI29" s="32">
        <f>'FS Desroches Daily'!BL31</f>
        <v>69.999999999993179</v>
      </c>
      <c r="AJ29" s="32">
        <f>'FS Desroches Daily'!BN31</f>
        <v>50.000000000011369</v>
      </c>
      <c r="AK29" s="32">
        <f>'FS Desroches Daily'!BP31</f>
        <v>40.000000000020464</v>
      </c>
      <c r="AL29" s="32">
        <f>'FS Desroches Daily'!BR31</f>
        <v>51</v>
      </c>
      <c r="AM29" s="32">
        <f>'FS Desroches Daily'!BT31</f>
        <v>60.000000000002274</v>
      </c>
      <c r="AN29" s="32">
        <f>'FS Desroches Daily'!BV31</f>
        <v>43</v>
      </c>
      <c r="AO29" s="32">
        <f>'FS Desroches Daily'!BX31</f>
        <v>60.000000000002274</v>
      </c>
      <c r="AP29" s="32">
        <f>'FS Desroches Daily'!BZ31</f>
        <v>58</v>
      </c>
      <c r="AQ29" s="31">
        <f>'FS Desroches Daily'!CB31</f>
        <v>86.900000000001455</v>
      </c>
      <c r="AR29" s="31">
        <f>'FS Desroches Daily'!CD31</f>
        <v>7.5</v>
      </c>
      <c r="AS29" s="31">
        <f>'FS Desroches Daily'!CF31</f>
        <v>3.8999999999996362</v>
      </c>
      <c r="AT29" s="31">
        <f>'FS Desroches Daily'!CH31</f>
        <v>37.5</v>
      </c>
      <c r="AU29" s="31">
        <f>'FS Desroches Daily'!CJ31</f>
        <v>335</v>
      </c>
      <c r="AV29" s="31">
        <f>'FS Desroches Daily'!CL31</f>
        <v>599.99999999990905</v>
      </c>
      <c r="AW29" s="31">
        <f>'FS Desroches Daily'!CM31</f>
        <v>99.299999999999272</v>
      </c>
      <c r="AX29" s="31">
        <f>IF(LPG!F37-LPG!F35&lt;0,"0",(LPG!F37-LPG!F35)*1.8315)</f>
        <v>0</v>
      </c>
      <c r="AY29" s="31">
        <f>IF(LPG!H37-LPG!H35&lt;0,"0",(LPG!H37-LPG!H35)*1.8315)</f>
        <v>9.1574999999999989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10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1800.0000000002458</v>
      </c>
      <c r="F30" s="32">
        <f>'FS Desroches Daily'!F32</f>
        <v>2800.0000000005798</v>
      </c>
      <c r="G30" s="31">
        <f>'FS Desroches Daily'!H32</f>
        <v>2900.0000000003465</v>
      </c>
      <c r="H30" s="32">
        <f>'FS Desroches Daily'!J32</f>
        <v>1399.9999999998458</v>
      </c>
      <c r="I30" s="31">
        <f>'FS Desroches Daily'!L32</f>
        <v>1900.0000000000127</v>
      </c>
      <c r="J30" s="32">
        <f>'FS Desroches Daily'!N32</f>
        <v>1100.000000000101</v>
      </c>
      <c r="K30" s="13">
        <f>'FS Desroches Daily'!P32</f>
        <v>19</v>
      </c>
      <c r="L30" s="31">
        <f>'FS Desroches Daily'!R32</f>
        <v>3</v>
      </c>
      <c r="M30" s="31">
        <f>'FS Desroches Daily'!T32</f>
        <v>900.00000000009095</v>
      </c>
      <c r="N30" s="31">
        <f>'FS Desroches Daily'!V32</f>
        <v>328.59999999997672</v>
      </c>
      <c r="O30" s="31">
        <f>'FS Desroches Daily'!X32</f>
        <v>220.00000000002728</v>
      </c>
      <c r="P30" s="31">
        <f>'FS Desroches Daily'!Z32</f>
        <v>2499.9999999995025</v>
      </c>
      <c r="Q30" s="31">
        <f>'FS Desroches Daily'!AB32</f>
        <v>190.00000000005457</v>
      </c>
      <c r="R30" s="31">
        <f>'FS Desroches Daily'!AD32</f>
        <v>230.00000000001819</v>
      </c>
      <c r="S30" s="31">
        <f>'FS Desroches Daily'!AF32</f>
        <v>500</v>
      </c>
      <c r="T30" s="31">
        <f>'FS Desroches Daily'!AH32</f>
        <v>28</v>
      </c>
      <c r="U30" s="35">
        <f>'FS Desroches Daily'!AJ32</f>
        <v>399.99999999995595</v>
      </c>
      <c r="V30" s="35">
        <f>'FS Desroches Daily'!AL32</f>
        <v>119.9999999999477</v>
      </c>
      <c r="W30" s="35">
        <f>'FS Desroches Daily'!AN32</f>
        <v>100.00000000002274</v>
      </c>
      <c r="X30" s="35">
        <f>'FS Desroches Daily'!AP32</f>
        <v>80.000000000040927</v>
      </c>
      <c r="Y30" s="35">
        <f>'FS Desroches Daily'!AR32</f>
        <v>129.99999999999545</v>
      </c>
      <c r="Z30" s="35">
        <f>'FS Desroches Daily'!AT32</f>
        <v>149.99999999997726</v>
      </c>
      <c r="AA30" s="35">
        <f>'FS Desroches Daily'!AT32</f>
        <v>149.99999999997726</v>
      </c>
      <c r="AB30" s="35">
        <f>'FS Desroches Daily'!AV32</f>
        <v>69.999999999993179</v>
      </c>
      <c r="AC30" s="35">
        <f>'FS Desroches Daily'!AZ32</f>
        <v>99.999999999965894</v>
      </c>
      <c r="AD30" s="35">
        <f>'FS Desroches Daily'!BB32</f>
        <v>79.999999999984084</v>
      </c>
      <c r="AE30" s="35">
        <f>'FS Desroches Daily'!BD32</f>
        <v>50.000000000011369</v>
      </c>
      <c r="AF30" s="31">
        <f>'FS Desroches Daily'!BF32</f>
        <v>41</v>
      </c>
      <c r="AG30" s="32">
        <f>'FS Desroches Daily'!BH32</f>
        <v>39.99999999996362</v>
      </c>
      <c r="AH30" s="32">
        <f>'FS Desroches Daily'!BJ32</f>
        <v>39.99999999996362</v>
      </c>
      <c r="AI30" s="32">
        <f>'FS Desroches Daily'!BL32</f>
        <v>50.000000000011369</v>
      </c>
      <c r="AJ30" s="32">
        <f>'FS Desroches Daily'!BN32</f>
        <v>39.999999999992042</v>
      </c>
      <c r="AK30" s="32">
        <f>'FS Desroches Daily'!BP32</f>
        <v>29.999999999972715</v>
      </c>
      <c r="AL30" s="32">
        <f>'FS Desroches Daily'!BR32</f>
        <v>35</v>
      </c>
      <c r="AM30" s="32">
        <f>'FS Desroches Daily'!BT32</f>
        <v>30.000000000001137</v>
      </c>
      <c r="AN30" s="32">
        <f>'FS Desroches Daily'!BV32</f>
        <v>34</v>
      </c>
      <c r="AO30" s="32">
        <f>'FS Desroches Daily'!BX32</f>
        <v>39.999999999992042</v>
      </c>
      <c r="AP30" s="32">
        <f>'FS Desroches Daily'!BZ32</f>
        <v>48</v>
      </c>
      <c r="AQ30" s="31">
        <f>'FS Desroches Daily'!CB32</f>
        <v>88.69999999999709</v>
      </c>
      <c r="AR30" s="31">
        <f>'FS Desroches Daily'!CD32</f>
        <v>7.4000000000014552</v>
      </c>
      <c r="AS30" s="31">
        <f>'FS Desroches Daily'!CF32</f>
        <v>1.4000000000014552</v>
      </c>
      <c r="AT30" s="31">
        <f>'FS Desroches Daily'!CH32</f>
        <v>32.30000000000291</v>
      </c>
      <c r="AU30" s="31">
        <f>'FS Desroches Daily'!CJ32</f>
        <v>321</v>
      </c>
      <c r="AV30" s="31">
        <f>'FS Desroches Daily'!CL32</f>
        <v>900.00000000009095</v>
      </c>
      <c r="AW30" s="31">
        <f>'FS Desroches Daily'!CM32</f>
        <v>98.099999999998545</v>
      </c>
      <c r="AX30" s="31">
        <f>IF(LPG!F38-LPG!F36&lt;0,"0",(LPG!F38-LPG!F36)*1.8315)</f>
        <v>0</v>
      </c>
      <c r="AY30" s="31">
        <f>IF(LPG!H38-LPG!H36&lt;0,"0",(LPG!H38-LPG!H36)*1.8315)</f>
        <v>9.1574999999999989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5.4944999999999995</v>
      </c>
      <c r="BC30" s="13">
        <f>'FS Desroches Daily'!CN32</f>
        <v>10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1099.9999999996569</v>
      </c>
      <c r="F31" s="32">
        <f>'FS Desroches Daily'!F33</f>
        <v>2600.0000000001578</v>
      </c>
      <c r="G31" s="31">
        <f>'FS Desroches Daily'!H33</f>
        <v>2799.9999999996917</v>
      </c>
      <c r="H31" s="32">
        <f>'FS Desroches Daily'!J33</f>
        <v>1399.9999999998458</v>
      </c>
      <c r="I31" s="31">
        <f>'FS Desroches Daily'!L33</f>
        <v>2000.0000000002237</v>
      </c>
      <c r="J31" s="32">
        <f>'FS Desroches Daily'!N33</f>
        <v>1100.000000000101</v>
      </c>
      <c r="K31" s="13">
        <f>'FS Desroches Daily'!P33</f>
        <v>17</v>
      </c>
      <c r="L31" s="31">
        <f>'FS Desroches Daily'!R33</f>
        <v>3</v>
      </c>
      <c r="M31" s="31">
        <f>'FS Desroches Daily'!T33</f>
        <v>899.99999999986358</v>
      </c>
      <c r="N31" s="31">
        <f>'FS Desroches Daily'!V33</f>
        <v>285.90000000002328</v>
      </c>
      <c r="O31" s="31">
        <f>'FS Desroches Daily'!X33</f>
        <v>209.99999999992269</v>
      </c>
      <c r="P31" s="31">
        <f>'FS Desroches Daily'!Z33</f>
        <v>2299.9999999999686</v>
      </c>
      <c r="Q31" s="31">
        <f>'FS Desroches Daily'!AB33</f>
        <v>360.00000000001364</v>
      </c>
      <c r="R31" s="31">
        <f>'FS Desroches Daily'!AD33</f>
        <v>220.00000000002728</v>
      </c>
      <c r="S31" s="31">
        <f>'FS Desroches Daily'!AF33</f>
        <v>409.99999999996817</v>
      </c>
      <c r="T31" s="31">
        <f>'FS Desroches Daily'!AH33</f>
        <v>28</v>
      </c>
      <c r="U31" s="35">
        <f>'FS Desroches Daily'!AJ33</f>
        <v>399.99999999995595</v>
      </c>
      <c r="V31" s="35">
        <f>'FS Desroches Daily'!AL33</f>
        <v>70.000000000050022</v>
      </c>
      <c r="W31" s="35">
        <f>'FS Desroches Daily'!AN33</f>
        <v>89.999999999974989</v>
      </c>
      <c r="X31" s="35">
        <f>'FS Desroches Daily'!AP33</f>
        <v>60.000000000002274</v>
      </c>
      <c r="Y31" s="35">
        <f>'FS Desroches Daily'!AR33</f>
        <v>69.999999999993179</v>
      </c>
      <c r="Z31" s="35">
        <f>'FS Desroches Daily'!AT33</f>
        <v>60.000000000002274</v>
      </c>
      <c r="AA31" s="35">
        <f>'FS Desroches Daily'!AT33</f>
        <v>60.000000000002274</v>
      </c>
      <c r="AB31" s="35">
        <f>'FS Desroches Daily'!AV33</f>
        <v>50.000000000011369</v>
      </c>
      <c r="AC31" s="35">
        <f>'FS Desroches Daily'!AZ33</f>
        <v>50.000000000011369</v>
      </c>
      <c r="AD31" s="35">
        <f>'FS Desroches Daily'!BB33</f>
        <v>60.000000000002274</v>
      </c>
      <c r="AE31" s="35">
        <f>'FS Desroches Daily'!BD33</f>
        <v>40.000000000020464</v>
      </c>
      <c r="AF31" s="31">
        <f>'FS Desroches Daily'!BF33</f>
        <v>50</v>
      </c>
      <c r="AG31" s="32">
        <f>'FS Desroches Daily'!BH33</f>
        <v>30.000000000029559</v>
      </c>
      <c r="AH31" s="32">
        <f>'FS Desroches Daily'!BJ33</f>
        <v>30.000000000029559</v>
      </c>
      <c r="AI31" s="32">
        <f>'FS Desroches Daily'!BL33</f>
        <v>49.999999999954525</v>
      </c>
      <c r="AJ31" s="32">
        <f>'FS Desroches Daily'!BN33</f>
        <v>30.000000000001137</v>
      </c>
      <c r="AK31" s="32">
        <f>'FS Desroches Daily'!BP33</f>
        <v>20.000000000038654</v>
      </c>
      <c r="AL31" s="32">
        <f>'FS Desroches Daily'!BR33</f>
        <v>39</v>
      </c>
      <c r="AM31" s="32">
        <f>'FS Desroches Daily'!BT33</f>
        <v>39.999999999992042</v>
      </c>
      <c r="AN31" s="32">
        <f>'FS Desroches Daily'!BV33</f>
        <v>30</v>
      </c>
      <c r="AO31" s="32">
        <f>'FS Desroches Daily'!BX33</f>
        <v>40.000000000020464</v>
      </c>
      <c r="AP31" s="32">
        <f>'FS Desroches Daily'!BZ33</f>
        <v>49</v>
      </c>
      <c r="AQ31" s="31">
        <f>'FS Desroches Daily'!CB33</f>
        <v>80.30000000000291</v>
      </c>
      <c r="AR31" s="31">
        <f>'FS Desroches Daily'!CD33</f>
        <v>5.5999999999985448</v>
      </c>
      <c r="AS31" s="31">
        <f>'FS Desroches Daily'!CF33</f>
        <v>1.6999999999989086</v>
      </c>
      <c r="AT31" s="31">
        <f>'FS Desroches Daily'!CH33</f>
        <v>45</v>
      </c>
      <c r="AU31" s="31">
        <f>'FS Desroches Daily'!CJ33</f>
        <v>303</v>
      </c>
      <c r="AV31" s="31">
        <f>'FS Desroches Daily'!CL33</f>
        <v>799.99999999995453</v>
      </c>
      <c r="AW31" s="31">
        <f>'FS Desroches Daily'!CM33</f>
        <v>81.400000000001455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5.4944999999999995</v>
      </c>
      <c r="BC31" s="13">
        <f>'FS Desroches Daily'!CN33</f>
        <v>10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1000.000000000334</v>
      </c>
      <c r="F32" s="32">
        <f>'FS Desroches Daily'!F34</f>
        <v>2699.9999999999245</v>
      </c>
      <c r="G32" s="31">
        <f>'FS Desroches Daily'!H34</f>
        <v>3000.0000000001137</v>
      </c>
      <c r="H32" s="32">
        <f>'FS Desroches Daily'!J34</f>
        <v>1600.0000000002678</v>
      </c>
      <c r="I32" s="31">
        <f>'FS Desroches Daily'!L34</f>
        <v>1999.9999999997797</v>
      </c>
      <c r="J32" s="32">
        <f>'FS Desroches Daily'!N34</f>
        <v>1099.9999999996569</v>
      </c>
      <c r="K32" s="13">
        <f>'FS Desroches Daily'!P34</f>
        <v>36</v>
      </c>
      <c r="L32" s="31">
        <f>'FS Desroches Daily'!R34</f>
        <v>5</v>
      </c>
      <c r="M32" s="31">
        <f>'FS Desroches Daily'!T34</f>
        <v>1000</v>
      </c>
      <c r="N32" s="31">
        <f>'FS Desroches Daily'!V34</f>
        <v>485.09999999997672</v>
      </c>
      <c r="O32" s="31">
        <f>'FS Desroches Daily'!X34</f>
        <v>270.0000000000955</v>
      </c>
      <c r="P32" s="31">
        <f>'FS Desroches Daily'!Z34</f>
        <v>2500.0000000003906</v>
      </c>
      <c r="Q32" s="31">
        <f>'FS Desroches Daily'!AB34</f>
        <v>209.99999999992269</v>
      </c>
      <c r="R32" s="31">
        <f>'FS Desroches Daily'!AD34</f>
        <v>329.99999999992724</v>
      </c>
      <c r="S32" s="31">
        <f>'FS Desroches Daily'!AF34</f>
        <v>429.99999999994998</v>
      </c>
      <c r="T32" s="31">
        <f>'FS Desroches Daily'!AH34</f>
        <v>33</v>
      </c>
      <c r="U32" s="35">
        <f>'FS Desroches Daily'!AJ34</f>
        <v>299.99999999996697</v>
      </c>
      <c r="V32" s="35">
        <f>'FS Desroches Daily'!AL34</f>
        <v>49.999999999954525</v>
      </c>
      <c r="W32" s="35">
        <f>'FS Desroches Daily'!AN34</f>
        <v>69.999999999993179</v>
      </c>
      <c r="X32" s="35">
        <f>'FS Desroches Daily'!AP34</f>
        <v>39.99999999996362</v>
      </c>
      <c r="Y32" s="35">
        <f>'FS Desroches Daily'!AR34</f>
        <v>40.000000000020464</v>
      </c>
      <c r="Z32" s="35">
        <f>'FS Desroches Daily'!AT34</f>
        <v>79.999999999984084</v>
      </c>
      <c r="AA32" s="35">
        <f>'FS Desroches Daily'!AT34</f>
        <v>79.999999999984084</v>
      </c>
      <c r="AB32" s="35">
        <f>'FS Desroches Daily'!AV34</f>
        <v>30.000000000029559</v>
      </c>
      <c r="AC32" s="35">
        <f>'FS Desroches Daily'!AZ34</f>
        <v>40.000000000020464</v>
      </c>
      <c r="AD32" s="35">
        <f>'FS Desroches Daily'!BB34</f>
        <v>29.999999999972715</v>
      </c>
      <c r="AE32" s="35">
        <f>'FS Desroches Daily'!BD34</f>
        <v>39.99999999996362</v>
      </c>
      <c r="AF32" s="31">
        <f>'FS Desroches Daily'!BF34</f>
        <v>40</v>
      </c>
      <c r="AG32" s="32">
        <f>'FS Desroches Daily'!BH34</f>
        <v>50.000000000011369</v>
      </c>
      <c r="AH32" s="32">
        <f>'FS Desroches Daily'!BJ34</f>
        <v>50.000000000011369</v>
      </c>
      <c r="AI32" s="32">
        <f>'FS Desroches Daily'!BL34</f>
        <v>60.000000000002274</v>
      </c>
      <c r="AJ32" s="32">
        <f>'FS Desroches Daily'!BN34</f>
        <v>49.999999999982947</v>
      </c>
      <c r="AK32" s="32">
        <f>'FS Desroches Daily'!BP34</f>
        <v>39.99999999996362</v>
      </c>
      <c r="AL32" s="32">
        <f>'FS Desroches Daily'!BR34</f>
        <v>50</v>
      </c>
      <c r="AM32" s="32">
        <f>'FS Desroches Daily'!BT34</f>
        <v>40.000000000020464</v>
      </c>
      <c r="AN32" s="32">
        <f>'FS Desroches Daily'!BV34</f>
        <v>39</v>
      </c>
      <c r="AO32" s="32">
        <f>'FS Desroches Daily'!BX34</f>
        <v>49.999999999982947</v>
      </c>
      <c r="AP32" s="32">
        <f>'FS Desroches Daily'!BZ34</f>
        <v>51</v>
      </c>
      <c r="AQ32" s="31">
        <f>'FS Desroches Daily'!CB34</f>
        <v>82.599999999998545</v>
      </c>
      <c r="AR32" s="31">
        <f>'FS Desroches Daily'!CD34</f>
        <v>7.9000000000014552</v>
      </c>
      <c r="AS32" s="31">
        <f>'FS Desroches Daily'!CF34</f>
        <v>4.5</v>
      </c>
      <c r="AT32" s="31">
        <f>'FS Desroches Daily'!CH34</f>
        <v>45</v>
      </c>
      <c r="AU32" s="31">
        <f>'FS Desroches Daily'!CJ34</f>
        <v>330</v>
      </c>
      <c r="AV32" s="31">
        <f>'FS Desroches Daily'!CL34</f>
        <v>600.00000000013642</v>
      </c>
      <c r="AW32" s="31">
        <f>'FS Desroches Daily'!CM34</f>
        <v>79.200000000000728</v>
      </c>
      <c r="AX32" s="31" t="str">
        <f>IF(LPG!F40-LPG!F38&lt;0,"0",(LPG!F40-LPG!F38)*1.8315)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 t="str">
        <f>IF(LPG!Q39-LPG!Q38&lt;0,"0",(LPG!Q39-LPG!Q38)*1.8315)</f>
        <v>0</v>
      </c>
      <c r="BC32" s="13">
        <f>'FS Desroches Daily'!CN34</f>
        <v>10</v>
      </c>
      <c r="BD32" s="9"/>
    </row>
    <row r="33" spans="5:55" x14ac:dyDescent="0.25">
      <c r="E33" s="35">
        <f>SUM(E2:E32)</f>
        <v>89100.000000000189</v>
      </c>
      <c r="F33" s="17">
        <f t="shared" ref="F33:BC33" si="0">SUM(F2:F32)</f>
        <v>101200.00000000045</v>
      </c>
      <c r="G33" s="17">
        <f t="shared" si="0"/>
        <v>116200.00000000015</v>
      </c>
      <c r="H33" s="17">
        <f t="shared" si="0"/>
        <v>51600.000000000116</v>
      </c>
      <c r="I33" s="17">
        <f t="shared" si="0"/>
        <v>75899.999999999869</v>
      </c>
      <c r="J33" s="17">
        <f t="shared" si="0"/>
        <v>51099.999999999956</v>
      </c>
      <c r="K33" s="17">
        <f t="shared" si="0"/>
        <v>1000</v>
      </c>
      <c r="L33" s="17">
        <f t="shared" si="0"/>
        <v>148</v>
      </c>
      <c r="M33" s="17">
        <f t="shared" si="0"/>
        <v>41099.999999999905</v>
      </c>
      <c r="N33" s="17">
        <f t="shared" si="0"/>
        <v>14558.199999999953</v>
      </c>
      <c r="O33" s="17">
        <f t="shared" si="0"/>
        <v>10580.00000000004</v>
      </c>
      <c r="P33" s="17">
        <f t="shared" si="0"/>
        <v>90200.00000000032</v>
      </c>
      <c r="Q33" s="17">
        <f t="shared" si="0"/>
        <v>9919.99999999996</v>
      </c>
      <c r="R33" s="17">
        <f t="shared" si="0"/>
        <v>11779.999999999973</v>
      </c>
      <c r="S33" s="17">
        <f t="shared" si="0"/>
        <v>25849.999999999905</v>
      </c>
      <c r="T33" s="17">
        <f t="shared" si="0"/>
        <v>1335</v>
      </c>
      <c r="U33" s="35">
        <f t="shared" si="0"/>
        <v>24299.999999999996</v>
      </c>
      <c r="V33" s="35">
        <f t="shared" si="0"/>
        <v>6769.9999999999845</v>
      </c>
      <c r="W33" s="35">
        <f t="shared" si="0"/>
        <v>4849.9999999999654</v>
      </c>
      <c r="X33" s="35">
        <f t="shared" si="0"/>
        <v>6800.0000000000146</v>
      </c>
      <c r="Y33" s="35">
        <f t="shared" si="0"/>
        <v>5879.9999999999945</v>
      </c>
      <c r="Z33" s="35">
        <f t="shared" si="0"/>
        <v>7885.519999999944</v>
      </c>
      <c r="AA33" s="35">
        <f t="shared" si="0"/>
        <v>7885.519999999944</v>
      </c>
      <c r="AB33" s="35">
        <f t="shared" si="0"/>
        <v>4949.9999999999891</v>
      </c>
      <c r="AC33" s="35">
        <f t="shared" si="0"/>
        <v>5009.9999999999891</v>
      </c>
      <c r="AD33" s="35">
        <f t="shared" si="0"/>
        <v>4810.0000000000018</v>
      </c>
      <c r="AE33" s="35">
        <f t="shared" si="0"/>
        <v>3569.9999999999932</v>
      </c>
      <c r="AF33" s="17">
        <f t="shared" si="0"/>
        <v>1468</v>
      </c>
      <c r="AG33" s="32">
        <f t="shared" si="0"/>
        <v>1290.0000000000205</v>
      </c>
      <c r="AH33" s="32">
        <f t="shared" si="0"/>
        <v>1319.9999999999932</v>
      </c>
      <c r="AI33" s="32">
        <f t="shared" si="0"/>
        <v>1969.9999999999704</v>
      </c>
      <c r="AJ33" s="32">
        <f t="shared" si="0"/>
        <v>1369.9999999999761</v>
      </c>
      <c r="AK33" s="32">
        <f t="shared" si="0"/>
        <v>1149.9999999999773</v>
      </c>
      <c r="AL33" s="32">
        <f t="shared" si="0"/>
        <v>1400</v>
      </c>
      <c r="AM33" s="32">
        <f t="shared" si="0"/>
        <v>1430.0000000000068</v>
      </c>
      <c r="AN33" s="32">
        <f t="shared" si="0"/>
        <v>1319</v>
      </c>
      <c r="AO33" s="32">
        <f t="shared" si="0"/>
        <v>1419.9999999999875</v>
      </c>
      <c r="AP33" s="32">
        <f t="shared" si="0"/>
        <v>1651</v>
      </c>
      <c r="AQ33" s="17">
        <f t="shared" si="0"/>
        <v>2565.0999999999985</v>
      </c>
      <c r="AR33" s="17">
        <f t="shared" si="0"/>
        <v>406.40000000000146</v>
      </c>
      <c r="AS33" s="17">
        <f t="shared" si="0"/>
        <v>89.699999999998909</v>
      </c>
      <c r="AT33" s="17">
        <f t="shared" si="0"/>
        <v>1670.8000000000029</v>
      </c>
      <c r="AU33" s="17">
        <f t="shared" si="0"/>
        <v>10080</v>
      </c>
      <c r="AV33" s="17">
        <f t="shared" si="0"/>
        <v>31500</v>
      </c>
      <c r="AW33" s="17">
        <f t="shared" si="0"/>
        <v>3690.2000000000007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163.00349999999997</v>
      </c>
      <c r="BC33" s="17">
        <f t="shared" si="0"/>
        <v>797</v>
      </c>
    </row>
    <row r="35" spans="5:55" x14ac:dyDescent="0.25">
      <c r="E35" s="38">
        <f>E33/E37</f>
        <v>0.22256193516478576</v>
      </c>
      <c r="G35" s="29">
        <f>G33-M36</f>
        <v>60541.800000000287</v>
      </c>
      <c r="AE35" s="35">
        <f>SUM(U33:AE33)</f>
        <v>82711.039999999819</v>
      </c>
      <c r="AG35" s="32">
        <f>SUM(AG33:AP33)</f>
        <v>14319.999999999933</v>
      </c>
    </row>
    <row r="36" spans="5:55" x14ac:dyDescent="0.25">
      <c r="G36" s="29">
        <f>G35-633*14</f>
        <v>51679.800000000287</v>
      </c>
      <c r="M36" s="29">
        <f>M33+N33</f>
        <v>55658.199999999859</v>
      </c>
    </row>
    <row r="37" spans="5:55" x14ac:dyDescent="0.25">
      <c r="E37" s="17">
        <f>E33+F33+G33+H33+J33-633*14</f>
        <v>400338.00000000087</v>
      </c>
      <c r="G37" s="37">
        <f>M36/E37</f>
        <v>0.13902802132198228</v>
      </c>
      <c r="M37" s="35">
        <f>AE35</f>
        <v>82711.039999999819</v>
      </c>
    </row>
    <row r="38" spans="5:55" x14ac:dyDescent="0.25">
      <c r="L38" s="27">
        <f>M38/E37</f>
        <v>3.576977454051302E-2</v>
      </c>
      <c r="M38" s="29">
        <f>AG35</f>
        <v>14319.999999999933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C1" zoomScale="82" zoomScaleNormal="82" workbookViewId="0">
      <pane ySplit="1" topLeftCell="A20" activePane="bottomLeft" state="frozen"/>
      <selection pane="bottomLeft" activeCell="BE35" sqref="BE3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146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42</v>
      </c>
      <c r="CY2" s="53" t="s">
        <v>148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>
        <v>3.8378999999999999</v>
      </c>
      <c r="D18" s="64">
        <f t="shared" si="0"/>
        <v>2499.9999999999468</v>
      </c>
      <c r="E18" s="58">
        <v>5.0846999999999998</v>
      </c>
      <c r="F18" s="64">
        <f t="shared" si="1"/>
        <v>3199.9999999996476</v>
      </c>
      <c r="G18" s="58">
        <v>5.1075999999999997</v>
      </c>
      <c r="H18" s="64">
        <f t="shared" si="2"/>
        <v>3899.9999999997926</v>
      </c>
      <c r="I18" s="58">
        <v>2.5211999999999999</v>
      </c>
      <c r="J18" s="64">
        <f t="shared" si="3"/>
        <v>1500.0000000000568</v>
      </c>
      <c r="K18" s="58">
        <v>3.8761000000000001</v>
      </c>
      <c r="L18" s="64">
        <f t="shared" si="48"/>
        <v>2099.9999999999909</v>
      </c>
      <c r="M18" s="58">
        <v>2.3408000000000002</v>
      </c>
      <c r="N18" s="64">
        <f t="shared" si="49"/>
        <v>1300.0000000000789</v>
      </c>
      <c r="O18" s="58">
        <v>28107</v>
      </c>
      <c r="P18" s="67">
        <f t="shared" si="6"/>
        <v>161</v>
      </c>
      <c r="Q18" s="58">
        <v>3498</v>
      </c>
      <c r="R18" s="67">
        <f t="shared" si="7"/>
        <v>2</v>
      </c>
      <c r="S18" s="58">
        <v>1659.1</v>
      </c>
      <c r="T18" s="67">
        <f t="shared" si="8"/>
        <v>1500</v>
      </c>
      <c r="U18" s="58">
        <v>654521.5</v>
      </c>
      <c r="V18" s="67">
        <f t="shared" si="9"/>
        <v>514.69999999995343</v>
      </c>
      <c r="W18" s="58">
        <v>590.27</v>
      </c>
      <c r="X18" s="65">
        <f t="shared" si="10"/>
        <v>259.99999999999091</v>
      </c>
      <c r="Y18" s="58">
        <v>4.4852999999999996</v>
      </c>
      <c r="Z18" s="65">
        <f t="shared" si="11"/>
        <v>2699.9999999999245</v>
      </c>
      <c r="AA18" s="58">
        <v>597.79999999999995</v>
      </c>
      <c r="AB18" s="65">
        <f t="shared" si="12"/>
        <v>229.9999999999045</v>
      </c>
      <c r="AC18" s="58">
        <v>601.57000000000005</v>
      </c>
      <c r="AD18" s="65">
        <f t="shared" si="13"/>
        <v>250</v>
      </c>
      <c r="AE18" s="58">
        <v>958.46</v>
      </c>
      <c r="AF18" s="65">
        <f t="shared" si="14"/>
        <v>670.00000000007276</v>
      </c>
      <c r="AG18" s="58">
        <v>26327</v>
      </c>
      <c r="AH18" s="67">
        <f t="shared" si="15"/>
        <v>41</v>
      </c>
      <c r="AI18" s="58">
        <v>1.0246999999999999</v>
      </c>
      <c r="AJ18" s="65">
        <f t="shared" si="16"/>
        <v>499.99999999994492</v>
      </c>
      <c r="AK18" s="58">
        <v>339.27</v>
      </c>
      <c r="AL18" s="65">
        <f t="shared" si="17"/>
        <v>129.99999999999545</v>
      </c>
      <c r="AM18" s="58">
        <v>310.43</v>
      </c>
      <c r="AN18" s="65">
        <f t="shared" si="18"/>
        <v>100.00000000002274</v>
      </c>
      <c r="AO18" s="58">
        <v>301.26</v>
      </c>
      <c r="AP18" s="65">
        <f t="shared" si="19"/>
        <v>149.99999999997726</v>
      </c>
      <c r="AQ18" s="58">
        <v>354.23</v>
      </c>
      <c r="AR18" s="65">
        <f t="shared" si="20"/>
        <v>160.00000000002501</v>
      </c>
      <c r="AS18" s="58">
        <v>479.65</v>
      </c>
      <c r="AT18" s="65">
        <f t="shared" si="21"/>
        <v>250</v>
      </c>
      <c r="AU18" s="58">
        <v>385.29</v>
      </c>
      <c r="AV18" s="65">
        <f t="shared" si="22"/>
        <v>90.000000000031832</v>
      </c>
      <c r="AW18" s="58">
        <v>412.01</v>
      </c>
      <c r="AX18" s="65">
        <f t="shared" si="23"/>
        <v>129.99999999999545</v>
      </c>
      <c r="AY18" s="58">
        <v>447.12</v>
      </c>
      <c r="AZ18" s="65">
        <f t="shared" si="24"/>
        <v>149.99999999997726</v>
      </c>
      <c r="BA18" s="58">
        <v>464.86</v>
      </c>
      <c r="BB18" s="65">
        <f t="shared" si="25"/>
        <v>110.00000000001364</v>
      </c>
      <c r="BC18" s="58">
        <v>298.2</v>
      </c>
      <c r="BD18" s="65">
        <f t="shared" si="26"/>
        <v>60.000000000002274</v>
      </c>
      <c r="BE18" s="59">
        <v>60648</v>
      </c>
      <c r="BF18" s="67">
        <f t="shared" si="27"/>
        <v>38</v>
      </c>
      <c r="BG18" s="60">
        <v>257.29000000000002</v>
      </c>
      <c r="BH18" s="65">
        <f t="shared" si="28"/>
        <v>40.000000000020464</v>
      </c>
      <c r="BI18" s="60">
        <v>311.42</v>
      </c>
      <c r="BJ18" s="65">
        <f t="shared" si="29"/>
        <v>30.000000000029559</v>
      </c>
      <c r="BK18" s="60">
        <v>263.56</v>
      </c>
      <c r="BL18" s="65">
        <f t="shared" si="30"/>
        <v>69.999999999993179</v>
      </c>
      <c r="BM18" s="60">
        <v>247.23</v>
      </c>
      <c r="BN18" s="65">
        <f t="shared" si="31"/>
        <v>49.999999999982947</v>
      </c>
      <c r="BO18" s="60">
        <v>315.72000000000003</v>
      </c>
      <c r="BP18" s="65">
        <f t="shared" si="32"/>
        <v>40.000000000020464</v>
      </c>
      <c r="BQ18" s="60">
        <v>65590</v>
      </c>
      <c r="BR18" s="65">
        <f t="shared" si="33"/>
        <v>40</v>
      </c>
      <c r="BS18" s="60">
        <v>225.36</v>
      </c>
      <c r="BT18" s="65">
        <f t="shared" si="34"/>
        <v>40.000000000020464</v>
      </c>
      <c r="BU18" s="60">
        <v>63063</v>
      </c>
      <c r="BV18" s="65">
        <f t="shared" si="35"/>
        <v>40</v>
      </c>
      <c r="BW18" s="60">
        <v>253.41</v>
      </c>
      <c r="BX18" s="65">
        <f t="shared" si="36"/>
        <v>30.000000000001137</v>
      </c>
      <c r="BY18" s="60">
        <v>84664</v>
      </c>
      <c r="BZ18" s="67">
        <f t="shared" si="37"/>
        <v>51</v>
      </c>
      <c r="CA18" s="60">
        <v>61681.1</v>
      </c>
      <c r="CB18" s="67">
        <f t="shared" si="38"/>
        <v>80.799999999995634</v>
      </c>
      <c r="CC18" s="60">
        <v>18630.900000000001</v>
      </c>
      <c r="CD18" s="67">
        <f t="shared" si="39"/>
        <v>21.600000000002183</v>
      </c>
      <c r="CE18" s="60">
        <v>9030</v>
      </c>
      <c r="CF18" s="67">
        <f t="shared" si="40"/>
        <v>0.6000000000003638</v>
      </c>
      <c r="CG18" s="60">
        <v>85991.6</v>
      </c>
      <c r="CH18" s="67">
        <f t="shared" si="41"/>
        <v>68.400000000008731</v>
      </c>
      <c r="CI18" s="60">
        <v>1118621</v>
      </c>
      <c r="CJ18" s="67">
        <f t="shared" si="42"/>
        <v>307</v>
      </c>
      <c r="CK18" s="60">
        <v>1213.0999999999999</v>
      </c>
      <c r="CL18" s="64">
        <f t="shared" si="43"/>
        <v>1000</v>
      </c>
      <c r="CM18" s="65">
        <f t="shared" si="50"/>
        <v>154</v>
      </c>
      <c r="CN18" s="62">
        <v>24</v>
      </c>
      <c r="CO18" s="62">
        <v>64</v>
      </c>
      <c r="CP18" s="68">
        <v>52379</v>
      </c>
      <c r="CQ18" s="67">
        <f t="shared" si="51"/>
        <v>83</v>
      </c>
      <c r="CR18" s="68">
        <v>27570</v>
      </c>
      <c r="CS18" s="67">
        <f t="shared" si="44"/>
        <v>71</v>
      </c>
      <c r="CT18" s="75">
        <v>12920</v>
      </c>
      <c r="CU18" s="67">
        <f t="shared" si="45"/>
        <v>16</v>
      </c>
      <c r="CV18" s="68">
        <v>31467</v>
      </c>
      <c r="CW18" s="67">
        <f t="shared" si="46"/>
        <v>20</v>
      </c>
      <c r="CX18" s="58">
        <v>5756.8</v>
      </c>
      <c r="CY18" s="67">
        <f t="shared" si="47"/>
        <v>10.699999999999818</v>
      </c>
    </row>
    <row r="19" spans="1:103" ht="25.5" customHeight="1" thickBot="1" x14ac:dyDescent="0.45">
      <c r="A19" s="63">
        <v>44942</v>
      </c>
      <c r="B19" s="44"/>
      <c r="C19" s="58">
        <v>3.8403999999999998</v>
      </c>
      <c r="D19" s="64">
        <f t="shared" si="0"/>
        <v>2499.9999999999468</v>
      </c>
      <c r="E19" s="58">
        <v>5.0877999999999997</v>
      </c>
      <c r="F19" s="64">
        <f t="shared" si="1"/>
        <v>3099.9999999998809</v>
      </c>
      <c r="G19" s="58">
        <v>5.1113</v>
      </c>
      <c r="H19" s="64">
        <f t="shared" si="2"/>
        <v>3700.0000000002588</v>
      </c>
      <c r="I19" s="58">
        <v>2.5228000000000002</v>
      </c>
      <c r="J19" s="64">
        <f t="shared" si="3"/>
        <v>1600.0000000002678</v>
      </c>
      <c r="K19" s="58">
        <v>3.8782999999999999</v>
      </c>
      <c r="L19" s="64">
        <f t="shared" si="48"/>
        <v>2199.9999999997576</v>
      </c>
      <c r="M19" s="58">
        <v>2.3422999999999998</v>
      </c>
      <c r="N19" s="64">
        <f t="shared" si="49"/>
        <v>1499.9999999996128</v>
      </c>
      <c r="O19" s="58">
        <v>28143</v>
      </c>
      <c r="P19" s="67">
        <f t="shared" si="6"/>
        <v>36</v>
      </c>
      <c r="Q19" s="58">
        <v>3502</v>
      </c>
      <c r="R19" s="67">
        <f t="shared" si="7"/>
        <v>4</v>
      </c>
      <c r="S19" s="58">
        <v>1660.4</v>
      </c>
      <c r="T19" s="67">
        <f t="shared" si="8"/>
        <v>1300.0000000001819</v>
      </c>
      <c r="U19" s="58">
        <v>654999.19999999995</v>
      </c>
      <c r="V19" s="67">
        <f t="shared" si="9"/>
        <v>477.69999999995343</v>
      </c>
      <c r="W19" s="58">
        <v>590.52</v>
      </c>
      <c r="X19" s="65">
        <f t="shared" si="10"/>
        <v>250</v>
      </c>
      <c r="Y19" s="58">
        <v>4.4882</v>
      </c>
      <c r="Z19" s="65">
        <f t="shared" si="11"/>
        <v>2900.0000000003465</v>
      </c>
      <c r="AA19" s="58">
        <v>598.17999999999995</v>
      </c>
      <c r="AB19" s="65">
        <f t="shared" si="12"/>
        <v>379.99999999999545</v>
      </c>
      <c r="AC19" s="58">
        <v>601.87</v>
      </c>
      <c r="AD19" s="65">
        <f t="shared" si="13"/>
        <v>299.99999999995453</v>
      </c>
      <c r="AE19" s="58">
        <v>959.19</v>
      </c>
      <c r="AF19" s="65">
        <f t="shared" si="14"/>
        <v>730.00000000001819</v>
      </c>
      <c r="AG19" s="58">
        <v>26371</v>
      </c>
      <c r="AH19" s="67">
        <f t="shared" si="15"/>
        <v>44</v>
      </c>
      <c r="AI19" s="58">
        <v>1.0253000000000001</v>
      </c>
      <c r="AJ19" s="65">
        <f t="shared" si="16"/>
        <v>600.00000000015598</v>
      </c>
      <c r="AK19" s="58">
        <v>339.44</v>
      </c>
      <c r="AL19" s="65">
        <f t="shared" si="17"/>
        <v>170.00000000001592</v>
      </c>
      <c r="AM19" s="58">
        <v>310.57</v>
      </c>
      <c r="AN19" s="65">
        <f t="shared" si="18"/>
        <v>139.99999999998636</v>
      </c>
      <c r="AO19" s="58">
        <v>301.44</v>
      </c>
      <c r="AP19" s="65">
        <f t="shared" si="19"/>
        <v>180.00000000000682</v>
      </c>
      <c r="AQ19" s="58">
        <v>354.39</v>
      </c>
      <c r="AR19" s="65">
        <f t="shared" si="20"/>
        <v>159.99999999996817</v>
      </c>
      <c r="AS19" s="58">
        <v>479.95</v>
      </c>
      <c r="AT19" s="65">
        <f t="shared" si="21"/>
        <v>300.00000000001137</v>
      </c>
      <c r="AU19" s="58">
        <v>385.42</v>
      </c>
      <c r="AV19" s="65">
        <f t="shared" si="22"/>
        <v>129.99999999999545</v>
      </c>
      <c r="AW19" s="58">
        <v>412.18</v>
      </c>
      <c r="AX19" s="65">
        <f t="shared" si="23"/>
        <v>170.00000000001592</v>
      </c>
      <c r="AY19" s="58">
        <v>447.26</v>
      </c>
      <c r="AZ19" s="65">
        <f t="shared" si="24"/>
        <v>139.99999999998636</v>
      </c>
      <c r="BA19" s="58">
        <v>465</v>
      </c>
      <c r="BB19" s="65">
        <f t="shared" si="25"/>
        <v>139.99999999998636</v>
      </c>
      <c r="BC19" s="58">
        <v>298.26</v>
      </c>
      <c r="BD19" s="65">
        <f t="shared" si="26"/>
        <v>60.000000000002274</v>
      </c>
      <c r="BE19" s="59">
        <v>60697</v>
      </c>
      <c r="BF19" s="67">
        <f t="shared" si="27"/>
        <v>49</v>
      </c>
      <c r="BG19" s="60">
        <v>257.33</v>
      </c>
      <c r="BH19" s="65">
        <f t="shared" si="28"/>
        <v>39.99999999996362</v>
      </c>
      <c r="BI19" s="60">
        <v>311.47000000000003</v>
      </c>
      <c r="BJ19" s="65">
        <f t="shared" si="29"/>
        <v>50.000000000011369</v>
      </c>
      <c r="BK19" s="60">
        <v>263.63</v>
      </c>
      <c r="BL19" s="65">
        <f t="shared" si="30"/>
        <v>69.999999999993179</v>
      </c>
      <c r="BM19" s="60">
        <v>247.27</v>
      </c>
      <c r="BN19" s="65">
        <f t="shared" si="31"/>
        <v>40.000000000020464</v>
      </c>
      <c r="BO19" s="60">
        <v>315.76</v>
      </c>
      <c r="BP19" s="65">
        <f t="shared" si="32"/>
        <v>39.99999999996362</v>
      </c>
      <c r="BQ19" s="60">
        <v>65639</v>
      </c>
      <c r="BR19" s="65">
        <f t="shared" si="33"/>
        <v>49</v>
      </c>
      <c r="BS19" s="60">
        <v>225.39</v>
      </c>
      <c r="BT19" s="65">
        <f t="shared" si="34"/>
        <v>29.999999999972715</v>
      </c>
      <c r="BU19" s="60">
        <v>63106</v>
      </c>
      <c r="BV19" s="65">
        <f t="shared" si="35"/>
        <v>43</v>
      </c>
      <c r="BW19" s="60">
        <v>253.46</v>
      </c>
      <c r="BX19" s="65">
        <f t="shared" si="36"/>
        <v>50.000000000011369</v>
      </c>
      <c r="BY19" s="60">
        <v>84720</v>
      </c>
      <c r="BZ19" s="67">
        <f t="shared" si="37"/>
        <v>56</v>
      </c>
      <c r="CA19" s="60">
        <v>61774.8</v>
      </c>
      <c r="CB19" s="67">
        <f t="shared" si="38"/>
        <v>93.700000000004366</v>
      </c>
      <c r="CC19" s="60">
        <v>18655.7</v>
      </c>
      <c r="CD19" s="67">
        <f t="shared" si="39"/>
        <v>24.799999999999272</v>
      </c>
      <c r="CE19" s="60">
        <v>9035.2999999999993</v>
      </c>
      <c r="CF19" s="67">
        <f t="shared" si="40"/>
        <v>5.2999999999992724</v>
      </c>
      <c r="CG19" s="60">
        <v>86051.9</v>
      </c>
      <c r="CH19" s="67">
        <f t="shared" si="41"/>
        <v>60.299999999988358</v>
      </c>
      <c r="CI19" s="60">
        <v>1118943</v>
      </c>
      <c r="CJ19" s="67">
        <f t="shared" si="42"/>
        <v>322</v>
      </c>
      <c r="CK19" s="60">
        <v>1214.3</v>
      </c>
      <c r="CL19" s="64">
        <f t="shared" si="43"/>
        <v>1200.0000000000455</v>
      </c>
      <c r="CM19" s="65">
        <f t="shared" si="50"/>
        <v>121.29999999999927</v>
      </c>
      <c r="CN19" s="62">
        <v>17</v>
      </c>
      <c r="CO19" s="62">
        <v>42</v>
      </c>
      <c r="CP19" s="68">
        <v>52465</v>
      </c>
      <c r="CQ19" s="67">
        <f t="shared" si="51"/>
        <v>86</v>
      </c>
      <c r="CR19" s="68">
        <v>27605.3</v>
      </c>
      <c r="CS19" s="67">
        <f t="shared" si="44"/>
        <v>35.299999999999272</v>
      </c>
      <c r="CT19" s="75">
        <v>12935</v>
      </c>
      <c r="CU19" s="67">
        <f t="shared" si="45"/>
        <v>15</v>
      </c>
      <c r="CV19" s="68">
        <v>31491</v>
      </c>
      <c r="CW19" s="67">
        <f t="shared" si="46"/>
        <v>24</v>
      </c>
      <c r="CX19" s="58">
        <v>5768.3</v>
      </c>
      <c r="CY19" s="67">
        <f t="shared" si="47"/>
        <v>11.5</v>
      </c>
    </row>
    <row r="20" spans="1:103" ht="25.5" customHeight="1" thickBot="1" x14ac:dyDescent="0.45">
      <c r="A20" s="63">
        <v>44943</v>
      </c>
      <c r="B20" s="44"/>
      <c r="C20" s="58">
        <v>3.8428</v>
      </c>
      <c r="D20" s="64">
        <f t="shared" si="0"/>
        <v>2400.0000000001796</v>
      </c>
      <c r="E20" s="58">
        <v>5.0907</v>
      </c>
      <c r="F20" s="64">
        <f t="shared" si="1"/>
        <v>2900.0000000003465</v>
      </c>
      <c r="G20" s="58">
        <v>5.1151</v>
      </c>
      <c r="H20" s="64">
        <f t="shared" si="2"/>
        <v>3800.0000000000255</v>
      </c>
      <c r="I20" s="58">
        <v>2.5244</v>
      </c>
      <c r="J20" s="64">
        <f t="shared" si="3"/>
        <v>1599.9999999998238</v>
      </c>
      <c r="K20" s="58">
        <v>3.8803999999999998</v>
      </c>
      <c r="L20" s="64">
        <f t="shared" si="48"/>
        <v>2099.9999999999909</v>
      </c>
      <c r="M20" s="58">
        <v>2.3435999999999999</v>
      </c>
      <c r="N20" s="64">
        <f t="shared" si="49"/>
        <v>1300.0000000000789</v>
      </c>
      <c r="O20" s="58">
        <v>28165</v>
      </c>
      <c r="P20" s="67">
        <f t="shared" si="6"/>
        <v>22</v>
      </c>
      <c r="Q20" s="58">
        <v>3506</v>
      </c>
      <c r="R20" s="67">
        <f t="shared" si="7"/>
        <v>4</v>
      </c>
      <c r="S20" s="58">
        <v>1661.9</v>
      </c>
      <c r="T20" s="67">
        <f t="shared" si="8"/>
        <v>1500</v>
      </c>
      <c r="U20" s="58">
        <v>655468</v>
      </c>
      <c r="V20" s="67">
        <f t="shared" si="9"/>
        <v>468.80000000004657</v>
      </c>
      <c r="W20" s="58">
        <v>590.83000000000004</v>
      </c>
      <c r="X20" s="65">
        <f t="shared" si="10"/>
        <v>310.00000000005912</v>
      </c>
      <c r="Y20" s="58">
        <v>4.4907000000000004</v>
      </c>
      <c r="Z20" s="65">
        <f t="shared" si="11"/>
        <v>2500.0000000003906</v>
      </c>
      <c r="AA20" s="58">
        <v>598.41999999999996</v>
      </c>
      <c r="AB20" s="65">
        <f t="shared" si="12"/>
        <v>240.00000000000909</v>
      </c>
      <c r="AC20" s="58">
        <v>602.15</v>
      </c>
      <c r="AD20" s="65">
        <f t="shared" si="13"/>
        <v>279.99999999997272</v>
      </c>
      <c r="AE20" s="58">
        <v>959.83</v>
      </c>
      <c r="AF20" s="65">
        <f t="shared" si="14"/>
        <v>639.99999999998636</v>
      </c>
      <c r="AG20" s="58">
        <v>26415</v>
      </c>
      <c r="AH20" s="67">
        <f t="shared" si="15"/>
        <v>44</v>
      </c>
      <c r="AI20" s="58">
        <v>1.0259</v>
      </c>
      <c r="AJ20" s="65">
        <f t="shared" si="16"/>
        <v>599.99999999993395</v>
      </c>
      <c r="AK20" s="58">
        <v>339.61</v>
      </c>
      <c r="AL20" s="65">
        <f t="shared" si="17"/>
        <v>170.00000000001592</v>
      </c>
      <c r="AM20" s="58">
        <v>310.73</v>
      </c>
      <c r="AN20" s="65">
        <f t="shared" si="18"/>
        <v>160.00000000002501</v>
      </c>
      <c r="AO20" s="58">
        <v>301.62</v>
      </c>
      <c r="AP20" s="65">
        <f t="shared" si="19"/>
        <v>180.00000000000682</v>
      </c>
      <c r="AQ20" s="58">
        <v>354.55</v>
      </c>
      <c r="AR20" s="65">
        <f t="shared" si="20"/>
        <v>160.00000000002501</v>
      </c>
      <c r="AS20" s="58">
        <v>480.29</v>
      </c>
      <c r="AT20" s="65">
        <f t="shared" si="21"/>
        <v>340.00000000003183</v>
      </c>
      <c r="AU20" s="58">
        <v>385.52</v>
      </c>
      <c r="AV20" s="65">
        <f t="shared" si="22"/>
        <v>99.999999999965894</v>
      </c>
      <c r="AW20" s="58">
        <v>412.34</v>
      </c>
      <c r="AX20" s="65">
        <f t="shared" si="23"/>
        <v>159.99999999996817</v>
      </c>
      <c r="AY20" s="58">
        <v>447.38</v>
      </c>
      <c r="AZ20" s="65">
        <f t="shared" si="24"/>
        <v>120.00000000000455</v>
      </c>
      <c r="BA20" s="58">
        <v>465.12</v>
      </c>
      <c r="BB20" s="65">
        <f t="shared" si="25"/>
        <v>120.00000000000455</v>
      </c>
      <c r="BC20" s="58">
        <v>298.33</v>
      </c>
      <c r="BD20" s="65">
        <f t="shared" si="26"/>
        <v>69.999999999993179</v>
      </c>
      <c r="BE20" s="59">
        <v>60750</v>
      </c>
      <c r="BF20" s="67">
        <f t="shared" si="27"/>
        <v>53</v>
      </c>
      <c r="BG20" s="60">
        <v>257.36</v>
      </c>
      <c r="BH20" s="65">
        <f t="shared" si="28"/>
        <v>30.000000000029559</v>
      </c>
      <c r="BI20" s="60">
        <v>311.51</v>
      </c>
      <c r="BJ20" s="65">
        <f t="shared" si="29"/>
        <v>39.99999999996362</v>
      </c>
      <c r="BK20" s="60">
        <v>263.7</v>
      </c>
      <c r="BL20" s="65">
        <f t="shared" si="30"/>
        <v>69.999999999993179</v>
      </c>
      <c r="BM20" s="60">
        <v>247.31</v>
      </c>
      <c r="BN20" s="65">
        <f t="shared" si="31"/>
        <v>39.999999999992042</v>
      </c>
      <c r="BO20" s="60">
        <v>315.8</v>
      </c>
      <c r="BP20" s="65">
        <f t="shared" si="32"/>
        <v>40.000000000020464</v>
      </c>
      <c r="BQ20" s="60">
        <v>65686</v>
      </c>
      <c r="BR20" s="65">
        <f t="shared" si="33"/>
        <v>47</v>
      </c>
      <c r="BS20" s="60">
        <v>225.43</v>
      </c>
      <c r="BT20" s="65">
        <f t="shared" si="34"/>
        <v>40.000000000020464</v>
      </c>
      <c r="BU20" s="60">
        <v>63142</v>
      </c>
      <c r="BV20" s="65">
        <f t="shared" si="35"/>
        <v>36</v>
      </c>
      <c r="BW20" s="60">
        <v>253.5</v>
      </c>
      <c r="BX20" s="65">
        <f t="shared" si="36"/>
        <v>39.999999999992042</v>
      </c>
      <c r="BY20" s="60">
        <v>84775</v>
      </c>
      <c r="BZ20" s="67">
        <f t="shared" si="37"/>
        <v>55</v>
      </c>
      <c r="CA20" s="60">
        <v>61859</v>
      </c>
      <c r="CB20" s="67">
        <f t="shared" si="38"/>
        <v>84.19999999999709</v>
      </c>
      <c r="CC20" s="60">
        <v>18666.400000000001</v>
      </c>
      <c r="CD20" s="67">
        <f t="shared" si="39"/>
        <v>10.700000000000728</v>
      </c>
      <c r="CE20" s="60">
        <v>9035.9</v>
      </c>
      <c r="CF20" s="67">
        <f t="shared" si="40"/>
        <v>0.6000000000003638</v>
      </c>
      <c r="CG20" s="60">
        <v>86114.8</v>
      </c>
      <c r="CH20" s="67">
        <f t="shared" si="41"/>
        <v>62.900000000008731</v>
      </c>
      <c r="CI20" s="60">
        <v>1119252</v>
      </c>
      <c r="CJ20" s="67">
        <f t="shared" si="42"/>
        <v>309</v>
      </c>
      <c r="CK20" s="60">
        <v>1215.3</v>
      </c>
      <c r="CL20" s="64">
        <f t="shared" si="43"/>
        <v>1000</v>
      </c>
      <c r="CM20" s="65">
        <f t="shared" si="50"/>
        <v>100.79999999999927</v>
      </c>
      <c r="CN20" s="62">
        <v>17</v>
      </c>
      <c r="CO20" s="62">
        <v>42</v>
      </c>
      <c r="CP20" s="68">
        <v>52534</v>
      </c>
      <c r="CQ20" s="67">
        <f t="shared" si="51"/>
        <v>69</v>
      </c>
      <c r="CR20" s="68">
        <v>27637.1</v>
      </c>
      <c r="CS20" s="67">
        <f t="shared" si="44"/>
        <v>31.799999999999272</v>
      </c>
      <c r="CT20" s="75">
        <v>12952</v>
      </c>
      <c r="CU20" s="67">
        <f t="shared" si="45"/>
        <v>17</v>
      </c>
      <c r="CV20" s="68">
        <v>31511</v>
      </c>
      <c r="CW20" s="67">
        <f t="shared" si="46"/>
        <v>20</v>
      </c>
      <c r="CX20" s="58">
        <v>5779.4</v>
      </c>
      <c r="CY20" s="67">
        <f t="shared" si="47"/>
        <v>11.099999999999454</v>
      </c>
    </row>
    <row r="21" spans="1:103" ht="25.5" customHeight="1" thickBot="1" x14ac:dyDescent="0.45">
      <c r="A21" s="63">
        <v>44944</v>
      </c>
      <c r="B21" s="44"/>
      <c r="C21" s="58">
        <v>3.8452000000000002</v>
      </c>
      <c r="D21" s="64">
        <f t="shared" si="0"/>
        <v>2400.0000000001796</v>
      </c>
      <c r="E21" s="58">
        <v>5.0937000000000001</v>
      </c>
      <c r="F21" s="64">
        <f t="shared" si="1"/>
        <v>3000.0000000001137</v>
      </c>
      <c r="G21" s="58">
        <v>5.1186999999999996</v>
      </c>
      <c r="H21" s="64">
        <f t="shared" si="2"/>
        <v>3599.9999999996035</v>
      </c>
      <c r="I21" s="58">
        <v>2.5259999999999998</v>
      </c>
      <c r="J21" s="64">
        <f t="shared" si="3"/>
        <v>1599.9999999998238</v>
      </c>
      <c r="K21" s="58">
        <v>3.8824000000000001</v>
      </c>
      <c r="L21" s="64">
        <f t="shared" si="48"/>
        <v>2000.0000000002237</v>
      </c>
      <c r="M21" s="58">
        <v>2.3451</v>
      </c>
      <c r="N21" s="64">
        <f t="shared" si="49"/>
        <v>1500.0000000000568</v>
      </c>
      <c r="O21" s="58">
        <v>28183</v>
      </c>
      <c r="P21" s="67">
        <f t="shared" si="6"/>
        <v>18</v>
      </c>
      <c r="Q21" s="58">
        <v>3510</v>
      </c>
      <c r="R21" s="67">
        <f t="shared" si="7"/>
        <v>4</v>
      </c>
      <c r="S21" s="58">
        <v>1662.6</v>
      </c>
      <c r="T21" s="67">
        <f t="shared" si="8"/>
        <v>699.9999999998181</v>
      </c>
      <c r="U21" s="58">
        <v>655817.80000000005</v>
      </c>
      <c r="V21" s="67">
        <f t="shared" si="9"/>
        <v>349.80000000004657</v>
      </c>
      <c r="W21" s="58">
        <v>591.14</v>
      </c>
      <c r="X21" s="65">
        <f t="shared" si="10"/>
        <v>309.99999999994543</v>
      </c>
      <c r="Y21" s="58">
        <v>4.4935</v>
      </c>
      <c r="Z21" s="65">
        <f t="shared" si="11"/>
        <v>2799.9999999996917</v>
      </c>
      <c r="AA21" s="58">
        <v>598.75</v>
      </c>
      <c r="AB21" s="65">
        <f t="shared" si="12"/>
        <v>330.00000000004093</v>
      </c>
      <c r="AC21" s="58">
        <v>602.46</v>
      </c>
      <c r="AD21" s="65">
        <f t="shared" si="13"/>
        <v>310.00000000005912</v>
      </c>
      <c r="AE21" s="58">
        <v>960.56</v>
      </c>
      <c r="AF21" s="65">
        <f t="shared" si="14"/>
        <v>729.9999999999045</v>
      </c>
      <c r="AG21" s="58">
        <v>26458</v>
      </c>
      <c r="AH21" s="67">
        <f t="shared" si="15"/>
        <v>43</v>
      </c>
      <c r="AI21" s="58">
        <v>1.0265</v>
      </c>
      <c r="AJ21" s="65">
        <f t="shared" si="16"/>
        <v>599.99999999993395</v>
      </c>
      <c r="AK21" s="58">
        <v>339.79</v>
      </c>
      <c r="AL21" s="65">
        <f t="shared" si="17"/>
        <v>180.00000000000682</v>
      </c>
      <c r="AM21" s="58">
        <v>310.88</v>
      </c>
      <c r="AN21" s="65">
        <f t="shared" si="18"/>
        <v>149.99999999997726</v>
      </c>
      <c r="AO21" s="58">
        <v>301.83</v>
      </c>
      <c r="AP21" s="65">
        <f t="shared" si="19"/>
        <v>209.99999999997954</v>
      </c>
      <c r="AQ21" s="58">
        <v>354.74</v>
      </c>
      <c r="AR21" s="65">
        <f t="shared" si="20"/>
        <v>189.99999999999773</v>
      </c>
      <c r="AS21" s="58">
        <v>480.6</v>
      </c>
      <c r="AT21" s="65">
        <f t="shared" si="21"/>
        <v>310.00000000000227</v>
      </c>
      <c r="AU21" s="58">
        <v>385.61</v>
      </c>
      <c r="AV21" s="65">
        <f t="shared" si="22"/>
        <v>90.000000000031832</v>
      </c>
      <c r="AW21" s="58">
        <v>412.5</v>
      </c>
      <c r="AX21" s="65">
        <f t="shared" si="23"/>
        <v>160.00000000002501</v>
      </c>
      <c r="AY21" s="58">
        <v>447.51</v>
      </c>
      <c r="AZ21" s="65">
        <f t="shared" si="24"/>
        <v>129.99999999999545</v>
      </c>
      <c r="BA21" s="58">
        <v>465.26</v>
      </c>
      <c r="BB21" s="65">
        <f t="shared" si="25"/>
        <v>139.99999999998636</v>
      </c>
      <c r="BC21" s="58">
        <v>298.39</v>
      </c>
      <c r="BD21" s="65">
        <f t="shared" si="26"/>
        <v>60.000000000002274</v>
      </c>
      <c r="BE21" s="59">
        <v>60799</v>
      </c>
      <c r="BF21" s="67">
        <f t="shared" si="27"/>
        <v>49</v>
      </c>
      <c r="BG21" s="60">
        <v>257.41000000000003</v>
      </c>
      <c r="BH21" s="65">
        <f t="shared" si="28"/>
        <v>50.000000000011369</v>
      </c>
      <c r="BI21" s="60">
        <v>311.55</v>
      </c>
      <c r="BJ21" s="65">
        <f t="shared" si="29"/>
        <v>40.000000000020464</v>
      </c>
      <c r="BK21" s="60">
        <v>263.76</v>
      </c>
      <c r="BL21" s="65">
        <f t="shared" si="30"/>
        <v>60.000000000002274</v>
      </c>
      <c r="BM21" s="60">
        <v>247.35</v>
      </c>
      <c r="BN21" s="65">
        <f t="shared" si="31"/>
        <v>39.999999999992042</v>
      </c>
      <c r="BO21" s="60">
        <v>315.83</v>
      </c>
      <c r="BP21" s="65">
        <f t="shared" si="32"/>
        <v>29.999999999972715</v>
      </c>
      <c r="BQ21" s="60">
        <v>65731</v>
      </c>
      <c r="BR21" s="65">
        <f t="shared" si="33"/>
        <v>45</v>
      </c>
      <c r="BS21" s="60">
        <v>225.46</v>
      </c>
      <c r="BT21" s="65">
        <f t="shared" si="34"/>
        <v>30.000000000001137</v>
      </c>
      <c r="BU21" s="60">
        <v>63185</v>
      </c>
      <c r="BV21" s="65">
        <f t="shared" si="35"/>
        <v>43</v>
      </c>
      <c r="BW21" s="60">
        <v>253.54</v>
      </c>
      <c r="BX21" s="65">
        <f t="shared" si="36"/>
        <v>39.999999999992042</v>
      </c>
      <c r="BY21" s="60">
        <v>84826</v>
      </c>
      <c r="BZ21" s="67">
        <f t="shared" si="37"/>
        <v>51</v>
      </c>
      <c r="CA21" s="60">
        <v>61947.5</v>
      </c>
      <c r="CB21" s="67">
        <f t="shared" si="38"/>
        <v>88.5</v>
      </c>
      <c r="CC21" s="60">
        <v>18677.400000000001</v>
      </c>
      <c r="CD21" s="67">
        <f t="shared" si="39"/>
        <v>11</v>
      </c>
      <c r="CE21" s="60">
        <v>9039</v>
      </c>
      <c r="CF21" s="67">
        <f t="shared" si="40"/>
        <v>3.1000000000003638</v>
      </c>
      <c r="CG21" s="60">
        <v>86161.8</v>
      </c>
      <c r="CH21" s="67">
        <f t="shared" si="41"/>
        <v>47</v>
      </c>
      <c r="CI21" s="60">
        <v>1119571</v>
      </c>
      <c r="CJ21" s="67">
        <f t="shared" si="42"/>
        <v>319</v>
      </c>
      <c r="CK21" s="60">
        <v>1216.4000000000001</v>
      </c>
      <c r="CL21" s="64">
        <f t="shared" si="43"/>
        <v>1100.0000000001364</v>
      </c>
      <c r="CM21" s="65">
        <f t="shared" si="50"/>
        <v>107.10000000000218</v>
      </c>
      <c r="CN21" s="62">
        <v>17</v>
      </c>
      <c r="CO21" s="62">
        <v>42</v>
      </c>
      <c r="CP21" s="68">
        <v>52610</v>
      </c>
      <c r="CQ21" s="67">
        <f t="shared" si="51"/>
        <v>76</v>
      </c>
      <c r="CR21" s="68">
        <v>27668.2</v>
      </c>
      <c r="CS21" s="67">
        <f t="shared" si="44"/>
        <v>31.100000000002183</v>
      </c>
      <c r="CT21" s="75">
        <v>12970</v>
      </c>
      <c r="CU21" s="67">
        <f t="shared" si="45"/>
        <v>18</v>
      </c>
      <c r="CV21" s="68">
        <v>31531</v>
      </c>
      <c r="CW21" s="67">
        <f t="shared" si="46"/>
        <v>20</v>
      </c>
      <c r="CX21" s="58">
        <v>5790.4</v>
      </c>
      <c r="CY21" s="67">
        <f t="shared" si="47"/>
        <v>11</v>
      </c>
    </row>
    <row r="22" spans="1:103" ht="25.5" customHeight="1" thickBot="1" x14ac:dyDescent="0.45">
      <c r="A22" s="63">
        <v>44945</v>
      </c>
      <c r="B22" s="44"/>
      <c r="C22" s="58">
        <v>3.8481999999999998</v>
      </c>
      <c r="D22" s="64">
        <f t="shared" si="0"/>
        <v>2999.9999999996694</v>
      </c>
      <c r="E22" s="58">
        <v>5.0972</v>
      </c>
      <c r="F22" s="64">
        <f t="shared" si="1"/>
        <v>3499.9999999998367</v>
      </c>
      <c r="G22" s="58">
        <v>5.1223000000000001</v>
      </c>
      <c r="H22" s="64">
        <f t="shared" si="2"/>
        <v>3600.0000000004916</v>
      </c>
      <c r="I22" s="58">
        <v>2.5276999999999998</v>
      </c>
      <c r="J22" s="64">
        <f t="shared" si="3"/>
        <v>1700.0000000000348</v>
      </c>
      <c r="K22" s="58">
        <v>3.8845999999999998</v>
      </c>
      <c r="L22" s="64">
        <f t="shared" si="48"/>
        <v>2199.9999999997576</v>
      </c>
      <c r="M22" s="58">
        <v>2.3466999999999998</v>
      </c>
      <c r="N22" s="64">
        <f t="shared" si="49"/>
        <v>1599.9999999998238</v>
      </c>
      <c r="O22" s="58">
        <v>28219</v>
      </c>
      <c r="P22" s="67">
        <f t="shared" si="6"/>
        <v>36</v>
      </c>
      <c r="Q22" s="58">
        <v>3515</v>
      </c>
      <c r="R22" s="67">
        <f t="shared" si="7"/>
        <v>5</v>
      </c>
      <c r="S22" s="58">
        <v>1663.7</v>
      </c>
      <c r="T22" s="67">
        <f t="shared" si="8"/>
        <v>1100.0000000001364</v>
      </c>
      <c r="U22" s="58">
        <v>656271.80000000005</v>
      </c>
      <c r="V22" s="67">
        <f t="shared" si="9"/>
        <v>454</v>
      </c>
      <c r="W22" s="58">
        <v>591.49</v>
      </c>
      <c r="X22" s="65">
        <f t="shared" si="10"/>
        <v>350.00000000002274</v>
      </c>
      <c r="Y22" s="58">
        <v>4.4965999999999999</v>
      </c>
      <c r="Z22" s="65">
        <f t="shared" si="11"/>
        <v>3099.9999999998809</v>
      </c>
      <c r="AA22" s="58">
        <v>598.97</v>
      </c>
      <c r="AB22" s="65">
        <f t="shared" si="12"/>
        <v>220.00000000002728</v>
      </c>
      <c r="AC22" s="58">
        <v>602.86</v>
      </c>
      <c r="AD22" s="65">
        <f t="shared" si="13"/>
        <v>399.99999999997726</v>
      </c>
      <c r="AE22" s="58">
        <v>961.5</v>
      </c>
      <c r="AF22" s="65">
        <f t="shared" si="14"/>
        <v>940.00000000005457</v>
      </c>
      <c r="AG22" s="58">
        <v>26501</v>
      </c>
      <c r="AH22" s="67">
        <f t="shared" si="15"/>
        <v>43</v>
      </c>
      <c r="AI22" s="58">
        <v>1.0271999999999999</v>
      </c>
      <c r="AJ22" s="65">
        <f t="shared" si="16"/>
        <v>699.99999999992292</v>
      </c>
      <c r="AK22" s="58">
        <v>339.99</v>
      </c>
      <c r="AL22" s="65">
        <f t="shared" si="17"/>
        <v>199.99999999998863</v>
      </c>
      <c r="AM22" s="58">
        <v>311</v>
      </c>
      <c r="AN22" s="65">
        <f t="shared" si="18"/>
        <v>120.00000000000455</v>
      </c>
      <c r="AO22" s="58">
        <v>302.13</v>
      </c>
      <c r="AP22" s="65">
        <f t="shared" si="19"/>
        <v>300.00000000001137</v>
      </c>
      <c r="AQ22" s="58">
        <v>354.95</v>
      </c>
      <c r="AR22" s="65">
        <f t="shared" si="20"/>
        <v>209.99999999997954</v>
      </c>
      <c r="AS22" s="58">
        <v>480.99</v>
      </c>
      <c r="AT22" s="65">
        <f t="shared" si="21"/>
        <v>389.99999999998636</v>
      </c>
      <c r="AU22" s="58">
        <v>385.77</v>
      </c>
      <c r="AV22" s="65">
        <f t="shared" si="22"/>
        <v>159.99999999996817</v>
      </c>
      <c r="AW22" s="58">
        <v>412.67</v>
      </c>
      <c r="AX22" s="65">
        <f t="shared" si="23"/>
        <v>170.00000000001592</v>
      </c>
      <c r="AY22" s="58">
        <v>447.68</v>
      </c>
      <c r="AZ22" s="65">
        <f t="shared" si="24"/>
        <v>170.00000000001592</v>
      </c>
      <c r="BA22" s="58">
        <v>465.42</v>
      </c>
      <c r="BB22" s="65">
        <f t="shared" si="25"/>
        <v>160.00000000002501</v>
      </c>
      <c r="BC22" s="58">
        <v>298.48</v>
      </c>
      <c r="BD22" s="65">
        <f t="shared" si="26"/>
        <v>90.000000000031832</v>
      </c>
      <c r="BE22" s="59">
        <v>60829</v>
      </c>
      <c r="BF22" s="67">
        <f t="shared" si="27"/>
        <v>30</v>
      </c>
      <c r="BG22" s="60">
        <v>257.45</v>
      </c>
      <c r="BH22" s="65">
        <f t="shared" si="28"/>
        <v>39.99999999996362</v>
      </c>
      <c r="BI22" s="60">
        <v>311.58999999999997</v>
      </c>
      <c r="BJ22" s="65">
        <f t="shared" si="29"/>
        <v>39.99999999996362</v>
      </c>
      <c r="BK22" s="60">
        <v>263.82</v>
      </c>
      <c r="BL22" s="65">
        <f t="shared" si="30"/>
        <v>60.000000000002274</v>
      </c>
      <c r="BM22" s="60">
        <v>247.4</v>
      </c>
      <c r="BN22" s="65">
        <f t="shared" si="31"/>
        <v>50.000000000011369</v>
      </c>
      <c r="BO22" s="60">
        <v>315.87</v>
      </c>
      <c r="BP22" s="65">
        <f t="shared" si="32"/>
        <v>40.000000000020464</v>
      </c>
      <c r="BQ22" s="60">
        <v>65775</v>
      </c>
      <c r="BR22" s="65">
        <f t="shared" si="33"/>
        <v>44</v>
      </c>
      <c r="BS22" s="60">
        <v>225.51</v>
      </c>
      <c r="BT22" s="65">
        <f t="shared" si="34"/>
        <v>49.999999999982947</v>
      </c>
      <c r="BU22" s="60">
        <v>63228</v>
      </c>
      <c r="BV22" s="65">
        <f t="shared" si="35"/>
        <v>43</v>
      </c>
      <c r="BW22" s="60">
        <v>253.59</v>
      </c>
      <c r="BX22" s="65">
        <f t="shared" si="36"/>
        <v>50.000000000011369</v>
      </c>
      <c r="BY22" s="60">
        <v>84881</v>
      </c>
      <c r="BZ22" s="67">
        <f t="shared" si="37"/>
        <v>55</v>
      </c>
      <c r="CA22" s="60">
        <v>62020.7</v>
      </c>
      <c r="CB22" s="67">
        <f t="shared" si="38"/>
        <v>73.19999999999709</v>
      </c>
      <c r="CC22" s="60">
        <v>18685</v>
      </c>
      <c r="CD22" s="67">
        <f t="shared" si="39"/>
        <v>7.5999999999985448</v>
      </c>
      <c r="CE22" s="60">
        <v>9042.5</v>
      </c>
      <c r="CF22" s="67">
        <f t="shared" si="40"/>
        <v>3.5</v>
      </c>
      <c r="CG22" s="60">
        <v>86224.1</v>
      </c>
      <c r="CH22" s="67">
        <f t="shared" si="41"/>
        <v>62.30000000000291</v>
      </c>
      <c r="CI22" s="60">
        <v>1119914</v>
      </c>
      <c r="CJ22" s="67">
        <f t="shared" si="42"/>
        <v>343</v>
      </c>
      <c r="CK22" s="60">
        <v>1217.5</v>
      </c>
      <c r="CL22" s="64">
        <f t="shared" si="43"/>
        <v>1099.9999999999091</v>
      </c>
      <c r="CM22" s="65">
        <f t="shared" si="50"/>
        <v>104.59999999999854</v>
      </c>
      <c r="CN22" s="62">
        <v>24</v>
      </c>
      <c r="CO22" s="62">
        <v>54</v>
      </c>
      <c r="CP22" s="68">
        <v>52694</v>
      </c>
      <c r="CQ22" s="67">
        <f t="shared" si="51"/>
        <v>84</v>
      </c>
      <c r="CR22" s="68">
        <v>27688.799999999999</v>
      </c>
      <c r="CS22" s="67">
        <f t="shared" si="44"/>
        <v>20.599999999998545</v>
      </c>
      <c r="CT22" s="75">
        <v>12986</v>
      </c>
      <c r="CU22" s="67">
        <f t="shared" si="45"/>
        <v>16</v>
      </c>
      <c r="CV22" s="68">
        <v>31552</v>
      </c>
      <c r="CW22" s="67">
        <f t="shared" si="46"/>
        <v>21</v>
      </c>
      <c r="CX22" s="58">
        <v>5802.7</v>
      </c>
      <c r="CY22" s="67">
        <f t="shared" si="47"/>
        <v>12.300000000000182</v>
      </c>
    </row>
    <row r="23" spans="1:103" ht="25.5" customHeight="1" thickBot="1" x14ac:dyDescent="0.45">
      <c r="A23" s="63">
        <v>44946</v>
      </c>
      <c r="B23" s="44"/>
      <c r="C23" s="58">
        <v>3.8509000000000002</v>
      </c>
      <c r="D23" s="64">
        <f t="shared" si="0"/>
        <v>2700.0000000003688</v>
      </c>
      <c r="E23" s="58">
        <v>5.1003999999999996</v>
      </c>
      <c r="F23" s="64">
        <f t="shared" si="1"/>
        <v>3199.9999999996476</v>
      </c>
      <c r="G23" s="58">
        <v>5.1261000000000001</v>
      </c>
      <c r="H23" s="64">
        <f t="shared" si="2"/>
        <v>3800.0000000000255</v>
      </c>
      <c r="I23" s="58">
        <v>2.5293999999999999</v>
      </c>
      <c r="J23" s="64">
        <f t="shared" si="3"/>
        <v>1700.0000000000348</v>
      </c>
      <c r="K23" s="58">
        <v>3.8868999999999998</v>
      </c>
      <c r="L23" s="64">
        <f t="shared" si="48"/>
        <v>2299.9999999999686</v>
      </c>
      <c r="M23" s="58">
        <v>2.3483999999999998</v>
      </c>
      <c r="N23" s="64">
        <f t="shared" si="49"/>
        <v>1700.0000000000348</v>
      </c>
      <c r="O23" s="58">
        <v>28247</v>
      </c>
      <c r="P23" s="67">
        <f t="shared" si="6"/>
        <v>28</v>
      </c>
      <c r="Q23" s="58">
        <v>3520</v>
      </c>
      <c r="R23" s="67">
        <f t="shared" si="7"/>
        <v>5</v>
      </c>
      <c r="S23" s="58">
        <v>1665</v>
      </c>
      <c r="T23" s="67">
        <f t="shared" si="8"/>
        <v>1299.9999999999545</v>
      </c>
      <c r="U23" s="58">
        <v>656712.4</v>
      </c>
      <c r="V23" s="67">
        <f t="shared" si="9"/>
        <v>440.59999999997672</v>
      </c>
      <c r="W23" s="58">
        <v>591.82000000000005</v>
      </c>
      <c r="X23" s="65">
        <f t="shared" si="10"/>
        <v>330.00000000004093</v>
      </c>
      <c r="Y23" s="58">
        <v>4.4995000000000003</v>
      </c>
      <c r="Z23" s="65">
        <f t="shared" si="11"/>
        <v>2900.0000000003465</v>
      </c>
      <c r="AA23" s="58">
        <v>599.34</v>
      </c>
      <c r="AB23" s="65">
        <f t="shared" si="12"/>
        <v>370.00000000000455</v>
      </c>
      <c r="AC23" s="58">
        <v>603.26</v>
      </c>
      <c r="AD23" s="65">
        <f t="shared" si="13"/>
        <v>399.99999999997726</v>
      </c>
      <c r="AE23" s="58">
        <v>962.39</v>
      </c>
      <c r="AF23" s="65">
        <f t="shared" si="14"/>
        <v>889.99999999998636</v>
      </c>
      <c r="AG23" s="58">
        <v>26548</v>
      </c>
      <c r="AH23" s="67">
        <f t="shared" si="15"/>
        <v>47</v>
      </c>
      <c r="AI23" s="58">
        <v>1.0279</v>
      </c>
      <c r="AJ23" s="65">
        <f t="shared" si="16"/>
        <v>700.00000000014495</v>
      </c>
      <c r="AK23" s="58">
        <v>340.19</v>
      </c>
      <c r="AL23" s="65">
        <f t="shared" si="17"/>
        <v>199.99999999998863</v>
      </c>
      <c r="AM23" s="58">
        <v>311.12</v>
      </c>
      <c r="AN23" s="65">
        <f t="shared" si="18"/>
        <v>120.00000000000455</v>
      </c>
      <c r="AO23" s="58">
        <v>302.39999999999998</v>
      </c>
      <c r="AP23" s="65">
        <f t="shared" si="19"/>
        <v>269.99999999998181</v>
      </c>
      <c r="AQ23" s="58">
        <v>355.17</v>
      </c>
      <c r="AR23" s="65">
        <f t="shared" si="20"/>
        <v>220.00000000002728</v>
      </c>
      <c r="AS23" s="58">
        <v>481.27</v>
      </c>
      <c r="AT23" s="65">
        <f t="shared" si="21"/>
        <v>279.99999999997272</v>
      </c>
      <c r="AU23" s="58">
        <v>385.88</v>
      </c>
      <c r="AV23" s="65">
        <f t="shared" si="22"/>
        <v>110.00000000001364</v>
      </c>
      <c r="AW23" s="58">
        <v>412.82</v>
      </c>
      <c r="AX23" s="65">
        <f t="shared" si="23"/>
        <v>149.99999999997726</v>
      </c>
      <c r="AY23" s="58">
        <v>447.82</v>
      </c>
      <c r="AZ23" s="65">
        <f t="shared" si="24"/>
        <v>139.99999999998636</v>
      </c>
      <c r="BA23" s="58">
        <v>465.56</v>
      </c>
      <c r="BB23" s="65">
        <f t="shared" si="25"/>
        <v>139.99999999998636</v>
      </c>
      <c r="BC23" s="58">
        <v>298.55</v>
      </c>
      <c r="BD23" s="65">
        <f t="shared" si="26"/>
        <v>69.999999999993179</v>
      </c>
      <c r="BE23" s="59">
        <v>60905</v>
      </c>
      <c r="BF23" s="67">
        <f t="shared" si="27"/>
        <v>76</v>
      </c>
      <c r="BG23" s="60">
        <v>257.48</v>
      </c>
      <c r="BH23" s="65">
        <f t="shared" si="28"/>
        <v>30.000000000029559</v>
      </c>
      <c r="BI23" s="60">
        <v>311.64999999999998</v>
      </c>
      <c r="BJ23" s="65">
        <f t="shared" si="29"/>
        <v>60.000000000002274</v>
      </c>
      <c r="BK23" s="60">
        <v>263.88</v>
      </c>
      <c r="BL23" s="65">
        <f t="shared" si="30"/>
        <v>60.000000000002274</v>
      </c>
      <c r="BM23" s="60">
        <v>247.44</v>
      </c>
      <c r="BN23" s="65">
        <f t="shared" si="31"/>
        <v>39.999999999992042</v>
      </c>
      <c r="BO23" s="60">
        <v>315.91000000000003</v>
      </c>
      <c r="BP23" s="65">
        <f t="shared" si="32"/>
        <v>40.000000000020464</v>
      </c>
      <c r="BQ23" s="60">
        <v>65818</v>
      </c>
      <c r="BR23" s="65">
        <f t="shared" si="33"/>
        <v>43</v>
      </c>
      <c r="BS23" s="60">
        <v>225.56</v>
      </c>
      <c r="BT23" s="65">
        <f t="shared" si="34"/>
        <v>50.000000000011369</v>
      </c>
      <c r="BU23" s="60">
        <v>63268</v>
      </c>
      <c r="BV23" s="65">
        <f t="shared" si="35"/>
        <v>40</v>
      </c>
      <c r="BW23" s="60">
        <v>253.64</v>
      </c>
      <c r="BX23" s="65">
        <f t="shared" si="36"/>
        <v>49.999999999982947</v>
      </c>
      <c r="BY23" s="60">
        <v>84934</v>
      </c>
      <c r="BZ23" s="67">
        <f t="shared" si="37"/>
        <v>53</v>
      </c>
      <c r="CA23" s="60">
        <v>62108.1</v>
      </c>
      <c r="CB23" s="67">
        <f t="shared" si="38"/>
        <v>87.400000000001455</v>
      </c>
      <c r="CC23" s="60">
        <v>18702.400000000001</v>
      </c>
      <c r="CD23" s="67">
        <f t="shared" si="39"/>
        <v>17.400000000001455</v>
      </c>
      <c r="CE23" s="60">
        <v>9043</v>
      </c>
      <c r="CF23" s="67">
        <f t="shared" si="40"/>
        <v>0.5</v>
      </c>
      <c r="CG23" s="60">
        <v>86283.7</v>
      </c>
      <c r="CH23" s="67">
        <f t="shared" si="41"/>
        <v>59.599999999991269</v>
      </c>
      <c r="CI23" s="60">
        <v>1120275</v>
      </c>
      <c r="CJ23" s="67">
        <f t="shared" si="42"/>
        <v>361</v>
      </c>
      <c r="CK23" s="60">
        <v>1218.5</v>
      </c>
      <c r="CL23" s="64">
        <f t="shared" si="43"/>
        <v>1000</v>
      </c>
      <c r="CM23" s="65">
        <f>CQ23+CS23</f>
        <v>115.40000000000146</v>
      </c>
      <c r="CN23" s="62">
        <v>21</v>
      </c>
      <c r="CO23" s="62">
        <v>44</v>
      </c>
      <c r="CP23" s="68">
        <v>52785</v>
      </c>
      <c r="CQ23" s="67">
        <f t="shared" si="51"/>
        <v>91</v>
      </c>
      <c r="CR23" s="68">
        <v>27713.200000000001</v>
      </c>
      <c r="CS23" s="67">
        <f t="shared" si="44"/>
        <v>24.400000000001455</v>
      </c>
      <c r="CT23" s="75">
        <v>13007</v>
      </c>
      <c r="CU23" s="67">
        <f t="shared" si="45"/>
        <v>21</v>
      </c>
      <c r="CV23" s="68">
        <v>31588</v>
      </c>
      <c r="CW23" s="67">
        <f t="shared" si="46"/>
        <v>36</v>
      </c>
      <c r="CX23" s="58">
        <v>5814.9</v>
      </c>
      <c r="CY23" s="67">
        <f t="shared" si="47"/>
        <v>12.199999999999818</v>
      </c>
    </row>
    <row r="24" spans="1:103" ht="25.5" customHeight="1" thickBot="1" x14ac:dyDescent="0.45">
      <c r="A24" s="63">
        <v>44947</v>
      </c>
      <c r="B24" s="44"/>
      <c r="C24" s="58">
        <v>3.8534000000000002</v>
      </c>
      <c r="D24" s="64">
        <f t="shared" si="0"/>
        <v>2499.9999999999468</v>
      </c>
      <c r="E24" s="58">
        <v>5.1035000000000004</v>
      </c>
      <c r="F24" s="64">
        <f t="shared" si="1"/>
        <v>3100.000000000769</v>
      </c>
      <c r="G24" s="58">
        <v>5.1295999999999999</v>
      </c>
      <c r="H24" s="64">
        <f t="shared" si="2"/>
        <v>3499.9999999998367</v>
      </c>
      <c r="I24" s="58">
        <v>2.5310000000000001</v>
      </c>
      <c r="J24" s="64">
        <f t="shared" si="3"/>
        <v>1600.0000000002678</v>
      </c>
      <c r="K24" s="58">
        <v>3.8889999999999998</v>
      </c>
      <c r="L24" s="64">
        <f t="shared" si="48"/>
        <v>2099.9999999999909</v>
      </c>
      <c r="M24" s="58">
        <v>2.3502000000000001</v>
      </c>
      <c r="N24" s="64">
        <f t="shared" si="49"/>
        <v>1800.0000000002458</v>
      </c>
      <c r="O24" s="58">
        <v>28279</v>
      </c>
      <c r="P24" s="67">
        <f t="shared" si="6"/>
        <v>32</v>
      </c>
      <c r="Q24" s="58">
        <v>3525</v>
      </c>
      <c r="R24" s="67">
        <f t="shared" si="7"/>
        <v>5</v>
      </c>
      <c r="S24" s="58">
        <v>1666.3</v>
      </c>
      <c r="T24" s="67">
        <f t="shared" si="8"/>
        <v>1299.9999999999545</v>
      </c>
      <c r="U24" s="58">
        <v>657176.69999999995</v>
      </c>
      <c r="V24" s="67">
        <f t="shared" si="9"/>
        <v>464.29999999993015</v>
      </c>
      <c r="W24" s="58">
        <v>592.17999999999995</v>
      </c>
      <c r="X24" s="65">
        <f t="shared" si="10"/>
        <v>359.99999999989996</v>
      </c>
      <c r="Y24" s="58">
        <v>4.5025000000000004</v>
      </c>
      <c r="Z24" s="65">
        <f t="shared" si="11"/>
        <v>3000.0000000001137</v>
      </c>
      <c r="AA24" s="58">
        <v>599.63</v>
      </c>
      <c r="AB24" s="65">
        <f t="shared" si="12"/>
        <v>289.99999999996362</v>
      </c>
      <c r="AC24" s="58">
        <v>603.72</v>
      </c>
      <c r="AD24" s="65">
        <f t="shared" si="13"/>
        <v>460.00000000003638</v>
      </c>
      <c r="AE24" s="58">
        <v>963.41</v>
      </c>
      <c r="AF24" s="65">
        <f t="shared" si="14"/>
        <v>1019.9999999999818</v>
      </c>
      <c r="AG24" s="58">
        <v>26584</v>
      </c>
      <c r="AH24" s="67">
        <f t="shared" si="15"/>
        <v>36</v>
      </c>
      <c r="AI24" s="58">
        <v>1.0286999999999999</v>
      </c>
      <c r="AJ24" s="65">
        <f t="shared" si="16"/>
        <v>799.99999999991189</v>
      </c>
      <c r="AK24" s="58">
        <v>340.41</v>
      </c>
      <c r="AL24" s="65">
        <f t="shared" si="17"/>
        <v>220.00000000002728</v>
      </c>
      <c r="AM24" s="58">
        <v>311.25</v>
      </c>
      <c r="AN24" s="65">
        <f t="shared" si="18"/>
        <v>129.99999999999545</v>
      </c>
      <c r="AO24" s="58">
        <v>302.62</v>
      </c>
      <c r="AP24" s="65">
        <f t="shared" si="19"/>
        <v>220.00000000002728</v>
      </c>
      <c r="AQ24" s="58">
        <v>355.34</v>
      </c>
      <c r="AR24" s="65">
        <f t="shared" si="20"/>
        <v>169.99999999995907</v>
      </c>
      <c r="AS24" s="58">
        <v>481.52</v>
      </c>
      <c r="AT24" s="65">
        <f t="shared" si="21"/>
        <v>250</v>
      </c>
      <c r="AU24" s="58">
        <v>386</v>
      </c>
      <c r="AV24" s="65">
        <f t="shared" si="22"/>
        <v>120.00000000000455</v>
      </c>
      <c r="AW24" s="58">
        <v>412.98</v>
      </c>
      <c r="AX24" s="65">
        <f t="shared" si="23"/>
        <v>160.00000000002501</v>
      </c>
      <c r="AY24" s="58">
        <v>447.99</v>
      </c>
      <c r="AZ24" s="65">
        <f t="shared" si="24"/>
        <v>170.00000000001592</v>
      </c>
      <c r="BA24" s="58">
        <v>465.73</v>
      </c>
      <c r="BB24" s="65">
        <f t="shared" si="25"/>
        <v>170.00000000001592</v>
      </c>
      <c r="BC24" s="58">
        <v>298.64999999999998</v>
      </c>
      <c r="BD24" s="65">
        <f t="shared" si="26"/>
        <v>99.999999999965894</v>
      </c>
      <c r="BE24" s="59">
        <v>60940</v>
      </c>
      <c r="BF24" s="67">
        <f t="shared" si="27"/>
        <v>35</v>
      </c>
      <c r="BG24" s="60">
        <v>257.52999999999997</v>
      </c>
      <c r="BH24" s="65">
        <f t="shared" si="28"/>
        <v>49.999999999954525</v>
      </c>
      <c r="BI24" s="60">
        <v>311.66000000000003</v>
      </c>
      <c r="BJ24" s="65">
        <f t="shared" si="29"/>
        <v>10.000000000047748</v>
      </c>
      <c r="BK24" s="60">
        <v>263.95</v>
      </c>
      <c r="BL24" s="65">
        <f t="shared" si="30"/>
        <v>69.999999999993179</v>
      </c>
      <c r="BM24" s="60">
        <v>247.48</v>
      </c>
      <c r="BN24" s="65">
        <f t="shared" si="31"/>
        <v>39.999999999992042</v>
      </c>
      <c r="BO24" s="60">
        <v>315.95</v>
      </c>
      <c r="BP24" s="65">
        <f t="shared" si="32"/>
        <v>39.99999999996362</v>
      </c>
      <c r="BQ24" s="60">
        <v>65860</v>
      </c>
      <c r="BR24" s="65">
        <f t="shared" si="33"/>
        <v>42</v>
      </c>
      <c r="BS24" s="60">
        <v>225.62</v>
      </c>
      <c r="BT24" s="65">
        <f t="shared" si="34"/>
        <v>60.000000000002274</v>
      </c>
      <c r="BU24" s="60">
        <v>63309</v>
      </c>
      <c r="BV24" s="65">
        <f t="shared" si="35"/>
        <v>41</v>
      </c>
      <c r="BW24" s="60">
        <v>253.68</v>
      </c>
      <c r="BX24" s="65">
        <f t="shared" si="36"/>
        <v>40.000000000020464</v>
      </c>
      <c r="BY24" s="60">
        <v>84986</v>
      </c>
      <c r="BZ24" s="67">
        <f t="shared" si="37"/>
        <v>52</v>
      </c>
      <c r="CA24" s="60">
        <v>62196</v>
      </c>
      <c r="CB24" s="67">
        <f t="shared" si="38"/>
        <v>87.900000000001455</v>
      </c>
      <c r="CC24" s="60">
        <v>18716</v>
      </c>
      <c r="CD24" s="67">
        <f t="shared" si="39"/>
        <v>13.599999999998545</v>
      </c>
      <c r="CE24" s="60">
        <v>9043.5</v>
      </c>
      <c r="CF24" s="67">
        <f t="shared" si="40"/>
        <v>0.5</v>
      </c>
      <c r="CG24" s="60">
        <v>86323</v>
      </c>
      <c r="CH24" s="67">
        <f t="shared" si="41"/>
        <v>39.30000000000291</v>
      </c>
      <c r="CI24" s="60">
        <v>1120597</v>
      </c>
      <c r="CJ24" s="67">
        <f t="shared" si="42"/>
        <v>322</v>
      </c>
      <c r="CK24" s="60">
        <v>1219.5</v>
      </c>
      <c r="CL24" s="64">
        <f t="shared" si="43"/>
        <v>1000</v>
      </c>
      <c r="CM24" s="65">
        <f t="shared" si="50"/>
        <v>102</v>
      </c>
      <c r="CN24" s="62">
        <v>18</v>
      </c>
      <c r="CO24" s="62">
        <v>33</v>
      </c>
      <c r="CP24" s="68">
        <v>52864</v>
      </c>
      <c r="CQ24" s="67">
        <f t="shared" si="51"/>
        <v>79</v>
      </c>
      <c r="CR24" s="68">
        <v>27736.2</v>
      </c>
      <c r="CS24" s="67">
        <f t="shared" si="44"/>
        <v>23</v>
      </c>
      <c r="CT24" s="75">
        <v>13026</v>
      </c>
      <c r="CU24" s="67">
        <f t="shared" si="45"/>
        <v>19</v>
      </c>
      <c r="CV24" s="68">
        <v>31630</v>
      </c>
      <c r="CW24" s="67">
        <f t="shared" si="46"/>
        <v>42</v>
      </c>
      <c r="CX24" s="58">
        <v>5827.3</v>
      </c>
      <c r="CY24" s="67">
        <f t="shared" si="47"/>
        <v>12.400000000000546</v>
      </c>
    </row>
    <row r="25" spans="1:103" ht="25.5" customHeight="1" thickBot="1" x14ac:dyDescent="0.45">
      <c r="A25" s="63">
        <v>44948</v>
      </c>
      <c r="B25" s="44"/>
      <c r="C25" s="58">
        <v>3.8557000000000001</v>
      </c>
      <c r="D25" s="64">
        <f t="shared" si="0"/>
        <v>2299.9999999999686</v>
      </c>
      <c r="E25" s="58">
        <v>5.1063999999999998</v>
      </c>
      <c r="F25" s="64">
        <f t="shared" si="1"/>
        <v>2899.9999999994584</v>
      </c>
      <c r="G25" s="58">
        <v>5.133</v>
      </c>
      <c r="H25" s="64">
        <f t="shared" si="2"/>
        <v>3400.0000000000696</v>
      </c>
      <c r="I25" s="58">
        <v>2.5326</v>
      </c>
      <c r="J25" s="64">
        <f t="shared" si="3"/>
        <v>1599.9999999998238</v>
      </c>
      <c r="K25" s="58">
        <v>3.8912</v>
      </c>
      <c r="L25" s="64">
        <f t="shared" si="48"/>
        <v>2200.0000000002019</v>
      </c>
      <c r="M25" s="58">
        <v>2.3519000000000001</v>
      </c>
      <c r="N25" s="64">
        <f t="shared" si="49"/>
        <v>1700.0000000000348</v>
      </c>
      <c r="O25" s="58">
        <v>28299</v>
      </c>
      <c r="P25" s="67">
        <f t="shared" si="6"/>
        <v>20</v>
      </c>
      <c r="Q25" s="58">
        <v>3531</v>
      </c>
      <c r="R25" s="67">
        <f t="shared" si="7"/>
        <v>6</v>
      </c>
      <c r="S25" s="58">
        <v>1667.4</v>
      </c>
      <c r="T25" s="67">
        <f t="shared" si="8"/>
        <v>1100.0000000001364</v>
      </c>
      <c r="U25" s="58">
        <v>657603</v>
      </c>
      <c r="V25" s="67">
        <f t="shared" si="9"/>
        <v>426.30000000004657</v>
      </c>
      <c r="W25" s="58">
        <v>592.5</v>
      </c>
      <c r="X25" s="65">
        <f t="shared" si="10"/>
        <v>320.00000000005002</v>
      </c>
      <c r="Y25" s="58">
        <v>4.5050999999999997</v>
      </c>
      <c r="Z25" s="65">
        <f t="shared" si="11"/>
        <v>2599.9999999992697</v>
      </c>
      <c r="AA25" s="58">
        <v>599.9</v>
      </c>
      <c r="AB25" s="65">
        <f t="shared" si="12"/>
        <v>269.99999999998181</v>
      </c>
      <c r="AC25" s="58">
        <v>604.15</v>
      </c>
      <c r="AD25" s="65">
        <f t="shared" si="13"/>
        <v>429.99999999994998</v>
      </c>
      <c r="AE25" s="58">
        <v>964.28</v>
      </c>
      <c r="AF25" s="65">
        <f t="shared" si="14"/>
        <v>870.00000000000455</v>
      </c>
      <c r="AG25" s="58">
        <v>26622</v>
      </c>
      <c r="AH25" s="67">
        <f t="shared" si="15"/>
        <v>38</v>
      </c>
      <c r="AI25" s="58">
        <v>1.0295000000000001</v>
      </c>
      <c r="AJ25" s="65">
        <f t="shared" si="16"/>
        <v>800.00000000013392</v>
      </c>
      <c r="AK25" s="58">
        <v>340.6</v>
      </c>
      <c r="AL25" s="65">
        <f t="shared" si="17"/>
        <v>189.99999999999773</v>
      </c>
      <c r="AM25" s="58">
        <v>311.37</v>
      </c>
      <c r="AN25" s="65">
        <f t="shared" si="18"/>
        <v>120.00000000000455</v>
      </c>
      <c r="AO25" s="58">
        <v>302.79000000000002</v>
      </c>
      <c r="AP25" s="65">
        <f t="shared" si="19"/>
        <v>170.00000000001592</v>
      </c>
      <c r="AQ25" s="58">
        <v>355.49</v>
      </c>
      <c r="AR25" s="65">
        <f t="shared" si="20"/>
        <v>150.00000000003411</v>
      </c>
      <c r="AS25" s="58">
        <v>481.67</v>
      </c>
      <c r="AT25" s="65">
        <f t="shared" si="21"/>
        <v>150.00000000003411</v>
      </c>
      <c r="AU25" s="58">
        <v>386.12</v>
      </c>
      <c r="AV25" s="65">
        <f t="shared" si="22"/>
        <v>120.00000000000455</v>
      </c>
      <c r="AW25" s="58">
        <v>413.1</v>
      </c>
      <c r="AX25" s="65">
        <f t="shared" si="23"/>
        <v>120.00000000000455</v>
      </c>
      <c r="AY25" s="58">
        <v>448.13</v>
      </c>
      <c r="AZ25" s="65">
        <f t="shared" si="24"/>
        <v>139.99999999998636</v>
      </c>
      <c r="BA25" s="58">
        <v>465.88</v>
      </c>
      <c r="BB25" s="65">
        <f t="shared" si="25"/>
        <v>149.99999999997726</v>
      </c>
      <c r="BC25" s="58">
        <v>298.72000000000003</v>
      </c>
      <c r="BD25" s="65">
        <f t="shared" si="26"/>
        <v>70.000000000050022</v>
      </c>
      <c r="BE25" s="59">
        <v>60985</v>
      </c>
      <c r="BF25" s="67">
        <f t="shared" si="27"/>
        <v>45</v>
      </c>
      <c r="BG25" s="60">
        <v>257.57</v>
      </c>
      <c r="BH25" s="65">
        <f t="shared" si="28"/>
        <v>40.000000000020464</v>
      </c>
      <c r="BI25" s="60">
        <v>311.7</v>
      </c>
      <c r="BJ25" s="65">
        <f t="shared" si="29"/>
        <v>39.99999999996362</v>
      </c>
      <c r="BK25" s="60">
        <v>264.01</v>
      </c>
      <c r="BL25" s="65">
        <f t="shared" si="30"/>
        <v>60.000000000002274</v>
      </c>
      <c r="BM25" s="60">
        <v>247.52</v>
      </c>
      <c r="BN25" s="65">
        <f t="shared" si="31"/>
        <v>40.000000000020464</v>
      </c>
      <c r="BO25" s="60">
        <v>315.98</v>
      </c>
      <c r="BP25" s="65">
        <f t="shared" si="32"/>
        <v>30.000000000029559</v>
      </c>
      <c r="BQ25" s="60">
        <v>65908</v>
      </c>
      <c r="BR25" s="65">
        <f t="shared" si="33"/>
        <v>48</v>
      </c>
      <c r="BS25" s="60">
        <v>225.66</v>
      </c>
      <c r="BT25" s="65">
        <f t="shared" si="34"/>
        <v>39.999999999992042</v>
      </c>
      <c r="BU25" s="60">
        <v>63345</v>
      </c>
      <c r="BV25" s="65">
        <f t="shared" si="35"/>
        <v>36</v>
      </c>
      <c r="BW25" s="60">
        <v>253.73</v>
      </c>
      <c r="BX25" s="65">
        <f t="shared" si="36"/>
        <v>49.999999999982947</v>
      </c>
      <c r="BY25" s="60">
        <v>85038</v>
      </c>
      <c r="BZ25" s="67">
        <f t="shared" si="37"/>
        <v>52</v>
      </c>
      <c r="CA25" s="60">
        <v>62287.6</v>
      </c>
      <c r="CB25" s="67">
        <f t="shared" si="38"/>
        <v>91.599999999998545</v>
      </c>
      <c r="CC25" s="60">
        <v>18726.400000000001</v>
      </c>
      <c r="CD25" s="67">
        <f t="shared" si="39"/>
        <v>10.400000000001455</v>
      </c>
      <c r="CE25" s="60">
        <v>9046</v>
      </c>
      <c r="CF25" s="67">
        <f t="shared" si="40"/>
        <v>2.5</v>
      </c>
      <c r="CG25" s="60">
        <v>86378.3</v>
      </c>
      <c r="CH25" s="67">
        <f t="shared" si="41"/>
        <v>55.30000000000291</v>
      </c>
      <c r="CI25" s="60">
        <v>1120933</v>
      </c>
      <c r="CJ25" s="67">
        <f t="shared" si="42"/>
        <v>336</v>
      </c>
      <c r="CK25" s="60">
        <v>1220.3</v>
      </c>
      <c r="CL25" s="64">
        <f t="shared" si="43"/>
        <v>799.99999999995453</v>
      </c>
      <c r="CM25" s="65">
        <f t="shared" si="50"/>
        <v>93.700000000000728</v>
      </c>
      <c r="CN25" s="62">
        <v>15</v>
      </c>
      <c r="CO25" s="62">
        <v>26</v>
      </c>
      <c r="CP25" s="68">
        <v>52930</v>
      </c>
      <c r="CQ25" s="67">
        <f t="shared" si="51"/>
        <v>66</v>
      </c>
      <c r="CR25" s="68">
        <v>27763.9</v>
      </c>
      <c r="CS25" s="67">
        <f t="shared" si="44"/>
        <v>27.700000000000728</v>
      </c>
      <c r="CT25" s="75">
        <v>13041</v>
      </c>
      <c r="CU25" s="67">
        <f t="shared" si="45"/>
        <v>15</v>
      </c>
      <c r="CV25" s="68">
        <v>31653</v>
      </c>
      <c r="CW25" s="67">
        <f t="shared" si="46"/>
        <v>23</v>
      </c>
      <c r="CX25" s="58">
        <v>5839.4</v>
      </c>
      <c r="CY25" s="67">
        <f t="shared" si="47"/>
        <v>12.099999999999454</v>
      </c>
    </row>
    <row r="26" spans="1:103" ht="25.5" customHeight="1" thickBot="1" x14ac:dyDescent="0.45">
      <c r="A26" s="63">
        <v>44949</v>
      </c>
      <c r="B26" s="44"/>
      <c r="C26" s="58">
        <v>3.8582999999999998</v>
      </c>
      <c r="D26" s="64">
        <f t="shared" si="0"/>
        <v>2599.9999999997135</v>
      </c>
      <c r="E26" s="58">
        <v>5.1093999999999999</v>
      </c>
      <c r="F26" s="64">
        <f t="shared" si="1"/>
        <v>3000.0000000001137</v>
      </c>
      <c r="G26" s="58">
        <v>5.1360000000000001</v>
      </c>
      <c r="H26" s="64">
        <f t="shared" si="2"/>
        <v>3000.0000000001137</v>
      </c>
      <c r="I26" s="58">
        <v>2.5343</v>
      </c>
      <c r="J26" s="64">
        <f t="shared" si="3"/>
        <v>1700.0000000000348</v>
      </c>
      <c r="K26" s="58">
        <v>3.8934000000000002</v>
      </c>
      <c r="L26" s="64">
        <f t="shared" si="48"/>
        <v>2200.0000000002019</v>
      </c>
      <c r="M26" s="58">
        <v>2.3536999999999999</v>
      </c>
      <c r="N26" s="64">
        <f t="shared" si="49"/>
        <v>1799.9999999998017</v>
      </c>
      <c r="O26" s="58">
        <v>28320</v>
      </c>
      <c r="P26" s="67">
        <f t="shared" si="6"/>
        <v>21</v>
      </c>
      <c r="Q26" s="58">
        <v>3535</v>
      </c>
      <c r="R26" s="67">
        <f t="shared" si="7"/>
        <v>4</v>
      </c>
      <c r="S26" s="58">
        <v>1668.3</v>
      </c>
      <c r="T26" s="67">
        <f t="shared" si="8"/>
        <v>899.99999999986358</v>
      </c>
      <c r="U26" s="58">
        <v>658031.69999999995</v>
      </c>
      <c r="V26" s="67">
        <f t="shared" si="9"/>
        <v>428.69999999995343</v>
      </c>
      <c r="W26" s="58">
        <v>592.83000000000004</v>
      </c>
      <c r="X26" s="65">
        <f t="shared" si="10"/>
        <v>330.00000000004093</v>
      </c>
      <c r="Y26" s="58">
        <v>4.5077999999999996</v>
      </c>
      <c r="Z26" s="65">
        <f t="shared" si="11"/>
        <v>2699.9999999999245</v>
      </c>
      <c r="AA26" s="58">
        <v>600.23</v>
      </c>
      <c r="AB26" s="65">
        <f t="shared" si="12"/>
        <v>330.00000000004093</v>
      </c>
      <c r="AC26" s="58">
        <v>604.59</v>
      </c>
      <c r="AD26" s="65">
        <f t="shared" si="13"/>
        <v>440.00000000005457</v>
      </c>
      <c r="AE26" s="58">
        <v>965.13</v>
      </c>
      <c r="AF26" s="65">
        <f t="shared" si="14"/>
        <v>850.00000000002274</v>
      </c>
      <c r="AG26" s="58">
        <v>26658</v>
      </c>
      <c r="AH26" s="67">
        <f t="shared" si="15"/>
        <v>36</v>
      </c>
      <c r="AI26" s="58">
        <v>1.0303</v>
      </c>
      <c r="AJ26" s="65">
        <f t="shared" si="16"/>
        <v>799.99999999991189</v>
      </c>
      <c r="AK26" s="58">
        <v>340.79</v>
      </c>
      <c r="AL26" s="65">
        <f t="shared" si="17"/>
        <v>189.99999999999773</v>
      </c>
      <c r="AM26" s="58">
        <v>311.5</v>
      </c>
      <c r="AN26" s="65">
        <f t="shared" si="18"/>
        <v>129.99999999999545</v>
      </c>
      <c r="AO26" s="58">
        <v>302.98</v>
      </c>
      <c r="AP26" s="65">
        <f t="shared" si="19"/>
        <v>189.99999999999773</v>
      </c>
      <c r="AQ26" s="58">
        <v>355.65</v>
      </c>
      <c r="AR26" s="65">
        <f t="shared" si="20"/>
        <v>159.99999999996817</v>
      </c>
      <c r="AS26" s="58">
        <v>481.85</v>
      </c>
      <c r="AT26" s="65">
        <f t="shared" si="21"/>
        <v>180.00000000000682</v>
      </c>
      <c r="AU26" s="58">
        <v>386.24</v>
      </c>
      <c r="AV26" s="65">
        <f t="shared" si="22"/>
        <v>120.00000000000455</v>
      </c>
      <c r="AW26" s="58">
        <v>413.24</v>
      </c>
      <c r="AX26" s="65">
        <f t="shared" si="23"/>
        <v>139.99999999998636</v>
      </c>
      <c r="AY26" s="58">
        <v>448.28</v>
      </c>
      <c r="AZ26" s="65">
        <f t="shared" si="24"/>
        <v>149.99999999997726</v>
      </c>
      <c r="BA26" s="58">
        <v>466.01</v>
      </c>
      <c r="BB26" s="65">
        <f t="shared" si="25"/>
        <v>129.99999999999545</v>
      </c>
      <c r="BC26" s="58">
        <v>298.8</v>
      </c>
      <c r="BD26" s="65">
        <f t="shared" si="26"/>
        <v>79.999999999984084</v>
      </c>
      <c r="BE26" s="59">
        <v>61057</v>
      </c>
      <c r="BF26" s="67">
        <f t="shared" si="27"/>
        <v>72</v>
      </c>
      <c r="BG26" s="60">
        <v>257.62</v>
      </c>
      <c r="BH26" s="65">
        <f t="shared" si="28"/>
        <v>50.000000000011369</v>
      </c>
      <c r="BI26" s="60">
        <v>311.75</v>
      </c>
      <c r="BJ26" s="65">
        <f t="shared" si="29"/>
        <v>50.000000000011369</v>
      </c>
      <c r="BK26" s="60">
        <v>264.07</v>
      </c>
      <c r="BL26" s="65">
        <f t="shared" si="30"/>
        <v>60.000000000002274</v>
      </c>
      <c r="BM26" s="60">
        <v>247.57</v>
      </c>
      <c r="BN26" s="65">
        <f t="shared" si="31"/>
        <v>49.999999999982947</v>
      </c>
      <c r="BO26" s="60">
        <v>316.02</v>
      </c>
      <c r="BP26" s="65">
        <f t="shared" si="32"/>
        <v>39.99999999996362</v>
      </c>
      <c r="BQ26" s="60">
        <v>65952</v>
      </c>
      <c r="BR26" s="65">
        <f t="shared" si="33"/>
        <v>44</v>
      </c>
      <c r="BS26" s="60">
        <v>225.71</v>
      </c>
      <c r="BT26" s="65">
        <f t="shared" si="34"/>
        <v>50.000000000011369</v>
      </c>
      <c r="BU26" s="60">
        <v>63389</v>
      </c>
      <c r="BV26" s="65">
        <f t="shared" si="35"/>
        <v>44</v>
      </c>
      <c r="BW26" s="60">
        <v>253.78</v>
      </c>
      <c r="BX26" s="65">
        <f t="shared" si="36"/>
        <v>50.000000000011369</v>
      </c>
      <c r="BY26" s="60">
        <v>85095</v>
      </c>
      <c r="BZ26" s="67">
        <f t="shared" si="37"/>
        <v>57</v>
      </c>
      <c r="CA26" s="60">
        <v>62374.3</v>
      </c>
      <c r="CB26" s="67">
        <f t="shared" si="38"/>
        <v>86.700000000004366</v>
      </c>
      <c r="CC26" s="60">
        <v>18736.2</v>
      </c>
      <c r="CD26" s="67">
        <f t="shared" si="39"/>
        <v>9.7999999999992724</v>
      </c>
      <c r="CE26" s="60">
        <v>9049</v>
      </c>
      <c r="CF26" s="67">
        <f t="shared" si="40"/>
        <v>3</v>
      </c>
      <c r="CG26" s="60">
        <v>86434.1</v>
      </c>
      <c r="CH26" s="67">
        <f t="shared" si="41"/>
        <v>55.80000000000291</v>
      </c>
      <c r="CI26" s="60">
        <v>1121305</v>
      </c>
      <c r="CJ26" s="67">
        <f t="shared" si="42"/>
        <v>372</v>
      </c>
      <c r="CK26" s="60">
        <v>1221.2</v>
      </c>
      <c r="CL26" s="64">
        <f t="shared" si="43"/>
        <v>900.00000000009095</v>
      </c>
      <c r="CM26" s="65">
        <f t="shared" si="50"/>
        <v>88.299999999999272</v>
      </c>
      <c r="CN26" s="62">
        <v>15</v>
      </c>
      <c r="CO26" s="62">
        <v>26</v>
      </c>
      <c r="CP26" s="68">
        <v>53002</v>
      </c>
      <c r="CQ26" s="67">
        <f t="shared" si="51"/>
        <v>72</v>
      </c>
      <c r="CR26" s="68">
        <v>27780.2</v>
      </c>
      <c r="CS26" s="67">
        <f t="shared" si="44"/>
        <v>16.299999999999272</v>
      </c>
      <c r="CT26" s="75">
        <v>13061</v>
      </c>
      <c r="CU26" s="67">
        <f t="shared" si="45"/>
        <v>20</v>
      </c>
      <c r="CV26" s="68">
        <v>31676</v>
      </c>
      <c r="CW26" s="67">
        <f t="shared" si="46"/>
        <v>23</v>
      </c>
      <c r="CX26" s="58">
        <v>5847.7</v>
      </c>
      <c r="CY26" s="67">
        <f t="shared" si="47"/>
        <v>8.3000000000001819</v>
      </c>
    </row>
    <row r="27" spans="1:103" ht="25.5" customHeight="1" thickBot="1" x14ac:dyDescent="0.45">
      <c r="A27" s="63">
        <v>44950</v>
      </c>
      <c r="B27" s="44"/>
      <c r="C27" s="58">
        <v>3.8611</v>
      </c>
      <c r="D27" s="64">
        <f t="shared" si="0"/>
        <v>2800.0000000001355</v>
      </c>
      <c r="E27" s="58">
        <v>5.1128</v>
      </c>
      <c r="F27" s="64">
        <f t="shared" si="1"/>
        <v>3400.0000000000696</v>
      </c>
      <c r="G27" s="58">
        <v>5.1395</v>
      </c>
      <c r="H27" s="64">
        <f t="shared" si="2"/>
        <v>3499.9999999998367</v>
      </c>
      <c r="I27" s="58">
        <v>2.5360999999999998</v>
      </c>
      <c r="J27" s="64">
        <f t="shared" si="3"/>
        <v>1799.9999999998017</v>
      </c>
      <c r="K27" s="58">
        <v>3.8957999999999999</v>
      </c>
      <c r="L27" s="64">
        <f t="shared" si="48"/>
        <v>2399.9999999997358</v>
      </c>
      <c r="M27" s="58">
        <v>2.3561000000000001</v>
      </c>
      <c r="N27" s="64">
        <f t="shared" si="49"/>
        <v>2400.0000000001796</v>
      </c>
      <c r="O27" s="58">
        <v>28353</v>
      </c>
      <c r="P27" s="67">
        <f t="shared" si="6"/>
        <v>33</v>
      </c>
      <c r="Q27" s="58">
        <v>3540</v>
      </c>
      <c r="R27" s="67">
        <f t="shared" si="7"/>
        <v>5</v>
      </c>
      <c r="S27" s="58">
        <v>1669.4</v>
      </c>
      <c r="T27" s="67">
        <f t="shared" si="8"/>
        <v>1100.0000000001364</v>
      </c>
      <c r="U27" s="58">
        <v>658549.9</v>
      </c>
      <c r="V27" s="67">
        <f t="shared" si="9"/>
        <v>518.20000000006985</v>
      </c>
      <c r="W27" s="58">
        <v>593.23</v>
      </c>
      <c r="X27" s="65">
        <f t="shared" si="10"/>
        <v>399.99999999997726</v>
      </c>
      <c r="Y27" s="58">
        <v>4.5109000000000004</v>
      </c>
      <c r="Z27" s="65">
        <f t="shared" si="11"/>
        <v>3100.000000000769</v>
      </c>
      <c r="AA27" s="58">
        <v>600.47</v>
      </c>
      <c r="AB27" s="65">
        <f t="shared" si="12"/>
        <v>240.00000000000909</v>
      </c>
      <c r="AC27" s="58">
        <v>605.1</v>
      </c>
      <c r="AD27" s="65">
        <f t="shared" si="13"/>
        <v>509.99999999999091</v>
      </c>
      <c r="AE27" s="58">
        <v>966.14</v>
      </c>
      <c r="AF27" s="65">
        <f t="shared" si="14"/>
        <v>1009.9999999999909</v>
      </c>
      <c r="AG27" s="58">
        <v>26698</v>
      </c>
      <c r="AH27" s="67">
        <f t="shared" si="15"/>
        <v>40</v>
      </c>
      <c r="AI27" s="58">
        <v>1.0310999999999999</v>
      </c>
      <c r="AJ27" s="65">
        <f t="shared" si="16"/>
        <v>799.99999999991189</v>
      </c>
      <c r="AK27" s="58">
        <v>341.04</v>
      </c>
      <c r="AL27" s="65">
        <f t="shared" si="17"/>
        <v>250</v>
      </c>
      <c r="AM27" s="58">
        <v>311.70999999999998</v>
      </c>
      <c r="AN27" s="65">
        <f t="shared" si="18"/>
        <v>209.99999999997954</v>
      </c>
      <c r="AO27" s="58">
        <v>303.20999999999998</v>
      </c>
      <c r="AP27" s="65">
        <f t="shared" si="19"/>
        <v>229.99999999996135</v>
      </c>
      <c r="AQ27" s="58">
        <v>355.85</v>
      </c>
      <c r="AR27" s="65">
        <f t="shared" si="20"/>
        <v>200.00000000004547</v>
      </c>
      <c r="AS27" s="58">
        <v>482.05</v>
      </c>
      <c r="AT27" s="65">
        <f t="shared" si="21"/>
        <v>199.99999999998863</v>
      </c>
      <c r="AU27" s="58">
        <v>386.4</v>
      </c>
      <c r="AV27" s="65">
        <f t="shared" si="22"/>
        <v>159.99999999996817</v>
      </c>
      <c r="AW27" s="58">
        <v>413.43</v>
      </c>
      <c r="AX27" s="65">
        <f t="shared" si="23"/>
        <v>189.99999999999773</v>
      </c>
      <c r="AY27" s="58">
        <v>448.46</v>
      </c>
      <c r="AZ27" s="65">
        <f t="shared" si="24"/>
        <v>180.00000000000682</v>
      </c>
      <c r="BA27" s="58">
        <v>466.19</v>
      </c>
      <c r="BB27" s="65">
        <f t="shared" si="25"/>
        <v>180.00000000000682</v>
      </c>
      <c r="BC27" s="58">
        <v>298.89999999999998</v>
      </c>
      <c r="BD27" s="65">
        <f t="shared" si="26"/>
        <v>99.999999999965894</v>
      </c>
      <c r="BE27" s="59">
        <v>61109</v>
      </c>
      <c r="BF27" s="67">
        <f t="shared" si="27"/>
        <v>52</v>
      </c>
      <c r="BG27" s="60">
        <v>257.67</v>
      </c>
      <c r="BH27" s="65">
        <f t="shared" si="28"/>
        <v>50.000000000011369</v>
      </c>
      <c r="BI27" s="60">
        <v>311.8</v>
      </c>
      <c r="BJ27" s="65">
        <f t="shared" si="29"/>
        <v>50.000000000011369</v>
      </c>
      <c r="BK27" s="60">
        <v>264.14999999999998</v>
      </c>
      <c r="BL27" s="65">
        <f t="shared" si="30"/>
        <v>79.999999999984084</v>
      </c>
      <c r="BM27" s="60">
        <v>247.63</v>
      </c>
      <c r="BN27" s="65">
        <f t="shared" si="31"/>
        <v>60.000000000002274</v>
      </c>
      <c r="BO27" s="60">
        <v>316.06</v>
      </c>
      <c r="BP27" s="65">
        <f t="shared" si="32"/>
        <v>40.000000000020464</v>
      </c>
      <c r="BQ27" s="60">
        <v>66001</v>
      </c>
      <c r="BR27" s="65">
        <f t="shared" si="33"/>
        <v>49</v>
      </c>
      <c r="BS27" s="60">
        <v>225.77</v>
      </c>
      <c r="BT27" s="65">
        <f t="shared" si="34"/>
        <v>60.000000000002274</v>
      </c>
      <c r="BU27" s="60">
        <v>63435</v>
      </c>
      <c r="BV27" s="65">
        <f t="shared" si="35"/>
        <v>46</v>
      </c>
      <c r="BW27" s="60">
        <v>253.84</v>
      </c>
      <c r="BX27" s="65">
        <f t="shared" si="36"/>
        <v>60.000000000002274</v>
      </c>
      <c r="BY27" s="60">
        <v>85153</v>
      </c>
      <c r="BZ27" s="67">
        <f t="shared" si="37"/>
        <v>58</v>
      </c>
      <c r="CA27" s="60">
        <v>62461.4</v>
      </c>
      <c r="CB27" s="67">
        <f t="shared" si="38"/>
        <v>87.099999999998545</v>
      </c>
      <c r="CC27" s="60">
        <v>18753.099999999999</v>
      </c>
      <c r="CD27" s="67">
        <f t="shared" si="39"/>
        <v>16.899999999997817</v>
      </c>
      <c r="CE27" s="60">
        <v>9050.7000000000007</v>
      </c>
      <c r="CF27" s="67">
        <f t="shared" si="40"/>
        <v>1.7000000000007276</v>
      </c>
      <c r="CG27" s="60">
        <v>86484.6</v>
      </c>
      <c r="CH27" s="67">
        <f t="shared" si="41"/>
        <v>50.5</v>
      </c>
      <c r="CI27" s="60">
        <v>1121654</v>
      </c>
      <c r="CJ27" s="67">
        <f t="shared" si="42"/>
        <v>349</v>
      </c>
      <c r="CK27" s="60">
        <v>1222.2</v>
      </c>
      <c r="CL27" s="64">
        <f t="shared" si="43"/>
        <v>1000</v>
      </c>
      <c r="CM27" s="65">
        <f t="shared" si="50"/>
        <v>110.79999999999927</v>
      </c>
      <c r="CN27" s="62">
        <v>15</v>
      </c>
      <c r="CO27" s="62">
        <v>28</v>
      </c>
      <c r="CP27" s="68">
        <v>53084</v>
      </c>
      <c r="CQ27" s="67">
        <f t="shared" si="51"/>
        <v>82</v>
      </c>
      <c r="CR27" s="68">
        <v>27809</v>
      </c>
      <c r="CS27" s="67">
        <f t="shared" si="44"/>
        <v>28.799999999999272</v>
      </c>
      <c r="CT27" s="75">
        <v>13081</v>
      </c>
      <c r="CU27" s="67">
        <f t="shared" si="45"/>
        <v>20</v>
      </c>
      <c r="CV27" s="68">
        <v>31716</v>
      </c>
      <c r="CW27" s="67">
        <f t="shared" si="46"/>
        <v>40</v>
      </c>
      <c r="CX27" s="58">
        <v>5856.1</v>
      </c>
      <c r="CY27" s="67">
        <f t="shared" si="47"/>
        <v>8.4000000000005457</v>
      </c>
    </row>
    <row r="28" spans="1:103" ht="25.5" customHeight="1" thickBot="1" x14ac:dyDescent="0.45">
      <c r="A28" s="63">
        <v>44951</v>
      </c>
      <c r="B28" s="44"/>
      <c r="C28" s="58">
        <v>3.8639999999999999</v>
      </c>
      <c r="D28" s="64">
        <f t="shared" si="0"/>
        <v>2899.9999999999027</v>
      </c>
      <c r="E28" s="58">
        <v>5.1163999999999996</v>
      </c>
      <c r="F28" s="64">
        <f t="shared" si="1"/>
        <v>3599.9999999996035</v>
      </c>
      <c r="G28" s="58">
        <v>5.1426999999999996</v>
      </c>
      <c r="H28" s="64">
        <f t="shared" si="2"/>
        <v>3199.9999999996476</v>
      </c>
      <c r="I28" s="58">
        <v>2.5379999999999998</v>
      </c>
      <c r="J28" s="64">
        <f t="shared" si="3"/>
        <v>1900.0000000000127</v>
      </c>
      <c r="K28" s="58">
        <v>3.8980999999999999</v>
      </c>
      <c r="L28" s="64">
        <f t="shared" si="48"/>
        <v>2299.9999999999686</v>
      </c>
      <c r="M28" s="58">
        <v>2.3574999999999999</v>
      </c>
      <c r="N28" s="64">
        <f t="shared" si="49"/>
        <v>1399.9999999998458</v>
      </c>
      <c r="O28" s="58">
        <v>28369</v>
      </c>
      <c r="P28" s="67">
        <f t="shared" si="6"/>
        <v>16</v>
      </c>
      <c r="Q28" s="58">
        <v>3546</v>
      </c>
      <c r="R28" s="67">
        <f t="shared" si="7"/>
        <v>6</v>
      </c>
      <c r="S28" s="58">
        <v>1670.3</v>
      </c>
      <c r="T28" s="67">
        <f t="shared" si="8"/>
        <v>899.99999999986358</v>
      </c>
      <c r="U28" s="58">
        <v>658940.19999999995</v>
      </c>
      <c r="V28" s="67">
        <f t="shared" si="9"/>
        <v>390.29999999993015</v>
      </c>
      <c r="W28" s="58">
        <v>593.66999999999996</v>
      </c>
      <c r="X28" s="65">
        <f t="shared" si="10"/>
        <v>439.99999999994088</v>
      </c>
      <c r="Y28" s="58">
        <v>4.5140000000000002</v>
      </c>
      <c r="Z28" s="65">
        <f t="shared" si="11"/>
        <v>3099.9999999998809</v>
      </c>
      <c r="AA28" s="58">
        <v>600.84</v>
      </c>
      <c r="AB28" s="65">
        <f t="shared" si="12"/>
        <v>370.00000000000455</v>
      </c>
      <c r="AC28" s="58">
        <v>605.62</v>
      </c>
      <c r="AD28" s="65">
        <f t="shared" si="13"/>
        <v>519.99999999998181</v>
      </c>
      <c r="AE28" s="58">
        <v>967.14</v>
      </c>
      <c r="AF28" s="65">
        <f t="shared" si="14"/>
        <v>1000</v>
      </c>
      <c r="AG28" s="58">
        <v>26742</v>
      </c>
      <c r="AH28" s="67">
        <f t="shared" si="15"/>
        <v>44</v>
      </c>
      <c r="AI28" s="58">
        <v>1.0318000000000001</v>
      </c>
      <c r="AJ28" s="65">
        <f t="shared" si="16"/>
        <v>700.00000000014495</v>
      </c>
      <c r="AK28" s="58">
        <v>341.28</v>
      </c>
      <c r="AL28" s="65">
        <f t="shared" si="17"/>
        <v>239.99999999995225</v>
      </c>
      <c r="AM28" s="58">
        <v>311.93</v>
      </c>
      <c r="AN28" s="65">
        <f t="shared" si="18"/>
        <v>220.00000000002728</v>
      </c>
      <c r="AO28" s="58">
        <v>303.44</v>
      </c>
      <c r="AP28" s="65">
        <f t="shared" si="19"/>
        <v>230.00000000001819</v>
      </c>
      <c r="AQ28" s="58">
        <v>356.04</v>
      </c>
      <c r="AR28" s="65">
        <f t="shared" si="20"/>
        <v>189.99999999999773</v>
      </c>
      <c r="AS28" s="58">
        <v>482.28</v>
      </c>
      <c r="AT28" s="65">
        <f t="shared" si="21"/>
        <v>229.99999999996135</v>
      </c>
      <c r="AU28" s="58">
        <v>386.54</v>
      </c>
      <c r="AV28" s="65">
        <f t="shared" si="22"/>
        <v>140.0000000000432</v>
      </c>
      <c r="AW28" s="58">
        <v>413.59</v>
      </c>
      <c r="AX28" s="65">
        <f t="shared" si="23"/>
        <v>159.99999999996817</v>
      </c>
      <c r="AY28" s="58">
        <v>448.63</v>
      </c>
      <c r="AZ28" s="65">
        <f t="shared" si="24"/>
        <v>170.00000000001592</v>
      </c>
      <c r="BA28" s="58">
        <v>466.35</v>
      </c>
      <c r="BB28" s="65">
        <f t="shared" si="25"/>
        <v>160.00000000002501</v>
      </c>
      <c r="BC28" s="58">
        <v>299</v>
      </c>
      <c r="BD28" s="65">
        <f t="shared" si="26"/>
        <v>100.00000000002274</v>
      </c>
      <c r="BE28" s="59">
        <v>61152</v>
      </c>
      <c r="BF28" s="67">
        <f t="shared" si="27"/>
        <v>43</v>
      </c>
      <c r="BG28" s="60">
        <v>257.70999999999998</v>
      </c>
      <c r="BH28" s="65">
        <f t="shared" si="28"/>
        <v>39.99999999996362</v>
      </c>
      <c r="BI28" s="60">
        <v>311.85000000000002</v>
      </c>
      <c r="BJ28" s="65">
        <f t="shared" si="29"/>
        <v>50.000000000011369</v>
      </c>
      <c r="BK28" s="60">
        <v>264.20999999999998</v>
      </c>
      <c r="BL28" s="65">
        <f t="shared" si="30"/>
        <v>60.000000000002274</v>
      </c>
      <c r="BM28" s="60">
        <v>247.68</v>
      </c>
      <c r="BN28" s="65">
        <f t="shared" si="31"/>
        <v>50.000000000011369</v>
      </c>
      <c r="BO28" s="60">
        <v>316.11</v>
      </c>
      <c r="BP28" s="65">
        <f t="shared" si="32"/>
        <v>50.000000000011369</v>
      </c>
      <c r="BQ28" s="60">
        <v>66054</v>
      </c>
      <c r="BR28" s="65">
        <f t="shared" si="33"/>
        <v>53</v>
      </c>
      <c r="BS28" s="60">
        <v>225.83</v>
      </c>
      <c r="BT28" s="65">
        <f t="shared" si="34"/>
        <v>60.000000000002274</v>
      </c>
      <c r="BU28" s="60">
        <v>63480</v>
      </c>
      <c r="BV28" s="65">
        <f t="shared" si="35"/>
        <v>45</v>
      </c>
      <c r="BW28" s="60">
        <v>253.92</v>
      </c>
      <c r="BX28" s="65">
        <f t="shared" si="36"/>
        <v>79.999999999984084</v>
      </c>
      <c r="BY28" s="60">
        <v>85212</v>
      </c>
      <c r="BZ28" s="67">
        <f t="shared" si="37"/>
        <v>59</v>
      </c>
      <c r="CA28" s="60">
        <v>62550.400000000001</v>
      </c>
      <c r="CB28" s="67">
        <f t="shared" si="38"/>
        <v>89</v>
      </c>
      <c r="CC28" s="60">
        <v>18766.7</v>
      </c>
      <c r="CD28" s="67">
        <f t="shared" si="39"/>
        <v>13.600000000002183</v>
      </c>
      <c r="CE28" s="60">
        <v>9051</v>
      </c>
      <c r="CF28" s="67">
        <f t="shared" si="40"/>
        <v>0.2999999999992724</v>
      </c>
      <c r="CG28" s="60">
        <v>86529.2</v>
      </c>
      <c r="CH28" s="67">
        <f t="shared" si="41"/>
        <v>44.599999999991269</v>
      </c>
      <c r="CI28" s="60">
        <v>1122015</v>
      </c>
      <c r="CJ28" s="67">
        <f t="shared" si="42"/>
        <v>361</v>
      </c>
      <c r="CK28" s="60">
        <v>1223.2</v>
      </c>
      <c r="CL28" s="64">
        <f t="shared" si="43"/>
        <v>1000</v>
      </c>
      <c r="CM28" s="65">
        <f t="shared" si="50"/>
        <v>107</v>
      </c>
      <c r="CN28" s="62">
        <v>12</v>
      </c>
      <c r="CO28" s="62">
        <v>23</v>
      </c>
      <c r="CP28" s="68">
        <v>53180</v>
      </c>
      <c r="CQ28" s="67">
        <f t="shared" si="51"/>
        <v>96</v>
      </c>
      <c r="CR28" s="68">
        <v>27820</v>
      </c>
      <c r="CS28" s="67">
        <f t="shared" si="44"/>
        <v>11</v>
      </c>
      <c r="CT28" s="75">
        <v>13098</v>
      </c>
      <c r="CU28" s="67">
        <f t="shared" si="45"/>
        <v>17</v>
      </c>
      <c r="CV28" s="68">
        <v>31768</v>
      </c>
      <c r="CW28" s="67">
        <f t="shared" si="46"/>
        <v>52</v>
      </c>
      <c r="CX28" s="58">
        <v>5864.2</v>
      </c>
      <c r="CY28" s="67">
        <f t="shared" si="47"/>
        <v>8.0999999999994543</v>
      </c>
    </row>
    <row r="29" spans="1:103" ht="25.5" customHeight="1" thickBot="1" x14ac:dyDescent="0.45">
      <c r="A29" s="63">
        <v>44952</v>
      </c>
      <c r="B29" s="44"/>
      <c r="C29" s="58">
        <v>3.8668</v>
      </c>
      <c r="D29" s="64">
        <f t="shared" si="0"/>
        <v>2800.0000000001355</v>
      </c>
      <c r="E29" s="58">
        <v>5.1199000000000003</v>
      </c>
      <c r="F29" s="64">
        <f t="shared" si="1"/>
        <v>3500.0000000007249</v>
      </c>
      <c r="G29" s="58">
        <v>5.1462000000000003</v>
      </c>
      <c r="H29" s="64">
        <f t="shared" si="2"/>
        <v>3500.0000000007249</v>
      </c>
      <c r="I29" s="58">
        <v>2.5398999999999998</v>
      </c>
      <c r="J29" s="64">
        <f t="shared" si="3"/>
        <v>1900.0000000000127</v>
      </c>
      <c r="K29" s="58">
        <v>3.9003999999999999</v>
      </c>
      <c r="L29" s="64">
        <f t="shared" si="48"/>
        <v>2299.9999999999686</v>
      </c>
      <c r="M29" s="58">
        <v>2.3592</v>
      </c>
      <c r="N29" s="64">
        <f t="shared" si="49"/>
        <v>1700.0000000000348</v>
      </c>
      <c r="O29" s="58">
        <v>28389</v>
      </c>
      <c r="P29" s="67">
        <f t="shared" si="6"/>
        <v>20</v>
      </c>
      <c r="Q29" s="58">
        <v>3550</v>
      </c>
      <c r="R29" s="67">
        <f t="shared" si="7"/>
        <v>4</v>
      </c>
      <c r="S29" s="58">
        <v>1671.3</v>
      </c>
      <c r="T29" s="67">
        <f t="shared" si="8"/>
        <v>1000</v>
      </c>
      <c r="U29" s="58">
        <v>659435</v>
      </c>
      <c r="V29" s="67">
        <f t="shared" si="9"/>
        <v>494.80000000004657</v>
      </c>
      <c r="W29" s="58">
        <v>594.11</v>
      </c>
      <c r="X29" s="65">
        <f t="shared" si="10"/>
        <v>440.00000000005457</v>
      </c>
      <c r="Y29" s="58">
        <v>4.5170000000000003</v>
      </c>
      <c r="Z29" s="65">
        <f t="shared" si="11"/>
        <v>3000.0000000001137</v>
      </c>
      <c r="AA29" s="58">
        <v>601.09</v>
      </c>
      <c r="AB29" s="65">
        <f t="shared" si="12"/>
        <v>250</v>
      </c>
      <c r="AC29" s="58">
        <v>606.03</v>
      </c>
      <c r="AD29" s="65">
        <f t="shared" si="13"/>
        <v>409.99999999996817</v>
      </c>
      <c r="AE29" s="58">
        <v>968.08</v>
      </c>
      <c r="AF29" s="65">
        <f t="shared" si="14"/>
        <v>940.00000000005457</v>
      </c>
      <c r="AG29" s="58">
        <v>26784</v>
      </c>
      <c r="AH29" s="67">
        <f t="shared" si="15"/>
        <v>42</v>
      </c>
      <c r="AI29" s="58">
        <v>1.0326</v>
      </c>
      <c r="AJ29" s="65">
        <f t="shared" si="16"/>
        <v>799.99999999991189</v>
      </c>
      <c r="AK29" s="58">
        <v>341.53</v>
      </c>
      <c r="AL29" s="65">
        <f t="shared" si="17"/>
        <v>250</v>
      </c>
      <c r="AM29" s="58">
        <v>312.12</v>
      </c>
      <c r="AN29" s="65">
        <f t="shared" si="18"/>
        <v>189.99999999999773</v>
      </c>
      <c r="AO29" s="58">
        <v>303.64999999999998</v>
      </c>
      <c r="AP29" s="65">
        <f t="shared" si="19"/>
        <v>209.99999999997954</v>
      </c>
      <c r="AQ29" s="58">
        <v>356.21</v>
      </c>
      <c r="AR29" s="65">
        <f t="shared" si="20"/>
        <v>169.99999999995907</v>
      </c>
      <c r="AS29" s="58">
        <v>482.49</v>
      </c>
      <c r="AT29" s="65">
        <f t="shared" si="21"/>
        <v>210.00000000003638</v>
      </c>
      <c r="AU29" s="58">
        <v>386.7</v>
      </c>
      <c r="AV29" s="65">
        <f t="shared" si="22"/>
        <v>159.99999999996817</v>
      </c>
      <c r="AW29" s="58">
        <v>413.76</v>
      </c>
      <c r="AX29" s="65">
        <f t="shared" si="23"/>
        <v>170.00000000001592</v>
      </c>
      <c r="AY29" s="58">
        <v>448.8</v>
      </c>
      <c r="AZ29" s="65">
        <f t="shared" si="24"/>
        <v>170.00000000001592</v>
      </c>
      <c r="BA29" s="58">
        <v>466.51</v>
      </c>
      <c r="BB29" s="65">
        <f t="shared" si="25"/>
        <v>159.99999999996817</v>
      </c>
      <c r="BC29" s="58">
        <v>299.10000000000002</v>
      </c>
      <c r="BD29" s="65">
        <f t="shared" si="26"/>
        <v>100.00000000002274</v>
      </c>
      <c r="BE29" s="59">
        <v>61206</v>
      </c>
      <c r="BF29" s="67">
        <f t="shared" si="27"/>
        <v>54</v>
      </c>
      <c r="BG29" s="60">
        <v>257.76</v>
      </c>
      <c r="BH29" s="65">
        <f t="shared" si="28"/>
        <v>50.000000000011369</v>
      </c>
      <c r="BI29" s="60">
        <v>311.89999999999998</v>
      </c>
      <c r="BJ29" s="65">
        <f t="shared" si="29"/>
        <v>49.999999999954525</v>
      </c>
      <c r="BK29" s="60">
        <v>264.27999999999997</v>
      </c>
      <c r="BL29" s="65">
        <f t="shared" si="30"/>
        <v>69.999999999993179</v>
      </c>
      <c r="BM29" s="60">
        <v>247.74</v>
      </c>
      <c r="BN29" s="65">
        <f t="shared" si="31"/>
        <v>60.000000000002274</v>
      </c>
      <c r="BO29" s="60">
        <v>316.14999999999998</v>
      </c>
      <c r="BP29" s="65">
        <f t="shared" si="32"/>
        <v>39.99999999996362</v>
      </c>
      <c r="BQ29" s="60">
        <v>66106</v>
      </c>
      <c r="BR29" s="65">
        <f t="shared" si="33"/>
        <v>52</v>
      </c>
      <c r="BS29" s="60">
        <v>225.89</v>
      </c>
      <c r="BT29" s="65">
        <f t="shared" si="34"/>
        <v>59.999999999973852</v>
      </c>
      <c r="BU29" s="60">
        <v>63533</v>
      </c>
      <c r="BV29" s="65">
        <f t="shared" si="35"/>
        <v>53</v>
      </c>
      <c r="BW29" s="60">
        <v>253.98</v>
      </c>
      <c r="BX29" s="65">
        <f t="shared" si="36"/>
        <v>60.000000000002274</v>
      </c>
      <c r="BY29" s="60">
        <v>85279</v>
      </c>
      <c r="BZ29" s="67">
        <f t="shared" si="37"/>
        <v>67</v>
      </c>
      <c r="CA29" s="60">
        <v>62632</v>
      </c>
      <c r="CB29" s="67">
        <f t="shared" si="38"/>
        <v>81.599999999998545</v>
      </c>
      <c r="CC29" s="60">
        <v>18771.2</v>
      </c>
      <c r="CD29" s="67">
        <f t="shared" si="39"/>
        <v>4.5</v>
      </c>
      <c r="CE29" s="60">
        <v>9055</v>
      </c>
      <c r="CF29" s="67">
        <f t="shared" si="40"/>
        <v>4</v>
      </c>
      <c r="CG29" s="60">
        <v>86574</v>
      </c>
      <c r="CH29" s="67">
        <f t="shared" si="41"/>
        <v>44.80000000000291</v>
      </c>
      <c r="CI29" s="60">
        <v>1122376</v>
      </c>
      <c r="CJ29" s="67">
        <f t="shared" si="42"/>
        <v>361</v>
      </c>
      <c r="CK29" s="60">
        <v>1224.2</v>
      </c>
      <c r="CL29" s="64">
        <f t="shared" si="43"/>
        <v>1000</v>
      </c>
      <c r="CM29" s="65">
        <f t="shared" si="50"/>
        <v>85</v>
      </c>
      <c r="CN29" s="62">
        <v>11</v>
      </c>
      <c r="CO29" s="62">
        <v>21</v>
      </c>
      <c r="CP29" s="68">
        <v>53260</v>
      </c>
      <c r="CQ29" s="67">
        <f t="shared" si="51"/>
        <v>80</v>
      </c>
      <c r="CR29" s="68">
        <v>27825</v>
      </c>
      <c r="CS29" s="67">
        <f t="shared" si="44"/>
        <v>5</v>
      </c>
      <c r="CT29" s="75">
        <v>13113</v>
      </c>
      <c r="CU29" s="67">
        <f t="shared" si="45"/>
        <v>15</v>
      </c>
      <c r="CV29" s="68">
        <v>31816</v>
      </c>
      <c r="CW29" s="67">
        <f t="shared" si="46"/>
        <v>48</v>
      </c>
      <c r="CX29" s="58">
        <v>5876.7</v>
      </c>
      <c r="CY29" s="67">
        <f t="shared" si="47"/>
        <v>12.5</v>
      </c>
    </row>
    <row r="30" spans="1:103" ht="25.5" customHeight="1" thickBot="1" x14ac:dyDescent="0.45">
      <c r="A30" s="63">
        <v>44953</v>
      </c>
      <c r="B30" s="44"/>
      <c r="C30" s="58">
        <v>3.8693</v>
      </c>
      <c r="D30" s="64">
        <f t="shared" si="0"/>
        <v>2499.9999999999468</v>
      </c>
      <c r="E30" s="58">
        <v>5.1231</v>
      </c>
      <c r="F30" s="64">
        <f t="shared" si="1"/>
        <v>3199.9999999996476</v>
      </c>
      <c r="G30" s="58">
        <v>5.1497000000000002</v>
      </c>
      <c r="H30" s="64">
        <f t="shared" si="2"/>
        <v>3499.9999999998367</v>
      </c>
      <c r="I30" s="58">
        <v>2.5415999999999999</v>
      </c>
      <c r="J30" s="64">
        <f t="shared" si="3"/>
        <v>1700.0000000000348</v>
      </c>
      <c r="K30" s="58">
        <v>3.9024999999999999</v>
      </c>
      <c r="L30" s="64">
        <f t="shared" si="48"/>
        <v>2099.9999999999909</v>
      </c>
      <c r="M30" s="58">
        <v>2.3611</v>
      </c>
      <c r="N30" s="64">
        <f t="shared" si="49"/>
        <v>1900.0000000000127</v>
      </c>
      <c r="O30" s="58">
        <v>28550</v>
      </c>
      <c r="P30" s="67">
        <f t="shared" si="6"/>
        <v>161</v>
      </c>
      <c r="Q30" s="58">
        <v>3561</v>
      </c>
      <c r="R30" s="67">
        <f t="shared" si="7"/>
        <v>11</v>
      </c>
      <c r="S30" s="58">
        <v>1672.2</v>
      </c>
      <c r="T30" s="67">
        <f t="shared" si="8"/>
        <v>900.00000000009095</v>
      </c>
      <c r="U30" s="58">
        <v>659803</v>
      </c>
      <c r="V30" s="67">
        <f t="shared" si="9"/>
        <v>368</v>
      </c>
      <c r="W30" s="58">
        <v>594.47</v>
      </c>
      <c r="X30" s="65">
        <f t="shared" si="10"/>
        <v>360.00000000001364</v>
      </c>
      <c r="Y30" s="58">
        <v>4.5195999999999996</v>
      </c>
      <c r="Z30" s="65">
        <f t="shared" si="11"/>
        <v>2599.9999999992697</v>
      </c>
      <c r="AA30" s="58">
        <v>601.52</v>
      </c>
      <c r="AB30" s="65">
        <f t="shared" si="12"/>
        <v>429.99999999994998</v>
      </c>
      <c r="AC30" s="58">
        <v>606.41999999999996</v>
      </c>
      <c r="AD30" s="65">
        <f t="shared" si="13"/>
        <v>389.99999999998636</v>
      </c>
      <c r="AE30" s="58">
        <v>969.05</v>
      </c>
      <c r="AF30" s="65">
        <f t="shared" si="14"/>
        <v>969.9999999999136</v>
      </c>
      <c r="AG30" s="58">
        <v>26826</v>
      </c>
      <c r="AH30" s="67">
        <f t="shared" si="15"/>
        <v>42</v>
      </c>
      <c r="AI30" s="58">
        <v>1.0333000000000001</v>
      </c>
      <c r="AJ30" s="65">
        <f t="shared" si="16"/>
        <v>700.00000000014495</v>
      </c>
      <c r="AK30" s="58">
        <v>341.74</v>
      </c>
      <c r="AL30" s="65">
        <f t="shared" si="17"/>
        <v>210.00000000003638</v>
      </c>
      <c r="AM30" s="58">
        <v>312.27999999999997</v>
      </c>
      <c r="AN30" s="65">
        <f t="shared" si="18"/>
        <v>159.99999999996817</v>
      </c>
      <c r="AO30" s="58">
        <v>303.82</v>
      </c>
      <c r="AP30" s="65">
        <f t="shared" si="19"/>
        <v>170.00000000001592</v>
      </c>
      <c r="AQ30" s="58">
        <v>356.35</v>
      </c>
      <c r="AR30" s="65">
        <f t="shared" si="20"/>
        <v>140.0000000000432</v>
      </c>
      <c r="AS30" s="58">
        <v>482.65</v>
      </c>
      <c r="AT30" s="65">
        <f t="shared" si="21"/>
        <v>159.99999999996817</v>
      </c>
      <c r="AU30" s="58">
        <v>386.82</v>
      </c>
      <c r="AV30" s="65">
        <f t="shared" si="22"/>
        <v>120.00000000000455</v>
      </c>
      <c r="AW30" s="58">
        <v>413.91</v>
      </c>
      <c r="AX30" s="65">
        <f t="shared" si="23"/>
        <v>150.00000000003411</v>
      </c>
      <c r="AY30" s="58">
        <v>448.95</v>
      </c>
      <c r="AZ30" s="65">
        <f t="shared" si="24"/>
        <v>149.99999999997726</v>
      </c>
      <c r="BA30" s="58">
        <v>466.66</v>
      </c>
      <c r="BB30" s="65">
        <f t="shared" si="25"/>
        <v>150.00000000003411</v>
      </c>
      <c r="BC30" s="58">
        <v>299.19</v>
      </c>
      <c r="BD30" s="65">
        <f t="shared" si="26"/>
        <v>89.999999999974989</v>
      </c>
      <c r="BE30" s="59">
        <v>61258</v>
      </c>
      <c r="BF30" s="67">
        <f t="shared" si="27"/>
        <v>52</v>
      </c>
      <c r="BG30" s="60">
        <v>257.81</v>
      </c>
      <c r="BH30" s="65">
        <f t="shared" si="28"/>
        <v>50.000000000011369</v>
      </c>
      <c r="BI30" s="60">
        <v>311.94</v>
      </c>
      <c r="BJ30" s="65">
        <f t="shared" si="29"/>
        <v>40.000000000020464</v>
      </c>
      <c r="BK30" s="60">
        <v>264.35000000000002</v>
      </c>
      <c r="BL30" s="65">
        <f t="shared" si="30"/>
        <v>70.000000000050022</v>
      </c>
      <c r="BM30" s="60">
        <v>247.78</v>
      </c>
      <c r="BN30" s="65">
        <f t="shared" si="31"/>
        <v>39.999999999992042</v>
      </c>
      <c r="BO30" s="60">
        <v>316.2</v>
      </c>
      <c r="BP30" s="65">
        <f t="shared" si="32"/>
        <v>50.000000000011369</v>
      </c>
      <c r="BQ30" s="60">
        <v>66154</v>
      </c>
      <c r="BR30" s="65">
        <f t="shared" si="33"/>
        <v>48</v>
      </c>
      <c r="BS30" s="60">
        <v>225.94</v>
      </c>
      <c r="BT30" s="65">
        <f t="shared" si="34"/>
        <v>50.000000000011369</v>
      </c>
      <c r="BU30" s="60">
        <v>63575</v>
      </c>
      <c r="BV30" s="65">
        <f t="shared" si="35"/>
        <v>42</v>
      </c>
      <c r="BW30" s="60">
        <v>254.04</v>
      </c>
      <c r="BX30" s="65">
        <f t="shared" si="36"/>
        <v>60.000000000002274</v>
      </c>
      <c r="BY30" s="60">
        <v>85334</v>
      </c>
      <c r="BZ30" s="67">
        <f t="shared" si="37"/>
        <v>55</v>
      </c>
      <c r="CA30" s="60">
        <v>62703.5</v>
      </c>
      <c r="CB30" s="67">
        <f t="shared" si="38"/>
        <v>71.5</v>
      </c>
      <c r="CC30" s="60">
        <v>18778.599999999999</v>
      </c>
      <c r="CD30" s="67">
        <f t="shared" si="39"/>
        <v>7.3999999999978172</v>
      </c>
      <c r="CE30" s="60">
        <v>9057.9</v>
      </c>
      <c r="CF30" s="67">
        <f t="shared" si="40"/>
        <v>2.8999999999996362</v>
      </c>
      <c r="CG30" s="60">
        <v>86628.2</v>
      </c>
      <c r="CH30" s="67">
        <f t="shared" si="41"/>
        <v>54.19999999999709</v>
      </c>
      <c r="CI30" s="60">
        <v>1122709</v>
      </c>
      <c r="CJ30" s="67">
        <f t="shared" si="42"/>
        <v>333</v>
      </c>
      <c r="CK30" s="60">
        <v>1225.5</v>
      </c>
      <c r="CL30" s="64">
        <f t="shared" si="43"/>
        <v>1299.9999999999545</v>
      </c>
      <c r="CM30" s="65">
        <f t="shared" si="50"/>
        <v>99.200000000000728</v>
      </c>
      <c r="CN30" s="62">
        <v>9</v>
      </c>
      <c r="CO30" s="62">
        <v>16</v>
      </c>
      <c r="CP30" s="68">
        <v>53341</v>
      </c>
      <c r="CQ30" s="67">
        <f t="shared" si="51"/>
        <v>81</v>
      </c>
      <c r="CR30" s="68">
        <v>27843.200000000001</v>
      </c>
      <c r="CS30" s="67">
        <f t="shared" si="44"/>
        <v>18.200000000000728</v>
      </c>
      <c r="CT30" s="75">
        <v>13126</v>
      </c>
      <c r="CU30" s="67">
        <f t="shared" si="45"/>
        <v>13</v>
      </c>
      <c r="CV30" s="68">
        <v>31861</v>
      </c>
      <c r="CW30" s="67">
        <f t="shared" si="46"/>
        <v>45</v>
      </c>
      <c r="CX30" s="58">
        <v>5888.9</v>
      </c>
      <c r="CY30" s="67">
        <f t="shared" si="47"/>
        <v>12.199999999999818</v>
      </c>
    </row>
    <row r="31" spans="1:103" ht="25.5" customHeight="1" thickBot="1" x14ac:dyDescent="0.45">
      <c r="A31" s="63">
        <v>44954</v>
      </c>
      <c r="B31" s="66"/>
      <c r="C31" s="58">
        <v>3.8719999999999999</v>
      </c>
      <c r="D31" s="64">
        <f t="shared" si="0"/>
        <v>2699.9999999999245</v>
      </c>
      <c r="E31" s="58">
        <v>5.1262999999999996</v>
      </c>
      <c r="F31" s="64">
        <f t="shared" si="1"/>
        <v>3199.9999999996476</v>
      </c>
      <c r="G31" s="58">
        <v>5.1528</v>
      </c>
      <c r="H31" s="64">
        <f t="shared" si="2"/>
        <v>3099.9999999998809</v>
      </c>
      <c r="I31" s="58">
        <v>2.5434000000000001</v>
      </c>
      <c r="J31" s="64">
        <f t="shared" si="3"/>
        <v>1800.0000000002458</v>
      </c>
      <c r="K31" s="58">
        <v>3.9047999999999998</v>
      </c>
      <c r="L31" s="64">
        <f t="shared" si="48"/>
        <v>2299.9999999999686</v>
      </c>
      <c r="M31" s="58">
        <v>2.3628</v>
      </c>
      <c r="N31" s="64">
        <f t="shared" si="49"/>
        <v>1700.0000000000348</v>
      </c>
      <c r="O31" s="58">
        <v>28591</v>
      </c>
      <c r="P31" s="67">
        <f t="shared" si="6"/>
        <v>41</v>
      </c>
      <c r="Q31" s="58">
        <v>3567</v>
      </c>
      <c r="R31" s="67">
        <f t="shared" si="7"/>
        <v>6</v>
      </c>
      <c r="S31" s="58">
        <v>1673</v>
      </c>
      <c r="T31" s="67">
        <f t="shared" si="8"/>
        <v>799.99999999995453</v>
      </c>
      <c r="U31" s="58">
        <v>660156.4</v>
      </c>
      <c r="V31" s="67">
        <f t="shared" si="9"/>
        <v>353.40000000002328</v>
      </c>
      <c r="W31" s="58">
        <v>594.88</v>
      </c>
      <c r="X31" s="65">
        <f t="shared" si="10"/>
        <v>409.99999999996817</v>
      </c>
      <c r="Y31" s="58">
        <v>4.5224000000000002</v>
      </c>
      <c r="Z31" s="65">
        <f t="shared" si="11"/>
        <v>2800.0000000005798</v>
      </c>
      <c r="AA31" s="58">
        <v>601.79</v>
      </c>
      <c r="AB31" s="65">
        <f t="shared" si="12"/>
        <v>269.99999999998181</v>
      </c>
      <c r="AC31" s="58">
        <v>606.76</v>
      </c>
      <c r="AD31" s="65">
        <f t="shared" si="13"/>
        <v>340.00000000003183</v>
      </c>
      <c r="AE31" s="58">
        <v>969.97</v>
      </c>
      <c r="AF31" s="65">
        <f t="shared" si="14"/>
        <v>920.00000000007276</v>
      </c>
      <c r="AG31" s="58">
        <v>26864</v>
      </c>
      <c r="AH31" s="67">
        <f t="shared" si="15"/>
        <v>38</v>
      </c>
      <c r="AI31" s="58">
        <v>1.034</v>
      </c>
      <c r="AJ31" s="65">
        <f t="shared" si="16"/>
        <v>699.99999999992292</v>
      </c>
      <c r="AK31" s="58">
        <v>341.97</v>
      </c>
      <c r="AL31" s="65">
        <f t="shared" si="17"/>
        <v>230.00000000001819</v>
      </c>
      <c r="AM31" s="58">
        <v>312.45</v>
      </c>
      <c r="AN31" s="65">
        <f t="shared" si="18"/>
        <v>170.00000000001592</v>
      </c>
      <c r="AO31" s="58">
        <v>304.02</v>
      </c>
      <c r="AP31" s="65">
        <f t="shared" si="19"/>
        <v>199.99999999998863</v>
      </c>
      <c r="AQ31" s="58">
        <v>356.57</v>
      </c>
      <c r="AR31" s="65">
        <f t="shared" si="20"/>
        <v>219.99999999997044</v>
      </c>
      <c r="AS31" s="58">
        <v>482.86</v>
      </c>
      <c r="AT31" s="65">
        <f t="shared" si="21"/>
        <v>210.00000000003638</v>
      </c>
      <c r="AU31" s="58">
        <v>386.96</v>
      </c>
      <c r="AV31" s="65">
        <f t="shared" si="22"/>
        <v>139.99999999998636</v>
      </c>
      <c r="AW31" s="58">
        <v>414.08</v>
      </c>
      <c r="AX31" s="65">
        <f t="shared" si="23"/>
        <v>169.99999999995907</v>
      </c>
      <c r="AY31" s="58">
        <v>449.11</v>
      </c>
      <c r="AZ31" s="65">
        <f t="shared" si="24"/>
        <v>160.00000000002501</v>
      </c>
      <c r="BA31" s="58">
        <v>466.79</v>
      </c>
      <c r="BB31" s="65">
        <f t="shared" si="25"/>
        <v>129.99999999999545</v>
      </c>
      <c r="BC31" s="58">
        <v>299.27</v>
      </c>
      <c r="BD31" s="65">
        <f t="shared" si="26"/>
        <v>79.999999999984084</v>
      </c>
      <c r="BE31" s="59">
        <v>61298</v>
      </c>
      <c r="BF31" s="67">
        <f t="shared" si="27"/>
        <v>40</v>
      </c>
      <c r="BG31" s="60">
        <v>257.86</v>
      </c>
      <c r="BH31" s="65">
        <f t="shared" si="28"/>
        <v>50.000000000011369</v>
      </c>
      <c r="BI31" s="60">
        <v>311.99</v>
      </c>
      <c r="BJ31" s="65">
        <f t="shared" si="29"/>
        <v>50.000000000011369</v>
      </c>
      <c r="BK31" s="60">
        <v>264.42</v>
      </c>
      <c r="BL31" s="65">
        <f t="shared" si="30"/>
        <v>69.999999999993179</v>
      </c>
      <c r="BM31" s="60">
        <v>247.83</v>
      </c>
      <c r="BN31" s="65">
        <f t="shared" si="31"/>
        <v>50.000000000011369</v>
      </c>
      <c r="BO31" s="60">
        <v>316.24</v>
      </c>
      <c r="BP31" s="65">
        <f t="shared" si="32"/>
        <v>40.000000000020464</v>
      </c>
      <c r="BQ31" s="60">
        <v>66205</v>
      </c>
      <c r="BR31" s="65">
        <f t="shared" si="33"/>
        <v>51</v>
      </c>
      <c r="BS31" s="60">
        <v>226</v>
      </c>
      <c r="BT31" s="65">
        <f t="shared" si="34"/>
        <v>60.000000000002274</v>
      </c>
      <c r="BU31" s="60">
        <v>63618</v>
      </c>
      <c r="BV31" s="65">
        <f t="shared" si="35"/>
        <v>43</v>
      </c>
      <c r="BW31" s="60">
        <v>254.1</v>
      </c>
      <c r="BX31" s="65">
        <f t="shared" si="36"/>
        <v>60.000000000002274</v>
      </c>
      <c r="BY31" s="60">
        <v>85392</v>
      </c>
      <c r="BZ31" s="67">
        <f t="shared" si="37"/>
        <v>58</v>
      </c>
      <c r="CA31" s="60">
        <v>62790.400000000001</v>
      </c>
      <c r="CB31" s="67">
        <f t="shared" si="38"/>
        <v>86.900000000001455</v>
      </c>
      <c r="CC31" s="60">
        <v>18786.099999999999</v>
      </c>
      <c r="CD31" s="67">
        <f t="shared" si="39"/>
        <v>7.5</v>
      </c>
      <c r="CE31" s="60">
        <v>9061.7999999999993</v>
      </c>
      <c r="CF31" s="67">
        <f t="shared" si="40"/>
        <v>3.8999999999996362</v>
      </c>
      <c r="CG31" s="60">
        <v>86665.7</v>
      </c>
      <c r="CH31" s="67">
        <f t="shared" si="41"/>
        <v>37.5</v>
      </c>
      <c r="CI31" s="60">
        <v>1123044</v>
      </c>
      <c r="CJ31" s="67">
        <f t="shared" si="42"/>
        <v>335</v>
      </c>
      <c r="CK31" s="60">
        <v>1226.0999999999999</v>
      </c>
      <c r="CL31" s="64">
        <f t="shared" si="43"/>
        <v>599.99999999990905</v>
      </c>
      <c r="CM31" s="65">
        <f t="shared" si="50"/>
        <v>99.299999999999272</v>
      </c>
      <c r="CN31" s="62">
        <v>10</v>
      </c>
      <c r="CO31" s="62">
        <v>19</v>
      </c>
      <c r="CP31" s="68">
        <v>53425</v>
      </c>
      <c r="CQ31" s="67">
        <f t="shared" si="51"/>
        <v>84</v>
      </c>
      <c r="CR31" s="68">
        <v>27858.5</v>
      </c>
      <c r="CS31" s="67">
        <f t="shared" si="44"/>
        <v>15.299999999999272</v>
      </c>
      <c r="CT31" s="75">
        <v>13142</v>
      </c>
      <c r="CU31" s="67">
        <f t="shared" si="45"/>
        <v>16</v>
      </c>
      <c r="CV31" s="68">
        <v>31909</v>
      </c>
      <c r="CW31" s="67">
        <f t="shared" si="46"/>
        <v>48</v>
      </c>
      <c r="CX31" s="58">
        <v>5901.7</v>
      </c>
      <c r="CY31" s="67">
        <f t="shared" si="47"/>
        <v>12.800000000000182</v>
      </c>
    </row>
    <row r="32" spans="1:103" ht="25.5" customHeight="1" thickBot="1" x14ac:dyDescent="0.45">
      <c r="A32" s="63">
        <v>44955</v>
      </c>
      <c r="B32" s="68"/>
      <c r="C32" s="58">
        <v>3.8738000000000001</v>
      </c>
      <c r="D32" s="64">
        <f t="shared" si="0"/>
        <v>1800.0000000002458</v>
      </c>
      <c r="E32" s="58">
        <v>5.1291000000000002</v>
      </c>
      <c r="F32" s="64">
        <f t="shared" si="1"/>
        <v>2800.0000000005798</v>
      </c>
      <c r="G32" s="58">
        <v>5.1557000000000004</v>
      </c>
      <c r="H32" s="64">
        <f t="shared" si="2"/>
        <v>2900.0000000003465</v>
      </c>
      <c r="I32" s="58">
        <v>2.5448</v>
      </c>
      <c r="J32" s="64">
        <f t="shared" si="3"/>
        <v>1399.9999999998458</v>
      </c>
      <c r="K32" s="58">
        <v>3.9066999999999998</v>
      </c>
      <c r="L32" s="64">
        <f t="shared" si="48"/>
        <v>1900.0000000000127</v>
      </c>
      <c r="M32" s="58">
        <v>2.3639000000000001</v>
      </c>
      <c r="N32" s="64">
        <f t="shared" si="49"/>
        <v>1100.000000000101</v>
      </c>
      <c r="O32" s="58">
        <v>28610</v>
      </c>
      <c r="P32" s="67">
        <f t="shared" si="6"/>
        <v>19</v>
      </c>
      <c r="Q32" s="58">
        <v>3570</v>
      </c>
      <c r="R32" s="67">
        <f t="shared" si="7"/>
        <v>3</v>
      </c>
      <c r="S32" s="58">
        <v>1673.9</v>
      </c>
      <c r="T32" s="67">
        <f t="shared" si="8"/>
        <v>900.00000000009095</v>
      </c>
      <c r="U32" s="58">
        <v>660485</v>
      </c>
      <c r="V32" s="67">
        <f t="shared" si="9"/>
        <v>328.59999999997672</v>
      </c>
      <c r="W32" s="58">
        <v>595.1</v>
      </c>
      <c r="X32" s="65">
        <f t="shared" si="10"/>
        <v>220.00000000002728</v>
      </c>
      <c r="Y32" s="58">
        <v>4.5248999999999997</v>
      </c>
      <c r="Z32" s="65">
        <f t="shared" si="11"/>
        <v>2499.9999999995025</v>
      </c>
      <c r="AA32" s="58">
        <v>601.98</v>
      </c>
      <c r="AB32" s="65">
        <f t="shared" si="12"/>
        <v>190.00000000005457</v>
      </c>
      <c r="AC32" s="58">
        <v>606.99</v>
      </c>
      <c r="AD32" s="65">
        <f t="shared" si="13"/>
        <v>230.00000000001819</v>
      </c>
      <c r="AE32" s="58">
        <v>970.47</v>
      </c>
      <c r="AF32" s="65">
        <f t="shared" si="14"/>
        <v>500</v>
      </c>
      <c r="AG32" s="58">
        <v>26892</v>
      </c>
      <c r="AH32" s="67">
        <f t="shared" si="15"/>
        <v>28</v>
      </c>
      <c r="AI32" s="58">
        <v>1.0344</v>
      </c>
      <c r="AJ32" s="65">
        <f t="shared" si="16"/>
        <v>399.99999999995595</v>
      </c>
      <c r="AK32" s="58">
        <v>342.09</v>
      </c>
      <c r="AL32" s="65">
        <f t="shared" si="17"/>
        <v>119.9999999999477</v>
      </c>
      <c r="AM32" s="58">
        <v>312.55</v>
      </c>
      <c r="AN32" s="65">
        <f t="shared" si="18"/>
        <v>100.00000000002274</v>
      </c>
      <c r="AO32" s="58">
        <v>304.10000000000002</v>
      </c>
      <c r="AP32" s="65">
        <f t="shared" si="19"/>
        <v>80.000000000040927</v>
      </c>
      <c r="AQ32" s="58">
        <v>356.7</v>
      </c>
      <c r="AR32" s="65">
        <f t="shared" si="20"/>
        <v>129.99999999999545</v>
      </c>
      <c r="AS32" s="58">
        <v>483.01</v>
      </c>
      <c r="AT32" s="65">
        <f t="shared" si="21"/>
        <v>149.99999999997726</v>
      </c>
      <c r="AU32" s="58">
        <v>387.03</v>
      </c>
      <c r="AV32" s="65">
        <f t="shared" si="22"/>
        <v>69.999999999993179</v>
      </c>
      <c r="AW32" s="58">
        <v>414.17</v>
      </c>
      <c r="AX32" s="65">
        <f t="shared" si="23"/>
        <v>90.000000000031832</v>
      </c>
      <c r="AY32" s="58">
        <v>449.21</v>
      </c>
      <c r="AZ32" s="65">
        <f t="shared" si="24"/>
        <v>99.999999999965894</v>
      </c>
      <c r="BA32" s="58">
        <v>466.87</v>
      </c>
      <c r="BB32" s="65">
        <f t="shared" si="25"/>
        <v>79.999999999984084</v>
      </c>
      <c r="BC32" s="58">
        <v>299.32</v>
      </c>
      <c r="BD32" s="65">
        <f t="shared" si="26"/>
        <v>50.000000000011369</v>
      </c>
      <c r="BE32" s="59">
        <v>61339</v>
      </c>
      <c r="BF32" s="67">
        <f t="shared" si="27"/>
        <v>41</v>
      </c>
      <c r="BG32" s="60">
        <v>257.89999999999998</v>
      </c>
      <c r="BH32" s="65">
        <f t="shared" si="28"/>
        <v>39.99999999996362</v>
      </c>
      <c r="BI32" s="60">
        <v>312.02999999999997</v>
      </c>
      <c r="BJ32" s="65">
        <f t="shared" si="29"/>
        <v>39.99999999996362</v>
      </c>
      <c r="BK32" s="60">
        <v>264.47000000000003</v>
      </c>
      <c r="BL32" s="65">
        <f t="shared" si="30"/>
        <v>50.000000000011369</v>
      </c>
      <c r="BM32" s="60">
        <v>247.87</v>
      </c>
      <c r="BN32" s="65">
        <f t="shared" si="31"/>
        <v>39.999999999992042</v>
      </c>
      <c r="BO32" s="60">
        <v>316.27</v>
      </c>
      <c r="BP32" s="65">
        <f t="shared" si="32"/>
        <v>29.999999999972715</v>
      </c>
      <c r="BQ32" s="60">
        <v>66240</v>
      </c>
      <c r="BR32" s="65">
        <f t="shared" si="33"/>
        <v>35</v>
      </c>
      <c r="BS32" s="60">
        <v>226.03</v>
      </c>
      <c r="BT32" s="65">
        <f t="shared" si="34"/>
        <v>30.000000000001137</v>
      </c>
      <c r="BU32" s="60">
        <v>63652</v>
      </c>
      <c r="BV32" s="65">
        <f t="shared" si="35"/>
        <v>34</v>
      </c>
      <c r="BW32" s="60">
        <v>254.14</v>
      </c>
      <c r="BX32" s="65">
        <f t="shared" si="36"/>
        <v>39.999999999992042</v>
      </c>
      <c r="BY32" s="60">
        <v>85440</v>
      </c>
      <c r="BZ32" s="67">
        <f t="shared" si="37"/>
        <v>48</v>
      </c>
      <c r="CA32" s="60">
        <v>62879.1</v>
      </c>
      <c r="CB32" s="67">
        <f t="shared" si="38"/>
        <v>88.69999999999709</v>
      </c>
      <c r="CC32" s="60">
        <v>18793.5</v>
      </c>
      <c r="CD32" s="67">
        <f t="shared" si="39"/>
        <v>7.4000000000014552</v>
      </c>
      <c r="CE32" s="60">
        <v>9063.2000000000007</v>
      </c>
      <c r="CF32" s="67">
        <f t="shared" si="40"/>
        <v>1.4000000000014552</v>
      </c>
      <c r="CG32" s="60">
        <v>86698</v>
      </c>
      <c r="CH32" s="67">
        <f t="shared" si="41"/>
        <v>32.30000000000291</v>
      </c>
      <c r="CI32" s="60">
        <v>1123365</v>
      </c>
      <c r="CJ32" s="67">
        <f t="shared" si="42"/>
        <v>321</v>
      </c>
      <c r="CK32" s="60">
        <v>1227</v>
      </c>
      <c r="CL32" s="64">
        <f t="shared" si="43"/>
        <v>900.00000000009095</v>
      </c>
      <c r="CM32" s="65">
        <f t="shared" si="50"/>
        <v>98.099999999998545</v>
      </c>
      <c r="CN32" s="62">
        <v>10</v>
      </c>
      <c r="CO32" s="62">
        <v>19</v>
      </c>
      <c r="CP32" s="68">
        <v>53504</v>
      </c>
      <c r="CQ32" s="67">
        <f t="shared" si="51"/>
        <v>79</v>
      </c>
      <c r="CR32" s="68">
        <v>27877.599999999999</v>
      </c>
      <c r="CS32" s="67">
        <f t="shared" si="44"/>
        <v>19.099999999998545</v>
      </c>
      <c r="CT32" s="75">
        <v>13157</v>
      </c>
      <c r="CU32" s="67">
        <f t="shared" si="45"/>
        <v>15</v>
      </c>
      <c r="CV32" s="68">
        <v>31933</v>
      </c>
      <c r="CW32" s="67">
        <f t="shared" si="46"/>
        <v>24</v>
      </c>
      <c r="CX32" s="58">
        <v>5906</v>
      </c>
      <c r="CY32" s="67">
        <f t="shared" si="47"/>
        <v>4.3000000000001819</v>
      </c>
    </row>
    <row r="33" spans="1:103" ht="25.5" customHeight="1" thickBot="1" x14ac:dyDescent="0.45">
      <c r="A33" s="63">
        <v>44956</v>
      </c>
      <c r="B33" s="68"/>
      <c r="C33" s="58">
        <v>3.8748999999999998</v>
      </c>
      <c r="D33" s="64">
        <f t="shared" si="0"/>
        <v>1099.9999999996569</v>
      </c>
      <c r="E33" s="58">
        <v>5.1317000000000004</v>
      </c>
      <c r="F33" s="64">
        <f t="shared" si="1"/>
        <v>2600.0000000001578</v>
      </c>
      <c r="G33" s="58">
        <v>5.1585000000000001</v>
      </c>
      <c r="H33" s="64">
        <f t="shared" si="2"/>
        <v>2799.9999999996917</v>
      </c>
      <c r="I33" s="58">
        <v>2.5461999999999998</v>
      </c>
      <c r="J33" s="64">
        <f t="shared" si="3"/>
        <v>1399.9999999998458</v>
      </c>
      <c r="K33" s="58">
        <v>3.9087000000000001</v>
      </c>
      <c r="L33" s="64">
        <f t="shared" si="48"/>
        <v>2000.0000000002237</v>
      </c>
      <c r="M33" s="58">
        <v>2.3650000000000002</v>
      </c>
      <c r="N33" s="64">
        <f t="shared" si="49"/>
        <v>1100.000000000101</v>
      </c>
      <c r="O33" s="58">
        <v>28627</v>
      </c>
      <c r="P33" s="67">
        <f t="shared" si="6"/>
        <v>17</v>
      </c>
      <c r="Q33" s="58">
        <v>3573</v>
      </c>
      <c r="R33" s="67">
        <f t="shared" si="7"/>
        <v>3</v>
      </c>
      <c r="S33" s="58">
        <v>1674.8</v>
      </c>
      <c r="T33" s="67">
        <f t="shared" si="8"/>
        <v>899.99999999986358</v>
      </c>
      <c r="U33" s="58">
        <v>660770.9</v>
      </c>
      <c r="V33" s="67">
        <f t="shared" si="9"/>
        <v>285.90000000002328</v>
      </c>
      <c r="W33" s="58">
        <v>595.30999999999995</v>
      </c>
      <c r="X33" s="65">
        <f t="shared" si="10"/>
        <v>209.99999999992269</v>
      </c>
      <c r="Y33" s="58">
        <v>4.5271999999999997</v>
      </c>
      <c r="Z33" s="65">
        <f t="shared" si="11"/>
        <v>2299.9999999999686</v>
      </c>
      <c r="AA33" s="58">
        <v>602.34</v>
      </c>
      <c r="AB33" s="65">
        <f t="shared" si="12"/>
        <v>360.00000000001364</v>
      </c>
      <c r="AC33" s="58">
        <v>607.21</v>
      </c>
      <c r="AD33" s="65">
        <f t="shared" si="13"/>
        <v>220.00000000002728</v>
      </c>
      <c r="AE33" s="58">
        <v>970.88</v>
      </c>
      <c r="AF33" s="65">
        <f t="shared" si="14"/>
        <v>409.99999999996817</v>
      </c>
      <c r="AG33" s="58">
        <v>26920</v>
      </c>
      <c r="AH33" s="67">
        <f t="shared" si="15"/>
        <v>28</v>
      </c>
      <c r="AI33" s="58">
        <v>1.0347999999999999</v>
      </c>
      <c r="AJ33" s="65">
        <f t="shared" si="16"/>
        <v>399.99999999995595</v>
      </c>
      <c r="AK33" s="58">
        <v>342.16</v>
      </c>
      <c r="AL33" s="65">
        <f t="shared" si="17"/>
        <v>70.000000000050022</v>
      </c>
      <c r="AM33" s="58">
        <v>312.64</v>
      </c>
      <c r="AN33" s="65">
        <f t="shared" si="18"/>
        <v>89.999999999974989</v>
      </c>
      <c r="AO33" s="58">
        <v>304.16000000000003</v>
      </c>
      <c r="AP33" s="65">
        <f t="shared" si="19"/>
        <v>60.000000000002274</v>
      </c>
      <c r="AQ33" s="58">
        <v>356.77</v>
      </c>
      <c r="AR33" s="65">
        <f t="shared" si="20"/>
        <v>69.999999999993179</v>
      </c>
      <c r="AS33" s="58">
        <v>483.07</v>
      </c>
      <c r="AT33" s="65">
        <f t="shared" si="21"/>
        <v>60.000000000002274</v>
      </c>
      <c r="AU33" s="58">
        <v>387.08</v>
      </c>
      <c r="AV33" s="65">
        <f t="shared" si="22"/>
        <v>50.000000000011369</v>
      </c>
      <c r="AW33" s="58">
        <v>414.22</v>
      </c>
      <c r="AX33" s="65">
        <f t="shared" si="23"/>
        <v>50.000000000011369</v>
      </c>
      <c r="AY33" s="58">
        <v>449.26</v>
      </c>
      <c r="AZ33" s="65">
        <f t="shared" si="24"/>
        <v>50.000000000011369</v>
      </c>
      <c r="BA33" s="58">
        <v>466.93</v>
      </c>
      <c r="BB33" s="65">
        <f t="shared" si="25"/>
        <v>60.000000000002274</v>
      </c>
      <c r="BC33" s="58">
        <v>299.36</v>
      </c>
      <c r="BD33" s="65">
        <f t="shared" si="26"/>
        <v>40.000000000020464</v>
      </c>
      <c r="BE33" s="59">
        <v>61389</v>
      </c>
      <c r="BF33" s="67">
        <f t="shared" si="27"/>
        <v>50</v>
      </c>
      <c r="BG33" s="60">
        <v>257.93</v>
      </c>
      <c r="BH33" s="65">
        <f t="shared" si="28"/>
        <v>30.000000000029559</v>
      </c>
      <c r="BI33" s="60">
        <v>312.06</v>
      </c>
      <c r="BJ33" s="65">
        <f t="shared" si="29"/>
        <v>30.000000000029559</v>
      </c>
      <c r="BK33" s="60">
        <v>264.52</v>
      </c>
      <c r="BL33" s="65">
        <f t="shared" si="30"/>
        <v>49.999999999954525</v>
      </c>
      <c r="BM33" s="60">
        <v>247.9</v>
      </c>
      <c r="BN33" s="65">
        <f t="shared" si="31"/>
        <v>30.000000000001137</v>
      </c>
      <c r="BO33" s="60">
        <v>316.29000000000002</v>
      </c>
      <c r="BP33" s="65">
        <f t="shared" si="32"/>
        <v>20.000000000038654</v>
      </c>
      <c r="BQ33" s="60">
        <v>66279</v>
      </c>
      <c r="BR33" s="65">
        <f t="shared" si="33"/>
        <v>39</v>
      </c>
      <c r="BS33" s="60">
        <v>226.07</v>
      </c>
      <c r="BT33" s="65">
        <f t="shared" si="34"/>
        <v>39.999999999992042</v>
      </c>
      <c r="BU33" s="60">
        <v>63682</v>
      </c>
      <c r="BV33" s="65">
        <f t="shared" si="35"/>
        <v>30</v>
      </c>
      <c r="BW33" s="60">
        <v>254.18</v>
      </c>
      <c r="BX33" s="65">
        <f t="shared" si="36"/>
        <v>40.000000000020464</v>
      </c>
      <c r="BY33" s="60">
        <v>85489</v>
      </c>
      <c r="BZ33" s="67">
        <f t="shared" si="37"/>
        <v>49</v>
      </c>
      <c r="CA33" s="60">
        <v>62959.4</v>
      </c>
      <c r="CB33" s="67">
        <f t="shared" si="38"/>
        <v>80.30000000000291</v>
      </c>
      <c r="CC33" s="60">
        <v>18799.099999999999</v>
      </c>
      <c r="CD33" s="67">
        <f t="shared" si="39"/>
        <v>5.5999999999985448</v>
      </c>
      <c r="CE33" s="60">
        <v>9064.9</v>
      </c>
      <c r="CF33" s="67">
        <f t="shared" si="40"/>
        <v>1.6999999999989086</v>
      </c>
      <c r="CG33" s="60">
        <v>86743</v>
      </c>
      <c r="CH33" s="67">
        <f t="shared" si="41"/>
        <v>45</v>
      </c>
      <c r="CI33" s="60">
        <v>1123668</v>
      </c>
      <c r="CJ33" s="67">
        <f t="shared" si="42"/>
        <v>303</v>
      </c>
      <c r="CK33" s="60">
        <v>1227.8</v>
      </c>
      <c r="CL33" s="64">
        <f t="shared" si="43"/>
        <v>799.99999999995453</v>
      </c>
      <c r="CM33" s="65">
        <f t="shared" si="50"/>
        <v>81.400000000001455</v>
      </c>
      <c r="CN33" s="62">
        <v>10</v>
      </c>
      <c r="CO33" s="62">
        <v>19</v>
      </c>
      <c r="CP33" s="68">
        <v>53572</v>
      </c>
      <c r="CQ33" s="67">
        <f t="shared" si="51"/>
        <v>68</v>
      </c>
      <c r="CR33" s="68">
        <v>27891</v>
      </c>
      <c r="CS33" s="67">
        <f t="shared" si="44"/>
        <v>13.400000000001455</v>
      </c>
      <c r="CT33" s="75">
        <v>13175</v>
      </c>
      <c r="CU33" s="67">
        <f t="shared" si="45"/>
        <v>18</v>
      </c>
      <c r="CV33" s="68">
        <v>31955</v>
      </c>
      <c r="CW33" s="67">
        <f t="shared" si="46"/>
        <v>22</v>
      </c>
      <c r="CX33" s="58">
        <v>5911.8</v>
      </c>
      <c r="CY33" s="67">
        <f t="shared" si="47"/>
        <v>5.8000000000001819</v>
      </c>
    </row>
    <row r="34" spans="1:103" ht="25.5" customHeight="1" thickBot="1" x14ac:dyDescent="0.45">
      <c r="A34" s="63">
        <v>44957</v>
      </c>
      <c r="B34" s="68"/>
      <c r="C34" s="58">
        <v>3.8759000000000001</v>
      </c>
      <c r="D34" s="64">
        <f t="shared" si="0"/>
        <v>1000.000000000334</v>
      </c>
      <c r="E34" s="58">
        <v>5.1344000000000003</v>
      </c>
      <c r="F34" s="64">
        <f t="shared" si="1"/>
        <v>2699.9999999999245</v>
      </c>
      <c r="G34" s="58">
        <v>5.1615000000000002</v>
      </c>
      <c r="H34" s="64">
        <f t="shared" si="2"/>
        <v>3000.0000000001137</v>
      </c>
      <c r="I34" s="58">
        <v>2.5478000000000001</v>
      </c>
      <c r="J34" s="64">
        <f t="shared" si="3"/>
        <v>1600.0000000002678</v>
      </c>
      <c r="K34" s="58">
        <v>3.9106999999999998</v>
      </c>
      <c r="L34" s="64">
        <f t="shared" si="48"/>
        <v>1999.9999999997797</v>
      </c>
      <c r="M34" s="58">
        <v>2.3660999999999999</v>
      </c>
      <c r="N34" s="64">
        <f t="shared" si="49"/>
        <v>1099.9999999996569</v>
      </c>
      <c r="O34" s="58">
        <v>28663</v>
      </c>
      <c r="P34" s="67">
        <f t="shared" si="6"/>
        <v>36</v>
      </c>
      <c r="Q34" s="58">
        <v>3578</v>
      </c>
      <c r="R34" s="67">
        <f t="shared" si="7"/>
        <v>5</v>
      </c>
      <c r="S34" s="58">
        <v>1675.8</v>
      </c>
      <c r="T34" s="67">
        <f t="shared" si="8"/>
        <v>1000</v>
      </c>
      <c r="U34" s="58">
        <v>661256</v>
      </c>
      <c r="V34" s="67">
        <f t="shared" si="9"/>
        <v>485.09999999997672</v>
      </c>
      <c r="W34" s="58">
        <v>595.58000000000004</v>
      </c>
      <c r="X34" s="65">
        <f t="shared" si="10"/>
        <v>270.0000000000955</v>
      </c>
      <c r="Y34" s="58">
        <v>4.5297000000000001</v>
      </c>
      <c r="Z34" s="65">
        <f t="shared" si="11"/>
        <v>2500.0000000003906</v>
      </c>
      <c r="AA34" s="58">
        <v>602.54999999999995</v>
      </c>
      <c r="AB34" s="65">
        <f t="shared" si="12"/>
        <v>209.99999999992269</v>
      </c>
      <c r="AC34" s="58">
        <v>607.54</v>
      </c>
      <c r="AD34" s="65">
        <f t="shared" si="13"/>
        <v>329.99999999992724</v>
      </c>
      <c r="AE34" s="58">
        <v>971.31</v>
      </c>
      <c r="AF34" s="65">
        <f t="shared" si="14"/>
        <v>429.99999999994998</v>
      </c>
      <c r="AG34" s="58">
        <v>26953</v>
      </c>
      <c r="AH34" s="67">
        <f t="shared" si="15"/>
        <v>33</v>
      </c>
      <c r="AI34" s="58">
        <v>1.0350999999999999</v>
      </c>
      <c r="AJ34" s="65">
        <f t="shared" si="16"/>
        <v>299.99999999996697</v>
      </c>
      <c r="AK34" s="58">
        <v>342.21</v>
      </c>
      <c r="AL34" s="65">
        <f t="shared" si="17"/>
        <v>49.999999999954525</v>
      </c>
      <c r="AM34" s="58">
        <v>312.70999999999998</v>
      </c>
      <c r="AN34" s="65">
        <f t="shared" si="18"/>
        <v>69.999999999993179</v>
      </c>
      <c r="AO34" s="58">
        <v>304.2</v>
      </c>
      <c r="AP34" s="65">
        <f t="shared" si="19"/>
        <v>39.99999999996362</v>
      </c>
      <c r="AQ34" s="58">
        <v>356.81</v>
      </c>
      <c r="AR34" s="65">
        <f t="shared" si="20"/>
        <v>40.000000000020464</v>
      </c>
      <c r="AS34" s="58">
        <v>483.15</v>
      </c>
      <c r="AT34" s="65">
        <f t="shared" si="21"/>
        <v>79.999999999984084</v>
      </c>
      <c r="AU34" s="58">
        <v>387.11</v>
      </c>
      <c r="AV34" s="65">
        <f t="shared" si="22"/>
        <v>30.000000000029559</v>
      </c>
      <c r="AW34" s="58">
        <v>414.26</v>
      </c>
      <c r="AX34" s="65">
        <f t="shared" si="23"/>
        <v>39.99999999996362</v>
      </c>
      <c r="AY34" s="58">
        <v>449.3</v>
      </c>
      <c r="AZ34" s="65">
        <f t="shared" si="24"/>
        <v>40.000000000020464</v>
      </c>
      <c r="BA34" s="58">
        <v>466.96</v>
      </c>
      <c r="BB34" s="65">
        <f t="shared" si="25"/>
        <v>29.999999999972715</v>
      </c>
      <c r="BC34" s="58">
        <v>299.39999999999998</v>
      </c>
      <c r="BD34" s="65">
        <f t="shared" si="26"/>
        <v>39.99999999996362</v>
      </c>
      <c r="BE34" s="59">
        <v>61429</v>
      </c>
      <c r="BF34" s="67">
        <f t="shared" si="27"/>
        <v>40</v>
      </c>
      <c r="BG34" s="60">
        <v>257.98</v>
      </c>
      <c r="BH34" s="65">
        <f t="shared" si="28"/>
        <v>50.000000000011369</v>
      </c>
      <c r="BI34" s="60">
        <v>312.11</v>
      </c>
      <c r="BJ34" s="65">
        <f t="shared" si="29"/>
        <v>50.000000000011369</v>
      </c>
      <c r="BK34" s="60">
        <v>264.58</v>
      </c>
      <c r="BL34" s="65">
        <f t="shared" si="30"/>
        <v>60.000000000002274</v>
      </c>
      <c r="BM34" s="60">
        <v>247.95</v>
      </c>
      <c r="BN34" s="65">
        <f t="shared" si="31"/>
        <v>49.999999999982947</v>
      </c>
      <c r="BO34" s="60">
        <v>316.33</v>
      </c>
      <c r="BP34" s="65">
        <f t="shared" si="32"/>
        <v>39.99999999996362</v>
      </c>
      <c r="BQ34" s="60">
        <v>66329</v>
      </c>
      <c r="BR34" s="65">
        <f t="shared" si="33"/>
        <v>50</v>
      </c>
      <c r="BS34" s="60">
        <v>226.11</v>
      </c>
      <c r="BT34" s="65">
        <f t="shared" si="34"/>
        <v>40.000000000020464</v>
      </c>
      <c r="BU34" s="60">
        <v>63721</v>
      </c>
      <c r="BV34" s="65">
        <f t="shared" si="35"/>
        <v>39</v>
      </c>
      <c r="BW34" s="60">
        <v>254.23</v>
      </c>
      <c r="BX34" s="65">
        <f t="shared" si="36"/>
        <v>49.999999999982947</v>
      </c>
      <c r="BY34" s="60">
        <v>85540</v>
      </c>
      <c r="BZ34" s="67">
        <f t="shared" si="37"/>
        <v>51</v>
      </c>
      <c r="CA34" s="60">
        <v>63042</v>
      </c>
      <c r="CB34" s="67">
        <f t="shared" si="38"/>
        <v>82.599999999998545</v>
      </c>
      <c r="CC34" s="60">
        <v>18807</v>
      </c>
      <c r="CD34" s="67">
        <f t="shared" si="39"/>
        <v>7.9000000000014552</v>
      </c>
      <c r="CE34" s="60">
        <v>9069.4</v>
      </c>
      <c r="CF34" s="67">
        <f t="shared" si="40"/>
        <v>4.5</v>
      </c>
      <c r="CG34" s="60">
        <v>86788</v>
      </c>
      <c r="CH34" s="67">
        <f t="shared" si="41"/>
        <v>45</v>
      </c>
      <c r="CI34" s="60">
        <v>1123998</v>
      </c>
      <c r="CJ34" s="67">
        <f t="shared" si="42"/>
        <v>330</v>
      </c>
      <c r="CK34" s="60">
        <v>1228.4000000000001</v>
      </c>
      <c r="CL34" s="64">
        <f t="shared" si="43"/>
        <v>600.00000000013642</v>
      </c>
      <c r="CM34" s="65">
        <f t="shared" si="50"/>
        <v>79.200000000000728</v>
      </c>
      <c r="CN34" s="62">
        <v>10</v>
      </c>
      <c r="CO34" s="62">
        <v>18</v>
      </c>
      <c r="CP34" s="68">
        <v>53636</v>
      </c>
      <c r="CQ34" s="67">
        <f t="shared" si="51"/>
        <v>64</v>
      </c>
      <c r="CR34" s="68">
        <v>27906.2</v>
      </c>
      <c r="CS34" s="67">
        <f t="shared" si="44"/>
        <v>15.200000000000728</v>
      </c>
      <c r="CT34" s="75">
        <v>13190</v>
      </c>
      <c r="CU34" s="67">
        <f t="shared" si="45"/>
        <v>15</v>
      </c>
      <c r="CV34" s="68">
        <v>31987</v>
      </c>
      <c r="CW34" s="67">
        <f t="shared" si="46"/>
        <v>32</v>
      </c>
      <c r="CX34" s="58">
        <v>5922.7</v>
      </c>
      <c r="CY34" s="67">
        <f t="shared" si="47"/>
        <v>10.899999999999636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SUM(CY4:CY34)</f>
        <v>340.59999999999945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>
        <v>0</v>
      </c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C38" sqref="C38:S3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>
        <v>24</v>
      </c>
      <c r="D22" s="40">
        <v>64</v>
      </c>
      <c r="E22" s="41">
        <v>85</v>
      </c>
      <c r="F22" s="41">
        <v>6834</v>
      </c>
      <c r="G22" s="41">
        <v>30</v>
      </c>
      <c r="H22" s="41">
        <v>1308</v>
      </c>
      <c r="I22" s="41">
        <v>0</v>
      </c>
      <c r="J22" s="41">
        <v>2212</v>
      </c>
      <c r="K22" s="42">
        <v>85</v>
      </c>
      <c r="L22" s="42">
        <v>65</v>
      </c>
      <c r="M22" s="42">
        <v>1914</v>
      </c>
      <c r="N22" s="39">
        <v>85</v>
      </c>
      <c r="O22" s="39">
        <v>55</v>
      </c>
      <c r="P22" s="39">
        <v>85</v>
      </c>
      <c r="Q22" s="39">
        <v>5759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44942</v>
      </c>
      <c r="B23" s="40"/>
      <c r="C23" s="40">
        <v>17</v>
      </c>
      <c r="D23" s="40">
        <v>42</v>
      </c>
      <c r="E23" s="41">
        <v>85</v>
      </c>
      <c r="F23" s="41">
        <v>6834</v>
      </c>
      <c r="G23" s="41">
        <v>20</v>
      </c>
      <c r="H23" s="41">
        <v>1311</v>
      </c>
      <c r="I23" s="41">
        <v>0</v>
      </c>
      <c r="J23" s="41">
        <v>2212</v>
      </c>
      <c r="K23" s="42">
        <v>85</v>
      </c>
      <c r="L23" s="42">
        <v>65</v>
      </c>
      <c r="M23" s="42">
        <v>1914</v>
      </c>
      <c r="N23" s="39">
        <v>85</v>
      </c>
      <c r="O23" s="39">
        <v>55</v>
      </c>
      <c r="P23" s="39">
        <v>85</v>
      </c>
      <c r="Q23" s="39">
        <v>5761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44943</v>
      </c>
      <c r="B24" s="40"/>
      <c r="C24" s="40">
        <v>17</v>
      </c>
      <c r="D24" s="40">
        <v>42</v>
      </c>
      <c r="E24" s="41">
        <v>85</v>
      </c>
      <c r="F24" s="41">
        <v>6834</v>
      </c>
      <c r="G24" s="41">
        <v>15</v>
      </c>
      <c r="H24" s="41">
        <v>1314</v>
      </c>
      <c r="I24" s="41">
        <v>0</v>
      </c>
      <c r="J24" s="41">
        <v>2212</v>
      </c>
      <c r="K24" s="42">
        <v>85</v>
      </c>
      <c r="L24" s="42">
        <v>65</v>
      </c>
      <c r="M24" s="42">
        <v>1914</v>
      </c>
      <c r="N24" s="39">
        <v>85</v>
      </c>
      <c r="O24" s="39">
        <v>52</v>
      </c>
      <c r="P24" s="39">
        <v>85</v>
      </c>
      <c r="Q24" s="39">
        <v>5764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44944</v>
      </c>
      <c r="B25" s="40"/>
      <c r="C25" s="40">
        <v>17</v>
      </c>
      <c r="D25" s="40">
        <v>42</v>
      </c>
      <c r="E25" s="41">
        <v>85</v>
      </c>
      <c r="F25" s="41">
        <v>6834</v>
      </c>
      <c r="G25" s="41">
        <v>7</v>
      </c>
      <c r="H25" s="41">
        <v>1316</v>
      </c>
      <c r="I25" s="41">
        <v>0</v>
      </c>
      <c r="J25" s="41">
        <v>2212</v>
      </c>
      <c r="K25" s="42">
        <v>85</v>
      </c>
      <c r="L25" s="42">
        <v>65</v>
      </c>
      <c r="M25" s="42">
        <v>1914</v>
      </c>
      <c r="N25" s="39">
        <v>85</v>
      </c>
      <c r="O25" s="39">
        <v>50</v>
      </c>
      <c r="P25" s="39">
        <v>85</v>
      </c>
      <c r="Q25" s="39">
        <v>5766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44945</v>
      </c>
      <c r="B26" s="40"/>
      <c r="C26" s="40">
        <v>24</v>
      </c>
      <c r="D26" s="40">
        <v>54</v>
      </c>
      <c r="E26" s="41">
        <v>80</v>
      </c>
      <c r="F26" s="41">
        <v>6834</v>
      </c>
      <c r="G26" s="41">
        <v>85</v>
      </c>
      <c r="H26" s="41">
        <v>1319</v>
      </c>
      <c r="I26" s="41">
        <v>80</v>
      </c>
      <c r="J26" s="41">
        <v>2212</v>
      </c>
      <c r="K26" s="42">
        <v>85</v>
      </c>
      <c r="L26" s="42">
        <v>85</v>
      </c>
      <c r="M26" s="42">
        <v>1914</v>
      </c>
      <c r="N26" s="39">
        <v>85</v>
      </c>
      <c r="O26" s="39">
        <v>83</v>
      </c>
      <c r="P26" s="39">
        <v>85</v>
      </c>
      <c r="Q26" s="39">
        <v>5771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44946</v>
      </c>
      <c r="B27" s="40"/>
      <c r="C27" s="40">
        <v>21</v>
      </c>
      <c r="D27" s="40">
        <v>44</v>
      </c>
      <c r="E27" s="41">
        <v>68</v>
      </c>
      <c r="F27" s="41">
        <v>6834</v>
      </c>
      <c r="G27" s="41">
        <v>85</v>
      </c>
      <c r="H27" s="41">
        <v>1323</v>
      </c>
      <c r="I27" s="41">
        <v>80</v>
      </c>
      <c r="J27" s="41">
        <v>2212</v>
      </c>
      <c r="K27" s="42">
        <v>85</v>
      </c>
      <c r="L27" s="42">
        <v>83</v>
      </c>
      <c r="M27" s="42">
        <v>1914</v>
      </c>
      <c r="N27" s="39">
        <v>85</v>
      </c>
      <c r="O27" s="39">
        <v>83</v>
      </c>
      <c r="P27" s="39">
        <v>80</v>
      </c>
      <c r="Q27" s="39">
        <v>5774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44947</v>
      </c>
      <c r="B28" s="40">
        <v>11</v>
      </c>
      <c r="C28" s="40">
        <v>18</v>
      </c>
      <c r="D28" s="40">
        <v>33</v>
      </c>
      <c r="E28" s="41">
        <v>50</v>
      </c>
      <c r="F28" s="41">
        <v>6834</v>
      </c>
      <c r="G28" s="41">
        <v>85</v>
      </c>
      <c r="H28" s="41">
        <v>1327</v>
      </c>
      <c r="I28" s="41">
        <v>80</v>
      </c>
      <c r="J28" s="41">
        <v>2212</v>
      </c>
      <c r="K28" s="42">
        <v>85</v>
      </c>
      <c r="L28" s="42">
        <v>80</v>
      </c>
      <c r="M28" s="42">
        <v>1914</v>
      </c>
      <c r="N28" s="39">
        <v>85</v>
      </c>
      <c r="O28" s="39">
        <v>83</v>
      </c>
      <c r="P28" s="39">
        <v>80</v>
      </c>
      <c r="Q28" s="39">
        <v>5777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44948</v>
      </c>
      <c r="B29" s="40">
        <v>8</v>
      </c>
      <c r="C29" s="40">
        <v>15</v>
      </c>
      <c r="D29" s="40">
        <v>26</v>
      </c>
      <c r="E29" s="41">
        <v>40</v>
      </c>
      <c r="F29" s="41">
        <v>6834</v>
      </c>
      <c r="G29" s="41">
        <v>85</v>
      </c>
      <c r="H29" s="41">
        <v>1329</v>
      </c>
      <c r="I29" s="41">
        <v>80</v>
      </c>
      <c r="J29" s="41">
        <v>2212</v>
      </c>
      <c r="K29" s="42">
        <v>85</v>
      </c>
      <c r="L29" s="42">
        <v>80</v>
      </c>
      <c r="M29" s="42">
        <v>1914</v>
      </c>
      <c r="N29" s="39">
        <v>85</v>
      </c>
      <c r="O29" s="39">
        <v>83</v>
      </c>
      <c r="P29" s="39">
        <v>75</v>
      </c>
      <c r="Q29" s="39">
        <v>5779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44949</v>
      </c>
      <c r="B30" s="40">
        <v>8</v>
      </c>
      <c r="C30" s="40">
        <v>15</v>
      </c>
      <c r="D30" s="40">
        <v>26</v>
      </c>
      <c r="E30" s="41">
        <v>30</v>
      </c>
      <c r="F30" s="41">
        <v>6834</v>
      </c>
      <c r="G30" s="41">
        <v>85</v>
      </c>
      <c r="H30" s="41">
        <v>1331</v>
      </c>
      <c r="I30" s="41">
        <v>80</v>
      </c>
      <c r="J30" s="41">
        <v>2212</v>
      </c>
      <c r="K30" s="42">
        <v>85</v>
      </c>
      <c r="L30" s="42">
        <v>80</v>
      </c>
      <c r="M30" s="42">
        <v>1914</v>
      </c>
      <c r="N30" s="39">
        <v>85</v>
      </c>
      <c r="O30" s="39">
        <v>83</v>
      </c>
      <c r="P30" s="39">
        <v>75</v>
      </c>
      <c r="Q30" s="39">
        <v>5781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44950</v>
      </c>
      <c r="B31" s="40">
        <v>11</v>
      </c>
      <c r="C31" s="40">
        <v>15</v>
      </c>
      <c r="D31" s="40">
        <v>28</v>
      </c>
      <c r="E31" s="41">
        <v>20</v>
      </c>
      <c r="F31" s="41">
        <v>6834</v>
      </c>
      <c r="G31" s="41">
        <v>85</v>
      </c>
      <c r="H31" s="41">
        <v>1333</v>
      </c>
      <c r="I31" s="41">
        <v>80</v>
      </c>
      <c r="J31" s="41">
        <v>2212</v>
      </c>
      <c r="K31" s="42">
        <v>85</v>
      </c>
      <c r="L31" s="42">
        <v>80</v>
      </c>
      <c r="M31" s="42">
        <v>1914</v>
      </c>
      <c r="N31" s="39">
        <v>85</v>
      </c>
      <c r="O31" s="39">
        <v>83</v>
      </c>
      <c r="P31" s="39">
        <v>75</v>
      </c>
      <c r="Q31" s="39">
        <v>5785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44951</v>
      </c>
      <c r="B32" s="40">
        <v>8</v>
      </c>
      <c r="C32" s="40">
        <v>12</v>
      </c>
      <c r="D32" s="40">
        <v>23</v>
      </c>
      <c r="E32" s="41">
        <v>15</v>
      </c>
      <c r="F32" s="41">
        <v>6834</v>
      </c>
      <c r="G32" s="41">
        <v>85</v>
      </c>
      <c r="H32" s="41">
        <v>1336</v>
      </c>
      <c r="I32" s="41">
        <v>80</v>
      </c>
      <c r="J32" s="41">
        <v>2212</v>
      </c>
      <c r="K32" s="42">
        <v>85</v>
      </c>
      <c r="L32" s="42">
        <v>80</v>
      </c>
      <c r="M32" s="42">
        <v>1914</v>
      </c>
      <c r="N32" s="39">
        <v>85</v>
      </c>
      <c r="O32" s="39">
        <v>83</v>
      </c>
      <c r="P32" s="39">
        <v>70</v>
      </c>
      <c r="Q32" s="39">
        <v>5788</v>
      </c>
      <c r="R32" s="77">
        <v>60</v>
      </c>
      <c r="S32" s="77">
        <v>233</v>
      </c>
      <c r="T32">
        <f t="shared" si="1"/>
        <v>0</v>
      </c>
    </row>
    <row r="33" spans="1:20" x14ac:dyDescent="0.25">
      <c r="A33" s="73">
        <v>44952</v>
      </c>
      <c r="B33" s="40"/>
      <c r="C33" s="40">
        <v>11</v>
      </c>
      <c r="D33" s="40">
        <v>21</v>
      </c>
      <c r="E33" s="41">
        <v>10</v>
      </c>
      <c r="F33" s="41">
        <v>6834</v>
      </c>
      <c r="G33" s="41">
        <v>85</v>
      </c>
      <c r="H33" s="41">
        <v>1339</v>
      </c>
      <c r="I33" s="41">
        <v>80</v>
      </c>
      <c r="J33" s="41">
        <v>2212</v>
      </c>
      <c r="K33" s="42">
        <v>85</v>
      </c>
      <c r="L33" s="42">
        <v>80</v>
      </c>
      <c r="M33" s="42">
        <v>1914</v>
      </c>
      <c r="N33" s="39">
        <v>85</v>
      </c>
      <c r="O33" s="39">
        <v>83</v>
      </c>
      <c r="P33" s="39">
        <v>60</v>
      </c>
      <c r="Q33" s="39">
        <v>5788</v>
      </c>
      <c r="R33" s="77">
        <v>60</v>
      </c>
      <c r="S33" s="77">
        <v>233</v>
      </c>
      <c r="T33">
        <f t="shared" si="1"/>
        <v>0</v>
      </c>
    </row>
    <row r="34" spans="1:20" x14ac:dyDescent="0.25">
      <c r="A34" s="73">
        <v>44953</v>
      </c>
      <c r="B34" s="40"/>
      <c r="C34" s="40">
        <v>9</v>
      </c>
      <c r="D34" s="40">
        <v>16</v>
      </c>
      <c r="E34" s="41">
        <v>5</v>
      </c>
      <c r="F34" s="41">
        <v>6834</v>
      </c>
      <c r="G34" s="41">
        <v>85</v>
      </c>
      <c r="H34" s="41">
        <v>1340</v>
      </c>
      <c r="I34" s="41">
        <v>80</v>
      </c>
      <c r="J34" s="41">
        <v>2212</v>
      </c>
      <c r="K34" s="42">
        <v>85</v>
      </c>
      <c r="L34" s="42">
        <v>80</v>
      </c>
      <c r="M34" s="42">
        <v>1914</v>
      </c>
      <c r="N34" s="39">
        <v>85</v>
      </c>
      <c r="O34" s="39">
        <v>83</v>
      </c>
      <c r="P34" s="39">
        <v>58</v>
      </c>
      <c r="Q34" s="39">
        <v>5794</v>
      </c>
      <c r="R34" s="77">
        <v>60</v>
      </c>
      <c r="S34" s="77">
        <v>233</v>
      </c>
      <c r="T34">
        <f t="shared" si="1"/>
        <v>0</v>
      </c>
    </row>
    <row r="35" spans="1:20" x14ac:dyDescent="0.25">
      <c r="A35" s="73">
        <v>44954</v>
      </c>
      <c r="B35" s="40"/>
      <c r="C35" s="40">
        <v>10</v>
      </c>
      <c r="D35" s="40">
        <v>19</v>
      </c>
      <c r="E35" s="41">
        <v>0</v>
      </c>
      <c r="F35" s="41">
        <v>6834</v>
      </c>
      <c r="G35" s="41">
        <v>78</v>
      </c>
      <c r="H35" s="41">
        <v>1342</v>
      </c>
      <c r="I35" s="41">
        <v>80</v>
      </c>
      <c r="J35" s="41">
        <v>2212</v>
      </c>
      <c r="K35" s="42">
        <v>85</v>
      </c>
      <c r="L35" s="42">
        <v>80</v>
      </c>
      <c r="M35" s="42">
        <v>1914</v>
      </c>
      <c r="N35" s="39">
        <v>85</v>
      </c>
      <c r="O35" s="39">
        <v>83</v>
      </c>
      <c r="P35" s="39">
        <v>55</v>
      </c>
      <c r="Q35" s="39">
        <v>5799</v>
      </c>
      <c r="R35" s="77">
        <v>60</v>
      </c>
      <c r="S35" s="77">
        <v>233</v>
      </c>
      <c r="T35">
        <f t="shared" si="1"/>
        <v>0</v>
      </c>
    </row>
    <row r="36" spans="1:20" x14ac:dyDescent="0.25">
      <c r="A36" s="73">
        <v>44955</v>
      </c>
      <c r="B36" s="40"/>
      <c r="C36" s="40">
        <v>10</v>
      </c>
      <c r="D36" s="40">
        <v>19</v>
      </c>
      <c r="E36" s="41">
        <v>0</v>
      </c>
      <c r="F36" s="41">
        <v>6834</v>
      </c>
      <c r="G36" s="41">
        <v>70</v>
      </c>
      <c r="H36" s="41">
        <v>1344</v>
      </c>
      <c r="I36" s="41">
        <v>80</v>
      </c>
      <c r="J36" s="41">
        <v>2212</v>
      </c>
      <c r="K36" s="42">
        <v>85</v>
      </c>
      <c r="L36" s="42">
        <v>78</v>
      </c>
      <c r="M36" s="42">
        <v>1914</v>
      </c>
      <c r="N36" s="39">
        <v>85</v>
      </c>
      <c r="O36" s="39">
        <v>83</v>
      </c>
      <c r="P36" s="39">
        <v>50</v>
      </c>
      <c r="Q36" s="39">
        <v>5801</v>
      </c>
      <c r="R36" s="77">
        <v>60</v>
      </c>
      <c r="S36" s="77">
        <v>233</v>
      </c>
      <c r="T36">
        <f t="shared" si="1"/>
        <v>0</v>
      </c>
    </row>
    <row r="37" spans="1:20" x14ac:dyDescent="0.25">
      <c r="A37" s="73">
        <v>44956</v>
      </c>
      <c r="B37" s="40"/>
      <c r="C37" s="40">
        <v>10</v>
      </c>
      <c r="D37" s="40">
        <v>19</v>
      </c>
      <c r="E37" s="41">
        <v>0</v>
      </c>
      <c r="F37" s="41">
        <v>6834</v>
      </c>
      <c r="G37" s="41">
        <v>55</v>
      </c>
      <c r="H37" s="41">
        <v>1347</v>
      </c>
      <c r="I37" s="41">
        <v>80</v>
      </c>
      <c r="J37" s="41">
        <v>2212</v>
      </c>
      <c r="K37" s="42">
        <v>85</v>
      </c>
      <c r="L37" s="42">
        <v>75</v>
      </c>
      <c r="M37" s="42">
        <v>1914</v>
      </c>
      <c r="N37" s="39">
        <v>85</v>
      </c>
      <c r="O37" s="39">
        <v>83</v>
      </c>
      <c r="P37" s="39">
        <v>50</v>
      </c>
      <c r="Q37" s="39">
        <v>5804</v>
      </c>
      <c r="R37" s="77">
        <v>60</v>
      </c>
      <c r="S37" s="77">
        <v>233</v>
      </c>
      <c r="T37">
        <f t="shared" si="1"/>
        <v>0</v>
      </c>
    </row>
    <row r="38" spans="1:20" x14ac:dyDescent="0.25">
      <c r="A38" s="73">
        <v>44957</v>
      </c>
      <c r="B38" s="40"/>
      <c r="C38" s="40">
        <v>10</v>
      </c>
      <c r="D38" s="40">
        <v>18</v>
      </c>
      <c r="E38" s="41">
        <v>0</v>
      </c>
      <c r="F38" s="41">
        <v>6834</v>
      </c>
      <c r="G38" s="41">
        <v>45</v>
      </c>
      <c r="H38" s="41">
        <v>1349</v>
      </c>
      <c r="I38" s="41">
        <v>80</v>
      </c>
      <c r="J38" s="41">
        <v>2212</v>
      </c>
      <c r="K38" s="42">
        <v>85</v>
      </c>
      <c r="L38" s="42">
        <v>75</v>
      </c>
      <c r="M38" s="42">
        <v>1914</v>
      </c>
      <c r="N38" s="39">
        <v>85</v>
      </c>
      <c r="O38" s="39">
        <v>83</v>
      </c>
      <c r="P38" s="39">
        <v>45</v>
      </c>
      <c r="Q38" s="39">
        <v>5807</v>
      </c>
      <c r="R38" s="77">
        <v>60</v>
      </c>
      <c r="S38" s="77">
        <v>233</v>
      </c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-233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2023-02-01T17:28:44Z</dcterms:modified>
</cp:coreProperties>
</file>