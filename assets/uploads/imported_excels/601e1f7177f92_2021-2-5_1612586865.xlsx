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1D642C96-C668-4F08-8EDD-ED15DA7682D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T12" i="8" l="1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<sst xmlns="http://schemas.openxmlformats.org/spreadsheetml/2006/main" count="201" uniqueCount="128">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</sst>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-182356</c:v>
                </c:pt>
                <c:pt idx="3">
                  <c:v>0.75967106304624943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-57588</c:v>
                </c:pt>
                <c:pt idx="7">
                  <c:v>0.23990401839647402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-61</c:v>
                </c:pt>
                <c:pt idx="11">
                  <c:v>2.5411796072419453E-4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G2" sqref="G2:G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0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0</v>
      </c>
      <c r="F7" s="48">
        <v>0.14000000000000001</v>
      </c>
      <c r="G7" s="107">
        <v>0</v>
      </c>
      <c r="H7" s="48">
        <v>0.4453480216384178</v>
      </c>
      <c r="I7" s="65">
        <v>0</v>
      </c>
      <c r="J7" s="76">
        <v>0.4</v>
      </c>
      <c r="K7" s="108">
        <v>0</v>
      </c>
      <c r="L7" s="76">
        <v>1.5287027707808565</v>
      </c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0</v>
      </c>
      <c r="F8" s="48">
        <v>0.14000000000000001</v>
      </c>
      <c r="G8" s="107">
        <v>0</v>
      </c>
      <c r="H8" s="48">
        <v>0.4453480216384178</v>
      </c>
      <c r="I8" s="65">
        <v>0</v>
      </c>
      <c r="J8" s="76">
        <v>0.4</v>
      </c>
      <c r="K8" s="108">
        <v>0</v>
      </c>
      <c r="L8" s="76">
        <v>1.5287027707808565</v>
      </c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0</v>
      </c>
      <c r="F9" s="48">
        <v>0.14000000000000001</v>
      </c>
      <c r="G9" s="107">
        <v>0</v>
      </c>
      <c r="H9" s="48">
        <v>0.4453480216384178</v>
      </c>
      <c r="I9" s="65">
        <v>0</v>
      </c>
      <c r="J9" s="76">
        <v>0.4</v>
      </c>
      <c r="K9" s="108">
        <v>0</v>
      </c>
      <c r="L9" s="76">
        <v>1.5287027707808565</v>
      </c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0</v>
      </c>
      <c r="F10" s="48">
        <v>0.14000000000000001</v>
      </c>
      <c r="G10" s="107">
        <v>0</v>
      </c>
      <c r="H10" s="48">
        <v>0.4453480216384178</v>
      </c>
      <c r="I10" s="65">
        <v>0</v>
      </c>
      <c r="J10" s="76">
        <v>0.4</v>
      </c>
      <c r="K10" s="108">
        <v>0</v>
      </c>
      <c r="L10" s="76">
        <v>1.5287027707808565</v>
      </c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0</v>
      </c>
      <c r="F11" s="48">
        <v>0.14000000000000001</v>
      </c>
      <c r="G11" s="107">
        <v>0</v>
      </c>
      <c r="H11" s="48">
        <v>0.4453480216384178</v>
      </c>
      <c r="I11" s="65">
        <v>0</v>
      </c>
      <c r="J11" s="76">
        <v>0.4</v>
      </c>
      <c r="K11" s="108">
        <v>0</v>
      </c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0</v>
      </c>
      <c r="F12" s="48">
        <v>0.14000000000000001</v>
      </c>
      <c r="G12" s="107">
        <v>0</v>
      </c>
      <c r="H12" s="48">
        <v>0.4453480216384178</v>
      </c>
      <c r="I12" s="65">
        <v>0</v>
      </c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0</v>
      </c>
      <c r="F13" s="48">
        <v>0.14000000000000001</v>
      </c>
      <c r="G13" s="107">
        <v>0</v>
      </c>
      <c r="H13" s="48">
        <v>0.4453480216384178</v>
      </c>
      <c r="I13" s="65">
        <v>0</v>
      </c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0</v>
      </c>
      <c r="F14" s="48">
        <v>0.14000000000000001</v>
      </c>
      <c r="G14" s="107">
        <v>0</v>
      </c>
      <c r="H14" s="48">
        <v>0.4453480216384178</v>
      </c>
      <c r="I14" s="65">
        <v>0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0</v>
      </c>
      <c r="F15" s="48">
        <v>0.14000000000000001</v>
      </c>
      <c r="G15" s="107">
        <v>0</v>
      </c>
      <c r="H15" s="48">
        <v>0.4453480216384178</v>
      </c>
      <c r="I15" s="65">
        <v>0</v>
      </c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0</v>
      </c>
      <c r="F16" s="48">
        <v>0.14000000000000001</v>
      </c>
      <c r="G16" s="107">
        <v>0</v>
      </c>
      <c r="H16" s="48">
        <v>0.4453480216384178</v>
      </c>
      <c r="I16" s="65">
        <v>0</v>
      </c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0</v>
      </c>
      <c r="F17" s="48">
        <v>0.14000000000000001</v>
      </c>
      <c r="G17" s="107">
        <v>0</v>
      </c>
      <c r="H17" s="48">
        <v>0.4453480216384178</v>
      </c>
      <c r="I17" s="65">
        <v>0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107569.99999999993</v>
      </c>
      <c r="F33" s="104">
        <v>0</v>
      </c>
      <c r="G33" s="101">
        <f>SUM(G2:G32)</f>
        <v>29431</v>
      </c>
      <c r="H33" s="102">
        <v>0</v>
      </c>
      <c r="I33" s="103">
        <f>SUM(I2:I32)</f>
        <v>1224</v>
      </c>
      <c r="J33" s="104">
        <v>0</v>
      </c>
      <c r="K33" s="105">
        <v>0</v>
      </c>
      <c r="L33" s="102">
        <v>0</v>
      </c>
      <c r="M33" s="106">
        <f t="shared" ref="M33:O33" si="1">SUM(M2:M32)</f>
        <v>104</v>
      </c>
      <c r="N33" s="106">
        <f t="shared" si="1"/>
        <v>252</v>
      </c>
      <c r="O33" s="106">
        <f t="shared" si="1"/>
        <v>759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9" sqref="T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/>
      <c r="W8" s="71"/>
      <c r="X8" s="71"/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112.16</v>
      </c>
      <c r="S9" s="1">
        <v>96.180999999999997</v>
      </c>
      <c r="T9" s="1">
        <v>352.7</v>
      </c>
      <c r="V9" s="71"/>
      <c r="W9" s="71"/>
      <c r="X9" s="71"/>
      <c r="Y9" s="17"/>
    </row>
    <row r="10" spans="1:25" ht="21" customHeight="1" x14ac:dyDescent="0.25">
      <c r="A10" s="8">
        <v>44234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44235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44236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44237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44238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44239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44240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44241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104</v>
      </c>
      <c r="W35" s="78">
        <f>SUM(W4:W34)</f>
        <v>252</v>
      </c>
      <c r="X35" s="78">
        <f>SUM(X4:X34)</f>
        <v>759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T7" sqref="T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-7820.0000000000073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15444.730000000734</v>
      </c>
    </row>
    <row r="9" spans="1:22" x14ac:dyDescent="0.25">
      <c r="A9" s="3">
        <f>'Kwh Reading'!A9</f>
        <v>44233</v>
      </c>
      <c r="B9" s="26">
        <f>TOTAL!E7</f>
        <v>0</v>
      </c>
      <c r="C9" s="4">
        <f>('Kwh Reading'!T10-'Kwh Reading'!T9)*1000</f>
        <v>-352700</v>
      </c>
      <c r="D9" s="2">
        <f>('Kwh Reading'!F10-'Kwh Reading'!F9)*1000000</f>
        <v>-2025999.9999999998</v>
      </c>
      <c r="E9" s="2">
        <f>('Kwh Reading'!C10-'Kwh Reading'!C9)*1000</f>
        <v>-196620</v>
      </c>
      <c r="F9" s="2">
        <f>('Kwh Reading'!J10-'Kwh Reading'!J9)*1000</f>
        <v>-283880</v>
      </c>
      <c r="G9" s="2">
        <f>('Kwh Reading'!K10-'Kwh Reading'!K9)*1000</f>
        <v>-297010</v>
      </c>
      <c r="H9" s="2">
        <f>('Kwh Reading'!L10-'Kwh Reading'!L9)*1000</f>
        <v>-203700</v>
      </c>
      <c r="I9" s="2">
        <f>('Kwh Reading'!R10-'Kwh Reading'!R9)*1000</f>
        <v>-112160</v>
      </c>
      <c r="J9" s="2">
        <f>('Kwh Reading'!S10-'Kwh Reading'!S9)*1000</f>
        <v>-96181</v>
      </c>
      <c r="K9" s="2">
        <f>('Kwh Reading'!I10-'Kwh Reading'!I9)*1000</f>
        <v>-190430</v>
      </c>
      <c r="L9" s="2">
        <f>('Kwh Reading'!B10-'Kwh Reading'!B9)*1000</f>
        <v>-794700</v>
      </c>
      <c r="M9" s="2">
        <f>('Kwh Reading'!M10-'Kwh Reading'!M9)*1000</f>
        <v>-411290</v>
      </c>
      <c r="N9" s="2">
        <f>('Kwh Reading'!H10-'Kwh Reading'!H9)*1000</f>
        <v>-511620</v>
      </c>
      <c r="O9" s="2">
        <f>('Kwh Reading'!P10-'Kwh Reading'!P9)*1000</f>
        <v>-475930</v>
      </c>
      <c r="P9" s="2">
        <f>('Kwh Reading'!G10-'Kwh Reading'!G9)*1000</f>
        <v>-613460</v>
      </c>
      <c r="Q9" s="2">
        <f>('Kwh Reading'!Q10-'Kwh Reading'!Q9)*1000</f>
        <v>-354130</v>
      </c>
      <c r="R9" s="2">
        <f>('Kwh Reading'!N10-'Kwh Reading'!N9)*1000</f>
        <v>-357530</v>
      </c>
      <c r="S9" s="2">
        <f>'Kwh Reading'!E10-'Kwh Reading'!E9</f>
        <v>-7744227.04</v>
      </c>
      <c r="T9" s="2">
        <f>'Kwh Reading'!D10-'Kwh Reading'!D9</f>
        <v>-7138950.0199999996</v>
      </c>
      <c r="U9" s="27">
        <f>('Kwh Reading'!O10-'Kwh Reading'!O9)*1000</f>
        <v>-115830</v>
      </c>
      <c r="V9" s="16">
        <f t="shared" si="0"/>
        <v>22276348.059999999</v>
      </c>
    </row>
    <row r="10" spans="1:22" x14ac:dyDescent="0.25">
      <c r="A10" s="3">
        <f>'Kwh Reading'!A10</f>
        <v>44234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44235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44236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0"/>
        <v>0</v>
      </c>
    </row>
    <row r="13" spans="1:22" x14ac:dyDescent="0.25">
      <c r="A13" s="3">
        <f>'Kwh Reading'!A13</f>
        <v>44237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0"/>
        <v>0</v>
      </c>
    </row>
    <row r="14" spans="1:22" x14ac:dyDescent="0.25">
      <c r="A14" s="3">
        <f>'Kwh Reading'!A14</f>
        <v>44238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0"/>
        <v>0</v>
      </c>
    </row>
    <row r="15" spans="1:22" x14ac:dyDescent="0.25">
      <c r="A15" s="3">
        <f>'Kwh Reading'!A15</f>
        <v>44239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0"/>
        <v>0</v>
      </c>
    </row>
    <row r="16" spans="1:22" x14ac:dyDescent="0.25">
      <c r="A16" s="3">
        <f>'Kwh Reading'!A16</f>
        <v>44240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0"/>
        <v>0</v>
      </c>
    </row>
    <row r="17" spans="1:22" x14ac:dyDescent="0.25">
      <c r="A17" s="3">
        <f>'Kwh Reading'!A17</f>
        <v>44241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44242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44243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44244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44245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44246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44247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44248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107570.00000000044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-202650.00000000003</v>
      </c>
      <c r="I35" s="75">
        <f t="shared" si="5"/>
        <v>-119310</v>
      </c>
      <c r="J35" s="75">
        <f t="shared" si="5"/>
        <v>-95496</v>
      </c>
      <c r="K35" s="75">
        <f t="shared" si="5"/>
        <v>-189120</v>
      </c>
      <c r="L35" s="75">
        <f t="shared" si="5"/>
        <v>-789940</v>
      </c>
      <c r="M35" s="75">
        <f t="shared" si="5"/>
        <v>-407779.99999999994</v>
      </c>
      <c r="N35" s="75">
        <f t="shared" si="5"/>
        <v>-507250</v>
      </c>
      <c r="O35" s="75">
        <f t="shared" si="5"/>
        <v>-471720</v>
      </c>
      <c r="P35" s="75">
        <f t="shared" si="5"/>
        <v>-609179.99999999988</v>
      </c>
      <c r="Q35" s="75">
        <f t="shared" si="5"/>
        <v>-350860</v>
      </c>
      <c r="R35" s="75">
        <f t="shared" si="5"/>
        <v>-353620.00000000006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22313960.68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-7682.0000000000164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15444.730000000736</v>
      </c>
    </row>
    <row r="8" spans="1:12" x14ac:dyDescent="0.25">
      <c r="A8" s="14">
        <f>'Kwh Reading'!A9</f>
        <v>44233</v>
      </c>
      <c r="B8" s="83">
        <f>TOTAL!E7</f>
        <v>0</v>
      </c>
      <c r="C8" s="1">
        <f>'Kwh Consumption'!C9</f>
        <v>-352700</v>
      </c>
      <c r="D8" s="1">
        <f>'Kwh Consumption'!D9</f>
        <v>-2025999.9999999998</v>
      </c>
      <c r="E8" s="1">
        <f>'Kwh Consumption'!E9</f>
        <v>-196620</v>
      </c>
      <c r="F8" s="1">
        <f>('Kwh Consumption'!F9+'Kwh Consumption'!G9+'Kwh Consumption'!H9)</f>
        <v>-784590</v>
      </c>
      <c r="G8" s="16">
        <f>('Kwh Consumption'!I9+'Kwh Consumption'!J9)</f>
        <v>-208341</v>
      </c>
      <c r="H8" s="1">
        <f>('Kwh Consumption'!K9+'Kwh Consumption'!L9)</f>
        <v>-985130</v>
      </c>
      <c r="I8" s="1">
        <f>('Kwh Consumption'!M9+'Kwh Consumption'!N9+'Kwh Consumption'!O9+'Kwh Consumption'!P9+'Kwh Consumption'!Q9+'Kwh Consumption'!R9)</f>
        <v>-2723960</v>
      </c>
      <c r="J8" s="1">
        <f>('Kwh Consumption'!S9+'Kwh Consumption'!T9)</f>
        <v>-14883177.059999999</v>
      </c>
      <c r="K8" s="1">
        <f>'Kwh Consumption'!U9</f>
        <v>-115830</v>
      </c>
      <c r="L8" s="32">
        <f t="shared" si="0"/>
        <v>22276348.059999999</v>
      </c>
    </row>
    <row r="9" spans="1:12" x14ac:dyDescent="0.25">
      <c r="A9" s="14">
        <f>'Kwh Reading'!A10</f>
        <v>44234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44235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44236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44237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44238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44239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44240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44241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44242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44243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44244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44245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44246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44247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44248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107569.99999999993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</v>
      </c>
      <c r="F34" s="75">
        <f t="shared" si="1"/>
        <v>-780280</v>
      </c>
      <c r="G34" s="75">
        <f t="shared" si="1"/>
        <v>-214806</v>
      </c>
      <c r="H34" s="75">
        <f t="shared" si="1"/>
        <v>-979060</v>
      </c>
      <c r="I34" s="75">
        <f t="shared" si="1"/>
        <v>-2700410</v>
      </c>
      <c r="J34" s="75">
        <f t="shared" si="1"/>
        <v>-14857534.68</v>
      </c>
      <c r="K34" s="75">
        <f t="shared" si="1"/>
        <v>-114830</v>
      </c>
      <c r="L34" s="75">
        <f t="shared" si="1"/>
        <v>22313960.68</v>
      </c>
      <c r="M34" s="84">
        <f>C34+D34+E34+F34+G34+H34+I34+J34+K34+L34</f>
        <v>107570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-27346.200000000004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-2080054.8552000001</v>
      </c>
      <c r="K36" s="75">
        <f>K34*B36</f>
        <v>-16076.2</v>
      </c>
      <c r="L36" s="75">
        <f>L34*B36</f>
        <v>3123954.4952000002</v>
      </c>
      <c r="M36" s="84">
        <f>C36+D36+E36+F36+G36+H36+I36+J36+K36+L36</f>
        <v>15059.799999999814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-1075.4800000000023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2162.2622000001029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0</v>
      </c>
      <c r="D8" s="1">
        <f>'Kwh Consumption'!C9*' Kwh area wise $ '!B8</f>
        <v>-49378.000000000007</v>
      </c>
      <c r="E8" s="1">
        <f>'Kwh Consumption'!D9*' Kwh area wise $ '!B8</f>
        <v>-283640</v>
      </c>
      <c r="F8" s="1">
        <f>'Kwh Consumption'!E9*' Kwh area wise $ '!B8</f>
        <v>-27526.800000000003</v>
      </c>
      <c r="G8" s="1">
        <f>('Kwh Consumption'!F9+'Kwh Consumption'!G9+'Kwh Consumption'!H9)*' Kwh area wise $ '!B8</f>
        <v>-109842.6</v>
      </c>
      <c r="H8" s="16">
        <f>('Kwh Consumption'!I9+'Kwh Consumption'!J9)*' Kwh area wise $ '!B8</f>
        <v>-29167.74</v>
      </c>
      <c r="I8" s="1">
        <f>('Kwh Consumption'!K9+'Kwh Consumption'!L9)*' Kwh area wise $ '!B8</f>
        <v>-137918.20000000001</v>
      </c>
      <c r="J8" s="1">
        <f>('Kwh Consumption'!M9+'Kwh Consumption'!N9+'Kwh Consumption'!O9+'Kwh Consumption'!P9+'Kwh Consumption'!Q9+'Kwh Consumption'!R9)*' Kwh area wise $ '!B8</f>
        <v>-381354.4</v>
      </c>
      <c r="K8" s="1">
        <f>('Kwh Consumption'!S9+'Kwh Consumption'!T9)*' Kwh area wise $ '!B8</f>
        <v>-2083644.7884</v>
      </c>
      <c r="L8" s="1">
        <f>'Kwh Consumption'!U9*' Kwh area wise $ '!B8</f>
        <v>-16216.2</v>
      </c>
      <c r="M8" s="1">
        <f>'Kwh Consumption'!V9*' Kwh area wise $ '!B8</f>
        <v>3118688.7283999999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15059.800000000065</v>
      </c>
      <c r="D34" s="75">
        <f t="shared" si="0"/>
        <v>-49061.600000000006</v>
      </c>
      <c r="E34" s="75">
        <f t="shared" si="0"/>
        <v>-281918.00000000006</v>
      </c>
      <c r="F34" s="75">
        <f t="shared" si="0"/>
        <v>-27346.200000000004</v>
      </c>
      <c r="G34" s="75">
        <f t="shared" si="0"/>
        <v>-109239.20000000001</v>
      </c>
      <c r="H34" s="75">
        <f t="shared" si="0"/>
        <v>-30072.840000000004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-2080054.8552000001</v>
      </c>
      <c r="L34" s="75">
        <f t="shared" si="0"/>
        <v>-16076.2</v>
      </c>
      <c r="M34" s="75">
        <f>SUM(M3:M33)</f>
        <v>3123954.4952000002</v>
      </c>
      <c r="N34" s="84">
        <f>D34+E34+F34+G34+H34+I34+J34+K34+L34+M34</f>
        <v>15059.799999999814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I8" sqref="I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18" x14ac:dyDescent="0.25">
      <c r="A10" s="54">
        <v>44235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18" x14ac:dyDescent="0.25">
      <c r="A11" s="54">
        <v>44236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18" x14ac:dyDescent="0.25">
      <c r="A12" s="54">
        <v>44237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18" x14ac:dyDescent="0.25">
      <c r="A13" s="54">
        <v>44238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18" x14ac:dyDescent="0.25">
      <c r="A14" s="54">
        <v>44239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18" x14ac:dyDescent="0.25">
      <c r="A15" s="54">
        <v>44240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</row>
    <row r="16" spans="1:18" x14ac:dyDescent="0.25">
      <c r="A16" s="54">
        <v>44241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44242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44243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44244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44245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44246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44247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44248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44249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K8" sqref="K8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0</v>
      </c>
      <c r="C9" s="66">
        <f>('Water Reading'!B9-'Water Reading'!B8)+('Water Reading'!C9-'Water Reading'!C8)</f>
        <v>-241463</v>
      </c>
      <c r="D9" s="67" t="e">
        <f t="shared" si="2"/>
        <v>#DIV/0!</v>
      </c>
      <c r="E9" s="88">
        <f>'Water Reading'!H9-'Water Reading'!H8</f>
        <v>-45671</v>
      </c>
      <c r="F9" s="89">
        <f t="shared" si="3"/>
        <v>0.18914285004327785</v>
      </c>
      <c r="G9" s="93">
        <f>('Water Reading'!D9-'Water Reading'!D8)-('Water Reading'!R9-'Water Reading'!R8)-('Water Reading'!Q9-'Water Reading'!Q8)</f>
        <v>-182935</v>
      </c>
      <c r="H9" s="89">
        <f t="shared" si="4"/>
        <v>0.75761089690760075</v>
      </c>
      <c r="I9" s="90">
        <f>'Water Reading'!P9-'Water Reading'!P8</f>
        <v>-25845</v>
      </c>
      <c r="J9" s="68">
        <f t="shared" si="5"/>
        <v>0.10703503228237866</v>
      </c>
      <c r="K9" s="91">
        <f>('Water Reading'!I9-'Water Reading'!I8)</f>
        <v>-57681</v>
      </c>
      <c r="L9" s="68">
        <f t="shared" si="6"/>
        <v>0.23888131929115433</v>
      </c>
      <c r="M9" s="90">
        <f>'Water Reading'!R9-'Water Reading'!R8</f>
        <v>-5492</v>
      </c>
      <c r="N9" s="92">
        <f t="shared" si="7"/>
        <v>2.2744685521177158E-2</v>
      </c>
      <c r="O9" s="90">
        <f>'Water Reading'!Q9-'Water Reading'!Q8</f>
        <v>-79</v>
      </c>
      <c r="P9" s="99">
        <f t="shared" si="8"/>
        <v>3.2717227898270128E-4</v>
      </c>
      <c r="Q9" s="91">
        <f>'Water Reading'!F9-'Water Reading'!F8</f>
        <v>-66844</v>
      </c>
      <c r="R9" s="100">
        <f t="shared" si="9"/>
        <v>0.27682916223189474</v>
      </c>
      <c r="S9" s="90">
        <f>'Water Reading'!E9-'Water Reading'!E8</f>
        <v>-239229</v>
      </c>
      <c r="T9" s="100">
        <f t="shared" si="10"/>
        <v>0.9907480649209196</v>
      </c>
      <c r="U9" s="90">
        <f>'Water Reading'!G9-'Water Reading'!G8</f>
        <v>-108882</v>
      </c>
      <c r="V9" s="100">
        <f t="shared" si="11"/>
        <v>0.45092622886322126</v>
      </c>
      <c r="W9" s="90">
        <f>'Water Reading'!J9-'Water Reading'!J8</f>
        <v>-18389</v>
      </c>
      <c r="X9" s="100">
        <f t="shared" si="12"/>
        <v>7.6156595420416376E-2</v>
      </c>
      <c r="Y9" s="66">
        <f t="shared" si="0"/>
        <v>-751047</v>
      </c>
      <c r="Z9" s="67" t="e">
        <f t="shared" si="1"/>
        <v>#DIV/0!</v>
      </c>
    </row>
    <row r="10" spans="1:26" x14ac:dyDescent="0.25">
      <c r="A10" s="8">
        <f>'Water Reading'!A9</f>
        <v>44234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44235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44236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44237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44238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44239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44240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0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44241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44242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44243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44244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44245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44246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44247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44248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1224</v>
      </c>
      <c r="C35" s="75">
        <f>SUM(C4:C34)</f>
        <v>-240046</v>
      </c>
      <c r="D35" s="96">
        <f>C35/B35</f>
        <v>-196.11601307189542</v>
      </c>
      <c r="E35" s="7">
        <f>SUM(E4:E34)</f>
        <v>-45508</v>
      </c>
      <c r="F35" s="95">
        <f>E35/C35</f>
        <v>0.18958033043666631</v>
      </c>
      <c r="G35" s="75">
        <f>SUM(G4:G34)</f>
        <v>-182356</v>
      </c>
      <c r="H35" s="95">
        <f>G35/C35</f>
        <v>0.75967106304624943</v>
      </c>
      <c r="I35" s="7">
        <f>SUM(I4:I34)</f>
        <v>-25830</v>
      </c>
      <c r="J35" s="95">
        <f>I35/C35</f>
        <v>0.10760437582796631</v>
      </c>
      <c r="K35" s="7">
        <f>SUM(K4:K34)</f>
        <v>-57588</v>
      </c>
      <c r="L35" s="95">
        <f>K35/C35</f>
        <v>0.23990401839647402</v>
      </c>
      <c r="M35" s="7">
        <f>SUM(M4:M34)</f>
        <v>-5466</v>
      </c>
      <c r="N35" s="95">
        <f>M35/C35</f>
        <v>2.2770635628171266E-2</v>
      </c>
      <c r="O35" s="7">
        <f>SUM(O4:O34)</f>
        <v>-61</v>
      </c>
      <c r="P35" s="95">
        <f>O35/C35</f>
        <v>2.5411796072419453E-4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-749693</v>
      </c>
      <c r="Z35" s="95">
        <f t="shared" si="1"/>
        <v>-612.49428104575168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2021-02-06T04:43:42Z</dcterms:modified>
  <cp:category/>
  <cp:contentStatus/>
</cp:coreProperties>
</file>