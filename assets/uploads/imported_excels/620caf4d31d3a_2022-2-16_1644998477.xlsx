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680" yWindow="120" windowWidth="14175" windowHeight="12060" tabRatio="578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3" i="3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X9"/>
  <c r="AX10" s="1"/>
  <c r="AX13" s="1"/>
  <c r="AX16" s="1"/>
  <c r="AX17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B8"/>
  <c r="B9" s="1"/>
  <c r="B11" s="1"/>
  <c r="B12" s="1"/>
  <c r="B15" s="1"/>
  <c r="B16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F7" i="2"/>
  <c r="F8" s="1"/>
  <c r="F11" s="1"/>
  <c r="F14" s="1"/>
  <c r="F15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H7"/>
  <c r="H8" s="1"/>
  <c r="H11" s="1"/>
  <c r="H14" s="1"/>
  <c r="H15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J3"/>
  <c r="J7" s="1"/>
  <c r="J8" s="1"/>
  <c r="J11" s="1"/>
  <c r="J14" s="1"/>
  <c r="J15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K3"/>
  <c r="L3"/>
  <c r="L7" s="1"/>
  <c r="L8" s="1"/>
  <c r="L11" s="1"/>
  <c r="L14" s="1"/>
  <c r="L15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1" s="1"/>
  <c r="P14" s="1"/>
  <c r="P15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Y31" i="5" l="1"/>
  <c r="N22" i="2"/>
  <c r="R22" s="1"/>
  <c r="G23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18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S2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AB18" s="1"/>
  <c r="J21" l="1"/>
  <c r="K20"/>
  <c r="L22"/>
  <c r="M21"/>
  <c r="N19"/>
  <c r="AB19" s="1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<sst xmlns="http://schemas.openxmlformats.org/spreadsheetml/2006/main" count="668" uniqueCount="417">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</sst>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1947136"/>
        <c:axId val="133452160"/>
      </c:lineChart>
      <c:catAx>
        <c:axId val="1319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52160"/>
        <c:crosses val="autoZero"/>
        <c:auto val="1"/>
        <c:lblAlgn val="ctr"/>
        <c:lblOffset val="100"/>
      </c:catAx>
      <c:valAx>
        <c:axId val="133452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3460736"/>
        <c:axId val="133462272"/>
      </c:lineChart>
      <c:catAx>
        <c:axId val="13346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62272"/>
        <c:crosses val="autoZero"/>
        <c:auto val="1"/>
        <c:lblAlgn val="ctr"/>
        <c:lblOffset val="100"/>
      </c:catAx>
      <c:valAx>
        <c:axId val="13346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6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8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3482752"/>
        <c:axId val="141053952"/>
      </c:lineChart>
      <c:catAx>
        <c:axId val="13348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53952"/>
        <c:crosses val="autoZero"/>
        <c:auto val="1"/>
        <c:lblAlgn val="ctr"/>
        <c:lblOffset val="100"/>
      </c:catAx>
      <c:valAx>
        <c:axId val="1410539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8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1078528"/>
        <c:axId val="141080064"/>
      </c:lineChart>
      <c:catAx>
        <c:axId val="14107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80064"/>
        <c:crosses val="autoZero"/>
        <c:auto val="1"/>
        <c:lblAlgn val="ctr"/>
        <c:lblOffset val="100"/>
      </c:catAx>
      <c:valAx>
        <c:axId val="141080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7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16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2419456"/>
        <c:axId val="142420992"/>
      </c:lineChart>
      <c:catAx>
        <c:axId val="1424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20992"/>
        <c:crosses val="autoZero"/>
        <c:auto val="1"/>
        <c:lblAlgn val="ctr"/>
        <c:lblOffset val="100"/>
      </c:catAx>
      <c:valAx>
        <c:axId val="142420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19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2720384"/>
        <c:axId val="133497984"/>
      </c:lineChart>
      <c:catAx>
        <c:axId val="14272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97984"/>
        <c:crosses val="autoZero"/>
        <c:auto val="1"/>
        <c:lblAlgn val="ctr"/>
        <c:lblOffset val="100"/>
      </c:catAx>
      <c:valAx>
        <c:axId val="13349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2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3538944"/>
        <c:axId val="133540480"/>
      </c:lineChart>
      <c:catAx>
        <c:axId val="13353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40480"/>
        <c:crosses val="autoZero"/>
        <c:auto val="1"/>
        <c:lblAlgn val="ctr"/>
        <c:lblOffset val="100"/>
      </c:catAx>
      <c:valAx>
        <c:axId val="133540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3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2805248"/>
        <c:axId val="142815232"/>
      </c:lineChart>
      <c:catAx>
        <c:axId val="14280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15232"/>
        <c:crosses val="autoZero"/>
        <c:auto val="1"/>
        <c:lblAlgn val="ctr"/>
        <c:lblOffset val="100"/>
      </c:catAx>
      <c:valAx>
        <c:axId val="14281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0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2839808"/>
        <c:axId val="142841344"/>
      </c:lineChart>
      <c:catAx>
        <c:axId val="1428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41344"/>
        <c:crosses val="autoZero"/>
        <c:auto val="1"/>
        <c:lblAlgn val="ctr"/>
        <c:lblOffset val="100"/>
      </c:catAx>
      <c:valAx>
        <c:axId val="142841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688"/>
          <c:w val="0.1272403315177633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2861824"/>
        <c:axId val="142863360"/>
      </c:lineChart>
      <c:catAx>
        <c:axId val="14286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63360"/>
        <c:crosses val="autoZero"/>
        <c:auto val="1"/>
        <c:lblAlgn val="ctr"/>
        <c:lblOffset val="100"/>
      </c:catAx>
      <c:valAx>
        <c:axId val="14286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6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2982144"/>
        <c:axId val="142996224"/>
      </c:lineChart>
      <c:catAx>
        <c:axId val="14298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96224"/>
        <c:crosses val="autoZero"/>
        <c:auto val="1"/>
        <c:lblAlgn val="ctr"/>
        <c:lblOffset val="100"/>
      </c:catAx>
      <c:valAx>
        <c:axId val="1429962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8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3291520"/>
        <c:axId val="143293056"/>
      </c:lineChart>
      <c:catAx>
        <c:axId val="14329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93056"/>
        <c:crosses val="autoZero"/>
        <c:auto val="1"/>
        <c:lblAlgn val="ctr"/>
        <c:lblOffset val="100"/>
      </c:catAx>
      <c:valAx>
        <c:axId val="14329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9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80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2721664"/>
        <c:axId val="132739840"/>
      </c:lineChart>
      <c:catAx>
        <c:axId val="13272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39840"/>
        <c:crosses val="autoZero"/>
        <c:auto val="1"/>
        <c:lblAlgn val="ctr"/>
        <c:lblOffset val="100"/>
      </c:catAx>
      <c:valAx>
        <c:axId val="13273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688"/>
          <c:w val="0.135416885389378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3479552"/>
        <c:axId val="143481088"/>
      </c:lineChart>
      <c:catAx>
        <c:axId val="14347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81088"/>
        <c:crosses val="autoZero"/>
        <c:auto val="1"/>
        <c:lblAlgn val="ctr"/>
        <c:lblOffset val="100"/>
      </c:catAx>
      <c:valAx>
        <c:axId val="143481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7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68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3514240"/>
        <c:axId val="143516032"/>
      </c:lineChart>
      <c:catAx>
        <c:axId val="14351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16032"/>
        <c:crosses val="autoZero"/>
        <c:auto val="1"/>
        <c:lblAlgn val="ctr"/>
        <c:lblOffset val="100"/>
      </c:catAx>
      <c:valAx>
        <c:axId val="143516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1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3413632"/>
        <c:axId val="143415168"/>
      </c:lineChart>
      <c:catAx>
        <c:axId val="1434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15168"/>
        <c:crosses val="autoZero"/>
        <c:auto val="1"/>
        <c:lblAlgn val="ctr"/>
        <c:lblOffset val="100"/>
      </c:catAx>
      <c:valAx>
        <c:axId val="14341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688"/>
          <c:w val="0.135416885389378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3456128"/>
        <c:axId val="143457664"/>
      </c:lineChart>
      <c:catAx>
        <c:axId val="14345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57664"/>
        <c:crosses val="autoZero"/>
        <c:auto val="1"/>
        <c:lblAlgn val="ctr"/>
        <c:lblOffset val="100"/>
      </c:catAx>
      <c:valAx>
        <c:axId val="143457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5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41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3531392"/>
        <c:axId val="143553664"/>
      </c:lineChart>
      <c:catAx>
        <c:axId val="14353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53664"/>
        <c:crosses val="autoZero"/>
        <c:auto val="1"/>
        <c:lblAlgn val="ctr"/>
        <c:lblOffset val="100"/>
      </c:catAx>
      <c:valAx>
        <c:axId val="143553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3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3586816"/>
        <c:axId val="143588352"/>
      </c:lineChart>
      <c:catAx>
        <c:axId val="14358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88352"/>
        <c:crosses val="autoZero"/>
        <c:auto val="1"/>
        <c:lblAlgn val="ctr"/>
        <c:lblOffset val="100"/>
      </c:catAx>
      <c:valAx>
        <c:axId val="14358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8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84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3637504"/>
        <c:axId val="143639296"/>
      </c:lineChart>
      <c:catAx>
        <c:axId val="14363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9296"/>
        <c:crosses val="autoZero"/>
        <c:auto val="1"/>
        <c:lblAlgn val="ctr"/>
        <c:lblOffset val="100"/>
      </c:catAx>
      <c:valAx>
        <c:axId val="1436392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3729408"/>
        <c:axId val="143730944"/>
      </c:lineChart>
      <c:catAx>
        <c:axId val="14372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30944"/>
        <c:crosses val="autoZero"/>
        <c:auto val="1"/>
        <c:lblAlgn val="ctr"/>
        <c:lblOffset val="100"/>
      </c:catAx>
      <c:valAx>
        <c:axId val="143730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3759616"/>
        <c:axId val="143773696"/>
      </c:lineChart>
      <c:catAx>
        <c:axId val="1437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73696"/>
        <c:crosses val="autoZero"/>
        <c:auto val="1"/>
        <c:lblAlgn val="ctr"/>
        <c:lblOffset val="100"/>
      </c:catAx>
      <c:valAx>
        <c:axId val="14377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43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3667200"/>
        <c:axId val="143668736"/>
      </c:lineChart>
      <c:catAx>
        <c:axId val="14366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68736"/>
        <c:crosses val="autoZero"/>
        <c:auto val="1"/>
        <c:lblAlgn val="ctr"/>
        <c:lblOffset val="100"/>
      </c:catAx>
      <c:valAx>
        <c:axId val="14366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6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68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3705600"/>
        <c:axId val="143707136"/>
      </c:lineChart>
      <c:catAx>
        <c:axId val="14370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07136"/>
        <c:crosses val="autoZero"/>
        <c:auto val="1"/>
        <c:lblAlgn val="ctr"/>
        <c:lblOffset val="100"/>
      </c:catAx>
      <c:valAx>
        <c:axId val="14370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0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1686"/>
          <c:w val="0.1234311819809439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3823232"/>
        <c:axId val="143824768"/>
      </c:lineChart>
      <c:catAx>
        <c:axId val="143823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24768"/>
        <c:crosses val="autoZero"/>
        <c:auto val="1"/>
        <c:lblAlgn val="ctr"/>
        <c:lblOffset val="100"/>
      </c:catAx>
      <c:valAx>
        <c:axId val="1438247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2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066"/>
          <c:w val="0.1569039853282430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3836672"/>
        <c:axId val="143838208"/>
      </c:lineChart>
      <c:catAx>
        <c:axId val="1438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8208"/>
        <c:crosses val="autoZero"/>
        <c:auto val="1"/>
        <c:lblAlgn val="ctr"/>
        <c:lblOffset val="100"/>
      </c:catAx>
      <c:valAx>
        <c:axId val="143838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99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3977856"/>
        <c:axId val="144118912"/>
      </c:lineChart>
      <c:catAx>
        <c:axId val="14397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18912"/>
        <c:crosses val="autoZero"/>
        <c:auto val="1"/>
        <c:lblAlgn val="ctr"/>
        <c:lblOffset val="100"/>
      </c:catAx>
      <c:valAx>
        <c:axId val="14411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7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95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4525952"/>
        <c:axId val="144540032"/>
      </c:lineChart>
      <c:catAx>
        <c:axId val="1445259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40032"/>
        <c:crosses val="autoZero"/>
        <c:auto val="1"/>
        <c:lblAlgn val="ctr"/>
        <c:lblOffset val="100"/>
      </c:catAx>
      <c:valAx>
        <c:axId val="144540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06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0.25096463150729076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0.3637088597909483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0.3039412066832739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0.13722797851188848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0.27515208737226277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0.30200290751196401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0.29068829295873422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0.1384336403835949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0.25591477028689696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0.29543118216965669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0.74099999999999999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0.74099999999999999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0.74099999999999999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0.74099999999999999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0.74099999999999999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0.74099999999999999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0.74099999999999999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0.74099999999999999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0.74099999999999999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0.74099999999999999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0.74099999999999999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0.74099999999999999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0" sqref="B30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-91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3" activePane="bottomLeft" state="frozen"/>
      <selection activeCell="C1" sqref="C1"/>
      <selection pane="bottomLeft" activeCell="G18" sqref="A18:XFD1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f t="shared" si="23"/>
        <v>186580</v>
      </c>
      <c r="E19" s="584">
        <f t="shared" si="7"/>
        <v>0</v>
      </c>
      <c r="F19" s="573">
        <f t="shared" si="24"/>
        <v>4117249</v>
      </c>
      <c r="G19" s="449">
        <f t="shared" si="15"/>
        <v>0</v>
      </c>
      <c r="H19" s="426">
        <f t="shared" si="25"/>
        <v>18014958</v>
      </c>
      <c r="I19" s="449">
        <f t="shared" si="16"/>
        <v>0</v>
      </c>
      <c r="J19" s="426">
        <f t="shared" si="26"/>
        <v>29702370</v>
      </c>
      <c r="K19" s="449">
        <f t="shared" si="17"/>
        <v>0</v>
      </c>
      <c r="L19" s="426">
        <f t="shared" si="27"/>
        <v>24530464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4">
        <f t="shared" si="28"/>
        <v>18944.026999999998</v>
      </c>
      <c r="Q19" s="446">
        <f>(P19-P18)*1000</f>
        <v>0</v>
      </c>
      <c r="R19" s="603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f t="shared" si="23"/>
        <v>186580</v>
      </c>
      <c r="E20" s="584">
        <f t="shared" si="7"/>
        <v>0</v>
      </c>
      <c r="F20" s="573">
        <f t="shared" si="24"/>
        <v>4117249</v>
      </c>
      <c r="G20" s="449">
        <f t="shared" si="15"/>
        <v>0</v>
      </c>
      <c r="H20" s="426">
        <f t="shared" si="25"/>
        <v>18014958</v>
      </c>
      <c r="I20" s="449">
        <f t="shared" si="16"/>
        <v>0</v>
      </c>
      <c r="J20" s="426">
        <f t="shared" si="26"/>
        <v>29702370</v>
      </c>
      <c r="K20" s="449">
        <f t="shared" si="17"/>
        <v>0</v>
      </c>
      <c r="L20" s="426">
        <f t="shared" si="27"/>
        <v>24530464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4">
        <f t="shared" si="28"/>
        <v>18944.026999999998</v>
      </c>
      <c r="Q20" s="446">
        <f>(P20-P19)*1000</f>
        <v>0</v>
      </c>
      <c r="R20" s="603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186580</v>
      </c>
      <c r="E21" s="584">
        <f t="shared" si="7"/>
        <v>0</v>
      </c>
      <c r="F21" s="573">
        <f t="shared" si="24"/>
        <v>4117249</v>
      </c>
      <c r="G21" s="449">
        <f t="shared" si="15"/>
        <v>0</v>
      </c>
      <c r="H21" s="426">
        <f t="shared" si="25"/>
        <v>18014958</v>
      </c>
      <c r="I21" s="449">
        <f t="shared" si="16"/>
        <v>0</v>
      </c>
      <c r="J21" s="426">
        <f t="shared" si="26"/>
        <v>29702370</v>
      </c>
      <c r="K21" s="449">
        <f t="shared" si="17"/>
        <v>0</v>
      </c>
      <c r="L21" s="426">
        <f t="shared" si="27"/>
        <v>24530464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18944.026999999998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186580</v>
      </c>
      <c r="E22" s="584">
        <f t="shared" si="7"/>
        <v>0</v>
      </c>
      <c r="F22" s="573">
        <f t="shared" si="24"/>
        <v>4117249</v>
      </c>
      <c r="G22" s="449">
        <f t="shared" si="15"/>
        <v>0</v>
      </c>
      <c r="H22" s="426">
        <f t="shared" si="25"/>
        <v>18014958</v>
      </c>
      <c r="I22" s="449">
        <f t="shared" si="16"/>
        <v>0</v>
      </c>
      <c r="J22" s="426">
        <f t="shared" si="26"/>
        <v>29702370</v>
      </c>
      <c r="K22" s="449">
        <f t="shared" si="17"/>
        <v>0</v>
      </c>
      <c r="L22" s="426">
        <f t="shared" si="27"/>
        <v>24530464</v>
      </c>
      <c r="M22" s="449">
        <f t="shared" si="18"/>
        <v>0</v>
      </c>
      <c r="N22" s="297">
        <f t="shared" si="19"/>
        <v>0</v>
      </c>
      <c r="O22" s="445">
        <f t="shared" si="32"/>
        <v>0</v>
      </c>
      <c r="P22" s="564">
        <f t="shared" si="28"/>
        <v>18944.026999999998</v>
      </c>
      <c r="Q22" s="446">
        <f t="shared" si="1"/>
        <v>0</v>
      </c>
      <c r="R22" s="603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f t="shared" si="23"/>
        <v>186580</v>
      </c>
      <c r="E23" s="584">
        <f t="shared" si="7"/>
        <v>0</v>
      </c>
      <c r="F23" s="573">
        <f t="shared" si="24"/>
        <v>4117249</v>
      </c>
      <c r="G23" s="449">
        <f t="shared" si="15"/>
        <v>0</v>
      </c>
      <c r="H23" s="426">
        <f t="shared" si="25"/>
        <v>18014958</v>
      </c>
      <c r="I23" s="449">
        <f t="shared" si="16"/>
        <v>0</v>
      </c>
      <c r="J23" s="426">
        <f t="shared" si="26"/>
        <v>29702370</v>
      </c>
      <c r="K23" s="449">
        <f t="shared" si="17"/>
        <v>0</v>
      </c>
      <c r="L23" s="426">
        <f t="shared" si="27"/>
        <v>24530464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4">
        <f t="shared" si="28"/>
        <v>18944.026999999998</v>
      </c>
      <c r="Q23" s="446">
        <f t="shared" si="1"/>
        <v>0</v>
      </c>
      <c r="R23" s="603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186580</v>
      </c>
      <c r="E24" s="584">
        <f t="shared" si="7"/>
        <v>0</v>
      </c>
      <c r="F24" s="573">
        <f t="shared" si="24"/>
        <v>4117249</v>
      </c>
      <c r="G24" s="449">
        <f t="shared" si="15"/>
        <v>0</v>
      </c>
      <c r="H24" s="426">
        <f t="shared" si="25"/>
        <v>18014958</v>
      </c>
      <c r="I24" s="613">
        <f t="shared" si="16"/>
        <v>0</v>
      </c>
      <c r="J24" s="426">
        <f t="shared" si="26"/>
        <v>29702370</v>
      </c>
      <c r="K24" s="449">
        <f t="shared" si="17"/>
        <v>0</v>
      </c>
      <c r="L24" s="426">
        <f t="shared" si="27"/>
        <v>24530464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18944.026999999998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186580</v>
      </c>
      <c r="E25" s="584">
        <f t="shared" si="7"/>
        <v>0</v>
      </c>
      <c r="F25" s="573">
        <f t="shared" si="24"/>
        <v>4117249</v>
      </c>
      <c r="G25" s="449">
        <f t="shared" si="15"/>
        <v>0</v>
      </c>
      <c r="H25" s="426">
        <f t="shared" si="25"/>
        <v>18014958</v>
      </c>
      <c r="I25" s="449">
        <f t="shared" si="16"/>
        <v>0</v>
      </c>
      <c r="J25" s="426">
        <f t="shared" si="26"/>
        <v>29702370</v>
      </c>
      <c r="K25" s="449">
        <f t="shared" si="17"/>
        <v>0</v>
      </c>
      <c r="L25" s="426">
        <f t="shared" si="27"/>
        <v>24530464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18944.026999999998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186580</v>
      </c>
      <c r="E26" s="584">
        <f t="shared" si="7"/>
        <v>0</v>
      </c>
      <c r="F26" s="573">
        <f t="shared" si="24"/>
        <v>4117249</v>
      </c>
      <c r="G26" s="449">
        <f t="shared" si="15"/>
        <v>0</v>
      </c>
      <c r="H26" s="426">
        <f t="shared" si="25"/>
        <v>18014958</v>
      </c>
      <c r="I26" s="449">
        <f t="shared" si="16"/>
        <v>0</v>
      </c>
      <c r="J26" s="426">
        <f t="shared" si="26"/>
        <v>29702370</v>
      </c>
      <c r="K26" s="449">
        <f t="shared" si="17"/>
        <v>0</v>
      </c>
      <c r="L26" s="426">
        <f t="shared" si="27"/>
        <v>24530464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18944.026999999998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186580</v>
      </c>
      <c r="E27" s="584">
        <f t="shared" si="7"/>
        <v>0</v>
      </c>
      <c r="F27" s="573">
        <f t="shared" si="24"/>
        <v>4117249</v>
      </c>
      <c r="G27" s="449">
        <f t="shared" si="15"/>
        <v>0</v>
      </c>
      <c r="H27" s="426">
        <f t="shared" si="25"/>
        <v>18014958</v>
      </c>
      <c r="I27" s="449">
        <f t="shared" si="16"/>
        <v>0</v>
      </c>
      <c r="J27" s="426">
        <f t="shared" si="26"/>
        <v>29702370</v>
      </c>
      <c r="K27" s="449">
        <f t="shared" si="17"/>
        <v>0</v>
      </c>
      <c r="L27" s="426">
        <f t="shared" si="27"/>
        <v>24530464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18944.026999999998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186580</v>
      </c>
      <c r="E28" s="584">
        <f t="shared" si="7"/>
        <v>0</v>
      </c>
      <c r="F28" s="573">
        <f t="shared" si="24"/>
        <v>4117249</v>
      </c>
      <c r="G28" s="449">
        <f>F28-F27</f>
        <v>0</v>
      </c>
      <c r="H28" s="426">
        <f t="shared" si="25"/>
        <v>18014958</v>
      </c>
      <c r="I28" s="449">
        <f t="shared" si="16"/>
        <v>0</v>
      </c>
      <c r="J28" s="426">
        <f t="shared" si="26"/>
        <v>29702370</v>
      </c>
      <c r="K28" s="449">
        <f t="shared" si="17"/>
        <v>0</v>
      </c>
      <c r="L28" s="426">
        <f t="shared" si="27"/>
        <v>24530464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18944.026999999998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186580</v>
      </c>
      <c r="E29" s="584">
        <f t="shared" si="7"/>
        <v>0</v>
      </c>
      <c r="F29" s="573">
        <f t="shared" si="24"/>
        <v>4117249</v>
      </c>
      <c r="G29" s="449">
        <f>F29-F28</f>
        <v>0</v>
      </c>
      <c r="H29" s="426">
        <f t="shared" si="25"/>
        <v>18014958</v>
      </c>
      <c r="I29" s="449">
        <f>H29-H28</f>
        <v>0</v>
      </c>
      <c r="J29" s="426">
        <f t="shared" si="26"/>
        <v>29702370</v>
      </c>
      <c r="K29" s="449">
        <f>J29-J28</f>
        <v>0</v>
      </c>
      <c r="L29" s="426">
        <f t="shared" si="27"/>
        <v>24530464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18944.026999999998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186580</v>
      </c>
      <c r="E30" s="584">
        <f t="shared" si="7"/>
        <v>0</v>
      </c>
      <c r="F30" s="573">
        <f t="shared" si="24"/>
        <v>4117249</v>
      </c>
      <c r="G30" s="449">
        <f t="shared" si="15"/>
        <v>0</v>
      </c>
      <c r="H30" s="426">
        <f t="shared" si="25"/>
        <v>18014958</v>
      </c>
      <c r="I30" s="449">
        <f t="shared" si="16"/>
        <v>0</v>
      </c>
      <c r="J30" s="426">
        <f t="shared" si="26"/>
        <v>29702370</v>
      </c>
      <c r="K30" s="449">
        <f t="shared" si="17"/>
        <v>0</v>
      </c>
      <c r="L30" s="426">
        <f t="shared" si="27"/>
        <v>24530464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18944.026999999998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186580</v>
      </c>
      <c r="E31" s="584">
        <f t="shared" si="7"/>
        <v>0</v>
      </c>
      <c r="F31" s="573">
        <f t="shared" si="24"/>
        <v>4117249</v>
      </c>
      <c r="G31" s="449">
        <f t="shared" si="15"/>
        <v>0</v>
      </c>
      <c r="H31" s="426">
        <f t="shared" si="25"/>
        <v>18014958</v>
      </c>
      <c r="I31" s="449">
        <f t="shared" si="16"/>
        <v>0</v>
      </c>
      <c r="J31" s="426">
        <f t="shared" si="26"/>
        <v>29702370</v>
      </c>
      <c r="K31" s="449">
        <f t="shared" si="17"/>
        <v>0</v>
      </c>
      <c r="L31" s="426">
        <f t="shared" si="27"/>
        <v>24530464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18944.026999999998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C19" sqref="C1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63.267857142857146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f t="shared" si="40"/>
        <v>155</v>
      </c>
      <c r="C20" s="537">
        <f t="shared" si="41"/>
        <v>162</v>
      </c>
      <c r="D20" s="45">
        <f>C19-C20</f>
        <v>0</v>
      </c>
      <c r="E20" s="45">
        <f t="shared" si="12"/>
        <v>0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f t="shared" ref="P19:P32" si="47">P19</f>
        <v>2159</v>
      </c>
      <c r="Q20" s="537">
        <f t="shared" ref="Q19:Q32" si="48">Q19</f>
        <v>180963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f t="shared" si="40"/>
        <v>155</v>
      </c>
      <c r="C21" s="537">
        <f t="shared" si="41"/>
        <v>162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f t="shared" si="47"/>
        <v>2159</v>
      </c>
      <c r="Q21" s="537">
        <f t="shared" si="48"/>
        <v>180963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155</v>
      </c>
      <c r="C22" s="537">
        <f t="shared" si="41"/>
        <v>162</v>
      </c>
      <c r="D22" s="45">
        <f t="shared" si="49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si="47"/>
        <v>2159</v>
      </c>
      <c r="Q22" s="537">
        <f t="shared" si="48"/>
        <v>180963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155</v>
      </c>
      <c r="C23" s="537">
        <f t="shared" si="41"/>
        <v>162</v>
      </c>
      <c r="D23" s="45">
        <f t="shared" si="49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7"/>
        <v>2159</v>
      </c>
      <c r="Q23" s="537">
        <f t="shared" si="48"/>
        <v>180963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f t="shared" si="40"/>
        <v>155</v>
      </c>
      <c r="C24" s="537">
        <f t="shared" si="41"/>
        <v>162</v>
      </c>
      <c r="D24" s="45">
        <f t="shared" si="49"/>
        <v>0</v>
      </c>
      <c r="E24" s="45">
        <f t="shared" si="12"/>
        <v>0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f t="shared" si="47"/>
        <v>2159</v>
      </c>
      <c r="Q24" s="537">
        <f t="shared" si="48"/>
        <v>180963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155</v>
      </c>
      <c r="C25" s="537">
        <f t="shared" si="41"/>
        <v>162</v>
      </c>
      <c r="D25" s="45">
        <f t="shared" si="49"/>
        <v>0</v>
      </c>
      <c r="E25" s="45">
        <f t="shared" si="12"/>
        <v>0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f t="shared" si="47"/>
        <v>2159</v>
      </c>
      <c r="Q25" s="537">
        <f t="shared" si="48"/>
        <v>180963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155</v>
      </c>
      <c r="C26" s="537">
        <f t="shared" si="41"/>
        <v>162</v>
      </c>
      <c r="D26" s="45">
        <f t="shared" si="49"/>
        <v>0</v>
      </c>
      <c r="E26" s="45">
        <f t="shared" si="12"/>
        <v>0</v>
      </c>
      <c r="F26" s="537">
        <f t="shared" si="42"/>
        <v>2086</v>
      </c>
      <c r="G26" s="52">
        <f t="shared" si="0"/>
        <v>0</v>
      </c>
      <c r="H26" s="537">
        <f t="shared" si="43"/>
        <v>31734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7"/>
        <v>2159</v>
      </c>
      <c r="Q26" s="537">
        <f t="shared" si="48"/>
        <v>180963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155</v>
      </c>
      <c r="C27" s="537">
        <f t="shared" si="41"/>
        <v>162</v>
      </c>
      <c r="D27" s="45">
        <f t="shared" si="49"/>
        <v>0</v>
      </c>
      <c r="E27" s="45">
        <f t="shared" si="12"/>
        <v>0</v>
      </c>
      <c r="F27" s="537">
        <f t="shared" si="42"/>
        <v>2086</v>
      </c>
      <c r="G27" s="52">
        <f t="shared" si="0"/>
        <v>0</v>
      </c>
      <c r="H27" s="537">
        <f t="shared" si="43"/>
        <v>31734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7"/>
        <v>2159</v>
      </c>
      <c r="Q27" s="537">
        <f t="shared" si="48"/>
        <v>180963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155</v>
      </c>
      <c r="C28" s="537">
        <f t="shared" si="41"/>
        <v>162</v>
      </c>
      <c r="D28" s="45">
        <f t="shared" si="49"/>
        <v>0</v>
      </c>
      <c r="E28" s="45">
        <f t="shared" si="12"/>
        <v>0</v>
      </c>
      <c r="F28" s="537">
        <f t="shared" si="42"/>
        <v>2086</v>
      </c>
      <c r="G28" s="52">
        <f t="shared" si="0"/>
        <v>0</v>
      </c>
      <c r="H28" s="537">
        <f t="shared" si="43"/>
        <v>31734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7"/>
        <v>2159</v>
      </c>
      <c r="Q28" s="537">
        <f t="shared" si="48"/>
        <v>180963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155</v>
      </c>
      <c r="C29" s="537">
        <f t="shared" si="41"/>
        <v>162</v>
      </c>
      <c r="D29" s="45">
        <f t="shared" si="49"/>
        <v>0</v>
      </c>
      <c r="E29" s="45">
        <f t="shared" si="12"/>
        <v>0</v>
      </c>
      <c r="F29" s="537">
        <f t="shared" si="42"/>
        <v>2086</v>
      </c>
      <c r="G29" s="52">
        <f t="shared" si="0"/>
        <v>0</v>
      </c>
      <c r="H29" s="537">
        <f t="shared" si="43"/>
        <v>31734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7"/>
        <v>2159</v>
      </c>
      <c r="Q29" s="537">
        <f t="shared" si="48"/>
        <v>180963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155</v>
      </c>
      <c r="C30" s="537">
        <f t="shared" si="41"/>
        <v>162</v>
      </c>
      <c r="D30" s="45">
        <f>C29-C30</f>
        <v>0</v>
      </c>
      <c r="E30" s="45">
        <f>D30*8.38</f>
        <v>0</v>
      </c>
      <c r="F30" s="537">
        <f t="shared" si="42"/>
        <v>2086</v>
      </c>
      <c r="G30" s="52">
        <f>F30-F29</f>
        <v>0</v>
      </c>
      <c r="H30" s="537">
        <f t="shared" si="43"/>
        <v>31734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7"/>
        <v>2159</v>
      </c>
      <c r="Q30" s="537">
        <f t="shared" si="48"/>
        <v>180963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155</v>
      </c>
      <c r="C31" s="537">
        <f t="shared" si="41"/>
        <v>162</v>
      </c>
      <c r="D31" s="45">
        <f t="shared" si="49"/>
        <v>0</v>
      </c>
      <c r="E31" s="45">
        <f t="shared" si="12"/>
        <v>0</v>
      </c>
      <c r="F31" s="537">
        <f t="shared" si="42"/>
        <v>2086</v>
      </c>
      <c r="G31" s="52">
        <f t="shared" si="0"/>
        <v>0</v>
      </c>
      <c r="H31" s="537">
        <f t="shared" si="43"/>
        <v>31734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7"/>
        <v>2159</v>
      </c>
      <c r="Q31" s="537">
        <f t="shared" si="48"/>
        <v>180963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155</v>
      </c>
      <c r="C32" s="537">
        <f t="shared" si="41"/>
        <v>162</v>
      </c>
      <c r="D32" s="45">
        <f t="shared" si="49"/>
        <v>0</v>
      </c>
      <c r="E32" s="45">
        <f t="shared" si="12"/>
        <v>0</v>
      </c>
      <c r="F32" s="537">
        <f t="shared" si="42"/>
        <v>2086</v>
      </c>
      <c r="G32" s="52">
        <f t="shared" si="0"/>
        <v>0</v>
      </c>
      <c r="H32" s="537">
        <f t="shared" si="43"/>
        <v>31734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7"/>
        <v>2159</v>
      </c>
      <c r="Q32" s="537">
        <f t="shared" si="48"/>
        <v>180963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63.267857142857146</v>
      </c>
      <c r="U36" s="70">
        <f>SUM(U5:U35)</f>
        <v>56</v>
      </c>
      <c r="V36" s="62">
        <f>SUM(V5:V35)</f>
        <v>4245</v>
      </c>
      <c r="AE36" s="71" t="s">
        <v>379</v>
      </c>
      <c r="AG36" s="329"/>
      <c r="AH36" s="62">
        <f>SUM(AH5:AH35)</f>
        <v>0</v>
      </c>
      <c r="AL36" s="62">
        <f>SUM(AL5:AL35)</f>
        <v>56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75.803571428571431</v>
      </c>
      <c r="AH37" s="62">
        <f>AF37+AA37</f>
        <v>0</v>
      </c>
      <c r="AI37" s="306">
        <f>SUM(AI5:AI35)</f>
        <v>4245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4" activePane="bottomLeft" state="frozen"/>
      <selection pane="bottomLeft" activeCell="AV24" sqref="AV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8151559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f t="shared" si="43"/>
        <v>97</v>
      </c>
      <c r="AW21" s="5">
        <v>2.9</v>
      </c>
      <c r="AX21" s="201">
        <f t="shared" si="44"/>
        <v>100</v>
      </c>
      <c r="AY21" s="409">
        <f>AS21*AT21</f>
        <v>133.20000000000002</v>
      </c>
      <c r="AZ21" s="409">
        <f>AU21*AV21</f>
        <v>106.7</v>
      </c>
      <c r="BA21" s="409">
        <f>AW21*AX21</f>
        <v>290</v>
      </c>
      <c r="BB21" s="21">
        <f t="shared" ref="BB21:BD33" si="49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f t="shared" si="50"/>
        <v>148</v>
      </c>
      <c r="AU22" s="408">
        <f t="shared" si="42"/>
        <v>1.1000000000000001</v>
      </c>
      <c r="AV22" s="201">
        <f t="shared" si="43"/>
        <v>97</v>
      </c>
      <c r="AW22" s="5">
        <v>2.9</v>
      </c>
      <c r="AX22" s="201">
        <f t="shared" si="44"/>
        <v>100</v>
      </c>
      <c r="AY22" s="409">
        <f t="shared" si="36"/>
        <v>133.20000000000002</v>
      </c>
      <c r="AZ22" s="409">
        <f t="shared" si="37"/>
        <v>106.7</v>
      </c>
      <c r="BA22" s="409">
        <f t="shared" si="38"/>
        <v>290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148</v>
      </c>
      <c r="AU23" s="408">
        <f t="shared" si="42"/>
        <v>1.1000000000000001</v>
      </c>
      <c r="AV23" s="201">
        <f t="shared" si="43"/>
        <v>97</v>
      </c>
      <c r="AW23" s="5">
        <v>2.9</v>
      </c>
      <c r="AX23" s="201">
        <f t="shared" si="44"/>
        <v>100</v>
      </c>
      <c r="AY23" s="409">
        <f t="shared" si="36"/>
        <v>133.20000000000002</v>
      </c>
      <c r="AZ23" s="409">
        <f t="shared" si="37"/>
        <v>106.7</v>
      </c>
      <c r="BA23" s="409">
        <f t="shared" si="38"/>
        <v>290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148</v>
      </c>
      <c r="AU24" s="408">
        <f t="shared" si="42"/>
        <v>1.1000000000000001</v>
      </c>
      <c r="AV24" s="201">
        <f t="shared" si="43"/>
        <v>97</v>
      </c>
      <c r="AW24" s="5">
        <v>2.9</v>
      </c>
      <c r="AX24" s="201">
        <f t="shared" si="44"/>
        <v>100</v>
      </c>
      <c r="AY24" s="409">
        <f t="shared" si="36"/>
        <v>133.20000000000002</v>
      </c>
      <c r="AZ24" s="409">
        <f t="shared" si="37"/>
        <v>106.7</v>
      </c>
      <c r="BA24" s="409">
        <f t="shared" si="38"/>
        <v>290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f t="shared" si="8"/>
        <v>627043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7003</v>
      </c>
      <c r="L25" s="263">
        <f t="shared" si="40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f t="shared" si="50"/>
        <v>148</v>
      </c>
      <c r="AU25" s="408">
        <f t="shared" si="42"/>
        <v>1.1000000000000001</v>
      </c>
      <c r="AV25" s="201">
        <f t="shared" si="43"/>
        <v>97</v>
      </c>
      <c r="AW25" s="5">
        <v>2.9</v>
      </c>
      <c r="AX25" s="201">
        <f t="shared" si="44"/>
        <v>100</v>
      </c>
      <c r="AY25" s="409">
        <f t="shared" si="36"/>
        <v>133.20000000000002</v>
      </c>
      <c r="AZ25" s="409">
        <f t="shared" si="37"/>
        <v>106.7</v>
      </c>
      <c r="BA25" s="409">
        <f t="shared" si="38"/>
        <v>290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627043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7003</v>
      </c>
      <c r="L26" s="263">
        <f t="shared" si="40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154800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f t="shared" si="50"/>
        <v>148</v>
      </c>
      <c r="AU26" s="408">
        <f t="shared" si="42"/>
        <v>1.1000000000000001</v>
      </c>
      <c r="AV26" s="201">
        <f t="shared" si="43"/>
        <v>97</v>
      </c>
      <c r="AW26" s="5">
        <v>2.9</v>
      </c>
      <c r="AX26" s="201">
        <f t="shared" si="44"/>
        <v>100</v>
      </c>
      <c r="AY26" s="409">
        <f t="shared" si="36"/>
        <v>133.20000000000002</v>
      </c>
      <c r="AZ26" s="409">
        <f t="shared" si="37"/>
        <v>106.7</v>
      </c>
      <c r="BA26" s="409">
        <f t="shared" si="38"/>
        <v>290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627043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7003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154800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148</v>
      </c>
      <c r="AU27" s="408">
        <f t="shared" si="42"/>
        <v>1.1000000000000001</v>
      </c>
      <c r="AV27" s="201">
        <f t="shared" si="43"/>
        <v>97</v>
      </c>
      <c r="AW27" s="5">
        <v>2.9</v>
      </c>
      <c r="AX27" s="201">
        <f t="shared" si="44"/>
        <v>100</v>
      </c>
      <c r="AY27" s="409">
        <f t="shared" si="36"/>
        <v>133.20000000000002</v>
      </c>
      <c r="AZ27" s="409">
        <f t="shared" si="37"/>
        <v>106.7</v>
      </c>
      <c r="BA27" s="409">
        <f t="shared" si="38"/>
        <v>290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627043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7003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154800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f t="shared" si="50"/>
        <v>148</v>
      </c>
      <c r="AU28" s="408">
        <f t="shared" si="42"/>
        <v>1.1000000000000001</v>
      </c>
      <c r="AV28" s="201">
        <f t="shared" si="43"/>
        <v>97</v>
      </c>
      <c r="AW28" s="5">
        <v>2.9</v>
      </c>
      <c r="AX28" s="201">
        <f t="shared" si="44"/>
        <v>100</v>
      </c>
      <c r="AY28" s="409">
        <f t="shared" si="36"/>
        <v>133.20000000000002</v>
      </c>
      <c r="AZ28" s="409">
        <f t="shared" si="37"/>
        <v>106.7</v>
      </c>
      <c r="BA28" s="409">
        <f t="shared" si="38"/>
        <v>290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627043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7003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154800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f t="shared" si="50"/>
        <v>148</v>
      </c>
      <c r="AU29" s="408">
        <f t="shared" si="42"/>
        <v>1.1000000000000001</v>
      </c>
      <c r="AV29" s="201">
        <f t="shared" si="43"/>
        <v>97</v>
      </c>
      <c r="AW29" s="5">
        <v>2.9</v>
      </c>
      <c r="AX29" s="201">
        <f t="shared" si="44"/>
        <v>100</v>
      </c>
      <c r="AY29" s="409">
        <f t="shared" si="36"/>
        <v>133.20000000000002</v>
      </c>
      <c r="AZ29" s="409">
        <f t="shared" si="37"/>
        <v>106.7</v>
      </c>
      <c r="BA29" s="409">
        <f t="shared" si="38"/>
        <v>290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627043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7003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-91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-91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148</v>
      </c>
      <c r="AU30" s="408">
        <f t="shared" si="42"/>
        <v>1.1000000000000001</v>
      </c>
      <c r="AV30" s="201">
        <f t="shared" si="43"/>
        <v>97</v>
      </c>
      <c r="AW30" s="5">
        <v>2.9</v>
      </c>
      <c r="AX30" s="201">
        <f t="shared" si="44"/>
        <v>100</v>
      </c>
      <c r="AY30" s="409">
        <f t="shared" si="36"/>
        <v>133.20000000000002</v>
      </c>
      <c r="AZ30" s="409">
        <f t="shared" si="37"/>
        <v>106.7</v>
      </c>
      <c r="BA30" s="409">
        <f t="shared" si="38"/>
        <v>290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627043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7003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148</v>
      </c>
      <c r="AU31" s="408">
        <f t="shared" si="42"/>
        <v>1.1000000000000001</v>
      </c>
      <c r="AV31" s="201">
        <f t="shared" si="43"/>
        <v>97</v>
      </c>
      <c r="AW31" s="5">
        <v>2.9</v>
      </c>
      <c r="AX31" s="201">
        <f t="shared" si="44"/>
        <v>100</v>
      </c>
      <c r="AY31" s="409">
        <f t="shared" si="36"/>
        <v>133.20000000000002</v>
      </c>
      <c r="AZ31" s="409">
        <f>AU31*AV31</f>
        <v>106.7</v>
      </c>
      <c r="BA31" s="409">
        <f t="shared" si="38"/>
        <v>290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627043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7003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148</v>
      </c>
      <c r="AU32" s="408">
        <f t="shared" si="42"/>
        <v>1.1000000000000001</v>
      </c>
      <c r="AV32" s="201">
        <f t="shared" si="43"/>
        <v>97</v>
      </c>
      <c r="AW32" s="5">
        <v>2.9</v>
      </c>
      <c r="AX32" s="201">
        <f t="shared" si="44"/>
        <v>100</v>
      </c>
      <c r="AY32" s="409">
        <f t="shared" si="36"/>
        <v>133.20000000000002</v>
      </c>
      <c r="AZ32" s="409">
        <f t="shared" si="37"/>
        <v>106.7</v>
      </c>
      <c r="BA32" s="409">
        <f t="shared" si="38"/>
        <v>290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627043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7003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148</v>
      </c>
      <c r="AU33" s="408">
        <f t="shared" si="42"/>
        <v>1.1000000000000001</v>
      </c>
      <c r="AV33" s="201">
        <f t="shared" si="43"/>
        <v>97</v>
      </c>
      <c r="AW33" s="5">
        <v>2.9</v>
      </c>
      <c r="AX33" s="201">
        <f t="shared" si="44"/>
        <v>100</v>
      </c>
      <c r="AY33" s="409">
        <f t="shared" si="36"/>
        <v>133.20000000000002</v>
      </c>
      <c r="AZ33" s="409">
        <f t="shared" si="37"/>
        <v>106.7</v>
      </c>
      <c r="BA33" s="409">
        <f t="shared" si="38"/>
        <v>290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179</v>
      </c>
      <c r="I37" s="395">
        <f>SUM(I6:I36)</f>
        <v>179</v>
      </c>
      <c r="L37" s="258">
        <f>SUM(L7:L36)</f>
        <v>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179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179</v>
      </c>
      <c r="H39" s="1">
        <f>SUM(H38+C38)</f>
        <v>7500</v>
      </c>
      <c r="K39" s="1">
        <f>SUM(H39/G39)</f>
        <v>41.899441340782126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4" activePane="bottomLeft" state="frozen"/>
      <selection pane="bottomLeft" activeCell="S17" sqref="S1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f t="shared" si="29"/>
        <v>11467</v>
      </c>
      <c r="C18" s="276">
        <f t="shared" si="9"/>
        <v>0</v>
      </c>
      <c r="D18" s="503">
        <f t="shared" si="10"/>
        <v>629766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8"/>
        <v>13596</v>
      </c>
      <c r="S18" s="276">
        <f t="shared" si="4"/>
        <v>0</v>
      </c>
      <c r="T18" s="503">
        <f t="shared" si="18"/>
        <v>338512</v>
      </c>
      <c r="U18" s="276">
        <f t="shared" si="19"/>
        <v>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44609</v>
      </c>
      <c r="B19" s="502">
        <f t="shared" si="29"/>
        <v>11467</v>
      </c>
      <c r="C19" s="276">
        <f t="shared" si="9"/>
        <v>0</v>
      </c>
      <c r="D19" s="503">
        <f t="shared" si="10"/>
        <v>629766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f t="shared" si="28"/>
        <v>13596</v>
      </c>
      <c r="S19" s="276">
        <f t="shared" si="4"/>
        <v>0</v>
      </c>
      <c r="T19" s="503">
        <f t="shared" si="18"/>
        <v>338512</v>
      </c>
      <c r="U19" s="276">
        <f t="shared" si="19"/>
        <v>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44610</v>
      </c>
      <c r="B20" s="502">
        <f t="shared" si="29"/>
        <v>11467</v>
      </c>
      <c r="C20" s="276">
        <f>B20-B19</f>
        <v>0</v>
      </c>
      <c r="D20" s="503">
        <f t="shared" si="10"/>
        <v>629766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13596</v>
      </c>
      <c r="S20" s="276">
        <f t="shared" si="4"/>
        <v>0</v>
      </c>
      <c r="T20" s="503">
        <f t="shared" si="18"/>
        <v>338512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11467</v>
      </c>
      <c r="C21" s="276">
        <f>B21-B20</f>
        <v>0</v>
      </c>
      <c r="D21" s="503">
        <f t="shared" si="10"/>
        <v>629766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13596</v>
      </c>
      <c r="S21" s="276">
        <f t="shared" si="4"/>
        <v>0</v>
      </c>
      <c r="T21" s="503">
        <f t="shared" si="18"/>
        <v>338512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f t="shared" si="29"/>
        <v>11467</v>
      </c>
      <c r="C22" s="276">
        <f t="shared" si="9"/>
        <v>0</v>
      </c>
      <c r="D22" s="503">
        <f t="shared" si="10"/>
        <v>629766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f t="shared" si="28"/>
        <v>13596</v>
      </c>
      <c r="S22" s="276">
        <f t="shared" si="4"/>
        <v>0</v>
      </c>
      <c r="T22" s="503">
        <f t="shared" si="18"/>
        <v>338512</v>
      </c>
      <c r="U22" s="276">
        <f t="shared" si="19"/>
        <v>0</v>
      </c>
      <c r="V22" s="276">
        <v>250</v>
      </c>
      <c r="W22" s="196"/>
      <c r="X22" s="260">
        <v>13550</v>
      </c>
      <c r="Y22" s="276" t="str">
        <f t="shared" ref="Y22:Y30" si="31">Y21</f>
        <v>oil change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44613</v>
      </c>
      <c r="B23" s="502">
        <f t="shared" si="29"/>
        <v>11467</v>
      </c>
      <c r="C23" s="276">
        <f t="shared" si="9"/>
        <v>0</v>
      </c>
      <c r="D23" s="503">
        <f t="shared" si="10"/>
        <v>629766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28"/>
        <v>13596</v>
      </c>
      <c r="S23" s="276">
        <f>R23-R22</f>
        <v>0</v>
      </c>
      <c r="T23" s="503">
        <f t="shared" si="18"/>
        <v>338512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1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f t="shared" si="29"/>
        <v>11467</v>
      </c>
      <c r="C24" s="276">
        <f t="shared" si="9"/>
        <v>0</v>
      </c>
      <c r="D24" s="503">
        <f t="shared" si="10"/>
        <v>629766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28"/>
        <v>13596</v>
      </c>
      <c r="S24" s="276">
        <f t="shared" si="4"/>
        <v>0</v>
      </c>
      <c r="T24" s="503">
        <f t="shared" si="18"/>
        <v>338512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1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f t="shared" si="29"/>
        <v>11467</v>
      </c>
      <c r="C25" s="276">
        <f t="shared" si="9"/>
        <v>0</v>
      </c>
      <c r="D25" s="503">
        <f t="shared" si="10"/>
        <v>629766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28"/>
        <v>13596</v>
      </c>
      <c r="S25" s="276">
        <f t="shared" si="4"/>
        <v>0</v>
      </c>
      <c r="T25" s="503">
        <f t="shared" si="18"/>
        <v>338512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1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f t="shared" si="29"/>
        <v>11467</v>
      </c>
      <c r="C26" s="276">
        <f>B26-B25</f>
        <v>0</v>
      </c>
      <c r="D26" s="503">
        <f t="shared" si="10"/>
        <v>629766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8"/>
        <v>13596</v>
      </c>
      <c r="S26" s="276">
        <f>R26-R25</f>
        <v>0</v>
      </c>
      <c r="T26" s="503">
        <f t="shared" si="18"/>
        <v>338512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1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29"/>
        <v>11467</v>
      </c>
      <c r="C27" s="276">
        <f>B27-B26</f>
        <v>0</v>
      </c>
      <c r="D27" s="503">
        <f t="shared" si="10"/>
        <v>629766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13596</v>
      </c>
      <c r="S27" s="276">
        <f t="shared" si="4"/>
        <v>0</v>
      </c>
      <c r="T27" s="503">
        <f t="shared" si="18"/>
        <v>338512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1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11467</v>
      </c>
      <c r="C28" s="276">
        <f t="shared" si="9"/>
        <v>0</v>
      </c>
      <c r="D28" s="503">
        <f t="shared" si="10"/>
        <v>629766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13596</v>
      </c>
      <c r="S28" s="276">
        <f t="shared" si="4"/>
        <v>0</v>
      </c>
      <c r="T28" s="503">
        <f t="shared" si="18"/>
        <v>338512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1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11467</v>
      </c>
      <c r="C29" s="276">
        <f t="shared" si="9"/>
        <v>0</v>
      </c>
      <c r="D29" s="503">
        <f t="shared" si="10"/>
        <v>629766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13596</v>
      </c>
      <c r="S29" s="276">
        <f t="shared" si="4"/>
        <v>0</v>
      </c>
      <c r="T29" s="503">
        <f>T28+U29</f>
        <v>338512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1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11467</v>
      </c>
      <c r="C30" s="276">
        <f t="shared" si="9"/>
        <v>0</v>
      </c>
      <c r="D30" s="503">
        <f t="shared" si="10"/>
        <v>629766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13596</v>
      </c>
      <c r="S30" s="276">
        <f t="shared" si="4"/>
        <v>0</v>
      </c>
      <c r="T30" s="503">
        <f t="shared" si="18"/>
        <v>338512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1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114</v>
      </c>
      <c r="V34" s="40"/>
      <c r="X34">
        <v>341</v>
      </c>
      <c r="Z34" s="404">
        <f>SUM(Z3:Z33)</f>
        <v>114</v>
      </c>
      <c r="AF34" s="387">
        <f>SUM(AE34/1600)</f>
        <v>0</v>
      </c>
      <c r="AL34">
        <f>SUM(AL3:AL33)</f>
        <v>10</v>
      </c>
    </row>
    <row r="35" spans="1:38">
      <c r="C35" s="40">
        <f>SUM(C3:C33)</f>
        <v>39</v>
      </c>
      <c r="K35" s="40">
        <f>SUM(K3:K33)</f>
        <v>0</v>
      </c>
      <c r="S35" s="40">
        <f>SUM(S3:S33)</f>
        <v>75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R1" activePane="topRight" state="frozen"/>
      <selection pane="topRight" activeCell="AS21" sqref="AS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155</v>
      </c>
      <c r="C21" s="203">
        <f t="shared" si="18"/>
        <v>3335</v>
      </c>
      <c r="D21">
        <f t="shared" si="19"/>
        <v>155</v>
      </c>
      <c r="E21" s="203">
        <f t="shared" si="18"/>
        <v>3335</v>
      </c>
      <c r="F21">
        <f t="shared" si="20"/>
        <v>155</v>
      </c>
      <c r="G21" s="203">
        <f t="shared" si="1"/>
        <v>3335</v>
      </c>
      <c r="H21" s="203">
        <f t="shared" si="21"/>
        <v>155</v>
      </c>
      <c r="I21" s="203">
        <f t="shared" si="2"/>
        <v>3335</v>
      </c>
      <c r="J21" s="203">
        <f t="shared" si="22"/>
        <v>155</v>
      </c>
      <c r="K21" s="203">
        <f t="shared" si="3"/>
        <v>3335</v>
      </c>
      <c r="L21" s="203">
        <f t="shared" si="23"/>
        <v>155</v>
      </c>
      <c r="M21" s="203">
        <f t="shared" si="4"/>
        <v>3335</v>
      </c>
      <c r="N21" s="203">
        <f t="shared" si="24"/>
        <v>155</v>
      </c>
      <c r="O21" s="203">
        <f t="shared" si="5"/>
        <v>3335</v>
      </c>
      <c r="P21" s="203">
        <f t="shared" si="25"/>
        <v>155</v>
      </c>
      <c r="Q21" s="203">
        <f t="shared" si="6"/>
        <v>3335</v>
      </c>
      <c r="R21" s="203">
        <f t="shared" si="26"/>
        <v>155</v>
      </c>
      <c r="S21" s="203">
        <f t="shared" si="7"/>
        <v>3335</v>
      </c>
      <c r="T21" s="203">
        <f t="shared" si="27"/>
        <v>155</v>
      </c>
      <c r="U21" s="203">
        <f t="shared" si="8"/>
        <v>3335</v>
      </c>
      <c r="V21" s="203">
        <f t="shared" si="28"/>
        <v>155</v>
      </c>
      <c r="W21" s="203">
        <f t="shared" si="9"/>
        <v>3335</v>
      </c>
      <c r="X21" s="35">
        <f t="shared" si="10"/>
        <v>0.5</v>
      </c>
      <c r="Y21" s="36">
        <f t="shared" si="29"/>
        <v>36685</v>
      </c>
      <c r="Z21" s="203">
        <f>'B5'!C20</f>
        <v>162</v>
      </c>
      <c r="AA21" s="203">
        <f t="shared" si="30"/>
        <v>1620</v>
      </c>
      <c r="AB21" s="203">
        <f t="shared" si="31"/>
        <v>162</v>
      </c>
      <c r="AC21" s="203">
        <f t="shared" si="30"/>
        <v>1620</v>
      </c>
      <c r="AD21" s="203">
        <f t="shared" si="32"/>
        <v>162</v>
      </c>
      <c r="AE21" s="203">
        <f t="shared" si="11"/>
        <v>1620</v>
      </c>
      <c r="AF21" s="203">
        <f t="shared" si="33"/>
        <v>162</v>
      </c>
      <c r="AG21" s="203">
        <f t="shared" si="12"/>
        <v>1620</v>
      </c>
      <c r="AH21" s="203">
        <f t="shared" si="34"/>
        <v>162</v>
      </c>
      <c r="AI21" s="203">
        <f t="shared" si="13"/>
        <v>1620</v>
      </c>
      <c r="AJ21" s="203">
        <f t="shared" si="35"/>
        <v>162</v>
      </c>
      <c r="AK21" s="203">
        <f t="shared" si="14"/>
        <v>1620</v>
      </c>
      <c r="AL21" s="203">
        <f t="shared" si="36"/>
        <v>162</v>
      </c>
      <c r="AM21" s="203">
        <f t="shared" si="15"/>
        <v>1620</v>
      </c>
      <c r="AN21" s="35">
        <f t="shared" si="16"/>
        <v>0.57857142857142863</v>
      </c>
      <c r="AO21" s="36">
        <f t="shared" si="41"/>
        <v>11340</v>
      </c>
      <c r="AQ21" s="223">
        <f t="shared" si="37"/>
        <v>0.51656448316661285</v>
      </c>
      <c r="AR21" s="38">
        <f t="shared" si="38"/>
        <v>48025</v>
      </c>
      <c r="AS21" s="197">
        <f>SUM(AR21-AR20-AT21)</f>
        <v>0</v>
      </c>
      <c r="AT21" s="340"/>
      <c r="AU21" s="549"/>
      <c r="AV21" s="485">
        <f t="shared" si="45"/>
        <v>0.74099999999999999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44609</v>
      </c>
      <c r="B22">
        <f>'B5'!B21</f>
        <v>155</v>
      </c>
      <c r="C22" s="203">
        <f t="shared" si="18"/>
        <v>3335</v>
      </c>
      <c r="D22">
        <f t="shared" si="19"/>
        <v>155</v>
      </c>
      <c r="E22" s="203">
        <f t="shared" si="18"/>
        <v>3335</v>
      </c>
      <c r="F22">
        <f t="shared" si="20"/>
        <v>155</v>
      </c>
      <c r="G22" s="203">
        <f t="shared" si="1"/>
        <v>3335</v>
      </c>
      <c r="H22" s="203">
        <f t="shared" si="21"/>
        <v>155</v>
      </c>
      <c r="I22" s="203">
        <f t="shared" si="2"/>
        <v>3335</v>
      </c>
      <c r="J22" s="203">
        <f t="shared" si="22"/>
        <v>155</v>
      </c>
      <c r="K22" s="203">
        <f t="shared" si="3"/>
        <v>3335</v>
      </c>
      <c r="L22" s="203">
        <f t="shared" si="23"/>
        <v>155</v>
      </c>
      <c r="M22" s="203">
        <f t="shared" si="4"/>
        <v>3335</v>
      </c>
      <c r="N22" s="203">
        <f t="shared" si="24"/>
        <v>155</v>
      </c>
      <c r="O22" s="203">
        <f t="shared" si="5"/>
        <v>3335</v>
      </c>
      <c r="P22" s="203">
        <f t="shared" si="25"/>
        <v>155</v>
      </c>
      <c r="Q22" s="203">
        <f t="shared" si="6"/>
        <v>3335</v>
      </c>
      <c r="R22" s="203">
        <f t="shared" si="26"/>
        <v>155</v>
      </c>
      <c r="S22" s="203">
        <f t="shared" si="7"/>
        <v>3335</v>
      </c>
      <c r="T22" s="203">
        <f t="shared" si="27"/>
        <v>155</v>
      </c>
      <c r="U22" s="203">
        <f t="shared" si="8"/>
        <v>3335</v>
      </c>
      <c r="V22" s="203">
        <f t="shared" si="28"/>
        <v>155</v>
      </c>
      <c r="W22" s="203">
        <f t="shared" si="9"/>
        <v>3335</v>
      </c>
      <c r="X22" s="35">
        <f t="shared" si="10"/>
        <v>0.5</v>
      </c>
      <c r="Y22" s="36">
        <f t="shared" si="29"/>
        <v>36685</v>
      </c>
      <c r="Z22" s="203">
        <f>'B5'!C21</f>
        <v>162</v>
      </c>
      <c r="AA22" s="203">
        <f t="shared" si="30"/>
        <v>1620</v>
      </c>
      <c r="AB22" s="203">
        <f t="shared" si="31"/>
        <v>162</v>
      </c>
      <c r="AC22" s="203">
        <f t="shared" si="30"/>
        <v>1620</v>
      </c>
      <c r="AD22" s="203">
        <f t="shared" si="32"/>
        <v>162</v>
      </c>
      <c r="AE22" s="203">
        <f t="shared" si="11"/>
        <v>1620</v>
      </c>
      <c r="AF22" s="203">
        <f t="shared" si="33"/>
        <v>162</v>
      </c>
      <c r="AG22" s="203">
        <f t="shared" si="12"/>
        <v>1620</v>
      </c>
      <c r="AH22" s="203">
        <f t="shared" si="34"/>
        <v>162</v>
      </c>
      <c r="AI22" s="203">
        <f t="shared" si="13"/>
        <v>1620</v>
      </c>
      <c r="AJ22" s="203">
        <f t="shared" si="35"/>
        <v>162</v>
      </c>
      <c r="AK22" s="203">
        <f t="shared" si="14"/>
        <v>1620</v>
      </c>
      <c r="AL22" s="203">
        <f t="shared" si="36"/>
        <v>162</v>
      </c>
      <c r="AM22" s="203">
        <f t="shared" si="15"/>
        <v>1620</v>
      </c>
      <c r="AN22" s="35">
        <f t="shared" si="16"/>
        <v>0.57857142857142863</v>
      </c>
      <c r="AO22" s="36">
        <f t="shared" si="41"/>
        <v>11340</v>
      </c>
      <c r="AQ22" s="223">
        <f t="shared" si="37"/>
        <v>0.51656448316661285</v>
      </c>
      <c r="AR22" s="38">
        <f t="shared" si="38"/>
        <v>48025</v>
      </c>
      <c r="AS22" s="197">
        <f t="shared" si="47"/>
        <v>0</v>
      </c>
      <c r="AT22" s="340"/>
      <c r="AU22" s="549"/>
      <c r="AV22" s="485">
        <f t="shared" si="43"/>
        <v>0.74099999999999999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44610</v>
      </c>
      <c r="B23">
        <f>'B5'!B22</f>
        <v>155</v>
      </c>
      <c r="C23" s="203">
        <f t="shared" si="18"/>
        <v>3335</v>
      </c>
      <c r="D23">
        <f t="shared" si="19"/>
        <v>155</v>
      </c>
      <c r="E23" s="203">
        <f t="shared" si="18"/>
        <v>3335</v>
      </c>
      <c r="F23">
        <f t="shared" si="20"/>
        <v>155</v>
      </c>
      <c r="G23" s="203">
        <f t="shared" si="1"/>
        <v>3335</v>
      </c>
      <c r="H23" s="203">
        <f t="shared" si="21"/>
        <v>155</v>
      </c>
      <c r="I23" s="203">
        <f t="shared" si="2"/>
        <v>3335</v>
      </c>
      <c r="J23" s="203">
        <f t="shared" si="22"/>
        <v>155</v>
      </c>
      <c r="K23" s="203">
        <f t="shared" si="3"/>
        <v>3335</v>
      </c>
      <c r="L23" s="203">
        <f t="shared" si="23"/>
        <v>155</v>
      </c>
      <c r="M23" s="203">
        <f t="shared" si="4"/>
        <v>3335</v>
      </c>
      <c r="N23" s="203">
        <f t="shared" si="24"/>
        <v>155</v>
      </c>
      <c r="O23" s="203">
        <f t="shared" si="5"/>
        <v>3335</v>
      </c>
      <c r="P23" s="203">
        <f t="shared" si="25"/>
        <v>155</v>
      </c>
      <c r="Q23" s="203">
        <f t="shared" si="6"/>
        <v>3335</v>
      </c>
      <c r="R23" s="203">
        <f t="shared" si="26"/>
        <v>155</v>
      </c>
      <c r="S23" s="203">
        <f t="shared" si="7"/>
        <v>3335</v>
      </c>
      <c r="T23" s="203">
        <f t="shared" si="27"/>
        <v>155</v>
      </c>
      <c r="U23" s="203">
        <f t="shared" si="8"/>
        <v>3335</v>
      </c>
      <c r="V23" s="203">
        <f t="shared" si="28"/>
        <v>155</v>
      </c>
      <c r="W23" s="203">
        <f t="shared" si="9"/>
        <v>3335</v>
      </c>
      <c r="X23" s="35">
        <f t="shared" si="10"/>
        <v>0.5</v>
      </c>
      <c r="Y23" s="36">
        <f t="shared" si="29"/>
        <v>36685</v>
      </c>
      <c r="Z23" s="203">
        <f>'B5'!C22</f>
        <v>162</v>
      </c>
      <c r="AA23" s="203">
        <f t="shared" si="30"/>
        <v>1620</v>
      </c>
      <c r="AB23" s="203">
        <f t="shared" si="31"/>
        <v>162</v>
      </c>
      <c r="AC23" s="203">
        <f t="shared" si="30"/>
        <v>1620</v>
      </c>
      <c r="AD23" s="203">
        <f t="shared" si="32"/>
        <v>162</v>
      </c>
      <c r="AE23" s="203">
        <f t="shared" si="11"/>
        <v>1620</v>
      </c>
      <c r="AF23" s="203">
        <f t="shared" si="33"/>
        <v>162</v>
      </c>
      <c r="AG23" s="203">
        <f t="shared" si="12"/>
        <v>1620</v>
      </c>
      <c r="AH23" s="203">
        <f t="shared" si="34"/>
        <v>162</v>
      </c>
      <c r="AI23" s="203">
        <f t="shared" si="13"/>
        <v>1620</v>
      </c>
      <c r="AJ23" s="203">
        <f t="shared" si="35"/>
        <v>162</v>
      </c>
      <c r="AK23" s="203">
        <f t="shared" si="14"/>
        <v>1620</v>
      </c>
      <c r="AL23" s="203">
        <f t="shared" si="36"/>
        <v>162</v>
      </c>
      <c r="AM23" s="203">
        <f t="shared" si="15"/>
        <v>1620</v>
      </c>
      <c r="AN23" s="35">
        <f t="shared" si="16"/>
        <v>0.57857142857142863</v>
      </c>
      <c r="AO23" s="36">
        <f t="shared" si="41"/>
        <v>11340</v>
      </c>
      <c r="AQ23" s="223">
        <f t="shared" si="37"/>
        <v>0.51656448316661285</v>
      </c>
      <c r="AR23" s="38">
        <f t="shared" si="38"/>
        <v>48025</v>
      </c>
      <c r="AS23" s="197">
        <f t="shared" si="47"/>
        <v>0</v>
      </c>
      <c r="AT23" s="340"/>
      <c r="AU23" s="549"/>
      <c r="AV23" s="485">
        <f t="shared" si="43"/>
        <v>0.74099999999999999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155</v>
      </c>
      <c r="C24" s="203">
        <f t="shared" si="18"/>
        <v>3335</v>
      </c>
      <c r="D24">
        <f t="shared" si="19"/>
        <v>155</v>
      </c>
      <c r="E24" s="203">
        <f t="shared" si="18"/>
        <v>3335</v>
      </c>
      <c r="F24">
        <f t="shared" si="20"/>
        <v>155</v>
      </c>
      <c r="G24" s="203">
        <f t="shared" si="1"/>
        <v>3335</v>
      </c>
      <c r="H24" s="203">
        <f t="shared" si="21"/>
        <v>155</v>
      </c>
      <c r="I24" s="203">
        <f t="shared" si="2"/>
        <v>3335</v>
      </c>
      <c r="J24" s="203">
        <f t="shared" si="22"/>
        <v>155</v>
      </c>
      <c r="K24" s="203">
        <f t="shared" si="3"/>
        <v>3335</v>
      </c>
      <c r="L24" s="203">
        <f t="shared" si="23"/>
        <v>155</v>
      </c>
      <c r="M24" s="203">
        <f t="shared" si="4"/>
        <v>3335</v>
      </c>
      <c r="N24" s="203">
        <f t="shared" si="24"/>
        <v>155</v>
      </c>
      <c r="O24" s="203">
        <f t="shared" si="5"/>
        <v>3335</v>
      </c>
      <c r="P24" s="203">
        <f t="shared" si="25"/>
        <v>155</v>
      </c>
      <c r="Q24" s="203">
        <f t="shared" si="6"/>
        <v>3335</v>
      </c>
      <c r="R24" s="203">
        <f t="shared" si="26"/>
        <v>155</v>
      </c>
      <c r="S24" s="203">
        <f t="shared" si="7"/>
        <v>3335</v>
      </c>
      <c r="T24" s="203">
        <f t="shared" si="27"/>
        <v>155</v>
      </c>
      <c r="U24" s="203">
        <f t="shared" si="8"/>
        <v>3335</v>
      </c>
      <c r="V24" s="203">
        <f t="shared" si="28"/>
        <v>155</v>
      </c>
      <c r="W24" s="203">
        <f t="shared" si="9"/>
        <v>3335</v>
      </c>
      <c r="X24" s="35">
        <f t="shared" si="10"/>
        <v>0.5</v>
      </c>
      <c r="Y24" s="36">
        <f t="shared" si="29"/>
        <v>36685</v>
      </c>
      <c r="Z24" s="203">
        <f>'B5'!C23</f>
        <v>162</v>
      </c>
      <c r="AA24" s="203">
        <f t="shared" si="30"/>
        <v>1620</v>
      </c>
      <c r="AB24" s="203">
        <f t="shared" si="31"/>
        <v>162</v>
      </c>
      <c r="AC24" s="203">
        <f t="shared" si="30"/>
        <v>1620</v>
      </c>
      <c r="AD24" s="203">
        <f t="shared" si="32"/>
        <v>162</v>
      </c>
      <c r="AE24" s="203">
        <f t="shared" si="11"/>
        <v>1620</v>
      </c>
      <c r="AF24" s="203">
        <f t="shared" si="33"/>
        <v>162</v>
      </c>
      <c r="AG24" s="203">
        <f t="shared" si="12"/>
        <v>1620</v>
      </c>
      <c r="AH24" s="203">
        <f t="shared" si="34"/>
        <v>162</v>
      </c>
      <c r="AI24" s="203">
        <f t="shared" si="13"/>
        <v>1620</v>
      </c>
      <c r="AJ24" s="203">
        <f t="shared" si="35"/>
        <v>162</v>
      </c>
      <c r="AK24" s="203">
        <f t="shared" si="14"/>
        <v>1620</v>
      </c>
      <c r="AL24" s="203">
        <f t="shared" si="36"/>
        <v>162</v>
      </c>
      <c r="AM24" s="203">
        <f t="shared" si="15"/>
        <v>1620</v>
      </c>
      <c r="AN24" s="35">
        <f t="shared" si="16"/>
        <v>0.57857142857142863</v>
      </c>
      <c r="AO24" s="36">
        <f t="shared" si="41"/>
        <v>11340</v>
      </c>
      <c r="AQ24" s="223">
        <f t="shared" si="37"/>
        <v>0.51656448316661285</v>
      </c>
      <c r="AR24" s="38">
        <f t="shared" si="38"/>
        <v>48025</v>
      </c>
      <c r="AS24" s="197">
        <f t="shared" si="47"/>
        <v>0</v>
      </c>
      <c r="AT24" s="340"/>
      <c r="AU24" s="549"/>
      <c r="AV24" s="485">
        <f t="shared" si="43"/>
        <v>0.74099999999999999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155</v>
      </c>
      <c r="C25" s="203">
        <f t="shared" si="18"/>
        <v>3335</v>
      </c>
      <c r="D25">
        <f t="shared" si="19"/>
        <v>155</v>
      </c>
      <c r="E25" s="203">
        <f t="shared" si="18"/>
        <v>3335</v>
      </c>
      <c r="F25">
        <f t="shared" si="20"/>
        <v>155</v>
      </c>
      <c r="G25" s="203">
        <f t="shared" si="1"/>
        <v>3335</v>
      </c>
      <c r="H25" s="203">
        <f t="shared" si="21"/>
        <v>155</v>
      </c>
      <c r="I25" s="203">
        <f t="shared" si="2"/>
        <v>3335</v>
      </c>
      <c r="J25" s="203">
        <f t="shared" si="22"/>
        <v>155</v>
      </c>
      <c r="K25" s="203">
        <f t="shared" si="3"/>
        <v>3335</v>
      </c>
      <c r="L25" s="203">
        <f t="shared" si="23"/>
        <v>155</v>
      </c>
      <c r="M25" s="203">
        <f t="shared" si="4"/>
        <v>3335</v>
      </c>
      <c r="N25" s="203">
        <f t="shared" si="24"/>
        <v>155</v>
      </c>
      <c r="O25" s="203">
        <f t="shared" si="5"/>
        <v>3335</v>
      </c>
      <c r="P25" s="203">
        <f t="shared" si="25"/>
        <v>155</v>
      </c>
      <c r="Q25" s="203">
        <f t="shared" si="6"/>
        <v>3335</v>
      </c>
      <c r="R25" s="203">
        <f t="shared" si="26"/>
        <v>155</v>
      </c>
      <c r="S25" s="203">
        <f t="shared" si="7"/>
        <v>3335</v>
      </c>
      <c r="T25" s="203">
        <f t="shared" si="27"/>
        <v>155</v>
      </c>
      <c r="U25" s="203">
        <f t="shared" si="8"/>
        <v>3335</v>
      </c>
      <c r="V25" s="203">
        <f t="shared" si="28"/>
        <v>155</v>
      </c>
      <c r="W25" s="203">
        <f t="shared" si="9"/>
        <v>3335</v>
      </c>
      <c r="X25" s="35">
        <f t="shared" si="10"/>
        <v>0.5</v>
      </c>
      <c r="Y25" s="36">
        <f t="shared" si="29"/>
        <v>36685</v>
      </c>
      <c r="Z25" s="203">
        <f>'B5'!C24</f>
        <v>162</v>
      </c>
      <c r="AA25" s="203">
        <f t="shared" si="30"/>
        <v>1620</v>
      </c>
      <c r="AB25" s="203">
        <f t="shared" si="31"/>
        <v>162</v>
      </c>
      <c r="AC25" s="203">
        <f t="shared" si="30"/>
        <v>1620</v>
      </c>
      <c r="AD25" s="203">
        <f t="shared" si="32"/>
        <v>162</v>
      </c>
      <c r="AE25" s="203">
        <f t="shared" si="11"/>
        <v>1620</v>
      </c>
      <c r="AF25" s="203">
        <f t="shared" si="33"/>
        <v>162</v>
      </c>
      <c r="AG25" s="203">
        <f t="shared" si="12"/>
        <v>1620</v>
      </c>
      <c r="AH25" s="203">
        <f t="shared" si="34"/>
        <v>162</v>
      </c>
      <c r="AI25" s="203">
        <f t="shared" si="13"/>
        <v>1620</v>
      </c>
      <c r="AJ25" s="203">
        <f t="shared" si="35"/>
        <v>162</v>
      </c>
      <c r="AK25" s="203">
        <f t="shared" si="14"/>
        <v>1620</v>
      </c>
      <c r="AL25" s="203">
        <f t="shared" si="36"/>
        <v>162</v>
      </c>
      <c r="AM25" s="203">
        <f t="shared" si="15"/>
        <v>1620</v>
      </c>
      <c r="AN25" s="35">
        <f t="shared" si="16"/>
        <v>0.57857142857142863</v>
      </c>
      <c r="AO25" s="36">
        <f t="shared" si="41"/>
        <v>11340</v>
      </c>
      <c r="AQ25" s="223">
        <f t="shared" si="37"/>
        <v>0.51656448316661285</v>
      </c>
      <c r="AR25" s="38">
        <f>Y25+AO25</f>
        <v>48025</v>
      </c>
      <c r="AS25" s="197">
        <f t="shared" si="47"/>
        <v>0</v>
      </c>
      <c r="AT25" s="340"/>
      <c r="AU25" s="550"/>
      <c r="AV25" s="485">
        <f t="shared" si="43"/>
        <v>0.74099999999999999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44613</v>
      </c>
      <c r="B26">
        <f>'B5'!B25</f>
        <v>155</v>
      </c>
      <c r="C26" s="203">
        <f t="shared" si="18"/>
        <v>3335</v>
      </c>
      <c r="D26">
        <f t="shared" si="19"/>
        <v>155</v>
      </c>
      <c r="E26" s="203">
        <f t="shared" si="18"/>
        <v>3335</v>
      </c>
      <c r="F26">
        <f t="shared" si="20"/>
        <v>155</v>
      </c>
      <c r="G26" s="203">
        <f t="shared" si="1"/>
        <v>3335</v>
      </c>
      <c r="H26" s="203">
        <f t="shared" si="21"/>
        <v>155</v>
      </c>
      <c r="I26" s="203">
        <f t="shared" si="2"/>
        <v>3335</v>
      </c>
      <c r="J26" s="203">
        <f t="shared" si="22"/>
        <v>155</v>
      </c>
      <c r="K26" s="203">
        <f t="shared" si="3"/>
        <v>3335</v>
      </c>
      <c r="L26" s="203">
        <f t="shared" si="23"/>
        <v>155</v>
      </c>
      <c r="M26" s="203">
        <f t="shared" si="4"/>
        <v>3335</v>
      </c>
      <c r="N26" s="203">
        <f t="shared" si="24"/>
        <v>155</v>
      </c>
      <c r="O26" s="203">
        <f t="shared" si="5"/>
        <v>3335</v>
      </c>
      <c r="P26" s="203">
        <f t="shared" si="25"/>
        <v>155</v>
      </c>
      <c r="Q26" s="203">
        <f t="shared" si="6"/>
        <v>3335</v>
      </c>
      <c r="R26" s="203">
        <f t="shared" si="26"/>
        <v>155</v>
      </c>
      <c r="S26" s="203">
        <f t="shared" si="7"/>
        <v>3335</v>
      </c>
      <c r="T26" s="203">
        <f t="shared" si="27"/>
        <v>155</v>
      </c>
      <c r="U26" s="203">
        <f t="shared" si="8"/>
        <v>3335</v>
      </c>
      <c r="V26" s="203">
        <f t="shared" si="28"/>
        <v>155</v>
      </c>
      <c r="W26" s="203">
        <f t="shared" si="9"/>
        <v>3335</v>
      </c>
      <c r="X26" s="35">
        <f t="shared" si="10"/>
        <v>0.5</v>
      </c>
      <c r="Y26" s="36">
        <f t="shared" si="29"/>
        <v>36685</v>
      </c>
      <c r="Z26" s="203">
        <f>'B5'!C25</f>
        <v>162</v>
      </c>
      <c r="AA26" s="203">
        <f t="shared" si="30"/>
        <v>1620</v>
      </c>
      <c r="AB26" s="203">
        <f t="shared" si="31"/>
        <v>162</v>
      </c>
      <c r="AC26" s="203">
        <f t="shared" si="30"/>
        <v>1620</v>
      </c>
      <c r="AD26" s="203">
        <f t="shared" si="32"/>
        <v>162</v>
      </c>
      <c r="AE26" s="203">
        <f t="shared" si="11"/>
        <v>1620</v>
      </c>
      <c r="AF26" s="203">
        <f t="shared" si="33"/>
        <v>162</v>
      </c>
      <c r="AG26" s="203">
        <f t="shared" si="12"/>
        <v>1620</v>
      </c>
      <c r="AH26" s="203">
        <f t="shared" si="34"/>
        <v>162</v>
      </c>
      <c r="AI26" s="203">
        <f t="shared" si="13"/>
        <v>1620</v>
      </c>
      <c r="AJ26" s="203">
        <f t="shared" si="35"/>
        <v>162</v>
      </c>
      <c r="AK26" s="203">
        <f t="shared" si="14"/>
        <v>1620</v>
      </c>
      <c r="AL26" s="203">
        <f t="shared" si="36"/>
        <v>162</v>
      </c>
      <c r="AM26" s="203">
        <f t="shared" si="15"/>
        <v>1620</v>
      </c>
      <c r="AN26" s="35">
        <f t="shared" si="16"/>
        <v>0.57857142857142863</v>
      </c>
      <c r="AO26" s="36">
        <f t="shared" si="41"/>
        <v>11340</v>
      </c>
      <c r="AQ26" s="223">
        <f t="shared" si="37"/>
        <v>0.51656448316661285</v>
      </c>
      <c r="AR26" s="38">
        <f t="shared" si="38"/>
        <v>48025</v>
      </c>
      <c r="AS26" s="197">
        <f t="shared" si="47"/>
        <v>0</v>
      </c>
      <c r="AT26" s="340"/>
      <c r="AU26" s="549"/>
      <c r="AV26" s="485">
        <f t="shared" si="43"/>
        <v>0.74099999999999999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155</v>
      </c>
      <c r="C27" s="203">
        <f t="shared" si="18"/>
        <v>3335</v>
      </c>
      <c r="D27">
        <f t="shared" si="19"/>
        <v>155</v>
      </c>
      <c r="E27" s="203">
        <f t="shared" si="18"/>
        <v>3335</v>
      </c>
      <c r="F27">
        <f t="shared" si="20"/>
        <v>155</v>
      </c>
      <c r="G27" s="203">
        <f t="shared" si="1"/>
        <v>3335</v>
      </c>
      <c r="H27" s="203">
        <f t="shared" si="21"/>
        <v>155</v>
      </c>
      <c r="I27" s="203">
        <f t="shared" si="2"/>
        <v>3335</v>
      </c>
      <c r="J27" s="203">
        <f t="shared" si="22"/>
        <v>155</v>
      </c>
      <c r="K27" s="203">
        <f t="shared" si="3"/>
        <v>3335</v>
      </c>
      <c r="L27" s="203">
        <f t="shared" si="23"/>
        <v>155</v>
      </c>
      <c r="M27" s="203">
        <f t="shared" si="4"/>
        <v>3335</v>
      </c>
      <c r="N27" s="203">
        <f t="shared" si="24"/>
        <v>155</v>
      </c>
      <c r="O27" s="203">
        <f t="shared" si="5"/>
        <v>3335</v>
      </c>
      <c r="P27" s="203">
        <f t="shared" si="25"/>
        <v>155</v>
      </c>
      <c r="Q27" s="203">
        <f t="shared" si="6"/>
        <v>3335</v>
      </c>
      <c r="R27" s="203">
        <f t="shared" si="26"/>
        <v>155</v>
      </c>
      <c r="S27" s="203">
        <f t="shared" si="7"/>
        <v>3335</v>
      </c>
      <c r="T27" s="203">
        <f t="shared" si="27"/>
        <v>155</v>
      </c>
      <c r="U27" s="203">
        <f t="shared" si="8"/>
        <v>3335</v>
      </c>
      <c r="V27" s="203">
        <f t="shared" si="28"/>
        <v>155</v>
      </c>
      <c r="W27" s="203">
        <f t="shared" si="9"/>
        <v>3335</v>
      </c>
      <c r="X27" s="35">
        <f t="shared" si="10"/>
        <v>0.5</v>
      </c>
      <c r="Y27" s="36">
        <f t="shared" si="29"/>
        <v>36685</v>
      </c>
      <c r="Z27" s="203">
        <f>'B5'!C26</f>
        <v>162</v>
      </c>
      <c r="AA27" s="203">
        <f t="shared" si="30"/>
        <v>1620</v>
      </c>
      <c r="AB27" s="203">
        <f t="shared" si="31"/>
        <v>162</v>
      </c>
      <c r="AC27" s="203">
        <f t="shared" si="30"/>
        <v>1620</v>
      </c>
      <c r="AD27" s="203">
        <f t="shared" si="32"/>
        <v>162</v>
      </c>
      <c r="AE27" s="203">
        <f t="shared" si="11"/>
        <v>1620</v>
      </c>
      <c r="AF27" s="203">
        <f t="shared" si="33"/>
        <v>162</v>
      </c>
      <c r="AG27" s="203">
        <f t="shared" si="12"/>
        <v>1620</v>
      </c>
      <c r="AH27" s="203">
        <f t="shared" si="34"/>
        <v>162</v>
      </c>
      <c r="AI27" s="203">
        <f t="shared" si="13"/>
        <v>1620</v>
      </c>
      <c r="AJ27" s="203">
        <f t="shared" si="35"/>
        <v>162</v>
      </c>
      <c r="AK27" s="203">
        <f t="shared" si="14"/>
        <v>1620</v>
      </c>
      <c r="AL27" s="203">
        <f t="shared" si="36"/>
        <v>162</v>
      </c>
      <c r="AM27" s="203">
        <f t="shared" si="15"/>
        <v>1620</v>
      </c>
      <c r="AN27" s="35">
        <f t="shared" si="16"/>
        <v>0.57857142857142863</v>
      </c>
      <c r="AO27" s="36">
        <f t="shared" si="41"/>
        <v>11340</v>
      </c>
      <c r="AQ27" s="223">
        <f t="shared" si="37"/>
        <v>0.51656448316661285</v>
      </c>
      <c r="AR27" s="38">
        <f t="shared" si="38"/>
        <v>48025</v>
      </c>
      <c r="AS27" s="197">
        <f t="shared" si="47"/>
        <v>0</v>
      </c>
      <c r="AT27" s="340"/>
      <c r="AU27" s="549"/>
      <c r="AV27" s="485">
        <f t="shared" si="43"/>
        <v>0.74099999999999999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155</v>
      </c>
      <c r="C28" s="203">
        <f t="shared" si="18"/>
        <v>3335</v>
      </c>
      <c r="D28">
        <f t="shared" si="19"/>
        <v>155</v>
      </c>
      <c r="E28" s="203">
        <f t="shared" si="18"/>
        <v>3335</v>
      </c>
      <c r="F28">
        <f t="shared" si="20"/>
        <v>155</v>
      </c>
      <c r="G28" s="203">
        <f t="shared" si="1"/>
        <v>3335</v>
      </c>
      <c r="H28" s="203">
        <f t="shared" si="21"/>
        <v>155</v>
      </c>
      <c r="I28" s="203">
        <f t="shared" si="2"/>
        <v>3335</v>
      </c>
      <c r="J28" s="203">
        <f t="shared" si="22"/>
        <v>155</v>
      </c>
      <c r="K28" s="203">
        <f t="shared" si="3"/>
        <v>3335</v>
      </c>
      <c r="L28" s="203">
        <f t="shared" si="23"/>
        <v>155</v>
      </c>
      <c r="M28" s="203">
        <f t="shared" si="4"/>
        <v>3335</v>
      </c>
      <c r="N28" s="203">
        <f t="shared" si="24"/>
        <v>155</v>
      </c>
      <c r="O28" s="203">
        <f t="shared" si="5"/>
        <v>3335</v>
      </c>
      <c r="P28" s="203">
        <f t="shared" si="25"/>
        <v>155</v>
      </c>
      <c r="Q28" s="203">
        <f t="shared" si="6"/>
        <v>3335</v>
      </c>
      <c r="R28" s="203">
        <f t="shared" si="26"/>
        <v>155</v>
      </c>
      <c r="S28" s="203">
        <f t="shared" si="7"/>
        <v>3335</v>
      </c>
      <c r="T28" s="203">
        <f t="shared" si="27"/>
        <v>155</v>
      </c>
      <c r="U28" s="203">
        <f t="shared" si="8"/>
        <v>3335</v>
      </c>
      <c r="V28" s="203">
        <f t="shared" si="28"/>
        <v>155</v>
      </c>
      <c r="W28" s="203">
        <f t="shared" si="9"/>
        <v>3335</v>
      </c>
      <c r="X28" s="35">
        <f t="shared" si="10"/>
        <v>0.5</v>
      </c>
      <c r="Y28" s="36">
        <f t="shared" si="29"/>
        <v>36685</v>
      </c>
      <c r="Z28" s="203">
        <f>'B5'!C27</f>
        <v>162</v>
      </c>
      <c r="AA28" s="203">
        <f t="shared" si="30"/>
        <v>1620</v>
      </c>
      <c r="AB28" s="203">
        <f t="shared" si="31"/>
        <v>162</v>
      </c>
      <c r="AC28" s="203">
        <f t="shared" si="30"/>
        <v>1620</v>
      </c>
      <c r="AD28" s="203">
        <f t="shared" si="32"/>
        <v>162</v>
      </c>
      <c r="AE28" s="203">
        <f t="shared" si="11"/>
        <v>1620</v>
      </c>
      <c r="AF28" s="203">
        <f t="shared" si="33"/>
        <v>162</v>
      </c>
      <c r="AG28" s="203">
        <f t="shared" si="12"/>
        <v>1620</v>
      </c>
      <c r="AH28" s="203">
        <f t="shared" si="34"/>
        <v>162</v>
      </c>
      <c r="AI28" s="203">
        <f t="shared" si="13"/>
        <v>1620</v>
      </c>
      <c r="AJ28" s="203">
        <f t="shared" si="35"/>
        <v>162</v>
      </c>
      <c r="AK28" s="203">
        <f t="shared" si="14"/>
        <v>1620</v>
      </c>
      <c r="AL28" s="203">
        <f t="shared" si="36"/>
        <v>162</v>
      </c>
      <c r="AM28" s="203">
        <f t="shared" si="15"/>
        <v>1620</v>
      </c>
      <c r="AN28" s="35">
        <f t="shared" si="16"/>
        <v>0.57857142857142863</v>
      </c>
      <c r="AO28" s="36">
        <f t="shared" si="41"/>
        <v>11340</v>
      </c>
      <c r="AQ28" s="223">
        <f t="shared" si="37"/>
        <v>0.51656448316661285</v>
      </c>
      <c r="AR28" s="38">
        <f t="shared" si="38"/>
        <v>48025</v>
      </c>
      <c r="AS28" s="197">
        <f t="shared" si="47"/>
        <v>0</v>
      </c>
      <c r="AT28" s="340"/>
      <c r="AU28" s="550"/>
      <c r="AV28" s="485">
        <f t="shared" si="43"/>
        <v>0.74099999999999999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155</v>
      </c>
      <c r="C29" s="203">
        <f t="shared" si="18"/>
        <v>3335</v>
      </c>
      <c r="D29">
        <f t="shared" si="19"/>
        <v>155</v>
      </c>
      <c r="E29" s="203">
        <f t="shared" si="18"/>
        <v>3335</v>
      </c>
      <c r="F29">
        <f t="shared" si="20"/>
        <v>155</v>
      </c>
      <c r="G29" s="203">
        <f t="shared" si="1"/>
        <v>3335</v>
      </c>
      <c r="H29" s="203">
        <f t="shared" si="21"/>
        <v>155</v>
      </c>
      <c r="I29" s="203">
        <f t="shared" si="2"/>
        <v>3335</v>
      </c>
      <c r="J29" s="203">
        <f t="shared" si="22"/>
        <v>155</v>
      </c>
      <c r="K29" s="203">
        <f t="shared" si="3"/>
        <v>3335</v>
      </c>
      <c r="L29" s="203">
        <f t="shared" si="23"/>
        <v>155</v>
      </c>
      <c r="M29" s="203">
        <f t="shared" si="4"/>
        <v>3335</v>
      </c>
      <c r="N29" s="203">
        <f t="shared" si="24"/>
        <v>155</v>
      </c>
      <c r="O29" s="203">
        <f t="shared" si="5"/>
        <v>3335</v>
      </c>
      <c r="P29" s="203">
        <f t="shared" si="25"/>
        <v>155</v>
      </c>
      <c r="Q29" s="203">
        <f t="shared" si="6"/>
        <v>3335</v>
      </c>
      <c r="R29" s="203">
        <f t="shared" si="26"/>
        <v>155</v>
      </c>
      <c r="S29" s="203">
        <f t="shared" si="7"/>
        <v>3335</v>
      </c>
      <c r="T29" s="203">
        <f t="shared" si="27"/>
        <v>155</v>
      </c>
      <c r="U29" s="203">
        <f t="shared" si="8"/>
        <v>3335</v>
      </c>
      <c r="V29" s="203">
        <f t="shared" si="28"/>
        <v>155</v>
      </c>
      <c r="W29" s="203">
        <f t="shared" si="9"/>
        <v>3335</v>
      </c>
      <c r="X29" s="35">
        <f t="shared" si="10"/>
        <v>0.5</v>
      </c>
      <c r="Y29" s="36">
        <f t="shared" si="29"/>
        <v>36685</v>
      </c>
      <c r="Z29" s="203">
        <f>'B5'!C28</f>
        <v>162</v>
      </c>
      <c r="AA29" s="203">
        <f t="shared" si="30"/>
        <v>1620</v>
      </c>
      <c r="AB29" s="203">
        <f t="shared" si="31"/>
        <v>162</v>
      </c>
      <c r="AC29" s="203">
        <f t="shared" si="30"/>
        <v>1620</v>
      </c>
      <c r="AD29" s="203">
        <f t="shared" si="32"/>
        <v>162</v>
      </c>
      <c r="AE29" s="203">
        <f t="shared" si="11"/>
        <v>1620</v>
      </c>
      <c r="AF29" s="203">
        <f t="shared" si="33"/>
        <v>162</v>
      </c>
      <c r="AG29" s="203">
        <f t="shared" si="12"/>
        <v>1620</v>
      </c>
      <c r="AH29" s="203">
        <f t="shared" si="34"/>
        <v>162</v>
      </c>
      <c r="AI29" s="203">
        <f t="shared" si="13"/>
        <v>1620</v>
      </c>
      <c r="AJ29" s="203">
        <f t="shared" si="35"/>
        <v>162</v>
      </c>
      <c r="AK29" s="203">
        <f t="shared" si="14"/>
        <v>1620</v>
      </c>
      <c r="AL29" s="203">
        <f t="shared" si="36"/>
        <v>162</v>
      </c>
      <c r="AM29" s="203">
        <f t="shared" si="15"/>
        <v>1620</v>
      </c>
      <c r="AN29" s="35">
        <f t="shared" si="16"/>
        <v>0.57857142857142863</v>
      </c>
      <c r="AO29" s="36">
        <f t="shared" si="41"/>
        <v>11340</v>
      </c>
      <c r="AQ29" s="223">
        <f t="shared" si="37"/>
        <v>0.51656448316661285</v>
      </c>
      <c r="AR29" s="38">
        <f t="shared" si="38"/>
        <v>48025</v>
      </c>
      <c r="AS29" s="197">
        <f>SUM(AR29-AR28-AT29)</f>
        <v>0</v>
      </c>
      <c r="AT29" s="340"/>
      <c r="AU29" s="550"/>
      <c r="AV29" s="485">
        <f t="shared" si="43"/>
        <v>0.74099999999999999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155</v>
      </c>
      <c r="C30" s="203">
        <f t="shared" si="18"/>
        <v>3335</v>
      </c>
      <c r="D30">
        <f>SUM(B30)</f>
        <v>155</v>
      </c>
      <c r="E30" s="203">
        <f t="shared" si="18"/>
        <v>3335</v>
      </c>
      <c r="F30">
        <f>SUM(D30)</f>
        <v>155</v>
      </c>
      <c r="G30" s="203">
        <f t="shared" si="1"/>
        <v>3335</v>
      </c>
      <c r="H30" s="203">
        <f>SUM(F30)</f>
        <v>155</v>
      </c>
      <c r="I30" s="203">
        <f t="shared" si="2"/>
        <v>3335</v>
      </c>
      <c r="J30" s="203">
        <f>SUM(H30)</f>
        <v>155</v>
      </c>
      <c r="K30" s="203">
        <f t="shared" si="3"/>
        <v>3335</v>
      </c>
      <c r="L30" s="203">
        <f>SUM(J30)</f>
        <v>155</v>
      </c>
      <c r="M30" s="203">
        <f t="shared" si="4"/>
        <v>3335</v>
      </c>
      <c r="N30" s="203">
        <f>SUM(L30)</f>
        <v>155</v>
      </c>
      <c r="O30" s="203">
        <f t="shared" si="5"/>
        <v>3335</v>
      </c>
      <c r="P30" s="203">
        <f>SUM(N30)</f>
        <v>155</v>
      </c>
      <c r="Q30" s="203">
        <f t="shared" si="6"/>
        <v>3335</v>
      </c>
      <c r="R30" s="203">
        <f>SUM(P30)</f>
        <v>155</v>
      </c>
      <c r="S30" s="203">
        <f t="shared" si="7"/>
        <v>3335</v>
      </c>
      <c r="T30" s="203">
        <f>SUM(R30)</f>
        <v>155</v>
      </c>
      <c r="U30" s="203">
        <f t="shared" si="8"/>
        <v>3335</v>
      </c>
      <c r="V30" s="203">
        <f>SUM(T30)</f>
        <v>155</v>
      </c>
      <c r="W30" s="203">
        <f t="shared" si="9"/>
        <v>3335</v>
      </c>
      <c r="X30" s="35">
        <f>SUM(Y30/73370)</f>
        <v>0.5</v>
      </c>
      <c r="Y30" s="36">
        <f>SUM(C30+E30+G30+I30+K30+M30+O30+Q30+S30+U30+W30)</f>
        <v>36685</v>
      </c>
      <c r="Z30" s="203">
        <f>'B5'!C29</f>
        <v>162</v>
      </c>
      <c r="AA30" s="203">
        <f t="shared" si="30"/>
        <v>1620</v>
      </c>
      <c r="AB30" s="203">
        <f>SUM(Z30)</f>
        <v>162</v>
      </c>
      <c r="AC30" s="203">
        <f t="shared" si="30"/>
        <v>1620</v>
      </c>
      <c r="AD30" s="203">
        <f>SUM(AB30)</f>
        <v>162</v>
      </c>
      <c r="AE30" s="203">
        <f t="shared" si="11"/>
        <v>1620</v>
      </c>
      <c r="AF30" s="203">
        <f>SUM(AD30)</f>
        <v>162</v>
      </c>
      <c r="AG30" s="203">
        <f t="shared" si="12"/>
        <v>1620</v>
      </c>
      <c r="AH30" s="203">
        <f>SUM(AF30)</f>
        <v>162</v>
      </c>
      <c r="AI30" s="203">
        <f t="shared" si="13"/>
        <v>1620</v>
      </c>
      <c r="AJ30" s="203">
        <f>SUM(AH30)</f>
        <v>162</v>
      </c>
      <c r="AK30" s="203">
        <f t="shared" si="14"/>
        <v>1620</v>
      </c>
      <c r="AL30" s="203">
        <f>SUM(AJ30)</f>
        <v>162</v>
      </c>
      <c r="AM30" s="203">
        <f t="shared" si="15"/>
        <v>1620</v>
      </c>
      <c r="AN30" s="35">
        <f>SUM(AO30/19600)</f>
        <v>0.57857142857142863</v>
      </c>
      <c r="AO30" s="36">
        <f>SUM(AA30+AC30+AE30+AG30+AI30+AK30+AM30)</f>
        <v>11340</v>
      </c>
      <c r="AQ30" s="223">
        <f t="shared" si="37"/>
        <v>0.51656448316661285</v>
      </c>
      <c r="AR30" s="38">
        <f t="shared" si="38"/>
        <v>48025</v>
      </c>
      <c r="AS30" s="197">
        <f>SUM(AR30-AR29-AT30)</f>
        <v>0</v>
      </c>
      <c r="AT30" s="340"/>
      <c r="AU30" s="550"/>
      <c r="AV30" s="485">
        <f t="shared" si="43"/>
        <v>0.74099999999999999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155</v>
      </c>
      <c r="C31" s="203">
        <f t="shared" si="18"/>
        <v>3335</v>
      </c>
      <c r="D31">
        <f>SUM(B31)</f>
        <v>155</v>
      </c>
      <c r="E31" s="203">
        <f t="shared" si="18"/>
        <v>3335</v>
      </c>
      <c r="F31">
        <f>SUM(D31)</f>
        <v>155</v>
      </c>
      <c r="G31" s="203">
        <f t="shared" si="1"/>
        <v>3335</v>
      </c>
      <c r="H31" s="203">
        <f>SUM(F31)</f>
        <v>155</v>
      </c>
      <c r="I31" s="203">
        <f t="shared" si="2"/>
        <v>3335</v>
      </c>
      <c r="J31" s="203">
        <f>SUM(H31)</f>
        <v>155</v>
      </c>
      <c r="K31" s="203">
        <f t="shared" si="3"/>
        <v>3335</v>
      </c>
      <c r="L31" s="203">
        <f>SUM(J31)</f>
        <v>155</v>
      </c>
      <c r="M31" s="203">
        <f t="shared" si="4"/>
        <v>3335</v>
      </c>
      <c r="N31" s="203">
        <f>SUM(L31)</f>
        <v>155</v>
      </c>
      <c r="O31" s="203">
        <f t="shared" si="5"/>
        <v>3335</v>
      </c>
      <c r="P31" s="203">
        <f>SUM(N31)</f>
        <v>155</v>
      </c>
      <c r="Q31" s="203">
        <f t="shared" si="6"/>
        <v>3335</v>
      </c>
      <c r="R31" s="203">
        <f>SUM(P31)</f>
        <v>155</v>
      </c>
      <c r="S31" s="203">
        <f t="shared" si="7"/>
        <v>3335</v>
      </c>
      <c r="T31" s="203">
        <f>SUM(R31)</f>
        <v>155</v>
      </c>
      <c r="U31" s="203">
        <f t="shared" si="8"/>
        <v>3335</v>
      </c>
      <c r="V31" s="203">
        <f>SUM(T31)</f>
        <v>155</v>
      </c>
      <c r="W31" s="203">
        <f t="shared" si="9"/>
        <v>3335</v>
      </c>
      <c r="X31" s="35">
        <f>SUM(Y31/73370)</f>
        <v>0.5</v>
      </c>
      <c r="Y31" s="36">
        <f>SUM(C31+E31+G31+I31+K31+M31+O31+Q31+S31+U31+W31)</f>
        <v>36685</v>
      </c>
      <c r="Z31" s="203">
        <f>'B5'!C30</f>
        <v>162</v>
      </c>
      <c r="AA31" s="203">
        <f t="shared" si="30"/>
        <v>1620</v>
      </c>
      <c r="AB31" s="203">
        <f>SUM(Z31)</f>
        <v>162</v>
      </c>
      <c r="AC31" s="203">
        <f t="shared" si="30"/>
        <v>1620</v>
      </c>
      <c r="AD31" s="203">
        <f>SUM(AB31)</f>
        <v>162</v>
      </c>
      <c r="AE31" s="203">
        <f t="shared" si="11"/>
        <v>1620</v>
      </c>
      <c r="AF31" s="203">
        <f>SUM(AD31)</f>
        <v>162</v>
      </c>
      <c r="AG31" s="203">
        <f t="shared" si="12"/>
        <v>1620</v>
      </c>
      <c r="AH31" s="203">
        <f>SUM(AF31)</f>
        <v>162</v>
      </c>
      <c r="AI31" s="203">
        <f t="shared" si="13"/>
        <v>1620</v>
      </c>
      <c r="AJ31" s="203">
        <f>SUM(AH31)</f>
        <v>162</v>
      </c>
      <c r="AK31" s="203">
        <f t="shared" si="14"/>
        <v>1620</v>
      </c>
      <c r="AL31" s="203">
        <f>SUM(AJ31)</f>
        <v>162</v>
      </c>
      <c r="AM31" s="203">
        <f t="shared" si="15"/>
        <v>1620</v>
      </c>
      <c r="AN31" s="35">
        <f>SUM(AO31/19600)</f>
        <v>0.57857142857142863</v>
      </c>
      <c r="AO31" s="36">
        <f>SUM(AA31+AC31+AE31+AG31+AI31+AK31+AM31)</f>
        <v>11340</v>
      </c>
      <c r="AQ31" s="223">
        <f t="shared" si="37"/>
        <v>0.51656448316661285</v>
      </c>
      <c r="AR31" s="38">
        <f t="shared" si="38"/>
        <v>48025</v>
      </c>
      <c r="AS31" s="197">
        <f t="shared" si="47"/>
        <v>0</v>
      </c>
      <c r="AT31" s="340"/>
      <c r="AU31" s="575"/>
      <c r="AV31" s="485">
        <f t="shared" si="43"/>
        <v>0.74099999999999999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155</v>
      </c>
      <c r="C32" s="203">
        <f t="shared" si="18"/>
        <v>3335</v>
      </c>
      <c r="D32">
        <f>SUM(B32)</f>
        <v>155</v>
      </c>
      <c r="E32" s="203">
        <f t="shared" si="18"/>
        <v>3335</v>
      </c>
      <c r="F32">
        <f>SUM(D32)</f>
        <v>155</v>
      </c>
      <c r="G32" s="203">
        <f t="shared" si="1"/>
        <v>3335</v>
      </c>
      <c r="H32" s="203">
        <f>SUM(F32)</f>
        <v>155</v>
      </c>
      <c r="I32" s="203">
        <f t="shared" si="2"/>
        <v>3335</v>
      </c>
      <c r="J32" s="203">
        <f>SUM(H32)</f>
        <v>155</v>
      </c>
      <c r="K32" s="203">
        <f t="shared" si="3"/>
        <v>3335</v>
      </c>
      <c r="L32" s="203">
        <f>SUM(J32)</f>
        <v>155</v>
      </c>
      <c r="M32" s="203">
        <f t="shared" si="4"/>
        <v>3335</v>
      </c>
      <c r="N32" s="203">
        <f>SUM(L32)</f>
        <v>155</v>
      </c>
      <c r="O32" s="203">
        <f t="shared" si="5"/>
        <v>3335</v>
      </c>
      <c r="P32" s="203">
        <f>SUM(N32)</f>
        <v>155</v>
      </c>
      <c r="Q32" s="203">
        <f t="shared" si="6"/>
        <v>3335</v>
      </c>
      <c r="R32" s="203">
        <f>SUM(P32)</f>
        <v>155</v>
      </c>
      <c r="S32" s="203">
        <f t="shared" si="7"/>
        <v>3335</v>
      </c>
      <c r="T32" s="203">
        <f>SUM(R32)</f>
        <v>155</v>
      </c>
      <c r="U32" s="203">
        <f t="shared" si="8"/>
        <v>3335</v>
      </c>
      <c r="V32" s="203">
        <f>SUM(T32)</f>
        <v>155</v>
      </c>
      <c r="W32" s="203">
        <f t="shared" si="9"/>
        <v>3335</v>
      </c>
      <c r="X32" s="35">
        <f>SUM(Y32/73370)</f>
        <v>0.5</v>
      </c>
      <c r="Y32" s="36">
        <f>SUM(C32+E32+G32+I32+K32+M32+O32+Q32+S32+U32+W32)</f>
        <v>36685</v>
      </c>
      <c r="Z32" s="203">
        <f>'B5'!C31</f>
        <v>162</v>
      </c>
      <c r="AA32" s="203">
        <f t="shared" si="30"/>
        <v>1620</v>
      </c>
      <c r="AB32" s="203">
        <f>SUM(Z32)</f>
        <v>162</v>
      </c>
      <c r="AC32" s="203">
        <f t="shared" si="30"/>
        <v>1620</v>
      </c>
      <c r="AD32" s="203">
        <f>SUM(AB32)</f>
        <v>162</v>
      </c>
      <c r="AE32" s="203">
        <f t="shared" si="11"/>
        <v>1620</v>
      </c>
      <c r="AF32" s="203">
        <f>SUM(AD32)</f>
        <v>162</v>
      </c>
      <c r="AG32" s="203">
        <f t="shared" si="12"/>
        <v>1620</v>
      </c>
      <c r="AH32" s="203">
        <f>SUM(AF32)</f>
        <v>162</v>
      </c>
      <c r="AI32" s="203">
        <f t="shared" si="13"/>
        <v>1620</v>
      </c>
      <c r="AJ32" s="203">
        <f>SUM(AH32)</f>
        <v>162</v>
      </c>
      <c r="AK32" s="203">
        <f t="shared" si="14"/>
        <v>1620</v>
      </c>
      <c r="AL32" s="203">
        <f>SUM(AJ32)</f>
        <v>162</v>
      </c>
      <c r="AM32" s="203">
        <f t="shared" si="15"/>
        <v>1620</v>
      </c>
      <c r="AN32" s="35">
        <f>SUM(AO32/19600)</f>
        <v>0.57857142857142863</v>
      </c>
      <c r="AO32" s="36">
        <f>SUM(AA32+AC32+AE32+AG32+AI32+AK32+AM32)</f>
        <v>11340</v>
      </c>
      <c r="AQ32" s="223">
        <f t="shared" si="37"/>
        <v>0.51656448316661285</v>
      </c>
      <c r="AR32" s="38">
        <f t="shared" si="38"/>
        <v>48025</v>
      </c>
      <c r="AS32" s="197">
        <f t="shared" si="47"/>
        <v>0</v>
      </c>
      <c r="AT32" s="340"/>
      <c r="AU32" s="549"/>
      <c r="AV32" s="485">
        <f>IF(AT32&gt;0,AU32,AV31)</f>
        <v>0.74099999999999999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155</v>
      </c>
      <c r="C33" s="203">
        <f t="shared" si="18"/>
        <v>3335</v>
      </c>
      <c r="D33">
        <f>SUM(B33)</f>
        <v>155</v>
      </c>
      <c r="E33" s="203">
        <f t="shared" si="18"/>
        <v>3335</v>
      </c>
      <c r="F33">
        <f>SUM(D33)</f>
        <v>155</v>
      </c>
      <c r="G33" s="203">
        <f t="shared" si="1"/>
        <v>3335</v>
      </c>
      <c r="H33" s="203">
        <f>SUM(F33)</f>
        <v>155</v>
      </c>
      <c r="I33" s="203">
        <f t="shared" si="2"/>
        <v>3335</v>
      </c>
      <c r="J33" s="203">
        <f>SUM(H33)</f>
        <v>155</v>
      </c>
      <c r="K33" s="203">
        <f t="shared" si="3"/>
        <v>3335</v>
      </c>
      <c r="L33" s="203">
        <f>SUM(J33)</f>
        <v>155</v>
      </c>
      <c r="M33" s="203">
        <f t="shared" si="4"/>
        <v>3335</v>
      </c>
      <c r="N33" s="203">
        <f>SUM(L33)</f>
        <v>155</v>
      </c>
      <c r="O33" s="203">
        <f t="shared" si="5"/>
        <v>3335</v>
      </c>
      <c r="P33" s="203">
        <f>SUM(N33)</f>
        <v>155</v>
      </c>
      <c r="Q33" s="203">
        <f t="shared" si="6"/>
        <v>3335</v>
      </c>
      <c r="R33" s="203">
        <f>SUM(P33)</f>
        <v>155</v>
      </c>
      <c r="S33" s="203">
        <f t="shared" si="7"/>
        <v>3335</v>
      </c>
      <c r="T33" s="203">
        <f>SUM(R33)</f>
        <v>155</v>
      </c>
      <c r="U33" s="203">
        <f t="shared" si="8"/>
        <v>3335</v>
      </c>
      <c r="V33" s="203">
        <f>SUM(T33)</f>
        <v>155</v>
      </c>
      <c r="W33" s="203">
        <f t="shared" si="9"/>
        <v>3335</v>
      </c>
      <c r="X33" s="35">
        <f>SUM(Y33/73370)</f>
        <v>0.5</v>
      </c>
      <c r="Y33" s="36">
        <f>SUM(C33+E33+G33+I33+K33+M33+O33+Q33+S33+U33+W33)</f>
        <v>36685</v>
      </c>
      <c r="Z33" s="203">
        <f>'B5'!C32</f>
        <v>162</v>
      </c>
      <c r="AA33" s="203">
        <f t="shared" si="30"/>
        <v>1620</v>
      </c>
      <c r="AB33" s="203">
        <f>SUM(Z33)</f>
        <v>162</v>
      </c>
      <c r="AC33" s="203">
        <f t="shared" si="30"/>
        <v>1620</v>
      </c>
      <c r="AD33" s="203">
        <f>SUM(AB33)</f>
        <v>162</v>
      </c>
      <c r="AE33" s="203">
        <f t="shared" si="11"/>
        <v>1620</v>
      </c>
      <c r="AF33" s="203">
        <f>SUM(AD33)</f>
        <v>162</v>
      </c>
      <c r="AG33" s="203">
        <f t="shared" si="12"/>
        <v>1620</v>
      </c>
      <c r="AH33" s="203">
        <f>SUM(AF33)</f>
        <v>162</v>
      </c>
      <c r="AI33" s="203">
        <f t="shared" si="13"/>
        <v>1620</v>
      </c>
      <c r="AJ33" s="203">
        <f>SUM(AH33)</f>
        <v>162</v>
      </c>
      <c r="AK33" s="203">
        <f t="shared" si="14"/>
        <v>1620</v>
      </c>
      <c r="AL33" s="203">
        <f>SUM(AJ33)</f>
        <v>162</v>
      </c>
      <c r="AM33" s="203">
        <f t="shared" si="15"/>
        <v>1620</v>
      </c>
      <c r="AN33" s="35">
        <f>SUM(AO33/19600)</f>
        <v>0.57857142857142863</v>
      </c>
      <c r="AO33" s="36">
        <f>SUM(AA33+AC33+AE33+AG33+AI33+AK33+AM33)</f>
        <v>11340</v>
      </c>
      <c r="AQ33" s="223">
        <f t="shared" si="37"/>
        <v>0.51656448316661285</v>
      </c>
      <c r="AR33" s="38">
        <f t="shared" si="38"/>
        <v>48025</v>
      </c>
      <c r="AS33" s="197">
        <f>SUM(AR33-AR32-AT33)</f>
        <v>0</v>
      </c>
      <c r="AT33" s="340"/>
      <c r="AU33" s="549"/>
      <c r="AV33" s="485">
        <f>IF(AT33&gt;0,AU33,AV32)</f>
        <v>0.74099999999999999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19565</v>
      </c>
      <c r="AU37" s="545">
        <f>SUM(AU6:AU36)/AS37</f>
        <v>0.75366666666666671</v>
      </c>
      <c r="AX37" s="203">
        <f>SUM(AX6:AX36)</f>
        <v>-17466.741935483864</v>
      </c>
      <c r="AY37" s="203">
        <f>SUM(AY6:AY36)</f>
        <v>-21711.741935483864</v>
      </c>
    </row>
    <row r="38" spans="1:63">
      <c r="AS38" s="206"/>
      <c r="AT38" s="82">
        <f>+AT37*AU37</f>
        <v>14745.488333333335</v>
      </c>
    </row>
    <row r="40" spans="1:63">
      <c r="AS40" s="165">
        <f>SUM(AS6:AS36)/'EDl log'!A35</f>
        <v>-4342.348387096773</v>
      </c>
      <c r="AT40" s="203"/>
    </row>
    <row r="41" spans="1:63">
      <c r="AX41">
        <v>43309</v>
      </c>
    </row>
    <row r="42" spans="1:63">
      <c r="AR42" s="203">
        <f>AR33-22000</f>
        <v>26025</v>
      </c>
      <c r="AU42" s="203"/>
      <c r="AX42">
        <f>AX37/AX41</f>
        <v>-0.4033051313926404</v>
      </c>
    </row>
    <row r="43" spans="1:63">
      <c r="AR43">
        <f>AR42/5500</f>
        <v>4.7318181818181815</v>
      </c>
    </row>
    <row r="44" spans="1:63">
      <c r="AR44">
        <f>AR43*2</f>
        <v>9.463636363636363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P16" sqref="P1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1714.6646021505301</v>
      </c>
      <c r="R4" s="285">
        <f>SUM(P4:Q4)</f>
        <v>1939.1535147304874</v>
      </c>
      <c r="S4" s="287">
        <f>SUM(ELEC!N4)</f>
        <v>7726.7999999998137</v>
      </c>
      <c r="T4" s="321">
        <f>IF(S4&gt;0,R4/S4,0)</f>
        <v>0.25096463150729076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1469.9660537634372</v>
      </c>
      <c r="R5" s="285">
        <f t="shared" ref="R5:R30" si="10">SUM(P5:Q5)</f>
        <v>1657.7849829271424</v>
      </c>
      <c r="S5" s="287">
        <f>SUM(ELEC!N5)</f>
        <v>4558</v>
      </c>
      <c r="T5" s="321">
        <f>IF(S5&gt;0,R5/S5,0)</f>
        <v>0.3637088597909483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1552.8693870967761</v>
      </c>
      <c r="R6" s="285">
        <f t="shared" si="10"/>
        <v>1724.2584655142127</v>
      </c>
      <c r="S6" s="287">
        <f>SUM(ELEC!N6)</f>
        <v>5673</v>
      </c>
      <c r="T6" s="321">
        <f t="shared" ref="T6:T30" si="16">IF(S6&gt;0,R6/S6,0)</f>
        <v>0.3039412066832739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810.53203225807113</v>
      </c>
      <c r="R9" s="285">
        <f>SUM(P9:Q9)</f>
        <v>993.58545561746462</v>
      </c>
      <c r="S9" s="287">
        <f>SUM(ELEC!N9)</f>
        <v>7240.3999999999069</v>
      </c>
      <c r="T9" s="321">
        <f t="shared" si="16"/>
        <v>0.13722797851188848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1367.1513333333335</v>
      </c>
      <c r="R10" s="285">
        <f t="shared" si="10"/>
        <v>1538.5404117507701</v>
      </c>
      <c r="S10" s="287">
        <f>SUM(ELEC!N10)</f>
        <v>5591.6000000000931</v>
      </c>
      <c r="T10" s="321">
        <f t="shared" si="16"/>
        <v>0.27515208737226277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1217.2202903225739</v>
      </c>
      <c r="R12" s="285">
        <f t="shared" si="10"/>
        <v>1388.6093687400105</v>
      </c>
      <c r="S12" s="287">
        <f>SUM(ELEC!N12)</f>
        <v>4598</v>
      </c>
      <c r="T12" s="321">
        <f t="shared" si="16"/>
        <v>0.30200290751196401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1521.215387096787</v>
      </c>
      <c r="R13" s="285">
        <f t="shared" si="10"/>
        <v>1735.4091089636431</v>
      </c>
      <c r="S13" s="287">
        <f>SUM(ELEC!N13)</f>
        <v>5970</v>
      </c>
      <c r="T13" s="321">
        <f>IF(S13&gt;0,R13/S13,0)</f>
        <v>0.29068829295873422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753.95840860214207</v>
      </c>
      <c r="R16" s="285">
        <f>SUM(P16:Q16)</f>
        <v>958.65295965639461</v>
      </c>
      <c r="S16" s="287">
        <f>SUM(ELEC!N16)</f>
        <v>6925</v>
      </c>
      <c r="T16" s="321">
        <f>IF(S16&gt;0,R16/S16,0)</f>
        <v>0.1384336403835949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1369.2178387096831</v>
      </c>
      <c r="R17" s="285">
        <f>SUM(P17:Q17)</f>
        <v>1540.6069171271197</v>
      </c>
      <c r="S17" s="287">
        <f>SUM(ELEC!N17)</f>
        <v>6020</v>
      </c>
      <c r="T17" s="321">
        <f>IF(S17&gt;0,R17/S17,0)</f>
        <v>0.25591477028689696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f t="shared" si="11"/>
        <v>1110719</v>
      </c>
      <c r="C18" s="254">
        <f>SUM(B18-B17)</f>
        <v>0</v>
      </c>
      <c r="D18" s="295">
        <f>SUM(G18+I18+K18)</f>
        <v>0</v>
      </c>
      <c r="E18" s="295">
        <f t="shared" si="13"/>
        <v>1110719</v>
      </c>
      <c r="F18" s="617">
        <f t="shared" si="7"/>
        <v>160854</v>
      </c>
      <c r="G18" s="160">
        <f t="shared" si="1"/>
        <v>0</v>
      </c>
      <c r="H18" s="617">
        <f t="shared" si="14"/>
        <v>549232</v>
      </c>
      <c r="I18" s="161">
        <f t="shared" si="2"/>
        <v>0</v>
      </c>
      <c r="J18" s="617">
        <f t="shared" si="15"/>
        <v>400632</v>
      </c>
      <c r="K18" s="162">
        <f t="shared" si="8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171.38907841743662</v>
      </c>
      <c r="P18" s="285">
        <f t="shared" si="9"/>
        <v>171.38907841743662</v>
      </c>
      <c r="Q18" s="285">
        <f>SUM(-tanks!AX20*tanks!$AU$37)</f>
        <v>1387.3058387096721</v>
      </c>
      <c r="R18" s="285">
        <f t="shared" si="10"/>
        <v>1558.6949171271087</v>
      </c>
      <c r="S18" s="287">
        <f>SUM(ELEC!N18)</f>
        <v>5276</v>
      </c>
      <c r="T18" s="321">
        <f t="shared" si="16"/>
        <v>0.29543118216965669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f t="shared" si="11"/>
        <v>1110719</v>
      </c>
      <c r="C19" s="254">
        <f t="shared" si="0"/>
        <v>0</v>
      </c>
      <c r="D19" s="295">
        <f t="shared" si="12"/>
        <v>0</v>
      </c>
      <c r="E19" s="295">
        <f t="shared" si="13"/>
        <v>1110719</v>
      </c>
      <c r="F19" s="617">
        <f t="shared" si="7"/>
        <v>160854</v>
      </c>
      <c r="G19" s="160">
        <f t="shared" si="1"/>
        <v>0</v>
      </c>
      <c r="H19" s="617">
        <f t="shared" si="14"/>
        <v>549232</v>
      </c>
      <c r="I19" s="161">
        <f t="shared" si="2"/>
        <v>0</v>
      </c>
      <c r="J19" s="617">
        <f t="shared" si="15"/>
        <v>400632</v>
      </c>
      <c r="K19" s="162">
        <f t="shared" si="8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171.38907841743662</v>
      </c>
      <c r="P19" s="285">
        <f>SUM(L19:O19)</f>
        <v>171.38907841743662</v>
      </c>
      <c r="Q19" s="285">
        <f>SUM(-tanks!AX21*tanks!$AU$37)</f>
        <v>0</v>
      </c>
      <c r="R19" s="285">
        <f>SUM(P19:Q19)</f>
        <v>171.38907841743662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1110719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160854</v>
      </c>
      <c r="G20" s="160">
        <f t="shared" si="1"/>
        <v>0</v>
      </c>
      <c r="H20" s="617">
        <f t="shared" si="14"/>
        <v>549232</v>
      </c>
      <c r="I20" s="161">
        <f t="shared" si="2"/>
        <v>0</v>
      </c>
      <c r="J20" s="617">
        <f t="shared" si="15"/>
        <v>400632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0</v>
      </c>
      <c r="R20" s="285">
        <f t="shared" si="10"/>
        <v>171.38907841743662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1110719</v>
      </c>
      <c r="C21" s="254">
        <f t="shared" si="0"/>
        <v>0</v>
      </c>
      <c r="D21" s="295">
        <f t="shared" si="12"/>
        <v>0</v>
      </c>
      <c r="E21" s="295">
        <f t="shared" si="13"/>
        <v>1110719</v>
      </c>
      <c r="F21" s="617">
        <f t="shared" si="7"/>
        <v>160854</v>
      </c>
      <c r="G21" s="160">
        <f t="shared" si="1"/>
        <v>0</v>
      </c>
      <c r="H21" s="617">
        <f t="shared" si="14"/>
        <v>549232</v>
      </c>
      <c r="I21" s="161">
        <f t="shared" si="2"/>
        <v>0</v>
      </c>
      <c r="J21" s="617">
        <f t="shared" si="15"/>
        <v>400632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44611</v>
      </c>
      <c r="B22" s="617">
        <f t="shared" si="11"/>
        <v>1110719</v>
      </c>
      <c r="C22" s="254">
        <f t="shared" si="0"/>
        <v>0</v>
      </c>
      <c r="D22" s="295">
        <f t="shared" si="12"/>
        <v>0</v>
      </c>
      <c r="E22" s="295">
        <f t="shared" si="13"/>
        <v>1110719</v>
      </c>
      <c r="F22" s="617">
        <f t="shared" si="7"/>
        <v>160854</v>
      </c>
      <c r="G22" s="160">
        <f t="shared" si="1"/>
        <v>0</v>
      </c>
      <c r="H22" s="617">
        <f t="shared" si="14"/>
        <v>549232</v>
      </c>
      <c r="I22" s="161">
        <f t="shared" si="2"/>
        <v>0</v>
      </c>
      <c r="J22" s="617">
        <f t="shared" si="15"/>
        <v>400632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44612</v>
      </c>
      <c r="B23" s="617">
        <f t="shared" si="11"/>
        <v>1110719</v>
      </c>
      <c r="C23" s="254">
        <f t="shared" si="0"/>
        <v>0</v>
      </c>
      <c r="D23" s="295">
        <f t="shared" si="12"/>
        <v>0</v>
      </c>
      <c r="E23" s="295">
        <f t="shared" si="13"/>
        <v>1110719</v>
      </c>
      <c r="F23" s="617">
        <f t="shared" si="7"/>
        <v>160854</v>
      </c>
      <c r="G23" s="160">
        <f t="shared" si="1"/>
        <v>0</v>
      </c>
      <c r="H23" s="617">
        <f t="shared" si="14"/>
        <v>549232</v>
      </c>
      <c r="I23" s="161">
        <f t="shared" si="2"/>
        <v>0</v>
      </c>
      <c r="J23" s="617">
        <f t="shared" si="15"/>
        <v>400632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0</v>
      </c>
      <c r="R23" s="285">
        <f t="shared" si="10"/>
        <v>171.38907841743662</v>
      </c>
      <c r="S23" s="287">
        <f>SUM(ELEC!N23)</f>
        <v>0</v>
      </c>
      <c r="T23" s="321">
        <f t="shared" si="16"/>
        <v>0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44613</v>
      </c>
      <c r="B24" s="617">
        <f t="shared" si="11"/>
        <v>1110719</v>
      </c>
      <c r="C24" s="254">
        <f t="shared" si="0"/>
        <v>0</v>
      </c>
      <c r="D24" s="295">
        <f t="shared" si="12"/>
        <v>0</v>
      </c>
      <c r="E24" s="295">
        <f t="shared" si="13"/>
        <v>1110719</v>
      </c>
      <c r="F24" s="617">
        <f t="shared" si="7"/>
        <v>160854</v>
      </c>
      <c r="G24" s="160">
        <f t="shared" si="1"/>
        <v>0</v>
      </c>
      <c r="H24" s="617">
        <f t="shared" si="14"/>
        <v>549232</v>
      </c>
      <c r="I24" s="161">
        <f t="shared" si="2"/>
        <v>0</v>
      </c>
      <c r="J24" s="617">
        <f t="shared" si="15"/>
        <v>400632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44614</v>
      </c>
      <c r="B25" s="617">
        <f t="shared" si="11"/>
        <v>1110719</v>
      </c>
      <c r="C25" s="254">
        <f t="shared" si="0"/>
        <v>0</v>
      </c>
      <c r="D25" s="295">
        <f t="shared" si="12"/>
        <v>0</v>
      </c>
      <c r="E25" s="295">
        <f t="shared" si="13"/>
        <v>1110719</v>
      </c>
      <c r="F25" s="617">
        <f t="shared" si="7"/>
        <v>160854</v>
      </c>
      <c r="G25" s="160">
        <f t="shared" si="1"/>
        <v>0</v>
      </c>
      <c r="H25" s="617">
        <f t="shared" si="14"/>
        <v>549232</v>
      </c>
      <c r="I25" s="161">
        <f t="shared" si="2"/>
        <v>0</v>
      </c>
      <c r="J25" s="617">
        <f t="shared" si="15"/>
        <v>400632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1110719</v>
      </c>
      <c r="C26" s="254">
        <f t="shared" si="0"/>
        <v>0</v>
      </c>
      <c r="D26" s="295">
        <f t="shared" si="12"/>
        <v>0</v>
      </c>
      <c r="E26" s="295">
        <f t="shared" si="13"/>
        <v>1110719</v>
      </c>
      <c r="F26" s="617">
        <f t="shared" si="7"/>
        <v>160854</v>
      </c>
      <c r="G26" s="160">
        <f t="shared" si="1"/>
        <v>0</v>
      </c>
      <c r="H26" s="617">
        <f t="shared" si="14"/>
        <v>549232</v>
      </c>
      <c r="I26" s="161">
        <f t="shared" si="2"/>
        <v>0</v>
      </c>
      <c r="J26" s="617">
        <f t="shared" si="15"/>
        <v>400632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400632</v>
      </c>
      <c r="X26" s="172" t="s">
        <v>199</v>
      </c>
      <c r="Y26" s="172">
        <v>80</v>
      </c>
      <c r="Z26" s="172">
        <v>1</v>
      </c>
      <c r="AA26" s="323">
        <f>(W26-V26)*Z26</f>
        <v>103</v>
      </c>
      <c r="AB26" s="323">
        <f>AA26*Y26</f>
        <v>8240</v>
      </c>
      <c r="AC26" s="244">
        <f>AC9</f>
        <v>1033333</v>
      </c>
      <c r="AD26" s="476">
        <f>SUM(K36)</f>
        <v>7.4800290486565002E-2</v>
      </c>
    </row>
    <row r="27" spans="1:32" ht="20.100000000000001" customHeight="1">
      <c r="A27" s="163">
        <f>ELEC!C27</f>
        <v>44616</v>
      </c>
      <c r="B27" s="617">
        <f t="shared" si="11"/>
        <v>1110719</v>
      </c>
      <c r="C27" s="254">
        <f t="shared" si="0"/>
        <v>0</v>
      </c>
      <c r="D27" s="295">
        <f t="shared" si="12"/>
        <v>0</v>
      </c>
      <c r="E27" s="295">
        <f t="shared" si="13"/>
        <v>1110719</v>
      </c>
      <c r="F27" s="617">
        <f t="shared" si="7"/>
        <v>160854</v>
      </c>
      <c r="G27" s="160">
        <f t="shared" si="1"/>
        <v>0</v>
      </c>
      <c r="H27" s="617">
        <f t="shared" si="14"/>
        <v>549232</v>
      </c>
      <c r="I27" s="161">
        <f t="shared" si="2"/>
        <v>0</v>
      </c>
      <c r="J27" s="617">
        <f t="shared" si="15"/>
        <v>400632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549232</v>
      </c>
      <c r="X27" s="172" t="s">
        <v>212</v>
      </c>
      <c r="Y27" s="172">
        <v>112</v>
      </c>
      <c r="Z27" s="172">
        <v>1</v>
      </c>
      <c r="AA27" s="323">
        <f>(W27-V27)*Z27</f>
        <v>858</v>
      </c>
      <c r="AB27" s="323">
        <f>SUM(AA27*Y27)</f>
        <v>96096</v>
      </c>
      <c r="AC27" s="244">
        <f>AC10</f>
        <v>6200000</v>
      </c>
      <c r="AD27" s="476">
        <f>SUM(I36)</f>
        <v>0.62309368191721137</v>
      </c>
    </row>
    <row r="28" spans="1:32" ht="20.100000000000001" customHeight="1">
      <c r="A28" s="163">
        <f>ELEC!C28</f>
        <v>44617</v>
      </c>
      <c r="B28" s="617">
        <f t="shared" si="11"/>
        <v>1110719</v>
      </c>
      <c r="C28" s="254">
        <f t="shared" si="0"/>
        <v>0</v>
      </c>
      <c r="D28" s="295">
        <f t="shared" si="12"/>
        <v>0</v>
      </c>
      <c r="E28" s="295">
        <f>B27+D28</f>
        <v>1110719</v>
      </c>
      <c r="F28" s="617">
        <f t="shared" si="7"/>
        <v>160854</v>
      </c>
      <c r="G28" s="160">
        <f t="shared" si="1"/>
        <v>0</v>
      </c>
      <c r="H28" s="617">
        <f t="shared" si="14"/>
        <v>549232</v>
      </c>
      <c r="I28" s="161">
        <f t="shared" si="2"/>
        <v>0</v>
      </c>
      <c r="J28" s="617">
        <f t="shared" si="15"/>
        <v>400632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160854</v>
      </c>
      <c r="X28" s="172" t="s">
        <v>197</v>
      </c>
      <c r="Y28" s="172">
        <v>320</v>
      </c>
      <c r="Z28" s="172">
        <v>1</v>
      </c>
      <c r="AA28" s="323">
        <f>(W28-V28)*Z28</f>
        <v>415</v>
      </c>
      <c r="AB28" s="323">
        <f>SUM(AA28*Y28)</f>
        <v>132800</v>
      </c>
      <c r="AC28" s="244">
        <f>AC11</f>
        <v>1000</v>
      </c>
      <c r="AD28" s="476">
        <f>SUM(G36)</f>
        <v>0.3013798111837328</v>
      </c>
      <c r="AE28" s="40">
        <f>SUM(AB28*5%)</f>
        <v>6640</v>
      </c>
      <c r="AF28" s="82">
        <f>SUM(AE28/7)*31</f>
        <v>29405.714285714286</v>
      </c>
    </row>
    <row r="29" spans="1:32" ht="20.100000000000001" customHeight="1">
      <c r="A29" s="163">
        <f>ELEC!C29</f>
        <v>44618</v>
      </c>
      <c r="B29" s="617">
        <f t="shared" si="11"/>
        <v>1110719</v>
      </c>
      <c r="C29" s="254">
        <f t="shared" si="0"/>
        <v>0</v>
      </c>
      <c r="D29" s="295">
        <f t="shared" si="12"/>
        <v>0</v>
      </c>
      <c r="E29" s="295">
        <f>B28+D29</f>
        <v>1110719</v>
      </c>
      <c r="F29" s="617">
        <f t="shared" si="7"/>
        <v>160854</v>
      </c>
      <c r="G29" s="160">
        <f t="shared" si="1"/>
        <v>0</v>
      </c>
      <c r="H29" s="617">
        <f t="shared" si="14"/>
        <v>549232</v>
      </c>
      <c r="I29" s="161">
        <f t="shared" si="2"/>
        <v>0</v>
      </c>
      <c r="J29" s="617">
        <f t="shared" si="15"/>
        <v>400632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1376</v>
      </c>
      <c r="AB29" s="323">
        <f>SUM(AB26:AB28)</f>
        <v>237136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1110719</v>
      </c>
      <c r="C30" s="254">
        <f t="shared" si="0"/>
        <v>0</v>
      </c>
      <c r="D30" s="295">
        <f t="shared" si="12"/>
        <v>0</v>
      </c>
      <c r="E30" s="295">
        <f t="shared" si="13"/>
        <v>1110719</v>
      </c>
      <c r="F30" s="617">
        <f t="shared" si="7"/>
        <v>160854</v>
      </c>
      <c r="G30" s="160">
        <f t="shared" si="1"/>
        <v>0</v>
      </c>
      <c r="H30" s="617">
        <f t="shared" si="14"/>
        <v>549232</v>
      </c>
      <c r="I30" s="161">
        <f t="shared" si="2"/>
        <v>0</v>
      </c>
      <c r="J30" s="617">
        <f t="shared" si="15"/>
        <v>400632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7471469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1110719</v>
      </c>
      <c r="C31" s="254">
        <f>SUM(B31-B30)</f>
        <v>0</v>
      </c>
      <c r="D31" s="295">
        <f t="shared" si="12"/>
        <v>0</v>
      </c>
      <c r="E31" s="295">
        <f>B30+D31</f>
        <v>1110719</v>
      </c>
      <c r="F31" s="617">
        <f t="shared" si="7"/>
        <v>160854</v>
      </c>
      <c r="G31" s="160">
        <f>F31-F30</f>
        <v>0</v>
      </c>
      <c r="H31" s="617">
        <f t="shared" si="14"/>
        <v>549232</v>
      </c>
      <c r="I31" s="161">
        <f>H31-H30</f>
        <v>0</v>
      </c>
      <c r="J31" s="617">
        <f t="shared" si="15"/>
        <v>400632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114</v>
      </c>
      <c r="X32" s="222">
        <f>SUM(W32/A35)</f>
        <v>22.8</v>
      </c>
      <c r="Y32" s="250">
        <f>SUM(X32/1)</f>
        <v>22.8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821861.59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8293330.5899999999</v>
      </c>
      <c r="AC34" s="244">
        <f>SUM(AC30)</f>
        <v>0</v>
      </c>
    </row>
    <row r="35" spans="1:32" ht="15.75" thickBot="1">
      <c r="A35" s="501">
        <f>A37-COUNTIF(C4:C31,0)</f>
        <v>5</v>
      </c>
      <c r="C35" s="173">
        <f>SUM(C4:C34)/A35</f>
        <v>275.39999999999998</v>
      </c>
      <c r="D35" s="173"/>
      <c r="E35" s="173"/>
      <c r="F35" s="568"/>
      <c r="G35" s="568">
        <f>SUM(G4:G34)/A35</f>
        <v>83</v>
      </c>
      <c r="H35" s="173"/>
      <c r="I35" s="173">
        <f>SUM(I4:I34)/A35</f>
        <v>171.6</v>
      </c>
      <c r="K35" s="173">
        <f>SUM(K4:K34)/A35</f>
        <v>20.6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0.99927378358750918</v>
      </c>
      <c r="G36" s="225">
        <f>IF(C35&gt;0,G35/C35,0)</f>
        <v>0.3013798111837328</v>
      </c>
      <c r="H36" s="212"/>
      <c r="I36" s="225">
        <f>SUM(I35/C35)</f>
        <v>0.62309368191721137</v>
      </c>
      <c r="J36" s="212"/>
      <c r="K36" s="225">
        <f>SUM(K35/C35)</f>
        <v>7.4800290486565002E-2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4956.1983416252069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4956.1983416252069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3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3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3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9" sqref="F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26.9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-181.89999999999998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/>
      <c r="C25" s="615"/>
      <c r="D25" s="615">
        <v>0</v>
      </c>
      <c r="E25" s="615">
        <v>0</v>
      </c>
      <c r="F25" s="615">
        <v>0</v>
      </c>
      <c r="G25" s="615">
        <v>0</v>
      </c>
      <c r="H25" s="616">
        <f t="shared" si="3"/>
        <v>7003</v>
      </c>
      <c r="I25" s="600">
        <f t="shared" si="4"/>
        <v>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7003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7003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7003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7003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7003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7003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7003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7003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34" sqref="J34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4" t="s">
        <v>161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 spans="1:28" ht="19.5">
      <c r="A2" s="715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</row>
    <row r="3" spans="1:28" ht="19.5">
      <c r="A3" s="715" t="s">
        <v>162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715"/>
      <c r="V3" s="715"/>
      <c r="W3" s="715"/>
      <c r="X3" s="71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5" t="s">
        <v>404</v>
      </c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</row>
    <row r="6" spans="1:28" ht="15.75" thickBot="1">
      <c r="A6" s="716"/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0</v>
      </c>
      <c r="G25" s="261">
        <f>'General information '!C20</f>
        <v>0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0</v>
      </c>
      <c r="G26" s="261">
        <f>'General information '!C21</f>
        <v>0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0</v>
      </c>
      <c r="G29" s="261">
        <f>'General information '!C24</f>
        <v>0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34" sqref="I3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15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179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19565</v>
      </c>
      <c r="C8" s="466">
        <f>SUM(tanks!AU37)</f>
        <v>0.75366666666666671</v>
      </c>
      <c r="D8" s="191">
        <f>SUM(B8*C8)*D4</f>
        <v>22228823.662500001</v>
      </c>
      <c r="E8" s="192">
        <f>SUM(D8/D4/F4)</f>
        <v>526.62458333333336</v>
      </c>
      <c r="F8" s="192">
        <f>SUM(E8*F4)</f>
        <v>14745.488333333335</v>
      </c>
      <c r="G8" s="574">
        <f>E8*$G$4</f>
        <v>7899.3687500000005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1376</v>
      </c>
      <c r="C10" s="181"/>
      <c r="D10" s="183">
        <f>'EDl log'!AB30</f>
        <v>7471469</v>
      </c>
      <c r="E10" s="182">
        <f>SUM(D10/D4/F4)</f>
        <v>177.00708362947168</v>
      </c>
      <c r="F10" s="182">
        <f>SUM(E10*F4)</f>
        <v>4956.1983416252069</v>
      </c>
      <c r="G10" s="478">
        <f>E10*$G$4</f>
        <v>2655.1062544420752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996.48880981994785</v>
      </c>
      <c r="F12" s="180">
        <f>SUM(F6:F10)</f>
        <v>27901.686674958542</v>
      </c>
      <c r="G12" s="179">
        <f>SUM(G6:G10)</f>
        <v>18754.475004442076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-61374.424995557914</v>
      </c>
      <c r="I14" s="406">
        <f>SUM(G12-I12)</f>
        <v>-32489.444715988033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26.9</v>
      </c>
      <c r="C16" s="415">
        <f>'[12]Utility Cost '!$B$16</f>
        <v>15.821428571428571</v>
      </c>
      <c r="D16" s="415"/>
      <c r="E16" s="580">
        <f>B16-C16</f>
        <v>11.078571428571427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114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-75</v>
      </c>
      <c r="F18" s="495">
        <f>B18-D18</f>
        <v>-88.666666666666657</v>
      </c>
    </row>
    <row r="19" spans="1:10">
      <c r="A19" s="489" t="s">
        <v>412</v>
      </c>
      <c r="B19" s="493">
        <f>GEN!AL34</f>
        <v>10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11.4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2022-02-16T07:50:37Z</dcterms:modified>
</cp:coreProperties>
</file>