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55" yWindow="-105" windowWidth="12345" windowHeight="1234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19" i="73"/>
  <c r="G19"/>
  <c r="O17" i="1"/>
  <c r="V12" i="3"/>
  <c r="K15" i="76"/>
  <c r="AW15" i="7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H5" i="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4" i="76"/>
  <c r="AC14"/>
  <c r="AB15"/>
  <c r="AC15"/>
  <c r="AB16"/>
  <c r="AC16"/>
  <c r="AB17"/>
  <c r="AC17"/>
  <c r="AB18"/>
  <c r="AC18"/>
  <c r="AB19"/>
  <c r="AC19"/>
  <c r="AC13"/>
  <c r="AB13"/>
  <c r="AA12"/>
  <c r="AB12"/>
  <c r="AC12"/>
  <c r="AD12"/>
  <c r="AA10"/>
  <c r="AB10"/>
  <c r="AC10"/>
  <c r="AD10"/>
  <c r="AA11"/>
  <c r="AB11"/>
  <c r="AE11" s="1"/>
  <c r="AF11" s="1"/>
  <c r="AC11"/>
  <c r="AD11"/>
  <c r="AB9"/>
  <c r="AC9"/>
  <c r="AD9"/>
  <c r="Z12"/>
  <c r="Z10"/>
  <c r="Z11"/>
  <c r="AA9"/>
  <c r="X14"/>
  <c r="Y14"/>
  <c r="W15"/>
  <c r="W16"/>
  <c r="W14"/>
  <c r="Y10"/>
  <c r="Y11"/>
  <c r="Z9"/>
  <c r="Y9"/>
  <c r="W11"/>
  <c r="W10"/>
  <c r="W9"/>
  <c r="V10"/>
  <c r="V11"/>
  <c r="V9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C3"/>
  <c r="D3"/>
  <c r="E3"/>
  <c r="F3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O3"/>
  <c r="P3"/>
  <c r="Q3"/>
  <c r="R3"/>
  <c r="S3"/>
  <c r="T3"/>
  <c r="B3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P34" i="3"/>
  <c r="C2"/>
  <c r="D2"/>
  <c r="D14" s="1"/>
  <c r="D15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T11" s="1"/>
  <c r="T12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3"/>
  <c r="P14" s="1"/>
  <c r="P15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5"/>
  <c r="M6" s="1"/>
  <c r="C19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P17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7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7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7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7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7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S3"/>
  <c r="S11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U3"/>
  <c r="U11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V20" i="5" l="1"/>
  <c r="AZ19"/>
  <c r="AX20"/>
  <c r="BA19"/>
  <c r="N6" i="1"/>
  <c r="M7"/>
  <c r="K6"/>
  <c r="L5"/>
  <c r="AV21" i="5" l="1"/>
  <c r="AZ20"/>
  <c r="BC20" s="1"/>
  <c r="AX2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22" i="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21"/>
  <c r="AX22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M20"/>
  <c r="N19"/>
  <c r="Q17" i="2"/>
  <c r="S9" i="3"/>
  <c r="AB16" i="74"/>
  <c r="AA16"/>
  <c r="K20" i="1" l="1"/>
  <c r="L19"/>
  <c r="M21"/>
  <c r="N20"/>
  <c r="Q18" i="2"/>
  <c r="S16" i="3"/>
  <c r="C78" i="74"/>
  <c r="B78"/>
  <c r="Y13" i="76"/>
  <c r="X11"/>
  <c r="X10"/>
  <c r="BH5" i="7"/>
  <c r="K21" i="1" l="1"/>
  <c r="L20"/>
  <c r="M22"/>
  <c r="N21"/>
  <c r="Q19" i="2"/>
  <c r="C48" i="74"/>
  <c r="B48"/>
  <c r="K22" i="1" l="1"/>
  <c r="L2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M24" i="1" l="1"/>
  <c r="N23"/>
  <c r="K23"/>
  <c r="L22"/>
  <c r="Q21" i="2"/>
  <c r="M25" i="1" l="1"/>
  <c r="N24"/>
  <c r="K24"/>
  <c r="L23"/>
  <c r="Q22" i="2"/>
  <c r="C13" i="76"/>
  <c r="M26" i="1" l="1"/>
  <c r="N25"/>
  <c r="K25"/>
  <c r="L24"/>
  <c r="Q23" i="2"/>
  <c r="C14" i="76"/>
  <c r="M27" i="1" l="1"/>
  <c r="N26"/>
  <c r="K26"/>
  <c r="L25"/>
  <c r="Q24" i="2"/>
  <c r="C15" i="76"/>
  <c r="K35" i="73"/>
  <c r="G35"/>
  <c r="D35"/>
  <c r="E22" i="3"/>
  <c r="M28" i="1" l="1"/>
  <c r="N27"/>
  <c r="K27"/>
  <c r="L26"/>
  <c r="Q25" i="2"/>
  <c r="C16" i="76"/>
  <c r="AU16" i="5"/>
  <c r="D12" i="73"/>
  <c r="AB7" i="2"/>
  <c r="G5" i="76"/>
  <c r="M29" i="1" l="1"/>
  <c r="N28"/>
  <c r="K28"/>
  <c r="L27"/>
  <c r="Q26" i="2"/>
  <c r="V28" i="76"/>
  <c r="V27"/>
  <c r="M30" i="1" l="1"/>
  <c r="N29"/>
  <c r="K29"/>
  <c r="L28"/>
  <c r="Q27" i="2"/>
  <c r="C18" i="76"/>
  <c r="K30" i="1" l="1"/>
  <c r="L29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U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U13" i="3"/>
  <c r="V13" s="1"/>
  <c r="K1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U14" i="3"/>
  <c r="S17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U15" i="3"/>
  <c r="S18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V18" i="3"/>
  <c r="AB17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U20" i="3"/>
  <c r="S2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V20" i="3"/>
  <c r="AB19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AE22" i="3" l="1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AE23" i="3" l="1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D37" i="5" l="1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N6" i="5"/>
  <c r="AA5" i="1"/>
  <c r="AH5" s="1"/>
  <c r="P6" i="5"/>
  <c r="W6"/>
  <c r="AL6" s="1"/>
  <c r="Q6" l="1"/>
  <c r="AD27"/>
  <c r="W26"/>
  <c r="AL26" s="1"/>
  <c r="AD17" i="1"/>
  <c r="AA17"/>
  <c r="AH17" s="1"/>
  <c r="P7" i="5"/>
  <c r="W5" i="1"/>
  <c r="B5" i="65"/>
  <c r="V36" i="1"/>
  <c r="AG5"/>
  <c r="AM5"/>
  <c r="N7" i="5"/>
  <c r="C5" i="65"/>
  <c r="AI5" i="1"/>
  <c r="M2" i="81" l="1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Q7" i="5"/>
  <c r="M3" i="81" s="1"/>
  <c r="E5" i="65"/>
  <c r="P8" i="5"/>
  <c r="AW6" i="7"/>
  <c r="F6" i="75"/>
  <c r="G6" s="1"/>
  <c r="N8" i="5"/>
  <c r="AD29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N9" i="5"/>
  <c r="Q8"/>
  <c r="P9"/>
  <c r="G2" i="81"/>
  <c r="AJ5" i="1"/>
  <c r="AK5" s="1"/>
  <c r="AX6" i="7"/>
  <c r="M4" i="81" l="1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9" i="5"/>
  <c r="M5" i="81" s="1"/>
  <c r="N10" i="5"/>
  <c r="P10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P11" i="5"/>
  <c r="N11"/>
  <c r="Q10"/>
  <c r="M6" i="81" l="1"/>
  <c r="Q11" i="5"/>
  <c r="M7" i="81" s="1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P12" i="5"/>
  <c r="N12"/>
  <c r="Q12" l="1"/>
  <c r="M8" i="81" s="1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P13" i="5"/>
  <c r="N13"/>
  <c r="Q13" l="1"/>
  <c r="M9" i="81" s="1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N14" i="5"/>
  <c r="P14"/>
  <c r="AD36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N15" i="5"/>
  <c r="P15"/>
  <c r="Q14"/>
  <c r="M10" i="81" s="1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N16" i="5"/>
  <c r="P16"/>
  <c r="Q15"/>
  <c r="M11" i="81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Q16" i="5"/>
  <c r="M12" i="81" s="1"/>
  <c r="P17" i="5"/>
  <c r="Q17" s="1"/>
  <c r="M13" i="81" s="1"/>
  <c r="N17" i="5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P18" i="5"/>
  <c r="Q18" s="1"/>
  <c r="M14" i="81" s="1"/>
  <c r="N18" i="5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P19" i="5"/>
  <c r="Q19" s="1"/>
  <c r="M15" i="81" s="1"/>
  <c r="N19" i="5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P20" i="5"/>
  <c r="Q20" s="1"/>
  <c r="M16" i="81" s="1"/>
  <c r="N20" i="5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P21" i="5"/>
  <c r="Q21" s="1"/>
  <c r="M17" i="81" s="1"/>
  <c r="N21" i="5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P22" i="5"/>
  <c r="Q22" s="1"/>
  <c r="M18" i="81" s="1"/>
  <c r="N22" i="5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N23" i="5"/>
  <c r="P23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N24" i="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P25" i="5"/>
  <c r="Q24"/>
  <c r="M20" i="81" s="1"/>
  <c r="N25" i="5"/>
  <c r="Q25" l="1"/>
  <c r="M21" i="81" s="1"/>
  <c r="AJ35" i="1"/>
  <c r="AK35" s="1"/>
  <c r="AX36" i="7"/>
  <c r="AY34"/>
  <c r="Q32" i="76"/>
  <c r="AW35" i="7"/>
  <c r="AI37" i="1"/>
  <c r="P26" i="5"/>
  <c r="N26"/>
  <c r="AY36" i="7" l="1"/>
  <c r="Q34" i="76"/>
  <c r="Q26" i="5"/>
  <c r="M22" i="81" s="1"/>
  <c r="AJ34" i="1"/>
  <c r="AK34" s="1"/>
  <c r="G31" i="81"/>
  <c r="AX35" i="7"/>
  <c r="P27" i="5"/>
  <c r="Q27" s="1"/>
  <c r="M23" i="81" s="1"/>
  <c r="N27" i="5"/>
  <c r="Q33" i="76" l="1"/>
  <c r="AY35" i="7"/>
  <c r="AY37" s="1"/>
  <c r="AX37"/>
  <c r="Z40" i="76" s="1"/>
  <c r="P28" i="5"/>
  <c r="Q28" s="1"/>
  <c r="M24" i="81" s="1"/>
  <c r="N28" i="5"/>
  <c r="P29" l="1"/>
  <c r="Q29" s="1"/>
  <c r="M25" i="81" s="1"/>
  <c r="N29" i="5"/>
  <c r="P30" l="1"/>
  <c r="Q30" s="1"/>
  <c r="M26" i="81" s="1"/>
  <c r="N30" i="5"/>
  <c r="P31" l="1"/>
  <c r="Q31" s="1"/>
  <c r="M27" i="81" s="1"/>
  <c r="N31" i="5"/>
  <c r="P32" l="1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N36"/>
  <c r="N35"/>
  <c r="M32" i="81" l="1"/>
  <c r="Q37" i="5"/>
  <c r="O38" s="1"/>
  <c r="Q35"/>
  <c r="M31" i="81" l="1"/>
  <c r="F5" i="75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6" i="7"/>
  <c r="H2" i="81" l="1"/>
  <c r="AV7" i="7"/>
  <c r="AC28" i="76"/>
  <c r="AC27"/>
  <c r="AC26"/>
  <c r="H3" i="81" l="1"/>
  <c r="AV8" i="7"/>
  <c r="AC30" i="76"/>
  <c r="H4" i="81" l="1"/>
  <c r="AV9" i="7"/>
  <c r="W38" i="76"/>
  <c r="W40" s="1"/>
  <c r="W42" s="1"/>
  <c r="AC31"/>
  <c r="O34" s="1"/>
  <c r="O35" s="1"/>
  <c r="H5" i="81" l="1"/>
  <c r="AV10" i="7"/>
  <c r="P34" i="76"/>
  <c r="R34" s="1"/>
  <c r="O26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T31" s="1"/>
  <c r="F29" i="81" s="1"/>
  <c r="O16" i="7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T32" s="1"/>
  <c r="F30" i="81" s="1"/>
  <c r="O28" i="76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O25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T13" i="76" l="1"/>
  <c r="F11" i="81" s="1"/>
  <c r="H6"/>
  <c r="AV11" i="7"/>
  <c r="AB34" i="76"/>
  <c r="AB35" s="1"/>
  <c r="AB36"/>
  <c r="AB38" s="1"/>
  <c r="Z39" s="1"/>
  <c r="Z41" s="1"/>
  <c r="Z43" s="1"/>
  <c r="AA40"/>
  <c r="D10" i="77"/>
  <c r="E10" s="1"/>
  <c r="AV12" i="7" l="1"/>
  <c r="H7" i="81"/>
  <c r="AA41" i="76"/>
  <c r="AB40"/>
  <c r="AB41" s="1"/>
  <c r="E12" i="77"/>
  <c r="G10"/>
  <c r="G12" s="1"/>
  <c r="F10"/>
  <c r="F12" s="1"/>
  <c r="AV13" i="7" l="1"/>
  <c r="H8" i="81"/>
  <c r="H14" i="77"/>
  <c r="I14"/>
  <c r="H9" i="81" l="1"/>
  <c r="AV14" i="7"/>
  <c r="AV15" l="1"/>
  <c r="H10" i="81"/>
  <c r="AX5" i="1"/>
  <c r="AV16" i="7" l="1"/>
  <c r="H11" i="81"/>
  <c r="J2"/>
  <c r="AX6" i="1"/>
  <c r="H12" i="81" l="1"/>
  <c r="AV17" i="7"/>
  <c r="AX7" i="1"/>
  <c r="J3" i="81"/>
  <c r="AV18" i="7" l="1"/>
  <c r="H13" i="81"/>
  <c r="AX8" i="1"/>
  <c r="J4" i="81"/>
  <c r="H14" l="1"/>
  <c r="AV19" i="7"/>
  <c r="AX9" i="1"/>
  <c r="J5" i="81"/>
  <c r="AV20" i="7" l="1"/>
  <c r="H15" i="81"/>
  <c r="J6"/>
  <c r="AX10" i="1"/>
  <c r="H16" i="81" l="1"/>
  <c r="AV21" i="7"/>
  <c r="AX11" i="1"/>
  <c r="J7" i="81"/>
  <c r="AV22" i="7" l="1"/>
  <c r="H17" i="81"/>
  <c r="J8"/>
  <c r="AX12" i="1"/>
  <c r="AV23" i="7" l="1"/>
  <c r="H18" i="81"/>
  <c r="J9"/>
  <c r="AX13" i="1"/>
  <c r="AV24" i="7" l="1"/>
  <c r="H19" i="81"/>
  <c r="J10"/>
  <c r="AX14" i="1"/>
  <c r="AV25" i="7" l="1"/>
  <c r="H20" i="81"/>
  <c r="AX15" i="1"/>
  <c r="J11" i="81"/>
  <c r="AV26" i="7" l="1"/>
  <c r="H21" i="81"/>
  <c r="AX16" i="1"/>
  <c r="J12" i="81"/>
  <c r="AV27" i="7" l="1"/>
  <c r="H22" i="81"/>
  <c r="J13"/>
  <c r="AX17" i="1"/>
  <c r="H23" i="81" l="1"/>
  <c r="AV28" i="7"/>
  <c r="AX18" i="1"/>
  <c r="J14" i="81"/>
  <c r="H24" l="1"/>
  <c r="AV29" i="7"/>
  <c r="AX19" i="1"/>
  <c r="J15" i="81"/>
  <c r="H25" l="1"/>
  <c r="AV30" i="7"/>
  <c r="J16" i="81"/>
  <c r="AX20" i="1"/>
  <c r="AV31" i="7" l="1"/>
  <c r="H26" i="81"/>
  <c r="AX21" i="1"/>
  <c r="J17" i="81"/>
  <c r="H27" l="1"/>
  <c r="AV32" i="7"/>
  <c r="J18" i="81"/>
  <c r="AX22" i="1"/>
  <c r="H28" i="81" l="1"/>
  <c r="AV33" i="7"/>
  <c r="J19" i="81"/>
  <c r="AX23" i="1"/>
  <c r="H29" i="81" l="1"/>
  <c r="AV34" i="7"/>
  <c r="AX24" i="1"/>
  <c r="J20" i="81"/>
  <c r="H30" l="1"/>
  <c r="AV35" i="7"/>
  <c r="AX25" i="1"/>
  <c r="J21" i="81"/>
  <c r="AV36" i="7" l="1"/>
  <c r="H32" i="81" s="1"/>
  <c r="H31"/>
  <c r="AX26" i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2" i="81" s="1"/>
  <c r="J31"/>
  <c r="AS6" i="5" l="1"/>
  <c r="AY6" l="1"/>
  <c r="BB6" s="1"/>
  <c r="BE6" s="1"/>
  <c r="AS7"/>
  <c r="AS8" l="1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I4" l="1"/>
  <c r="BF8" i="5"/>
  <c r="BG8" s="1"/>
  <c r="G8" i="65" s="1"/>
  <c r="AS10" i="5"/>
  <c r="AY9"/>
  <c r="BB9" s="1"/>
  <c r="BE9" s="1"/>
  <c r="G5" i="65"/>
  <c r="BF9" i="5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9" s="1"/>
  <c r="BB19" s="1"/>
  <c r="BE19" s="1"/>
  <c r="AY18"/>
  <c r="BB18" l="1"/>
  <c r="BE18" s="1"/>
  <c r="I14" i="63" s="1"/>
  <c r="AS20" i="5"/>
  <c r="AY20" s="1"/>
  <c r="BB20" s="1"/>
  <c r="BE20" s="1"/>
  <c r="BF18" l="1"/>
  <c r="BG18" s="1"/>
  <c r="G18" i="65" s="1"/>
  <c r="AS21" i="5"/>
  <c r="AY21" s="1"/>
  <c r="BF19"/>
  <c r="BG19" s="1"/>
  <c r="G19" i="65" s="1"/>
  <c r="I15" i="63"/>
  <c r="BB21" i="5" l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<sst xmlns="http://schemas.openxmlformats.org/spreadsheetml/2006/main" count="653" uniqueCount="418">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</sst>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538688"/>
        <c:axId val="103540224"/>
      </c:lineChart>
      <c:catAx>
        <c:axId val="10353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40224"/>
        <c:crosses val="autoZero"/>
        <c:auto val="1"/>
        <c:lblAlgn val="ctr"/>
        <c:lblOffset val="100"/>
      </c:catAx>
      <c:valAx>
        <c:axId val="103540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4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636672"/>
        <c:axId val="134638208"/>
      </c:lineChart>
      <c:catAx>
        <c:axId val="1346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38208"/>
        <c:crosses val="autoZero"/>
        <c:auto val="1"/>
        <c:lblAlgn val="ctr"/>
        <c:lblOffset val="100"/>
      </c:catAx>
      <c:valAx>
        <c:axId val="13463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95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400960"/>
        <c:axId val="147402752"/>
      </c:lineChart>
      <c:catAx>
        <c:axId val="14740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2752"/>
        <c:crosses val="autoZero"/>
        <c:auto val="1"/>
        <c:lblAlgn val="ctr"/>
        <c:lblOffset val="100"/>
      </c:catAx>
      <c:valAx>
        <c:axId val="1474027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147"/>
          <c:y val="0.62975887529635965"/>
          <c:w val="7.9124755870162669E-2"/>
          <c:h val="4.49826989619484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418496"/>
        <c:axId val="147432576"/>
      </c:lineChart>
      <c:catAx>
        <c:axId val="1474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2576"/>
        <c:crosses val="autoZero"/>
        <c:auto val="1"/>
        <c:lblAlgn val="ctr"/>
        <c:lblOffset val="100"/>
      </c:catAx>
      <c:valAx>
        <c:axId val="1474325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572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194624"/>
        <c:axId val="147196160"/>
      </c:lineChart>
      <c:catAx>
        <c:axId val="1471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96160"/>
        <c:crosses val="autoZero"/>
        <c:auto val="1"/>
        <c:lblAlgn val="ctr"/>
        <c:lblOffset val="100"/>
      </c:catAx>
      <c:valAx>
        <c:axId val="147196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35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64800"/>
        <c:axId val="147566592"/>
      </c:lineChart>
      <c:catAx>
        <c:axId val="1475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66592"/>
        <c:crosses val="autoZero"/>
        <c:auto val="1"/>
        <c:lblAlgn val="ctr"/>
        <c:lblOffset val="100"/>
      </c:catAx>
      <c:valAx>
        <c:axId val="14756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78240"/>
        <c:axId val="171971712"/>
      </c:lineChart>
      <c:catAx>
        <c:axId val="1475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71712"/>
        <c:crosses val="autoZero"/>
        <c:auto val="1"/>
        <c:lblAlgn val="ctr"/>
        <c:lblOffset val="100"/>
      </c:catAx>
      <c:valAx>
        <c:axId val="17197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012288"/>
        <c:axId val="172013824"/>
      </c:lineChart>
      <c:catAx>
        <c:axId val="17201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13824"/>
        <c:crosses val="autoZero"/>
        <c:auto val="1"/>
        <c:lblAlgn val="ctr"/>
        <c:lblOffset val="100"/>
      </c:catAx>
      <c:valAx>
        <c:axId val="17201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1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033920"/>
        <c:axId val="172035456"/>
      </c:lineChart>
      <c:catAx>
        <c:axId val="17203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35456"/>
        <c:crosses val="autoZero"/>
        <c:auto val="1"/>
        <c:lblAlgn val="ctr"/>
        <c:lblOffset val="100"/>
      </c:catAx>
      <c:valAx>
        <c:axId val="172035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3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606"/>
          <c:w val="0.1272403315177332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080128"/>
        <c:axId val="172086016"/>
      </c:lineChart>
      <c:catAx>
        <c:axId val="17208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6016"/>
        <c:crosses val="autoZero"/>
        <c:auto val="1"/>
        <c:lblAlgn val="ctr"/>
        <c:lblOffset val="100"/>
      </c:catAx>
      <c:valAx>
        <c:axId val="17208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955392"/>
        <c:axId val="134956928"/>
      </c:lineChart>
      <c:catAx>
        <c:axId val="13495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6928"/>
        <c:crosses val="autoZero"/>
        <c:auto val="1"/>
        <c:lblAlgn val="ctr"/>
        <c:lblOffset val="100"/>
      </c:catAx>
      <c:valAx>
        <c:axId val="13495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606"/>
          <c:w val="0.135416885389352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997504"/>
        <c:axId val="134999040"/>
      </c:lineChart>
      <c:catAx>
        <c:axId val="1349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99040"/>
        <c:crosses val="autoZero"/>
        <c:auto val="1"/>
        <c:lblAlgn val="ctr"/>
        <c:lblOffset val="100"/>
      </c:catAx>
      <c:valAx>
        <c:axId val="134999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60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2444672"/>
        <c:axId val="172454656"/>
      </c:lineChart>
      <c:catAx>
        <c:axId val="17244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54656"/>
        <c:crosses val="autoZero"/>
        <c:auto val="1"/>
        <c:lblAlgn val="ctr"/>
        <c:lblOffset val="100"/>
      </c:catAx>
      <c:valAx>
        <c:axId val="172454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4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2482944"/>
        <c:axId val="172484480"/>
      </c:lineChart>
      <c:catAx>
        <c:axId val="1724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84480"/>
        <c:crosses val="autoZero"/>
        <c:auto val="1"/>
        <c:lblAlgn val="ctr"/>
        <c:lblOffset val="100"/>
      </c:catAx>
      <c:valAx>
        <c:axId val="1724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606"/>
          <c:w val="0.135416885389352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516864"/>
        <c:axId val="172518400"/>
      </c:lineChart>
      <c:catAx>
        <c:axId val="17251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18400"/>
        <c:crosses val="autoZero"/>
        <c:auto val="1"/>
        <c:lblAlgn val="ctr"/>
        <c:lblOffset val="100"/>
      </c:catAx>
      <c:valAx>
        <c:axId val="172518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1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5814"/>
          <c:y val="0.54325368498487869"/>
          <c:w val="0.11458355205599259"/>
          <c:h val="4.49826989619478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530304"/>
        <c:axId val="172544384"/>
      </c:lineChart>
      <c:catAx>
        <c:axId val="17253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44384"/>
        <c:crosses val="autoZero"/>
        <c:auto val="1"/>
        <c:lblAlgn val="ctr"/>
        <c:lblOffset val="100"/>
      </c:catAx>
      <c:valAx>
        <c:axId val="172544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3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22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593536"/>
        <c:axId val="172595072"/>
      </c:lineChart>
      <c:catAx>
        <c:axId val="17259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95072"/>
        <c:crosses val="autoZero"/>
        <c:auto val="1"/>
        <c:lblAlgn val="ctr"/>
        <c:lblOffset val="100"/>
      </c:catAx>
      <c:valAx>
        <c:axId val="17259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9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04"/>
          <c:h val="4.4982698961948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631552"/>
        <c:axId val="172633088"/>
      </c:lineChart>
      <c:catAx>
        <c:axId val="1726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33088"/>
        <c:crosses val="autoZero"/>
        <c:auto val="1"/>
        <c:lblAlgn val="ctr"/>
        <c:lblOffset val="100"/>
      </c:catAx>
      <c:valAx>
        <c:axId val="172633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82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640896"/>
        <c:axId val="172650880"/>
      </c:lineChart>
      <c:catAx>
        <c:axId val="17264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50880"/>
        <c:crosses val="autoZero"/>
        <c:auto val="1"/>
        <c:lblAlgn val="ctr"/>
        <c:lblOffset val="100"/>
      </c:catAx>
      <c:valAx>
        <c:axId val="172650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2683264"/>
        <c:axId val="172684800"/>
      </c:lineChart>
      <c:catAx>
        <c:axId val="17268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4800"/>
        <c:crosses val="autoZero"/>
        <c:auto val="1"/>
        <c:lblAlgn val="ctr"/>
        <c:lblOffset val="100"/>
      </c:catAx>
      <c:valAx>
        <c:axId val="17268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921"/>
          <c:y val="0.62975887529635965"/>
          <c:w val="0.13250539334757044"/>
          <c:h val="4.4982698961948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4158976"/>
        <c:axId val="174160512"/>
      </c:lineChart>
      <c:catAx>
        <c:axId val="17415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60512"/>
        <c:crosses val="autoZero"/>
        <c:auto val="1"/>
        <c:lblAlgn val="ctr"/>
        <c:lblOffset val="100"/>
      </c:catAx>
      <c:valAx>
        <c:axId val="17416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5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60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4196992"/>
        <c:axId val="174198784"/>
      </c:lineChart>
      <c:catAx>
        <c:axId val="17419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8784"/>
        <c:crosses val="autoZero"/>
        <c:auto val="1"/>
        <c:lblAlgn val="ctr"/>
        <c:lblOffset val="100"/>
      </c:catAx>
      <c:valAx>
        <c:axId val="17419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5721"/>
          <c:w val="0.1234311819809284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74236032"/>
        <c:axId val="174237568"/>
      </c:lineChart>
      <c:catAx>
        <c:axId val="174236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37568"/>
        <c:crosses val="autoZero"/>
        <c:auto val="1"/>
        <c:lblAlgn val="ctr"/>
        <c:lblOffset val="100"/>
      </c:catAx>
      <c:valAx>
        <c:axId val="174237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333"/>
          <c:w val="0.156903985328217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4331008"/>
        <c:axId val="174332544"/>
      </c:lineChart>
      <c:catAx>
        <c:axId val="17433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32544"/>
        <c:crosses val="autoZero"/>
        <c:auto val="1"/>
        <c:lblAlgn val="ctr"/>
        <c:lblOffset val="100"/>
      </c:catAx>
      <c:valAx>
        <c:axId val="174332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559"/>
          <c:h val="4.49826989619486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4303872"/>
        <c:axId val="174305664"/>
      </c:lineChart>
      <c:catAx>
        <c:axId val="1743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05664"/>
        <c:crosses val="autoZero"/>
        <c:auto val="1"/>
        <c:lblAlgn val="ctr"/>
        <c:lblOffset val="100"/>
      </c:catAx>
      <c:valAx>
        <c:axId val="17430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8316"/>
          <c:y val="0.62975887529635965"/>
          <c:w val="0.12164948453608219"/>
          <c:h val="4.49826989619486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0714624"/>
        <c:axId val="190716160"/>
      </c:lineChart>
      <c:catAx>
        <c:axId val="1907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16160"/>
        <c:crosses val="autoZero"/>
        <c:auto val="1"/>
        <c:lblAlgn val="ctr"/>
        <c:lblOffset val="100"/>
      </c:catAx>
      <c:valAx>
        <c:axId val="190716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1022976"/>
        <c:axId val="191024512"/>
      </c:lineChart>
      <c:catAx>
        <c:axId val="1910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4512"/>
        <c:crosses val="autoZero"/>
        <c:auto val="1"/>
        <c:lblAlgn val="ctr"/>
        <c:lblOffset val="100"/>
      </c:catAx>
      <c:valAx>
        <c:axId val="19102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95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91328640"/>
        <c:axId val="191330176"/>
      </c:lineChart>
      <c:catAx>
        <c:axId val="191328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30176"/>
        <c:crosses val="autoZero"/>
        <c:auto val="1"/>
        <c:lblAlgn val="ctr"/>
        <c:lblOffset val="100"/>
      </c:catAx>
      <c:valAx>
        <c:axId val="191330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33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/>
      <sheetData sheetId="16">
        <row r="36"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9">
          <cell r="L69">
            <v>0.58009999999999995</v>
          </cell>
        </row>
      </sheetData>
      <sheetData sheetId="8"/>
      <sheetData sheetId="9">
        <row r="60">
          <cell r="L60">
            <v>266.19199999999995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0.10292885154310442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0.10269935270378762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9.6415340097121549E-2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0.10236647397040861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7.5908382940910915E-2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0.10320017558669677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0.13267190556375735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6.2453892080573045E-2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9.3705281761818401E-2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6.7159608712740826E-4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8.2657689259741707E-2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9.8115849492220172E-2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8.8947007660616487E-2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9.9937130674405947E-2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0.56000000000000005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0.56000000000000005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0.56000000000000005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0.56000000000000005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0.56000000000000005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0.56000000000000005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0.56000000000000005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0.56000000000000005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0.56000000000000005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0.56000000000000005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0.56000000000000005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V1" zoomScale="85" zoomScaleNormal="85" zoomScaleSheetLayoutView="100" workbookViewId="0">
      <pane ySplit="1" topLeftCell="A16" activePane="bottomLeft" state="frozen"/>
      <selection activeCell="C1" sqref="C1"/>
      <selection pane="bottomLeft" activeCell="Y16" sqref="Y16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8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8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2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8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8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4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8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8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8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5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8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8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8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2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8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8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2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8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8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2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8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8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2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8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8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5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8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8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8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4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8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8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8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4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8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8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8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8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4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8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8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8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2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8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8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4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8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8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8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4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8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f t="shared" ref="D16:D33" si="31">D16</f>
        <v>32487886</v>
      </c>
      <c r="E17" s="314">
        <f t="shared" si="13"/>
        <v>0</v>
      </c>
      <c r="F17" s="588">
        <f t="shared" ref="F16:F33" si="32">F16</f>
        <v>3925803</v>
      </c>
      <c r="G17" s="315">
        <f t="shared" si="0"/>
        <v>0</v>
      </c>
      <c r="H17" s="451">
        <f t="shared" ref="H16:H33" si="33">H16</f>
        <v>17738942</v>
      </c>
      <c r="I17" s="315">
        <f t="shared" si="14"/>
        <v>0</v>
      </c>
      <c r="J17" s="588">
        <f t="shared" ref="J16:J33" si="34">J16</f>
        <v>28827074</v>
      </c>
      <c r="K17" s="315">
        <f t="shared" si="15"/>
        <v>0</v>
      </c>
      <c r="L17" s="451">
        <f t="shared" ref="L16:L33" si="35">L16</f>
        <v>23900398</v>
      </c>
      <c r="M17" s="315">
        <f t="shared" si="16"/>
        <v>0</v>
      </c>
      <c r="N17" s="313">
        <f t="shared" si="17"/>
        <v>0</v>
      </c>
      <c r="O17" s="473">
        <f t="shared" si="24"/>
        <v>0</v>
      </c>
      <c r="P17" s="602">
        <f t="shared" ref="P16:P33" si="36">P16</f>
        <v>16469.182000000001</v>
      </c>
      <c r="Q17" s="455">
        <f t="shared" si="29"/>
        <v>0</v>
      </c>
      <c r="R17" s="455">
        <f t="shared" si="30"/>
        <v>0</v>
      </c>
      <c r="S17" s="451">
        <f t="shared" si="26"/>
        <v>10036</v>
      </c>
      <c r="T17" s="475">
        <f t="shared" si="3"/>
        <v>0</v>
      </c>
      <c r="U17" s="451">
        <f t="shared" si="27"/>
        <v>406688</v>
      </c>
      <c r="V17" s="455">
        <f t="shared" si="18"/>
        <v>0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7">AC17-AC16</f>
        <v>0</v>
      </c>
      <c r="AE17" s="478">
        <f t="shared" si="11"/>
        <v>0</v>
      </c>
      <c r="AF17" s="479">
        <f t="shared" si="12"/>
        <v>0</v>
      </c>
      <c r="AG17" s="471">
        <f t="shared" si="25"/>
        <v>0</v>
      </c>
      <c r="AI17" s="472">
        <f>R17-'EDl log'!B15</f>
        <v>-737570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f t="shared" si="31"/>
        <v>32487886</v>
      </c>
      <c r="E18" s="314">
        <f t="shared" si="13"/>
        <v>0</v>
      </c>
      <c r="F18" s="588">
        <f t="shared" si="32"/>
        <v>3925803</v>
      </c>
      <c r="G18" s="315">
        <f t="shared" si="0"/>
        <v>0</v>
      </c>
      <c r="H18" s="451">
        <f t="shared" si="33"/>
        <v>17738942</v>
      </c>
      <c r="I18" s="315">
        <f t="shared" si="14"/>
        <v>0</v>
      </c>
      <c r="J18" s="588">
        <f t="shared" si="34"/>
        <v>28827074</v>
      </c>
      <c r="K18" s="315">
        <f t="shared" si="15"/>
        <v>0</v>
      </c>
      <c r="L18" s="451">
        <f t="shared" si="35"/>
        <v>23900398</v>
      </c>
      <c r="M18" s="315">
        <f t="shared" si="16"/>
        <v>0</v>
      </c>
      <c r="N18" s="313">
        <f t="shared" si="17"/>
        <v>0</v>
      </c>
      <c r="O18" s="473">
        <f t="shared" si="24"/>
        <v>0</v>
      </c>
      <c r="P18" s="602">
        <f t="shared" si="36"/>
        <v>16469.182000000001</v>
      </c>
      <c r="Q18" s="455">
        <f t="shared" si="29"/>
        <v>0</v>
      </c>
      <c r="R18" s="455">
        <f t="shared" si="30"/>
        <v>0</v>
      </c>
      <c r="S18" s="451">
        <f t="shared" si="26"/>
        <v>10036</v>
      </c>
      <c r="T18" s="475">
        <f t="shared" si="3"/>
        <v>0</v>
      </c>
      <c r="U18" s="451">
        <f t="shared" si="27"/>
        <v>406688</v>
      </c>
      <c r="V18" s="455">
        <f t="shared" si="18"/>
        <v>0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7"/>
        <v>0</v>
      </c>
      <c r="AE18" s="478">
        <f t="shared" si="11"/>
        <v>0</v>
      </c>
      <c r="AF18" s="479">
        <f t="shared" si="12"/>
        <v>0</v>
      </c>
      <c r="AG18" s="471">
        <f t="shared" si="25"/>
        <v>0</v>
      </c>
      <c r="AI18" s="472">
        <f>R18-'EDl log'!B16</f>
        <v>-742199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f t="shared" si="31"/>
        <v>32487886</v>
      </c>
      <c r="E19" s="314">
        <f t="shared" si="13"/>
        <v>0</v>
      </c>
      <c r="F19" s="588">
        <f t="shared" si="32"/>
        <v>3925803</v>
      </c>
      <c r="G19" s="315">
        <f t="shared" si="0"/>
        <v>0</v>
      </c>
      <c r="H19" s="451">
        <f t="shared" si="33"/>
        <v>17738942</v>
      </c>
      <c r="I19" s="315">
        <f t="shared" si="14"/>
        <v>0</v>
      </c>
      <c r="J19" s="588">
        <f t="shared" si="34"/>
        <v>28827074</v>
      </c>
      <c r="K19" s="315">
        <f t="shared" si="15"/>
        <v>0</v>
      </c>
      <c r="L19" s="451">
        <f t="shared" si="35"/>
        <v>23900398</v>
      </c>
      <c r="M19" s="315">
        <f t="shared" si="16"/>
        <v>0</v>
      </c>
      <c r="N19" s="313">
        <f t="shared" si="17"/>
        <v>0</v>
      </c>
      <c r="O19" s="473">
        <f t="shared" si="24"/>
        <v>0</v>
      </c>
      <c r="P19" s="602">
        <f t="shared" si="36"/>
        <v>16469.182000000001</v>
      </c>
      <c r="Q19" s="455">
        <f t="shared" si="29"/>
        <v>0</v>
      </c>
      <c r="R19" s="455">
        <f t="shared" si="30"/>
        <v>0</v>
      </c>
      <c r="S19" s="451">
        <f t="shared" si="26"/>
        <v>10036</v>
      </c>
      <c r="T19" s="475">
        <f t="shared" si="3"/>
        <v>0</v>
      </c>
      <c r="U19" s="451">
        <f t="shared" si="27"/>
        <v>406688</v>
      </c>
      <c r="V19" s="455">
        <f t="shared" si="18"/>
        <v>0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f t="shared" si="9"/>
        <v>35634</v>
      </c>
      <c r="AB19" s="455">
        <f t="shared" si="19"/>
        <v>0</v>
      </c>
      <c r="AC19" s="451">
        <f t="shared" si="10"/>
        <v>905726</v>
      </c>
      <c r="AD19" s="455">
        <f t="shared" si="37"/>
        <v>0</v>
      </c>
      <c r="AE19" s="478">
        <f t="shared" si="11"/>
        <v>0</v>
      </c>
      <c r="AF19" s="479">
        <f t="shared" si="12"/>
        <v>0</v>
      </c>
      <c r="AG19" s="471">
        <f t="shared" si="25"/>
        <v>0</v>
      </c>
      <c r="AI19" s="472">
        <f>R19-'EDl log'!B17</f>
        <v>-742981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f t="shared" si="31"/>
        <v>32487886</v>
      </c>
      <c r="E20" s="314">
        <f t="shared" si="13"/>
        <v>0</v>
      </c>
      <c r="F20" s="588">
        <f t="shared" si="32"/>
        <v>3925803</v>
      </c>
      <c r="G20" s="315">
        <f t="shared" si="0"/>
        <v>0</v>
      </c>
      <c r="H20" s="451">
        <f t="shared" si="33"/>
        <v>17738942</v>
      </c>
      <c r="I20" s="315">
        <f t="shared" si="14"/>
        <v>0</v>
      </c>
      <c r="J20" s="588">
        <f t="shared" si="34"/>
        <v>28827074</v>
      </c>
      <c r="K20" s="315">
        <f t="shared" si="15"/>
        <v>0</v>
      </c>
      <c r="L20" s="451">
        <f t="shared" si="35"/>
        <v>23900398</v>
      </c>
      <c r="M20" s="315">
        <f t="shared" si="16"/>
        <v>0</v>
      </c>
      <c r="N20" s="313">
        <f t="shared" si="17"/>
        <v>0</v>
      </c>
      <c r="O20" s="473">
        <f t="shared" si="24"/>
        <v>0</v>
      </c>
      <c r="P20" s="602">
        <f t="shared" si="36"/>
        <v>16469.182000000001</v>
      </c>
      <c r="Q20" s="455">
        <f t="shared" si="29"/>
        <v>0</v>
      </c>
      <c r="R20" s="455">
        <f t="shared" si="30"/>
        <v>0</v>
      </c>
      <c r="S20" s="451">
        <f t="shared" si="26"/>
        <v>10036</v>
      </c>
      <c r="T20" s="475">
        <f t="shared" si="3"/>
        <v>0</v>
      </c>
      <c r="U20" s="451">
        <f t="shared" si="27"/>
        <v>406688</v>
      </c>
      <c r="V20" s="455">
        <f t="shared" si="18"/>
        <v>0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35634</v>
      </c>
      <c r="AB20" s="455">
        <f t="shared" si="19"/>
        <v>0</v>
      </c>
      <c r="AC20" s="451">
        <f t="shared" si="10"/>
        <v>905726</v>
      </c>
      <c r="AD20" s="455">
        <f t="shared" si="37"/>
        <v>0</v>
      </c>
      <c r="AE20" s="478">
        <f t="shared" si="11"/>
        <v>0</v>
      </c>
      <c r="AF20" s="479">
        <f t="shared" si="12"/>
        <v>0</v>
      </c>
      <c r="AG20" s="471">
        <f t="shared" si="25"/>
        <v>0</v>
      </c>
      <c r="AI20" s="472">
        <f>R20-'EDl log'!B18</f>
        <v>-742981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f t="shared" si="31"/>
        <v>32487886</v>
      </c>
      <c r="E21" s="314">
        <f t="shared" si="13"/>
        <v>0</v>
      </c>
      <c r="F21" s="588">
        <f t="shared" si="32"/>
        <v>3925803</v>
      </c>
      <c r="G21" s="315">
        <f t="shared" si="0"/>
        <v>0</v>
      </c>
      <c r="H21" s="451">
        <f t="shared" si="33"/>
        <v>17738942</v>
      </c>
      <c r="I21" s="315">
        <f t="shared" si="14"/>
        <v>0</v>
      </c>
      <c r="J21" s="588">
        <f t="shared" si="34"/>
        <v>28827074</v>
      </c>
      <c r="K21" s="315">
        <f t="shared" si="15"/>
        <v>0</v>
      </c>
      <c r="L21" s="451">
        <f t="shared" si="35"/>
        <v>23900398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2">
        <f t="shared" si="36"/>
        <v>16469.182000000001</v>
      </c>
      <c r="Q21" s="455">
        <f t="shared" si="29"/>
        <v>0</v>
      </c>
      <c r="R21" s="455">
        <f t="shared" si="30"/>
        <v>0</v>
      </c>
      <c r="S21" s="451">
        <f t="shared" si="26"/>
        <v>10036</v>
      </c>
      <c r="T21" s="475">
        <f t="shared" si="3"/>
        <v>0</v>
      </c>
      <c r="U21" s="451">
        <f t="shared" si="27"/>
        <v>406688</v>
      </c>
      <c r="V21" s="455">
        <f t="shared" si="18"/>
        <v>0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35634</v>
      </c>
      <c r="AB21" s="455">
        <f t="shared" si="19"/>
        <v>0</v>
      </c>
      <c r="AC21" s="451">
        <f t="shared" si="10"/>
        <v>905726</v>
      </c>
      <c r="AD21" s="455">
        <f t="shared" si="37"/>
        <v>0</v>
      </c>
      <c r="AE21" s="478">
        <f t="shared" si="11"/>
        <v>0</v>
      </c>
      <c r="AF21" s="479">
        <f t="shared" si="12"/>
        <v>0</v>
      </c>
      <c r="AG21" s="471">
        <f t="shared" si="25"/>
        <v>0</v>
      </c>
      <c r="AI21" s="472">
        <f>R21-'EDl log'!B19</f>
        <v>-742981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f t="shared" si="31"/>
        <v>32487886</v>
      </c>
      <c r="E22" s="314">
        <f t="shared" si="13"/>
        <v>0</v>
      </c>
      <c r="F22" s="588">
        <f t="shared" si="32"/>
        <v>3925803</v>
      </c>
      <c r="G22" s="315">
        <f t="shared" si="0"/>
        <v>0</v>
      </c>
      <c r="H22" s="451">
        <f t="shared" si="33"/>
        <v>17738942</v>
      </c>
      <c r="I22" s="315">
        <f t="shared" si="14"/>
        <v>0</v>
      </c>
      <c r="J22" s="588">
        <f t="shared" si="34"/>
        <v>28827074</v>
      </c>
      <c r="K22" s="315">
        <f t="shared" si="15"/>
        <v>0</v>
      </c>
      <c r="L22" s="451">
        <f t="shared" si="35"/>
        <v>23900398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2">
        <f t="shared" si="36"/>
        <v>16469.182000000001</v>
      </c>
      <c r="Q22" s="455">
        <f t="shared" si="29"/>
        <v>0</v>
      </c>
      <c r="R22" s="455">
        <f t="shared" si="30"/>
        <v>0</v>
      </c>
      <c r="S22" s="451">
        <f t="shared" si="26"/>
        <v>10036</v>
      </c>
      <c r="T22" s="475">
        <f t="shared" si="3"/>
        <v>0</v>
      </c>
      <c r="U22" s="451">
        <f t="shared" si="27"/>
        <v>406688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35634</v>
      </c>
      <c r="AB22" s="455">
        <f t="shared" si="19"/>
        <v>0</v>
      </c>
      <c r="AC22" s="451">
        <f t="shared" si="10"/>
        <v>905726</v>
      </c>
      <c r="AD22" s="455">
        <f t="shared" si="37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-742981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f t="shared" si="31"/>
        <v>32487886</v>
      </c>
      <c r="E23" s="314">
        <f t="shared" si="13"/>
        <v>0</v>
      </c>
      <c r="F23" s="588">
        <f t="shared" si="32"/>
        <v>3925803</v>
      </c>
      <c r="G23" s="315">
        <f t="shared" si="0"/>
        <v>0</v>
      </c>
      <c r="H23" s="451">
        <f t="shared" si="33"/>
        <v>17738942</v>
      </c>
      <c r="I23" s="444">
        <f t="shared" si="14"/>
        <v>0</v>
      </c>
      <c r="J23" s="588">
        <f t="shared" si="34"/>
        <v>28827074</v>
      </c>
      <c r="K23" s="315">
        <f t="shared" si="15"/>
        <v>0</v>
      </c>
      <c r="L23" s="451">
        <f t="shared" si="35"/>
        <v>23900398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2">
        <f t="shared" si="36"/>
        <v>16469.182000000001</v>
      </c>
      <c r="Q23" s="455">
        <f t="shared" si="29"/>
        <v>0</v>
      </c>
      <c r="R23" s="455">
        <f t="shared" si="30"/>
        <v>0</v>
      </c>
      <c r="S23" s="451">
        <f t="shared" si="26"/>
        <v>10036</v>
      </c>
      <c r="T23" s="475">
        <f t="shared" si="3"/>
        <v>0</v>
      </c>
      <c r="U23" s="451">
        <f t="shared" si="27"/>
        <v>406688</v>
      </c>
      <c r="V23" s="455">
        <f t="shared" si="18"/>
        <v>0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35634</v>
      </c>
      <c r="AB23" s="455">
        <f t="shared" si="19"/>
        <v>0</v>
      </c>
      <c r="AC23" s="451">
        <f t="shared" si="10"/>
        <v>905726</v>
      </c>
      <c r="AD23" s="455">
        <f t="shared" si="37"/>
        <v>0</v>
      </c>
      <c r="AE23" s="478">
        <f t="shared" si="11"/>
        <v>0</v>
      </c>
      <c r="AF23" s="479">
        <f t="shared" si="12"/>
        <v>0</v>
      </c>
      <c r="AG23" s="471">
        <f t="shared" si="25"/>
        <v>0</v>
      </c>
      <c r="AI23" s="472">
        <f>R23-'EDl log'!B21</f>
        <v>-742981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f t="shared" si="31"/>
        <v>32487886</v>
      </c>
      <c r="E24" s="314">
        <f t="shared" si="13"/>
        <v>0</v>
      </c>
      <c r="F24" s="588">
        <f t="shared" si="32"/>
        <v>3925803</v>
      </c>
      <c r="G24" s="315">
        <f t="shared" si="0"/>
        <v>0</v>
      </c>
      <c r="H24" s="451">
        <f t="shared" si="33"/>
        <v>17738942</v>
      </c>
      <c r="I24" s="315">
        <f t="shared" si="14"/>
        <v>0</v>
      </c>
      <c r="J24" s="588">
        <f t="shared" si="34"/>
        <v>28827074</v>
      </c>
      <c r="K24" s="315">
        <f t="shared" si="15"/>
        <v>0</v>
      </c>
      <c r="L24" s="451">
        <f t="shared" si="35"/>
        <v>23900398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2">
        <f t="shared" si="36"/>
        <v>16469.182000000001</v>
      </c>
      <c r="Q24" s="455">
        <f t="shared" si="29"/>
        <v>0</v>
      </c>
      <c r="R24" s="455">
        <f t="shared" si="30"/>
        <v>0</v>
      </c>
      <c r="S24" s="451">
        <f t="shared" si="26"/>
        <v>10036</v>
      </c>
      <c r="T24" s="475">
        <f t="shared" si="3"/>
        <v>0</v>
      </c>
      <c r="U24" s="451">
        <f t="shared" si="27"/>
        <v>406688</v>
      </c>
      <c r="V24" s="455">
        <f t="shared" si="18"/>
        <v>0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35634</v>
      </c>
      <c r="AB24" s="455">
        <f t="shared" si="19"/>
        <v>0</v>
      </c>
      <c r="AC24" s="451">
        <f t="shared" si="10"/>
        <v>905726</v>
      </c>
      <c r="AD24" s="455">
        <f t="shared" si="37"/>
        <v>0</v>
      </c>
      <c r="AE24" s="478">
        <f t="shared" si="11"/>
        <v>0</v>
      </c>
      <c r="AF24" s="479">
        <f t="shared" si="12"/>
        <v>0</v>
      </c>
      <c r="AG24" s="471">
        <f t="shared" si="25"/>
        <v>0</v>
      </c>
      <c r="AI24" s="472">
        <f>R24-'EDl log'!B22</f>
        <v>-742981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f t="shared" si="31"/>
        <v>32487886</v>
      </c>
      <c r="E25" s="314">
        <f t="shared" si="13"/>
        <v>0</v>
      </c>
      <c r="F25" s="588">
        <f t="shared" si="32"/>
        <v>3925803</v>
      </c>
      <c r="G25" s="315">
        <f t="shared" si="0"/>
        <v>0</v>
      </c>
      <c r="H25" s="451">
        <f t="shared" si="33"/>
        <v>17738942</v>
      </c>
      <c r="I25" s="315">
        <f t="shared" si="14"/>
        <v>0</v>
      </c>
      <c r="J25" s="588">
        <f t="shared" si="34"/>
        <v>28827074</v>
      </c>
      <c r="K25" s="315">
        <f t="shared" si="15"/>
        <v>0</v>
      </c>
      <c r="L25" s="451">
        <f t="shared" si="35"/>
        <v>23900398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2">
        <f t="shared" si="36"/>
        <v>16469.182000000001</v>
      </c>
      <c r="Q25" s="455">
        <f t="shared" si="29"/>
        <v>0</v>
      </c>
      <c r="R25" s="455">
        <f t="shared" si="30"/>
        <v>0</v>
      </c>
      <c r="S25" s="451">
        <f t="shared" si="26"/>
        <v>10036</v>
      </c>
      <c r="T25" s="475">
        <f t="shared" si="3"/>
        <v>0</v>
      </c>
      <c r="U25" s="451">
        <f t="shared" si="27"/>
        <v>406688</v>
      </c>
      <c r="V25" s="455">
        <f t="shared" si="18"/>
        <v>0</v>
      </c>
      <c r="W25" s="451">
        <f t="shared" si="7"/>
        <v>32147</v>
      </c>
      <c r="X25" s="455">
        <f t="shared" si="23"/>
        <v>0</v>
      </c>
      <c r="Y25" s="451">
        <f t="shared" si="8"/>
        <v>692927</v>
      </c>
      <c r="Z25" s="455">
        <f t="shared" si="22"/>
        <v>0</v>
      </c>
      <c r="AA25" s="451">
        <f t="shared" si="9"/>
        <v>35634</v>
      </c>
      <c r="AB25" s="455">
        <f t="shared" si="19"/>
        <v>0</v>
      </c>
      <c r="AC25" s="451">
        <f t="shared" si="10"/>
        <v>905726</v>
      </c>
      <c r="AD25" s="455">
        <f t="shared" si="37"/>
        <v>0</v>
      </c>
      <c r="AE25" s="478">
        <f t="shared" si="11"/>
        <v>0</v>
      </c>
      <c r="AF25" s="479">
        <f t="shared" si="12"/>
        <v>0</v>
      </c>
      <c r="AG25" s="471">
        <f t="shared" si="25"/>
        <v>0</v>
      </c>
      <c r="AI25" s="472">
        <f>R25-'EDl log'!B23</f>
        <v>-742981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f t="shared" si="31"/>
        <v>32487886</v>
      </c>
      <c r="E26" s="314">
        <f t="shared" si="13"/>
        <v>0</v>
      </c>
      <c r="F26" s="588">
        <f t="shared" si="32"/>
        <v>3925803</v>
      </c>
      <c r="G26" s="315">
        <f t="shared" si="0"/>
        <v>0</v>
      </c>
      <c r="H26" s="451">
        <f t="shared" si="33"/>
        <v>17738942</v>
      </c>
      <c r="I26" s="315">
        <f t="shared" si="14"/>
        <v>0</v>
      </c>
      <c r="J26" s="588">
        <f t="shared" si="34"/>
        <v>28827074</v>
      </c>
      <c r="K26" s="315">
        <f t="shared" si="15"/>
        <v>0</v>
      </c>
      <c r="L26" s="451">
        <f t="shared" si="35"/>
        <v>23900398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2">
        <f t="shared" si="36"/>
        <v>16469.182000000001</v>
      </c>
      <c r="Q26" s="455">
        <f t="shared" si="29"/>
        <v>0</v>
      </c>
      <c r="R26" s="455">
        <f t="shared" si="30"/>
        <v>0</v>
      </c>
      <c r="S26" s="451">
        <f t="shared" si="26"/>
        <v>10036</v>
      </c>
      <c r="T26" s="475">
        <f t="shared" si="3"/>
        <v>0</v>
      </c>
      <c r="U26" s="451">
        <f t="shared" si="27"/>
        <v>406688</v>
      </c>
      <c r="V26" s="455">
        <f t="shared" si="18"/>
        <v>0</v>
      </c>
      <c r="W26" s="451">
        <f t="shared" si="7"/>
        <v>32147</v>
      </c>
      <c r="X26" s="455">
        <f t="shared" si="23"/>
        <v>0</v>
      </c>
      <c r="Y26" s="451">
        <f t="shared" si="8"/>
        <v>692927</v>
      </c>
      <c r="Z26" s="455">
        <f t="shared" si="22"/>
        <v>0</v>
      </c>
      <c r="AA26" s="451">
        <f t="shared" si="9"/>
        <v>35634</v>
      </c>
      <c r="AB26" s="455">
        <f t="shared" si="19"/>
        <v>0</v>
      </c>
      <c r="AC26" s="451">
        <f t="shared" si="10"/>
        <v>905726</v>
      </c>
      <c r="AD26" s="455">
        <f t="shared" si="37"/>
        <v>0</v>
      </c>
      <c r="AE26" s="478">
        <f t="shared" si="11"/>
        <v>0</v>
      </c>
      <c r="AF26" s="479">
        <f t="shared" si="12"/>
        <v>0</v>
      </c>
      <c r="AG26" s="471">
        <f t="shared" si="25"/>
        <v>0</v>
      </c>
      <c r="AI26" s="472">
        <f>R26-'EDl log'!B24</f>
        <v>-742981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f t="shared" si="31"/>
        <v>32487886</v>
      </c>
      <c r="E27" s="314">
        <f t="shared" si="13"/>
        <v>0</v>
      </c>
      <c r="F27" s="588">
        <f t="shared" si="32"/>
        <v>3925803</v>
      </c>
      <c r="G27" s="315">
        <f>F27-F26</f>
        <v>0</v>
      </c>
      <c r="H27" s="451">
        <f t="shared" si="33"/>
        <v>17738942</v>
      </c>
      <c r="I27" s="315">
        <f t="shared" si="14"/>
        <v>0</v>
      </c>
      <c r="J27" s="588">
        <f t="shared" si="34"/>
        <v>28827074</v>
      </c>
      <c r="K27" s="315">
        <f t="shared" si="15"/>
        <v>0</v>
      </c>
      <c r="L27" s="451">
        <f t="shared" si="35"/>
        <v>23900398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2">
        <f t="shared" si="36"/>
        <v>16469.182000000001</v>
      </c>
      <c r="Q27" s="455">
        <f t="shared" si="29"/>
        <v>0</v>
      </c>
      <c r="R27" s="455">
        <f t="shared" si="30"/>
        <v>0</v>
      </c>
      <c r="S27" s="451">
        <f t="shared" si="26"/>
        <v>10036</v>
      </c>
      <c r="T27" s="475">
        <f t="shared" si="3"/>
        <v>0</v>
      </c>
      <c r="U27" s="451">
        <f t="shared" si="27"/>
        <v>406688</v>
      </c>
      <c r="V27" s="455">
        <f t="shared" si="18"/>
        <v>0</v>
      </c>
      <c r="W27" s="451">
        <f t="shared" si="7"/>
        <v>32147</v>
      </c>
      <c r="X27" s="455">
        <f t="shared" si="23"/>
        <v>0</v>
      </c>
      <c r="Y27" s="451">
        <f t="shared" si="8"/>
        <v>692927</v>
      </c>
      <c r="Z27" s="455">
        <f t="shared" si="22"/>
        <v>0</v>
      </c>
      <c r="AA27" s="451">
        <f t="shared" si="9"/>
        <v>35634</v>
      </c>
      <c r="AB27" s="455">
        <f t="shared" si="19"/>
        <v>0</v>
      </c>
      <c r="AC27" s="451">
        <f t="shared" si="10"/>
        <v>905726</v>
      </c>
      <c r="AD27" s="455">
        <f t="shared" si="37"/>
        <v>0</v>
      </c>
      <c r="AE27" s="478">
        <f t="shared" si="11"/>
        <v>0</v>
      </c>
      <c r="AF27" s="479">
        <f t="shared" si="12"/>
        <v>0</v>
      </c>
      <c r="AG27" s="471">
        <f t="shared" si="25"/>
        <v>0</v>
      </c>
      <c r="AI27" s="472">
        <f>R27-'EDl log'!B25</f>
        <v>-742981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f t="shared" si="31"/>
        <v>32487886</v>
      </c>
      <c r="E28" s="314">
        <f t="shared" si="13"/>
        <v>0</v>
      </c>
      <c r="F28" s="588">
        <f t="shared" si="32"/>
        <v>3925803</v>
      </c>
      <c r="G28" s="315">
        <f t="shared" si="0"/>
        <v>0</v>
      </c>
      <c r="H28" s="451">
        <f t="shared" si="33"/>
        <v>17738942</v>
      </c>
      <c r="I28" s="315">
        <f t="shared" si="14"/>
        <v>0</v>
      </c>
      <c r="J28" s="588">
        <f t="shared" si="34"/>
        <v>28827074</v>
      </c>
      <c r="K28" s="315">
        <f t="shared" si="15"/>
        <v>0</v>
      </c>
      <c r="L28" s="451">
        <f t="shared" si="35"/>
        <v>23900398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2">
        <f t="shared" si="36"/>
        <v>16469.182000000001</v>
      </c>
      <c r="Q28" s="455">
        <f t="shared" si="29"/>
        <v>0</v>
      </c>
      <c r="R28" s="455">
        <f t="shared" si="30"/>
        <v>0</v>
      </c>
      <c r="S28" s="451">
        <f t="shared" si="26"/>
        <v>10036</v>
      </c>
      <c r="T28" s="475">
        <f t="shared" si="3"/>
        <v>0</v>
      </c>
      <c r="U28" s="451">
        <f t="shared" si="27"/>
        <v>406688</v>
      </c>
      <c r="V28" s="455">
        <f t="shared" si="18"/>
        <v>0</v>
      </c>
      <c r="W28" s="451">
        <f t="shared" si="7"/>
        <v>32147</v>
      </c>
      <c r="X28" s="455">
        <f t="shared" si="23"/>
        <v>0</v>
      </c>
      <c r="Y28" s="451">
        <f t="shared" si="8"/>
        <v>692927</v>
      </c>
      <c r="Z28" s="455">
        <f t="shared" si="22"/>
        <v>0</v>
      </c>
      <c r="AA28" s="451">
        <f t="shared" si="9"/>
        <v>35634</v>
      </c>
      <c r="AB28" s="455">
        <f t="shared" si="19"/>
        <v>0</v>
      </c>
      <c r="AC28" s="451">
        <f t="shared" si="10"/>
        <v>905726</v>
      </c>
      <c r="AD28" s="455">
        <f t="shared" si="37"/>
        <v>0</v>
      </c>
      <c r="AE28" s="478">
        <f t="shared" si="11"/>
        <v>0</v>
      </c>
      <c r="AF28" s="479">
        <f t="shared" si="12"/>
        <v>0</v>
      </c>
      <c r="AG28" s="471">
        <f t="shared" si="25"/>
        <v>0</v>
      </c>
      <c r="AI28" s="472">
        <f>R28-'EDl log'!B26</f>
        <v>-742981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si="31"/>
        <v>32487886</v>
      </c>
      <c r="E29" s="314">
        <f t="shared" si="13"/>
        <v>0</v>
      </c>
      <c r="F29" s="588">
        <f t="shared" si="32"/>
        <v>3925803</v>
      </c>
      <c r="G29" s="315">
        <f t="shared" si="0"/>
        <v>0</v>
      </c>
      <c r="H29" s="451">
        <f t="shared" si="33"/>
        <v>17738942</v>
      </c>
      <c r="I29" s="315">
        <f t="shared" si="14"/>
        <v>0</v>
      </c>
      <c r="J29" s="588">
        <f t="shared" si="34"/>
        <v>28827074</v>
      </c>
      <c r="K29" s="315">
        <f t="shared" si="15"/>
        <v>0</v>
      </c>
      <c r="L29" s="451">
        <f t="shared" si="35"/>
        <v>23900398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2">
        <f t="shared" si="36"/>
        <v>16469.182000000001</v>
      </c>
      <c r="Q29" s="455">
        <f t="shared" si="29"/>
        <v>0</v>
      </c>
      <c r="R29" s="455">
        <f t="shared" si="30"/>
        <v>0</v>
      </c>
      <c r="S29" s="451">
        <f t="shared" si="26"/>
        <v>10036</v>
      </c>
      <c r="T29" s="475">
        <f t="shared" si="3"/>
        <v>0</v>
      </c>
      <c r="U29" s="451">
        <f t="shared" si="27"/>
        <v>406688</v>
      </c>
      <c r="V29" s="455">
        <f t="shared" si="18"/>
        <v>0</v>
      </c>
      <c r="W29" s="451">
        <f t="shared" si="7"/>
        <v>32147</v>
      </c>
      <c r="X29" s="455">
        <f t="shared" si="23"/>
        <v>0</v>
      </c>
      <c r="Y29" s="451">
        <f t="shared" si="8"/>
        <v>692927</v>
      </c>
      <c r="Z29" s="455">
        <f t="shared" si="22"/>
        <v>0</v>
      </c>
      <c r="AA29" s="451">
        <f t="shared" si="9"/>
        <v>35634</v>
      </c>
      <c r="AB29" s="455">
        <f t="shared" si="19"/>
        <v>0</v>
      </c>
      <c r="AC29" s="451">
        <f t="shared" si="10"/>
        <v>905726</v>
      </c>
      <c r="AD29" s="455">
        <f t="shared" si="37"/>
        <v>0</v>
      </c>
      <c r="AE29" s="478">
        <f t="shared" si="11"/>
        <v>0</v>
      </c>
      <c r="AF29" s="479">
        <f t="shared" si="12"/>
        <v>0</v>
      </c>
      <c r="AG29" s="471">
        <f t="shared" si="25"/>
        <v>0</v>
      </c>
      <c r="AI29" s="472">
        <f>R29-'EDl log'!B27</f>
        <v>-742981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31"/>
        <v>32487886</v>
      </c>
      <c r="E30" s="314">
        <f t="shared" si="13"/>
        <v>0</v>
      </c>
      <c r="F30" s="588">
        <f t="shared" si="32"/>
        <v>3925803</v>
      </c>
      <c r="G30" s="315">
        <f t="shared" si="0"/>
        <v>0</v>
      </c>
      <c r="H30" s="451">
        <f t="shared" si="33"/>
        <v>17738942</v>
      </c>
      <c r="I30" s="315">
        <f t="shared" si="14"/>
        <v>0</v>
      </c>
      <c r="J30" s="588">
        <f t="shared" si="34"/>
        <v>28827074</v>
      </c>
      <c r="K30" s="315">
        <f t="shared" si="15"/>
        <v>0</v>
      </c>
      <c r="L30" s="451">
        <f t="shared" si="35"/>
        <v>23900398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2">
        <f t="shared" si="36"/>
        <v>16469.182000000001</v>
      </c>
      <c r="Q30" s="455">
        <f t="shared" si="29"/>
        <v>0</v>
      </c>
      <c r="R30" s="455">
        <f t="shared" si="30"/>
        <v>0</v>
      </c>
      <c r="S30" s="451">
        <f t="shared" si="26"/>
        <v>10036</v>
      </c>
      <c r="T30" s="475">
        <f t="shared" si="3"/>
        <v>0</v>
      </c>
      <c r="U30" s="451">
        <f t="shared" si="27"/>
        <v>406688</v>
      </c>
      <c r="V30" s="455">
        <f t="shared" si="18"/>
        <v>0</v>
      </c>
      <c r="W30" s="451">
        <f t="shared" si="7"/>
        <v>32147</v>
      </c>
      <c r="X30" s="476">
        <f t="shared" si="23"/>
        <v>0</v>
      </c>
      <c r="Y30" s="451">
        <f t="shared" si="8"/>
        <v>692927</v>
      </c>
      <c r="Z30" s="455">
        <f t="shared" si="22"/>
        <v>0</v>
      </c>
      <c r="AA30" s="451">
        <f t="shared" si="9"/>
        <v>35634</v>
      </c>
      <c r="AB30" s="455">
        <f t="shared" si="19"/>
        <v>0</v>
      </c>
      <c r="AC30" s="451">
        <f t="shared" si="10"/>
        <v>905726</v>
      </c>
      <c r="AD30" s="455">
        <f t="shared" si="37"/>
        <v>0</v>
      </c>
      <c r="AE30" s="478">
        <f t="shared" si="11"/>
        <v>0</v>
      </c>
      <c r="AF30" s="479">
        <f t="shared" si="12"/>
        <v>0</v>
      </c>
      <c r="AG30" s="471">
        <f t="shared" si="25"/>
        <v>0</v>
      </c>
      <c r="AI30" s="472">
        <f>R30-'EDl log'!B28</f>
        <v>-742981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31"/>
        <v>32487886</v>
      </c>
      <c r="E31" s="314">
        <f t="shared" si="13"/>
        <v>0</v>
      </c>
      <c r="F31" s="588">
        <f t="shared" si="32"/>
        <v>3925803</v>
      </c>
      <c r="G31" s="315">
        <f t="shared" si="0"/>
        <v>0</v>
      </c>
      <c r="H31" s="451">
        <f t="shared" si="33"/>
        <v>17738942</v>
      </c>
      <c r="I31" s="315">
        <f t="shared" si="14"/>
        <v>0</v>
      </c>
      <c r="J31" s="588">
        <f t="shared" si="34"/>
        <v>28827074</v>
      </c>
      <c r="K31" s="315">
        <f t="shared" si="15"/>
        <v>0</v>
      </c>
      <c r="L31" s="451">
        <f t="shared" si="35"/>
        <v>23900398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2">
        <f t="shared" si="36"/>
        <v>16469.182000000001</v>
      </c>
      <c r="Q31" s="455">
        <f t="shared" si="29"/>
        <v>0</v>
      </c>
      <c r="R31" s="455">
        <f t="shared" si="30"/>
        <v>0</v>
      </c>
      <c r="S31" s="451">
        <f t="shared" si="26"/>
        <v>10036</v>
      </c>
      <c r="T31" s="475">
        <f t="shared" si="3"/>
        <v>0</v>
      </c>
      <c r="U31" s="451">
        <f t="shared" si="27"/>
        <v>406688</v>
      </c>
      <c r="V31" s="455">
        <f t="shared" si="18"/>
        <v>0</v>
      </c>
      <c r="W31" s="451">
        <f t="shared" si="7"/>
        <v>32147</v>
      </c>
      <c r="X31" s="476">
        <f t="shared" si="23"/>
        <v>0</v>
      </c>
      <c r="Y31" s="451">
        <f t="shared" si="8"/>
        <v>692927</v>
      </c>
      <c r="Z31" s="477">
        <f>Y31-Y30</f>
        <v>0</v>
      </c>
      <c r="AA31" s="451">
        <f t="shared" si="9"/>
        <v>35634</v>
      </c>
      <c r="AB31" s="455">
        <f t="shared" si="19"/>
        <v>0</v>
      </c>
      <c r="AC31" s="451">
        <f t="shared" si="10"/>
        <v>905726</v>
      </c>
      <c r="AD31" s="455">
        <f t="shared" si="37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-742981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31"/>
        <v>32487886</v>
      </c>
      <c r="E32" s="314">
        <f t="shared" si="13"/>
        <v>0</v>
      </c>
      <c r="F32" s="588">
        <f t="shared" si="32"/>
        <v>3925803</v>
      </c>
      <c r="G32" s="315">
        <f>F32-F31</f>
        <v>0</v>
      </c>
      <c r="H32" s="451">
        <f t="shared" si="33"/>
        <v>17738942</v>
      </c>
      <c r="I32" s="315">
        <f>H32-H31</f>
        <v>0</v>
      </c>
      <c r="J32" s="588">
        <f t="shared" si="34"/>
        <v>28827074</v>
      </c>
      <c r="K32" s="315">
        <f>J32-J31</f>
        <v>0</v>
      </c>
      <c r="L32" s="451">
        <f t="shared" si="35"/>
        <v>23900398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2">
        <f t="shared" si="36"/>
        <v>16469.182000000001</v>
      </c>
      <c r="Q32" s="455">
        <f t="shared" si="29"/>
        <v>0</v>
      </c>
      <c r="R32" s="455">
        <f t="shared" si="30"/>
        <v>0</v>
      </c>
      <c r="S32" s="451">
        <f t="shared" si="26"/>
        <v>10036</v>
      </c>
      <c r="T32" s="475">
        <f t="shared" si="3"/>
        <v>0</v>
      </c>
      <c r="U32" s="451">
        <f t="shared" si="27"/>
        <v>406688</v>
      </c>
      <c r="V32" s="455">
        <f t="shared" si="18"/>
        <v>0</v>
      </c>
      <c r="W32" s="451">
        <f t="shared" si="7"/>
        <v>32147</v>
      </c>
      <c r="X32" s="455">
        <f t="shared" si="23"/>
        <v>0</v>
      </c>
      <c r="Y32" s="451">
        <f t="shared" si="8"/>
        <v>692927</v>
      </c>
      <c r="Z32" s="477">
        <f>Y32-Y31</f>
        <v>0</v>
      </c>
      <c r="AA32" s="451">
        <f t="shared" si="9"/>
        <v>35634</v>
      </c>
      <c r="AB32" s="455">
        <f t="shared" si="19"/>
        <v>0</v>
      </c>
      <c r="AC32" s="451">
        <f t="shared" si="10"/>
        <v>905726</v>
      </c>
      <c r="AD32" s="455">
        <f t="shared" si="37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-742981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31"/>
        <v>32487886</v>
      </c>
      <c r="E33" s="314">
        <f t="shared" ref="E33" si="38">D33-D32</f>
        <v>0</v>
      </c>
      <c r="F33" s="588">
        <f t="shared" si="32"/>
        <v>3925803</v>
      </c>
      <c r="G33" s="315">
        <f>F33-F32</f>
        <v>0</v>
      </c>
      <c r="H33" s="451">
        <f t="shared" si="33"/>
        <v>17738942</v>
      </c>
      <c r="I33" s="315">
        <f>H33-H32</f>
        <v>0</v>
      </c>
      <c r="J33" s="588">
        <f t="shared" si="34"/>
        <v>28827074</v>
      </c>
      <c r="K33" s="315">
        <f>J33-J32</f>
        <v>0</v>
      </c>
      <c r="L33" s="451">
        <f t="shared" si="35"/>
        <v>23900398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2">
        <f t="shared" si="36"/>
        <v>16469.182000000001</v>
      </c>
      <c r="Q33" s="455">
        <f t="shared" si="29"/>
        <v>0</v>
      </c>
      <c r="R33" s="455">
        <f t="shared" si="30"/>
        <v>0</v>
      </c>
      <c r="S33" s="451">
        <f t="shared" si="26"/>
        <v>10036</v>
      </c>
      <c r="T33" s="475">
        <f t="shared" ref="T33" si="40">S33-S32</f>
        <v>0</v>
      </c>
      <c r="U33" s="451">
        <f t="shared" si="27"/>
        <v>406688</v>
      </c>
      <c r="V33" s="455">
        <f t="shared" ref="V33" si="41">U33-U32</f>
        <v>0</v>
      </c>
      <c r="W33" s="451">
        <f t="shared" si="7"/>
        <v>32147</v>
      </c>
      <c r="X33" s="455">
        <f t="shared" ref="X33" si="42">W33-W32</f>
        <v>0</v>
      </c>
      <c r="Y33" s="451">
        <f t="shared" si="8"/>
        <v>692927</v>
      </c>
      <c r="Z33" s="477">
        <f>Y33-Y32</f>
        <v>0</v>
      </c>
      <c r="AA33" s="451">
        <f t="shared" si="9"/>
        <v>35634</v>
      </c>
      <c r="AB33" s="455">
        <f t="shared" ref="AB33" si="43">AA33-AA32</f>
        <v>0</v>
      </c>
      <c r="AC33" s="451">
        <f t="shared" si="10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-742981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8" activePane="bottomLeft" state="frozen"/>
      <selection activeCell="K1" sqref="K1"/>
      <selection pane="bottomLeft" activeCell="AA18" sqref="AA1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9" t="s">
        <v>2</v>
      </c>
      <c r="G1" s="630"/>
      <c r="H1" s="630"/>
      <c r="I1" s="631"/>
      <c r="J1" s="285">
        <f>J36</f>
        <v>1</v>
      </c>
      <c r="K1" s="632" t="s">
        <v>4</v>
      </c>
      <c r="L1" s="633"/>
      <c r="M1" s="633"/>
      <c r="N1" s="633"/>
      <c r="O1" s="634"/>
      <c r="P1" s="623" t="s">
        <v>6</v>
      </c>
      <c r="Q1" s="624"/>
      <c r="R1" s="624"/>
      <c r="S1" s="624"/>
      <c r="T1" s="625"/>
      <c r="U1" s="400"/>
      <c r="V1" s="27" t="s">
        <v>104</v>
      </c>
      <c r="W1" s="401"/>
      <c r="X1" s="623" t="s">
        <v>8</v>
      </c>
      <c r="Y1" s="624"/>
      <c r="Z1" s="624"/>
      <c r="AA1" s="624"/>
      <c r="AB1" s="624"/>
      <c r="AC1" s="626" t="s">
        <v>10</v>
      </c>
      <c r="AD1" s="627"/>
      <c r="AE1" s="627"/>
      <c r="AF1" s="628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1"/>
      <c r="R2" s="622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6">
        <v>233</v>
      </c>
      <c r="C5" s="606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6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6">
        <v>230</v>
      </c>
      <c r="C6" s="606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6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7">
        <v>227</v>
      </c>
      <c r="C7" s="607">
        <v>233</v>
      </c>
      <c r="D7" s="45">
        <f t="shared" ref="D7:D34" si="33">C6-C7</f>
        <v>4</v>
      </c>
      <c r="E7" s="45">
        <f t="shared" si="8"/>
        <v>33.520000000000003</v>
      </c>
      <c r="F7" s="608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6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6">
        <v>224</v>
      </c>
      <c r="C8" s="606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6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6">
        <v>222</v>
      </c>
      <c r="C9" s="606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6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6">
        <v>219</v>
      </c>
      <c r="C10" s="606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6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6">
        <v>214</v>
      </c>
      <c r="C11" s="606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6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6">
        <v>213</v>
      </c>
      <c r="C12" s="606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6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6">
        <v>210</v>
      </c>
      <c r="C13" s="606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6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6">
        <v>239</v>
      </c>
      <c r="C14" s="606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6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6">
        <v>237</v>
      </c>
      <c r="C15" s="606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6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6">
        <v>234.3</v>
      </c>
      <c r="C16" s="606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6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6">
        <v>232</v>
      </c>
      <c r="C17" s="606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6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6">
        <v>229</v>
      </c>
      <c r="C18" s="606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6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6">
        <f t="shared" ref="B18:B35" si="44">B18</f>
        <v>229</v>
      </c>
      <c r="C19" s="606">
        <f t="shared" ref="C18:C35" si="45">C18</f>
        <v>235</v>
      </c>
      <c r="D19" s="45">
        <f t="shared" si="33"/>
        <v>0</v>
      </c>
      <c r="E19" s="45">
        <f t="shared" si="8"/>
        <v>0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f t="shared" ref="P18:P35" si="46">P18</f>
        <v>1916</v>
      </c>
      <c r="Q19" s="64">
        <f t="shared" ref="Q18:Q35" si="47">Q18</f>
        <v>162548</v>
      </c>
      <c r="R19" s="398">
        <f t="shared" si="42"/>
        <v>0</v>
      </c>
      <c r="S19" s="52">
        <f t="shared" si="4"/>
        <v>0</v>
      </c>
      <c r="T19" s="67">
        <f t="shared" si="34"/>
        <v>0</v>
      </c>
      <c r="U19" s="405">
        <f t="shared" si="15"/>
        <v>0</v>
      </c>
      <c r="V19" s="62">
        <f t="shared" si="16"/>
        <v>0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6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0</v>
      </c>
      <c r="AJ19" s="321">
        <f>-tanks!AW20</f>
        <v>0</v>
      </c>
      <c r="AK19" s="321">
        <f t="shared" si="25"/>
        <v>0</v>
      </c>
      <c r="AL19" s="321">
        <f t="shared" si="7"/>
        <v>0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6">
        <f t="shared" si="44"/>
        <v>229</v>
      </c>
      <c r="C20" s="606">
        <f t="shared" si="45"/>
        <v>235</v>
      </c>
      <c r="D20" s="45">
        <f>C19-C20</f>
        <v>0</v>
      </c>
      <c r="E20" s="45">
        <f t="shared" si="8"/>
        <v>0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f t="shared" si="11"/>
        <v>2165</v>
      </c>
      <c r="L20" s="52">
        <f t="shared" si="12"/>
        <v>0</v>
      </c>
      <c r="M20" s="64">
        <f t="shared" si="13"/>
        <v>158990</v>
      </c>
      <c r="N20" s="399">
        <f t="shared" si="2"/>
        <v>0</v>
      </c>
      <c r="O20" s="64">
        <f t="shared" si="14"/>
        <v>1869</v>
      </c>
      <c r="P20" s="64">
        <f t="shared" si="46"/>
        <v>1916</v>
      </c>
      <c r="Q20" s="64">
        <f t="shared" si="47"/>
        <v>162548</v>
      </c>
      <c r="R20" s="398">
        <f t="shared" si="42"/>
        <v>0</v>
      </c>
      <c r="S20" s="52">
        <f t="shared" si="4"/>
        <v>0</v>
      </c>
      <c r="T20" s="67">
        <f t="shared" si="34"/>
        <v>0</v>
      </c>
      <c r="U20" s="405">
        <f t="shared" si="15"/>
        <v>0</v>
      </c>
      <c r="V20" s="62">
        <f t="shared" si="16"/>
        <v>0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6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0</v>
      </c>
      <c r="AJ20" s="321">
        <f>-tanks!AW21</f>
        <v>0</v>
      </c>
      <c r="AK20" s="321">
        <f t="shared" si="25"/>
        <v>0</v>
      </c>
      <c r="AL20" s="321">
        <f t="shared" si="7"/>
        <v>0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6">
        <f t="shared" si="44"/>
        <v>229</v>
      </c>
      <c r="C21" s="606">
        <f t="shared" si="45"/>
        <v>235</v>
      </c>
      <c r="D21" s="45">
        <f t="shared" ref="D21:D31" si="48">C20-C21</f>
        <v>0</v>
      </c>
      <c r="E21" s="45">
        <f t="shared" si="8"/>
        <v>0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f t="shared" si="11"/>
        <v>2165</v>
      </c>
      <c r="L21" s="52">
        <f t="shared" si="12"/>
        <v>0</v>
      </c>
      <c r="M21" s="64">
        <f t="shared" si="13"/>
        <v>158990</v>
      </c>
      <c r="N21" s="399">
        <f t="shared" si="2"/>
        <v>0</v>
      </c>
      <c r="O21" s="64">
        <f t="shared" si="14"/>
        <v>1869</v>
      </c>
      <c r="P21" s="64">
        <f t="shared" si="46"/>
        <v>1916</v>
      </c>
      <c r="Q21" s="64">
        <f t="shared" si="47"/>
        <v>162548</v>
      </c>
      <c r="R21" s="398">
        <f t="shared" si="42"/>
        <v>0</v>
      </c>
      <c r="S21" s="52">
        <f t="shared" si="4"/>
        <v>0</v>
      </c>
      <c r="T21" s="67">
        <f t="shared" si="34"/>
        <v>0</v>
      </c>
      <c r="U21" s="405">
        <f t="shared" si="15"/>
        <v>0</v>
      </c>
      <c r="V21" s="62">
        <f t="shared" si="16"/>
        <v>0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6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0</v>
      </c>
      <c r="AJ21" s="321">
        <f>-tanks!AW22</f>
        <v>0</v>
      </c>
      <c r="AK21" s="321">
        <f t="shared" si="25"/>
        <v>0</v>
      </c>
      <c r="AL21" s="321">
        <f t="shared" si="7"/>
        <v>0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6">
        <f t="shared" si="44"/>
        <v>229</v>
      </c>
      <c r="C22" s="606">
        <f t="shared" si="45"/>
        <v>235</v>
      </c>
      <c r="D22" s="45">
        <f t="shared" si="48"/>
        <v>0</v>
      </c>
      <c r="E22" s="45">
        <f t="shared" si="8"/>
        <v>0</v>
      </c>
      <c r="F22" s="64">
        <f t="shared" si="41"/>
        <v>1660</v>
      </c>
      <c r="G22" s="52">
        <f t="shared" si="0"/>
        <v>0</v>
      </c>
      <c r="H22" s="64">
        <f t="shared" si="9"/>
        <v>357869</v>
      </c>
      <c r="I22" s="399">
        <f t="shared" si="1"/>
        <v>0</v>
      </c>
      <c r="J22" s="66">
        <f t="shared" si="10"/>
        <v>0</v>
      </c>
      <c r="K22" s="64">
        <f t="shared" si="11"/>
        <v>2165</v>
      </c>
      <c r="L22" s="52">
        <f t="shared" si="12"/>
        <v>0</v>
      </c>
      <c r="M22" s="64">
        <f t="shared" si="13"/>
        <v>158990</v>
      </c>
      <c r="N22" s="399">
        <f t="shared" si="2"/>
        <v>0</v>
      </c>
      <c r="O22" s="64">
        <f t="shared" si="14"/>
        <v>1869</v>
      </c>
      <c r="P22" s="64">
        <f t="shared" si="46"/>
        <v>1916</v>
      </c>
      <c r="Q22" s="64">
        <f t="shared" si="47"/>
        <v>162548</v>
      </c>
      <c r="R22" s="398">
        <f t="shared" si="42"/>
        <v>0</v>
      </c>
      <c r="S22" s="52">
        <f t="shared" si="4"/>
        <v>0</v>
      </c>
      <c r="T22" s="67">
        <f t="shared" si="34"/>
        <v>0</v>
      </c>
      <c r="U22" s="405">
        <f t="shared" si="15"/>
        <v>0</v>
      </c>
      <c r="V22" s="62">
        <f t="shared" si="16"/>
        <v>0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6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0</v>
      </c>
      <c r="AJ22" s="321">
        <f>-tanks!AW23</f>
        <v>0</v>
      </c>
      <c r="AK22" s="321">
        <f t="shared" si="25"/>
        <v>0</v>
      </c>
      <c r="AL22" s="321">
        <f t="shared" si="7"/>
        <v>0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6">
        <f t="shared" si="44"/>
        <v>229</v>
      </c>
      <c r="C23" s="606">
        <f t="shared" si="45"/>
        <v>235</v>
      </c>
      <c r="D23" s="45">
        <f t="shared" si="48"/>
        <v>0</v>
      </c>
      <c r="E23" s="45">
        <f t="shared" si="8"/>
        <v>0</v>
      </c>
      <c r="F23" s="64">
        <f t="shared" si="41"/>
        <v>1660</v>
      </c>
      <c r="G23" s="52">
        <f t="shared" si="0"/>
        <v>0</v>
      </c>
      <c r="H23" s="64">
        <f t="shared" si="9"/>
        <v>357869</v>
      </c>
      <c r="I23" s="399">
        <f t="shared" si="1"/>
        <v>0</v>
      </c>
      <c r="J23" s="66">
        <f t="shared" si="10"/>
        <v>0</v>
      </c>
      <c r="K23" s="64">
        <f t="shared" si="11"/>
        <v>2165</v>
      </c>
      <c r="L23" s="52">
        <f t="shared" si="12"/>
        <v>0</v>
      </c>
      <c r="M23" s="64">
        <f t="shared" si="13"/>
        <v>158990</v>
      </c>
      <c r="N23" s="399">
        <f t="shared" si="2"/>
        <v>0</v>
      </c>
      <c r="O23" s="64">
        <f t="shared" si="14"/>
        <v>1869</v>
      </c>
      <c r="P23" s="64">
        <f t="shared" si="46"/>
        <v>1916</v>
      </c>
      <c r="Q23" s="64">
        <f t="shared" si="47"/>
        <v>162548</v>
      </c>
      <c r="R23" s="398">
        <f t="shared" si="42"/>
        <v>0</v>
      </c>
      <c r="S23" s="52">
        <f t="shared" si="4"/>
        <v>0</v>
      </c>
      <c r="T23" s="67">
        <f t="shared" si="34"/>
        <v>0</v>
      </c>
      <c r="U23" s="405">
        <f t="shared" si="15"/>
        <v>0</v>
      </c>
      <c r="V23" s="62">
        <f t="shared" si="16"/>
        <v>0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6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0</v>
      </c>
      <c r="AJ23" s="321">
        <f>-tanks!AW24</f>
        <v>0</v>
      </c>
      <c r="AK23" s="321">
        <f t="shared" si="25"/>
        <v>0</v>
      </c>
      <c r="AL23" s="321">
        <f t="shared" si="7"/>
        <v>0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6">
        <f t="shared" si="44"/>
        <v>229</v>
      </c>
      <c r="C24" s="606">
        <f t="shared" si="45"/>
        <v>235</v>
      </c>
      <c r="D24" s="45">
        <f t="shared" si="48"/>
        <v>0</v>
      </c>
      <c r="E24" s="45">
        <f t="shared" si="8"/>
        <v>0</v>
      </c>
      <c r="F24" s="64">
        <f t="shared" si="41"/>
        <v>1660</v>
      </c>
      <c r="G24" s="52">
        <f t="shared" si="0"/>
        <v>0</v>
      </c>
      <c r="H24" s="64">
        <f t="shared" si="9"/>
        <v>357869</v>
      </c>
      <c r="I24" s="399">
        <f t="shared" si="1"/>
        <v>0</v>
      </c>
      <c r="J24" s="66">
        <f t="shared" si="10"/>
        <v>0</v>
      </c>
      <c r="K24" s="64">
        <f t="shared" si="11"/>
        <v>2165</v>
      </c>
      <c r="L24" s="52">
        <f t="shared" si="12"/>
        <v>0</v>
      </c>
      <c r="M24" s="64">
        <f t="shared" si="13"/>
        <v>158990</v>
      </c>
      <c r="N24" s="399">
        <f t="shared" si="2"/>
        <v>0</v>
      </c>
      <c r="O24" s="64">
        <f t="shared" si="14"/>
        <v>1869</v>
      </c>
      <c r="P24" s="64">
        <f t="shared" si="46"/>
        <v>1916</v>
      </c>
      <c r="Q24" s="64">
        <f t="shared" si="47"/>
        <v>162548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0</v>
      </c>
      <c r="V24" s="62">
        <f t="shared" si="16"/>
        <v>0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9">SUM(Y24*$AB$2)</f>
        <v>0</v>
      </c>
      <c r="AC24" s="64">
        <f t="shared" si="21"/>
        <v>1933</v>
      </c>
      <c r="AD24" s="45">
        <f t="shared" si="6"/>
        <v>0</v>
      </c>
      <c r="AE24" s="596">
        <f t="shared" si="22"/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0</v>
      </c>
      <c r="AJ24" s="321">
        <f>-tanks!AW25</f>
        <v>0</v>
      </c>
      <c r="AK24" s="321">
        <f t="shared" si="25"/>
        <v>0</v>
      </c>
      <c r="AL24" s="321">
        <f t="shared" si="7"/>
        <v>0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50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6">
        <f t="shared" si="44"/>
        <v>229</v>
      </c>
      <c r="C25" s="606">
        <f t="shared" si="45"/>
        <v>235</v>
      </c>
      <c r="D25" s="45">
        <f t="shared" si="48"/>
        <v>0</v>
      </c>
      <c r="E25" s="45">
        <f t="shared" si="8"/>
        <v>0</v>
      </c>
      <c r="F25" s="64">
        <f t="shared" si="41"/>
        <v>1660</v>
      </c>
      <c r="G25" s="52">
        <f t="shared" si="0"/>
        <v>0</v>
      </c>
      <c r="H25" s="64">
        <f t="shared" si="9"/>
        <v>357869</v>
      </c>
      <c r="I25" s="399">
        <f t="shared" si="1"/>
        <v>0</v>
      </c>
      <c r="J25" s="66">
        <f t="shared" si="10"/>
        <v>0</v>
      </c>
      <c r="K25" s="64">
        <f t="shared" si="11"/>
        <v>2165</v>
      </c>
      <c r="L25" s="52">
        <f t="shared" si="12"/>
        <v>0</v>
      </c>
      <c r="M25" s="64">
        <f t="shared" si="13"/>
        <v>158990</v>
      </c>
      <c r="N25" s="399">
        <f t="shared" si="2"/>
        <v>0</v>
      </c>
      <c r="O25" s="64">
        <f t="shared" si="14"/>
        <v>1869</v>
      </c>
      <c r="P25" s="64">
        <f t="shared" si="46"/>
        <v>1916</v>
      </c>
      <c r="Q25" s="64">
        <f t="shared" si="47"/>
        <v>162548</v>
      </c>
      <c r="R25" s="398">
        <f t="shared" si="42"/>
        <v>0</v>
      </c>
      <c r="S25" s="52">
        <f t="shared" si="4"/>
        <v>0</v>
      </c>
      <c r="T25" s="67">
        <f t="shared" si="34"/>
        <v>0</v>
      </c>
      <c r="U25" s="405">
        <f t="shared" si="15"/>
        <v>0</v>
      </c>
      <c r="V25" s="62">
        <f t="shared" si="16"/>
        <v>0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9"/>
        <v>0</v>
      </c>
      <c r="AC25" s="64">
        <f t="shared" si="21"/>
        <v>1933</v>
      </c>
      <c r="AD25" s="45">
        <f t="shared" si="6"/>
        <v>0</v>
      </c>
      <c r="AE25" s="596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0</v>
      </c>
      <c r="AJ25" s="321">
        <f>-tanks!AW26</f>
        <v>0</v>
      </c>
      <c r="AK25" s="321">
        <f t="shared" si="25"/>
        <v>0</v>
      </c>
      <c r="AL25" s="321">
        <f t="shared" si="7"/>
        <v>0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51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50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6">
        <f t="shared" si="44"/>
        <v>229</v>
      </c>
      <c r="C26" s="606">
        <f t="shared" si="45"/>
        <v>235</v>
      </c>
      <c r="D26" s="45">
        <f t="shared" si="48"/>
        <v>0</v>
      </c>
      <c r="E26" s="45">
        <f t="shared" si="8"/>
        <v>0</v>
      </c>
      <c r="F26" s="64">
        <f t="shared" si="41"/>
        <v>1660</v>
      </c>
      <c r="G26" s="52">
        <f t="shared" si="0"/>
        <v>0</v>
      </c>
      <c r="H26" s="64">
        <f t="shared" si="9"/>
        <v>357869</v>
      </c>
      <c r="I26" s="399">
        <f t="shared" si="1"/>
        <v>0</v>
      </c>
      <c r="J26" s="66">
        <f t="shared" si="10"/>
        <v>0</v>
      </c>
      <c r="K26" s="64">
        <f t="shared" si="11"/>
        <v>2165</v>
      </c>
      <c r="L26" s="52">
        <f t="shared" si="12"/>
        <v>0</v>
      </c>
      <c r="M26" s="64">
        <f t="shared" si="13"/>
        <v>158990</v>
      </c>
      <c r="N26" s="399">
        <f t="shared" si="2"/>
        <v>0</v>
      </c>
      <c r="O26" s="64">
        <f t="shared" si="14"/>
        <v>1869</v>
      </c>
      <c r="P26" s="64">
        <f t="shared" si="46"/>
        <v>1916</v>
      </c>
      <c r="Q26" s="64">
        <f t="shared" si="47"/>
        <v>162548</v>
      </c>
      <c r="R26" s="398">
        <f t="shared" si="42"/>
        <v>0</v>
      </c>
      <c r="S26" s="52">
        <f t="shared" si="4"/>
        <v>0</v>
      </c>
      <c r="T26" s="67">
        <f t="shared" si="34"/>
        <v>0</v>
      </c>
      <c r="U26" s="405">
        <f t="shared" si="15"/>
        <v>0</v>
      </c>
      <c r="V26" s="62">
        <f t="shared" si="16"/>
        <v>0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9"/>
        <v>0</v>
      </c>
      <c r="AC26" s="64">
        <f t="shared" si="21"/>
        <v>1933</v>
      </c>
      <c r="AD26" s="45">
        <f t="shared" si="6"/>
        <v>0</v>
      </c>
      <c r="AE26" s="596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0</v>
      </c>
      <c r="AJ26" s="321">
        <f>-tanks!AW27</f>
        <v>0</v>
      </c>
      <c r="AK26" s="321">
        <f t="shared" si="25"/>
        <v>0</v>
      </c>
      <c r="AL26" s="321">
        <f t="shared" si="7"/>
        <v>0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51"/>
        <v>1650.0000000000002</v>
      </c>
      <c r="AR26" s="64">
        <f t="shared" si="31"/>
        <v>62</v>
      </c>
      <c r="AS26" s="323">
        <f t="shared" si="38"/>
        <v>1860</v>
      </c>
      <c r="AT26" s="323">
        <f t="shared" si="50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6">
        <f t="shared" si="44"/>
        <v>229</v>
      </c>
      <c r="C27" s="606">
        <f t="shared" si="45"/>
        <v>235</v>
      </c>
      <c r="D27" s="45">
        <f t="shared" si="48"/>
        <v>0</v>
      </c>
      <c r="E27" s="45">
        <f t="shared" si="8"/>
        <v>0</v>
      </c>
      <c r="F27" s="64">
        <f t="shared" si="41"/>
        <v>1660</v>
      </c>
      <c r="G27" s="52">
        <f t="shared" si="0"/>
        <v>0</v>
      </c>
      <c r="H27" s="64">
        <f t="shared" si="9"/>
        <v>357869</v>
      </c>
      <c r="I27" s="399">
        <f t="shared" si="1"/>
        <v>0</v>
      </c>
      <c r="J27" s="66">
        <f t="shared" si="10"/>
        <v>0</v>
      </c>
      <c r="K27" s="64">
        <f t="shared" si="11"/>
        <v>2165</v>
      </c>
      <c r="L27" s="52">
        <f t="shared" si="12"/>
        <v>0</v>
      </c>
      <c r="M27" s="64">
        <f t="shared" si="13"/>
        <v>158990</v>
      </c>
      <c r="N27" s="399">
        <f t="shared" si="2"/>
        <v>0</v>
      </c>
      <c r="O27" s="64">
        <f t="shared" si="14"/>
        <v>1869</v>
      </c>
      <c r="P27" s="64">
        <f t="shared" si="46"/>
        <v>1916</v>
      </c>
      <c r="Q27" s="64">
        <f t="shared" si="47"/>
        <v>162548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0</v>
      </c>
      <c r="V27" s="62">
        <f t="shared" si="16"/>
        <v>0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9"/>
        <v>0</v>
      </c>
      <c r="AC27" s="64">
        <f t="shared" si="21"/>
        <v>1933</v>
      </c>
      <c r="AD27" s="45">
        <f t="shared" si="6"/>
        <v>0</v>
      </c>
      <c r="AE27" s="596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0</v>
      </c>
      <c r="AJ27" s="321">
        <f>-tanks!AW28</f>
        <v>0</v>
      </c>
      <c r="AK27" s="321">
        <f t="shared" si="25"/>
        <v>0</v>
      </c>
      <c r="AL27" s="321">
        <f t="shared" si="7"/>
        <v>0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51"/>
        <v>1650.0000000000002</v>
      </c>
      <c r="AR27" s="64">
        <f t="shared" si="31"/>
        <v>62</v>
      </c>
      <c r="AS27" s="323">
        <f t="shared" si="38"/>
        <v>1860</v>
      </c>
      <c r="AT27" s="323">
        <f t="shared" si="50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6">
        <f t="shared" si="44"/>
        <v>229</v>
      </c>
      <c r="C28" s="606">
        <f t="shared" si="45"/>
        <v>235</v>
      </c>
      <c r="D28" s="45">
        <f t="shared" si="48"/>
        <v>0</v>
      </c>
      <c r="E28" s="45">
        <f t="shared" si="8"/>
        <v>0</v>
      </c>
      <c r="F28" s="64">
        <f t="shared" si="41"/>
        <v>1660</v>
      </c>
      <c r="G28" s="52">
        <f t="shared" si="0"/>
        <v>0</v>
      </c>
      <c r="H28" s="64">
        <f t="shared" si="9"/>
        <v>357869</v>
      </c>
      <c r="I28" s="399">
        <f t="shared" si="1"/>
        <v>0</v>
      </c>
      <c r="J28" s="66">
        <f t="shared" si="10"/>
        <v>0</v>
      </c>
      <c r="K28" s="64">
        <f t="shared" si="11"/>
        <v>2165</v>
      </c>
      <c r="L28" s="52">
        <f t="shared" si="12"/>
        <v>0</v>
      </c>
      <c r="M28" s="64">
        <f t="shared" si="13"/>
        <v>158990</v>
      </c>
      <c r="N28" s="399">
        <f t="shared" si="2"/>
        <v>0</v>
      </c>
      <c r="O28" s="64">
        <f t="shared" si="14"/>
        <v>1869</v>
      </c>
      <c r="P28" s="64">
        <f t="shared" si="46"/>
        <v>1916</v>
      </c>
      <c r="Q28" s="64">
        <f t="shared" si="47"/>
        <v>162548</v>
      </c>
      <c r="R28" s="398">
        <f t="shared" si="42"/>
        <v>0</v>
      </c>
      <c r="S28" s="52">
        <f t="shared" si="4"/>
        <v>0</v>
      </c>
      <c r="T28" s="67">
        <f t="shared" si="34"/>
        <v>0</v>
      </c>
      <c r="U28" s="405">
        <f t="shared" si="15"/>
        <v>0</v>
      </c>
      <c r="V28" s="62">
        <f t="shared" si="16"/>
        <v>0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9"/>
        <v>0</v>
      </c>
      <c r="AC28" s="64">
        <f t="shared" si="21"/>
        <v>1933</v>
      </c>
      <c r="AD28" s="45">
        <f t="shared" si="6"/>
        <v>0</v>
      </c>
      <c r="AE28" s="596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0</v>
      </c>
      <c r="AJ28" s="321">
        <f>-tanks!AW29</f>
        <v>0</v>
      </c>
      <c r="AK28" s="321">
        <f t="shared" si="25"/>
        <v>0</v>
      </c>
      <c r="AL28" s="321">
        <f t="shared" si="7"/>
        <v>0</v>
      </c>
      <c r="AM28" s="321">
        <f t="shared" si="26"/>
        <v>0</v>
      </c>
      <c r="AN28" s="64">
        <f t="shared" si="27"/>
        <v>68</v>
      </c>
      <c r="AO28" s="323">
        <f t="shared" ref="AO28:AO34" si="52">(AN28/100)*3000</f>
        <v>2040.0000000000002</v>
      </c>
      <c r="AP28" s="64">
        <f t="shared" si="29"/>
        <v>55</v>
      </c>
      <c r="AQ28" s="323">
        <f t="shared" si="51"/>
        <v>1650.0000000000002</v>
      </c>
      <c r="AR28" s="64">
        <f t="shared" si="31"/>
        <v>62</v>
      </c>
      <c r="AS28" s="323">
        <f t="shared" si="38"/>
        <v>1860</v>
      </c>
      <c r="AT28" s="323">
        <f t="shared" si="50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6">
        <f t="shared" si="44"/>
        <v>229</v>
      </c>
      <c r="C29" s="606">
        <f t="shared" si="45"/>
        <v>235</v>
      </c>
      <c r="D29" s="45">
        <f t="shared" si="48"/>
        <v>0</v>
      </c>
      <c r="E29" s="45">
        <f t="shared" si="8"/>
        <v>0</v>
      </c>
      <c r="F29" s="64">
        <f t="shared" si="41"/>
        <v>1660</v>
      </c>
      <c r="G29" s="52">
        <f t="shared" si="0"/>
        <v>0</v>
      </c>
      <c r="H29" s="64">
        <f t="shared" si="9"/>
        <v>357869</v>
      </c>
      <c r="I29" s="399">
        <f t="shared" si="1"/>
        <v>0</v>
      </c>
      <c r="J29" s="66">
        <f t="shared" si="10"/>
        <v>0</v>
      </c>
      <c r="K29" s="64">
        <f t="shared" si="11"/>
        <v>2165</v>
      </c>
      <c r="L29" s="52">
        <f t="shared" si="12"/>
        <v>0</v>
      </c>
      <c r="M29" s="64">
        <f t="shared" si="13"/>
        <v>158990</v>
      </c>
      <c r="N29" s="399">
        <f t="shared" si="2"/>
        <v>0</v>
      </c>
      <c r="O29" s="64">
        <f t="shared" si="14"/>
        <v>1869</v>
      </c>
      <c r="P29" s="64">
        <f t="shared" si="46"/>
        <v>1916</v>
      </c>
      <c r="Q29" s="64">
        <f t="shared" si="47"/>
        <v>162548</v>
      </c>
      <c r="R29" s="398">
        <f t="shared" si="42"/>
        <v>0</v>
      </c>
      <c r="S29" s="52">
        <f t="shared" si="4"/>
        <v>0</v>
      </c>
      <c r="T29" s="67">
        <f t="shared" si="34"/>
        <v>0</v>
      </c>
      <c r="U29" s="405">
        <f t="shared" si="15"/>
        <v>0</v>
      </c>
      <c r="V29" s="62">
        <f t="shared" si="16"/>
        <v>0</v>
      </c>
      <c r="W29" s="403"/>
      <c r="X29" s="64">
        <f t="shared" si="18"/>
        <v>2450</v>
      </c>
      <c r="Y29" s="52">
        <f t="shared" si="19"/>
        <v>0</v>
      </c>
      <c r="Z29" s="64">
        <f t="shared" si="20"/>
        <v>137652.4</v>
      </c>
      <c r="AA29" s="65">
        <f t="shared" si="5"/>
        <v>0</v>
      </c>
      <c r="AB29" s="287">
        <f t="shared" si="49"/>
        <v>0</v>
      </c>
      <c r="AC29" s="64">
        <f t="shared" si="21"/>
        <v>1933</v>
      </c>
      <c r="AD29" s="45">
        <f t="shared" si="6"/>
        <v>0</v>
      </c>
      <c r="AE29" s="596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0</v>
      </c>
      <c r="AI29" s="321">
        <f t="shared" si="24"/>
        <v>0</v>
      </c>
      <c r="AJ29" s="321">
        <f>-tanks!AW30</f>
        <v>0</v>
      </c>
      <c r="AK29" s="321">
        <f t="shared" si="25"/>
        <v>0</v>
      </c>
      <c r="AL29" s="321">
        <f t="shared" si="7"/>
        <v>0</v>
      </c>
      <c r="AM29" s="321">
        <f t="shared" si="26"/>
        <v>0</v>
      </c>
      <c r="AN29" s="64">
        <f t="shared" si="27"/>
        <v>68</v>
      </c>
      <c r="AO29" s="323">
        <f t="shared" si="52"/>
        <v>2040.0000000000002</v>
      </c>
      <c r="AP29" s="64">
        <f t="shared" si="29"/>
        <v>55</v>
      </c>
      <c r="AQ29" s="323">
        <f t="shared" si="51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6">
        <f t="shared" si="44"/>
        <v>229</v>
      </c>
      <c r="C30" s="606">
        <f t="shared" si="45"/>
        <v>235</v>
      </c>
      <c r="D30" s="45">
        <f t="shared" si="48"/>
        <v>0</v>
      </c>
      <c r="E30" s="45">
        <f t="shared" si="8"/>
        <v>0</v>
      </c>
      <c r="F30" s="64">
        <f t="shared" si="41"/>
        <v>1660</v>
      </c>
      <c r="G30" s="52">
        <f t="shared" si="0"/>
        <v>0</v>
      </c>
      <c r="H30" s="64">
        <f t="shared" si="9"/>
        <v>357869</v>
      </c>
      <c r="I30" s="399">
        <f t="shared" si="1"/>
        <v>0</v>
      </c>
      <c r="J30" s="66">
        <f t="shared" si="10"/>
        <v>0</v>
      </c>
      <c r="K30" s="64">
        <f t="shared" si="11"/>
        <v>2165</v>
      </c>
      <c r="L30" s="52">
        <f t="shared" si="12"/>
        <v>0</v>
      </c>
      <c r="M30" s="64">
        <f t="shared" si="13"/>
        <v>158990</v>
      </c>
      <c r="N30" s="399">
        <f t="shared" si="2"/>
        <v>0</v>
      </c>
      <c r="O30" s="64">
        <f t="shared" si="14"/>
        <v>1869</v>
      </c>
      <c r="P30" s="64">
        <f t="shared" si="46"/>
        <v>1916</v>
      </c>
      <c r="Q30" s="64">
        <f t="shared" si="47"/>
        <v>162548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0</v>
      </c>
      <c r="V30" s="62">
        <f t="shared" si="16"/>
        <v>0</v>
      </c>
      <c r="W30" s="403"/>
      <c r="X30" s="64">
        <f t="shared" si="18"/>
        <v>2450</v>
      </c>
      <c r="Y30" s="52">
        <f t="shared" si="19"/>
        <v>0</v>
      </c>
      <c r="Z30" s="64">
        <f t="shared" si="20"/>
        <v>137652.4</v>
      </c>
      <c r="AA30" s="65">
        <f t="shared" si="5"/>
        <v>0</v>
      </c>
      <c r="AB30" s="287">
        <f t="shared" si="49"/>
        <v>0</v>
      </c>
      <c r="AC30" s="64">
        <f t="shared" si="21"/>
        <v>1933</v>
      </c>
      <c r="AD30" s="45">
        <f t="shared" si="6"/>
        <v>0</v>
      </c>
      <c r="AE30" s="596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0</v>
      </c>
      <c r="AJ30" s="321">
        <f>-tanks!AW31</f>
        <v>0</v>
      </c>
      <c r="AK30" s="321">
        <f t="shared" si="25"/>
        <v>0</v>
      </c>
      <c r="AL30" s="321">
        <f t="shared" si="7"/>
        <v>0</v>
      </c>
      <c r="AM30" s="321">
        <f t="shared" si="26"/>
        <v>0</v>
      </c>
      <c r="AN30" s="64">
        <f t="shared" si="27"/>
        <v>68</v>
      </c>
      <c r="AO30" s="323">
        <f t="shared" si="52"/>
        <v>2040.0000000000002</v>
      </c>
      <c r="AP30" s="64">
        <f t="shared" si="29"/>
        <v>55</v>
      </c>
      <c r="AQ30" s="323">
        <f t="shared" si="51"/>
        <v>1650.0000000000002</v>
      </c>
      <c r="AR30" s="64">
        <f t="shared" si="31"/>
        <v>62</v>
      </c>
      <c r="AS30" s="323">
        <f t="shared" si="38"/>
        <v>1860</v>
      </c>
      <c r="AT30" s="323">
        <f t="shared" si="50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6">
        <f t="shared" si="44"/>
        <v>229</v>
      </c>
      <c r="C31" s="606">
        <f t="shared" si="45"/>
        <v>235</v>
      </c>
      <c r="D31" s="45">
        <f t="shared" si="48"/>
        <v>0</v>
      </c>
      <c r="E31" s="45">
        <f t="shared" si="8"/>
        <v>0</v>
      </c>
      <c r="F31" s="64">
        <f t="shared" si="41"/>
        <v>1660</v>
      </c>
      <c r="G31" s="52">
        <f t="shared" si="0"/>
        <v>0</v>
      </c>
      <c r="H31" s="64">
        <f t="shared" si="9"/>
        <v>357869</v>
      </c>
      <c r="I31" s="399">
        <f t="shared" si="1"/>
        <v>0</v>
      </c>
      <c r="J31" s="66">
        <f t="shared" si="10"/>
        <v>0</v>
      </c>
      <c r="K31" s="64">
        <f t="shared" si="11"/>
        <v>2165</v>
      </c>
      <c r="L31" s="52">
        <f t="shared" si="12"/>
        <v>0</v>
      </c>
      <c r="M31" s="64">
        <f t="shared" si="13"/>
        <v>158990</v>
      </c>
      <c r="N31" s="399">
        <f t="shared" si="2"/>
        <v>0</v>
      </c>
      <c r="O31" s="64">
        <f t="shared" si="14"/>
        <v>1869</v>
      </c>
      <c r="P31" s="64">
        <f t="shared" si="46"/>
        <v>1916</v>
      </c>
      <c r="Q31" s="64">
        <f t="shared" si="47"/>
        <v>162548</v>
      </c>
      <c r="R31" s="398">
        <f t="shared" si="42"/>
        <v>0</v>
      </c>
      <c r="S31" s="52">
        <f t="shared" si="4"/>
        <v>0</v>
      </c>
      <c r="T31" s="67">
        <f t="shared" si="34"/>
        <v>0</v>
      </c>
      <c r="U31" s="405">
        <f t="shared" si="15"/>
        <v>0</v>
      </c>
      <c r="V31" s="62">
        <f t="shared" si="16"/>
        <v>0</v>
      </c>
      <c r="W31" s="403"/>
      <c r="X31" s="64">
        <f t="shared" si="18"/>
        <v>2450</v>
      </c>
      <c r="Y31" s="52">
        <f t="shared" si="19"/>
        <v>0</v>
      </c>
      <c r="Z31" s="64">
        <f t="shared" si="20"/>
        <v>137652.4</v>
      </c>
      <c r="AA31" s="65">
        <f t="shared" si="5"/>
        <v>0</v>
      </c>
      <c r="AB31" s="287">
        <f t="shared" si="49"/>
        <v>0</v>
      </c>
      <c r="AC31" s="64">
        <f t="shared" si="21"/>
        <v>1933</v>
      </c>
      <c r="AD31" s="271">
        <f t="shared" si="6"/>
        <v>0</v>
      </c>
      <c r="AE31" s="596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0</v>
      </c>
      <c r="AJ31" s="321">
        <f>-tanks!AW32</f>
        <v>0</v>
      </c>
      <c r="AK31" s="321">
        <f t="shared" si="25"/>
        <v>0</v>
      </c>
      <c r="AL31" s="321">
        <f t="shared" si="7"/>
        <v>0</v>
      </c>
      <c r="AM31" s="321">
        <f t="shared" si="26"/>
        <v>0</v>
      </c>
      <c r="AN31" s="64">
        <f t="shared" si="27"/>
        <v>68</v>
      </c>
      <c r="AO31" s="323">
        <f t="shared" si="52"/>
        <v>2040.0000000000002</v>
      </c>
      <c r="AP31" s="64">
        <f t="shared" si="29"/>
        <v>55</v>
      </c>
      <c r="AQ31" s="323">
        <f t="shared" si="51"/>
        <v>1650.0000000000002</v>
      </c>
      <c r="AR31" s="64">
        <f t="shared" si="31"/>
        <v>62</v>
      </c>
      <c r="AS31" s="323">
        <f t="shared" si="38"/>
        <v>1860</v>
      </c>
      <c r="AT31" s="323">
        <f t="shared" si="50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6">
        <f t="shared" si="44"/>
        <v>229</v>
      </c>
      <c r="C32" s="606">
        <f t="shared" si="45"/>
        <v>235</v>
      </c>
      <c r="D32" s="45">
        <f t="shared" si="33"/>
        <v>0</v>
      </c>
      <c r="E32" s="45">
        <f t="shared" ref="E32:E34" si="53">D32*8.38</f>
        <v>0</v>
      </c>
      <c r="F32" s="64">
        <f t="shared" si="41"/>
        <v>1660</v>
      </c>
      <c r="G32" s="52">
        <f t="shared" si="0"/>
        <v>0</v>
      </c>
      <c r="H32" s="64">
        <f t="shared" si="9"/>
        <v>357869</v>
      </c>
      <c r="I32" s="399">
        <f t="shared" si="1"/>
        <v>0</v>
      </c>
      <c r="J32" s="66">
        <f t="shared" si="10"/>
        <v>0</v>
      </c>
      <c r="K32" s="64">
        <f t="shared" si="11"/>
        <v>2165</v>
      </c>
      <c r="L32" s="52">
        <f t="shared" si="12"/>
        <v>0</v>
      </c>
      <c r="M32" s="64">
        <f t="shared" si="13"/>
        <v>158990</v>
      </c>
      <c r="N32" s="399">
        <f t="shared" si="2"/>
        <v>0</v>
      </c>
      <c r="O32" s="64">
        <f t="shared" si="14"/>
        <v>1869</v>
      </c>
      <c r="P32" s="64">
        <f t="shared" si="46"/>
        <v>1916</v>
      </c>
      <c r="Q32" s="64">
        <f t="shared" si="47"/>
        <v>162548</v>
      </c>
      <c r="R32" s="398">
        <f t="shared" si="42"/>
        <v>0</v>
      </c>
      <c r="S32" s="52">
        <f t="shared" si="4"/>
        <v>0</v>
      </c>
      <c r="T32" s="67">
        <f t="shared" si="34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2450</v>
      </c>
      <c r="Y32" s="52">
        <f t="shared" si="19"/>
        <v>0</v>
      </c>
      <c r="Z32" s="64">
        <f t="shared" si="20"/>
        <v>137652.4</v>
      </c>
      <c r="AA32" s="65">
        <f t="shared" si="5"/>
        <v>0</v>
      </c>
      <c r="AB32" s="287">
        <f t="shared" si="49"/>
        <v>0</v>
      </c>
      <c r="AC32" s="64">
        <f t="shared" si="21"/>
        <v>1933</v>
      </c>
      <c r="AD32" s="271">
        <f t="shared" si="6"/>
        <v>0</v>
      </c>
      <c r="AE32" s="596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2"/>
        <v>2040.0000000000002</v>
      </c>
      <c r="AP32" s="64">
        <f t="shared" si="29"/>
        <v>55</v>
      </c>
      <c r="AQ32" s="323">
        <f t="shared" si="51"/>
        <v>1650.0000000000002</v>
      </c>
      <c r="AR32" s="64">
        <f t="shared" si="31"/>
        <v>62</v>
      </c>
      <c r="AS32" s="323">
        <f t="shared" si="38"/>
        <v>1860</v>
      </c>
      <c r="AT32" s="323">
        <f t="shared" si="50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6">
        <f t="shared" si="44"/>
        <v>229</v>
      </c>
      <c r="C33" s="606">
        <f t="shared" si="45"/>
        <v>235</v>
      </c>
      <c r="D33" s="45">
        <f t="shared" si="33"/>
        <v>0</v>
      </c>
      <c r="E33" s="45">
        <f t="shared" si="53"/>
        <v>0</v>
      </c>
      <c r="F33" s="64">
        <f t="shared" si="41"/>
        <v>1660</v>
      </c>
      <c r="G33" s="52">
        <f t="shared" si="0"/>
        <v>0</v>
      </c>
      <c r="H33" s="64">
        <f t="shared" si="9"/>
        <v>357869</v>
      </c>
      <c r="I33" s="399">
        <f t="shared" si="1"/>
        <v>0</v>
      </c>
      <c r="J33" s="66">
        <f t="shared" si="10"/>
        <v>0</v>
      </c>
      <c r="K33" s="64">
        <f t="shared" si="11"/>
        <v>2165</v>
      </c>
      <c r="L33" s="52">
        <f t="shared" si="12"/>
        <v>0</v>
      </c>
      <c r="M33" s="64">
        <f t="shared" si="13"/>
        <v>158990</v>
      </c>
      <c r="N33" s="399">
        <f t="shared" si="2"/>
        <v>0</v>
      </c>
      <c r="O33" s="64">
        <f t="shared" si="14"/>
        <v>1869</v>
      </c>
      <c r="P33" s="64">
        <f t="shared" si="46"/>
        <v>1916</v>
      </c>
      <c r="Q33" s="64">
        <f t="shared" si="47"/>
        <v>162548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2450</v>
      </c>
      <c r="Y33" s="52">
        <f t="shared" si="19"/>
        <v>0</v>
      </c>
      <c r="Z33" s="64">
        <f t="shared" si="20"/>
        <v>137652.4</v>
      </c>
      <c r="AA33" s="65">
        <f t="shared" si="5"/>
        <v>0</v>
      </c>
      <c r="AB33" s="287">
        <f t="shared" si="49"/>
        <v>0</v>
      </c>
      <c r="AC33" s="64">
        <f t="shared" si="21"/>
        <v>1933</v>
      </c>
      <c r="AD33" s="45">
        <f t="shared" si="6"/>
        <v>0</v>
      </c>
      <c r="AE33" s="596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2"/>
        <v>2040.0000000000002</v>
      </c>
      <c r="AP33" s="64">
        <f t="shared" si="29"/>
        <v>55</v>
      </c>
      <c r="AQ33" s="323">
        <f t="shared" si="51"/>
        <v>1650.0000000000002</v>
      </c>
      <c r="AR33" s="64">
        <f t="shared" si="31"/>
        <v>62</v>
      </c>
      <c r="AS33" s="323">
        <f t="shared" si="38"/>
        <v>1860</v>
      </c>
      <c r="AT33" s="323">
        <f t="shared" si="50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6">
        <f t="shared" si="44"/>
        <v>229</v>
      </c>
      <c r="C34" s="606">
        <f t="shared" si="45"/>
        <v>235</v>
      </c>
      <c r="D34" s="45">
        <f t="shared" si="33"/>
        <v>0</v>
      </c>
      <c r="E34" s="45">
        <f t="shared" si="53"/>
        <v>0</v>
      </c>
      <c r="F34" s="64">
        <f t="shared" si="41"/>
        <v>1660</v>
      </c>
      <c r="G34" s="52">
        <f t="shared" si="0"/>
        <v>0</v>
      </c>
      <c r="H34" s="64">
        <f t="shared" si="9"/>
        <v>357869</v>
      </c>
      <c r="I34" s="399">
        <f t="shared" si="1"/>
        <v>0</v>
      </c>
      <c r="J34" s="66">
        <f t="shared" si="10"/>
        <v>0</v>
      </c>
      <c r="K34" s="64">
        <f t="shared" si="11"/>
        <v>2165</v>
      </c>
      <c r="L34" s="52">
        <f t="shared" si="12"/>
        <v>0</v>
      </c>
      <c r="M34" s="64">
        <f t="shared" si="13"/>
        <v>158990</v>
      </c>
      <c r="N34" s="399">
        <f t="shared" si="2"/>
        <v>0</v>
      </c>
      <c r="O34" s="64">
        <f t="shared" si="14"/>
        <v>1869</v>
      </c>
      <c r="P34" s="64">
        <f t="shared" si="46"/>
        <v>1916</v>
      </c>
      <c r="Q34" s="64">
        <f t="shared" si="47"/>
        <v>162548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2450</v>
      </c>
      <c r="Y34" s="52">
        <f t="shared" si="19"/>
        <v>0</v>
      </c>
      <c r="Z34" s="64">
        <f t="shared" si="20"/>
        <v>137652.4</v>
      </c>
      <c r="AA34" s="65">
        <f t="shared" si="5"/>
        <v>0</v>
      </c>
      <c r="AB34" s="287">
        <f t="shared" si="49"/>
        <v>0</v>
      </c>
      <c r="AC34" s="64">
        <f t="shared" si="21"/>
        <v>1933</v>
      </c>
      <c r="AD34" s="45">
        <f t="shared" si="6"/>
        <v>0</v>
      </c>
      <c r="AE34" s="596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2"/>
        <v>2040.0000000000002</v>
      </c>
      <c r="AP34" s="64">
        <f t="shared" si="29"/>
        <v>55</v>
      </c>
      <c r="AQ34" s="323">
        <f t="shared" si="51"/>
        <v>1650.0000000000002</v>
      </c>
      <c r="AR34" s="64">
        <f t="shared" si="31"/>
        <v>62</v>
      </c>
      <c r="AS34" s="323">
        <f t="shared" si="38"/>
        <v>1860</v>
      </c>
      <c r="AT34" s="323">
        <f t="shared" si="50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6">
        <f t="shared" si="44"/>
        <v>229</v>
      </c>
      <c r="C35" s="606">
        <f t="shared" si="45"/>
        <v>235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1660</v>
      </c>
      <c r="G35" s="52">
        <f t="shared" ref="G35" si="56">F35-F34</f>
        <v>0</v>
      </c>
      <c r="H35" s="64">
        <f t="shared" si="9"/>
        <v>357869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2165</v>
      </c>
      <c r="L35" s="52">
        <f t="shared" si="12"/>
        <v>0</v>
      </c>
      <c r="M35" s="64">
        <f t="shared" si="13"/>
        <v>158990</v>
      </c>
      <c r="N35" s="399">
        <f t="shared" si="2"/>
        <v>0</v>
      </c>
      <c r="O35" s="64">
        <f t="shared" si="14"/>
        <v>1869</v>
      </c>
      <c r="P35" s="64">
        <f t="shared" si="46"/>
        <v>1916</v>
      </c>
      <c r="Q35" s="64">
        <f t="shared" si="47"/>
        <v>162548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2450</v>
      </c>
      <c r="Y35" s="52">
        <f t="shared" ref="Y35" si="64">X35-X34</f>
        <v>0</v>
      </c>
      <c r="Z35" s="64">
        <f t="shared" si="20"/>
        <v>137652.4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6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</v>
      </c>
      <c r="V36" s="62">
        <f>SUM(V5:V35)</f>
        <v>2579</v>
      </c>
      <c r="AE36" s="71" t="s">
        <v>385</v>
      </c>
      <c r="AG36" s="347"/>
      <c r="AH36" s="62">
        <f>SUM(AH5:AH35)</f>
        <v>46.399999999994179</v>
      </c>
      <c r="AL36" s="62">
        <f>SUM(AL5:AL35)</f>
        <v>34</v>
      </c>
      <c r="AM36" s="62">
        <f>SUM(AM5:AM35)</f>
        <v>1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2625.3999999999942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19" activePane="bottomLeft" state="frozen"/>
      <selection pane="bottomLeft" activeCell="AY19" sqref="AY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9205545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8" t="s">
        <v>95</v>
      </c>
      <c r="AS2" s="639"/>
      <c r="AT2" s="639"/>
      <c r="AU2" s="639"/>
      <c r="AV2" s="640"/>
      <c r="AW2" s="638" t="s">
        <v>96</v>
      </c>
      <c r="AX2" s="639"/>
      <c r="AY2" s="640"/>
      <c r="AZ2" s="638" t="s">
        <v>98</v>
      </c>
      <c r="BA2" s="639"/>
      <c r="BB2" s="640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5" t="s">
        <v>126</v>
      </c>
      <c r="AO3" s="636"/>
      <c r="AP3" s="637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0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8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6706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f t="shared" si="20"/>
        <v>149754</v>
      </c>
      <c r="Y20" s="327">
        <f t="shared" si="41"/>
        <v>0</v>
      </c>
      <c r="Z20" s="5">
        <f t="shared" si="21"/>
        <v>97877</v>
      </c>
      <c r="AA20" s="83">
        <f t="shared" si="22"/>
        <v>0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f t="shared" si="6"/>
        <v>149</v>
      </c>
      <c r="AU20" s="429">
        <f t="shared" si="42"/>
        <v>1.1000000000000001</v>
      </c>
      <c r="AV20" s="202">
        <f t="shared" ref="AV19:AV36" si="53">AV19</f>
        <v>143</v>
      </c>
      <c r="AW20" s="5">
        <v>2.9</v>
      </c>
      <c r="AX20" s="202">
        <f t="shared" ref="AX19:AX36" si="54">AX19</f>
        <v>130</v>
      </c>
      <c r="AY20" s="432">
        <f t="shared" si="46"/>
        <v>134.1</v>
      </c>
      <c r="AZ20" s="432">
        <f t="shared" si="47"/>
        <v>157.30000000000001</v>
      </c>
      <c r="BA20" s="432">
        <f t="shared" si="48"/>
        <v>377</v>
      </c>
      <c r="BB20" s="21">
        <f t="shared" si="49"/>
        <v>0</v>
      </c>
      <c r="BC20" s="21">
        <f t="shared" si="50"/>
        <v>0</v>
      </c>
      <c r="BD20" s="21">
        <f t="shared" si="51"/>
        <v>0</v>
      </c>
      <c r="BE20" s="24">
        <f t="shared" si="5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6706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149754</v>
      </c>
      <c r="Y21" s="327">
        <f>SUM(X21-X20)</f>
        <v>0</v>
      </c>
      <c r="Z21" s="5">
        <f t="shared" si="21"/>
        <v>97877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f t="shared" si="6"/>
        <v>149</v>
      </c>
      <c r="AU21" s="429">
        <f t="shared" si="42"/>
        <v>1.1000000000000001</v>
      </c>
      <c r="AV21" s="202">
        <f t="shared" si="53"/>
        <v>143</v>
      </c>
      <c r="AW21" s="5">
        <v>2.9</v>
      </c>
      <c r="AX21" s="202">
        <f t="shared" si="54"/>
        <v>130</v>
      </c>
      <c r="AY21" s="432">
        <f t="shared" si="46"/>
        <v>134.1</v>
      </c>
      <c r="AZ21" s="432">
        <f t="shared" si="47"/>
        <v>157.30000000000001</v>
      </c>
      <c r="BA21" s="432">
        <f t="shared" si="48"/>
        <v>377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13"/>
        <v>613703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6706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149754</v>
      </c>
      <c r="Y22" s="327">
        <f t="shared" si="41"/>
        <v>0</v>
      </c>
      <c r="Z22" s="5">
        <f t="shared" si="21"/>
        <v>97877</v>
      </c>
      <c r="AA22" s="83">
        <f t="shared" si="22"/>
        <v>0</v>
      </c>
      <c r="AB22" s="5">
        <f t="shared" si="23"/>
        <v>262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5">AS21</f>
        <v>0.9</v>
      </c>
      <c r="AT22" s="202">
        <f t="shared" si="55"/>
        <v>149</v>
      </c>
      <c r="AU22" s="429">
        <f t="shared" si="42"/>
        <v>1.1000000000000001</v>
      </c>
      <c r="AV22" s="202">
        <f t="shared" si="53"/>
        <v>143</v>
      </c>
      <c r="AW22" s="5">
        <v>2.9</v>
      </c>
      <c r="AX22" s="202">
        <f t="shared" si="54"/>
        <v>130</v>
      </c>
      <c r="AY22" s="432">
        <f t="shared" si="7"/>
        <v>134.1</v>
      </c>
      <c r="AZ22" s="432">
        <f t="shared" si="33"/>
        <v>157.30000000000001</v>
      </c>
      <c r="BA22" s="432">
        <f t="shared" si="34"/>
        <v>377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613703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6706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149754</v>
      </c>
      <c r="Y23" s="327">
        <f t="shared" si="41"/>
        <v>0</v>
      </c>
      <c r="Z23" s="5">
        <f t="shared" si="21"/>
        <v>97877</v>
      </c>
      <c r="AA23" s="83">
        <f t="shared" si="22"/>
        <v>0</v>
      </c>
      <c r="AB23" s="5">
        <f t="shared" si="23"/>
        <v>262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5"/>
        <v>0.9</v>
      </c>
      <c r="AT23" s="202">
        <f t="shared" si="55"/>
        <v>149</v>
      </c>
      <c r="AU23" s="429">
        <f t="shared" si="42"/>
        <v>1.1000000000000001</v>
      </c>
      <c r="AV23" s="202">
        <f t="shared" si="53"/>
        <v>143</v>
      </c>
      <c r="AW23" s="5">
        <v>2.9</v>
      </c>
      <c r="AX23" s="202">
        <f t="shared" si="54"/>
        <v>130</v>
      </c>
      <c r="AY23" s="432">
        <f t="shared" si="7"/>
        <v>134.1</v>
      </c>
      <c r="AZ23" s="432">
        <f t="shared" si="33"/>
        <v>157.30000000000001</v>
      </c>
      <c r="BA23" s="432">
        <f t="shared" si="34"/>
        <v>377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13"/>
        <v>613703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6706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f t="shared" si="17"/>
        <v>5161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149754</v>
      </c>
      <c r="Y24" s="327">
        <f t="shared" si="41"/>
        <v>0</v>
      </c>
      <c r="Z24" s="5">
        <f t="shared" si="21"/>
        <v>97877</v>
      </c>
      <c r="AA24" s="83">
        <f t="shared" si="22"/>
        <v>0</v>
      </c>
      <c r="AB24" s="5">
        <f t="shared" si="23"/>
        <v>262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5"/>
        <v>0.9</v>
      </c>
      <c r="AT24" s="202">
        <f t="shared" si="55"/>
        <v>149</v>
      </c>
      <c r="AU24" s="429">
        <f t="shared" si="42"/>
        <v>1.1000000000000001</v>
      </c>
      <c r="AV24" s="202">
        <f t="shared" si="53"/>
        <v>143</v>
      </c>
      <c r="AW24" s="5">
        <v>2.9</v>
      </c>
      <c r="AX24" s="202">
        <f t="shared" si="54"/>
        <v>130</v>
      </c>
      <c r="AY24" s="432">
        <f t="shared" si="7"/>
        <v>134.1</v>
      </c>
      <c r="AZ24" s="432">
        <f t="shared" si="33"/>
        <v>157.30000000000001</v>
      </c>
      <c r="BA24" s="432">
        <f t="shared" si="34"/>
        <v>377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613703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6706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5161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149754</v>
      </c>
      <c r="Y25" s="327">
        <f t="shared" si="41"/>
        <v>0</v>
      </c>
      <c r="Z25" s="5">
        <f t="shared" si="21"/>
        <v>97877</v>
      </c>
      <c r="AA25" s="83">
        <f t="shared" si="22"/>
        <v>0</v>
      </c>
      <c r="AB25" s="5">
        <f t="shared" si="23"/>
        <v>262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5"/>
        <v>0.9</v>
      </c>
      <c r="AT25" s="202">
        <f t="shared" si="55"/>
        <v>149</v>
      </c>
      <c r="AU25" s="429">
        <f t="shared" si="42"/>
        <v>1.1000000000000001</v>
      </c>
      <c r="AV25" s="202">
        <f t="shared" si="53"/>
        <v>143</v>
      </c>
      <c r="AW25" s="5">
        <v>2.9</v>
      </c>
      <c r="AX25" s="202">
        <f t="shared" si="54"/>
        <v>130</v>
      </c>
      <c r="AY25" s="432">
        <f t="shared" si="7"/>
        <v>134.1</v>
      </c>
      <c r="AZ25" s="432">
        <f t="shared" si="33"/>
        <v>157.30000000000001</v>
      </c>
      <c r="BA25" s="432">
        <f t="shared" si="34"/>
        <v>377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13"/>
        <v>613703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6706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5161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149754</v>
      </c>
      <c r="Y26" s="327">
        <f t="shared" si="41"/>
        <v>0</v>
      </c>
      <c r="Z26" s="5">
        <f t="shared" si="21"/>
        <v>97877</v>
      </c>
      <c r="AA26" s="83">
        <f t="shared" si="22"/>
        <v>0</v>
      </c>
      <c r="AB26" s="5">
        <f t="shared" si="23"/>
        <v>262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5"/>
        <v>0.9</v>
      </c>
      <c r="AT26" s="202">
        <f t="shared" si="55"/>
        <v>149</v>
      </c>
      <c r="AU26" s="429">
        <f t="shared" si="42"/>
        <v>1.1000000000000001</v>
      </c>
      <c r="AV26" s="202">
        <f t="shared" si="53"/>
        <v>143</v>
      </c>
      <c r="AW26" s="5">
        <v>2.9</v>
      </c>
      <c r="AX26" s="202">
        <f t="shared" si="54"/>
        <v>130</v>
      </c>
      <c r="AY26" s="432">
        <f t="shared" si="7"/>
        <v>134.1</v>
      </c>
      <c r="AZ26" s="432">
        <f t="shared" si="33"/>
        <v>157.30000000000001</v>
      </c>
      <c r="BA26" s="432">
        <f t="shared" si="34"/>
        <v>377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13"/>
        <v>613703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6706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5161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149754</v>
      </c>
      <c r="Y27" s="327">
        <f>SUM(X27-X26)</f>
        <v>0</v>
      </c>
      <c r="Z27" s="5">
        <f t="shared" si="21"/>
        <v>97877</v>
      </c>
      <c r="AA27" s="83">
        <f t="shared" si="22"/>
        <v>0</v>
      </c>
      <c r="AB27" s="5">
        <f t="shared" si="23"/>
        <v>262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5"/>
        <v>0.9</v>
      </c>
      <c r="AT27" s="202">
        <f t="shared" si="55"/>
        <v>149</v>
      </c>
      <c r="AU27" s="429">
        <f t="shared" si="42"/>
        <v>1.1000000000000001</v>
      </c>
      <c r="AV27" s="202">
        <f t="shared" si="53"/>
        <v>143</v>
      </c>
      <c r="AW27" s="5">
        <v>2.9</v>
      </c>
      <c r="AX27" s="202">
        <f t="shared" si="54"/>
        <v>130</v>
      </c>
      <c r="AY27" s="432">
        <f t="shared" si="7"/>
        <v>134.1</v>
      </c>
      <c r="AZ27" s="432">
        <f t="shared" si="33"/>
        <v>157.30000000000001</v>
      </c>
      <c r="BA27" s="432">
        <f t="shared" si="34"/>
        <v>377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613703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6706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5161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149754</v>
      </c>
      <c r="Y28" s="327">
        <f t="shared" si="41"/>
        <v>0</v>
      </c>
      <c r="Z28" s="5">
        <f t="shared" si="21"/>
        <v>97877</v>
      </c>
      <c r="AA28" s="83">
        <f t="shared" si="22"/>
        <v>0</v>
      </c>
      <c r="AB28" s="5">
        <f t="shared" si="23"/>
        <v>262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5"/>
        <v>0.9</v>
      </c>
      <c r="AT28" s="202">
        <f t="shared" si="55"/>
        <v>149</v>
      </c>
      <c r="AU28" s="429">
        <f t="shared" si="42"/>
        <v>1.1000000000000001</v>
      </c>
      <c r="AV28" s="202">
        <f t="shared" si="53"/>
        <v>143</v>
      </c>
      <c r="AW28" s="5">
        <v>2.9</v>
      </c>
      <c r="AX28" s="202">
        <f t="shared" si="54"/>
        <v>130</v>
      </c>
      <c r="AY28" s="432">
        <f t="shared" si="7"/>
        <v>134.1</v>
      </c>
      <c r="AZ28" s="432">
        <f t="shared" si="33"/>
        <v>157.30000000000001</v>
      </c>
      <c r="BA28" s="432">
        <f t="shared" si="34"/>
        <v>377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613703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6706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5161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149754</v>
      </c>
      <c r="Y29" s="327">
        <f t="shared" si="41"/>
        <v>0</v>
      </c>
      <c r="Z29" s="5">
        <f t="shared" si="21"/>
        <v>97877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5"/>
        <v>0.9</v>
      </c>
      <c r="AT29" s="202">
        <f t="shared" si="55"/>
        <v>149</v>
      </c>
      <c r="AU29" s="429">
        <f t="shared" si="42"/>
        <v>1.1000000000000001</v>
      </c>
      <c r="AV29" s="202">
        <f t="shared" si="53"/>
        <v>143</v>
      </c>
      <c r="AW29" s="5">
        <v>2.9</v>
      </c>
      <c r="AX29" s="202">
        <f t="shared" si="54"/>
        <v>130</v>
      </c>
      <c r="AY29" s="432">
        <f t="shared" si="7"/>
        <v>134.1</v>
      </c>
      <c r="AZ29" s="432">
        <f t="shared" si="33"/>
        <v>157.30000000000001</v>
      </c>
      <c r="BA29" s="432">
        <f t="shared" si="34"/>
        <v>377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13"/>
        <v>613703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6706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5161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149754</v>
      </c>
      <c r="Y30" s="327">
        <f t="shared" si="41"/>
        <v>0</v>
      </c>
      <c r="Z30" s="5">
        <f t="shared" si="21"/>
        <v>97877</v>
      </c>
      <c r="AA30" s="83">
        <f t="shared" si="22"/>
        <v>0</v>
      </c>
      <c r="AB30" s="5">
        <f t="shared" si="23"/>
        <v>262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5"/>
        <v>0.9</v>
      </c>
      <c r="AT30" s="202">
        <f t="shared" si="55"/>
        <v>149</v>
      </c>
      <c r="AU30" s="429">
        <f t="shared" si="42"/>
        <v>1.1000000000000001</v>
      </c>
      <c r="AV30" s="202">
        <f t="shared" si="53"/>
        <v>143</v>
      </c>
      <c r="AW30" s="5">
        <v>2.9</v>
      </c>
      <c r="AX30" s="202">
        <f t="shared" si="54"/>
        <v>130</v>
      </c>
      <c r="AY30" s="432">
        <f t="shared" si="7"/>
        <v>134.1</v>
      </c>
      <c r="AZ30" s="432">
        <f t="shared" si="33"/>
        <v>157.30000000000001</v>
      </c>
      <c r="BA30" s="432">
        <f t="shared" si="34"/>
        <v>377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613703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6706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5161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149754</v>
      </c>
      <c r="Y31" s="327">
        <f t="shared" si="41"/>
        <v>0</v>
      </c>
      <c r="Z31" s="5">
        <f t="shared" si="21"/>
        <v>97877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5"/>
        <v>0.9</v>
      </c>
      <c r="AT31" s="202">
        <f t="shared" si="55"/>
        <v>149</v>
      </c>
      <c r="AU31" s="429">
        <f t="shared" si="42"/>
        <v>1.1000000000000001</v>
      </c>
      <c r="AV31" s="202">
        <f t="shared" si="53"/>
        <v>143</v>
      </c>
      <c r="AW31" s="5">
        <v>2.9</v>
      </c>
      <c r="AX31" s="202">
        <f t="shared" si="54"/>
        <v>130</v>
      </c>
      <c r="AY31" s="432">
        <f t="shared" si="7"/>
        <v>134.1</v>
      </c>
      <c r="AZ31" s="432">
        <f t="shared" si="33"/>
        <v>157.30000000000001</v>
      </c>
      <c r="BA31" s="432">
        <f t="shared" si="34"/>
        <v>377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613703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6706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5161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149754</v>
      </c>
      <c r="Y32" s="327">
        <f t="shared" si="41"/>
        <v>0</v>
      </c>
      <c r="Z32" s="5">
        <f t="shared" si="21"/>
        <v>97877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5"/>
        <v>0.9</v>
      </c>
      <c r="AT32" s="202">
        <f t="shared" si="55"/>
        <v>149</v>
      </c>
      <c r="AU32" s="429">
        <f t="shared" si="42"/>
        <v>1.1000000000000001</v>
      </c>
      <c r="AV32" s="202">
        <f t="shared" si="53"/>
        <v>143</v>
      </c>
      <c r="AW32" s="5">
        <v>2.9</v>
      </c>
      <c r="AX32" s="202">
        <f t="shared" si="54"/>
        <v>130</v>
      </c>
      <c r="AY32" s="432">
        <f t="shared" si="7"/>
        <v>134.1</v>
      </c>
      <c r="AZ32" s="432">
        <f t="shared" si="33"/>
        <v>157.30000000000001</v>
      </c>
      <c r="BA32" s="432">
        <f t="shared" si="34"/>
        <v>377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613703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6706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5161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149754</v>
      </c>
      <c r="Y33" s="327">
        <f t="shared" si="41"/>
        <v>0</v>
      </c>
      <c r="Z33" s="5">
        <f t="shared" si="21"/>
        <v>97877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5"/>
        <v>0.9</v>
      </c>
      <c r="AT33" s="202">
        <f t="shared" si="55"/>
        <v>149</v>
      </c>
      <c r="AU33" s="429">
        <f t="shared" si="42"/>
        <v>1.1000000000000001</v>
      </c>
      <c r="AV33" s="202">
        <f t="shared" si="53"/>
        <v>143</v>
      </c>
      <c r="AW33" s="5">
        <v>2.9</v>
      </c>
      <c r="AX33" s="202">
        <f t="shared" si="54"/>
        <v>130</v>
      </c>
      <c r="AY33" s="432">
        <f t="shared" si="7"/>
        <v>134.1</v>
      </c>
      <c r="AZ33" s="432">
        <f t="shared" si="33"/>
        <v>157.30000000000001</v>
      </c>
      <c r="BA33" s="432">
        <f t="shared" si="34"/>
        <v>377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613703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6706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5161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149754</v>
      </c>
      <c r="Y34" s="327">
        <f t="shared" si="41"/>
        <v>0</v>
      </c>
      <c r="Z34" s="5">
        <f t="shared" si="21"/>
        <v>97877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5"/>
        <v>0.9</v>
      </c>
      <c r="AT34" s="202">
        <f t="shared" si="55"/>
        <v>149</v>
      </c>
      <c r="AU34" s="430">
        <f t="shared" si="42"/>
        <v>1.1000000000000001</v>
      </c>
      <c r="AV34" s="202">
        <f t="shared" si="53"/>
        <v>143</v>
      </c>
      <c r="AW34" s="5">
        <v>2.9</v>
      </c>
      <c r="AX34" s="202">
        <f t="shared" si="54"/>
        <v>130</v>
      </c>
      <c r="AY34" s="432">
        <f t="shared" si="7"/>
        <v>134.1</v>
      </c>
      <c r="AZ34" s="432">
        <f t="shared" si="33"/>
        <v>157.30000000000001</v>
      </c>
      <c r="BA34" s="432">
        <f t="shared" si="34"/>
        <v>377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613703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6706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5161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149754</v>
      </c>
      <c r="Y35" s="327">
        <f t="shared" si="41"/>
        <v>0</v>
      </c>
      <c r="Z35" s="5">
        <f t="shared" si="21"/>
        <v>97877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5"/>
        <v>0.9</v>
      </c>
      <c r="AT35" s="202">
        <f t="shared" si="55"/>
        <v>149</v>
      </c>
      <c r="AU35" s="431">
        <f t="shared" si="42"/>
        <v>1.1000000000000001</v>
      </c>
      <c r="AV35" s="202">
        <f t="shared" si="53"/>
        <v>143</v>
      </c>
      <c r="AW35" s="5">
        <v>2.9</v>
      </c>
      <c r="AX35" s="202">
        <f t="shared" si="54"/>
        <v>130</v>
      </c>
      <c r="AY35" s="432">
        <f t="shared" si="7"/>
        <v>134.1</v>
      </c>
      <c r="AZ35" s="432">
        <f t="shared" si="33"/>
        <v>157.30000000000001</v>
      </c>
      <c r="BA35" s="432">
        <f t="shared" si="34"/>
        <v>377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613703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6706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5161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149754</v>
      </c>
      <c r="Y36" s="327">
        <f t="shared" ref="Y36" si="67">SUM(X36-X35)</f>
        <v>0</v>
      </c>
      <c r="Z36" s="5">
        <f t="shared" si="21"/>
        <v>97877</v>
      </c>
      <c r="AA36" s="83">
        <f t="shared" ref="AA36" si="68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5"/>
        <v>0.9</v>
      </c>
      <c r="AT36" s="202">
        <f t="shared" si="55"/>
        <v>149</v>
      </c>
      <c r="AU36" s="431">
        <f t="shared" si="42"/>
        <v>1.1000000000000001</v>
      </c>
      <c r="AV36" s="202">
        <f t="shared" si="53"/>
        <v>143</v>
      </c>
      <c r="AW36" s="5">
        <v>2.9</v>
      </c>
      <c r="AX36" s="202">
        <f t="shared" si="54"/>
        <v>130</v>
      </c>
      <c r="AY36" s="432">
        <f t="shared" ref="AY36" si="76">AS36*AT36</f>
        <v>134.1</v>
      </c>
      <c r="AZ36" s="432">
        <f t="shared" ref="AZ36" si="77">AU36*AV36</f>
        <v>157.30000000000001</v>
      </c>
      <c r="BA36" s="432">
        <f t="shared" ref="BA36" si="78">AW36*AX36</f>
        <v>377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1235</v>
      </c>
      <c r="I37" s="416">
        <f>SUM(I6:I36)</f>
        <v>1235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223</v>
      </c>
      <c r="AJ37" s="325">
        <f>SUM(AJ6:AJ36)</f>
        <v>123</v>
      </c>
      <c r="AK37" s="330">
        <f>SUM(Y37-L37)</f>
        <v>219</v>
      </c>
      <c r="AL37" s="325">
        <f>SUM(AL6:AL36)</f>
        <v>123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1235</v>
      </c>
      <c r="Z38" s="325">
        <f>SUM(Y37:AJ37)</f>
        <v>346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1235</v>
      </c>
      <c r="H39" s="1">
        <f>SUM(H38+C38)</f>
        <v>7500</v>
      </c>
      <c r="K39" s="1">
        <f>SUM(H39/G39)</f>
        <v>6.0728744939271255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B1" zoomScaleNormal="100" workbookViewId="0">
      <pane ySplit="4" topLeftCell="A5" activePane="bottomLeft" state="frozen"/>
      <selection pane="bottomLeft" activeCell="K19" sqref="K19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1" t="s">
        <v>193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3"/>
    </row>
    <row r="2" spans="1:15" ht="15.75" customHeight="1" thickBot="1">
      <c r="A2" s="644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6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5">
        <f>'[2]General information '!E36</f>
        <v>0.76</v>
      </c>
      <c r="F5" s="575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/>
      <c r="C20" s="37"/>
      <c r="D20" s="26">
        <f t="shared" si="3"/>
        <v>0</v>
      </c>
      <c r="E20" s="343"/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/>
      <c r="C21" s="37"/>
      <c r="D21" s="26">
        <f>(C21+B21)/2</f>
        <v>0</v>
      </c>
      <c r="E21" s="343"/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/>
      <c r="C28" s="37"/>
      <c r="D28" s="26">
        <f t="shared" si="3"/>
        <v>0</v>
      </c>
      <c r="E28" s="343"/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18.678571428571427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H1" activePane="topRight" state="frozen"/>
      <selection pane="topRight" activeCell="A16" sqref="A16:XFD1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233</v>
      </c>
      <c r="AT3" s="647" t="s">
        <v>301</v>
      </c>
      <c r="AU3" s="648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0</v>
      </c>
      <c r="BB5" s="512">
        <f>[1]tanks!BB35</f>
        <v>0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3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3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3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229</v>
      </c>
      <c r="C20" s="204">
        <f t="shared" si="18"/>
        <v>4927.1935483870966</v>
      </c>
      <c r="D20">
        <f t="shared" si="19"/>
        <v>229</v>
      </c>
      <c r="E20" s="204">
        <f t="shared" si="18"/>
        <v>4927.1935483870966</v>
      </c>
      <c r="F20">
        <f t="shared" si="20"/>
        <v>229</v>
      </c>
      <c r="G20" s="204">
        <f t="shared" si="1"/>
        <v>4927.1935483870966</v>
      </c>
      <c r="H20" s="204">
        <f t="shared" si="21"/>
        <v>229</v>
      </c>
      <c r="I20" s="204">
        <f t="shared" si="2"/>
        <v>4927.1935483870966</v>
      </c>
      <c r="J20" s="204">
        <f t="shared" si="22"/>
        <v>229</v>
      </c>
      <c r="K20" s="204">
        <f t="shared" si="3"/>
        <v>4927.1935483870966</v>
      </c>
      <c r="L20" s="204">
        <f t="shared" si="23"/>
        <v>229</v>
      </c>
      <c r="M20" s="204">
        <f t="shared" si="4"/>
        <v>4927.1935483870966</v>
      </c>
      <c r="N20" s="204">
        <f t="shared" si="24"/>
        <v>229</v>
      </c>
      <c r="O20" s="204">
        <f t="shared" si="5"/>
        <v>4927.1935483870966</v>
      </c>
      <c r="P20" s="204">
        <f t="shared" si="25"/>
        <v>229</v>
      </c>
      <c r="Q20" s="204">
        <f t="shared" si="6"/>
        <v>4927.1935483870966</v>
      </c>
      <c r="R20" s="204">
        <f t="shared" si="26"/>
        <v>229</v>
      </c>
      <c r="S20" s="204">
        <f t="shared" si="7"/>
        <v>4927.1935483870966</v>
      </c>
      <c r="T20" s="204">
        <f t="shared" si="27"/>
        <v>229</v>
      </c>
      <c r="U20" s="204">
        <f t="shared" si="8"/>
        <v>4927.1935483870966</v>
      </c>
      <c r="V20" s="204">
        <f t="shared" si="28"/>
        <v>229</v>
      </c>
      <c r="W20" s="204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4">
        <f>'B5'!C19</f>
        <v>235</v>
      </c>
      <c r="AA20" s="204">
        <f t="shared" si="30"/>
        <v>2350</v>
      </c>
      <c r="AB20" s="204">
        <f t="shared" si="31"/>
        <v>235</v>
      </c>
      <c r="AC20" s="204">
        <f t="shared" si="30"/>
        <v>2350</v>
      </c>
      <c r="AD20" s="204">
        <f t="shared" si="32"/>
        <v>235</v>
      </c>
      <c r="AE20" s="204">
        <f t="shared" si="11"/>
        <v>2350</v>
      </c>
      <c r="AF20" s="204">
        <f t="shared" si="33"/>
        <v>235</v>
      </c>
      <c r="AG20" s="204">
        <f t="shared" si="12"/>
        <v>2350</v>
      </c>
      <c r="AH20" s="204">
        <f t="shared" si="34"/>
        <v>235</v>
      </c>
      <c r="AI20" s="204">
        <f t="shared" si="13"/>
        <v>2350</v>
      </c>
      <c r="AJ20" s="204">
        <f t="shared" si="35"/>
        <v>235</v>
      </c>
      <c r="AK20" s="204">
        <f t="shared" si="14"/>
        <v>2350</v>
      </c>
      <c r="AL20" s="204">
        <f t="shared" si="36"/>
        <v>235</v>
      </c>
      <c r="AM20" s="204">
        <f t="shared" si="15"/>
        <v>2350</v>
      </c>
      <c r="AN20" s="35">
        <f t="shared" si="16"/>
        <v>0.8392857142857143</v>
      </c>
      <c r="AO20" s="36">
        <f t="shared" si="17"/>
        <v>16450</v>
      </c>
      <c r="AQ20" s="224">
        <f t="shared" si="37"/>
        <v>0.75991318739655889</v>
      </c>
      <c r="AR20" s="38">
        <f t="shared" si="41"/>
        <v>70649.129032258075</v>
      </c>
      <c r="AS20" s="198">
        <f t="shared" si="38"/>
        <v>0</v>
      </c>
      <c r="AT20" s="273"/>
      <c r="AU20" s="442"/>
      <c r="AV20" s="525">
        <f t="shared" si="42"/>
        <v>0.56000000000000005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229</v>
      </c>
      <c r="C21" s="204">
        <f t="shared" si="18"/>
        <v>4927.1935483870966</v>
      </c>
      <c r="D21">
        <f t="shared" si="19"/>
        <v>229</v>
      </c>
      <c r="E21" s="204">
        <f t="shared" si="18"/>
        <v>4927.1935483870966</v>
      </c>
      <c r="F21">
        <f t="shared" si="20"/>
        <v>229</v>
      </c>
      <c r="G21" s="204">
        <f t="shared" si="1"/>
        <v>4927.1935483870966</v>
      </c>
      <c r="H21" s="204">
        <f t="shared" si="21"/>
        <v>229</v>
      </c>
      <c r="I21" s="204">
        <f t="shared" si="2"/>
        <v>4927.1935483870966</v>
      </c>
      <c r="J21" s="204">
        <f t="shared" si="22"/>
        <v>229</v>
      </c>
      <c r="K21" s="204">
        <f t="shared" si="3"/>
        <v>4927.1935483870966</v>
      </c>
      <c r="L21" s="204">
        <f t="shared" si="23"/>
        <v>229</v>
      </c>
      <c r="M21" s="204">
        <f t="shared" si="4"/>
        <v>4927.1935483870966</v>
      </c>
      <c r="N21" s="204">
        <f t="shared" si="24"/>
        <v>229</v>
      </c>
      <c r="O21" s="204">
        <f t="shared" si="5"/>
        <v>4927.1935483870966</v>
      </c>
      <c r="P21" s="204">
        <f t="shared" si="25"/>
        <v>229</v>
      </c>
      <c r="Q21" s="204">
        <f t="shared" si="6"/>
        <v>4927.1935483870966</v>
      </c>
      <c r="R21" s="204">
        <f t="shared" si="26"/>
        <v>229</v>
      </c>
      <c r="S21" s="204">
        <f t="shared" si="7"/>
        <v>4927.1935483870966</v>
      </c>
      <c r="T21" s="204">
        <f t="shared" si="27"/>
        <v>229</v>
      </c>
      <c r="U21" s="204">
        <f t="shared" si="8"/>
        <v>4927.1935483870966</v>
      </c>
      <c r="V21" s="204">
        <f t="shared" si="28"/>
        <v>229</v>
      </c>
      <c r="W21" s="204">
        <f t="shared" si="9"/>
        <v>4927.1935483870966</v>
      </c>
      <c r="X21" s="35">
        <f t="shared" si="10"/>
        <v>0.738709677419355</v>
      </c>
      <c r="Y21" s="36">
        <f t="shared" si="29"/>
        <v>54199.129032258075</v>
      </c>
      <c r="Z21" s="204">
        <f>'B5'!C20</f>
        <v>235</v>
      </c>
      <c r="AA21" s="204">
        <f t="shared" si="30"/>
        <v>2350</v>
      </c>
      <c r="AB21" s="204">
        <f t="shared" si="31"/>
        <v>235</v>
      </c>
      <c r="AC21" s="204">
        <f t="shared" si="30"/>
        <v>2350</v>
      </c>
      <c r="AD21" s="204">
        <f t="shared" si="32"/>
        <v>235</v>
      </c>
      <c r="AE21" s="204">
        <f t="shared" si="11"/>
        <v>2350</v>
      </c>
      <c r="AF21" s="204">
        <f t="shared" si="33"/>
        <v>235</v>
      </c>
      <c r="AG21" s="204">
        <f t="shared" si="12"/>
        <v>2350</v>
      </c>
      <c r="AH21" s="204">
        <f t="shared" si="34"/>
        <v>235</v>
      </c>
      <c r="AI21" s="204">
        <f t="shared" si="13"/>
        <v>2350</v>
      </c>
      <c r="AJ21" s="204">
        <f t="shared" si="35"/>
        <v>235</v>
      </c>
      <c r="AK21" s="204">
        <f t="shared" si="14"/>
        <v>2350</v>
      </c>
      <c r="AL21" s="204">
        <f t="shared" si="36"/>
        <v>235</v>
      </c>
      <c r="AM21" s="204">
        <f t="shared" si="15"/>
        <v>2350</v>
      </c>
      <c r="AN21" s="35">
        <f t="shared" si="16"/>
        <v>0.8392857142857143</v>
      </c>
      <c r="AO21" s="36">
        <f t="shared" si="17"/>
        <v>16450</v>
      </c>
      <c r="AQ21" s="224">
        <f t="shared" si="37"/>
        <v>0.75991318739655889</v>
      </c>
      <c r="AR21" s="38">
        <f t="shared" si="41"/>
        <v>70649.129032258075</v>
      </c>
      <c r="AS21" s="198">
        <f t="shared" si="38"/>
        <v>0</v>
      </c>
      <c r="AT21" s="273"/>
      <c r="AU21" s="442"/>
      <c r="AV21" s="525">
        <f t="shared" si="42"/>
        <v>0.56000000000000005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229</v>
      </c>
      <c r="C22" s="204">
        <f t="shared" si="18"/>
        <v>4927.1935483870966</v>
      </c>
      <c r="D22">
        <f t="shared" si="19"/>
        <v>229</v>
      </c>
      <c r="E22" s="204">
        <f t="shared" si="18"/>
        <v>4927.1935483870966</v>
      </c>
      <c r="F22">
        <f t="shared" si="20"/>
        <v>229</v>
      </c>
      <c r="G22" s="204">
        <f t="shared" si="1"/>
        <v>4927.1935483870966</v>
      </c>
      <c r="H22" s="204">
        <f t="shared" si="21"/>
        <v>229</v>
      </c>
      <c r="I22" s="204">
        <f t="shared" si="2"/>
        <v>4927.1935483870966</v>
      </c>
      <c r="J22" s="204">
        <f t="shared" si="22"/>
        <v>229</v>
      </c>
      <c r="K22" s="204">
        <f t="shared" si="3"/>
        <v>4927.1935483870966</v>
      </c>
      <c r="L22" s="204">
        <f t="shared" si="23"/>
        <v>229</v>
      </c>
      <c r="M22" s="204">
        <f t="shared" si="4"/>
        <v>4927.1935483870966</v>
      </c>
      <c r="N22" s="204">
        <f t="shared" si="24"/>
        <v>229</v>
      </c>
      <c r="O22" s="204">
        <f t="shared" si="5"/>
        <v>4927.1935483870966</v>
      </c>
      <c r="P22" s="204">
        <f t="shared" si="25"/>
        <v>229</v>
      </c>
      <c r="Q22" s="204">
        <f t="shared" si="6"/>
        <v>4927.1935483870966</v>
      </c>
      <c r="R22" s="204">
        <f t="shared" si="26"/>
        <v>229</v>
      </c>
      <c r="S22" s="204">
        <f t="shared" si="7"/>
        <v>4927.1935483870966</v>
      </c>
      <c r="T22" s="204">
        <f t="shared" si="27"/>
        <v>229</v>
      </c>
      <c r="U22" s="204">
        <f t="shared" si="8"/>
        <v>4927.1935483870966</v>
      </c>
      <c r="V22" s="204">
        <f t="shared" si="28"/>
        <v>229</v>
      </c>
      <c r="W22" s="204">
        <f t="shared" si="9"/>
        <v>4927.1935483870966</v>
      </c>
      <c r="X22" s="35">
        <f t="shared" si="10"/>
        <v>0.738709677419355</v>
      </c>
      <c r="Y22" s="36">
        <f t="shared" si="29"/>
        <v>54199.129032258075</v>
      </c>
      <c r="Z22" s="204">
        <f>'B5'!C21</f>
        <v>235</v>
      </c>
      <c r="AA22" s="204">
        <f t="shared" si="30"/>
        <v>2350</v>
      </c>
      <c r="AB22" s="204">
        <f t="shared" si="31"/>
        <v>235</v>
      </c>
      <c r="AC22" s="204">
        <f t="shared" si="30"/>
        <v>2350</v>
      </c>
      <c r="AD22" s="204">
        <f t="shared" si="32"/>
        <v>235</v>
      </c>
      <c r="AE22" s="204">
        <f t="shared" si="11"/>
        <v>2350</v>
      </c>
      <c r="AF22" s="204">
        <f t="shared" si="33"/>
        <v>235</v>
      </c>
      <c r="AG22" s="204">
        <f t="shared" si="12"/>
        <v>2350</v>
      </c>
      <c r="AH22" s="204">
        <f t="shared" si="34"/>
        <v>235</v>
      </c>
      <c r="AI22" s="204">
        <f t="shared" si="13"/>
        <v>2350</v>
      </c>
      <c r="AJ22" s="204">
        <f t="shared" si="35"/>
        <v>235</v>
      </c>
      <c r="AK22" s="204">
        <f t="shared" si="14"/>
        <v>2350</v>
      </c>
      <c r="AL22" s="204">
        <f t="shared" si="36"/>
        <v>235</v>
      </c>
      <c r="AM22" s="204">
        <f t="shared" si="15"/>
        <v>2350</v>
      </c>
      <c r="AN22" s="35">
        <f t="shared" si="16"/>
        <v>0.8392857142857143</v>
      </c>
      <c r="AO22" s="36">
        <f t="shared" si="17"/>
        <v>16450</v>
      </c>
      <c r="AQ22" s="224">
        <f t="shared" si="37"/>
        <v>0.75991318739655889</v>
      </c>
      <c r="AR22" s="38">
        <f t="shared" si="41"/>
        <v>70649.129032258075</v>
      </c>
      <c r="AS22" s="198">
        <f t="shared" si="38"/>
        <v>0</v>
      </c>
      <c r="AT22" s="273"/>
      <c r="AU22" s="442"/>
      <c r="AV22" s="525">
        <f t="shared" si="42"/>
        <v>0.56000000000000005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229</v>
      </c>
      <c r="C23" s="204">
        <f t="shared" si="18"/>
        <v>4927.1935483870966</v>
      </c>
      <c r="D23">
        <f t="shared" si="19"/>
        <v>229</v>
      </c>
      <c r="E23" s="204">
        <f t="shared" si="18"/>
        <v>4927.1935483870966</v>
      </c>
      <c r="F23">
        <f t="shared" si="20"/>
        <v>229</v>
      </c>
      <c r="G23" s="204">
        <f t="shared" si="1"/>
        <v>4927.1935483870966</v>
      </c>
      <c r="H23" s="204">
        <f t="shared" si="21"/>
        <v>229</v>
      </c>
      <c r="I23" s="204">
        <f t="shared" si="2"/>
        <v>4927.1935483870966</v>
      </c>
      <c r="J23" s="204">
        <f t="shared" si="22"/>
        <v>229</v>
      </c>
      <c r="K23" s="204">
        <f t="shared" si="3"/>
        <v>4927.1935483870966</v>
      </c>
      <c r="L23" s="204">
        <f t="shared" si="23"/>
        <v>229</v>
      </c>
      <c r="M23" s="204">
        <f t="shared" si="4"/>
        <v>4927.1935483870966</v>
      </c>
      <c r="N23" s="204">
        <f t="shared" si="24"/>
        <v>229</v>
      </c>
      <c r="O23" s="204">
        <f t="shared" si="5"/>
        <v>4927.1935483870966</v>
      </c>
      <c r="P23" s="204">
        <f t="shared" si="25"/>
        <v>229</v>
      </c>
      <c r="Q23" s="204">
        <f t="shared" si="6"/>
        <v>4927.1935483870966</v>
      </c>
      <c r="R23" s="204">
        <f t="shared" si="26"/>
        <v>229</v>
      </c>
      <c r="S23" s="204">
        <f t="shared" si="7"/>
        <v>4927.1935483870966</v>
      </c>
      <c r="T23" s="204">
        <f t="shared" si="27"/>
        <v>229</v>
      </c>
      <c r="U23" s="204">
        <f t="shared" si="8"/>
        <v>4927.1935483870966</v>
      </c>
      <c r="V23" s="204">
        <f t="shared" si="28"/>
        <v>229</v>
      </c>
      <c r="W23" s="204">
        <f t="shared" si="9"/>
        <v>4927.1935483870966</v>
      </c>
      <c r="X23" s="35">
        <f t="shared" si="10"/>
        <v>0.738709677419355</v>
      </c>
      <c r="Y23" s="36">
        <f t="shared" si="29"/>
        <v>54199.129032258075</v>
      </c>
      <c r="Z23" s="204">
        <f>'B5'!C22</f>
        <v>235</v>
      </c>
      <c r="AA23" s="204">
        <f t="shared" si="30"/>
        <v>2350</v>
      </c>
      <c r="AB23" s="204">
        <f t="shared" si="31"/>
        <v>235</v>
      </c>
      <c r="AC23" s="204">
        <f t="shared" si="30"/>
        <v>2350</v>
      </c>
      <c r="AD23" s="204">
        <f t="shared" si="32"/>
        <v>235</v>
      </c>
      <c r="AE23" s="204">
        <f t="shared" si="11"/>
        <v>2350</v>
      </c>
      <c r="AF23" s="204">
        <f t="shared" si="33"/>
        <v>235</v>
      </c>
      <c r="AG23" s="204">
        <f t="shared" si="12"/>
        <v>2350</v>
      </c>
      <c r="AH23" s="204">
        <f t="shared" si="34"/>
        <v>235</v>
      </c>
      <c r="AI23" s="204">
        <f t="shared" si="13"/>
        <v>2350</v>
      </c>
      <c r="AJ23" s="204">
        <f t="shared" si="35"/>
        <v>235</v>
      </c>
      <c r="AK23" s="204">
        <f t="shared" si="14"/>
        <v>2350</v>
      </c>
      <c r="AL23" s="204">
        <f t="shared" si="36"/>
        <v>235</v>
      </c>
      <c r="AM23" s="204">
        <f t="shared" si="15"/>
        <v>2350</v>
      </c>
      <c r="AN23" s="35">
        <f t="shared" si="16"/>
        <v>0.8392857142857143</v>
      </c>
      <c r="AO23" s="36">
        <f t="shared" si="17"/>
        <v>16450</v>
      </c>
      <c r="AQ23" s="224">
        <f t="shared" si="37"/>
        <v>0.75991318739655889</v>
      </c>
      <c r="AR23" s="38">
        <f t="shared" si="41"/>
        <v>70649.129032258075</v>
      </c>
      <c r="AS23" s="198">
        <f t="shared" si="38"/>
        <v>0</v>
      </c>
      <c r="AT23" s="273"/>
      <c r="AU23" s="442"/>
      <c r="AV23" s="525">
        <f t="shared" si="42"/>
        <v>0.56000000000000005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229</v>
      </c>
      <c r="C24" s="204">
        <f t="shared" si="18"/>
        <v>4927.1935483870966</v>
      </c>
      <c r="D24">
        <f t="shared" si="19"/>
        <v>229</v>
      </c>
      <c r="E24" s="204">
        <f t="shared" si="18"/>
        <v>4927.1935483870966</v>
      </c>
      <c r="F24">
        <f t="shared" si="20"/>
        <v>229</v>
      </c>
      <c r="G24" s="204">
        <f t="shared" si="1"/>
        <v>4927.1935483870966</v>
      </c>
      <c r="H24" s="204">
        <f t="shared" si="21"/>
        <v>229</v>
      </c>
      <c r="I24" s="204">
        <f t="shared" si="2"/>
        <v>4927.1935483870966</v>
      </c>
      <c r="J24" s="204">
        <f t="shared" si="22"/>
        <v>229</v>
      </c>
      <c r="K24" s="204">
        <f t="shared" si="3"/>
        <v>4927.1935483870966</v>
      </c>
      <c r="L24" s="204">
        <f t="shared" si="23"/>
        <v>229</v>
      </c>
      <c r="M24" s="204">
        <f t="shared" si="4"/>
        <v>4927.1935483870966</v>
      </c>
      <c r="N24" s="204">
        <f t="shared" si="24"/>
        <v>229</v>
      </c>
      <c r="O24" s="204">
        <f t="shared" si="5"/>
        <v>4927.1935483870966</v>
      </c>
      <c r="P24" s="204">
        <f t="shared" si="25"/>
        <v>229</v>
      </c>
      <c r="Q24" s="204">
        <f t="shared" si="6"/>
        <v>4927.1935483870966</v>
      </c>
      <c r="R24" s="204">
        <f t="shared" si="26"/>
        <v>229</v>
      </c>
      <c r="S24" s="204">
        <f t="shared" si="7"/>
        <v>4927.1935483870966</v>
      </c>
      <c r="T24" s="204">
        <f t="shared" si="27"/>
        <v>229</v>
      </c>
      <c r="U24" s="204">
        <f t="shared" si="8"/>
        <v>4927.1935483870966</v>
      </c>
      <c r="V24" s="204">
        <f t="shared" si="28"/>
        <v>229</v>
      </c>
      <c r="W24" s="204">
        <f t="shared" si="9"/>
        <v>4927.1935483870966</v>
      </c>
      <c r="X24" s="35">
        <f t="shared" si="10"/>
        <v>0.738709677419355</v>
      </c>
      <c r="Y24" s="36">
        <f t="shared" si="29"/>
        <v>54199.129032258075</v>
      </c>
      <c r="Z24" s="204">
        <f>'B5'!C23</f>
        <v>235</v>
      </c>
      <c r="AA24" s="204">
        <f t="shared" si="30"/>
        <v>2350</v>
      </c>
      <c r="AB24" s="204">
        <f t="shared" si="31"/>
        <v>235</v>
      </c>
      <c r="AC24" s="204">
        <f t="shared" si="30"/>
        <v>2350</v>
      </c>
      <c r="AD24" s="204">
        <f t="shared" si="32"/>
        <v>235</v>
      </c>
      <c r="AE24" s="204">
        <f t="shared" si="11"/>
        <v>2350</v>
      </c>
      <c r="AF24" s="204">
        <f t="shared" si="33"/>
        <v>235</v>
      </c>
      <c r="AG24" s="204">
        <f t="shared" si="12"/>
        <v>2350</v>
      </c>
      <c r="AH24" s="204">
        <f t="shared" si="34"/>
        <v>235</v>
      </c>
      <c r="AI24" s="204">
        <f t="shared" si="13"/>
        <v>2350</v>
      </c>
      <c r="AJ24" s="204">
        <f t="shared" si="35"/>
        <v>235</v>
      </c>
      <c r="AK24" s="204">
        <f t="shared" si="14"/>
        <v>2350</v>
      </c>
      <c r="AL24" s="204">
        <f t="shared" si="36"/>
        <v>235</v>
      </c>
      <c r="AM24" s="204">
        <f t="shared" si="15"/>
        <v>2350</v>
      </c>
      <c r="AN24" s="35">
        <f t="shared" si="16"/>
        <v>0.8392857142857143</v>
      </c>
      <c r="AO24" s="36">
        <f t="shared" si="17"/>
        <v>16450</v>
      </c>
      <c r="AQ24" s="224">
        <f t="shared" si="37"/>
        <v>0.75991318739655889</v>
      </c>
      <c r="AR24" s="38">
        <f t="shared" si="41"/>
        <v>70649.129032258075</v>
      </c>
      <c r="AS24" s="198">
        <f t="shared" si="38"/>
        <v>0</v>
      </c>
      <c r="AT24" s="273"/>
      <c r="AU24" s="442"/>
      <c r="AV24" s="525">
        <f t="shared" si="42"/>
        <v>0.56000000000000005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229</v>
      </c>
      <c r="C25" s="204">
        <f t="shared" si="18"/>
        <v>4927.1935483870966</v>
      </c>
      <c r="D25">
        <f t="shared" si="19"/>
        <v>229</v>
      </c>
      <c r="E25" s="204">
        <f t="shared" si="18"/>
        <v>4927.1935483870966</v>
      </c>
      <c r="F25">
        <f t="shared" si="20"/>
        <v>229</v>
      </c>
      <c r="G25" s="204">
        <f t="shared" si="1"/>
        <v>4927.1935483870966</v>
      </c>
      <c r="H25" s="204">
        <f t="shared" si="21"/>
        <v>229</v>
      </c>
      <c r="I25" s="204">
        <f t="shared" si="2"/>
        <v>4927.1935483870966</v>
      </c>
      <c r="J25" s="204">
        <f t="shared" si="22"/>
        <v>229</v>
      </c>
      <c r="K25" s="204">
        <f t="shared" si="3"/>
        <v>4927.1935483870966</v>
      </c>
      <c r="L25" s="204">
        <f t="shared" si="23"/>
        <v>229</v>
      </c>
      <c r="M25" s="204">
        <f t="shared" si="4"/>
        <v>4927.1935483870966</v>
      </c>
      <c r="N25" s="204">
        <f t="shared" si="24"/>
        <v>229</v>
      </c>
      <c r="O25" s="204">
        <f t="shared" si="5"/>
        <v>4927.1935483870966</v>
      </c>
      <c r="P25" s="204">
        <f t="shared" si="25"/>
        <v>229</v>
      </c>
      <c r="Q25" s="204">
        <f t="shared" si="6"/>
        <v>4927.1935483870966</v>
      </c>
      <c r="R25" s="204">
        <f t="shared" si="26"/>
        <v>229</v>
      </c>
      <c r="S25" s="204">
        <f t="shared" si="7"/>
        <v>4927.1935483870966</v>
      </c>
      <c r="T25" s="204">
        <f t="shared" si="27"/>
        <v>229</v>
      </c>
      <c r="U25" s="204">
        <f t="shared" si="8"/>
        <v>4927.1935483870966</v>
      </c>
      <c r="V25" s="204">
        <f t="shared" si="28"/>
        <v>229</v>
      </c>
      <c r="W25" s="204">
        <f t="shared" si="9"/>
        <v>4927.1935483870966</v>
      </c>
      <c r="X25" s="35">
        <f t="shared" si="10"/>
        <v>0.738709677419355</v>
      </c>
      <c r="Y25" s="36">
        <f t="shared" si="29"/>
        <v>54199.129032258075</v>
      </c>
      <c r="Z25" s="204">
        <f>'B5'!C24</f>
        <v>235</v>
      </c>
      <c r="AA25" s="204">
        <f t="shared" si="30"/>
        <v>2350</v>
      </c>
      <c r="AB25" s="204">
        <f t="shared" si="31"/>
        <v>235</v>
      </c>
      <c r="AC25" s="204">
        <f t="shared" si="30"/>
        <v>2350</v>
      </c>
      <c r="AD25" s="204">
        <f t="shared" si="32"/>
        <v>235</v>
      </c>
      <c r="AE25" s="204">
        <f t="shared" si="11"/>
        <v>2350</v>
      </c>
      <c r="AF25" s="204">
        <f t="shared" si="33"/>
        <v>235</v>
      </c>
      <c r="AG25" s="204">
        <f t="shared" si="12"/>
        <v>2350</v>
      </c>
      <c r="AH25" s="204">
        <f t="shared" si="34"/>
        <v>235</v>
      </c>
      <c r="AI25" s="204">
        <f t="shared" si="13"/>
        <v>2350</v>
      </c>
      <c r="AJ25" s="204">
        <f t="shared" si="35"/>
        <v>235</v>
      </c>
      <c r="AK25" s="204">
        <f t="shared" si="14"/>
        <v>2350</v>
      </c>
      <c r="AL25" s="204">
        <f t="shared" si="36"/>
        <v>235</v>
      </c>
      <c r="AM25" s="204">
        <f t="shared" si="15"/>
        <v>2350</v>
      </c>
      <c r="AN25" s="35">
        <f t="shared" si="16"/>
        <v>0.8392857142857143</v>
      </c>
      <c r="AO25" s="36">
        <f t="shared" si="17"/>
        <v>16450</v>
      </c>
      <c r="AQ25" s="224">
        <f t="shared" si="37"/>
        <v>0.75991318739655889</v>
      </c>
      <c r="AR25" s="38">
        <f t="shared" si="41"/>
        <v>70649.129032258075</v>
      </c>
      <c r="AS25" s="198">
        <f t="shared" si="38"/>
        <v>0</v>
      </c>
      <c r="AT25" s="273"/>
      <c r="AU25" s="442"/>
      <c r="AV25" s="525">
        <f t="shared" si="42"/>
        <v>0.56000000000000005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229</v>
      </c>
      <c r="C26" s="204">
        <f t="shared" si="18"/>
        <v>4927.1935483870966</v>
      </c>
      <c r="D26">
        <f t="shared" si="19"/>
        <v>229</v>
      </c>
      <c r="E26" s="204">
        <f t="shared" si="18"/>
        <v>4927.1935483870966</v>
      </c>
      <c r="F26">
        <f t="shared" si="20"/>
        <v>229</v>
      </c>
      <c r="G26" s="204">
        <f t="shared" si="1"/>
        <v>4927.1935483870966</v>
      </c>
      <c r="H26" s="204">
        <f t="shared" si="21"/>
        <v>229</v>
      </c>
      <c r="I26" s="204">
        <f t="shared" si="2"/>
        <v>4927.1935483870966</v>
      </c>
      <c r="J26" s="204">
        <f t="shared" si="22"/>
        <v>229</v>
      </c>
      <c r="K26" s="204">
        <f t="shared" si="3"/>
        <v>4927.1935483870966</v>
      </c>
      <c r="L26" s="204">
        <f t="shared" si="23"/>
        <v>229</v>
      </c>
      <c r="M26" s="204">
        <f t="shared" si="4"/>
        <v>4927.1935483870966</v>
      </c>
      <c r="N26" s="204">
        <f t="shared" si="24"/>
        <v>229</v>
      </c>
      <c r="O26" s="204">
        <f t="shared" si="5"/>
        <v>4927.1935483870966</v>
      </c>
      <c r="P26" s="204">
        <f t="shared" si="25"/>
        <v>229</v>
      </c>
      <c r="Q26" s="204">
        <f t="shared" si="6"/>
        <v>4927.1935483870966</v>
      </c>
      <c r="R26" s="204">
        <f t="shared" si="26"/>
        <v>229</v>
      </c>
      <c r="S26" s="204">
        <f t="shared" si="7"/>
        <v>4927.1935483870966</v>
      </c>
      <c r="T26" s="204">
        <f t="shared" si="27"/>
        <v>229</v>
      </c>
      <c r="U26" s="204">
        <f t="shared" si="8"/>
        <v>4927.1935483870966</v>
      </c>
      <c r="V26" s="204">
        <f t="shared" si="28"/>
        <v>229</v>
      </c>
      <c r="W26" s="204">
        <f t="shared" si="9"/>
        <v>4927.1935483870966</v>
      </c>
      <c r="X26" s="35">
        <f t="shared" si="10"/>
        <v>0.738709677419355</v>
      </c>
      <c r="Y26" s="36">
        <f t="shared" si="29"/>
        <v>54199.129032258075</v>
      </c>
      <c r="Z26" s="204">
        <f>'B5'!C25</f>
        <v>235</v>
      </c>
      <c r="AA26" s="204">
        <f t="shared" si="30"/>
        <v>2350</v>
      </c>
      <c r="AB26" s="204">
        <f t="shared" si="31"/>
        <v>235</v>
      </c>
      <c r="AC26" s="204">
        <f t="shared" si="30"/>
        <v>2350</v>
      </c>
      <c r="AD26" s="204">
        <f t="shared" si="32"/>
        <v>235</v>
      </c>
      <c r="AE26" s="204">
        <f t="shared" si="11"/>
        <v>2350</v>
      </c>
      <c r="AF26" s="204">
        <f t="shared" si="33"/>
        <v>235</v>
      </c>
      <c r="AG26" s="204">
        <f t="shared" si="12"/>
        <v>2350</v>
      </c>
      <c r="AH26" s="204">
        <f t="shared" si="34"/>
        <v>235</v>
      </c>
      <c r="AI26" s="204">
        <f t="shared" si="13"/>
        <v>2350</v>
      </c>
      <c r="AJ26" s="204">
        <f t="shared" si="35"/>
        <v>235</v>
      </c>
      <c r="AK26" s="204">
        <f t="shared" si="14"/>
        <v>2350</v>
      </c>
      <c r="AL26" s="204">
        <f t="shared" si="36"/>
        <v>235</v>
      </c>
      <c r="AM26" s="204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4">
        <f t="shared" si="37"/>
        <v>0.75991318739655889</v>
      </c>
      <c r="AR26" s="38">
        <f t="shared" si="41"/>
        <v>70649.129032258075</v>
      </c>
      <c r="AS26" s="198">
        <f t="shared" si="38"/>
        <v>0</v>
      </c>
      <c r="AT26" s="273"/>
      <c r="AU26" s="442"/>
      <c r="AV26" s="525">
        <f t="shared" si="42"/>
        <v>0.56000000000000005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229</v>
      </c>
      <c r="C27" s="204">
        <f t="shared" si="18"/>
        <v>4927.1935483870966</v>
      </c>
      <c r="D27">
        <f t="shared" si="19"/>
        <v>229</v>
      </c>
      <c r="E27" s="204">
        <f t="shared" si="18"/>
        <v>4927.1935483870966</v>
      </c>
      <c r="F27">
        <f t="shared" si="20"/>
        <v>229</v>
      </c>
      <c r="G27" s="204">
        <f t="shared" si="1"/>
        <v>4927.1935483870966</v>
      </c>
      <c r="H27" s="204">
        <f t="shared" si="21"/>
        <v>229</v>
      </c>
      <c r="I27" s="204">
        <f t="shared" si="2"/>
        <v>4927.1935483870966</v>
      </c>
      <c r="J27" s="204">
        <f t="shared" si="22"/>
        <v>229</v>
      </c>
      <c r="K27" s="204">
        <f t="shared" si="3"/>
        <v>4927.1935483870966</v>
      </c>
      <c r="L27" s="204">
        <f t="shared" si="23"/>
        <v>229</v>
      </c>
      <c r="M27" s="204">
        <f t="shared" si="4"/>
        <v>4927.1935483870966</v>
      </c>
      <c r="N27" s="204">
        <f t="shared" si="24"/>
        <v>229</v>
      </c>
      <c r="O27" s="204">
        <f t="shared" si="5"/>
        <v>4927.1935483870966</v>
      </c>
      <c r="P27" s="204">
        <f t="shared" si="25"/>
        <v>229</v>
      </c>
      <c r="Q27" s="204">
        <f t="shared" si="6"/>
        <v>4927.1935483870966</v>
      </c>
      <c r="R27" s="204">
        <f t="shared" si="26"/>
        <v>229</v>
      </c>
      <c r="S27" s="204">
        <f t="shared" si="7"/>
        <v>4927.1935483870966</v>
      </c>
      <c r="T27" s="204">
        <f t="shared" si="27"/>
        <v>229</v>
      </c>
      <c r="U27" s="204">
        <f t="shared" si="8"/>
        <v>4927.1935483870966</v>
      </c>
      <c r="V27" s="204">
        <f t="shared" si="28"/>
        <v>229</v>
      </c>
      <c r="W27" s="204">
        <f t="shared" si="9"/>
        <v>4927.1935483870966</v>
      </c>
      <c r="X27" s="35">
        <f t="shared" si="10"/>
        <v>0.738709677419355</v>
      </c>
      <c r="Y27" s="36">
        <f t="shared" si="29"/>
        <v>54199.129032258075</v>
      </c>
      <c r="Z27" s="204">
        <f>'B5'!C26</f>
        <v>235</v>
      </c>
      <c r="AA27" s="204">
        <f t="shared" si="30"/>
        <v>2350</v>
      </c>
      <c r="AB27" s="204">
        <f t="shared" si="31"/>
        <v>235</v>
      </c>
      <c r="AC27" s="204">
        <f t="shared" si="30"/>
        <v>2350</v>
      </c>
      <c r="AD27" s="204">
        <f t="shared" si="32"/>
        <v>235</v>
      </c>
      <c r="AE27" s="204">
        <f t="shared" si="11"/>
        <v>2350</v>
      </c>
      <c r="AF27" s="204">
        <f t="shared" si="33"/>
        <v>235</v>
      </c>
      <c r="AG27" s="204">
        <f t="shared" si="12"/>
        <v>2350</v>
      </c>
      <c r="AH27" s="204">
        <f t="shared" si="34"/>
        <v>235</v>
      </c>
      <c r="AI27" s="204">
        <f t="shared" si="13"/>
        <v>2350</v>
      </c>
      <c r="AJ27" s="204">
        <f t="shared" si="35"/>
        <v>235</v>
      </c>
      <c r="AK27" s="204">
        <f t="shared" si="14"/>
        <v>2350</v>
      </c>
      <c r="AL27" s="204">
        <f t="shared" si="36"/>
        <v>235</v>
      </c>
      <c r="AM27" s="204">
        <f t="shared" si="15"/>
        <v>2350</v>
      </c>
      <c r="AN27" s="35">
        <f t="shared" si="16"/>
        <v>0.8392857142857143</v>
      </c>
      <c r="AO27" s="36">
        <f t="shared" si="17"/>
        <v>16450</v>
      </c>
      <c r="AQ27" s="224">
        <f t="shared" si="37"/>
        <v>0.75991318739655889</v>
      </c>
      <c r="AR27" s="38">
        <f t="shared" si="41"/>
        <v>70649.129032258075</v>
      </c>
      <c r="AS27" s="198">
        <f t="shared" si="38"/>
        <v>0</v>
      </c>
      <c r="AT27" s="273"/>
      <c r="AU27" s="442"/>
      <c r="AV27" s="525">
        <f t="shared" si="42"/>
        <v>0.56000000000000005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229</v>
      </c>
      <c r="C28" s="204">
        <f t="shared" si="18"/>
        <v>4927.1935483870966</v>
      </c>
      <c r="D28">
        <f t="shared" si="19"/>
        <v>229</v>
      </c>
      <c r="E28" s="204">
        <f t="shared" si="18"/>
        <v>4927.1935483870966</v>
      </c>
      <c r="F28">
        <f t="shared" si="20"/>
        <v>229</v>
      </c>
      <c r="G28" s="204">
        <f t="shared" si="1"/>
        <v>4927.1935483870966</v>
      </c>
      <c r="H28" s="204">
        <f t="shared" si="21"/>
        <v>229</v>
      </c>
      <c r="I28" s="204">
        <f t="shared" si="2"/>
        <v>4927.1935483870966</v>
      </c>
      <c r="J28" s="204">
        <f t="shared" si="22"/>
        <v>229</v>
      </c>
      <c r="K28" s="204">
        <f t="shared" si="3"/>
        <v>4927.1935483870966</v>
      </c>
      <c r="L28" s="204">
        <f t="shared" si="23"/>
        <v>229</v>
      </c>
      <c r="M28" s="204">
        <f t="shared" si="4"/>
        <v>4927.1935483870966</v>
      </c>
      <c r="N28" s="204">
        <f t="shared" si="24"/>
        <v>229</v>
      </c>
      <c r="O28" s="204">
        <f t="shared" si="5"/>
        <v>4927.1935483870966</v>
      </c>
      <c r="P28" s="204">
        <f t="shared" si="25"/>
        <v>229</v>
      </c>
      <c r="Q28" s="204">
        <f t="shared" si="6"/>
        <v>4927.1935483870966</v>
      </c>
      <c r="R28" s="204">
        <f t="shared" si="26"/>
        <v>229</v>
      </c>
      <c r="S28" s="204">
        <f t="shared" si="7"/>
        <v>4927.1935483870966</v>
      </c>
      <c r="T28" s="204">
        <f t="shared" si="27"/>
        <v>229</v>
      </c>
      <c r="U28" s="204">
        <f t="shared" si="8"/>
        <v>4927.1935483870966</v>
      </c>
      <c r="V28" s="204">
        <f t="shared" si="28"/>
        <v>229</v>
      </c>
      <c r="W28" s="204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4">
        <f>'B5'!C27</f>
        <v>235</v>
      </c>
      <c r="AA28" s="204">
        <f t="shared" si="30"/>
        <v>2350</v>
      </c>
      <c r="AB28" s="204">
        <f t="shared" si="31"/>
        <v>235</v>
      </c>
      <c r="AC28" s="204">
        <f t="shared" si="30"/>
        <v>2350</v>
      </c>
      <c r="AD28" s="204">
        <f t="shared" si="32"/>
        <v>235</v>
      </c>
      <c r="AE28" s="204">
        <f t="shared" si="11"/>
        <v>2350</v>
      </c>
      <c r="AF28" s="204">
        <f t="shared" si="33"/>
        <v>235</v>
      </c>
      <c r="AG28" s="204">
        <f t="shared" si="12"/>
        <v>2350</v>
      </c>
      <c r="AH28" s="204">
        <f t="shared" si="34"/>
        <v>235</v>
      </c>
      <c r="AI28" s="204">
        <f t="shared" si="13"/>
        <v>2350</v>
      </c>
      <c r="AJ28" s="204">
        <f t="shared" si="35"/>
        <v>235</v>
      </c>
      <c r="AK28" s="204">
        <f t="shared" si="14"/>
        <v>2350</v>
      </c>
      <c r="AL28" s="204">
        <f t="shared" si="36"/>
        <v>235</v>
      </c>
      <c r="AM28" s="204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4">
        <f t="shared" si="37"/>
        <v>0.75991318739655889</v>
      </c>
      <c r="AR28" s="38">
        <f t="shared" si="41"/>
        <v>70649.129032258075</v>
      </c>
      <c r="AS28" s="198">
        <f t="shared" si="38"/>
        <v>0</v>
      </c>
      <c r="AT28" s="358"/>
      <c r="AU28" s="442"/>
      <c r="AV28" s="525">
        <f t="shared" si="42"/>
        <v>0.56000000000000005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229</v>
      </c>
      <c r="C29" s="204">
        <f t="shared" si="18"/>
        <v>4927.1935483870966</v>
      </c>
      <c r="D29">
        <f t="shared" si="19"/>
        <v>229</v>
      </c>
      <c r="E29" s="204">
        <f t="shared" si="18"/>
        <v>4927.1935483870966</v>
      </c>
      <c r="F29">
        <f t="shared" si="20"/>
        <v>229</v>
      </c>
      <c r="G29" s="204">
        <f t="shared" si="1"/>
        <v>4927.1935483870966</v>
      </c>
      <c r="H29" s="204">
        <f t="shared" si="21"/>
        <v>229</v>
      </c>
      <c r="I29" s="204">
        <f t="shared" si="2"/>
        <v>4927.1935483870966</v>
      </c>
      <c r="J29" s="204">
        <f t="shared" si="22"/>
        <v>229</v>
      </c>
      <c r="K29" s="204">
        <f t="shared" si="3"/>
        <v>4927.1935483870966</v>
      </c>
      <c r="L29" s="204">
        <f t="shared" si="23"/>
        <v>229</v>
      </c>
      <c r="M29" s="204">
        <f t="shared" si="4"/>
        <v>4927.1935483870966</v>
      </c>
      <c r="N29" s="204">
        <f t="shared" si="24"/>
        <v>229</v>
      </c>
      <c r="O29" s="204">
        <f t="shared" si="5"/>
        <v>4927.1935483870966</v>
      </c>
      <c r="P29" s="204">
        <f t="shared" si="25"/>
        <v>229</v>
      </c>
      <c r="Q29" s="204">
        <f t="shared" si="6"/>
        <v>4927.1935483870966</v>
      </c>
      <c r="R29" s="204">
        <f t="shared" si="26"/>
        <v>229</v>
      </c>
      <c r="S29" s="204">
        <f t="shared" si="7"/>
        <v>4927.1935483870966</v>
      </c>
      <c r="T29" s="204">
        <f t="shared" si="27"/>
        <v>229</v>
      </c>
      <c r="U29" s="204">
        <f t="shared" si="8"/>
        <v>4927.1935483870966</v>
      </c>
      <c r="V29" s="204">
        <f t="shared" si="28"/>
        <v>229</v>
      </c>
      <c r="W29" s="204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4">
        <f>'B5'!C28</f>
        <v>235</v>
      </c>
      <c r="AA29" s="204">
        <f t="shared" si="30"/>
        <v>2350</v>
      </c>
      <c r="AB29" s="204">
        <f t="shared" si="31"/>
        <v>235</v>
      </c>
      <c r="AC29" s="204">
        <f t="shared" si="30"/>
        <v>2350</v>
      </c>
      <c r="AD29" s="204">
        <f t="shared" si="32"/>
        <v>235</v>
      </c>
      <c r="AE29" s="204">
        <f t="shared" si="11"/>
        <v>2350</v>
      </c>
      <c r="AF29" s="204">
        <f t="shared" si="33"/>
        <v>235</v>
      </c>
      <c r="AG29" s="204">
        <f t="shared" si="12"/>
        <v>2350</v>
      </c>
      <c r="AH29" s="204">
        <f t="shared" si="34"/>
        <v>235</v>
      </c>
      <c r="AI29" s="204">
        <f t="shared" si="13"/>
        <v>2350</v>
      </c>
      <c r="AJ29" s="204">
        <f t="shared" si="35"/>
        <v>235</v>
      </c>
      <c r="AK29" s="204">
        <f t="shared" si="14"/>
        <v>2350</v>
      </c>
      <c r="AL29" s="204">
        <f t="shared" si="36"/>
        <v>235</v>
      </c>
      <c r="AM29" s="204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4">
        <f t="shared" si="37"/>
        <v>0.75991318739655889</v>
      </c>
      <c r="AR29" s="38">
        <f t="shared" si="41"/>
        <v>70649.129032258075</v>
      </c>
      <c r="AS29" s="198">
        <f t="shared" si="38"/>
        <v>0</v>
      </c>
      <c r="AT29" s="358"/>
      <c r="AU29" s="442"/>
      <c r="AV29" s="525">
        <f t="shared" si="42"/>
        <v>0.56000000000000005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229</v>
      </c>
      <c r="C30" s="204">
        <f t="shared" si="18"/>
        <v>4927.1935483870966</v>
      </c>
      <c r="D30">
        <f t="shared" ref="D30:D35" si="44">SUM(B30)</f>
        <v>229</v>
      </c>
      <c r="E30" s="204">
        <f t="shared" si="18"/>
        <v>4927.1935483870966</v>
      </c>
      <c r="F30">
        <f t="shared" ref="F30:F35" si="45">SUM(D30)</f>
        <v>229</v>
      </c>
      <c r="G30" s="204">
        <f t="shared" si="1"/>
        <v>4927.1935483870966</v>
      </c>
      <c r="H30" s="204">
        <f t="shared" ref="H30:H35" si="46">SUM(F30)</f>
        <v>229</v>
      </c>
      <c r="I30" s="204">
        <f t="shared" si="2"/>
        <v>4927.1935483870966</v>
      </c>
      <c r="J30" s="204">
        <f t="shared" ref="J30:J35" si="47">SUM(H30)</f>
        <v>229</v>
      </c>
      <c r="K30" s="204">
        <f t="shared" si="3"/>
        <v>4927.1935483870966</v>
      </c>
      <c r="L30" s="204">
        <f t="shared" ref="L30:L35" si="48">SUM(J30)</f>
        <v>229</v>
      </c>
      <c r="M30" s="204">
        <f t="shared" si="4"/>
        <v>4927.1935483870966</v>
      </c>
      <c r="N30" s="204">
        <f t="shared" ref="N30:N35" si="49">SUM(L30)</f>
        <v>229</v>
      </c>
      <c r="O30" s="204">
        <f t="shared" si="5"/>
        <v>4927.1935483870966</v>
      </c>
      <c r="P30" s="204">
        <f t="shared" ref="P30:P35" si="50">SUM(N30)</f>
        <v>229</v>
      </c>
      <c r="Q30" s="204">
        <f t="shared" si="6"/>
        <v>4927.1935483870966</v>
      </c>
      <c r="R30" s="204">
        <f t="shared" ref="R30:R35" si="51">SUM(P30)</f>
        <v>229</v>
      </c>
      <c r="S30" s="204">
        <f t="shared" si="7"/>
        <v>4927.1935483870966</v>
      </c>
      <c r="T30" s="204">
        <f t="shared" ref="T30:T35" si="52">SUM(R30)</f>
        <v>229</v>
      </c>
      <c r="U30" s="204">
        <f t="shared" si="8"/>
        <v>4927.1935483870966</v>
      </c>
      <c r="V30" s="204">
        <f t="shared" ref="V30:V35" si="53">SUM(T30)</f>
        <v>229</v>
      </c>
      <c r="W30" s="204">
        <f t="shared" si="9"/>
        <v>4927.1935483870966</v>
      </c>
      <c r="X30" s="35">
        <f t="shared" ref="X30:X35" si="54">SUM(Y30/73370)</f>
        <v>0.738709677419355</v>
      </c>
      <c r="Y30" s="36">
        <f t="shared" ref="Y30:Y35" si="55">SUM(C30+E30+G30+I30+K30+M30+O30+Q30+S30+U30+W30)</f>
        <v>54199.129032258075</v>
      </c>
      <c r="Z30" s="204">
        <f>'B5'!C29</f>
        <v>235</v>
      </c>
      <c r="AA30" s="204">
        <f t="shared" si="30"/>
        <v>2350</v>
      </c>
      <c r="AB30" s="204">
        <f t="shared" ref="AB30:AB35" si="56">SUM(Z30)</f>
        <v>235</v>
      </c>
      <c r="AC30" s="204">
        <f t="shared" si="30"/>
        <v>2350</v>
      </c>
      <c r="AD30" s="204">
        <f t="shared" ref="AD30:AD35" si="57">SUM(AB30)</f>
        <v>235</v>
      </c>
      <c r="AE30" s="204">
        <f t="shared" si="11"/>
        <v>2350</v>
      </c>
      <c r="AF30" s="204">
        <f t="shared" ref="AF30:AF35" si="58">SUM(AD30)</f>
        <v>235</v>
      </c>
      <c r="AG30" s="204">
        <f t="shared" si="12"/>
        <v>2350</v>
      </c>
      <c r="AH30" s="204">
        <f t="shared" ref="AH30:AH35" si="59">SUM(AF30)</f>
        <v>235</v>
      </c>
      <c r="AI30" s="204">
        <f t="shared" si="13"/>
        <v>2350</v>
      </c>
      <c r="AJ30" s="204">
        <f t="shared" ref="AJ30:AJ35" si="60">SUM(AH30)</f>
        <v>235</v>
      </c>
      <c r="AK30" s="204">
        <f t="shared" si="14"/>
        <v>2350</v>
      </c>
      <c r="AL30" s="204">
        <f t="shared" ref="AL30:AL35" si="61">SUM(AJ30)</f>
        <v>235</v>
      </c>
      <c r="AM30" s="204">
        <f t="shared" si="15"/>
        <v>2350</v>
      </c>
      <c r="AN30" s="35">
        <f t="shared" ref="AN30:AN35" si="62">SUM(AO30/19600)</f>
        <v>0.8392857142857143</v>
      </c>
      <c r="AO30" s="36">
        <f t="shared" ref="AO30:AO35" si="63">SUM(AA30+AC30+AE30+AG30+AI30+AK30+AM30)</f>
        <v>16450</v>
      </c>
      <c r="AQ30" s="224">
        <f t="shared" si="37"/>
        <v>0.75991318739655889</v>
      </c>
      <c r="AR30" s="38">
        <f t="shared" si="41"/>
        <v>70649.129032258075</v>
      </c>
      <c r="AS30" s="198">
        <f t="shared" si="38"/>
        <v>0</v>
      </c>
      <c r="AT30" s="358"/>
      <c r="AU30" s="442"/>
      <c r="AV30" s="525">
        <f t="shared" si="42"/>
        <v>0.56000000000000005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229</v>
      </c>
      <c r="C31" s="204">
        <f t="shared" si="18"/>
        <v>4927.1935483870966</v>
      </c>
      <c r="D31">
        <f t="shared" si="44"/>
        <v>229</v>
      </c>
      <c r="E31" s="204">
        <f t="shared" si="18"/>
        <v>4927.1935483870966</v>
      </c>
      <c r="F31">
        <f t="shared" si="45"/>
        <v>229</v>
      </c>
      <c r="G31" s="204">
        <f t="shared" si="1"/>
        <v>4927.1935483870966</v>
      </c>
      <c r="H31" s="204">
        <f t="shared" si="46"/>
        <v>229</v>
      </c>
      <c r="I31" s="204">
        <f t="shared" si="2"/>
        <v>4927.1935483870966</v>
      </c>
      <c r="J31" s="204">
        <f t="shared" si="47"/>
        <v>229</v>
      </c>
      <c r="K31" s="204">
        <f t="shared" si="3"/>
        <v>4927.1935483870966</v>
      </c>
      <c r="L31" s="204">
        <f t="shared" si="48"/>
        <v>229</v>
      </c>
      <c r="M31" s="204">
        <f t="shared" si="4"/>
        <v>4927.1935483870966</v>
      </c>
      <c r="N31" s="204">
        <f t="shared" si="49"/>
        <v>229</v>
      </c>
      <c r="O31" s="204">
        <f t="shared" si="5"/>
        <v>4927.1935483870966</v>
      </c>
      <c r="P31" s="204">
        <f t="shared" si="50"/>
        <v>229</v>
      </c>
      <c r="Q31" s="204">
        <f t="shared" si="6"/>
        <v>4927.1935483870966</v>
      </c>
      <c r="R31" s="204">
        <f t="shared" si="51"/>
        <v>229</v>
      </c>
      <c r="S31" s="204">
        <f t="shared" si="7"/>
        <v>4927.1935483870966</v>
      </c>
      <c r="T31" s="204">
        <f t="shared" si="52"/>
        <v>229</v>
      </c>
      <c r="U31" s="204">
        <f t="shared" si="8"/>
        <v>4927.1935483870966</v>
      </c>
      <c r="V31" s="204">
        <f t="shared" si="53"/>
        <v>229</v>
      </c>
      <c r="W31" s="204">
        <f t="shared" si="9"/>
        <v>4927.1935483870966</v>
      </c>
      <c r="X31" s="35">
        <f t="shared" si="54"/>
        <v>0.738709677419355</v>
      </c>
      <c r="Y31" s="36">
        <f t="shared" si="55"/>
        <v>54199.129032258075</v>
      </c>
      <c r="Z31" s="204">
        <f>'B5'!C30</f>
        <v>235</v>
      </c>
      <c r="AA31" s="204">
        <f t="shared" si="30"/>
        <v>2350</v>
      </c>
      <c r="AB31" s="204">
        <f t="shared" si="56"/>
        <v>235</v>
      </c>
      <c r="AC31" s="204">
        <f t="shared" si="30"/>
        <v>2350</v>
      </c>
      <c r="AD31" s="204">
        <f t="shared" si="57"/>
        <v>235</v>
      </c>
      <c r="AE31" s="204">
        <f t="shared" si="11"/>
        <v>2350</v>
      </c>
      <c r="AF31" s="204">
        <f t="shared" si="58"/>
        <v>235</v>
      </c>
      <c r="AG31" s="204">
        <f t="shared" si="12"/>
        <v>2350</v>
      </c>
      <c r="AH31" s="204">
        <f t="shared" si="59"/>
        <v>235</v>
      </c>
      <c r="AI31" s="204">
        <f t="shared" si="13"/>
        <v>2350</v>
      </c>
      <c r="AJ31" s="204">
        <f t="shared" si="60"/>
        <v>235</v>
      </c>
      <c r="AK31" s="204">
        <f t="shared" si="14"/>
        <v>2350</v>
      </c>
      <c r="AL31" s="204">
        <f t="shared" si="61"/>
        <v>235</v>
      </c>
      <c r="AM31" s="204">
        <f t="shared" si="15"/>
        <v>2350</v>
      </c>
      <c r="AN31" s="35">
        <f t="shared" si="62"/>
        <v>0.8392857142857143</v>
      </c>
      <c r="AO31" s="36">
        <f t="shared" si="63"/>
        <v>16450</v>
      </c>
      <c r="AQ31" s="224">
        <f t="shared" si="37"/>
        <v>0.75991318739655889</v>
      </c>
      <c r="AR31" s="38">
        <f t="shared" si="41"/>
        <v>70649.129032258075</v>
      </c>
      <c r="AS31" s="198">
        <f>SUM(AR31-AR30-AT31)</f>
        <v>0</v>
      </c>
      <c r="AT31" s="358"/>
      <c r="AU31" s="442"/>
      <c r="AV31" s="525">
        <f t="shared" si="42"/>
        <v>0.56000000000000005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229</v>
      </c>
      <c r="C32" s="204">
        <f t="shared" si="18"/>
        <v>4927.1935483870966</v>
      </c>
      <c r="D32">
        <f t="shared" si="44"/>
        <v>229</v>
      </c>
      <c r="E32" s="204">
        <f t="shared" si="18"/>
        <v>4927.1935483870966</v>
      </c>
      <c r="F32">
        <f t="shared" si="45"/>
        <v>229</v>
      </c>
      <c r="G32" s="204">
        <f t="shared" si="1"/>
        <v>4927.1935483870966</v>
      </c>
      <c r="H32" s="204">
        <f t="shared" si="46"/>
        <v>229</v>
      </c>
      <c r="I32" s="204">
        <f t="shared" si="2"/>
        <v>4927.1935483870966</v>
      </c>
      <c r="J32" s="204">
        <f t="shared" si="47"/>
        <v>229</v>
      </c>
      <c r="K32" s="204">
        <f t="shared" si="3"/>
        <v>4927.1935483870966</v>
      </c>
      <c r="L32" s="204">
        <f t="shared" si="48"/>
        <v>229</v>
      </c>
      <c r="M32" s="204">
        <f t="shared" si="4"/>
        <v>4927.1935483870966</v>
      </c>
      <c r="N32" s="204">
        <f t="shared" si="49"/>
        <v>229</v>
      </c>
      <c r="O32" s="204">
        <f t="shared" si="5"/>
        <v>4927.1935483870966</v>
      </c>
      <c r="P32" s="204">
        <f t="shared" si="50"/>
        <v>229</v>
      </c>
      <c r="Q32" s="204">
        <f t="shared" si="6"/>
        <v>4927.1935483870966</v>
      </c>
      <c r="R32" s="204">
        <f t="shared" si="51"/>
        <v>229</v>
      </c>
      <c r="S32" s="204">
        <f t="shared" si="7"/>
        <v>4927.1935483870966</v>
      </c>
      <c r="T32" s="204">
        <f t="shared" si="52"/>
        <v>229</v>
      </c>
      <c r="U32" s="204">
        <f t="shared" si="8"/>
        <v>4927.1935483870966</v>
      </c>
      <c r="V32" s="204">
        <f t="shared" si="53"/>
        <v>229</v>
      </c>
      <c r="W32" s="204">
        <f t="shared" si="9"/>
        <v>4927.1935483870966</v>
      </c>
      <c r="X32" s="35">
        <f t="shared" si="54"/>
        <v>0.738709677419355</v>
      </c>
      <c r="Y32" s="36">
        <f t="shared" si="55"/>
        <v>54199.129032258075</v>
      </c>
      <c r="Z32" s="204">
        <f>'B5'!C31</f>
        <v>235</v>
      </c>
      <c r="AA32" s="204">
        <f t="shared" si="30"/>
        <v>2350</v>
      </c>
      <c r="AB32" s="204">
        <f t="shared" si="56"/>
        <v>235</v>
      </c>
      <c r="AC32" s="204">
        <f t="shared" si="30"/>
        <v>2350</v>
      </c>
      <c r="AD32" s="204">
        <f t="shared" si="57"/>
        <v>235</v>
      </c>
      <c r="AE32" s="204">
        <f t="shared" si="11"/>
        <v>2350</v>
      </c>
      <c r="AF32" s="204">
        <f t="shared" si="58"/>
        <v>235</v>
      </c>
      <c r="AG32" s="204">
        <f t="shared" si="12"/>
        <v>2350</v>
      </c>
      <c r="AH32" s="204">
        <f t="shared" si="59"/>
        <v>235</v>
      </c>
      <c r="AI32" s="204">
        <f t="shared" si="13"/>
        <v>2350</v>
      </c>
      <c r="AJ32" s="204">
        <f t="shared" si="60"/>
        <v>235</v>
      </c>
      <c r="AK32" s="204">
        <f t="shared" si="14"/>
        <v>2350</v>
      </c>
      <c r="AL32" s="204">
        <f t="shared" si="61"/>
        <v>235</v>
      </c>
      <c r="AM32" s="204">
        <f t="shared" si="15"/>
        <v>2350</v>
      </c>
      <c r="AN32" s="35">
        <f t="shared" si="62"/>
        <v>0.8392857142857143</v>
      </c>
      <c r="AO32" s="36">
        <f t="shared" si="63"/>
        <v>16450</v>
      </c>
      <c r="AQ32" s="224">
        <f t="shared" si="37"/>
        <v>0.75991318739655889</v>
      </c>
      <c r="AR32" s="38">
        <f t="shared" si="41"/>
        <v>70649.129032258075</v>
      </c>
      <c r="AS32" s="198">
        <f t="shared" si="38"/>
        <v>0</v>
      </c>
      <c r="AT32" s="358"/>
      <c r="AU32" s="442"/>
      <c r="AV32" s="525">
        <f>IF(AT32&gt;0,AU32,AV31)</f>
        <v>0.56000000000000005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229</v>
      </c>
      <c r="C33" s="204">
        <f t="shared" si="18"/>
        <v>4927.1935483870966</v>
      </c>
      <c r="D33">
        <f t="shared" si="44"/>
        <v>229</v>
      </c>
      <c r="E33" s="204">
        <f t="shared" si="18"/>
        <v>4927.1935483870966</v>
      </c>
      <c r="F33">
        <f t="shared" si="45"/>
        <v>229</v>
      </c>
      <c r="G33" s="204">
        <f t="shared" si="1"/>
        <v>4927.1935483870966</v>
      </c>
      <c r="H33" s="204">
        <f t="shared" si="46"/>
        <v>229</v>
      </c>
      <c r="I33" s="204">
        <f t="shared" si="2"/>
        <v>4927.1935483870966</v>
      </c>
      <c r="J33" s="204">
        <f t="shared" si="47"/>
        <v>229</v>
      </c>
      <c r="K33" s="204">
        <f t="shared" si="3"/>
        <v>4927.1935483870966</v>
      </c>
      <c r="L33" s="204">
        <f t="shared" si="48"/>
        <v>229</v>
      </c>
      <c r="M33" s="204">
        <f t="shared" si="4"/>
        <v>4927.1935483870966</v>
      </c>
      <c r="N33" s="204">
        <f t="shared" si="49"/>
        <v>229</v>
      </c>
      <c r="O33" s="204">
        <f t="shared" si="5"/>
        <v>4927.1935483870966</v>
      </c>
      <c r="P33" s="204">
        <f t="shared" si="50"/>
        <v>229</v>
      </c>
      <c r="Q33" s="204">
        <f t="shared" si="6"/>
        <v>4927.1935483870966</v>
      </c>
      <c r="R33" s="204">
        <f t="shared" si="51"/>
        <v>229</v>
      </c>
      <c r="S33" s="204">
        <f t="shared" si="7"/>
        <v>4927.1935483870966</v>
      </c>
      <c r="T33" s="204">
        <f t="shared" si="52"/>
        <v>229</v>
      </c>
      <c r="U33" s="204">
        <f t="shared" si="8"/>
        <v>4927.1935483870966</v>
      </c>
      <c r="V33" s="204">
        <f t="shared" si="53"/>
        <v>229</v>
      </c>
      <c r="W33" s="204">
        <f t="shared" si="9"/>
        <v>4927.1935483870966</v>
      </c>
      <c r="X33" s="35">
        <f t="shared" si="54"/>
        <v>0.738709677419355</v>
      </c>
      <c r="Y33" s="36">
        <f t="shared" si="55"/>
        <v>54199.129032258075</v>
      </c>
      <c r="Z33" s="204">
        <f>'B5'!C32</f>
        <v>235</v>
      </c>
      <c r="AA33" s="204">
        <f t="shared" si="30"/>
        <v>2350</v>
      </c>
      <c r="AB33" s="204">
        <f t="shared" si="56"/>
        <v>235</v>
      </c>
      <c r="AC33" s="204">
        <f t="shared" si="30"/>
        <v>2350</v>
      </c>
      <c r="AD33" s="204">
        <f t="shared" si="57"/>
        <v>235</v>
      </c>
      <c r="AE33" s="204">
        <f t="shared" si="11"/>
        <v>2350</v>
      </c>
      <c r="AF33" s="204">
        <f t="shared" si="58"/>
        <v>235</v>
      </c>
      <c r="AG33" s="204">
        <f t="shared" si="12"/>
        <v>2350</v>
      </c>
      <c r="AH33" s="204">
        <f t="shared" si="59"/>
        <v>235</v>
      </c>
      <c r="AI33" s="204">
        <f t="shared" si="13"/>
        <v>2350</v>
      </c>
      <c r="AJ33" s="204">
        <f t="shared" si="60"/>
        <v>235</v>
      </c>
      <c r="AK33" s="204">
        <f t="shared" si="14"/>
        <v>2350</v>
      </c>
      <c r="AL33" s="204">
        <f t="shared" si="61"/>
        <v>235</v>
      </c>
      <c r="AM33" s="204">
        <f t="shared" si="15"/>
        <v>2350</v>
      </c>
      <c r="AN33" s="35">
        <f t="shared" si="62"/>
        <v>0.8392857142857143</v>
      </c>
      <c r="AO33" s="36">
        <f t="shared" si="63"/>
        <v>16450</v>
      </c>
      <c r="AQ33" s="224">
        <f t="shared" si="37"/>
        <v>0.75991318739655889</v>
      </c>
      <c r="AR33" s="38">
        <f t="shared" si="41"/>
        <v>70649.129032258075</v>
      </c>
      <c r="AS33" s="198">
        <f t="shared" si="38"/>
        <v>0</v>
      </c>
      <c r="AT33" s="358"/>
      <c r="AU33" s="442"/>
      <c r="AV33" s="525">
        <f>IF(AT33&gt;0,AU33,AV32)</f>
        <v>0.56000000000000005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229</v>
      </c>
      <c r="C34" s="204">
        <f t="shared" si="18"/>
        <v>4927.1935483870966</v>
      </c>
      <c r="D34">
        <f t="shared" si="44"/>
        <v>229</v>
      </c>
      <c r="E34" s="204">
        <f t="shared" si="18"/>
        <v>4927.1935483870966</v>
      </c>
      <c r="F34">
        <f t="shared" si="45"/>
        <v>229</v>
      </c>
      <c r="G34" s="204">
        <f t="shared" si="1"/>
        <v>4927.1935483870966</v>
      </c>
      <c r="H34" s="204">
        <f t="shared" si="46"/>
        <v>229</v>
      </c>
      <c r="I34" s="204">
        <f t="shared" si="2"/>
        <v>4927.1935483870966</v>
      </c>
      <c r="J34" s="204">
        <f t="shared" si="47"/>
        <v>229</v>
      </c>
      <c r="K34" s="204">
        <f t="shared" si="3"/>
        <v>4927.1935483870966</v>
      </c>
      <c r="L34" s="204">
        <f t="shared" si="48"/>
        <v>229</v>
      </c>
      <c r="M34" s="204">
        <f t="shared" si="4"/>
        <v>4927.1935483870966</v>
      </c>
      <c r="N34" s="204">
        <f t="shared" si="49"/>
        <v>229</v>
      </c>
      <c r="O34" s="204">
        <f t="shared" si="5"/>
        <v>4927.1935483870966</v>
      </c>
      <c r="P34" s="204">
        <f t="shared" si="50"/>
        <v>229</v>
      </c>
      <c r="Q34" s="204">
        <f t="shared" si="6"/>
        <v>4927.1935483870966</v>
      </c>
      <c r="R34" s="204">
        <f t="shared" si="51"/>
        <v>229</v>
      </c>
      <c r="S34" s="204">
        <f t="shared" si="7"/>
        <v>4927.1935483870966</v>
      </c>
      <c r="T34" s="204">
        <f t="shared" si="52"/>
        <v>229</v>
      </c>
      <c r="U34" s="204">
        <f t="shared" si="8"/>
        <v>4927.1935483870966</v>
      </c>
      <c r="V34" s="204">
        <f t="shared" si="53"/>
        <v>229</v>
      </c>
      <c r="W34" s="204">
        <f t="shared" si="9"/>
        <v>4927.1935483870966</v>
      </c>
      <c r="X34" s="35">
        <f t="shared" si="54"/>
        <v>0.738709677419355</v>
      </c>
      <c r="Y34" s="36">
        <f t="shared" si="55"/>
        <v>54199.129032258075</v>
      </c>
      <c r="Z34" s="204">
        <f>'B5'!C33</f>
        <v>235</v>
      </c>
      <c r="AA34" s="204">
        <f t="shared" si="30"/>
        <v>2350</v>
      </c>
      <c r="AB34" s="204">
        <f t="shared" si="56"/>
        <v>235</v>
      </c>
      <c r="AC34" s="204">
        <f t="shared" si="30"/>
        <v>2350</v>
      </c>
      <c r="AD34" s="204">
        <f t="shared" si="57"/>
        <v>235</v>
      </c>
      <c r="AE34" s="204">
        <f t="shared" si="11"/>
        <v>2350</v>
      </c>
      <c r="AF34" s="204">
        <f t="shared" si="58"/>
        <v>235</v>
      </c>
      <c r="AG34" s="204">
        <f t="shared" si="12"/>
        <v>2350</v>
      </c>
      <c r="AH34" s="204">
        <f t="shared" si="59"/>
        <v>235</v>
      </c>
      <c r="AI34" s="204">
        <f t="shared" si="13"/>
        <v>2350</v>
      </c>
      <c r="AJ34" s="204">
        <f t="shared" si="60"/>
        <v>235</v>
      </c>
      <c r="AK34" s="204">
        <f t="shared" si="14"/>
        <v>2350</v>
      </c>
      <c r="AL34" s="204">
        <f t="shared" si="61"/>
        <v>235</v>
      </c>
      <c r="AM34" s="204">
        <f t="shared" si="15"/>
        <v>2350</v>
      </c>
      <c r="AN34" s="35">
        <f t="shared" si="62"/>
        <v>0.8392857142857143</v>
      </c>
      <c r="AO34" s="36">
        <f t="shared" si="63"/>
        <v>16450</v>
      </c>
      <c r="AQ34" s="224">
        <f>SUM(AR34/92970)</f>
        <v>0.75991318739655889</v>
      </c>
      <c r="AR34" s="38">
        <f t="shared" si="41"/>
        <v>70649.129032258075</v>
      </c>
      <c r="AS34" s="198">
        <f t="shared" si="38"/>
        <v>0</v>
      </c>
      <c r="AT34" s="358"/>
      <c r="AU34" s="442"/>
      <c r="AV34" s="525">
        <f t="shared" si="42"/>
        <v>0.56000000000000005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229</v>
      </c>
      <c r="C35" s="204">
        <f t="shared" si="18"/>
        <v>4927.1935483870966</v>
      </c>
      <c r="D35">
        <f t="shared" si="44"/>
        <v>229</v>
      </c>
      <c r="E35" s="204">
        <f t="shared" si="18"/>
        <v>4927.1935483870966</v>
      </c>
      <c r="F35">
        <f t="shared" si="45"/>
        <v>229</v>
      </c>
      <c r="G35" s="204">
        <f t="shared" si="1"/>
        <v>4927.1935483870966</v>
      </c>
      <c r="H35" s="204">
        <f t="shared" si="46"/>
        <v>229</v>
      </c>
      <c r="I35" s="204">
        <f t="shared" si="2"/>
        <v>4927.1935483870966</v>
      </c>
      <c r="J35" s="204">
        <f t="shared" si="47"/>
        <v>229</v>
      </c>
      <c r="K35" s="204">
        <f t="shared" si="3"/>
        <v>4927.1935483870966</v>
      </c>
      <c r="L35" s="204">
        <f t="shared" si="48"/>
        <v>229</v>
      </c>
      <c r="M35" s="204">
        <f t="shared" si="4"/>
        <v>4927.1935483870966</v>
      </c>
      <c r="N35" s="204">
        <f t="shared" si="49"/>
        <v>229</v>
      </c>
      <c r="O35" s="204">
        <f t="shared" si="5"/>
        <v>4927.1935483870966</v>
      </c>
      <c r="P35" s="204">
        <f t="shared" si="50"/>
        <v>229</v>
      </c>
      <c r="Q35" s="204">
        <f t="shared" si="6"/>
        <v>4927.1935483870966</v>
      </c>
      <c r="R35" s="204">
        <f t="shared" si="51"/>
        <v>229</v>
      </c>
      <c r="S35" s="204">
        <f t="shared" si="7"/>
        <v>4927.1935483870966</v>
      </c>
      <c r="T35" s="204">
        <f t="shared" si="52"/>
        <v>229</v>
      </c>
      <c r="U35" s="204">
        <f t="shared" si="8"/>
        <v>4927.1935483870966</v>
      </c>
      <c r="V35" s="204">
        <f t="shared" si="53"/>
        <v>229</v>
      </c>
      <c r="W35" s="204">
        <f t="shared" si="9"/>
        <v>4927.1935483870966</v>
      </c>
      <c r="X35" s="35">
        <f t="shared" si="54"/>
        <v>0.738709677419355</v>
      </c>
      <c r="Y35" s="36">
        <f t="shared" si="55"/>
        <v>54199.129032258075</v>
      </c>
      <c r="Z35" s="204">
        <f>'B5'!C34</f>
        <v>235</v>
      </c>
      <c r="AA35" s="204">
        <f t="shared" si="30"/>
        <v>2350</v>
      </c>
      <c r="AB35" s="204">
        <f t="shared" si="56"/>
        <v>235</v>
      </c>
      <c r="AC35" s="204">
        <f t="shared" si="30"/>
        <v>2350</v>
      </c>
      <c r="AD35" s="204">
        <f t="shared" si="57"/>
        <v>235</v>
      </c>
      <c r="AE35" s="204">
        <f t="shared" si="11"/>
        <v>2350</v>
      </c>
      <c r="AF35" s="204">
        <f t="shared" si="58"/>
        <v>235</v>
      </c>
      <c r="AG35" s="204">
        <f t="shared" si="12"/>
        <v>2350</v>
      </c>
      <c r="AH35" s="204">
        <f t="shared" si="59"/>
        <v>235</v>
      </c>
      <c r="AI35" s="204">
        <f t="shared" si="13"/>
        <v>2350</v>
      </c>
      <c r="AJ35" s="204">
        <f t="shared" si="60"/>
        <v>235</v>
      </c>
      <c r="AK35" s="204">
        <f t="shared" si="14"/>
        <v>2350</v>
      </c>
      <c r="AL35" s="204">
        <f t="shared" si="61"/>
        <v>235</v>
      </c>
      <c r="AM35" s="204">
        <f t="shared" si="15"/>
        <v>2350</v>
      </c>
      <c r="AN35" s="35">
        <f t="shared" si="62"/>
        <v>0.8392857142857143</v>
      </c>
      <c r="AO35" s="36">
        <f t="shared" si="63"/>
        <v>16450</v>
      </c>
      <c r="AQ35" s="224">
        <f>SUM(AR35/92970)</f>
        <v>0.75991318739655889</v>
      </c>
      <c r="AR35" s="38">
        <f t="shared" si="41"/>
        <v>70649.129032258075</v>
      </c>
      <c r="AS35" s="198">
        <f t="shared" si="38"/>
        <v>0</v>
      </c>
      <c r="AT35" s="358"/>
      <c r="AU35" s="442"/>
      <c r="AV35" s="525">
        <f>IF(AT35&gt;0,AU35,AV34)</f>
        <v>0.56000000000000005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229</v>
      </c>
      <c r="C36" s="204">
        <f t="shared" ref="C36" si="64">B36*$B$4</f>
        <v>4927.1935483870966</v>
      </c>
      <c r="D36">
        <f t="shared" ref="D36" si="65">SUM(B36)</f>
        <v>229</v>
      </c>
      <c r="E36" s="204">
        <f t="shared" ref="E36" si="66">D36*$B$4</f>
        <v>4927.1935483870966</v>
      </c>
      <c r="F36">
        <f t="shared" ref="F36" si="67">SUM(D36)</f>
        <v>229</v>
      </c>
      <c r="G36" s="204">
        <f t="shared" ref="G36" si="68">F36*$B$4</f>
        <v>4927.1935483870966</v>
      </c>
      <c r="H36" s="204">
        <f t="shared" ref="H36" si="69">SUM(F36)</f>
        <v>229</v>
      </c>
      <c r="I36" s="204">
        <f t="shared" ref="I36" si="70">H36*$B$4</f>
        <v>4927.1935483870966</v>
      </c>
      <c r="J36" s="204">
        <f t="shared" ref="J36" si="71">SUM(H36)</f>
        <v>229</v>
      </c>
      <c r="K36" s="204">
        <f t="shared" ref="K36" si="72">J36*$B$4</f>
        <v>4927.1935483870966</v>
      </c>
      <c r="L36" s="204">
        <f t="shared" ref="L36" si="73">SUM(J36)</f>
        <v>229</v>
      </c>
      <c r="M36" s="204">
        <f t="shared" ref="M36" si="74">L36*$B$4</f>
        <v>4927.1935483870966</v>
      </c>
      <c r="N36" s="204">
        <f t="shared" ref="N36" si="75">SUM(L36)</f>
        <v>229</v>
      </c>
      <c r="O36" s="204">
        <f t="shared" ref="O36" si="76">N36*$B$4</f>
        <v>4927.1935483870966</v>
      </c>
      <c r="P36" s="204">
        <f t="shared" ref="P36" si="77">SUM(N36)</f>
        <v>229</v>
      </c>
      <c r="Q36" s="204">
        <f t="shared" ref="Q36" si="78">P36*$B$4</f>
        <v>4927.1935483870966</v>
      </c>
      <c r="R36" s="204">
        <f t="shared" ref="R36" si="79">SUM(P36)</f>
        <v>229</v>
      </c>
      <c r="S36" s="204">
        <f t="shared" ref="S36" si="80">R36*$B$4</f>
        <v>4927.1935483870966</v>
      </c>
      <c r="T36" s="204">
        <f t="shared" ref="T36" si="81">SUM(R36)</f>
        <v>229</v>
      </c>
      <c r="U36" s="204">
        <f t="shared" ref="U36" si="82">T36*$B$4</f>
        <v>4927.1935483870966</v>
      </c>
      <c r="V36" s="204">
        <f t="shared" ref="V36" si="83">SUM(T36)</f>
        <v>229</v>
      </c>
      <c r="W36" s="204">
        <f t="shared" ref="W36" si="84">V36*$B$4</f>
        <v>4927.1935483870966</v>
      </c>
      <c r="X36" s="35">
        <f t="shared" ref="X36" si="85">SUM(Y36/73370)</f>
        <v>0.738709677419355</v>
      </c>
      <c r="Y36" s="36">
        <f t="shared" ref="Y36" si="86">SUM(C36+E36+G36+I36+K36+M36+O36+Q36+S36+U36+W36)</f>
        <v>54199.129032258075</v>
      </c>
      <c r="Z36" s="204">
        <f>'B5'!C35</f>
        <v>235</v>
      </c>
      <c r="AA36" s="204">
        <f t="shared" ref="AA36" si="87">SUM(Z36*$Z$4)</f>
        <v>2350</v>
      </c>
      <c r="AB36" s="204">
        <f t="shared" ref="AB36" si="88">SUM(Z36)</f>
        <v>235</v>
      </c>
      <c r="AC36" s="204">
        <f t="shared" ref="AC36" si="89">SUM(AB36*$Z$4)</f>
        <v>2350</v>
      </c>
      <c r="AD36" s="204">
        <f t="shared" ref="AD36" si="90">SUM(AB36)</f>
        <v>235</v>
      </c>
      <c r="AE36" s="204">
        <f t="shared" ref="AE36" si="91">SUM(AD36*$Z$4)</f>
        <v>2350</v>
      </c>
      <c r="AF36" s="204">
        <f t="shared" ref="AF36" si="92">SUM(AD36)</f>
        <v>235</v>
      </c>
      <c r="AG36" s="204">
        <f t="shared" ref="AG36" si="93">SUM(AF36*$Z$4)</f>
        <v>2350</v>
      </c>
      <c r="AH36" s="204">
        <f t="shared" ref="AH36" si="94">SUM(AF36)</f>
        <v>235</v>
      </c>
      <c r="AI36" s="204">
        <f t="shared" ref="AI36" si="95">SUM(AH36*$Z$4)</f>
        <v>2350</v>
      </c>
      <c r="AJ36" s="204">
        <f t="shared" ref="AJ36" si="96">SUM(AH36)</f>
        <v>235</v>
      </c>
      <c r="AK36" s="204">
        <f t="shared" ref="AK36" si="97">SUM(AJ36*$Z$4)</f>
        <v>2350</v>
      </c>
      <c r="AL36" s="204">
        <f t="shared" ref="AL36" si="98">SUM(AJ36)</f>
        <v>235</v>
      </c>
      <c r="AM36" s="204">
        <f t="shared" ref="AM36" si="99">SUM(AL36*$Z$4)</f>
        <v>2350</v>
      </c>
      <c r="AN36" s="35">
        <f t="shared" ref="AN36" si="100">SUM(AO36/19600)</f>
        <v>0.8392857142857143</v>
      </c>
      <c r="AO36" s="36">
        <f t="shared" ref="AO36" si="101">SUM(AA36+AC36+AE36+AG36+AI36+AK36+AM36)</f>
        <v>16450</v>
      </c>
      <c r="AQ36" s="224">
        <f>SUM(AR36/92970)</f>
        <v>0.75991318739655889</v>
      </c>
      <c r="AR36" s="38">
        <f t="shared" si="41"/>
        <v>70649.129032258075</v>
      </c>
      <c r="AS36" s="198">
        <f t="shared" ref="AS36" si="102">SUM(AR36-AR35-AT36)</f>
        <v>0</v>
      </c>
      <c r="AT36" s="358"/>
      <c r="AU36" s="442"/>
      <c r="AV36" s="525">
        <f>IF(AT36&gt;0,AU36,AV35)</f>
        <v>0.56000000000000005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8585</v>
      </c>
      <c r="AU37">
        <f>SUM(AU6:AU36)/AS37</f>
        <v>0.56000000000000005</v>
      </c>
      <c r="AX37" s="204">
        <f>SUM(AX6:AX35)</f>
        <v>-8177.34516129033</v>
      </c>
      <c r="AY37" s="204">
        <f>SUM(AY6:AY35)</f>
        <v>-10802.745161290324</v>
      </c>
    </row>
    <row r="38" spans="1:60">
      <c r="AS38" s="207"/>
      <c r="AT38">
        <f>+AT37*AU37</f>
        <v>4807.6000000000004</v>
      </c>
    </row>
    <row r="40" spans="1:60">
      <c r="AS40" s="165">
        <f>SUM(AS6:AS35)/'EDl log'!A35</f>
        <v>-771.62465437788035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7610</v>
      </c>
      <c r="E6" s="3">
        <f>ELEC!Q24</f>
        <v>0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-31</v>
      </c>
      <c r="J16" s="9">
        <f>'B5'!A18</f>
        <v>44179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44180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44181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44182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44184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44185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44186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44187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44188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44189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4"/>
      <c r="B1" s="651" t="s">
        <v>119</v>
      </c>
      <c r="C1" s="651" t="s">
        <v>118</v>
      </c>
      <c r="D1" s="656" t="s">
        <v>113</v>
      </c>
      <c r="E1" s="656" t="s">
        <v>114</v>
      </c>
      <c r="F1" s="657" t="s">
        <v>120</v>
      </c>
      <c r="G1" s="658" t="s">
        <v>75</v>
      </c>
      <c r="H1" s="659" t="s">
        <v>115</v>
      </c>
      <c r="I1" s="660" t="s">
        <v>116</v>
      </c>
      <c r="J1" s="659" t="s">
        <v>117</v>
      </c>
      <c r="K1" s="653" t="s">
        <v>121</v>
      </c>
      <c r="L1" s="653" t="s">
        <v>122</v>
      </c>
      <c r="M1" s="653" t="s">
        <v>123</v>
      </c>
      <c r="N1" s="653" t="s">
        <v>124</v>
      </c>
    </row>
    <row r="2" spans="1:14">
      <c r="A2" s="655"/>
      <c r="B2" s="652"/>
      <c r="C2" s="652"/>
      <c r="D2" s="656"/>
      <c r="E2" s="656"/>
      <c r="F2" s="657"/>
      <c r="G2" s="658"/>
      <c r="H2" s="659"/>
      <c r="I2" s="661"/>
      <c r="J2" s="659"/>
      <c r="K2" s="653"/>
      <c r="L2" s="653"/>
      <c r="M2" s="653"/>
      <c r="N2" s="65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-31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2" t="s">
        <v>151</v>
      </c>
      <c r="U3" s="66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6" activePane="bottomLeft" state="frozen"/>
      <selection pane="bottomLeft" activeCell="D16" sqref="D1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8">
        <v>9363</v>
      </c>
      <c r="C3" s="290">
        <f>B3-B2</f>
        <v>6</v>
      </c>
      <c r="D3" s="549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11751</v>
      </c>
      <c r="S3" s="290">
        <f t="shared" ref="S3:S32" si="5">R3-R2</f>
        <v>0</v>
      </c>
      <c r="T3" s="549">
        <f>T2</f>
        <v>369625</v>
      </c>
      <c r="U3" s="290">
        <f t="shared" ref="U3:U1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8">
        <v>9367</v>
      </c>
      <c r="C4" s="290">
        <f t="shared" ref="C4:C32" si="11">B4-B3</f>
        <v>4</v>
      </c>
      <c r="D4" s="549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11751</v>
      </c>
      <c r="S4" s="290">
        <f t="shared" si="5"/>
        <v>0</v>
      </c>
      <c r="T4" s="549">
        <f t="shared" ref="T4:T33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8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11751</v>
      </c>
      <c r="S5" s="290">
        <f t="shared" si="5"/>
        <v>0</v>
      </c>
      <c r="T5" s="549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8">
        <v>9374</v>
      </c>
      <c r="C6" s="290">
        <f t="shared" si="11"/>
        <v>2</v>
      </c>
      <c r="D6" s="549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v>11751</v>
      </c>
      <c r="S6" s="290">
        <f t="shared" si="5"/>
        <v>0</v>
      </c>
      <c r="T6" s="549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8">
        <v>9377</v>
      </c>
      <c r="C7" s="290">
        <f t="shared" si="11"/>
        <v>3</v>
      </c>
      <c r="D7" s="549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11751</v>
      </c>
      <c r="S7" s="290">
        <f t="shared" si="5"/>
        <v>0</v>
      </c>
      <c r="T7" s="549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8">
        <v>9380</v>
      </c>
      <c r="C8" s="290">
        <f t="shared" si="11"/>
        <v>3</v>
      </c>
      <c r="D8" s="549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11751</v>
      </c>
      <c r="S8" s="290">
        <f t="shared" si="5"/>
        <v>0</v>
      </c>
      <c r="T8" s="549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8">
        <v>9383</v>
      </c>
      <c r="C9" s="290">
        <f t="shared" si="11"/>
        <v>3</v>
      </c>
      <c r="D9" s="549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11751</v>
      </c>
      <c r="S9" s="290">
        <f t="shared" si="5"/>
        <v>0</v>
      </c>
      <c r="T9" s="549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8">
        <v>9384</v>
      </c>
      <c r="C10" s="290">
        <f t="shared" si="11"/>
        <v>1</v>
      </c>
      <c r="D10" s="549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8">
        <v>11752</v>
      </c>
      <c r="S10" s="290">
        <f t="shared" si="5"/>
        <v>1</v>
      </c>
      <c r="T10" s="549">
        <v>369797</v>
      </c>
      <c r="U10" s="290">
        <f t="shared" si="6"/>
        <v>172</v>
      </c>
      <c r="V10" s="290">
        <f t="shared" si="20"/>
        <v>172</v>
      </c>
      <c r="W10" s="197"/>
      <c r="X10" s="291">
        <f t="shared" si="21"/>
        <v>11961</v>
      </c>
      <c r="Y10" s="290" t="str">
        <f t="shared" si="7"/>
        <v>ok</v>
      </c>
      <c r="Z10" s="290">
        <f t="shared" si="8"/>
        <v>2</v>
      </c>
      <c r="AA10" s="290">
        <f t="shared" si="22"/>
        <v>287</v>
      </c>
      <c r="AB10" s="290">
        <f t="shared" si="23"/>
        <v>287</v>
      </c>
      <c r="AC10" s="290">
        <f t="shared" si="24"/>
        <v>143.5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-1.3000000000320142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3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11752</v>
      </c>
      <c r="S11" s="290">
        <f t="shared" si="5"/>
        <v>0</v>
      </c>
      <c r="T11" s="549">
        <f t="shared" si="19"/>
        <v>369797</v>
      </c>
      <c r="U11" s="290">
        <f t="shared" si="6"/>
        <v>0</v>
      </c>
      <c r="V11" s="290">
        <f t="shared" si="20"/>
        <v>0</v>
      </c>
      <c r="W11" s="197"/>
      <c r="X11" s="291">
        <f t="shared" si="21"/>
        <v>11961</v>
      </c>
      <c r="Y11" s="290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8">
        <v>9389</v>
      </c>
      <c r="C12" s="290">
        <f t="shared" si="11"/>
        <v>2</v>
      </c>
      <c r="D12" s="549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v>11753</v>
      </c>
      <c r="S12" s="290">
        <f t="shared" si="5"/>
        <v>1</v>
      </c>
      <c r="T12" s="549">
        <f t="shared" si="19"/>
        <v>369797</v>
      </c>
      <c r="U12" s="290">
        <f t="shared" si="6"/>
        <v>0</v>
      </c>
      <c r="V12" s="290">
        <f t="shared" si="20"/>
        <v>0</v>
      </c>
      <c r="W12" s="197"/>
      <c r="X12" s="291">
        <f t="shared" si="21"/>
        <v>11961</v>
      </c>
      <c r="Y12" s="290" t="str">
        <f t="shared" si="7"/>
        <v>ok</v>
      </c>
      <c r="Z12" s="290">
        <f t="shared" si="8"/>
        <v>3</v>
      </c>
      <c r="AA12" s="290">
        <f t="shared" si="22"/>
        <v>230</v>
      </c>
      <c r="AB12" s="290">
        <f t="shared" si="23"/>
        <v>115</v>
      </c>
      <c r="AC12" s="290">
        <f t="shared" si="24"/>
        <v>76.666666666666671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-53.400000000062064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8">
        <v>9391</v>
      </c>
      <c r="C13" s="290">
        <f t="shared" si="11"/>
        <v>2</v>
      </c>
      <c r="D13" s="549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8">
        <v>11756</v>
      </c>
      <c r="S13" s="290">
        <f t="shared" si="5"/>
        <v>3</v>
      </c>
      <c r="T13" s="549">
        <v>369797</v>
      </c>
      <c r="U13" s="290">
        <f t="shared" si="6"/>
        <v>0</v>
      </c>
      <c r="V13" s="290">
        <f t="shared" si="20"/>
        <v>0</v>
      </c>
      <c r="W13" s="197"/>
      <c r="X13" s="291">
        <f>X12+180</f>
        <v>12141</v>
      </c>
      <c r="Y13" s="290" t="str">
        <f t="shared" si="7"/>
        <v>ok</v>
      </c>
      <c r="Z13" s="290">
        <f t="shared" si="8"/>
        <v>5</v>
      </c>
      <c r="AA13" s="290">
        <f t="shared" si="22"/>
        <v>264</v>
      </c>
      <c r="AB13" s="290">
        <f t="shared" si="23"/>
        <v>132</v>
      </c>
      <c r="AC13" s="290">
        <f t="shared" si="24"/>
        <v>52.8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-31.399999999982541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8">
        <f t="shared" ref="B14:B33" si="31">B13</f>
        <v>9391</v>
      </c>
      <c r="C14" s="290">
        <f t="shared" si="11"/>
        <v>0</v>
      </c>
      <c r="D14" s="549">
        <f t="shared" ref="D14:D33" si="32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9">
        <f t="shared" si="14"/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8">
        <v>11757</v>
      </c>
      <c r="S14" s="290">
        <f t="shared" si="5"/>
        <v>1</v>
      </c>
      <c r="T14" s="549">
        <v>369802</v>
      </c>
      <c r="U14" s="290">
        <f t="shared" si="6"/>
        <v>5</v>
      </c>
      <c r="V14" s="290">
        <f t="shared" si="20"/>
        <v>5</v>
      </c>
      <c r="W14" s="197"/>
      <c r="X14" s="291">
        <f t="shared" si="21"/>
        <v>12141</v>
      </c>
      <c r="Y14" s="290" t="str">
        <f t="shared" si="7"/>
        <v>ok</v>
      </c>
      <c r="Z14" s="290">
        <f t="shared" si="8"/>
        <v>1</v>
      </c>
      <c r="AA14" s="290">
        <f t="shared" si="22"/>
        <v>5</v>
      </c>
      <c r="AB14" s="290">
        <f t="shared" si="23"/>
        <v>5</v>
      </c>
      <c r="AC14" s="290">
        <f t="shared" si="24"/>
        <v>5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-278.20000000021537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8">
        <f t="shared" si="31"/>
        <v>9391</v>
      </c>
      <c r="C15" s="290">
        <f t="shared" si="11"/>
        <v>0</v>
      </c>
      <c r="D15" s="549">
        <f t="shared" si="32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8">
        <v>11760</v>
      </c>
      <c r="S15" s="290">
        <f t="shared" si="5"/>
        <v>3</v>
      </c>
      <c r="T15" s="549">
        <v>369805</v>
      </c>
      <c r="U15" s="290">
        <f t="shared" si="6"/>
        <v>3</v>
      </c>
      <c r="V15" s="290">
        <f t="shared" si="20"/>
        <v>1</v>
      </c>
      <c r="W15" s="197"/>
      <c r="X15" s="291">
        <f t="shared" si="21"/>
        <v>12141</v>
      </c>
      <c r="Y15" s="290" t="str">
        <f t="shared" si="7"/>
        <v>ok</v>
      </c>
      <c r="Z15" s="290">
        <f t="shared" si="8"/>
        <v>3</v>
      </c>
      <c r="AA15" s="290">
        <f t="shared" si="22"/>
        <v>3</v>
      </c>
      <c r="AB15" s="290">
        <f t="shared" si="23"/>
        <v>1</v>
      </c>
      <c r="AC15" s="290">
        <f t="shared" si="24"/>
        <v>1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-92.466666666548321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3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11760</v>
      </c>
      <c r="S16" s="290">
        <f t="shared" si="5"/>
        <v>0</v>
      </c>
      <c r="T16" s="549">
        <f t="shared" si="19"/>
        <v>369805</v>
      </c>
      <c r="U16" s="290">
        <f t="shared" si="6"/>
        <v>0</v>
      </c>
      <c r="V16" s="290">
        <f t="shared" si="20"/>
        <v>0</v>
      </c>
      <c r="W16" s="197"/>
      <c r="X16" s="291">
        <f t="shared" si="21"/>
        <v>12141</v>
      </c>
      <c r="Y16" s="290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8">
        <f t="shared" si="31"/>
        <v>9394</v>
      </c>
      <c r="C17" s="290">
        <f t="shared" si="11"/>
        <v>0</v>
      </c>
      <c r="D17" s="549">
        <f t="shared" si="32"/>
        <v>283951</v>
      </c>
      <c r="E17" s="290">
        <f t="shared" si="12"/>
        <v>0</v>
      </c>
      <c r="F17" s="290">
        <f t="shared" si="0"/>
        <v>0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11760</v>
      </c>
      <c r="S17" s="290">
        <f t="shared" si="5"/>
        <v>0</v>
      </c>
      <c r="T17" s="549">
        <f t="shared" si="19"/>
        <v>369805</v>
      </c>
      <c r="U17" s="290">
        <f t="shared" si="6"/>
        <v>0</v>
      </c>
      <c r="V17" s="290">
        <f t="shared" si="20"/>
        <v>0</v>
      </c>
      <c r="W17" s="197"/>
      <c r="X17" s="291">
        <f t="shared" si="21"/>
        <v>12141</v>
      </c>
      <c r="Y17" s="290" t="str">
        <f t="shared" si="7"/>
        <v>ok</v>
      </c>
      <c r="Z17" s="290">
        <f t="shared" si="8"/>
        <v>0</v>
      </c>
      <c r="AA17" s="290">
        <f t="shared" si="22"/>
        <v>0</v>
      </c>
      <c r="AB17" s="290">
        <f t="shared" si="23"/>
        <v>0</v>
      </c>
      <c r="AC17" s="290">
        <f t="shared" si="24"/>
        <v>0</v>
      </c>
      <c r="AD17" s="73">
        <f>ELEC!Q17</f>
        <v>0</v>
      </c>
      <c r="AE17" s="73" t="e">
        <f t="shared" si="26"/>
        <v>#DIV/0!</v>
      </c>
      <c r="AF17" s="406" t="e">
        <f t="shared" si="27"/>
        <v>#DIV/0!</v>
      </c>
      <c r="AG17" s="407" t="e">
        <f t="shared" si="28"/>
        <v>#DIV/0!</v>
      </c>
      <c r="AH17" s="407" t="e">
        <f t="shared" si="25"/>
        <v>#DIV/0!</v>
      </c>
      <c r="AI17" s="73">
        <f t="shared" si="29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44181</v>
      </c>
      <c r="B18" s="548">
        <f t="shared" si="31"/>
        <v>9394</v>
      </c>
      <c r="C18" s="290">
        <f t="shared" si="11"/>
        <v>0</v>
      </c>
      <c r="D18" s="549">
        <f t="shared" si="32"/>
        <v>283951</v>
      </c>
      <c r="E18" s="290">
        <f t="shared" si="12"/>
        <v>0</v>
      </c>
      <c r="F18" s="290">
        <f t="shared" si="0"/>
        <v>0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11760</v>
      </c>
      <c r="S18" s="290">
        <f t="shared" si="5"/>
        <v>0</v>
      </c>
      <c r="T18" s="549">
        <f t="shared" si="19"/>
        <v>369805</v>
      </c>
      <c r="U18" s="290">
        <f t="shared" si="6"/>
        <v>0</v>
      </c>
      <c r="V18" s="290">
        <f t="shared" si="20"/>
        <v>0</v>
      </c>
      <c r="W18" s="341"/>
      <c r="X18" s="291">
        <f t="shared" si="21"/>
        <v>12141</v>
      </c>
      <c r="Y18" s="290" t="str">
        <f t="shared" si="7"/>
        <v>ok</v>
      </c>
      <c r="Z18" s="290">
        <f t="shared" si="8"/>
        <v>0</v>
      </c>
      <c r="AA18" s="290">
        <f t="shared" si="22"/>
        <v>0</v>
      </c>
      <c r="AB18" s="290">
        <f t="shared" si="23"/>
        <v>0</v>
      </c>
      <c r="AC18" s="290">
        <f t="shared" si="24"/>
        <v>0</v>
      </c>
      <c r="AD18" s="73">
        <f>ELEC!Q18</f>
        <v>0</v>
      </c>
      <c r="AE18" s="73" t="e">
        <f t="shared" si="26"/>
        <v>#DIV/0!</v>
      </c>
      <c r="AF18" s="406" t="e">
        <f t="shared" si="27"/>
        <v>#DIV/0!</v>
      </c>
      <c r="AG18" s="407" t="e">
        <f t="shared" si="28"/>
        <v>#DIV/0!</v>
      </c>
      <c r="AH18" s="407" t="e">
        <f t="shared" si="25"/>
        <v>#DIV/0!</v>
      </c>
      <c r="AI18" s="73">
        <f t="shared" si="29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44182</v>
      </c>
      <c r="B19" s="548">
        <f t="shared" si="31"/>
        <v>9394</v>
      </c>
      <c r="C19" s="290">
        <f t="shared" si="11"/>
        <v>0</v>
      </c>
      <c r="D19" s="549">
        <f t="shared" si="32"/>
        <v>283951</v>
      </c>
      <c r="E19" s="290">
        <f t="shared" si="12"/>
        <v>0</v>
      </c>
      <c r="F19" s="290">
        <f t="shared" si="0"/>
        <v>0</v>
      </c>
      <c r="G19" s="197"/>
      <c r="H19" s="291">
        <f t="shared" si="13"/>
        <v>9298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4">IF(J19-P19&lt;=0,"ok","oil change")</f>
        <v>ok</v>
      </c>
      <c r="R19" s="549">
        <f t="shared" si="18"/>
        <v>11760</v>
      </c>
      <c r="S19" s="290">
        <f t="shared" si="5"/>
        <v>0</v>
      </c>
      <c r="T19" s="549">
        <f t="shared" si="19"/>
        <v>369805</v>
      </c>
      <c r="U19" s="290">
        <f t="shared" si="6"/>
        <v>0</v>
      </c>
      <c r="V19" s="290">
        <f t="shared" si="20"/>
        <v>0</v>
      </c>
      <c r="W19" s="197"/>
      <c r="X19" s="291">
        <f t="shared" si="21"/>
        <v>12141</v>
      </c>
      <c r="Y19" s="290" t="str">
        <f t="shared" si="7"/>
        <v>ok</v>
      </c>
      <c r="Z19" s="290">
        <f t="shared" si="8"/>
        <v>0</v>
      </c>
      <c r="AA19" s="290">
        <f t="shared" si="22"/>
        <v>0</v>
      </c>
      <c r="AB19" s="290">
        <f t="shared" si="23"/>
        <v>0</v>
      </c>
      <c r="AC19" s="290">
        <f t="shared" si="24"/>
        <v>0</v>
      </c>
      <c r="AD19" s="73">
        <f>ELEC!Q19</f>
        <v>0</v>
      </c>
      <c r="AE19" s="73" t="e">
        <f t="shared" si="26"/>
        <v>#DIV/0!</v>
      </c>
      <c r="AF19" s="406" t="e">
        <f t="shared" si="27"/>
        <v>#DIV/0!</v>
      </c>
      <c r="AG19" s="407" t="e">
        <f t="shared" si="28"/>
        <v>#DIV/0!</v>
      </c>
      <c r="AH19" s="407" t="e">
        <f t="shared" si="25"/>
        <v>#DIV/0!</v>
      </c>
      <c r="AI19" s="73">
        <f t="shared" si="29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44183</v>
      </c>
      <c r="B20" s="548">
        <f t="shared" si="31"/>
        <v>9394</v>
      </c>
      <c r="C20" s="290">
        <f>B20-B19</f>
        <v>0</v>
      </c>
      <c r="D20" s="549">
        <f t="shared" si="32"/>
        <v>283951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4"/>
        <v>ok</v>
      </c>
      <c r="R20" s="549">
        <f t="shared" si="18"/>
        <v>11760</v>
      </c>
      <c r="S20" s="290">
        <f t="shared" si="5"/>
        <v>0</v>
      </c>
      <c r="T20" s="549">
        <f t="shared" si="19"/>
        <v>369805</v>
      </c>
      <c r="U20" s="290">
        <f t="shared" ref="U20:U32" si="35">SUM(T20-T19)</f>
        <v>0</v>
      </c>
      <c r="V20" s="290">
        <f t="shared" si="20"/>
        <v>0</v>
      </c>
      <c r="W20" s="197"/>
      <c r="X20" s="291">
        <f t="shared" si="21"/>
        <v>12141</v>
      </c>
      <c r="Y20" s="290" t="str">
        <f t="shared" si="7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6"/>
        <v>#DIV/0!</v>
      </c>
      <c r="AF20" s="406" t="e">
        <f t="shared" si="27"/>
        <v>#DIV/0!</v>
      </c>
      <c r="AG20" s="407" t="e">
        <f t="shared" si="28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44184</v>
      </c>
      <c r="B21" s="548">
        <f t="shared" si="31"/>
        <v>9394</v>
      </c>
      <c r="C21" s="290">
        <f t="shared" si="11"/>
        <v>0</v>
      </c>
      <c r="D21" s="549">
        <f t="shared" si="32"/>
        <v>283951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4"/>
        <v>ok</v>
      </c>
      <c r="R21" s="549">
        <f t="shared" si="18"/>
        <v>11760</v>
      </c>
      <c r="S21" s="290">
        <f t="shared" si="5"/>
        <v>0</v>
      </c>
      <c r="T21" s="549">
        <f t="shared" si="19"/>
        <v>369805</v>
      </c>
      <c r="U21" s="290">
        <f t="shared" si="35"/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44185</v>
      </c>
      <c r="B22" s="548">
        <f t="shared" si="31"/>
        <v>9394</v>
      </c>
      <c r="C22" s="290">
        <f t="shared" si="11"/>
        <v>0</v>
      </c>
      <c r="D22" s="549">
        <f t="shared" si="32"/>
        <v>283951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4"/>
        <v>ok</v>
      </c>
      <c r="R22" s="549">
        <f t="shared" si="18"/>
        <v>11760</v>
      </c>
      <c r="S22" s="290">
        <f t="shared" si="5"/>
        <v>0</v>
      </c>
      <c r="T22" s="549">
        <f t="shared" si="19"/>
        <v>369805</v>
      </c>
      <c r="U22" s="290">
        <f t="shared" si="35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44186</v>
      </c>
      <c r="B23" s="548">
        <f t="shared" si="31"/>
        <v>9394</v>
      </c>
      <c r="C23" s="290">
        <f t="shared" si="11"/>
        <v>0</v>
      </c>
      <c r="D23" s="549">
        <f t="shared" si="32"/>
        <v>283951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4"/>
        <v>ok</v>
      </c>
      <c r="R23" s="549">
        <f t="shared" si="18"/>
        <v>11760</v>
      </c>
      <c r="S23" s="290">
        <f t="shared" si="5"/>
        <v>0</v>
      </c>
      <c r="T23" s="549">
        <f t="shared" si="19"/>
        <v>369805</v>
      </c>
      <c r="U23" s="290">
        <f t="shared" si="35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6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44187</v>
      </c>
      <c r="B24" s="548">
        <f t="shared" si="31"/>
        <v>9394</v>
      </c>
      <c r="C24" s="290">
        <f t="shared" si="11"/>
        <v>0</v>
      </c>
      <c r="D24" s="549">
        <f t="shared" si="32"/>
        <v>283951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4"/>
        <v>ok</v>
      </c>
      <c r="R24" s="549">
        <f t="shared" si="18"/>
        <v>11760</v>
      </c>
      <c r="S24" s="290">
        <f t="shared" si="5"/>
        <v>0</v>
      </c>
      <c r="T24" s="549">
        <f t="shared" si="19"/>
        <v>369805</v>
      </c>
      <c r="U24" s="290">
        <f t="shared" si="35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6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44188</v>
      </c>
      <c r="B25" s="548">
        <f t="shared" si="31"/>
        <v>9394</v>
      </c>
      <c r="C25" s="290">
        <f t="shared" si="11"/>
        <v>0</v>
      </c>
      <c r="D25" s="549">
        <f t="shared" si="32"/>
        <v>283951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37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4"/>
        <v>ok</v>
      </c>
      <c r="R25" s="549">
        <f t="shared" si="18"/>
        <v>11760</v>
      </c>
      <c r="S25" s="290">
        <f t="shared" si="5"/>
        <v>0</v>
      </c>
      <c r="T25" s="549">
        <f t="shared" si="19"/>
        <v>369805</v>
      </c>
      <c r="U25" s="290">
        <f t="shared" si="35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6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44189</v>
      </c>
      <c r="B26" s="548">
        <f t="shared" si="31"/>
        <v>9394</v>
      </c>
      <c r="C26" s="290">
        <f t="shared" si="11"/>
        <v>0</v>
      </c>
      <c r="D26" s="549">
        <f t="shared" si="32"/>
        <v>283951</v>
      </c>
      <c r="E26" s="290">
        <f t="shared" si="12"/>
        <v>0</v>
      </c>
      <c r="F26" s="290">
        <f t="shared" si="0"/>
        <v>0</v>
      </c>
      <c r="G26" s="197"/>
      <c r="H26" s="291">
        <f t="shared" si="37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4"/>
        <v>ok</v>
      </c>
      <c r="R26" s="549">
        <f t="shared" si="18"/>
        <v>11760</v>
      </c>
      <c r="S26" s="290">
        <f t="shared" si="5"/>
        <v>0</v>
      </c>
      <c r="T26" s="549">
        <f t="shared" si="19"/>
        <v>369805</v>
      </c>
      <c r="U26" s="290">
        <f t="shared" si="35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6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44190</v>
      </c>
      <c r="B27" s="548">
        <f t="shared" si="31"/>
        <v>9394</v>
      </c>
      <c r="C27" s="290">
        <f t="shared" si="11"/>
        <v>0</v>
      </c>
      <c r="D27" s="549">
        <f t="shared" si="32"/>
        <v>283951</v>
      </c>
      <c r="E27" s="290">
        <f t="shared" si="12"/>
        <v>0</v>
      </c>
      <c r="F27" s="290">
        <f t="shared" si="0"/>
        <v>0</v>
      </c>
      <c r="G27" s="197"/>
      <c r="H27" s="291">
        <f t="shared" si="37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4"/>
        <v>ok</v>
      </c>
      <c r="R27" s="549">
        <f t="shared" si="18"/>
        <v>11760</v>
      </c>
      <c r="S27" s="290">
        <f t="shared" si="5"/>
        <v>0</v>
      </c>
      <c r="T27" s="549">
        <f t="shared" si="19"/>
        <v>369805</v>
      </c>
      <c r="U27" s="290">
        <f t="shared" si="35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6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44191</v>
      </c>
      <c r="B28" s="548">
        <f t="shared" si="31"/>
        <v>9394</v>
      </c>
      <c r="C28" s="290">
        <f t="shared" si="11"/>
        <v>0</v>
      </c>
      <c r="D28" s="549">
        <f t="shared" si="32"/>
        <v>283951</v>
      </c>
      <c r="E28" s="290">
        <f t="shared" si="12"/>
        <v>0</v>
      </c>
      <c r="F28" s="290">
        <f t="shared" si="0"/>
        <v>0</v>
      </c>
      <c r="G28" s="288"/>
      <c r="H28" s="291">
        <f t="shared" si="37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4"/>
        <v>ok</v>
      </c>
      <c r="R28" s="549">
        <f t="shared" si="18"/>
        <v>11760</v>
      </c>
      <c r="S28" s="290">
        <f t="shared" si="5"/>
        <v>0</v>
      </c>
      <c r="T28" s="549">
        <f t="shared" si="19"/>
        <v>369805</v>
      </c>
      <c r="U28" s="290">
        <f t="shared" si="35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6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44192</v>
      </c>
      <c r="B29" s="548">
        <f t="shared" si="31"/>
        <v>9394</v>
      </c>
      <c r="C29" s="290">
        <f t="shared" si="11"/>
        <v>0</v>
      </c>
      <c r="D29" s="549">
        <f t="shared" si="32"/>
        <v>283951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4"/>
        <v>ok</v>
      </c>
      <c r="R29" s="549">
        <f t="shared" si="18"/>
        <v>11760</v>
      </c>
      <c r="S29" s="290">
        <f t="shared" si="5"/>
        <v>0</v>
      </c>
      <c r="T29" s="549">
        <f t="shared" si="19"/>
        <v>369805</v>
      </c>
      <c r="U29" s="290">
        <f t="shared" si="35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6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44193</v>
      </c>
      <c r="B30" s="548">
        <f t="shared" si="31"/>
        <v>9394</v>
      </c>
      <c r="C30" s="290">
        <f t="shared" si="11"/>
        <v>0</v>
      </c>
      <c r="D30" s="549">
        <f t="shared" si="32"/>
        <v>283951</v>
      </c>
      <c r="E30" s="290">
        <f t="shared" si="12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4"/>
        <v>ok</v>
      </c>
      <c r="R30" s="549">
        <f t="shared" si="18"/>
        <v>11760</v>
      </c>
      <c r="S30" s="290">
        <f t="shared" si="5"/>
        <v>0</v>
      </c>
      <c r="T30" s="549">
        <f t="shared" si="19"/>
        <v>369805</v>
      </c>
      <c r="U30" s="290">
        <f t="shared" si="35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6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44194</v>
      </c>
      <c r="B31" s="548">
        <f t="shared" si="31"/>
        <v>9394</v>
      </c>
      <c r="C31" s="290">
        <f t="shared" si="11"/>
        <v>0</v>
      </c>
      <c r="D31" s="549">
        <f t="shared" si="32"/>
        <v>283951</v>
      </c>
      <c r="E31" s="290">
        <f t="shared" si="12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4"/>
        <v>ok</v>
      </c>
      <c r="R31" s="549">
        <f t="shared" si="18"/>
        <v>11760</v>
      </c>
      <c r="S31" s="290">
        <f t="shared" si="5"/>
        <v>0</v>
      </c>
      <c r="T31" s="549">
        <f t="shared" si="19"/>
        <v>369805</v>
      </c>
      <c r="U31" s="290">
        <f t="shared" si="35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6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44195</v>
      </c>
      <c r="B32" s="548">
        <f t="shared" si="31"/>
        <v>9394</v>
      </c>
      <c r="C32" s="290">
        <f t="shared" si="11"/>
        <v>0</v>
      </c>
      <c r="D32" s="549">
        <f t="shared" si="32"/>
        <v>283951</v>
      </c>
      <c r="E32" s="290">
        <f t="shared" si="12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4"/>
        <v>ok</v>
      </c>
      <c r="R32" s="549">
        <f t="shared" si="18"/>
        <v>11760</v>
      </c>
      <c r="S32" s="290">
        <f t="shared" si="5"/>
        <v>0</v>
      </c>
      <c r="T32" s="549">
        <f t="shared" si="19"/>
        <v>369805</v>
      </c>
      <c r="U32" s="290">
        <f t="shared" si="35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6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44196</v>
      </c>
      <c r="B33" s="548">
        <f t="shared" si="31"/>
        <v>9394</v>
      </c>
      <c r="C33" s="290">
        <f t="shared" ref="C33" si="38">B33-B32</f>
        <v>0</v>
      </c>
      <c r="D33" s="549">
        <f t="shared" si="32"/>
        <v>283951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7"/>
        <v>10873</v>
      </c>
      <c r="Q33" s="290" t="str">
        <f t="shared" ref="Q33" si="44">IF(J33-P33&lt;=0,"ok","oil change")</f>
        <v>ok</v>
      </c>
      <c r="R33" s="549">
        <f t="shared" si="18"/>
        <v>11760</v>
      </c>
      <c r="S33" s="290">
        <f t="shared" ref="S33" si="45">R33-R32</f>
        <v>0</v>
      </c>
      <c r="T33" s="549">
        <f t="shared" si="19"/>
        <v>369805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1"/>
        <v>12141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46</v>
      </c>
      <c r="V34" s="40"/>
      <c r="X34">
        <v>341</v>
      </c>
      <c r="Z34" s="425">
        <f>SUM(Z3:Z32)</f>
        <v>45</v>
      </c>
    </row>
    <row r="35" spans="1:37">
      <c r="C35" s="40">
        <f>SUM(C3:C33)</f>
        <v>37</v>
      </c>
      <c r="K35" s="40">
        <f>SUM(K3:K33)</f>
        <v>0</v>
      </c>
      <c r="S35" s="40">
        <f>SUM(S3:S33)</f>
        <v>9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7" zoomScale="80" zoomScaleNormal="80" workbookViewId="0">
      <selection activeCell="J17" sqref="J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7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9">
        <v>102557</v>
      </c>
      <c r="G4" s="160">
        <f t="shared" ref="G4:G32" si="1">F4-F3</f>
        <v>245</v>
      </c>
      <c r="H4" s="547">
        <v>357864</v>
      </c>
      <c r="I4" s="161">
        <f t="shared" ref="I4:I33" si="2">H4-H3</f>
        <v>1592</v>
      </c>
      <c r="J4" s="547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69.911049677039713</v>
      </c>
      <c r="P4" s="300">
        <f>SUM(L4:O4)</f>
        <v>300.64007123591205</v>
      </c>
      <c r="Q4" s="300">
        <f>SUM(-tanks!AX6*tanks!$AU$37)</f>
        <v>476.01987096774627</v>
      </c>
      <c r="R4" s="300">
        <f>SUM(P4:Q4)</f>
        <v>776.65994220365837</v>
      </c>
      <c r="S4" s="302">
        <f>SUM(ELEC!N3)</f>
        <v>7545.6000000000931</v>
      </c>
      <c r="T4" s="339">
        <f>IF(S4&gt;0,R4/S4,0)</f>
        <v>0.10292885154310442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6"/>
      <c r="AC4" s="677"/>
    </row>
    <row r="5" spans="1:32">
      <c r="A5" s="163">
        <f>ELEC!C4</f>
        <v>44167</v>
      </c>
      <c r="B5" s="547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9">
        <v>103026</v>
      </c>
      <c r="G5" s="160">
        <f t="shared" si="1"/>
        <v>469</v>
      </c>
      <c r="H5" s="547">
        <v>359206</v>
      </c>
      <c r="I5" s="161">
        <f t="shared" si="2"/>
        <v>1342</v>
      </c>
      <c r="J5" s="547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69.911049677039713</v>
      </c>
      <c r="P5" s="300">
        <f t="shared" ref="P5:P32" si="9">SUM(L5:O5)</f>
        <v>305.2039186654311</v>
      </c>
      <c r="Q5" s="300">
        <f>SUM(-tanks!AX7*tanks!$AU$37)</f>
        <v>379.69806451612857</v>
      </c>
      <c r="R5" s="300">
        <f t="shared" ref="R5:R32" si="10">SUM(P5:Q5)</f>
        <v>684.90198318155967</v>
      </c>
      <c r="S5" s="302">
        <f>SUM(ELEC!N4)</f>
        <v>6669</v>
      </c>
      <c r="T5" s="339">
        <f>IF(S5&gt;0,R5/S5,0)</f>
        <v>0.10269935270378762</v>
      </c>
      <c r="U5" s="252"/>
      <c r="V5" s="670"/>
      <c r="W5" s="671"/>
      <c r="X5" s="671"/>
      <c r="Y5" s="672"/>
      <c r="Z5" s="26" t="s">
        <v>203</v>
      </c>
      <c r="AA5" s="266">
        <f>'[6]EDl log'!AA22</f>
        <v>5000</v>
      </c>
      <c r="AB5" s="678"/>
      <c r="AC5" s="679"/>
    </row>
    <row r="6" spans="1:32" ht="15.75" thickBot="1">
      <c r="A6" s="163">
        <f>ELEC!C5</f>
        <v>44168</v>
      </c>
      <c r="B6" s="603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3">
        <v>360325</v>
      </c>
      <c r="I6" s="161">
        <f t="shared" si="2"/>
        <v>1119</v>
      </c>
      <c r="J6" s="603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69.911049677039713</v>
      </c>
      <c r="P6" s="300">
        <f t="shared" si="9"/>
        <v>277.43874453607788</v>
      </c>
      <c r="Q6" s="300">
        <f>SUM(-tanks!AX8*tanks!$AU$37)</f>
        <v>469.29806451612853</v>
      </c>
      <c r="R6" s="300">
        <f t="shared" si="10"/>
        <v>746.73680905220635</v>
      </c>
      <c r="S6" s="302">
        <f>SUM(ELEC!N5)</f>
        <v>7745</v>
      </c>
      <c r="T6" s="339">
        <f t="shared" ref="T6:T32" si="12">IF(S6&gt;0,R6/S6,0)</f>
        <v>9.6415340097121549E-2</v>
      </c>
      <c r="V6" s="673"/>
      <c r="W6" s="674"/>
      <c r="X6" s="674"/>
      <c r="Y6" s="675"/>
      <c r="Z6" s="3"/>
      <c r="AA6" s="3"/>
      <c r="AB6" s="678"/>
      <c r="AC6" s="679"/>
    </row>
    <row r="7" spans="1:32" ht="15" customHeight="1" thickBot="1">
      <c r="A7" s="163">
        <f>ELEC!C6</f>
        <v>44169</v>
      </c>
      <c r="B7" s="547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9">
        <v>104104</v>
      </c>
      <c r="G7" s="160">
        <f t="shared" si="1"/>
        <v>726</v>
      </c>
      <c r="H7" s="547">
        <v>361910</v>
      </c>
      <c r="I7" s="161">
        <f t="shared" si="2"/>
        <v>1585</v>
      </c>
      <c r="J7" s="547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69.911049677039713</v>
      </c>
      <c r="P7" s="300">
        <f t="shared" si="9"/>
        <v>391.02547753773626</v>
      </c>
      <c r="Q7" s="300">
        <f>SUM(-tanks!AX9*tanks!$AU$37)</f>
        <v>418.89806451613669</v>
      </c>
      <c r="R7" s="300">
        <f t="shared" si="10"/>
        <v>809.92354205387301</v>
      </c>
      <c r="S7" s="302">
        <f>SUM(ELEC!N6)</f>
        <v>7912</v>
      </c>
      <c r="T7" s="339">
        <f t="shared" si="12"/>
        <v>0.10236647397040861</v>
      </c>
      <c r="V7" s="666" t="s">
        <v>204</v>
      </c>
      <c r="W7" s="667"/>
      <c r="X7" s="668" t="s">
        <v>205</v>
      </c>
      <c r="Y7" s="669"/>
      <c r="Z7" s="667"/>
      <c r="AA7" s="26"/>
      <c r="AB7" s="680"/>
      <c r="AC7" s="681"/>
    </row>
    <row r="8" spans="1:32" ht="15.75" customHeight="1" thickBot="1">
      <c r="A8" s="163">
        <f>ELEC!C7</f>
        <v>44170</v>
      </c>
      <c r="B8" s="547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9">
        <v>104489</v>
      </c>
      <c r="G8" s="160">
        <f t="shared" si="1"/>
        <v>385</v>
      </c>
      <c r="H8" s="547">
        <v>363634</v>
      </c>
      <c r="I8" s="161">
        <f t="shared" si="2"/>
        <v>1724</v>
      </c>
      <c r="J8" s="547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69.911049677039713</v>
      </c>
      <c r="P8" s="300">
        <f t="shared" si="9"/>
        <v>341.70408450291035</v>
      </c>
      <c r="Q8" s="300">
        <f>SUM(-tanks!AX10*tanks!$AU$37)</f>
        <v>235.95870967742175</v>
      </c>
      <c r="R8" s="300">
        <f t="shared" si="10"/>
        <v>577.66279418033207</v>
      </c>
      <c r="S8" s="302">
        <f>SUM(ELEC!N7)</f>
        <v>7610</v>
      </c>
      <c r="T8" s="339">
        <f>IF(S8&gt;0,R8/S8,0)</f>
        <v>7.5908382940910915E-2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7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9">
        <v>104970</v>
      </c>
      <c r="G9" s="160">
        <f t="shared" si="1"/>
        <v>481</v>
      </c>
      <c r="H9" s="547">
        <v>364750</v>
      </c>
      <c r="I9" s="161">
        <f t="shared" si="2"/>
        <v>1116</v>
      </c>
      <c r="J9" s="547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69.911049677039713</v>
      </c>
      <c r="P9" s="300">
        <f t="shared" si="9"/>
        <v>300.51270805183242</v>
      </c>
      <c r="Q9" s="300">
        <f>SUM(-tanks!AX11*tanks!$AU$37)</f>
        <v>388.65806451612855</v>
      </c>
      <c r="R9" s="300">
        <f>SUM(P9:Q9)</f>
        <v>689.17077256796097</v>
      </c>
      <c r="S9" s="302">
        <f>SUM(ELEC!N8)</f>
        <v>6678</v>
      </c>
      <c r="T9" s="339">
        <f t="shared" si="12"/>
        <v>0.10320017558669677</v>
      </c>
      <c r="V9" s="579">
        <f>'[1]EDl log'!V26</f>
        <v>210387</v>
      </c>
      <c r="W9" s="579">
        <f>'[1]EDl log'!W26</f>
        <v>244359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33972</v>
      </c>
      <c r="AB9" s="576">
        <f>'[1]EDl log'!AB26</f>
        <v>2717760</v>
      </c>
      <c r="AC9" s="576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7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9">
        <v>105495</v>
      </c>
      <c r="G10" s="160">
        <f t="shared" si="1"/>
        <v>525</v>
      </c>
      <c r="H10" s="547">
        <v>366108</v>
      </c>
      <c r="I10" s="161">
        <f t="shared" si="2"/>
        <v>1358</v>
      </c>
      <c r="J10" s="547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69.911049677039713</v>
      </c>
      <c r="P10" s="300">
        <f t="shared" si="9"/>
        <v>338.28650573010771</v>
      </c>
      <c r="Q10" s="300">
        <f>SUM(-tanks!AX12*tanks!$AU$37)</f>
        <v>673.33677419354217</v>
      </c>
      <c r="R10" s="300">
        <f t="shared" si="10"/>
        <v>1011.6232799236499</v>
      </c>
      <c r="S10" s="302">
        <f>SUM(ELEC!N9)</f>
        <v>7625</v>
      </c>
      <c r="T10" s="339">
        <f t="shared" si="12"/>
        <v>0.13267190556375735</v>
      </c>
      <c r="V10" s="579">
        <f>'[1]EDl log'!V27</f>
        <v>304747</v>
      </c>
      <c r="W10" s="579">
        <f>'[1]EDl log'!W27</f>
        <v>356272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51525</v>
      </c>
      <c r="AB10" s="576">
        <f>'[1]EDl log'!AB27</f>
        <v>5770800</v>
      </c>
      <c r="AC10" s="576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9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10">
        <v>105990</v>
      </c>
      <c r="G11" s="160">
        <f t="shared" si="1"/>
        <v>495</v>
      </c>
      <c r="H11" s="609">
        <v>367719</v>
      </c>
      <c r="I11" s="161">
        <f t="shared" si="2"/>
        <v>1611</v>
      </c>
      <c r="J11" s="611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69.911049677039713</v>
      </c>
      <c r="P11" s="300">
        <f t="shared" si="9"/>
        <v>341.05665498383905</v>
      </c>
      <c r="Q11" s="300">
        <f>SUM(-tanks!AX13*tanks!$AU$37)</f>
        <v>101.17935483869864</v>
      </c>
      <c r="R11" s="300">
        <f t="shared" si="10"/>
        <v>442.23600982253771</v>
      </c>
      <c r="S11" s="302">
        <f>SUM(ELEC!N10)</f>
        <v>7081</v>
      </c>
      <c r="T11" s="339">
        <f t="shared" si="12"/>
        <v>6.2453892080573045E-2</v>
      </c>
      <c r="V11" s="579">
        <f>'[1]EDl log'!V28</f>
        <v>87055</v>
      </c>
      <c r="W11" s="579">
        <f>'[1]EDl log'!W28</f>
        <v>102312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15257</v>
      </c>
      <c r="AB11" s="576">
        <f>'[1]EDl log'!AB28</f>
        <v>4882240</v>
      </c>
      <c r="AC11" s="576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2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10">
        <v>106431</v>
      </c>
      <c r="G12" s="160">
        <f t="shared" si="1"/>
        <v>441</v>
      </c>
      <c r="H12" s="612">
        <v>369626</v>
      </c>
      <c r="I12" s="161">
        <f t="shared" si="2"/>
        <v>1907</v>
      </c>
      <c r="J12" s="612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69.911049677039713</v>
      </c>
      <c r="P12" s="300">
        <f t="shared" si="9"/>
        <v>356.36146427073788</v>
      </c>
      <c r="Q12" s="300">
        <f>SUM(-tanks!AX14*tanks!$AU$37)</f>
        <v>451.3780645161367</v>
      </c>
      <c r="R12" s="300">
        <f t="shared" si="10"/>
        <v>807.73952878687464</v>
      </c>
      <c r="S12" s="302">
        <f>SUM(ELEC!N11)</f>
        <v>8620</v>
      </c>
      <c r="T12" s="339">
        <f t="shared" si="12"/>
        <v>9.3705281761818401E-2</v>
      </c>
      <c r="V12" s="579"/>
      <c r="W12" s="266"/>
      <c r="X12" s="3"/>
      <c r="Y12" s="266"/>
      <c r="Z12" s="576">
        <f>'[1]EDl log'!Z29</f>
        <v>0</v>
      </c>
      <c r="AA12" s="576">
        <f>'[1]EDl log'!AA29</f>
        <v>100754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>
      <c r="A13" s="163">
        <f>ELEC!C12</f>
        <v>44175</v>
      </c>
      <c r="B13" s="615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10">
        <v>106931</v>
      </c>
      <c r="G13" s="160">
        <f t="shared" si="1"/>
        <v>500</v>
      </c>
      <c r="H13" s="615">
        <v>370926</v>
      </c>
      <c r="I13" s="161">
        <f t="shared" si="2"/>
        <v>1300</v>
      </c>
      <c r="J13" s="615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69.911049677039713</v>
      </c>
      <c r="P13" s="300">
        <f t="shared" si="9"/>
        <v>327.23774951120225</v>
      </c>
      <c r="Q13" s="300">
        <f>SUM(-tanks!AX15*tanks!$AU$37)</f>
        <v>-322.36129032257014</v>
      </c>
      <c r="R13" s="300">
        <f t="shared" si="10"/>
        <v>4.8764591886321114</v>
      </c>
      <c r="S13" s="302">
        <f>SUM(ELEC!N12)</f>
        <v>7261</v>
      </c>
      <c r="T13" s="339">
        <f>IF(S13&gt;0,R13/S13,0)</f>
        <v>6.7159608712740826E-4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13370800</v>
      </c>
      <c r="AC13" s="576">
        <f>'[1]EDl log'!AC30</f>
        <v>7234333</v>
      </c>
    </row>
    <row r="14" spans="1:32" ht="15.75" thickBot="1">
      <c r="A14" s="163">
        <f>ELEC!C13</f>
        <v>44176</v>
      </c>
      <c r="B14" s="616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10">
        <v>107413</v>
      </c>
      <c r="G14" s="160">
        <f t="shared" si="1"/>
        <v>482</v>
      </c>
      <c r="H14" s="616">
        <v>372170</v>
      </c>
      <c r="I14" s="161">
        <f t="shared" si="2"/>
        <v>1244</v>
      </c>
      <c r="J14" s="616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69.911049677039713</v>
      </c>
      <c r="P14" s="300">
        <f t="shared" ref="P14:P17" si="17">SUM(L14:O14)</f>
        <v>316.49678765382248</v>
      </c>
      <c r="Q14" s="300">
        <f>SUM(-tanks!AX16*tanks!$AU$37)</f>
        <v>277.39870967742172</v>
      </c>
      <c r="R14" s="300">
        <f t="shared" ref="R14:R17" si="18">SUM(P14:Q14)</f>
        <v>593.8954973312442</v>
      </c>
      <c r="S14" s="302">
        <f>SUM(ELEC!N13)</f>
        <v>7185</v>
      </c>
      <c r="T14" s="339">
        <f t="shared" ref="T14:T17" si="19">IF(S14&gt;0,R14/S14,0)</f>
        <v>8.2657689259741707E-2</v>
      </c>
      <c r="V14" s="579" t="str">
        <f>'[6]EDl log'!V31</f>
        <v>Gen RH</v>
      </c>
      <c r="W14" s="577">
        <f>'[1]EDl log'!W31</f>
        <v>85</v>
      </c>
      <c r="X14" s="577">
        <f>'[1]EDl log'!X31</f>
        <v>2.8333333333333335</v>
      </c>
      <c r="Y14" s="577">
        <f>'[1]EDl log'!Y31</f>
        <v>1.4166666666666667</v>
      </c>
      <c r="Z14" s="266"/>
      <c r="AA14" s="3"/>
      <c r="AB14" s="576">
        <f>'[1]EDl log'!AB31</f>
        <v>20605133</v>
      </c>
      <c r="AC14" s="576">
        <f>'[1]EDl log'!AC31</f>
        <v>7234333</v>
      </c>
    </row>
    <row r="15" spans="1:32">
      <c r="A15" s="163">
        <f>ELEC!C14</f>
        <v>44177</v>
      </c>
      <c r="B15" s="547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9">
        <v>107925</v>
      </c>
      <c r="G15" s="160">
        <f t="shared" si="1"/>
        <v>512</v>
      </c>
      <c r="H15" s="547">
        <v>373662</v>
      </c>
      <c r="I15" s="161">
        <f t="shared" si="2"/>
        <v>1492</v>
      </c>
      <c r="J15" s="547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69.911049677039713</v>
      </c>
      <c r="P15" s="300">
        <f t="shared" si="17"/>
        <v>343.25366990921219</v>
      </c>
      <c r="Q15" s="300">
        <f>SUM(-tanks!AX17*tanks!$AU$37)</f>
        <v>347.77625806449453</v>
      </c>
      <c r="R15" s="300">
        <f t="shared" si="18"/>
        <v>691.02992797370666</v>
      </c>
      <c r="S15" s="302">
        <f>SUM(ELEC!N14)</f>
        <v>7043</v>
      </c>
      <c r="T15" s="339">
        <f t="shared" si="19"/>
        <v>9.8115849492220172E-2</v>
      </c>
      <c r="V15" s="579" t="str">
        <f>'[6]EDl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>
      <c r="A16" s="163">
        <f>ELEC!C15</f>
        <v>44178</v>
      </c>
      <c r="B16" s="619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10">
        <v>108196</v>
      </c>
      <c r="G16" s="160">
        <f t="shared" si="1"/>
        <v>271</v>
      </c>
      <c r="H16" s="619">
        <v>375094</v>
      </c>
      <c r="I16" s="161">
        <f t="shared" si="2"/>
        <v>1432</v>
      </c>
      <c r="J16" s="619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69.911049677039713</v>
      </c>
      <c r="P16" s="300">
        <f t="shared" si="17"/>
        <v>283.07456543160026</v>
      </c>
      <c r="Q16" s="300">
        <f>SUM(-tanks!AX18*tanks!$AU$37)</f>
        <v>280.76051612904763</v>
      </c>
      <c r="R16" s="300">
        <f t="shared" si="18"/>
        <v>563.83508156064795</v>
      </c>
      <c r="S16" s="302">
        <f>SUM(ELEC!N15)</f>
        <v>6339</v>
      </c>
      <c r="T16" s="339">
        <f t="shared" si="19"/>
        <v>8.8947007660616487E-2</v>
      </c>
      <c r="V16" s="579" t="str">
        <f>'[6]EDl log'!V33</f>
        <v>C Deg</v>
      </c>
      <c r="W16" s="577">
        <f>'[1]EDl log'!W33</f>
        <v>307.69999999999982</v>
      </c>
      <c r="X16" s="552">
        <f>'[9]EDl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44179</v>
      </c>
      <c r="B17" s="620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10">
        <v>108665</v>
      </c>
      <c r="G17" s="160">
        <f t="shared" si="1"/>
        <v>469</v>
      </c>
      <c r="H17" s="620">
        <v>376499</v>
      </c>
      <c r="I17" s="161">
        <f t="shared" si="2"/>
        <v>1405</v>
      </c>
      <c r="J17" s="620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69.911049677039713</v>
      </c>
      <c r="P17" s="300">
        <f t="shared" si="17"/>
        <v>321.93095017455215</v>
      </c>
      <c r="Q17" s="300">
        <f>SUM(-tanks!AX19*tanks!$AU$37)</f>
        <v>401.31406451612366</v>
      </c>
      <c r="R17" s="300">
        <f t="shared" si="18"/>
        <v>723.24501469067582</v>
      </c>
      <c r="S17" s="302">
        <f>SUM(ELEC!N16)</f>
        <v>7237</v>
      </c>
      <c r="T17" s="339">
        <f t="shared" si="19"/>
        <v>9.9937130674405947E-2</v>
      </c>
      <c r="V17" s="255"/>
      <c r="W17" s="513"/>
      <c r="X17" s="17"/>
      <c r="Y17" s="436"/>
      <c r="Z17" s="513"/>
      <c r="AA17" s="513"/>
      <c r="AB17" s="576">
        <f>'[1]EDl log'!AB34</f>
        <v>2266564.63</v>
      </c>
      <c r="AC17" s="576">
        <f>'[1]EDl log'!AC34</f>
        <v>0</v>
      </c>
    </row>
    <row r="18" spans="1:32" ht="15.75" thickBot="1">
      <c r="A18" s="163">
        <f>ELEC!C17</f>
        <v>44180</v>
      </c>
      <c r="B18" s="547">
        <f t="shared" ref="B17:B34" si="20">B17</f>
        <v>742981</v>
      </c>
      <c r="C18" s="266">
        <f t="shared" si="0"/>
        <v>0</v>
      </c>
      <c r="D18" s="311">
        <f t="shared" si="8"/>
        <v>0</v>
      </c>
      <c r="E18" s="311">
        <f t="shared" si="11"/>
        <v>742981</v>
      </c>
      <c r="F18" s="589">
        <f t="shared" ref="F17:F34" si="21">F17</f>
        <v>108665</v>
      </c>
      <c r="G18" s="160">
        <f t="shared" si="1"/>
        <v>0</v>
      </c>
      <c r="H18" s="547">
        <f t="shared" ref="H17:H34" si="22">H17</f>
        <v>376499</v>
      </c>
      <c r="I18" s="161">
        <f t="shared" si="2"/>
        <v>0</v>
      </c>
      <c r="J18" s="547">
        <f t="shared" ref="J17:J34" si="23">J17</f>
        <v>257816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69.911049677039713</v>
      </c>
      <c r="P18" s="300">
        <f t="shared" si="9"/>
        <v>69.911049677039713</v>
      </c>
      <c r="Q18" s="300">
        <f>SUM(-tanks!AX20*tanks!$AU$37)</f>
        <v>0</v>
      </c>
      <c r="R18" s="300">
        <f t="shared" si="10"/>
        <v>69.911049677039713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22871697.629999999</v>
      </c>
      <c r="AC18" s="576">
        <f>'[1]EDl log'!AC35</f>
        <v>0</v>
      </c>
    </row>
    <row r="19" spans="1:32" ht="15.75" thickBot="1">
      <c r="A19" s="163">
        <f>ELEC!C18</f>
        <v>44181</v>
      </c>
      <c r="B19" s="547">
        <f t="shared" si="20"/>
        <v>742981</v>
      </c>
      <c r="C19" s="266">
        <f t="shared" si="0"/>
        <v>0</v>
      </c>
      <c r="D19" s="311">
        <f t="shared" si="8"/>
        <v>0</v>
      </c>
      <c r="E19" s="311">
        <f t="shared" si="11"/>
        <v>742981</v>
      </c>
      <c r="F19" s="589">
        <f t="shared" si="21"/>
        <v>108665</v>
      </c>
      <c r="G19" s="160">
        <f t="shared" si="1"/>
        <v>0</v>
      </c>
      <c r="H19" s="547">
        <f t="shared" si="22"/>
        <v>376499</v>
      </c>
      <c r="I19" s="161">
        <f t="shared" si="2"/>
        <v>0</v>
      </c>
      <c r="J19" s="547">
        <f t="shared" si="23"/>
        <v>257816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69.911049677039713</v>
      </c>
      <c r="P19" s="300">
        <f t="shared" si="9"/>
        <v>69.911049677039713</v>
      </c>
      <c r="Q19" s="300">
        <f>SUM(-tanks!AX21*tanks!$AU$37)</f>
        <v>0</v>
      </c>
      <c r="R19" s="300">
        <f t="shared" si="10"/>
        <v>69.911049677039713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80"/>
      <c r="Z19" s="580"/>
      <c r="AA19" s="581"/>
      <c r="AB19" s="576">
        <f>'[1]EDl log'!AB36</f>
        <v>13668.413266998341</v>
      </c>
      <c r="AC19" s="576">
        <f>'[1]EDl log'!AC36</f>
        <v>0</v>
      </c>
    </row>
    <row r="20" spans="1:32" ht="15.75" thickBot="1">
      <c r="A20" s="163">
        <f>ELEC!C19</f>
        <v>44182</v>
      </c>
      <c r="B20" s="547">
        <f t="shared" si="20"/>
        <v>742981</v>
      </c>
      <c r="C20" s="266">
        <f t="shared" si="0"/>
        <v>0</v>
      </c>
      <c r="D20" s="311">
        <f t="shared" si="8"/>
        <v>0</v>
      </c>
      <c r="E20" s="311">
        <f t="shared" si="11"/>
        <v>742981</v>
      </c>
      <c r="F20" s="589">
        <f t="shared" si="21"/>
        <v>108665</v>
      </c>
      <c r="G20" s="160">
        <f t="shared" si="1"/>
        <v>0</v>
      </c>
      <c r="H20" s="547">
        <f t="shared" si="22"/>
        <v>376499</v>
      </c>
      <c r="I20" s="161">
        <f t="shared" si="2"/>
        <v>0</v>
      </c>
      <c r="J20" s="547">
        <f t="shared" si="23"/>
        <v>257816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69.911049677039713</v>
      </c>
      <c r="P20" s="300">
        <f t="shared" si="9"/>
        <v>69.911049677039713</v>
      </c>
      <c r="Q20" s="300">
        <f>SUM(-tanks!AX22*tanks!$AU$37)</f>
        <v>0</v>
      </c>
      <c r="R20" s="300">
        <f t="shared" si="10"/>
        <v>69.911049677039713</v>
      </c>
      <c r="S20" s="302">
        <f>SUM(ELEC!N19)</f>
        <v>0</v>
      </c>
      <c r="T20" s="339">
        <f t="shared" si="12"/>
        <v>0</v>
      </c>
      <c r="V20" t="s">
        <v>414</v>
      </c>
      <c r="AB20" s="578"/>
    </row>
    <row r="21" spans="1:32" ht="15.75" thickBot="1">
      <c r="A21" s="163">
        <f>ELEC!C20</f>
        <v>44183</v>
      </c>
      <c r="B21" s="547">
        <f t="shared" si="20"/>
        <v>742981</v>
      </c>
      <c r="C21" s="266">
        <f t="shared" si="0"/>
        <v>0</v>
      </c>
      <c r="D21" s="311">
        <f t="shared" si="8"/>
        <v>0</v>
      </c>
      <c r="E21" s="311">
        <f t="shared" si="11"/>
        <v>742981</v>
      </c>
      <c r="F21" s="589">
        <f t="shared" si="21"/>
        <v>108665</v>
      </c>
      <c r="G21" s="160">
        <f t="shared" si="1"/>
        <v>0</v>
      </c>
      <c r="H21" s="547">
        <f t="shared" si="22"/>
        <v>376499</v>
      </c>
      <c r="I21" s="161">
        <f t="shared" si="2"/>
        <v>0</v>
      </c>
      <c r="J21" s="547">
        <f t="shared" si="23"/>
        <v>257816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69.911049677039713</v>
      </c>
      <c r="P21" s="300">
        <f t="shared" si="9"/>
        <v>69.911049677039713</v>
      </c>
      <c r="Q21" s="300">
        <f>SUM(-tanks!AX23*tanks!$AU$37)</f>
        <v>0</v>
      </c>
      <c r="R21" s="300">
        <f t="shared" si="10"/>
        <v>69.911049677039713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6"/>
      <c r="AC21" s="677"/>
    </row>
    <row r="22" spans="1:32" ht="15.75" thickBot="1">
      <c r="A22" s="163">
        <f>ELEC!C21</f>
        <v>44184</v>
      </c>
      <c r="B22" s="547">
        <f t="shared" si="20"/>
        <v>742981</v>
      </c>
      <c r="C22" s="266">
        <f t="shared" si="0"/>
        <v>0</v>
      </c>
      <c r="D22" s="311">
        <f t="shared" si="8"/>
        <v>0</v>
      </c>
      <c r="E22" s="311">
        <f t="shared" si="11"/>
        <v>742981</v>
      </c>
      <c r="F22" s="589">
        <f t="shared" si="21"/>
        <v>108665</v>
      </c>
      <c r="G22" s="160">
        <f t="shared" si="1"/>
        <v>0</v>
      </c>
      <c r="H22" s="547">
        <f t="shared" si="22"/>
        <v>376499</v>
      </c>
      <c r="I22" s="161">
        <f t="shared" si="2"/>
        <v>0</v>
      </c>
      <c r="J22" s="547">
        <f t="shared" si="23"/>
        <v>257816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69.911049677039713</v>
      </c>
      <c r="P22" s="300">
        <f t="shared" si="9"/>
        <v>69.911049677039713</v>
      </c>
      <c r="Q22" s="300">
        <f>SUM(-tanks!AX24*tanks!$AU$37)</f>
        <v>0</v>
      </c>
      <c r="R22" s="300">
        <f t="shared" si="10"/>
        <v>69.911049677039713</v>
      </c>
      <c r="S22" s="302">
        <f>SUM(ELEC!N21)</f>
        <v>0</v>
      </c>
      <c r="T22" s="339">
        <f t="shared" si="12"/>
        <v>0</v>
      </c>
      <c r="V22" s="682"/>
      <c r="W22" s="683"/>
      <c r="X22" s="683"/>
      <c r="Y22" s="684"/>
      <c r="Z22" s="26" t="s">
        <v>203</v>
      </c>
      <c r="AA22" s="26">
        <v>5000</v>
      </c>
      <c r="AB22" s="678"/>
      <c r="AC22" s="679"/>
    </row>
    <row r="23" spans="1:32" ht="15.75" thickBot="1">
      <c r="A23" s="163">
        <f>ELEC!C22</f>
        <v>44185</v>
      </c>
      <c r="B23" s="547">
        <f t="shared" si="20"/>
        <v>742981</v>
      </c>
      <c r="C23" s="266">
        <f t="shared" si="0"/>
        <v>0</v>
      </c>
      <c r="D23" s="311">
        <f t="shared" si="8"/>
        <v>0</v>
      </c>
      <c r="E23" s="311">
        <f t="shared" si="11"/>
        <v>742981</v>
      </c>
      <c r="F23" s="589">
        <f t="shared" si="21"/>
        <v>108665</v>
      </c>
      <c r="G23" s="160">
        <f t="shared" si="1"/>
        <v>0</v>
      </c>
      <c r="H23" s="547">
        <f t="shared" si="22"/>
        <v>376499</v>
      </c>
      <c r="I23" s="161">
        <f t="shared" si="2"/>
        <v>0</v>
      </c>
      <c r="J23" s="547">
        <f t="shared" si="23"/>
        <v>257816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69.911049677039713</v>
      </c>
      <c r="P23" s="300">
        <f t="shared" si="9"/>
        <v>69.911049677039713</v>
      </c>
      <c r="Q23" s="300">
        <f>SUM(-tanks!AX25*tanks!$AU$37)</f>
        <v>0</v>
      </c>
      <c r="R23" s="300">
        <f t="shared" si="10"/>
        <v>69.911049677039713</v>
      </c>
      <c r="S23" s="302">
        <f>SUM(ELEC!N22)</f>
        <v>0</v>
      </c>
      <c r="T23" s="339">
        <f t="shared" si="12"/>
        <v>0</v>
      </c>
      <c r="V23" s="685"/>
      <c r="W23" s="686"/>
      <c r="X23" s="686"/>
      <c r="Y23" s="687"/>
      <c r="Z23" s="688"/>
      <c r="AA23" s="689"/>
      <c r="AB23" s="678"/>
      <c r="AC23" s="679"/>
    </row>
    <row r="24" spans="1:32" ht="15" customHeight="1" thickBot="1">
      <c r="A24" s="163">
        <f>ELEC!C23</f>
        <v>44186</v>
      </c>
      <c r="B24" s="547">
        <f t="shared" si="20"/>
        <v>742981</v>
      </c>
      <c r="C24" s="266">
        <f t="shared" si="0"/>
        <v>0</v>
      </c>
      <c r="D24" s="311">
        <f t="shared" si="8"/>
        <v>0</v>
      </c>
      <c r="E24" s="311">
        <f t="shared" si="11"/>
        <v>742981</v>
      </c>
      <c r="F24" s="589">
        <f t="shared" si="21"/>
        <v>108665</v>
      </c>
      <c r="G24" s="160">
        <f t="shared" si="1"/>
        <v>0</v>
      </c>
      <c r="H24" s="547">
        <f t="shared" si="22"/>
        <v>376499</v>
      </c>
      <c r="I24" s="161">
        <f t="shared" si="2"/>
        <v>0</v>
      </c>
      <c r="J24" s="547">
        <f t="shared" si="23"/>
        <v>257816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69.911049677039713</v>
      </c>
      <c r="P24" s="300">
        <f t="shared" si="9"/>
        <v>69.911049677039713</v>
      </c>
      <c r="Q24" s="300">
        <f>SUM(-tanks!AX26*tanks!$AU$37)</f>
        <v>0</v>
      </c>
      <c r="R24" s="300">
        <f t="shared" si="10"/>
        <v>69.911049677039713</v>
      </c>
      <c r="S24" s="302">
        <f>SUM(ELEC!N23)</f>
        <v>0</v>
      </c>
      <c r="T24" s="339">
        <f t="shared" si="12"/>
        <v>0</v>
      </c>
      <c r="V24" s="690" t="s">
        <v>204</v>
      </c>
      <c r="W24" s="691"/>
      <c r="X24" s="692" t="s">
        <v>205</v>
      </c>
      <c r="Y24" s="693"/>
      <c r="Z24" s="694"/>
      <c r="AA24" s="170"/>
      <c r="AB24" s="680"/>
      <c r="AC24" s="681"/>
    </row>
    <row r="25" spans="1:32" ht="17.25" customHeight="1" thickBot="1">
      <c r="A25" s="163">
        <f>ELEC!C24</f>
        <v>44187</v>
      </c>
      <c r="B25" s="547">
        <f t="shared" si="20"/>
        <v>742981</v>
      </c>
      <c r="C25" s="266">
        <f t="shared" si="0"/>
        <v>0</v>
      </c>
      <c r="D25" s="311">
        <f t="shared" si="8"/>
        <v>0</v>
      </c>
      <c r="E25" s="311">
        <f t="shared" si="11"/>
        <v>742981</v>
      </c>
      <c r="F25" s="589">
        <f t="shared" si="21"/>
        <v>108665</v>
      </c>
      <c r="G25" s="160">
        <f t="shared" si="1"/>
        <v>0</v>
      </c>
      <c r="H25" s="547">
        <f t="shared" si="22"/>
        <v>376499</v>
      </c>
      <c r="I25" s="161">
        <f t="shared" si="2"/>
        <v>0</v>
      </c>
      <c r="J25" s="547">
        <f t="shared" si="23"/>
        <v>257816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69.911049677039713</v>
      </c>
      <c r="P25" s="300">
        <f t="shared" si="9"/>
        <v>69.911049677039713</v>
      </c>
      <c r="Q25" s="300">
        <f>SUM(-tanks!AX27*tanks!$AU$37)</f>
        <v>0</v>
      </c>
      <c r="R25" s="300">
        <f t="shared" si="10"/>
        <v>69.911049677039713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7">
        <f t="shared" si="20"/>
        <v>742981</v>
      </c>
      <c r="C26" s="266">
        <f t="shared" si="0"/>
        <v>0</v>
      </c>
      <c r="D26" s="311">
        <f t="shared" si="8"/>
        <v>0</v>
      </c>
      <c r="E26" s="311">
        <f t="shared" si="11"/>
        <v>742981</v>
      </c>
      <c r="F26" s="589">
        <f t="shared" si="21"/>
        <v>108665</v>
      </c>
      <c r="G26" s="160">
        <f t="shared" si="1"/>
        <v>0</v>
      </c>
      <c r="H26" s="547">
        <f t="shared" si="22"/>
        <v>376499</v>
      </c>
      <c r="I26" s="161">
        <f t="shared" si="2"/>
        <v>0</v>
      </c>
      <c r="J26" s="547">
        <f t="shared" si="23"/>
        <v>257816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69.911049677039713</v>
      </c>
      <c r="P26" s="300">
        <f t="shared" si="9"/>
        <v>69.911049677039713</v>
      </c>
      <c r="Q26" s="300">
        <f>SUM(-tanks!AX28*tanks!$AU$37)</f>
        <v>0</v>
      </c>
      <c r="R26" s="300">
        <f t="shared" si="10"/>
        <v>69.911049677039713</v>
      </c>
      <c r="S26" s="302">
        <f>SUM(ELEC!N25)</f>
        <v>0</v>
      </c>
      <c r="T26" s="339">
        <f t="shared" si="12"/>
        <v>0</v>
      </c>
      <c r="V26" s="256">
        <f>W9</f>
        <v>244359</v>
      </c>
      <c r="W26" s="170">
        <f>J33</f>
        <v>257816</v>
      </c>
      <c r="X26" s="172" t="s">
        <v>199</v>
      </c>
      <c r="Y26" s="172">
        <v>80</v>
      </c>
      <c r="Z26" s="172">
        <v>1</v>
      </c>
      <c r="AA26" s="341">
        <f>(W26-V26)*Z26</f>
        <v>13457</v>
      </c>
      <c r="AB26" s="341">
        <f>AA26*Y26</f>
        <v>1076560</v>
      </c>
      <c r="AC26" s="251">
        <f>AC9</f>
        <v>1033333</v>
      </c>
      <c r="AD26" s="213">
        <f>SUM(K36)</f>
        <v>0.33611409446262208</v>
      </c>
    </row>
    <row r="27" spans="1:32" ht="15.75" thickBot="1">
      <c r="A27" s="163">
        <f>ELEC!C26</f>
        <v>44189</v>
      </c>
      <c r="B27" s="547">
        <f t="shared" si="20"/>
        <v>742981</v>
      </c>
      <c r="C27" s="266">
        <f t="shared" si="0"/>
        <v>0</v>
      </c>
      <c r="D27" s="311">
        <f t="shared" si="8"/>
        <v>0</v>
      </c>
      <c r="E27" s="311">
        <f t="shared" si="11"/>
        <v>742981</v>
      </c>
      <c r="F27" s="589">
        <f t="shared" si="21"/>
        <v>108665</v>
      </c>
      <c r="G27" s="160">
        <f t="shared" si="1"/>
        <v>0</v>
      </c>
      <c r="H27" s="547">
        <f t="shared" si="22"/>
        <v>376499</v>
      </c>
      <c r="I27" s="161">
        <f t="shared" si="2"/>
        <v>0</v>
      </c>
      <c r="J27" s="547">
        <f t="shared" si="23"/>
        <v>257816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69.911049677039713</v>
      </c>
      <c r="P27" s="300">
        <f t="shared" si="9"/>
        <v>69.911049677039713</v>
      </c>
      <c r="Q27" s="300">
        <f>SUM(-tanks!AX29*tanks!$AU$37)</f>
        <v>0</v>
      </c>
      <c r="R27" s="300">
        <f t="shared" si="10"/>
        <v>69.911049677039713</v>
      </c>
      <c r="S27" s="302">
        <f>SUM(ELEC!N26)</f>
        <v>0</v>
      </c>
      <c r="T27" s="339">
        <f t="shared" si="12"/>
        <v>0</v>
      </c>
      <c r="V27" s="256">
        <f t="shared" ref="V27:V28" si="27">W10</f>
        <v>356272</v>
      </c>
      <c r="W27" s="170">
        <f>H33</f>
        <v>376499</v>
      </c>
      <c r="X27" s="172" t="s">
        <v>213</v>
      </c>
      <c r="Y27" s="172">
        <v>112</v>
      </c>
      <c r="Z27" s="172">
        <v>1</v>
      </c>
      <c r="AA27" s="341">
        <f>(W27-V27)*Z27</f>
        <v>20227</v>
      </c>
      <c r="AB27" s="341">
        <f>SUM(AA27*Y27)</f>
        <v>2265424</v>
      </c>
      <c r="AC27" s="251">
        <f>AC10</f>
        <v>6200000</v>
      </c>
      <c r="AD27" s="213">
        <f>SUM(I36)</f>
        <v>0.50520768289332363</v>
      </c>
    </row>
    <row r="28" spans="1:32" ht="15.75" thickBot="1">
      <c r="A28" s="163">
        <f>ELEC!C27</f>
        <v>44190</v>
      </c>
      <c r="B28" s="547">
        <f t="shared" si="20"/>
        <v>742981</v>
      </c>
      <c r="C28" s="266">
        <f t="shared" si="0"/>
        <v>0</v>
      </c>
      <c r="D28" s="311">
        <f t="shared" si="8"/>
        <v>0</v>
      </c>
      <c r="E28" s="311">
        <f t="shared" si="11"/>
        <v>742981</v>
      </c>
      <c r="F28" s="589">
        <f t="shared" si="21"/>
        <v>108665</v>
      </c>
      <c r="G28" s="160">
        <f t="shared" si="1"/>
        <v>0</v>
      </c>
      <c r="H28" s="547">
        <f t="shared" si="22"/>
        <v>376499</v>
      </c>
      <c r="I28" s="161">
        <f t="shared" si="2"/>
        <v>0</v>
      </c>
      <c r="J28" s="547">
        <f t="shared" si="23"/>
        <v>257816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69.911049677039713</v>
      </c>
      <c r="P28" s="300">
        <f t="shared" si="9"/>
        <v>69.911049677039713</v>
      </c>
      <c r="Q28" s="300">
        <f>SUM(-tanks!AX30*tanks!$AU$37)</f>
        <v>0</v>
      </c>
      <c r="R28" s="300">
        <f t="shared" si="10"/>
        <v>69.911049677039713</v>
      </c>
      <c r="S28" s="302">
        <f>SUM(ELEC!N27)</f>
        <v>0</v>
      </c>
      <c r="T28" s="339">
        <f t="shared" si="12"/>
        <v>0</v>
      </c>
      <c r="V28" s="256">
        <f t="shared" si="27"/>
        <v>102312</v>
      </c>
      <c r="W28" s="170">
        <f>F33</f>
        <v>108665</v>
      </c>
      <c r="X28" s="172" t="s">
        <v>197</v>
      </c>
      <c r="Y28" s="172">
        <v>320</v>
      </c>
      <c r="Z28" s="172">
        <v>1</v>
      </c>
      <c r="AA28" s="341">
        <f>(W28-V28)*Z28</f>
        <v>6353</v>
      </c>
      <c r="AB28" s="341">
        <f>SUM(AA28*Y28)</f>
        <v>2032960</v>
      </c>
      <c r="AC28" s="251">
        <f>AC11</f>
        <v>1000</v>
      </c>
      <c r="AD28" s="213">
        <f>SUM(G36)</f>
        <v>0.15867822264405426</v>
      </c>
      <c r="AE28" s="40">
        <f>SUM(AB28*5%)</f>
        <v>101648</v>
      </c>
      <c r="AF28" s="82">
        <f>SUM(AE28/7)*31</f>
        <v>450155.42857142858</v>
      </c>
    </row>
    <row r="29" spans="1:32" ht="15.75" thickBot="1">
      <c r="A29" s="163">
        <f>ELEC!C28</f>
        <v>44191</v>
      </c>
      <c r="B29" s="547">
        <f t="shared" si="20"/>
        <v>742981</v>
      </c>
      <c r="C29" s="266">
        <f t="shared" si="0"/>
        <v>0</v>
      </c>
      <c r="D29" s="311">
        <f t="shared" si="8"/>
        <v>0</v>
      </c>
      <c r="E29" s="311">
        <f t="shared" si="11"/>
        <v>742981</v>
      </c>
      <c r="F29" s="589">
        <f t="shared" si="21"/>
        <v>108665</v>
      </c>
      <c r="G29" s="160">
        <f t="shared" si="1"/>
        <v>0</v>
      </c>
      <c r="H29" s="547">
        <f t="shared" si="22"/>
        <v>376499</v>
      </c>
      <c r="I29" s="161">
        <f t="shared" si="2"/>
        <v>0</v>
      </c>
      <c r="J29" s="547">
        <f t="shared" si="23"/>
        <v>257816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69.911049677039713</v>
      </c>
      <c r="P29" s="300">
        <f t="shared" si="9"/>
        <v>69.911049677039713</v>
      </c>
      <c r="Q29" s="300">
        <f>SUM(-tanks!AX31*tanks!$AU$37)</f>
        <v>0</v>
      </c>
      <c r="R29" s="300">
        <f t="shared" si="10"/>
        <v>69.911049677039713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40037</v>
      </c>
      <c r="AB29" s="341"/>
      <c r="AC29" s="251"/>
    </row>
    <row r="30" spans="1:32" ht="14.25" customHeight="1" thickBot="1">
      <c r="A30" s="163">
        <f>ELEC!C29</f>
        <v>44192</v>
      </c>
      <c r="B30" s="547">
        <f t="shared" si="20"/>
        <v>742981</v>
      </c>
      <c r="C30" s="266">
        <f t="shared" si="0"/>
        <v>0</v>
      </c>
      <c r="D30" s="311">
        <f t="shared" si="8"/>
        <v>0</v>
      </c>
      <c r="E30" s="311">
        <f t="shared" si="11"/>
        <v>742981</v>
      </c>
      <c r="F30" s="589">
        <f t="shared" si="21"/>
        <v>108665</v>
      </c>
      <c r="G30" s="160">
        <f t="shared" si="1"/>
        <v>0</v>
      </c>
      <c r="H30" s="547">
        <f t="shared" si="22"/>
        <v>376499</v>
      </c>
      <c r="I30" s="161">
        <f t="shared" si="2"/>
        <v>0</v>
      </c>
      <c r="J30" s="547">
        <f t="shared" si="23"/>
        <v>257816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69.911049677039713</v>
      </c>
      <c r="P30" s="300">
        <f t="shared" si="9"/>
        <v>69.911049677039713</v>
      </c>
      <c r="Q30" s="300">
        <f>SUM(-tanks!AX32*tanks!$AU$37)</f>
        <v>0</v>
      </c>
      <c r="R30" s="300">
        <f t="shared" si="10"/>
        <v>69.911049677039713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5374944</v>
      </c>
      <c r="AC30" s="251">
        <f>SUM(AC26:AC29)/A37*A35</f>
        <v>3267118.1290322584</v>
      </c>
    </row>
    <row r="31" spans="1:32" ht="15.75" thickBot="1">
      <c r="A31" s="163">
        <f>ELEC!C30</f>
        <v>44193</v>
      </c>
      <c r="B31" s="547">
        <f t="shared" si="20"/>
        <v>742981</v>
      </c>
      <c r="C31" s="266">
        <f t="shared" si="0"/>
        <v>0</v>
      </c>
      <c r="D31" s="311">
        <f t="shared" si="8"/>
        <v>0</v>
      </c>
      <c r="E31" s="311">
        <f t="shared" si="11"/>
        <v>742981</v>
      </c>
      <c r="F31" s="589">
        <f t="shared" si="21"/>
        <v>108665</v>
      </c>
      <c r="G31" s="160">
        <f t="shared" si="1"/>
        <v>0</v>
      </c>
      <c r="H31" s="547">
        <f t="shared" si="22"/>
        <v>376499</v>
      </c>
      <c r="I31" s="161">
        <f t="shared" si="2"/>
        <v>0</v>
      </c>
      <c r="J31" s="547">
        <f t="shared" si="23"/>
        <v>257816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69.911049677039713</v>
      </c>
      <c r="P31" s="300">
        <f t="shared" si="9"/>
        <v>69.911049677039713</v>
      </c>
      <c r="Q31" s="300">
        <f>SUM(-tanks!AX33*tanks!$AU$37)</f>
        <v>0</v>
      </c>
      <c r="R31" s="300">
        <f t="shared" si="10"/>
        <v>69.911049677039713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46</v>
      </c>
      <c r="X31" s="223">
        <f>SUM(W31/A35)</f>
        <v>3.2857142857142856</v>
      </c>
      <c r="Y31" s="262">
        <f>SUM(X31/2)</f>
        <v>1.6428571428571428</v>
      </c>
      <c r="Z31" s="3"/>
      <c r="AA31" s="3"/>
      <c r="AB31" s="550">
        <f>SUM(AB30+AC31)</f>
        <v>8642062.1290322579</v>
      </c>
      <c r="AC31" s="251">
        <f>SUM(AC30)</f>
        <v>3267118.1290322584</v>
      </c>
    </row>
    <row r="32" spans="1:32" ht="15.75" thickBot="1">
      <c r="A32" s="163">
        <f>ELEC!C31</f>
        <v>44194</v>
      </c>
      <c r="B32" s="547">
        <f t="shared" si="20"/>
        <v>742981</v>
      </c>
      <c r="C32" s="266">
        <f t="shared" si="0"/>
        <v>0</v>
      </c>
      <c r="D32" s="311">
        <f t="shared" si="8"/>
        <v>0</v>
      </c>
      <c r="E32" s="311">
        <f t="shared" si="11"/>
        <v>742981</v>
      </c>
      <c r="F32" s="589">
        <f t="shared" si="21"/>
        <v>108665</v>
      </c>
      <c r="G32" s="160">
        <f t="shared" si="1"/>
        <v>0</v>
      </c>
      <c r="H32" s="547">
        <f t="shared" si="22"/>
        <v>376499</v>
      </c>
      <c r="I32" s="161">
        <f t="shared" si="2"/>
        <v>0</v>
      </c>
      <c r="J32" s="547">
        <f t="shared" si="23"/>
        <v>257816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69.911049677039713</v>
      </c>
      <c r="P32" s="300">
        <f t="shared" si="9"/>
        <v>69.911049677039713</v>
      </c>
      <c r="Q32" s="300">
        <f>SUM(-tanks!AX34*tanks!$AU$37)</f>
        <v>0</v>
      </c>
      <c r="R32" s="300">
        <f t="shared" si="10"/>
        <v>69.911049677039713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7">
        <f t="shared" si="20"/>
        <v>742981</v>
      </c>
      <c r="C33" s="266">
        <f t="shared" si="0"/>
        <v>0</v>
      </c>
      <c r="D33" s="311">
        <f t="shared" si="8"/>
        <v>0</v>
      </c>
      <c r="E33" s="311">
        <f t="shared" si="11"/>
        <v>742981</v>
      </c>
      <c r="F33" s="589">
        <f t="shared" si="21"/>
        <v>108665</v>
      </c>
      <c r="G33" s="160">
        <f>F33-F32</f>
        <v>0</v>
      </c>
      <c r="H33" s="547">
        <f t="shared" si="22"/>
        <v>376499</v>
      </c>
      <c r="I33" s="161">
        <f t="shared" si="2"/>
        <v>0</v>
      </c>
      <c r="J33" s="547">
        <f t="shared" si="23"/>
        <v>257816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69.911049677039713</v>
      </c>
      <c r="P33" s="300">
        <f>SUM(L33:O33)</f>
        <v>69.911049677039713</v>
      </c>
      <c r="Q33" s="300">
        <f>SUM(-tanks!AX35*tanks!$AU$37)</f>
        <v>0</v>
      </c>
      <c r="R33" s="300">
        <f>SUM(P33:Q33)</f>
        <v>69.911049677039713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7">
        <f t="shared" si="20"/>
        <v>742981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742981</v>
      </c>
      <c r="F34" s="589">
        <f t="shared" si="21"/>
        <v>108665</v>
      </c>
      <c r="G34" s="160">
        <f>F34-F33</f>
        <v>0</v>
      </c>
      <c r="H34" s="547">
        <f t="shared" si="22"/>
        <v>376499</v>
      </c>
      <c r="I34" s="161">
        <f t="shared" ref="I34" si="31">H34-H33</f>
        <v>0</v>
      </c>
      <c r="J34" s="547">
        <f t="shared" si="23"/>
        <v>257816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69.911049677039713</v>
      </c>
      <c r="P34" s="300">
        <f>SUM(L34:O34)</f>
        <v>69.911049677039713</v>
      </c>
      <c r="Q34" s="300">
        <f>SUM(-tanks!AX36*tanks!$AU$37)</f>
        <v>0</v>
      </c>
      <c r="R34" s="300">
        <f>SUM(P34:Q34)</f>
        <v>69.911049677039713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950626.83419354842</v>
      </c>
      <c r="AC34" s="585"/>
    </row>
    <row r="35" spans="1:32" ht="15.75" thickBot="1">
      <c r="A35" s="546">
        <f>A37-COUNTIF(C4:C34,0)</f>
        <v>14</v>
      </c>
      <c r="C35" s="174">
        <f>SUM(C4:C34)/A35</f>
        <v>2859.7857142857142</v>
      </c>
      <c r="D35" s="174"/>
      <c r="E35" s="174"/>
      <c r="G35" s="174">
        <f>SUM(G4:G34)/A35</f>
        <v>453.78571428571428</v>
      </c>
      <c r="I35" s="174">
        <f>SUM(I4:I34)/A35</f>
        <v>1444.7857142857142</v>
      </c>
      <c r="K35" s="174">
        <f>SUM(K4:K34)/A35</f>
        <v>961.21428571428567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105390.90738813736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9592688.9632258061</v>
      </c>
      <c r="AC35" s="585"/>
    </row>
    <row r="36" spans="1:32" ht="15.75" thickBot="1">
      <c r="A36" s="211"/>
      <c r="C36" s="213">
        <f>SUM(G36:K36)</f>
        <v>1</v>
      </c>
      <c r="G36" s="226">
        <f>IF(C35&gt;0,G35/C35,0)</f>
        <v>0.15867822264405426</v>
      </c>
      <c r="H36" s="213"/>
      <c r="I36" s="226">
        <f>SUM(I35/C35)</f>
        <v>0.50520768289332363</v>
      </c>
      <c r="J36" s="213"/>
      <c r="K36" s="226">
        <f>SUM(K35/C35)</f>
        <v>0.33611409446262208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5732.7111967046485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2167.2425399882313</v>
      </c>
      <c r="Z38" s="40"/>
      <c r="AA38" s="295" t="s">
        <v>215</v>
      </c>
      <c r="AB38" s="296">
        <f>SUM(AB36)</f>
        <v>5732.7111967046485</v>
      </c>
    </row>
    <row r="39" spans="1:32">
      <c r="V39" s="218"/>
      <c r="W39" s="82">
        <f>(AB30+AB54)/1507.5</f>
        <v>3565.4686567164181</v>
      </c>
      <c r="X39" s="551"/>
      <c r="Z39" s="297">
        <f>SUM(AB38)</f>
        <v>5732.7111967046485</v>
      </c>
      <c r="AA39" s="296"/>
      <c r="AB39" s="296"/>
    </row>
    <row r="40" spans="1:32">
      <c r="V40" s="17"/>
      <c r="W40" s="82">
        <f>SUM(W38:W39)</f>
        <v>5732.7111967046494</v>
      </c>
      <c r="X40" s="551"/>
      <c r="Y40" s="82"/>
      <c r="Z40" s="297">
        <f>SUM(-tanks!AX37)*tanks!AU37</f>
        <v>4579.3132903225851</v>
      </c>
      <c r="AA40" s="101">
        <f>SUM(AB31/A35)</f>
        <v>617290.15207373269</v>
      </c>
      <c r="AB40" s="351">
        <f>SUM(AA40*A37)</f>
        <v>19135994.714285713</v>
      </c>
    </row>
    <row r="41" spans="1:32" ht="18.75">
      <c r="W41" s="82">
        <f>(AB30+AB54)/1507.5</f>
        <v>3565.4686567164181</v>
      </c>
      <c r="Z41" s="278">
        <f>SUM(Z39:Z40)</f>
        <v>10312.024487027233</v>
      </c>
      <c r="AA41" s="296">
        <f>SUM(AA40/1507.5)</f>
        <v>409.47937119318919</v>
      </c>
      <c r="AB41" s="350">
        <f>SUM(AB40/1507.5)</f>
        <v>12693.860506988864</v>
      </c>
    </row>
    <row r="42" spans="1:32">
      <c r="D42" s="526"/>
      <c r="E42" s="526"/>
      <c r="F42" s="526"/>
      <c r="W42" s="82">
        <f>SUM(W40:W41)</f>
        <v>9298.1798534210684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63"/>
      <c r="AC45" s="663"/>
      <c r="AD45" s="17"/>
      <c r="AE45" s="17"/>
      <c r="AF45" s="17"/>
    </row>
    <row r="46" spans="1:32">
      <c r="V46" s="663"/>
      <c r="W46" s="663"/>
      <c r="X46" s="663"/>
      <c r="Y46" s="663"/>
      <c r="Z46" s="555"/>
      <c r="AA46" s="555"/>
      <c r="AB46" s="663"/>
      <c r="AC46" s="663"/>
      <c r="AD46" s="17"/>
      <c r="AE46" s="17"/>
      <c r="AF46" s="17"/>
    </row>
    <row r="47" spans="1:32">
      <c r="V47" s="663"/>
      <c r="W47" s="663"/>
      <c r="X47" s="663"/>
      <c r="Y47" s="663"/>
      <c r="Z47" s="663"/>
      <c r="AA47" s="663"/>
      <c r="AB47" s="663"/>
      <c r="AC47" s="663"/>
      <c r="AD47" s="17"/>
      <c r="AE47" s="17"/>
      <c r="AF47" s="17"/>
    </row>
    <row r="48" spans="1:32">
      <c r="V48" s="664"/>
      <c r="W48" s="664"/>
      <c r="X48" s="665"/>
      <c r="Y48" s="665"/>
      <c r="Z48" s="665"/>
      <c r="AA48" s="556"/>
      <c r="AB48" s="663"/>
      <c r="AC48" s="663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B19" sqref="B19:F1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5" t="s">
        <v>51</v>
      </c>
      <c r="B1" s="707" t="s">
        <v>320</v>
      </c>
      <c r="C1" s="708"/>
      <c r="D1" s="710"/>
      <c r="E1" s="707" t="s">
        <v>321</v>
      </c>
      <c r="F1" s="708"/>
      <c r="G1" s="709"/>
      <c r="H1" s="704" t="s">
        <v>326</v>
      </c>
      <c r="I1" s="701" t="s">
        <v>327</v>
      </c>
      <c r="J1" s="698" t="s">
        <v>43</v>
      </c>
    </row>
    <row r="2" spans="1:18" ht="38.25" thickBot="1">
      <c r="A2" s="696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5"/>
      <c r="I2" s="702"/>
      <c r="J2" s="699"/>
    </row>
    <row r="3" spans="1:18" ht="24" customHeight="1" thickBot="1">
      <c r="A3" s="697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6"/>
      <c r="I3" s="703"/>
      <c r="J3" s="700"/>
    </row>
    <row r="4" spans="1:18" ht="19.5" thickBot="1">
      <c r="A4" s="245"/>
      <c r="B4" s="515"/>
      <c r="C4" s="515"/>
      <c r="D4" s="515"/>
      <c r="E4" s="515"/>
      <c r="F4" s="515"/>
      <c r="G4" s="515"/>
      <c r="H4" s="601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8">
        <v>1.5</v>
      </c>
      <c r="C6" s="599">
        <v>7.8</v>
      </c>
      <c r="D6" s="599"/>
      <c r="E6" s="599">
        <v>1.4</v>
      </c>
      <c r="F6" s="599">
        <v>8</v>
      </c>
      <c r="G6" s="599">
        <v>0</v>
      </c>
      <c r="H6" s="597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600">
        <v>1.4</v>
      </c>
      <c r="C7" s="597">
        <v>7.8</v>
      </c>
      <c r="D7" s="597"/>
      <c r="E7" s="597">
        <v>1.5</v>
      </c>
      <c r="F7" s="597">
        <v>8</v>
      </c>
      <c r="G7" s="597"/>
      <c r="H7" s="597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600">
        <v>1.3</v>
      </c>
      <c r="C8" s="597">
        <v>7.8</v>
      </c>
      <c r="D8" s="597"/>
      <c r="E8" s="597">
        <v>1.4</v>
      </c>
      <c r="F8" s="597">
        <v>8</v>
      </c>
      <c r="G8" s="597"/>
      <c r="H8" s="597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600">
        <v>1</v>
      </c>
      <c r="C9" s="600">
        <v>708</v>
      </c>
      <c r="D9" s="600"/>
      <c r="E9" s="600">
        <v>1.5</v>
      </c>
      <c r="F9" s="600">
        <v>8</v>
      </c>
      <c r="G9" s="600"/>
      <c r="H9" s="597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600">
        <v>0.8</v>
      </c>
      <c r="C10" s="597">
        <v>7.8</v>
      </c>
      <c r="D10" s="597"/>
      <c r="E10" s="597">
        <v>1</v>
      </c>
      <c r="F10" s="597">
        <v>8</v>
      </c>
      <c r="G10" s="597"/>
      <c r="H10" s="597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7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7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7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2">
        <v>7.8</v>
      </c>
      <c r="D14" s="170"/>
      <c r="E14" s="170">
        <v>1.2</v>
      </c>
      <c r="F14" s="170">
        <v>8</v>
      </c>
      <c r="G14" s="170"/>
      <c r="H14" s="597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6">
        <v>7.8</v>
      </c>
      <c r="D15" s="616"/>
      <c r="E15" s="616">
        <v>1.1000000000000001</v>
      </c>
      <c r="F15" s="616">
        <v>8</v>
      </c>
      <c r="G15" s="616"/>
      <c r="H15" s="617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6">
        <v>7.8</v>
      </c>
      <c r="D16" s="616"/>
      <c r="E16" s="616">
        <v>1.4</v>
      </c>
      <c r="F16" s="616">
        <v>8.1</v>
      </c>
      <c r="G16" s="616"/>
      <c r="H16" s="617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7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9">
        <v>7.8</v>
      </c>
      <c r="D18" s="170"/>
      <c r="E18" s="170">
        <v>1.3</v>
      </c>
      <c r="F18" s="170">
        <v>8</v>
      </c>
      <c r="G18" s="544"/>
      <c r="H18" s="597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20">
        <v>7.8</v>
      </c>
      <c r="D19" s="170"/>
      <c r="E19" s="170">
        <v>1.4</v>
      </c>
      <c r="F19" s="170">
        <v>8</v>
      </c>
      <c r="G19" s="544"/>
      <c r="H19" s="597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/>
      <c r="C20" s="544"/>
      <c r="D20" s="544"/>
      <c r="E20" s="544"/>
      <c r="F20" s="544"/>
      <c r="G20" s="544"/>
      <c r="H20" s="597">
        <f t="shared" si="2"/>
        <v>6706</v>
      </c>
      <c r="I20" s="516">
        <f t="shared" si="3"/>
        <v>0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/>
      <c r="C21" s="544"/>
      <c r="D21" s="544"/>
      <c r="E21" s="544"/>
      <c r="F21" s="544"/>
      <c r="G21" s="544"/>
      <c r="H21" s="597">
        <f t="shared" si="2"/>
        <v>6706</v>
      </c>
      <c r="I21" s="516">
        <f t="shared" si="3"/>
        <v>0</v>
      </c>
      <c r="J21" s="591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/>
      <c r="C22" s="544"/>
      <c r="D22" s="544"/>
      <c r="E22" s="544"/>
      <c r="F22" s="544"/>
      <c r="G22" s="544"/>
      <c r="H22" s="597">
        <f t="shared" si="2"/>
        <v>6706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/>
      <c r="C23" s="544"/>
      <c r="D23" s="544"/>
      <c r="E23" s="544"/>
      <c r="F23" s="544"/>
      <c r="G23" s="544"/>
      <c r="H23" s="597">
        <f t="shared" si="2"/>
        <v>6706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93"/>
      <c r="C24" s="592"/>
      <c r="D24" s="170"/>
      <c r="E24" s="170"/>
      <c r="F24" s="170"/>
      <c r="G24" s="170"/>
      <c r="H24" s="597">
        <f t="shared" si="2"/>
        <v>6706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3"/>
      <c r="C25" s="592"/>
      <c r="D25" s="170"/>
      <c r="E25" s="170"/>
      <c r="F25" s="170"/>
      <c r="G25" s="170"/>
      <c r="H25" s="597">
        <f t="shared" si="2"/>
        <v>6706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3"/>
      <c r="C26" s="594"/>
      <c r="D26" s="170"/>
      <c r="E26" s="170"/>
      <c r="F26" s="170"/>
      <c r="G26" s="170"/>
      <c r="H26" s="597">
        <f t="shared" si="2"/>
        <v>6706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/>
      <c r="C27" s="170"/>
      <c r="D27" s="170"/>
      <c r="E27" s="170"/>
      <c r="F27" s="170"/>
      <c r="G27" s="170"/>
      <c r="H27" s="597">
        <f t="shared" si="2"/>
        <v>6706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/>
      <c r="C28" s="595"/>
      <c r="D28" s="170"/>
      <c r="E28" s="170"/>
      <c r="F28" s="170"/>
      <c r="G28" s="170"/>
      <c r="H28" s="597">
        <f t="shared" si="2"/>
        <v>6706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/>
      <c r="C29" s="544"/>
      <c r="D29" s="544"/>
      <c r="E29" s="544"/>
      <c r="F29" s="544"/>
      <c r="G29" s="544"/>
      <c r="H29" s="597">
        <f t="shared" si="2"/>
        <v>6706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/>
      <c r="C30" s="516"/>
      <c r="D30" s="170"/>
      <c r="E30" s="170"/>
      <c r="F30" s="170"/>
      <c r="G30" s="170"/>
      <c r="H30" s="597">
        <f t="shared" si="2"/>
        <v>6706</v>
      </c>
      <c r="I30" s="516">
        <f t="shared" si="3"/>
        <v>0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/>
      <c r="C31" s="545"/>
      <c r="D31" s="170"/>
      <c r="E31" s="170"/>
      <c r="F31" s="170"/>
      <c r="G31" s="170"/>
      <c r="H31" s="597">
        <f t="shared" si="2"/>
        <v>6706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7">
        <f t="shared" si="2"/>
        <v>6706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7">
        <f t="shared" si="2"/>
        <v>6706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7">
        <f t="shared" si="2"/>
        <v>6706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7">
        <f t="shared" si="2"/>
        <v>6706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7">
        <f t="shared" si="2"/>
        <v>6706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39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411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15" t="s">
        <v>163</v>
      </c>
      <c r="B7" s="716"/>
      <c r="C7" s="717" t="s">
        <v>164</v>
      </c>
      <c r="D7" s="718"/>
      <c r="E7" s="718"/>
      <c r="F7" s="718"/>
      <c r="G7" s="718"/>
      <c r="H7" s="718"/>
      <c r="I7" s="718"/>
      <c r="J7" s="718"/>
      <c r="K7" s="71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0</v>
      </c>
      <c r="W62" s="274">
        <f>'General information '!C20</f>
        <v>0</v>
      </c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0</v>
      </c>
      <c r="W63" s="274">
        <f>'General information '!C21</f>
        <v>0</v>
      </c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0</v>
      </c>
      <c r="W64" s="274">
        <f>'General information '!C22</f>
        <v>0</v>
      </c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0</v>
      </c>
      <c r="W65" s="274">
        <f>'General information '!C23</f>
        <v>0</v>
      </c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0</v>
      </c>
      <c r="W66" s="274">
        <f>'General information '!C24</f>
        <v>0</v>
      </c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0</v>
      </c>
      <c r="W67" s="274">
        <f>'General information '!C25</f>
        <v>0</v>
      </c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0</v>
      </c>
      <c r="W68" s="274">
        <f>'General information '!C26</f>
        <v>0</v>
      </c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0</v>
      </c>
      <c r="W69" s="274">
        <f>'General information '!C27</f>
        <v>0</v>
      </c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0</v>
      </c>
      <c r="W70" s="274">
        <f>'General information '!C28</f>
        <v>0</v>
      </c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0</v>
      </c>
      <c r="W71" s="274">
        <f>'General information '!C29</f>
        <v>0</v>
      </c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0</v>
      </c>
      <c r="W72" s="274">
        <f>'General information '!C30</f>
        <v>0</v>
      </c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0</v>
      </c>
      <c r="W73" s="274">
        <f>'General information '!C31</f>
        <v>0</v>
      </c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-316.90000000000009</v>
      </c>
      <c r="W81" s="119">
        <f>SUMIF(X48:X78,"&gt;0")</f>
        <v>11.099999999999994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0" t="s">
        <v>174</v>
      </c>
      <c r="O84" s="720" t="s">
        <v>175</v>
      </c>
      <c r="P84" s="134"/>
      <c r="T84" s="134"/>
      <c r="X84" s="134"/>
    </row>
    <row r="85" spans="1:24" ht="20.25" thickBot="1">
      <c r="D85" s="134"/>
      <c r="I85" s="722" t="s">
        <v>182</v>
      </c>
      <c r="J85" s="723"/>
      <c r="K85" s="723"/>
      <c r="L85" s="723"/>
      <c r="N85" s="721"/>
      <c r="O85" s="721"/>
      <c r="P85" s="134"/>
      <c r="R85" s="17"/>
      <c r="S85" s="17"/>
      <c r="T85" s="140"/>
      <c r="U85" s="141"/>
      <c r="X85" s="134"/>
    </row>
    <row r="86" spans="1:24" ht="18.75" thickBot="1">
      <c r="D86" s="134"/>
      <c r="I86" s="724" t="s">
        <v>183</v>
      </c>
      <c r="J86" s="724"/>
      <c r="K86" s="724"/>
      <c r="L86" s="724"/>
      <c r="N86" s="142">
        <f>B43+F43+J43+N43+R43+V43+B81+F81+J81+N81+R81+V81</f>
        <v>-770.40000000000009</v>
      </c>
      <c r="O86" s="142">
        <f>C43+G43+K43+O43+S43+W43+C81+G81+K81+O81+S81+W81</f>
        <v>1559.3999999999992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5" t="s">
        <v>216</v>
      </c>
      <c r="B2" s="725"/>
      <c r="C2" s="725"/>
      <c r="D2" s="725"/>
      <c r="E2" s="725"/>
      <c r="F2" s="725"/>
      <c r="G2" s="725"/>
      <c r="H2" s="725"/>
      <c r="I2" s="725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14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90">
        <f>10800-I7</f>
        <v>2600</v>
      </c>
      <c r="J6" s="278"/>
    </row>
    <row r="7" spans="1:11">
      <c r="A7" s="185" t="s">
        <v>218</v>
      </c>
      <c r="B7" s="353">
        <f>WATER!H37</f>
        <v>1235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3826.6666666666665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8585</v>
      </c>
      <c r="C8" s="500">
        <f>SUM(tanks!AU37)</f>
        <v>0.56000000000000005</v>
      </c>
      <c r="D8" s="192">
        <f>SUM(B8*C8)*D4</f>
        <v>7247457.0000000009</v>
      </c>
      <c r="E8" s="193">
        <f>SUM(D8/D4/F4)</f>
        <v>343.40000000000003</v>
      </c>
      <c r="F8" s="193">
        <f>SUM(E8*F4)</f>
        <v>4807.6000000000004</v>
      </c>
      <c r="G8" s="517">
        <f>E8*$F$4</f>
        <v>4807.6000000000004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8642062.1290322579</v>
      </c>
      <c r="E10" s="183">
        <f>SUM(D10/D4/F4)</f>
        <v>409.47937119318919</v>
      </c>
      <c r="F10" s="183">
        <f>SUM(E10*F4)</f>
        <v>5732.7111967046485</v>
      </c>
      <c r="G10" s="517">
        <f>E10*$G$4</f>
        <v>12284.381135795677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1026.2127045265224</v>
      </c>
      <c r="F12" s="181">
        <f>SUM(F6:F10)</f>
        <v>14366.977863371314</v>
      </c>
      <c r="G12" s="180">
        <f>SUM(G6:G10)</f>
        <v>24591.981135795679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-31908.018864204321</v>
      </c>
      <c r="I14" s="427">
        <f>SUM(G12-I12)</f>
        <v>-70308.018864204321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18.678571428571427</v>
      </c>
      <c r="C16" s="438">
        <f>'[10]Utility Cost '!C16</f>
        <v>16.241935483870968</v>
      </c>
      <c r="D16" s="438"/>
      <c r="E16" s="439">
        <f t="shared" si="0"/>
        <v>2.4366359447004591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45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-75.309999999999491</v>
      </c>
      <c r="F18" s="535">
        <f>B18-D18</f>
        <v>-232.85866666666664</v>
      </c>
    </row>
    <row r="19" spans="1:10">
      <c r="A19" s="529" t="s">
        <v>413</v>
      </c>
      <c r="B19" s="527">
        <f>SUM(B18/$F$4)</f>
        <v>3.2142857142857144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2020-12-15T04:56:20Z</dcterms:modified>
</cp:coreProperties>
</file>