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3BBF93C1-E06D-4112-9948-F7A0BDF1FA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0" i="3" l="1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<sst xmlns="http://schemas.openxmlformats.org/spreadsheetml/2006/main" count="658" uniqueCount="76">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</sst>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8" borderId="43" xfId="3" applyNumberFormat="1" applyFont="1" applyFill="1" applyBorder="1" applyAlignment="1">
      <alignment horizontal="center"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44" xfId="0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238" workbookViewId="0">
      <selection activeCell="E250" sqref="E250"/>
    </sheetView>
  </sheetViews>
  <sheetFormatPr defaultRowHeight="14.4" x14ac:dyDescent="0.3"/>
  <cols>
    <col min="1" max="1" width="23.44140625" customWidth="1"/>
    <col min="5" max="5" width="13.5546875" customWidth="1"/>
    <col min="6" max="6" width="11.88671875" style="125" customWidth="1"/>
    <col min="7" max="7" width="11.109375" customWidth="1"/>
    <col min="8" max="8" width="11" style="125" customWidth="1"/>
    <col min="9" max="9" width="11.5546875" customWidth="1"/>
    <col min="10" max="10" width="13.109375" style="125" customWidth="1"/>
    <col min="11" max="11" width="11.109375" customWidth="1"/>
    <col min="12" max="12" width="11.5546875" customWidth="1"/>
  </cols>
  <sheetData>
    <row r="1" spans="1:13" s="6" customFormat="1" ht="43.2" x14ac:dyDescent="0.3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 x14ac:dyDescent="0.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 x14ac:dyDescent="0.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 x14ac:dyDescent="0.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 x14ac:dyDescent="0.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 x14ac:dyDescent="0.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 x14ac:dyDescent="0.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 x14ac:dyDescent="0.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 x14ac:dyDescent="0.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 x14ac:dyDescent="0.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 x14ac:dyDescent="0.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 x14ac:dyDescent="0.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 x14ac:dyDescent="0.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 x14ac:dyDescent="0.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 x14ac:dyDescent="0.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 x14ac:dyDescent="0.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 x14ac:dyDescent="0.3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 x14ac:dyDescent="0.3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 x14ac:dyDescent="0.3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 x14ac:dyDescent="0.3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 x14ac:dyDescent="0.3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 x14ac:dyDescent="0.3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 x14ac:dyDescent="0.3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 x14ac:dyDescent="0.3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 x14ac:dyDescent="0.3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 x14ac:dyDescent="0.3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 x14ac:dyDescent="0.3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 x14ac:dyDescent="0.3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 x14ac:dyDescent="0.3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 x14ac:dyDescent="0.3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 x14ac:dyDescent="0.3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 x14ac:dyDescent="0.3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 x14ac:dyDescent="0.3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 x14ac:dyDescent="0.3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 x14ac:dyDescent="0.3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 x14ac:dyDescent="0.3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 x14ac:dyDescent="0.3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 x14ac:dyDescent="0.3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 x14ac:dyDescent="0.3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 x14ac:dyDescent="0.3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 x14ac:dyDescent="0.3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 x14ac:dyDescent="0.3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 x14ac:dyDescent="0.3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 x14ac:dyDescent="0.3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 x14ac:dyDescent="0.3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 x14ac:dyDescent="0.3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 x14ac:dyDescent="0.3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 x14ac:dyDescent="0.3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 x14ac:dyDescent="0.3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 x14ac:dyDescent="0.3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 x14ac:dyDescent="0.3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 x14ac:dyDescent="0.3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 x14ac:dyDescent="0.3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 x14ac:dyDescent="0.3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 x14ac:dyDescent="0.3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 x14ac:dyDescent="0.3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 x14ac:dyDescent="0.3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 x14ac:dyDescent="0.3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 x14ac:dyDescent="0.3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 x14ac:dyDescent="0.3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 x14ac:dyDescent="0.3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 x14ac:dyDescent="0.3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 x14ac:dyDescent="0.3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 x14ac:dyDescent="0.3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 x14ac:dyDescent="0.3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 x14ac:dyDescent="0.3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 x14ac:dyDescent="0.3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 x14ac:dyDescent="0.3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 x14ac:dyDescent="0.3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 x14ac:dyDescent="0.3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 x14ac:dyDescent="0.3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 x14ac:dyDescent="0.3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 x14ac:dyDescent="0.3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 x14ac:dyDescent="0.3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 x14ac:dyDescent="0.3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 x14ac:dyDescent="0.3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 x14ac:dyDescent="0.3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 x14ac:dyDescent="0.3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 x14ac:dyDescent="0.3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 x14ac:dyDescent="0.3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 x14ac:dyDescent="0.3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 x14ac:dyDescent="0.3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 x14ac:dyDescent="0.3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 x14ac:dyDescent="0.3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 x14ac:dyDescent="0.3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 x14ac:dyDescent="0.3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 x14ac:dyDescent="0.3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 x14ac:dyDescent="0.3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 x14ac:dyDescent="0.3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 x14ac:dyDescent="0.3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 x14ac:dyDescent="0.3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 x14ac:dyDescent="0.3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 x14ac:dyDescent="0.3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 x14ac:dyDescent="0.3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 x14ac:dyDescent="0.3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 x14ac:dyDescent="0.3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 x14ac:dyDescent="0.3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 x14ac:dyDescent="0.3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 x14ac:dyDescent="0.3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 x14ac:dyDescent="0.3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 x14ac:dyDescent="0.3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 x14ac:dyDescent="0.3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 x14ac:dyDescent="0.3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 x14ac:dyDescent="0.3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 x14ac:dyDescent="0.3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 x14ac:dyDescent="0.3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 x14ac:dyDescent="0.3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 x14ac:dyDescent="0.3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 x14ac:dyDescent="0.3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 x14ac:dyDescent="0.3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 x14ac:dyDescent="0.3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 x14ac:dyDescent="0.3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 x14ac:dyDescent="0.3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 x14ac:dyDescent="0.3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 x14ac:dyDescent="0.3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 x14ac:dyDescent="0.3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 x14ac:dyDescent="0.3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 x14ac:dyDescent="0.3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 x14ac:dyDescent="0.3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 x14ac:dyDescent="0.3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 x14ac:dyDescent="0.3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 x14ac:dyDescent="0.3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 x14ac:dyDescent="0.3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 x14ac:dyDescent="0.3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 x14ac:dyDescent="0.3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 x14ac:dyDescent="0.3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 x14ac:dyDescent="0.3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 x14ac:dyDescent="0.3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 x14ac:dyDescent="0.3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 x14ac:dyDescent="0.3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 x14ac:dyDescent="0.3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 x14ac:dyDescent="0.3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 x14ac:dyDescent="0.3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 x14ac:dyDescent="0.3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 x14ac:dyDescent="0.3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 x14ac:dyDescent="0.3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 x14ac:dyDescent="0.3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 x14ac:dyDescent="0.3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 x14ac:dyDescent="0.3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 x14ac:dyDescent="0.3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 x14ac:dyDescent="0.3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 x14ac:dyDescent="0.3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 x14ac:dyDescent="0.3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 x14ac:dyDescent="0.3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 x14ac:dyDescent="0.3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 x14ac:dyDescent="0.3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 x14ac:dyDescent="0.3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 x14ac:dyDescent="0.3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 x14ac:dyDescent="0.3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 x14ac:dyDescent="0.3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 x14ac:dyDescent="0.3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 x14ac:dyDescent="0.3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 x14ac:dyDescent="0.3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 x14ac:dyDescent="0.3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 x14ac:dyDescent="0.3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 x14ac:dyDescent="0.3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 x14ac:dyDescent="0.3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 x14ac:dyDescent="0.3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 x14ac:dyDescent="0.3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 x14ac:dyDescent="0.3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 x14ac:dyDescent="0.3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 x14ac:dyDescent="0.3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 x14ac:dyDescent="0.3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 x14ac:dyDescent="0.3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 x14ac:dyDescent="0.3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 x14ac:dyDescent="0.3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 x14ac:dyDescent="0.3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 x14ac:dyDescent="0.3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 x14ac:dyDescent="0.3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 x14ac:dyDescent="0.3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 x14ac:dyDescent="0.3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 x14ac:dyDescent="0.3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 x14ac:dyDescent="0.3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 x14ac:dyDescent="0.3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 x14ac:dyDescent="0.3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 x14ac:dyDescent="0.3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 x14ac:dyDescent="0.3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 x14ac:dyDescent="0.3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 x14ac:dyDescent="0.3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 x14ac:dyDescent="0.3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 x14ac:dyDescent="0.3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 x14ac:dyDescent="0.3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 x14ac:dyDescent="0.3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 x14ac:dyDescent="0.3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 x14ac:dyDescent="0.3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 x14ac:dyDescent="0.3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 x14ac:dyDescent="0.3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 x14ac:dyDescent="0.3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 x14ac:dyDescent="0.3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 x14ac:dyDescent="0.3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 x14ac:dyDescent="0.3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 x14ac:dyDescent="0.3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 x14ac:dyDescent="0.3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 x14ac:dyDescent="0.3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 x14ac:dyDescent="0.3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 x14ac:dyDescent="0.3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 x14ac:dyDescent="0.3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 x14ac:dyDescent="0.3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 x14ac:dyDescent="0.3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 x14ac:dyDescent="0.3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 x14ac:dyDescent="0.3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 x14ac:dyDescent="0.3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 x14ac:dyDescent="0.3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 x14ac:dyDescent="0.3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 x14ac:dyDescent="0.3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 x14ac:dyDescent="0.3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 x14ac:dyDescent="0.3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 x14ac:dyDescent="0.3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 x14ac:dyDescent="0.3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 x14ac:dyDescent="0.3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 x14ac:dyDescent="0.3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 x14ac:dyDescent="0.3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 x14ac:dyDescent="0.3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 x14ac:dyDescent="0.3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 x14ac:dyDescent="0.3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 x14ac:dyDescent="0.3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 x14ac:dyDescent="0.3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 x14ac:dyDescent="0.3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 x14ac:dyDescent="0.3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 x14ac:dyDescent="0.3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 x14ac:dyDescent="0.3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 x14ac:dyDescent="0.3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 x14ac:dyDescent="0.3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 x14ac:dyDescent="0.3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 x14ac:dyDescent="0.3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 x14ac:dyDescent="0.3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 x14ac:dyDescent="0.3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 x14ac:dyDescent="0.3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 x14ac:dyDescent="0.3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 x14ac:dyDescent="0.3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 x14ac:dyDescent="0.3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 x14ac:dyDescent="0.3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 x14ac:dyDescent="0.3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 x14ac:dyDescent="0.3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 x14ac:dyDescent="0.3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 x14ac:dyDescent="0.3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 x14ac:dyDescent="0.3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 x14ac:dyDescent="0.3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 x14ac:dyDescent="0.3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 x14ac:dyDescent="0.3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 x14ac:dyDescent="0.3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 x14ac:dyDescent="0.3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 x14ac:dyDescent="0.3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 x14ac:dyDescent="0.3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 x14ac:dyDescent="0.3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>
        <v>4.1100000000000003</v>
      </c>
      <c r="G245" s="4">
        <f>'Gas Water'!M248</f>
        <v>3760</v>
      </c>
      <c r="H245" s="124">
        <v>20</v>
      </c>
      <c r="I245" s="2">
        <f>'Gas Water'!L248</f>
        <v>262</v>
      </c>
      <c r="J245" s="124">
        <v>31.44</v>
      </c>
      <c r="K245" s="5">
        <v>143</v>
      </c>
      <c r="L245" s="5">
        <v>277</v>
      </c>
    </row>
    <row r="246" spans="1:12" x14ac:dyDescent="0.3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>
        <v>4.1100000000000003</v>
      </c>
      <c r="G246" s="4">
        <f>'Gas Water'!M249</f>
        <v>1393</v>
      </c>
      <c r="H246" s="124">
        <v>20</v>
      </c>
      <c r="I246" s="2">
        <f>'Gas Water'!L249</f>
        <v>254</v>
      </c>
      <c r="J246" s="124">
        <v>31.44</v>
      </c>
      <c r="K246" s="5">
        <v>149</v>
      </c>
      <c r="L246" s="5">
        <v>279</v>
      </c>
    </row>
    <row r="247" spans="1:12" x14ac:dyDescent="0.3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>
        <v>4.1100000000000003</v>
      </c>
      <c r="G247" s="4">
        <f>'Gas Water'!M250</f>
        <v>1511</v>
      </c>
      <c r="H247" s="124">
        <v>20</v>
      </c>
      <c r="I247" s="2">
        <f>'Gas Water'!L250</f>
        <v>287</v>
      </c>
      <c r="J247" s="124">
        <v>31.44</v>
      </c>
      <c r="K247" s="5">
        <v>149</v>
      </c>
      <c r="L247" s="5">
        <v>291</v>
      </c>
    </row>
    <row r="248" spans="1:12" x14ac:dyDescent="0.3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>
        <v>4.1100000000000003</v>
      </c>
      <c r="G248" s="4">
        <f>'Gas Water'!M251</f>
        <v>6371</v>
      </c>
      <c r="H248" s="124">
        <v>20</v>
      </c>
      <c r="I248" s="2">
        <f>'Gas Water'!L251</f>
        <v>319</v>
      </c>
      <c r="J248" s="124">
        <v>31.44</v>
      </c>
      <c r="K248" s="5">
        <v>158</v>
      </c>
      <c r="L248" s="5">
        <v>311</v>
      </c>
    </row>
    <row r="249" spans="1:12" x14ac:dyDescent="0.3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>
        <v>4.1100000000000003</v>
      </c>
      <c r="G249" s="4">
        <f>'Gas Water'!M252</f>
        <v>6257</v>
      </c>
      <c r="H249" s="124">
        <v>20</v>
      </c>
      <c r="I249" s="2">
        <f>'Gas Water'!L252</f>
        <v>335</v>
      </c>
      <c r="J249" s="124">
        <v>31.44</v>
      </c>
      <c r="K249" s="5">
        <v>150</v>
      </c>
      <c r="L249" s="5">
        <v>282</v>
      </c>
    </row>
    <row r="250" spans="1:12" x14ac:dyDescent="0.3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>
        <v>4.1100000000000003</v>
      </c>
      <c r="G250" s="4">
        <f>'Gas Water'!M253</f>
        <v>6164</v>
      </c>
      <c r="H250" s="124">
        <v>20</v>
      </c>
      <c r="I250" s="2">
        <f>'Gas Water'!L253</f>
        <v>315</v>
      </c>
      <c r="J250" s="124">
        <v>31.44</v>
      </c>
      <c r="K250" s="5">
        <v>145</v>
      </c>
      <c r="L250" s="5">
        <v>279</v>
      </c>
    </row>
    <row r="251" spans="1:12" x14ac:dyDescent="0.3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>
        <v>4.1100000000000003</v>
      </c>
      <c r="G251" s="4">
        <f>'Gas Water'!M254</f>
        <v>6193</v>
      </c>
      <c r="H251" s="124">
        <v>20</v>
      </c>
      <c r="I251" s="2">
        <f>'Gas Water'!L254</f>
        <v>299</v>
      </c>
      <c r="J251" s="124">
        <v>31.44</v>
      </c>
      <c r="K251" s="5">
        <v>149</v>
      </c>
      <c r="L251" s="5">
        <v>276</v>
      </c>
    </row>
    <row r="252" spans="1:12" x14ac:dyDescent="0.3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>
        <v>4.1100000000000003</v>
      </c>
      <c r="G252" s="4">
        <f>'Gas Water'!M255</f>
        <v>6623</v>
      </c>
      <c r="H252" s="124">
        <v>20</v>
      </c>
      <c r="I252" s="2">
        <f>'Gas Water'!L255</f>
        <v>321</v>
      </c>
      <c r="J252" s="124">
        <v>31.44</v>
      </c>
      <c r="K252" s="5">
        <v>146</v>
      </c>
      <c r="L252" s="5">
        <v>263</v>
      </c>
    </row>
    <row r="253" spans="1:12" x14ac:dyDescent="0.3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>
        <v>4.1100000000000003</v>
      </c>
      <c r="G253" s="4">
        <f>'Gas Water'!M256</f>
        <v>6734</v>
      </c>
      <c r="H253" s="124">
        <v>20</v>
      </c>
      <c r="I253" s="2">
        <f>'Gas Water'!L256</f>
        <v>299</v>
      </c>
      <c r="J253" s="124">
        <v>31.44</v>
      </c>
      <c r="K253" s="5">
        <v>134</v>
      </c>
      <c r="L253" s="5">
        <v>241</v>
      </c>
    </row>
    <row r="254" spans="1:12" x14ac:dyDescent="0.3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>
        <v>4.1100000000000003</v>
      </c>
      <c r="G254" s="4">
        <f>'Gas Water'!M257</f>
        <v>6098</v>
      </c>
      <c r="H254" s="124">
        <v>20</v>
      </c>
      <c r="I254" s="2">
        <f>'Gas Water'!L257</f>
        <v>339</v>
      </c>
      <c r="J254" s="124">
        <v>31.44</v>
      </c>
      <c r="K254" s="5">
        <v>137</v>
      </c>
      <c r="L254" s="5">
        <v>236</v>
      </c>
    </row>
    <row r="255" spans="1:12" x14ac:dyDescent="0.3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>
        <v>4.1100000000000003</v>
      </c>
      <c r="G255" s="4">
        <f>'Gas Water'!M258</f>
        <v>6325</v>
      </c>
      <c r="H255" s="124">
        <v>20</v>
      </c>
      <c r="I255" s="2">
        <f>'Gas Water'!L258</f>
        <v>412</v>
      </c>
      <c r="J255" s="124">
        <v>31.44</v>
      </c>
      <c r="K255" s="5">
        <v>144</v>
      </c>
      <c r="L255" s="5">
        <v>250</v>
      </c>
    </row>
    <row r="256" spans="1:12" x14ac:dyDescent="0.3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>
        <v>4.1100000000000003</v>
      </c>
      <c r="G256" s="4">
        <f>'Gas Water'!M259</f>
        <v>5625</v>
      </c>
      <c r="H256" s="124">
        <v>20</v>
      </c>
      <c r="I256" s="2">
        <f>'Gas Water'!L259</f>
        <v>315</v>
      </c>
      <c r="J256" s="124">
        <v>31.44</v>
      </c>
      <c r="K256" s="5">
        <v>141</v>
      </c>
      <c r="L256" s="5">
        <v>243</v>
      </c>
    </row>
    <row r="257" spans="1:12" x14ac:dyDescent="0.3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>
        <v>4.1100000000000003</v>
      </c>
      <c r="G257" s="4">
        <f>'Gas Water'!M260</f>
        <v>6318</v>
      </c>
      <c r="H257" s="124">
        <v>20</v>
      </c>
      <c r="I257" s="2">
        <f>'Gas Water'!L260</f>
        <v>283</v>
      </c>
      <c r="J257" s="124">
        <v>31.44</v>
      </c>
      <c r="K257" s="5">
        <v>160</v>
      </c>
      <c r="L257" s="5">
        <v>291</v>
      </c>
    </row>
    <row r="258" spans="1:12" x14ac:dyDescent="0.3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>
        <v>4.1100000000000003</v>
      </c>
      <c r="G258" s="4">
        <f>'Gas Water'!M261</f>
        <v>6304</v>
      </c>
      <c r="H258" s="124">
        <v>20</v>
      </c>
      <c r="I258" s="2">
        <f>'Gas Water'!L261</f>
        <v>323</v>
      </c>
      <c r="J258" s="124">
        <v>31.44</v>
      </c>
      <c r="K258" s="5">
        <v>155</v>
      </c>
      <c r="L258" s="5">
        <v>284</v>
      </c>
    </row>
    <row r="259" spans="1:12" x14ac:dyDescent="0.3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>
        <v>4.1100000000000003</v>
      </c>
      <c r="G259" s="4">
        <f>'Gas Water'!M262</f>
        <v>5753</v>
      </c>
      <c r="H259" s="124">
        <v>20</v>
      </c>
      <c r="I259" s="2">
        <f>'Gas Water'!L262</f>
        <v>291</v>
      </c>
      <c r="J259" s="124">
        <v>31.44</v>
      </c>
      <c r="K259" s="5">
        <v>147</v>
      </c>
      <c r="L259" s="5">
        <v>257</v>
      </c>
    </row>
    <row r="260" spans="1:12" x14ac:dyDescent="0.3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>
        <v>4.1100000000000003</v>
      </c>
      <c r="G260" s="4">
        <f>'Gas Water'!M263</f>
        <v>5815</v>
      </c>
      <c r="H260" s="124">
        <v>20</v>
      </c>
      <c r="I260" s="2">
        <f>'Gas Water'!L263</f>
        <v>376</v>
      </c>
      <c r="J260" s="124">
        <v>31.44</v>
      </c>
      <c r="K260" s="5">
        <v>153</v>
      </c>
      <c r="L260" s="5">
        <v>292</v>
      </c>
    </row>
    <row r="261" spans="1:12" x14ac:dyDescent="0.3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>
        <v>4.1100000000000003</v>
      </c>
      <c r="G261" s="4">
        <f>'Gas Water'!M264</f>
        <v>4974</v>
      </c>
      <c r="H261" s="124">
        <v>20</v>
      </c>
      <c r="I261" s="2">
        <f>'Gas Water'!L264</f>
        <v>321</v>
      </c>
      <c r="J261" s="124">
        <v>31.44</v>
      </c>
      <c r="K261" s="5">
        <v>160</v>
      </c>
      <c r="L261" s="5">
        <v>314</v>
      </c>
    </row>
    <row r="262" spans="1:12" x14ac:dyDescent="0.3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>
        <v>4.1100000000000003</v>
      </c>
      <c r="G262" s="4">
        <f>'Gas Water'!M265</f>
        <v>1869</v>
      </c>
      <c r="H262" s="124">
        <v>20</v>
      </c>
      <c r="I262" s="2">
        <f>'Gas Water'!L265</f>
        <v>295</v>
      </c>
      <c r="J262" s="124">
        <v>31.44</v>
      </c>
      <c r="K262" s="5">
        <v>159</v>
      </c>
      <c r="L262" s="5">
        <v>313</v>
      </c>
    </row>
    <row r="263" spans="1:12" x14ac:dyDescent="0.3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>
        <v>4.1100000000000003</v>
      </c>
      <c r="G263" s="4">
        <f>'Gas Water'!M266</f>
        <v>2172</v>
      </c>
      <c r="H263" s="124">
        <v>20</v>
      </c>
      <c r="I263" s="2">
        <f>'Gas Water'!L266</f>
        <v>314</v>
      </c>
      <c r="J263" s="124">
        <v>31.44</v>
      </c>
      <c r="K263" s="5">
        <v>146</v>
      </c>
      <c r="L263" s="5">
        <v>287</v>
      </c>
    </row>
    <row r="264" spans="1:12" x14ac:dyDescent="0.3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>
        <v>4.1100000000000003</v>
      </c>
      <c r="G264" s="4">
        <f>'Gas Water'!M267</f>
        <v>2314</v>
      </c>
      <c r="H264" s="124">
        <v>20</v>
      </c>
      <c r="I264" s="2">
        <f>'Gas Water'!L267</f>
        <v>313</v>
      </c>
      <c r="J264" s="124">
        <v>31.44</v>
      </c>
      <c r="K264" s="5">
        <v>164</v>
      </c>
      <c r="L264" s="5">
        <v>292</v>
      </c>
    </row>
    <row r="265" spans="1:12" x14ac:dyDescent="0.3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>
        <v>4.1100000000000003</v>
      </c>
      <c r="G265" s="4">
        <f>'Gas Water'!M268</f>
        <v>2333</v>
      </c>
      <c r="H265" s="124">
        <v>20</v>
      </c>
      <c r="I265" s="2">
        <f>'Gas Water'!L268</f>
        <v>285</v>
      </c>
      <c r="J265" s="124">
        <v>31.44</v>
      </c>
      <c r="K265" s="5">
        <v>155</v>
      </c>
      <c r="L265" s="5">
        <v>269</v>
      </c>
    </row>
    <row r="266" spans="1:12" x14ac:dyDescent="0.3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>
        <v>4.1100000000000003</v>
      </c>
      <c r="G266" s="4">
        <f>'Gas Water'!M269</f>
        <v>2390</v>
      </c>
      <c r="H266" s="124">
        <v>20</v>
      </c>
      <c r="I266" s="2">
        <f>'Gas Water'!L269</f>
        <v>252</v>
      </c>
      <c r="J266" s="124">
        <v>31.44</v>
      </c>
      <c r="K266" s="5">
        <v>153</v>
      </c>
      <c r="L266" s="5">
        <v>255</v>
      </c>
    </row>
    <row r="267" spans="1:12" x14ac:dyDescent="0.3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>
        <v>4.1100000000000003</v>
      </c>
      <c r="G267" s="4">
        <f>'Gas Water'!M270</f>
        <v>2531</v>
      </c>
      <c r="H267" s="124">
        <v>20</v>
      </c>
      <c r="I267" s="2">
        <f>'Gas Water'!L270</f>
        <v>255</v>
      </c>
      <c r="J267" s="124">
        <v>31.44</v>
      </c>
      <c r="K267" s="5">
        <v>148</v>
      </c>
      <c r="L267" s="5">
        <v>249</v>
      </c>
    </row>
    <row r="268" spans="1:12" x14ac:dyDescent="0.3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>
        <v>4.1100000000000003</v>
      </c>
      <c r="G268" s="4">
        <f>'Gas Water'!M271</f>
        <v>2443</v>
      </c>
      <c r="H268" s="124">
        <v>20</v>
      </c>
      <c r="I268" s="2">
        <f>'Gas Water'!L271</f>
        <v>231</v>
      </c>
      <c r="J268" s="124">
        <v>31.44</v>
      </c>
      <c r="K268" s="5">
        <v>159</v>
      </c>
      <c r="L268" s="5">
        <v>269</v>
      </c>
    </row>
    <row r="269" spans="1:12" x14ac:dyDescent="0.3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>
        <v>4.1100000000000003</v>
      </c>
      <c r="G269" s="4">
        <f>'Gas Water'!M272</f>
        <v>2455</v>
      </c>
      <c r="H269" s="124">
        <v>20</v>
      </c>
      <c r="I269" s="2">
        <f>'Gas Water'!L272</f>
        <v>286</v>
      </c>
      <c r="J269" s="124">
        <v>31.44</v>
      </c>
      <c r="K269" s="5">
        <v>156</v>
      </c>
      <c r="L269" s="5">
        <v>261</v>
      </c>
    </row>
    <row r="270" spans="1:12" x14ac:dyDescent="0.3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>
        <v>4.1100000000000003</v>
      </c>
      <c r="G270" s="4">
        <f>'Gas Water'!M273</f>
        <v>2462</v>
      </c>
      <c r="H270" s="124">
        <v>20</v>
      </c>
      <c r="I270" s="2">
        <f>'Gas Water'!L273</f>
        <v>310</v>
      </c>
      <c r="J270" s="124">
        <v>31.44</v>
      </c>
      <c r="K270" s="5">
        <v>164</v>
      </c>
      <c r="L270" s="5">
        <v>242</v>
      </c>
    </row>
    <row r="271" spans="1:12" x14ac:dyDescent="0.3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>
        <v>4.1100000000000003</v>
      </c>
      <c r="G271" s="4">
        <f>'Gas Water'!M274</f>
        <v>2191</v>
      </c>
      <c r="H271" s="124">
        <v>20</v>
      </c>
      <c r="I271" s="2">
        <f>'Gas Water'!L274</f>
        <v>292</v>
      </c>
      <c r="J271" s="124">
        <v>31.44</v>
      </c>
      <c r="K271" s="5">
        <v>159</v>
      </c>
      <c r="L271" s="5">
        <v>225</v>
      </c>
    </row>
    <row r="272" spans="1:12" x14ac:dyDescent="0.3">
      <c r="A272" s="3" t="s">
        <v>12</v>
      </c>
      <c r="B272" s="3">
        <v>28</v>
      </c>
      <c r="C272" s="3">
        <v>9</v>
      </c>
      <c r="D272" s="3">
        <v>2022</v>
      </c>
      <c r="E272" s="4">
        <f>'Electricity '!I274+'Electricity '!O274</f>
        <v>35641.259999999682</v>
      </c>
      <c r="F272" s="124">
        <v>4.1100000000000003</v>
      </c>
      <c r="G272" s="4">
        <f>'Gas Water'!M275</f>
        <v>2112</v>
      </c>
      <c r="H272" s="124">
        <v>20</v>
      </c>
      <c r="I272" s="2">
        <f>'Gas Water'!L275</f>
        <v>273</v>
      </c>
      <c r="J272" s="124">
        <v>31.44</v>
      </c>
      <c r="K272" s="5">
        <v>148</v>
      </c>
      <c r="L272" s="5">
        <v>204</v>
      </c>
    </row>
    <row r="273" spans="1:12" x14ac:dyDescent="0.3">
      <c r="A273" s="3" t="s">
        <v>12</v>
      </c>
      <c r="B273" s="3">
        <v>29</v>
      </c>
      <c r="C273" s="3">
        <v>9</v>
      </c>
      <c r="D273" s="3">
        <v>2022</v>
      </c>
      <c r="E273" s="4">
        <f>'Electricity '!I275+'Electricity '!O275</f>
        <v>39528.720000000947</v>
      </c>
      <c r="F273" s="124">
        <v>4.1100000000000003</v>
      </c>
      <c r="G273" s="4">
        <f>'Gas Water'!M276</f>
        <v>2004</v>
      </c>
      <c r="H273" s="124">
        <v>20</v>
      </c>
      <c r="I273" s="2">
        <f>'Gas Water'!L276</f>
        <v>310</v>
      </c>
      <c r="J273" s="124">
        <v>31.44</v>
      </c>
      <c r="K273" s="5">
        <v>160</v>
      </c>
      <c r="L273" s="5">
        <v>259</v>
      </c>
    </row>
    <row r="274" spans="1:12" x14ac:dyDescent="0.3">
      <c r="A274" s="3" t="s">
        <v>12</v>
      </c>
      <c r="B274" s="3">
        <v>30</v>
      </c>
      <c r="C274" s="3">
        <v>9</v>
      </c>
      <c r="D274" s="3">
        <v>2022</v>
      </c>
      <c r="E274" s="4">
        <f>'Electricity '!I276+'Electricity '!O276</f>
        <v>32585.940000000392</v>
      </c>
      <c r="F274" s="124">
        <v>4.1100000000000003</v>
      </c>
      <c r="G274" s="4">
        <f>'Gas Water'!M277</f>
        <v>1876</v>
      </c>
      <c r="H274" s="124">
        <v>20</v>
      </c>
      <c r="I274" s="2">
        <f>'Gas Water'!L277</f>
        <v>331</v>
      </c>
      <c r="J274" s="124">
        <v>31.44</v>
      </c>
      <c r="K274" s="5">
        <v>142</v>
      </c>
      <c r="L274" s="5">
        <v>201</v>
      </c>
    </row>
    <row r="275" spans="1:12" x14ac:dyDescent="0.3">
      <c r="A275" s="3" t="s">
        <v>12</v>
      </c>
      <c r="B275" s="3">
        <v>1</v>
      </c>
      <c r="C275" s="3">
        <v>10</v>
      </c>
      <c r="D275" s="3">
        <v>2022</v>
      </c>
      <c r="E275" s="4">
        <f>'Electricity '!I277+'Electricity '!O277</f>
        <v>31451.579999998976</v>
      </c>
      <c r="F275" s="124">
        <v>4.1100000000000003</v>
      </c>
      <c r="G275" s="4">
        <f>'Gas Water'!M278</f>
        <v>1829</v>
      </c>
      <c r="H275" s="124">
        <v>20</v>
      </c>
      <c r="I275" s="2">
        <f>'Gas Water'!L278</f>
        <v>283</v>
      </c>
      <c r="J275" s="124">
        <v>31.44</v>
      </c>
      <c r="K275" s="5">
        <v>148</v>
      </c>
      <c r="L275" s="5">
        <v>204</v>
      </c>
    </row>
    <row r="276" spans="1:12" x14ac:dyDescent="0.3">
      <c r="A276" s="3" t="s">
        <v>12</v>
      </c>
      <c r="B276" s="3">
        <v>2</v>
      </c>
      <c r="C276" s="3">
        <v>10</v>
      </c>
      <c r="D276" s="3">
        <v>2022</v>
      </c>
      <c r="E276" s="4">
        <f>'Electricity '!I278+'Electricity '!O278</f>
        <v>33132.420000000646</v>
      </c>
      <c r="F276" s="124">
        <v>4.1100000000000003</v>
      </c>
      <c r="G276" s="4">
        <f>'Gas Water'!M279</f>
        <v>2320</v>
      </c>
      <c r="H276" s="124">
        <v>20</v>
      </c>
      <c r="I276" s="2">
        <f>'Gas Water'!L279</f>
        <v>335</v>
      </c>
      <c r="J276" s="124">
        <v>31.44</v>
      </c>
      <c r="K276" s="5">
        <v>111</v>
      </c>
      <c r="L276" s="5">
        <v>217</v>
      </c>
    </row>
    <row r="277" spans="1:12" x14ac:dyDescent="0.3">
      <c r="A277" s="3" t="s">
        <v>12</v>
      </c>
      <c r="B277" s="3">
        <v>3</v>
      </c>
      <c r="C277" s="3">
        <v>10</v>
      </c>
      <c r="D277" s="3">
        <v>2022</v>
      </c>
      <c r="E277" s="4">
        <f>'Electricity '!I279+'Electricity '!O279</f>
        <v>30325.499999999247</v>
      </c>
      <c r="F277" s="124">
        <v>4.1100000000000003</v>
      </c>
      <c r="G277" s="4">
        <f>'Gas Water'!M280</f>
        <v>2189</v>
      </c>
      <c r="H277" s="124">
        <v>20</v>
      </c>
      <c r="I277" s="2">
        <f>'Gas Water'!L280</f>
        <v>251</v>
      </c>
      <c r="J277" s="124">
        <v>31.44</v>
      </c>
      <c r="K277" s="5">
        <v>120</v>
      </c>
      <c r="L277" s="5">
        <v>216</v>
      </c>
    </row>
    <row r="278" spans="1:12" x14ac:dyDescent="0.3">
      <c r="A278" s="3" t="s">
        <v>12</v>
      </c>
      <c r="B278" s="3">
        <v>4</v>
      </c>
      <c r="C278" s="3">
        <v>10</v>
      </c>
      <c r="D278" s="3">
        <v>2022</v>
      </c>
      <c r="E278" s="4">
        <f>'Electricity '!I280+'Electricity '!O280</f>
        <v>31390.399999999776</v>
      </c>
      <c r="F278" s="124">
        <v>4.1100000000000003</v>
      </c>
      <c r="G278" s="4">
        <f>'Gas Water'!M281</f>
        <v>2461</v>
      </c>
      <c r="H278" s="124">
        <v>20</v>
      </c>
      <c r="I278" s="2">
        <f>'Gas Water'!L281</f>
        <v>277</v>
      </c>
      <c r="J278" s="124">
        <v>31.44</v>
      </c>
      <c r="K278" s="5">
        <v>134</v>
      </c>
      <c r="L278" s="5">
        <v>228</v>
      </c>
    </row>
    <row r="279" spans="1:12" x14ac:dyDescent="0.3">
      <c r="A279" s="3" t="s">
        <v>12</v>
      </c>
      <c r="B279" s="3">
        <v>5</v>
      </c>
      <c r="C279" s="3">
        <v>10</v>
      </c>
      <c r="D279" s="3">
        <v>2022</v>
      </c>
      <c r="E279" s="4">
        <f>'Electricity '!I281+'Electricity '!O281</f>
        <v>29472.660000000586</v>
      </c>
      <c r="F279" s="124">
        <v>4.1100000000000003</v>
      </c>
      <c r="G279" s="4">
        <f>'Gas Water'!M282</f>
        <v>2849</v>
      </c>
      <c r="H279" s="124">
        <v>20</v>
      </c>
      <c r="I279" s="2">
        <f>'Gas Water'!L282</f>
        <v>243</v>
      </c>
      <c r="J279" s="124">
        <v>31.44</v>
      </c>
      <c r="K279" s="5">
        <v>134</v>
      </c>
      <c r="L279" s="5">
        <v>228</v>
      </c>
    </row>
    <row r="280" spans="1:12" x14ac:dyDescent="0.3">
      <c r="A280" s="3" t="s">
        <v>12</v>
      </c>
      <c r="B280" s="3">
        <v>6</v>
      </c>
      <c r="C280" s="3">
        <v>10</v>
      </c>
      <c r="D280" s="3">
        <v>2022</v>
      </c>
      <c r="E280" s="4">
        <f>'Electricity '!I282+'Electricity '!O282</f>
        <v>28822.679999999957</v>
      </c>
      <c r="F280" s="124">
        <v>4.1100000000000003</v>
      </c>
      <c r="G280" s="4">
        <f>'Gas Water'!M283</f>
        <v>1574</v>
      </c>
      <c r="H280" s="124">
        <v>20</v>
      </c>
      <c r="I280" s="2">
        <f>'Gas Water'!L283</f>
        <v>290</v>
      </c>
      <c r="J280" s="124">
        <v>31.44</v>
      </c>
      <c r="K280" s="5">
        <v>168</v>
      </c>
      <c r="L280" s="5">
        <v>252</v>
      </c>
    </row>
    <row r="281" spans="1:12" x14ac:dyDescent="0.3">
      <c r="A281" s="3" t="s">
        <v>12</v>
      </c>
      <c r="B281" s="3">
        <v>7</v>
      </c>
      <c r="C281" s="3">
        <v>10</v>
      </c>
      <c r="D281" s="3">
        <v>2022</v>
      </c>
      <c r="E281" s="4">
        <f>'Electricity '!I283+'Electricity '!O283</f>
        <v>29700.35999999991</v>
      </c>
      <c r="F281" s="124">
        <v>4.1100000000000003</v>
      </c>
      <c r="G281" s="4">
        <f>'Gas Water'!M284</f>
        <v>2356</v>
      </c>
      <c r="H281" s="124">
        <v>20</v>
      </c>
      <c r="I281" s="2">
        <f>'Gas Water'!L284</f>
        <v>285</v>
      </c>
      <c r="J281" s="124">
        <v>31.44</v>
      </c>
      <c r="K281" s="5">
        <v>155</v>
      </c>
      <c r="L281" s="5">
        <v>229</v>
      </c>
    </row>
    <row r="282" spans="1:12" x14ac:dyDescent="0.3">
      <c r="A282" s="3" t="s">
        <v>12</v>
      </c>
      <c r="B282" s="3">
        <v>8</v>
      </c>
      <c r="C282" s="3">
        <v>10</v>
      </c>
      <c r="D282" s="3">
        <v>2022</v>
      </c>
      <c r="E282" s="4">
        <f>'Electricity '!I284+'Electricity '!O284</f>
        <v>27448.200000000452</v>
      </c>
      <c r="F282" s="124">
        <v>4.1100000000000003</v>
      </c>
      <c r="G282" s="4">
        <f>'Gas Water'!M285</f>
        <v>2221</v>
      </c>
      <c r="H282" s="124">
        <v>20</v>
      </c>
      <c r="I282" s="2">
        <f>'Gas Water'!L285</f>
        <v>252</v>
      </c>
      <c r="J282" s="124">
        <v>31.44</v>
      </c>
      <c r="K282" s="5">
        <v>131</v>
      </c>
      <c r="L282" s="5">
        <v>240</v>
      </c>
    </row>
    <row r="283" spans="1:12" x14ac:dyDescent="0.3">
      <c r="A283" s="3" t="s">
        <v>12</v>
      </c>
      <c r="B283" s="3">
        <v>9</v>
      </c>
      <c r="C283" s="3">
        <v>10</v>
      </c>
      <c r="D283" s="3">
        <v>2022</v>
      </c>
      <c r="E283" s="4">
        <f>'Electricity '!I285+'Electricity '!O285</f>
        <v>26835.47999999988</v>
      </c>
      <c r="F283" s="124">
        <v>4.1100000000000003</v>
      </c>
      <c r="G283" s="4">
        <f>'Gas Water'!M286</f>
        <v>2181</v>
      </c>
      <c r="H283" s="124">
        <v>20</v>
      </c>
      <c r="I283" s="2">
        <f>'Gas Water'!L286</f>
        <v>254</v>
      </c>
      <c r="J283" s="124">
        <v>31.44</v>
      </c>
      <c r="K283" s="5">
        <v>99</v>
      </c>
      <c r="L283" s="5">
        <v>189</v>
      </c>
    </row>
    <row r="284" spans="1:12" x14ac:dyDescent="0.3">
      <c r="A284" s="3" t="s">
        <v>12</v>
      </c>
      <c r="B284" s="3">
        <v>10</v>
      </c>
      <c r="C284" s="3">
        <v>10</v>
      </c>
      <c r="D284" s="3">
        <v>2022</v>
      </c>
      <c r="E284" s="4">
        <f>'Electricity '!I286+'Electricity '!O286</f>
        <v>28454.220000000198</v>
      </c>
      <c r="F284" s="124">
        <v>4.1100000000000003</v>
      </c>
      <c r="G284" s="4">
        <f>'Gas Water'!M287</f>
        <v>1995</v>
      </c>
      <c r="H284" s="124">
        <v>20</v>
      </c>
      <c r="I284" s="2">
        <f>'Gas Water'!L287</f>
        <v>291</v>
      </c>
      <c r="J284" s="124">
        <v>31.44</v>
      </c>
      <c r="K284" s="5">
        <v>125</v>
      </c>
      <c r="L284" s="5">
        <v>217</v>
      </c>
    </row>
    <row r="285" spans="1:12" x14ac:dyDescent="0.3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24">
        <v>4.1100000000000003</v>
      </c>
      <c r="G285" s="4" t="str">
        <f>'Gas Water'!M288</f>
        <v/>
      </c>
      <c r="H285" s="124">
        <v>20</v>
      </c>
      <c r="I285" s="2" t="str">
        <f>'Gas Water'!L288</f>
        <v/>
      </c>
      <c r="J285" s="124">
        <v>31.44</v>
      </c>
      <c r="K285" s="5"/>
      <c r="L285" s="5"/>
    </row>
    <row r="286" spans="1:12" x14ac:dyDescent="0.3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24">
        <v>4.1100000000000003</v>
      </c>
      <c r="G286" s="4" t="str">
        <f>'Gas Water'!M289</f>
        <v/>
      </c>
      <c r="H286" s="124">
        <v>20</v>
      </c>
      <c r="I286" s="2" t="str">
        <f>'Gas Water'!L289</f>
        <v/>
      </c>
      <c r="J286" s="124">
        <v>31.44</v>
      </c>
      <c r="K286" s="5"/>
      <c r="L286" s="5"/>
    </row>
    <row r="287" spans="1:12" x14ac:dyDescent="0.3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24">
        <v>4.1100000000000003</v>
      </c>
      <c r="G287" s="4" t="str">
        <f>'Gas Water'!M290</f>
        <v/>
      </c>
      <c r="H287" s="124">
        <v>20</v>
      </c>
      <c r="I287" s="2" t="str">
        <f>'Gas Water'!L290</f>
        <v/>
      </c>
      <c r="J287" s="124">
        <v>31.44</v>
      </c>
      <c r="K287" s="5"/>
      <c r="L287" s="5"/>
    </row>
    <row r="288" spans="1:12" x14ac:dyDescent="0.3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24">
        <v>4.1100000000000003</v>
      </c>
      <c r="G288" s="4" t="str">
        <f>'Gas Water'!M291</f>
        <v/>
      </c>
      <c r="H288" s="124">
        <v>20</v>
      </c>
      <c r="I288" s="2" t="str">
        <f>'Gas Water'!L291</f>
        <v/>
      </c>
      <c r="J288" s="124">
        <v>31.44</v>
      </c>
      <c r="K288" s="5"/>
      <c r="L288" s="5"/>
    </row>
    <row r="289" spans="1:12" x14ac:dyDescent="0.3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24">
        <v>4.1100000000000003</v>
      </c>
      <c r="G289" s="4" t="str">
        <f>'Gas Water'!M292</f>
        <v/>
      </c>
      <c r="H289" s="124">
        <v>20</v>
      </c>
      <c r="I289" s="2" t="str">
        <f>'Gas Water'!L292</f>
        <v/>
      </c>
      <c r="J289" s="124">
        <v>31.44</v>
      </c>
      <c r="K289" s="5"/>
      <c r="L289" s="5"/>
    </row>
    <row r="290" spans="1:12" x14ac:dyDescent="0.3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24">
        <v>4.1100000000000003</v>
      </c>
      <c r="G290" s="4" t="str">
        <f>'Gas Water'!M293</f>
        <v/>
      </c>
      <c r="H290" s="124">
        <v>20</v>
      </c>
      <c r="I290" s="2" t="str">
        <f>'Gas Water'!L293</f>
        <v/>
      </c>
      <c r="J290" s="124">
        <v>31.44</v>
      </c>
      <c r="K290" s="5"/>
      <c r="L290" s="5"/>
    </row>
    <row r="291" spans="1:12" x14ac:dyDescent="0.3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24">
        <v>4.1100000000000003</v>
      </c>
      <c r="G291" s="4" t="str">
        <f>'Gas Water'!M294</f>
        <v/>
      </c>
      <c r="H291" s="124">
        <v>20</v>
      </c>
      <c r="I291" s="2" t="str">
        <f>'Gas Water'!L294</f>
        <v/>
      </c>
      <c r="J291" s="124">
        <v>31.44</v>
      </c>
      <c r="K291" s="5"/>
      <c r="L291" s="5"/>
    </row>
    <row r="292" spans="1:12" x14ac:dyDescent="0.3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24">
        <v>4.1100000000000003</v>
      </c>
      <c r="G292" s="4" t="str">
        <f>'Gas Water'!M295</f>
        <v/>
      </c>
      <c r="H292" s="124">
        <v>20</v>
      </c>
      <c r="I292" s="2" t="str">
        <f>'Gas Water'!L295</f>
        <v/>
      </c>
      <c r="J292" s="124">
        <v>31.44</v>
      </c>
      <c r="K292" s="5"/>
      <c r="L292" s="5"/>
    </row>
    <row r="293" spans="1:12" x14ac:dyDescent="0.3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24">
        <v>4.1100000000000003</v>
      </c>
      <c r="G293" s="4" t="str">
        <f>'Gas Water'!M296</f>
        <v/>
      </c>
      <c r="H293" s="124">
        <v>20</v>
      </c>
      <c r="I293" s="2" t="str">
        <f>'Gas Water'!L296</f>
        <v/>
      </c>
      <c r="J293" s="124">
        <v>31.44</v>
      </c>
      <c r="K293" s="5"/>
      <c r="L293" s="5"/>
    </row>
    <row r="294" spans="1:12" x14ac:dyDescent="0.3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24">
        <v>4.1100000000000003</v>
      </c>
      <c r="G294" s="4" t="str">
        <f>'Gas Water'!M297</f>
        <v/>
      </c>
      <c r="H294" s="124">
        <v>20</v>
      </c>
      <c r="I294" s="2" t="str">
        <f>'Gas Water'!L297</f>
        <v/>
      </c>
      <c r="J294" s="124">
        <v>31.44</v>
      </c>
      <c r="K294" s="5"/>
      <c r="L294" s="5"/>
    </row>
    <row r="295" spans="1:12" x14ac:dyDescent="0.3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24">
        <v>4.1100000000000003</v>
      </c>
      <c r="G295" s="4" t="str">
        <f>'Gas Water'!M298</f>
        <v/>
      </c>
      <c r="H295" s="124">
        <v>20</v>
      </c>
      <c r="I295" s="2" t="str">
        <f>'Gas Water'!L298</f>
        <v/>
      </c>
      <c r="J295" s="124">
        <v>31.44</v>
      </c>
      <c r="K295" s="5"/>
      <c r="L295" s="5"/>
    </row>
    <row r="296" spans="1:12" x14ac:dyDescent="0.3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24">
        <v>4.1100000000000003</v>
      </c>
      <c r="G296" s="4" t="str">
        <f>'Gas Water'!M299</f>
        <v/>
      </c>
      <c r="H296" s="124">
        <v>20</v>
      </c>
      <c r="I296" s="2" t="str">
        <f>'Gas Water'!L299</f>
        <v/>
      </c>
      <c r="J296" s="124">
        <v>31.44</v>
      </c>
      <c r="K296" s="5"/>
      <c r="L296" s="5"/>
    </row>
    <row r="297" spans="1:12" x14ac:dyDescent="0.3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24">
        <v>4.1100000000000003</v>
      </c>
      <c r="G297" s="4" t="str">
        <f>'Gas Water'!M300</f>
        <v/>
      </c>
      <c r="H297" s="124">
        <v>20</v>
      </c>
      <c r="I297" s="2" t="str">
        <f>'Gas Water'!L300</f>
        <v/>
      </c>
      <c r="J297" s="124">
        <v>31.44</v>
      </c>
      <c r="K297" s="5"/>
      <c r="L297" s="5"/>
    </row>
    <row r="298" spans="1:12" x14ac:dyDescent="0.3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24">
        <v>4.1100000000000003</v>
      </c>
      <c r="G298" s="4" t="str">
        <f>'Gas Water'!M301</f>
        <v/>
      </c>
      <c r="H298" s="124">
        <v>20</v>
      </c>
      <c r="I298" s="2" t="str">
        <f>'Gas Water'!L301</f>
        <v/>
      </c>
      <c r="J298" s="124">
        <v>31.44</v>
      </c>
      <c r="K298" s="5"/>
      <c r="L298" s="5"/>
    </row>
    <row r="299" spans="1:12" x14ac:dyDescent="0.3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24">
        <v>4.1100000000000003</v>
      </c>
      <c r="G299" s="4" t="str">
        <f>'Gas Water'!M302</f>
        <v/>
      </c>
      <c r="H299" s="124">
        <v>20</v>
      </c>
      <c r="I299" s="2" t="str">
        <f>'Gas Water'!L302</f>
        <v/>
      </c>
      <c r="J299" s="124">
        <v>31.44</v>
      </c>
      <c r="K299" s="5"/>
      <c r="L299" s="5"/>
    </row>
    <row r="300" spans="1:12" x14ac:dyDescent="0.3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24">
        <v>4.1100000000000003</v>
      </c>
      <c r="G300" s="4" t="str">
        <f>'Gas Water'!M303</f>
        <v/>
      </c>
      <c r="H300" s="124">
        <v>20</v>
      </c>
      <c r="I300" s="2" t="str">
        <f>'Gas Water'!L303</f>
        <v/>
      </c>
      <c r="J300" s="124">
        <v>31.44</v>
      </c>
      <c r="K300" s="5"/>
      <c r="L300" s="5"/>
    </row>
    <row r="301" spans="1:12" x14ac:dyDescent="0.3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24">
        <v>4.1100000000000003</v>
      </c>
      <c r="G301" s="4" t="str">
        <f>'Gas Water'!M304</f>
        <v/>
      </c>
      <c r="H301" s="124">
        <v>20</v>
      </c>
      <c r="I301" s="2" t="str">
        <f>'Gas Water'!L304</f>
        <v/>
      </c>
      <c r="J301" s="124">
        <v>31.44</v>
      </c>
      <c r="K301" s="5"/>
      <c r="L301" s="5"/>
    </row>
    <row r="302" spans="1:12" x14ac:dyDescent="0.3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24">
        <v>4.1100000000000003</v>
      </c>
      <c r="G302" s="4" t="str">
        <f>'Gas Water'!M305</f>
        <v/>
      </c>
      <c r="H302" s="124">
        <v>20</v>
      </c>
      <c r="I302" s="2" t="str">
        <f>'Gas Water'!L305</f>
        <v/>
      </c>
      <c r="J302" s="124">
        <v>31.44</v>
      </c>
      <c r="K302" s="5"/>
      <c r="L302" s="5"/>
    </row>
    <row r="303" spans="1:12" x14ac:dyDescent="0.3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24">
        <v>4.1100000000000003</v>
      </c>
      <c r="G303" s="4" t="str">
        <f>'Gas Water'!M306</f>
        <v/>
      </c>
      <c r="H303" s="124">
        <v>20</v>
      </c>
      <c r="I303" s="2" t="str">
        <f>'Gas Water'!L306</f>
        <v/>
      </c>
      <c r="J303" s="124">
        <v>31.44</v>
      </c>
      <c r="K303" s="5"/>
      <c r="L303" s="5"/>
    </row>
    <row r="304" spans="1:12" x14ac:dyDescent="0.3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24">
        <v>4.1100000000000003</v>
      </c>
      <c r="G304" s="4" t="str">
        <f>'Gas Water'!M307</f>
        <v/>
      </c>
      <c r="H304" s="124">
        <v>20</v>
      </c>
      <c r="I304" s="2" t="str">
        <f>'Gas Water'!L307</f>
        <v/>
      </c>
      <c r="J304" s="124">
        <v>31.44</v>
      </c>
      <c r="K304" s="5"/>
      <c r="L304" s="5"/>
    </row>
    <row r="305" spans="1:12" x14ac:dyDescent="0.3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24">
        <v>4.1100000000000003</v>
      </c>
      <c r="G305" s="4" t="str">
        <f>'Gas Water'!M308</f>
        <v/>
      </c>
      <c r="H305" s="124">
        <v>20</v>
      </c>
      <c r="I305" s="2" t="str">
        <f>'Gas Water'!L308</f>
        <v/>
      </c>
      <c r="J305" s="124">
        <v>31.44</v>
      </c>
      <c r="K305" s="5"/>
      <c r="L305" s="5"/>
    </row>
    <row r="306" spans="1:12" x14ac:dyDescent="0.3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24">
        <v>4.1100000000000003</v>
      </c>
      <c r="G306" s="4" t="str">
        <f>'Gas Water'!M309</f>
        <v/>
      </c>
      <c r="H306" s="124">
        <v>20</v>
      </c>
      <c r="I306" s="2" t="str">
        <f>'Gas Water'!L309</f>
        <v/>
      </c>
      <c r="J306" s="124">
        <v>31.44</v>
      </c>
      <c r="K306" s="5"/>
      <c r="L306" s="5"/>
    </row>
    <row r="307" spans="1:12" x14ac:dyDescent="0.3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24">
        <v>4.1100000000000003</v>
      </c>
      <c r="G307" s="4" t="str">
        <f>'Gas Water'!M310</f>
        <v/>
      </c>
      <c r="H307" s="124">
        <v>20</v>
      </c>
      <c r="I307" s="2" t="str">
        <f>'Gas Water'!L310</f>
        <v/>
      </c>
      <c r="J307" s="124">
        <v>31.44</v>
      </c>
      <c r="K307" s="5"/>
      <c r="L307" s="5"/>
    </row>
    <row r="308" spans="1:12" x14ac:dyDescent="0.3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24">
        <v>4.1100000000000003</v>
      </c>
      <c r="G308" s="4" t="str">
        <f>'Gas Water'!M311</f>
        <v/>
      </c>
      <c r="H308" s="124">
        <v>20</v>
      </c>
      <c r="I308" s="2" t="str">
        <f>'Gas Water'!L311</f>
        <v/>
      </c>
      <c r="J308" s="124">
        <v>31.44</v>
      </c>
      <c r="K308" s="5"/>
      <c r="L308" s="5"/>
    </row>
    <row r="309" spans="1:12" x14ac:dyDescent="0.3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24">
        <v>4.1100000000000003</v>
      </c>
      <c r="G309" s="4" t="str">
        <f>'Gas Water'!M312</f>
        <v/>
      </c>
      <c r="H309" s="124">
        <v>20</v>
      </c>
      <c r="I309" s="2" t="str">
        <f>'Gas Water'!L312</f>
        <v/>
      </c>
      <c r="J309" s="124">
        <v>31.44</v>
      </c>
      <c r="K309" s="5"/>
      <c r="L309" s="5"/>
    </row>
    <row r="310" spans="1:12" x14ac:dyDescent="0.3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24">
        <v>4.1100000000000003</v>
      </c>
      <c r="G310" s="4" t="str">
        <f>'Gas Water'!M313</f>
        <v/>
      </c>
      <c r="H310" s="124">
        <v>20</v>
      </c>
      <c r="I310" s="2" t="str">
        <f>'Gas Water'!L313</f>
        <v/>
      </c>
      <c r="J310" s="124">
        <v>31.44</v>
      </c>
      <c r="K310" s="5"/>
      <c r="L310" s="5"/>
    </row>
    <row r="311" spans="1:12" x14ac:dyDescent="0.3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24">
        <v>4.1100000000000003</v>
      </c>
      <c r="G311" s="4" t="str">
        <f>'Gas Water'!M314</f>
        <v/>
      </c>
      <c r="H311" s="124">
        <v>20</v>
      </c>
      <c r="I311" s="2" t="str">
        <f>'Gas Water'!L314</f>
        <v/>
      </c>
      <c r="J311" s="124">
        <v>31.44</v>
      </c>
      <c r="K311" s="5"/>
      <c r="L311" s="5"/>
    </row>
    <row r="312" spans="1:12" x14ac:dyDescent="0.3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24">
        <v>4.1100000000000003</v>
      </c>
      <c r="G312" s="4" t="str">
        <f>'Gas Water'!M315</f>
        <v/>
      </c>
      <c r="H312" s="124">
        <v>20</v>
      </c>
      <c r="I312" s="2" t="str">
        <f>'Gas Water'!L315</f>
        <v/>
      </c>
      <c r="J312" s="124">
        <v>31.44</v>
      </c>
      <c r="K312" s="5"/>
      <c r="L312" s="5"/>
    </row>
    <row r="313" spans="1:12" x14ac:dyDescent="0.3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24">
        <v>4.1100000000000003</v>
      </c>
      <c r="G313" s="4" t="str">
        <f>'Gas Water'!M316</f>
        <v/>
      </c>
      <c r="H313" s="124">
        <v>20</v>
      </c>
      <c r="I313" s="2" t="str">
        <f>'Gas Water'!L316</f>
        <v/>
      </c>
      <c r="J313" s="124">
        <v>31.44</v>
      </c>
      <c r="K313" s="5"/>
      <c r="L313" s="5"/>
    </row>
    <row r="314" spans="1:12" x14ac:dyDescent="0.3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24">
        <v>4.1100000000000003</v>
      </c>
      <c r="G314" s="4" t="str">
        <f>'Gas Water'!M317</f>
        <v/>
      </c>
      <c r="H314" s="124">
        <v>20</v>
      </c>
      <c r="I314" s="2" t="str">
        <f>'Gas Water'!L317</f>
        <v/>
      </c>
      <c r="J314" s="124">
        <v>31.44</v>
      </c>
      <c r="K314" s="5"/>
      <c r="L314" s="5"/>
    </row>
    <row r="315" spans="1:12" x14ac:dyDescent="0.3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24">
        <v>4.1100000000000003</v>
      </c>
      <c r="G315" s="4" t="str">
        <f>'Gas Water'!M318</f>
        <v/>
      </c>
      <c r="H315" s="124">
        <v>20</v>
      </c>
      <c r="I315" s="2" t="str">
        <f>'Gas Water'!L318</f>
        <v/>
      </c>
      <c r="J315" s="124">
        <v>31.44</v>
      </c>
      <c r="K315" s="5"/>
      <c r="L315" s="5"/>
    </row>
    <row r="316" spans="1:12" x14ac:dyDescent="0.3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24">
        <v>4.1100000000000003</v>
      </c>
      <c r="G316" s="4" t="str">
        <f>'Gas Water'!M319</f>
        <v/>
      </c>
      <c r="H316" s="124">
        <v>20</v>
      </c>
      <c r="I316" s="2" t="str">
        <f>'Gas Water'!L319</f>
        <v/>
      </c>
      <c r="J316" s="124">
        <v>31.44</v>
      </c>
      <c r="K316" s="5"/>
      <c r="L316" s="5"/>
    </row>
    <row r="317" spans="1:12" x14ac:dyDescent="0.3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24">
        <v>4.1100000000000003</v>
      </c>
      <c r="G317" s="4" t="str">
        <f>'Gas Water'!M320</f>
        <v/>
      </c>
      <c r="H317" s="124">
        <v>20</v>
      </c>
      <c r="I317" s="2" t="str">
        <f>'Gas Water'!L320</f>
        <v/>
      </c>
      <c r="J317" s="124">
        <v>31.44</v>
      </c>
      <c r="K317" s="5"/>
      <c r="L317" s="5"/>
    </row>
    <row r="318" spans="1:12" x14ac:dyDescent="0.3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24">
        <v>4.1100000000000003</v>
      </c>
      <c r="G318" s="4" t="str">
        <f>'Gas Water'!M321</f>
        <v/>
      </c>
      <c r="H318" s="124">
        <v>20</v>
      </c>
      <c r="I318" s="2" t="str">
        <f>'Gas Water'!L321</f>
        <v/>
      </c>
      <c r="J318" s="124">
        <v>31.44</v>
      </c>
      <c r="K318" s="5"/>
      <c r="L318" s="5"/>
    </row>
    <row r="319" spans="1:12" x14ac:dyDescent="0.3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24">
        <v>4.1100000000000003</v>
      </c>
      <c r="G319" s="4" t="str">
        <f>'Gas Water'!M322</f>
        <v/>
      </c>
      <c r="H319" s="124">
        <v>20</v>
      </c>
      <c r="I319" s="2" t="str">
        <f>'Gas Water'!L322</f>
        <v/>
      </c>
      <c r="J319" s="124">
        <v>31.44</v>
      </c>
      <c r="K319" s="5"/>
      <c r="L319" s="5"/>
    </row>
    <row r="320" spans="1:12" x14ac:dyDescent="0.3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24">
        <v>4.1100000000000003</v>
      </c>
      <c r="G320" s="4" t="str">
        <f>'Gas Water'!M323</f>
        <v/>
      </c>
      <c r="H320" s="124">
        <v>20</v>
      </c>
      <c r="I320" s="2" t="str">
        <f>'Gas Water'!L323</f>
        <v/>
      </c>
      <c r="J320" s="124">
        <v>31.44</v>
      </c>
      <c r="K320" s="5"/>
      <c r="L320" s="5"/>
    </row>
    <row r="321" spans="1:12" x14ac:dyDescent="0.3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24">
        <v>4.1100000000000003</v>
      </c>
      <c r="G321" s="4" t="str">
        <f>'Gas Water'!M324</f>
        <v/>
      </c>
      <c r="H321" s="124">
        <v>20</v>
      </c>
      <c r="I321" s="2" t="str">
        <f>'Gas Water'!L324</f>
        <v/>
      </c>
      <c r="J321" s="124">
        <v>31.44</v>
      </c>
      <c r="K321" s="5"/>
      <c r="L321" s="5"/>
    </row>
    <row r="322" spans="1:12" x14ac:dyDescent="0.3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24">
        <v>4.1100000000000003</v>
      </c>
      <c r="G322" s="4" t="str">
        <f>'Gas Water'!M325</f>
        <v/>
      </c>
      <c r="H322" s="124">
        <v>20</v>
      </c>
      <c r="I322" s="2" t="str">
        <f>'Gas Water'!L325</f>
        <v/>
      </c>
      <c r="J322" s="124">
        <v>31.44</v>
      </c>
      <c r="K322" s="5"/>
      <c r="L322" s="5"/>
    </row>
    <row r="323" spans="1:12" x14ac:dyDescent="0.3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24">
        <v>4.1100000000000003</v>
      </c>
      <c r="G323" s="4" t="str">
        <f>'Gas Water'!M326</f>
        <v/>
      </c>
      <c r="H323" s="124">
        <v>20</v>
      </c>
      <c r="I323" s="2" t="str">
        <f>'Gas Water'!L326</f>
        <v/>
      </c>
      <c r="J323" s="124">
        <v>31.44</v>
      </c>
      <c r="K323" s="5"/>
      <c r="L323" s="5"/>
    </row>
    <row r="324" spans="1:12" x14ac:dyDescent="0.3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24">
        <v>4.1100000000000003</v>
      </c>
      <c r="G324" s="4" t="str">
        <f>'Gas Water'!M327</f>
        <v/>
      </c>
      <c r="H324" s="124">
        <v>20</v>
      </c>
      <c r="I324" s="2" t="str">
        <f>'Gas Water'!L327</f>
        <v/>
      </c>
      <c r="J324" s="124">
        <v>31.44</v>
      </c>
      <c r="K324" s="5"/>
      <c r="L324" s="5"/>
    </row>
    <row r="325" spans="1:12" x14ac:dyDescent="0.3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24">
        <v>4.1100000000000003</v>
      </c>
      <c r="G325" s="4" t="str">
        <f>'Gas Water'!M328</f>
        <v/>
      </c>
      <c r="H325" s="124">
        <v>20</v>
      </c>
      <c r="I325" s="2" t="str">
        <f>'Gas Water'!L328</f>
        <v/>
      </c>
      <c r="J325" s="124">
        <v>31.44</v>
      </c>
      <c r="K325" s="5"/>
      <c r="L325" s="5"/>
    </row>
    <row r="326" spans="1:12" x14ac:dyDescent="0.3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24">
        <v>4.1100000000000003</v>
      </c>
      <c r="G326" s="4" t="str">
        <f>'Gas Water'!M329</f>
        <v/>
      </c>
      <c r="H326" s="124">
        <v>20</v>
      </c>
      <c r="I326" s="2" t="str">
        <f>'Gas Water'!L329</f>
        <v/>
      </c>
      <c r="J326" s="124">
        <v>31.44</v>
      </c>
      <c r="K326" s="5"/>
      <c r="L326" s="5"/>
    </row>
    <row r="327" spans="1:12" x14ac:dyDescent="0.3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24">
        <v>4.1100000000000003</v>
      </c>
      <c r="G327" s="4" t="str">
        <f>'Gas Water'!M330</f>
        <v/>
      </c>
      <c r="H327" s="124">
        <v>20</v>
      </c>
      <c r="I327" s="2" t="str">
        <f>'Gas Water'!L330</f>
        <v/>
      </c>
      <c r="J327" s="124">
        <v>31.44</v>
      </c>
      <c r="K327" s="5"/>
      <c r="L327" s="5"/>
    </row>
    <row r="328" spans="1:12" x14ac:dyDescent="0.3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24">
        <v>4.1100000000000003</v>
      </c>
      <c r="G328" s="4" t="str">
        <f>'Gas Water'!M331</f>
        <v/>
      </c>
      <c r="H328" s="124">
        <v>20</v>
      </c>
      <c r="I328" s="2" t="str">
        <f>'Gas Water'!L331</f>
        <v/>
      </c>
      <c r="J328" s="124">
        <v>31.44</v>
      </c>
      <c r="K328" s="5"/>
      <c r="L328" s="5"/>
    </row>
    <row r="329" spans="1:12" x14ac:dyDescent="0.3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24">
        <v>4.1100000000000003</v>
      </c>
      <c r="G329" s="4" t="str">
        <f>'Gas Water'!M332</f>
        <v/>
      </c>
      <c r="H329" s="124">
        <v>20</v>
      </c>
      <c r="I329" s="2" t="str">
        <f>'Gas Water'!L332</f>
        <v/>
      </c>
      <c r="J329" s="124">
        <v>31.44</v>
      </c>
      <c r="K329" s="5"/>
      <c r="L329" s="5"/>
    </row>
    <row r="330" spans="1:12" x14ac:dyDescent="0.3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24">
        <v>4.1100000000000003</v>
      </c>
      <c r="G330" s="4" t="str">
        <f>'Gas Water'!M333</f>
        <v/>
      </c>
      <c r="H330" s="124">
        <v>20</v>
      </c>
      <c r="I330" s="2" t="str">
        <f>'Gas Water'!L333</f>
        <v/>
      </c>
      <c r="J330" s="124">
        <v>31.44</v>
      </c>
      <c r="K330" s="5"/>
      <c r="L330" s="5"/>
    </row>
    <row r="331" spans="1:12" x14ac:dyDescent="0.3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24">
        <v>4.1100000000000003</v>
      </c>
      <c r="G331" s="4" t="str">
        <f>'Gas Water'!M334</f>
        <v/>
      </c>
      <c r="H331" s="124">
        <v>20</v>
      </c>
      <c r="I331" s="2" t="str">
        <f>'Gas Water'!L334</f>
        <v/>
      </c>
      <c r="J331" s="124">
        <v>31.44</v>
      </c>
      <c r="K331" s="5"/>
      <c r="L331" s="5"/>
    </row>
    <row r="332" spans="1:12" x14ac:dyDescent="0.3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24">
        <v>4.1100000000000003</v>
      </c>
      <c r="G332" s="4" t="str">
        <f>'Gas Water'!M335</f>
        <v/>
      </c>
      <c r="H332" s="124">
        <v>20</v>
      </c>
      <c r="I332" s="2" t="str">
        <f>'Gas Water'!L335</f>
        <v/>
      </c>
      <c r="J332" s="124">
        <v>31.44</v>
      </c>
      <c r="K332" s="5"/>
      <c r="L332" s="5"/>
    </row>
    <row r="333" spans="1:12" x14ac:dyDescent="0.3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24">
        <v>4.1100000000000003</v>
      </c>
      <c r="G333" s="4" t="str">
        <f>'Gas Water'!M336</f>
        <v/>
      </c>
      <c r="H333" s="124">
        <v>20</v>
      </c>
      <c r="I333" s="2" t="str">
        <f>'Gas Water'!L336</f>
        <v/>
      </c>
      <c r="J333" s="124">
        <v>31.44</v>
      </c>
      <c r="K333" s="5"/>
      <c r="L333" s="5"/>
    </row>
    <row r="334" spans="1:12" x14ac:dyDescent="0.3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24">
        <v>4.1100000000000003</v>
      </c>
      <c r="G334" s="4" t="str">
        <f>'Gas Water'!M337</f>
        <v/>
      </c>
      <c r="H334" s="124">
        <v>20</v>
      </c>
      <c r="I334" s="2" t="str">
        <f>'Gas Water'!L337</f>
        <v/>
      </c>
      <c r="J334" s="124">
        <v>31.44</v>
      </c>
      <c r="K334" s="5"/>
      <c r="L334" s="5"/>
    </row>
    <row r="335" spans="1:12" x14ac:dyDescent="0.3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24">
        <v>4.1100000000000003</v>
      </c>
      <c r="G335" s="4" t="str">
        <f>'Gas Water'!M338</f>
        <v/>
      </c>
      <c r="H335" s="124">
        <v>20</v>
      </c>
      <c r="I335" s="2" t="str">
        <f>'Gas Water'!L338</f>
        <v/>
      </c>
      <c r="J335" s="124">
        <v>31.44</v>
      </c>
      <c r="K335" s="5"/>
      <c r="L335" s="5"/>
    </row>
    <row r="336" spans="1:12" x14ac:dyDescent="0.3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24">
        <v>4.1100000000000003</v>
      </c>
      <c r="G336" s="4" t="str">
        <f>'Gas Water'!M339</f>
        <v/>
      </c>
      <c r="H336" s="124">
        <v>20</v>
      </c>
      <c r="I336" s="2" t="str">
        <f>'Gas Water'!L339</f>
        <v/>
      </c>
      <c r="J336" s="124">
        <v>31.44</v>
      </c>
      <c r="K336" s="5"/>
      <c r="L336" s="5"/>
    </row>
    <row r="337" spans="1:12" x14ac:dyDescent="0.3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24">
        <v>4.1100000000000003</v>
      </c>
      <c r="G337" s="4" t="str">
        <f>'Gas Water'!M340</f>
        <v/>
      </c>
      <c r="H337" s="124">
        <v>20</v>
      </c>
      <c r="I337" s="2" t="str">
        <f>'Gas Water'!L340</f>
        <v/>
      </c>
      <c r="J337" s="124">
        <v>31.44</v>
      </c>
      <c r="K337" s="5"/>
      <c r="L337" s="5"/>
    </row>
    <row r="338" spans="1:12" x14ac:dyDescent="0.3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24">
        <v>4.1100000000000003</v>
      </c>
      <c r="G338" s="4" t="str">
        <f>'Gas Water'!M341</f>
        <v/>
      </c>
      <c r="H338" s="124">
        <v>20</v>
      </c>
      <c r="I338" s="2" t="str">
        <f>'Gas Water'!L341</f>
        <v/>
      </c>
      <c r="J338" s="124">
        <v>31.44</v>
      </c>
      <c r="K338" s="5"/>
      <c r="L338" s="5"/>
    </row>
    <row r="339" spans="1:12" x14ac:dyDescent="0.3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24">
        <v>4.1100000000000003</v>
      </c>
      <c r="G339" s="4" t="str">
        <f>'Gas Water'!M342</f>
        <v/>
      </c>
      <c r="H339" s="124">
        <v>20</v>
      </c>
      <c r="I339" s="2" t="str">
        <f>'Gas Water'!L342</f>
        <v/>
      </c>
      <c r="J339" s="124">
        <v>31.44</v>
      </c>
      <c r="K339" s="5"/>
      <c r="L339" s="5"/>
    </row>
    <row r="340" spans="1:12" x14ac:dyDescent="0.3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24">
        <v>4.1100000000000003</v>
      </c>
      <c r="G340" s="4" t="str">
        <f>'Gas Water'!M343</f>
        <v/>
      </c>
      <c r="H340" s="124">
        <v>20</v>
      </c>
      <c r="I340" s="2" t="str">
        <f>'Gas Water'!L343</f>
        <v/>
      </c>
      <c r="J340" s="124">
        <v>31.44</v>
      </c>
      <c r="K340" s="5"/>
      <c r="L340" s="5"/>
    </row>
    <row r="341" spans="1:12" x14ac:dyDescent="0.3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24">
        <v>4.1100000000000003</v>
      </c>
      <c r="G341" s="4" t="str">
        <f>'Gas Water'!M344</f>
        <v/>
      </c>
      <c r="H341" s="124">
        <v>20</v>
      </c>
      <c r="I341" s="2" t="str">
        <f>'Gas Water'!L344</f>
        <v/>
      </c>
      <c r="J341" s="124">
        <v>31.44</v>
      </c>
      <c r="K341" s="5"/>
      <c r="L341" s="5"/>
    </row>
    <row r="342" spans="1:12" x14ac:dyDescent="0.3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24">
        <v>4.1100000000000003</v>
      </c>
      <c r="G342" s="4" t="str">
        <f>'Gas Water'!M345</f>
        <v/>
      </c>
      <c r="H342" s="124">
        <v>20</v>
      </c>
      <c r="I342" s="2" t="str">
        <f>'Gas Water'!L345</f>
        <v/>
      </c>
      <c r="J342" s="124">
        <v>31.44</v>
      </c>
      <c r="K342" s="5"/>
      <c r="L342" s="5"/>
    </row>
    <row r="343" spans="1:12" x14ac:dyDescent="0.3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24">
        <v>4.1100000000000003</v>
      </c>
      <c r="G343" s="4" t="str">
        <f>'Gas Water'!M346</f>
        <v/>
      </c>
      <c r="H343" s="124">
        <v>20</v>
      </c>
      <c r="I343" s="2" t="str">
        <f>'Gas Water'!L346</f>
        <v/>
      </c>
      <c r="J343" s="124">
        <v>31.44</v>
      </c>
      <c r="K343" s="5"/>
      <c r="L343" s="5"/>
    </row>
    <row r="344" spans="1:12" x14ac:dyDescent="0.3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24">
        <v>4.1100000000000003</v>
      </c>
      <c r="G344" s="4" t="str">
        <f>'Gas Water'!M347</f>
        <v/>
      </c>
      <c r="H344" s="124">
        <v>20</v>
      </c>
      <c r="I344" s="2" t="str">
        <f>'Gas Water'!L347</f>
        <v/>
      </c>
      <c r="J344" s="124">
        <v>31.44</v>
      </c>
      <c r="K344" s="5"/>
      <c r="L344" s="5"/>
    </row>
    <row r="345" spans="1:12" x14ac:dyDescent="0.3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24">
        <v>4.1100000000000003</v>
      </c>
      <c r="G345" s="4" t="str">
        <f>'Gas Water'!M348</f>
        <v/>
      </c>
      <c r="H345" s="124">
        <v>20</v>
      </c>
      <c r="I345" s="2" t="str">
        <f>'Gas Water'!L348</f>
        <v/>
      </c>
      <c r="J345" s="124">
        <v>31.44</v>
      </c>
      <c r="K345" s="5"/>
      <c r="L345" s="5"/>
    </row>
    <row r="346" spans="1:12" x14ac:dyDescent="0.3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>
        <v>4.1100000000000003</v>
      </c>
      <c r="G346" s="4" t="str">
        <f>'Gas Water'!M349</f>
        <v/>
      </c>
      <c r="H346" s="124">
        <v>20</v>
      </c>
      <c r="I346" s="2" t="str">
        <f>'Gas Water'!L349</f>
        <v/>
      </c>
      <c r="J346" s="124">
        <v>31.44</v>
      </c>
      <c r="K346" s="5"/>
      <c r="L346" s="5"/>
    </row>
    <row r="347" spans="1:12" x14ac:dyDescent="0.3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>
        <v>4.1100000000000003</v>
      </c>
      <c r="G347" s="4" t="str">
        <f>'Gas Water'!M350</f>
        <v/>
      </c>
      <c r="H347" s="124">
        <v>20</v>
      </c>
      <c r="I347" s="2" t="str">
        <f>'Gas Water'!L350</f>
        <v/>
      </c>
      <c r="J347" s="124">
        <v>31.44</v>
      </c>
      <c r="K347" s="5"/>
      <c r="L347" s="5"/>
    </row>
    <row r="348" spans="1:12" x14ac:dyDescent="0.3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>
        <v>4.1100000000000003</v>
      </c>
      <c r="G348" s="4" t="str">
        <f>'Gas Water'!M351</f>
        <v/>
      </c>
      <c r="H348" s="124">
        <v>20</v>
      </c>
      <c r="I348" s="2" t="str">
        <f>'Gas Water'!L351</f>
        <v/>
      </c>
      <c r="J348" s="124">
        <v>31.44</v>
      </c>
      <c r="K348" s="5"/>
      <c r="L348" s="5"/>
    </row>
    <row r="349" spans="1:12" x14ac:dyDescent="0.3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>
        <v>4.1100000000000003</v>
      </c>
      <c r="G349" s="4" t="str">
        <f>'Gas Water'!M352</f>
        <v/>
      </c>
      <c r="H349" s="124">
        <v>20</v>
      </c>
      <c r="I349" s="2" t="str">
        <f>'Gas Water'!L352</f>
        <v/>
      </c>
      <c r="J349" s="124">
        <v>31.44</v>
      </c>
      <c r="K349" s="5"/>
      <c r="L349" s="5"/>
    </row>
    <row r="350" spans="1:12" x14ac:dyDescent="0.3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>
        <v>4.1100000000000003</v>
      </c>
      <c r="G350" s="4" t="str">
        <f>'Gas Water'!M353</f>
        <v/>
      </c>
      <c r="H350" s="124">
        <v>20</v>
      </c>
      <c r="I350" s="2" t="str">
        <f>'Gas Water'!L353</f>
        <v/>
      </c>
      <c r="J350" s="124">
        <v>31.44</v>
      </c>
      <c r="K350" s="5"/>
      <c r="L350" s="5"/>
    </row>
    <row r="351" spans="1:12" x14ac:dyDescent="0.3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>
        <v>4.1100000000000003</v>
      </c>
      <c r="G351" s="4" t="str">
        <f>'Gas Water'!M354</f>
        <v/>
      </c>
      <c r="H351" s="124">
        <v>20</v>
      </c>
      <c r="I351" s="2" t="str">
        <f>'Gas Water'!L354</f>
        <v/>
      </c>
      <c r="J351" s="124">
        <v>31.44</v>
      </c>
      <c r="K351" s="5"/>
      <c r="L351" s="5"/>
    </row>
    <row r="352" spans="1:12" x14ac:dyDescent="0.3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>
        <v>4.1100000000000003</v>
      </c>
      <c r="G352" s="4" t="str">
        <f>'Gas Water'!M355</f>
        <v/>
      </c>
      <c r="H352" s="124">
        <v>20</v>
      </c>
      <c r="I352" s="2" t="str">
        <f>'Gas Water'!L355</f>
        <v/>
      </c>
      <c r="J352" s="124">
        <v>31.44</v>
      </c>
      <c r="K352" s="5"/>
      <c r="L352" s="5"/>
    </row>
    <row r="353" spans="1:12" x14ac:dyDescent="0.3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>
        <v>4.1100000000000003</v>
      </c>
      <c r="G353" s="4" t="str">
        <f>'Gas Water'!M356</f>
        <v/>
      </c>
      <c r="H353" s="124">
        <v>20</v>
      </c>
      <c r="I353" s="2" t="str">
        <f>'Gas Water'!L356</f>
        <v/>
      </c>
      <c r="J353" s="124">
        <v>31.44</v>
      </c>
      <c r="K353" s="5"/>
      <c r="L353" s="5"/>
    </row>
    <row r="354" spans="1:12" x14ac:dyDescent="0.3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>
        <v>4.1100000000000003</v>
      </c>
      <c r="G354" s="4" t="str">
        <f>'Gas Water'!M357</f>
        <v/>
      </c>
      <c r="H354" s="124">
        <v>20</v>
      </c>
      <c r="I354" s="2" t="str">
        <f>'Gas Water'!L357</f>
        <v/>
      </c>
      <c r="J354" s="124">
        <v>31.44</v>
      </c>
      <c r="K354" s="5"/>
      <c r="L354" s="5"/>
    </row>
    <row r="355" spans="1:12" x14ac:dyDescent="0.3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>
        <v>4.1100000000000003</v>
      </c>
      <c r="G355" s="4" t="str">
        <f>'Gas Water'!M358</f>
        <v/>
      </c>
      <c r="H355" s="124">
        <v>20</v>
      </c>
      <c r="I355" s="2" t="str">
        <f>'Gas Water'!L358</f>
        <v/>
      </c>
      <c r="J355" s="124">
        <v>31.44</v>
      </c>
      <c r="K355" s="5"/>
      <c r="L355" s="5"/>
    </row>
    <row r="356" spans="1:12" x14ac:dyDescent="0.3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>
        <v>4.1100000000000003</v>
      </c>
      <c r="G356" s="4" t="str">
        <f>'Gas Water'!M359</f>
        <v/>
      </c>
      <c r="H356" s="124">
        <v>20</v>
      </c>
      <c r="I356" s="2" t="str">
        <f>'Gas Water'!L359</f>
        <v/>
      </c>
      <c r="J356" s="124">
        <v>31.44</v>
      </c>
      <c r="K356" s="5"/>
      <c r="L356" s="5"/>
    </row>
    <row r="357" spans="1:12" x14ac:dyDescent="0.3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>
        <v>4.1100000000000003</v>
      </c>
      <c r="G357" s="4" t="str">
        <f>'Gas Water'!M360</f>
        <v/>
      </c>
      <c r="H357" s="124">
        <v>20</v>
      </c>
      <c r="I357" s="2" t="str">
        <f>'Gas Water'!L360</f>
        <v/>
      </c>
      <c r="J357" s="124">
        <v>31.44</v>
      </c>
      <c r="K357" s="5"/>
      <c r="L357" s="5"/>
    </row>
    <row r="358" spans="1:12" x14ac:dyDescent="0.3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>
        <v>4.1100000000000003</v>
      </c>
      <c r="G358" s="4" t="str">
        <f>'Gas Water'!M361</f>
        <v/>
      </c>
      <c r="H358" s="124">
        <v>20</v>
      </c>
      <c r="I358" s="2" t="str">
        <f>'Gas Water'!L361</f>
        <v/>
      </c>
      <c r="J358" s="124">
        <v>31.44</v>
      </c>
      <c r="K358" s="5"/>
      <c r="L358" s="5"/>
    </row>
    <row r="359" spans="1:12" x14ac:dyDescent="0.3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>
        <v>4.1100000000000003</v>
      </c>
      <c r="G359" s="4" t="str">
        <f>'Gas Water'!M362</f>
        <v/>
      </c>
      <c r="H359" s="124">
        <v>20</v>
      </c>
      <c r="I359" s="2" t="str">
        <f>'Gas Water'!L362</f>
        <v/>
      </c>
      <c r="J359" s="124">
        <v>31.44</v>
      </c>
      <c r="K359" s="5"/>
      <c r="L359" s="5"/>
    </row>
    <row r="360" spans="1:12" x14ac:dyDescent="0.3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>
        <v>4.1100000000000003</v>
      </c>
      <c r="G360" s="4" t="str">
        <f>'Gas Water'!M363</f>
        <v/>
      </c>
      <c r="H360" s="124">
        <v>20</v>
      </c>
      <c r="I360" s="2" t="str">
        <f>'Gas Water'!L363</f>
        <v/>
      </c>
      <c r="J360" s="124">
        <v>31.44</v>
      </c>
      <c r="K360" s="5"/>
      <c r="L360" s="5"/>
    </row>
    <row r="361" spans="1:12" x14ac:dyDescent="0.3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>
        <v>4.1100000000000003</v>
      </c>
      <c r="G361" s="4" t="str">
        <f>'Gas Water'!M364</f>
        <v/>
      </c>
      <c r="H361" s="124">
        <v>20</v>
      </c>
      <c r="I361" s="2" t="str">
        <f>'Gas Water'!L364</f>
        <v/>
      </c>
      <c r="J361" s="124">
        <v>31.44</v>
      </c>
      <c r="K361" s="5"/>
      <c r="L361" s="5"/>
    </row>
    <row r="362" spans="1:12" x14ac:dyDescent="0.3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>
        <v>4.1100000000000003</v>
      </c>
      <c r="G362" s="4" t="str">
        <f>'Gas Water'!M365</f>
        <v/>
      </c>
      <c r="H362" s="124">
        <v>20</v>
      </c>
      <c r="I362" s="2" t="str">
        <f>'Gas Water'!L365</f>
        <v/>
      </c>
      <c r="J362" s="124">
        <v>31.44</v>
      </c>
      <c r="K362" s="5"/>
      <c r="L362" s="5"/>
    </row>
    <row r="363" spans="1:12" x14ac:dyDescent="0.3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>
        <v>4.1100000000000003</v>
      </c>
      <c r="G363" s="4" t="str">
        <f>'Gas Water'!M366</f>
        <v/>
      </c>
      <c r="H363" s="124">
        <v>20</v>
      </c>
      <c r="I363" s="2" t="str">
        <f>'Gas Water'!L366</f>
        <v/>
      </c>
      <c r="J363" s="124">
        <v>31.44</v>
      </c>
      <c r="K363" s="5"/>
      <c r="L363" s="5"/>
    </row>
    <row r="364" spans="1:12" x14ac:dyDescent="0.3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>
        <v>4.1100000000000003</v>
      </c>
      <c r="G364" s="4" t="str">
        <f>'Gas Water'!M367</f>
        <v/>
      </c>
      <c r="H364" s="124">
        <v>20</v>
      </c>
      <c r="I364" s="2" t="str">
        <f>'Gas Water'!L367</f>
        <v/>
      </c>
      <c r="J364" s="124">
        <v>31.44</v>
      </c>
      <c r="K364" s="5"/>
      <c r="L364" s="5"/>
    </row>
    <row r="365" spans="1:12" x14ac:dyDescent="0.3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>
        <v>4.1100000000000003</v>
      </c>
      <c r="G365" s="4" t="str">
        <f>'Gas Water'!M368</f>
        <v/>
      </c>
      <c r="H365" s="124">
        <v>20</v>
      </c>
      <c r="I365" s="2" t="str">
        <f>'Gas Water'!L368</f>
        <v/>
      </c>
      <c r="J365" s="124">
        <v>31.44</v>
      </c>
      <c r="K365" s="5"/>
      <c r="L365" s="5"/>
    </row>
    <row r="366" spans="1:12" x14ac:dyDescent="0.3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>
        <v>4.1100000000000003</v>
      </c>
      <c r="G366" s="4">
        <f>'Gas Water'!M369</f>
        <v>0</v>
      </c>
      <c r="H366" s="124">
        <v>20</v>
      </c>
      <c r="I366" s="2">
        <f>'Gas Water'!L369</f>
        <v>0</v>
      </c>
      <c r="J366" s="124">
        <v>31.44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269" workbookViewId="0">
      <selection activeCell="N288" sqref="N288"/>
    </sheetView>
  </sheetViews>
  <sheetFormatPr defaultColWidth="9.109375" defaultRowHeight="14.4" x14ac:dyDescent="0.3"/>
  <cols>
    <col min="1" max="1" width="10.88671875" style="122" customWidth="1"/>
    <col min="2" max="2" width="0.109375" style="1" customWidth="1"/>
    <col min="3" max="3" width="4.44140625" style="1" hidden="1" customWidth="1"/>
    <col min="4" max="4" width="13.5546875" style="121" customWidth="1"/>
    <col min="5" max="5" width="11.5546875" style="121" customWidth="1"/>
    <col min="6" max="6" width="9.6640625" style="121" customWidth="1"/>
    <col min="7" max="7" width="11.33203125" style="59" hidden="1" customWidth="1"/>
    <col min="8" max="8" width="11.33203125" style="59" customWidth="1"/>
    <col min="9" max="9" width="11.6640625" style="59" customWidth="1"/>
    <col min="10" max="10" width="12" style="59" customWidth="1"/>
    <col min="11" max="11" width="10.44140625" style="59" customWidth="1"/>
    <col min="12" max="12" width="12.6640625" style="59" bestFit="1" customWidth="1"/>
    <col min="13" max="13" width="10.6640625" style="59" bestFit="1" customWidth="1"/>
    <col min="14" max="14" width="14.109375" style="59" bestFit="1" customWidth="1"/>
    <col min="15" max="15" width="13.88671875" style="1" customWidth="1"/>
    <col min="16" max="16" width="14.88671875" style="1" customWidth="1"/>
    <col min="17" max="17" width="15" style="1" customWidth="1"/>
    <col min="18" max="18" width="11" style="19" customWidth="1"/>
    <col min="19" max="19" width="8.6640625" customWidth="1"/>
    <col min="20" max="20" width="12.33203125" style="20" customWidth="1"/>
    <col min="21" max="21" width="11.5546875" style="1" bestFit="1" customWidth="1"/>
    <col min="22" max="22" width="8.6640625" customWidth="1"/>
    <col min="23" max="25" width="9.109375" style="1"/>
    <col min="26" max="26" width="11.5546875" style="1" bestFit="1" customWidth="1"/>
    <col min="27" max="256" width="9.109375" style="1"/>
    <col min="257" max="257" width="10.88671875" style="1" customWidth="1"/>
    <col min="258" max="258" width="0.109375" style="1" customWidth="1"/>
    <col min="259" max="259" width="0" style="1" hidden="1" customWidth="1"/>
    <col min="260" max="260" width="13.5546875" style="1" customWidth="1"/>
    <col min="261" max="261" width="10" style="1" customWidth="1"/>
    <col min="262" max="262" width="9.6640625" style="1" customWidth="1"/>
    <col min="263" max="263" width="0" style="1" hidden="1" customWidth="1"/>
    <col min="264" max="264" width="11.33203125" style="1" customWidth="1"/>
    <col min="265" max="265" width="11.6640625" style="1" customWidth="1"/>
    <col min="266" max="266" width="12" style="1" customWidth="1"/>
    <col min="267" max="267" width="10.44140625" style="1" customWidth="1"/>
    <col min="268" max="268" width="12.6640625" style="1" bestFit="1" customWidth="1"/>
    <col min="269" max="269" width="10.6640625" style="1" bestFit="1" customWidth="1"/>
    <col min="270" max="270" width="14.109375" style="1" bestFit="1" customWidth="1"/>
    <col min="271" max="271" width="13.88671875" style="1" customWidth="1"/>
    <col min="272" max="272" width="14.88671875" style="1" customWidth="1"/>
    <col min="273" max="273" width="15" style="1" customWidth="1"/>
    <col min="274" max="274" width="11" style="1" customWidth="1"/>
    <col min="275" max="275" width="8.6640625" style="1" customWidth="1"/>
    <col min="276" max="276" width="12.33203125" style="1" customWidth="1"/>
    <col min="277" max="277" width="11.5546875" style="1" bestFit="1" customWidth="1"/>
    <col min="278" max="278" width="8.6640625" style="1" customWidth="1"/>
    <col min="279" max="281" width="9.109375" style="1"/>
    <col min="282" max="282" width="11.5546875" style="1" bestFit="1" customWidth="1"/>
    <col min="283" max="512" width="9.109375" style="1"/>
    <col min="513" max="513" width="10.88671875" style="1" customWidth="1"/>
    <col min="514" max="514" width="0.109375" style="1" customWidth="1"/>
    <col min="515" max="515" width="0" style="1" hidden="1" customWidth="1"/>
    <col min="516" max="516" width="13.5546875" style="1" customWidth="1"/>
    <col min="517" max="517" width="10" style="1" customWidth="1"/>
    <col min="518" max="518" width="9.6640625" style="1" customWidth="1"/>
    <col min="519" max="519" width="0" style="1" hidden="1" customWidth="1"/>
    <col min="520" max="520" width="11.33203125" style="1" customWidth="1"/>
    <col min="521" max="521" width="11.6640625" style="1" customWidth="1"/>
    <col min="522" max="522" width="12" style="1" customWidth="1"/>
    <col min="523" max="523" width="10.44140625" style="1" customWidth="1"/>
    <col min="524" max="524" width="12.6640625" style="1" bestFit="1" customWidth="1"/>
    <col min="525" max="525" width="10.6640625" style="1" bestFit="1" customWidth="1"/>
    <col min="526" max="526" width="14.109375" style="1" bestFit="1" customWidth="1"/>
    <col min="527" max="527" width="13.88671875" style="1" customWidth="1"/>
    <col min="528" max="528" width="14.88671875" style="1" customWidth="1"/>
    <col min="529" max="529" width="15" style="1" customWidth="1"/>
    <col min="530" max="530" width="11" style="1" customWidth="1"/>
    <col min="531" max="531" width="8.6640625" style="1" customWidth="1"/>
    <col min="532" max="532" width="12.33203125" style="1" customWidth="1"/>
    <col min="533" max="533" width="11.5546875" style="1" bestFit="1" customWidth="1"/>
    <col min="534" max="534" width="8.6640625" style="1" customWidth="1"/>
    <col min="535" max="537" width="9.109375" style="1"/>
    <col min="538" max="538" width="11.5546875" style="1" bestFit="1" customWidth="1"/>
    <col min="539" max="768" width="9.109375" style="1"/>
    <col min="769" max="769" width="10.88671875" style="1" customWidth="1"/>
    <col min="770" max="770" width="0.109375" style="1" customWidth="1"/>
    <col min="771" max="771" width="0" style="1" hidden="1" customWidth="1"/>
    <col min="772" max="772" width="13.5546875" style="1" customWidth="1"/>
    <col min="773" max="773" width="10" style="1" customWidth="1"/>
    <col min="774" max="774" width="9.6640625" style="1" customWidth="1"/>
    <col min="775" max="775" width="0" style="1" hidden="1" customWidth="1"/>
    <col min="776" max="776" width="11.33203125" style="1" customWidth="1"/>
    <col min="777" max="777" width="11.6640625" style="1" customWidth="1"/>
    <col min="778" max="778" width="12" style="1" customWidth="1"/>
    <col min="779" max="779" width="10.44140625" style="1" customWidth="1"/>
    <col min="780" max="780" width="12.6640625" style="1" bestFit="1" customWidth="1"/>
    <col min="781" max="781" width="10.6640625" style="1" bestFit="1" customWidth="1"/>
    <col min="782" max="782" width="14.109375" style="1" bestFit="1" customWidth="1"/>
    <col min="783" max="783" width="13.88671875" style="1" customWidth="1"/>
    <col min="784" max="784" width="14.88671875" style="1" customWidth="1"/>
    <col min="785" max="785" width="15" style="1" customWidth="1"/>
    <col min="786" max="786" width="11" style="1" customWidth="1"/>
    <col min="787" max="787" width="8.6640625" style="1" customWidth="1"/>
    <col min="788" max="788" width="12.33203125" style="1" customWidth="1"/>
    <col min="789" max="789" width="11.5546875" style="1" bestFit="1" customWidth="1"/>
    <col min="790" max="790" width="8.6640625" style="1" customWidth="1"/>
    <col min="791" max="793" width="9.109375" style="1"/>
    <col min="794" max="794" width="11.5546875" style="1" bestFit="1" customWidth="1"/>
    <col min="795" max="1024" width="9.109375" style="1"/>
    <col min="1025" max="1025" width="10.88671875" style="1" customWidth="1"/>
    <col min="1026" max="1026" width="0.109375" style="1" customWidth="1"/>
    <col min="1027" max="1027" width="0" style="1" hidden="1" customWidth="1"/>
    <col min="1028" max="1028" width="13.5546875" style="1" customWidth="1"/>
    <col min="1029" max="1029" width="10" style="1" customWidth="1"/>
    <col min="1030" max="1030" width="9.6640625" style="1" customWidth="1"/>
    <col min="1031" max="1031" width="0" style="1" hidden="1" customWidth="1"/>
    <col min="1032" max="1032" width="11.33203125" style="1" customWidth="1"/>
    <col min="1033" max="1033" width="11.6640625" style="1" customWidth="1"/>
    <col min="1034" max="1034" width="12" style="1" customWidth="1"/>
    <col min="1035" max="1035" width="10.44140625" style="1" customWidth="1"/>
    <col min="1036" max="1036" width="12.6640625" style="1" bestFit="1" customWidth="1"/>
    <col min="1037" max="1037" width="10.6640625" style="1" bestFit="1" customWidth="1"/>
    <col min="1038" max="1038" width="14.109375" style="1" bestFit="1" customWidth="1"/>
    <col min="1039" max="1039" width="13.88671875" style="1" customWidth="1"/>
    <col min="1040" max="1040" width="14.88671875" style="1" customWidth="1"/>
    <col min="1041" max="1041" width="15" style="1" customWidth="1"/>
    <col min="1042" max="1042" width="11" style="1" customWidth="1"/>
    <col min="1043" max="1043" width="8.6640625" style="1" customWidth="1"/>
    <col min="1044" max="1044" width="12.33203125" style="1" customWidth="1"/>
    <col min="1045" max="1045" width="11.5546875" style="1" bestFit="1" customWidth="1"/>
    <col min="1046" max="1046" width="8.6640625" style="1" customWidth="1"/>
    <col min="1047" max="1049" width="9.109375" style="1"/>
    <col min="1050" max="1050" width="11.5546875" style="1" bestFit="1" customWidth="1"/>
    <col min="1051" max="1280" width="9.109375" style="1"/>
    <col min="1281" max="1281" width="10.88671875" style="1" customWidth="1"/>
    <col min="1282" max="1282" width="0.109375" style="1" customWidth="1"/>
    <col min="1283" max="1283" width="0" style="1" hidden="1" customWidth="1"/>
    <col min="1284" max="1284" width="13.5546875" style="1" customWidth="1"/>
    <col min="1285" max="1285" width="10" style="1" customWidth="1"/>
    <col min="1286" max="1286" width="9.6640625" style="1" customWidth="1"/>
    <col min="1287" max="1287" width="0" style="1" hidden="1" customWidth="1"/>
    <col min="1288" max="1288" width="11.33203125" style="1" customWidth="1"/>
    <col min="1289" max="1289" width="11.6640625" style="1" customWidth="1"/>
    <col min="1290" max="1290" width="12" style="1" customWidth="1"/>
    <col min="1291" max="1291" width="10.44140625" style="1" customWidth="1"/>
    <col min="1292" max="1292" width="12.6640625" style="1" bestFit="1" customWidth="1"/>
    <col min="1293" max="1293" width="10.6640625" style="1" bestFit="1" customWidth="1"/>
    <col min="1294" max="1294" width="14.109375" style="1" bestFit="1" customWidth="1"/>
    <col min="1295" max="1295" width="13.88671875" style="1" customWidth="1"/>
    <col min="1296" max="1296" width="14.88671875" style="1" customWidth="1"/>
    <col min="1297" max="1297" width="15" style="1" customWidth="1"/>
    <col min="1298" max="1298" width="11" style="1" customWidth="1"/>
    <col min="1299" max="1299" width="8.6640625" style="1" customWidth="1"/>
    <col min="1300" max="1300" width="12.33203125" style="1" customWidth="1"/>
    <col min="1301" max="1301" width="11.5546875" style="1" bestFit="1" customWidth="1"/>
    <col min="1302" max="1302" width="8.6640625" style="1" customWidth="1"/>
    <col min="1303" max="1305" width="9.109375" style="1"/>
    <col min="1306" max="1306" width="11.5546875" style="1" bestFit="1" customWidth="1"/>
    <col min="1307" max="1536" width="9.109375" style="1"/>
    <col min="1537" max="1537" width="10.88671875" style="1" customWidth="1"/>
    <col min="1538" max="1538" width="0.109375" style="1" customWidth="1"/>
    <col min="1539" max="1539" width="0" style="1" hidden="1" customWidth="1"/>
    <col min="1540" max="1540" width="13.5546875" style="1" customWidth="1"/>
    <col min="1541" max="1541" width="10" style="1" customWidth="1"/>
    <col min="1542" max="1542" width="9.6640625" style="1" customWidth="1"/>
    <col min="1543" max="1543" width="0" style="1" hidden="1" customWidth="1"/>
    <col min="1544" max="1544" width="11.33203125" style="1" customWidth="1"/>
    <col min="1545" max="1545" width="11.6640625" style="1" customWidth="1"/>
    <col min="1546" max="1546" width="12" style="1" customWidth="1"/>
    <col min="1547" max="1547" width="10.44140625" style="1" customWidth="1"/>
    <col min="1548" max="1548" width="12.6640625" style="1" bestFit="1" customWidth="1"/>
    <col min="1549" max="1549" width="10.6640625" style="1" bestFit="1" customWidth="1"/>
    <col min="1550" max="1550" width="14.109375" style="1" bestFit="1" customWidth="1"/>
    <col min="1551" max="1551" width="13.88671875" style="1" customWidth="1"/>
    <col min="1552" max="1552" width="14.88671875" style="1" customWidth="1"/>
    <col min="1553" max="1553" width="15" style="1" customWidth="1"/>
    <col min="1554" max="1554" width="11" style="1" customWidth="1"/>
    <col min="1555" max="1555" width="8.6640625" style="1" customWidth="1"/>
    <col min="1556" max="1556" width="12.33203125" style="1" customWidth="1"/>
    <col min="1557" max="1557" width="11.5546875" style="1" bestFit="1" customWidth="1"/>
    <col min="1558" max="1558" width="8.6640625" style="1" customWidth="1"/>
    <col min="1559" max="1561" width="9.109375" style="1"/>
    <col min="1562" max="1562" width="11.5546875" style="1" bestFit="1" customWidth="1"/>
    <col min="1563" max="1792" width="9.109375" style="1"/>
    <col min="1793" max="1793" width="10.88671875" style="1" customWidth="1"/>
    <col min="1794" max="1794" width="0.109375" style="1" customWidth="1"/>
    <col min="1795" max="1795" width="0" style="1" hidden="1" customWidth="1"/>
    <col min="1796" max="1796" width="13.5546875" style="1" customWidth="1"/>
    <col min="1797" max="1797" width="10" style="1" customWidth="1"/>
    <col min="1798" max="1798" width="9.6640625" style="1" customWidth="1"/>
    <col min="1799" max="1799" width="0" style="1" hidden="1" customWidth="1"/>
    <col min="1800" max="1800" width="11.33203125" style="1" customWidth="1"/>
    <col min="1801" max="1801" width="11.6640625" style="1" customWidth="1"/>
    <col min="1802" max="1802" width="12" style="1" customWidth="1"/>
    <col min="1803" max="1803" width="10.44140625" style="1" customWidth="1"/>
    <col min="1804" max="1804" width="12.6640625" style="1" bestFit="1" customWidth="1"/>
    <col min="1805" max="1805" width="10.6640625" style="1" bestFit="1" customWidth="1"/>
    <col min="1806" max="1806" width="14.109375" style="1" bestFit="1" customWidth="1"/>
    <col min="1807" max="1807" width="13.88671875" style="1" customWidth="1"/>
    <col min="1808" max="1808" width="14.88671875" style="1" customWidth="1"/>
    <col min="1809" max="1809" width="15" style="1" customWidth="1"/>
    <col min="1810" max="1810" width="11" style="1" customWidth="1"/>
    <col min="1811" max="1811" width="8.6640625" style="1" customWidth="1"/>
    <col min="1812" max="1812" width="12.33203125" style="1" customWidth="1"/>
    <col min="1813" max="1813" width="11.5546875" style="1" bestFit="1" customWidth="1"/>
    <col min="1814" max="1814" width="8.6640625" style="1" customWidth="1"/>
    <col min="1815" max="1817" width="9.109375" style="1"/>
    <col min="1818" max="1818" width="11.5546875" style="1" bestFit="1" customWidth="1"/>
    <col min="1819" max="2048" width="9.109375" style="1"/>
    <col min="2049" max="2049" width="10.88671875" style="1" customWidth="1"/>
    <col min="2050" max="2050" width="0.109375" style="1" customWidth="1"/>
    <col min="2051" max="2051" width="0" style="1" hidden="1" customWidth="1"/>
    <col min="2052" max="2052" width="13.5546875" style="1" customWidth="1"/>
    <col min="2053" max="2053" width="10" style="1" customWidth="1"/>
    <col min="2054" max="2054" width="9.6640625" style="1" customWidth="1"/>
    <col min="2055" max="2055" width="0" style="1" hidden="1" customWidth="1"/>
    <col min="2056" max="2056" width="11.33203125" style="1" customWidth="1"/>
    <col min="2057" max="2057" width="11.6640625" style="1" customWidth="1"/>
    <col min="2058" max="2058" width="12" style="1" customWidth="1"/>
    <col min="2059" max="2059" width="10.44140625" style="1" customWidth="1"/>
    <col min="2060" max="2060" width="12.6640625" style="1" bestFit="1" customWidth="1"/>
    <col min="2061" max="2061" width="10.6640625" style="1" bestFit="1" customWidth="1"/>
    <col min="2062" max="2062" width="14.109375" style="1" bestFit="1" customWidth="1"/>
    <col min="2063" max="2063" width="13.88671875" style="1" customWidth="1"/>
    <col min="2064" max="2064" width="14.88671875" style="1" customWidth="1"/>
    <col min="2065" max="2065" width="15" style="1" customWidth="1"/>
    <col min="2066" max="2066" width="11" style="1" customWidth="1"/>
    <col min="2067" max="2067" width="8.6640625" style="1" customWidth="1"/>
    <col min="2068" max="2068" width="12.33203125" style="1" customWidth="1"/>
    <col min="2069" max="2069" width="11.5546875" style="1" bestFit="1" customWidth="1"/>
    <col min="2070" max="2070" width="8.6640625" style="1" customWidth="1"/>
    <col min="2071" max="2073" width="9.109375" style="1"/>
    <col min="2074" max="2074" width="11.5546875" style="1" bestFit="1" customWidth="1"/>
    <col min="2075" max="2304" width="9.109375" style="1"/>
    <col min="2305" max="2305" width="10.88671875" style="1" customWidth="1"/>
    <col min="2306" max="2306" width="0.109375" style="1" customWidth="1"/>
    <col min="2307" max="2307" width="0" style="1" hidden="1" customWidth="1"/>
    <col min="2308" max="2308" width="13.5546875" style="1" customWidth="1"/>
    <col min="2309" max="2309" width="10" style="1" customWidth="1"/>
    <col min="2310" max="2310" width="9.6640625" style="1" customWidth="1"/>
    <col min="2311" max="2311" width="0" style="1" hidden="1" customWidth="1"/>
    <col min="2312" max="2312" width="11.33203125" style="1" customWidth="1"/>
    <col min="2313" max="2313" width="11.6640625" style="1" customWidth="1"/>
    <col min="2314" max="2314" width="12" style="1" customWidth="1"/>
    <col min="2315" max="2315" width="10.44140625" style="1" customWidth="1"/>
    <col min="2316" max="2316" width="12.6640625" style="1" bestFit="1" customWidth="1"/>
    <col min="2317" max="2317" width="10.6640625" style="1" bestFit="1" customWidth="1"/>
    <col min="2318" max="2318" width="14.109375" style="1" bestFit="1" customWidth="1"/>
    <col min="2319" max="2319" width="13.88671875" style="1" customWidth="1"/>
    <col min="2320" max="2320" width="14.88671875" style="1" customWidth="1"/>
    <col min="2321" max="2321" width="15" style="1" customWidth="1"/>
    <col min="2322" max="2322" width="11" style="1" customWidth="1"/>
    <col min="2323" max="2323" width="8.6640625" style="1" customWidth="1"/>
    <col min="2324" max="2324" width="12.33203125" style="1" customWidth="1"/>
    <col min="2325" max="2325" width="11.5546875" style="1" bestFit="1" customWidth="1"/>
    <col min="2326" max="2326" width="8.6640625" style="1" customWidth="1"/>
    <col min="2327" max="2329" width="9.109375" style="1"/>
    <col min="2330" max="2330" width="11.5546875" style="1" bestFit="1" customWidth="1"/>
    <col min="2331" max="2560" width="9.109375" style="1"/>
    <col min="2561" max="2561" width="10.88671875" style="1" customWidth="1"/>
    <col min="2562" max="2562" width="0.109375" style="1" customWidth="1"/>
    <col min="2563" max="2563" width="0" style="1" hidden="1" customWidth="1"/>
    <col min="2564" max="2564" width="13.5546875" style="1" customWidth="1"/>
    <col min="2565" max="2565" width="10" style="1" customWidth="1"/>
    <col min="2566" max="2566" width="9.6640625" style="1" customWidth="1"/>
    <col min="2567" max="2567" width="0" style="1" hidden="1" customWidth="1"/>
    <col min="2568" max="2568" width="11.33203125" style="1" customWidth="1"/>
    <col min="2569" max="2569" width="11.6640625" style="1" customWidth="1"/>
    <col min="2570" max="2570" width="12" style="1" customWidth="1"/>
    <col min="2571" max="2571" width="10.44140625" style="1" customWidth="1"/>
    <col min="2572" max="2572" width="12.6640625" style="1" bestFit="1" customWidth="1"/>
    <col min="2573" max="2573" width="10.6640625" style="1" bestFit="1" customWidth="1"/>
    <col min="2574" max="2574" width="14.109375" style="1" bestFit="1" customWidth="1"/>
    <col min="2575" max="2575" width="13.88671875" style="1" customWidth="1"/>
    <col min="2576" max="2576" width="14.88671875" style="1" customWidth="1"/>
    <col min="2577" max="2577" width="15" style="1" customWidth="1"/>
    <col min="2578" max="2578" width="11" style="1" customWidth="1"/>
    <col min="2579" max="2579" width="8.6640625" style="1" customWidth="1"/>
    <col min="2580" max="2580" width="12.33203125" style="1" customWidth="1"/>
    <col min="2581" max="2581" width="11.5546875" style="1" bestFit="1" customWidth="1"/>
    <col min="2582" max="2582" width="8.6640625" style="1" customWidth="1"/>
    <col min="2583" max="2585" width="9.109375" style="1"/>
    <col min="2586" max="2586" width="11.5546875" style="1" bestFit="1" customWidth="1"/>
    <col min="2587" max="2816" width="9.109375" style="1"/>
    <col min="2817" max="2817" width="10.88671875" style="1" customWidth="1"/>
    <col min="2818" max="2818" width="0.109375" style="1" customWidth="1"/>
    <col min="2819" max="2819" width="0" style="1" hidden="1" customWidth="1"/>
    <col min="2820" max="2820" width="13.5546875" style="1" customWidth="1"/>
    <col min="2821" max="2821" width="10" style="1" customWidth="1"/>
    <col min="2822" max="2822" width="9.6640625" style="1" customWidth="1"/>
    <col min="2823" max="2823" width="0" style="1" hidden="1" customWidth="1"/>
    <col min="2824" max="2824" width="11.33203125" style="1" customWidth="1"/>
    <col min="2825" max="2825" width="11.6640625" style="1" customWidth="1"/>
    <col min="2826" max="2826" width="12" style="1" customWidth="1"/>
    <col min="2827" max="2827" width="10.44140625" style="1" customWidth="1"/>
    <col min="2828" max="2828" width="12.6640625" style="1" bestFit="1" customWidth="1"/>
    <col min="2829" max="2829" width="10.6640625" style="1" bestFit="1" customWidth="1"/>
    <col min="2830" max="2830" width="14.109375" style="1" bestFit="1" customWidth="1"/>
    <col min="2831" max="2831" width="13.88671875" style="1" customWidth="1"/>
    <col min="2832" max="2832" width="14.88671875" style="1" customWidth="1"/>
    <col min="2833" max="2833" width="15" style="1" customWidth="1"/>
    <col min="2834" max="2834" width="11" style="1" customWidth="1"/>
    <col min="2835" max="2835" width="8.6640625" style="1" customWidth="1"/>
    <col min="2836" max="2836" width="12.33203125" style="1" customWidth="1"/>
    <col min="2837" max="2837" width="11.5546875" style="1" bestFit="1" customWidth="1"/>
    <col min="2838" max="2838" width="8.6640625" style="1" customWidth="1"/>
    <col min="2839" max="2841" width="9.109375" style="1"/>
    <col min="2842" max="2842" width="11.5546875" style="1" bestFit="1" customWidth="1"/>
    <col min="2843" max="3072" width="9.109375" style="1"/>
    <col min="3073" max="3073" width="10.88671875" style="1" customWidth="1"/>
    <col min="3074" max="3074" width="0.109375" style="1" customWidth="1"/>
    <col min="3075" max="3075" width="0" style="1" hidden="1" customWidth="1"/>
    <col min="3076" max="3076" width="13.5546875" style="1" customWidth="1"/>
    <col min="3077" max="3077" width="10" style="1" customWidth="1"/>
    <col min="3078" max="3078" width="9.6640625" style="1" customWidth="1"/>
    <col min="3079" max="3079" width="0" style="1" hidden="1" customWidth="1"/>
    <col min="3080" max="3080" width="11.33203125" style="1" customWidth="1"/>
    <col min="3081" max="3081" width="11.6640625" style="1" customWidth="1"/>
    <col min="3082" max="3082" width="12" style="1" customWidth="1"/>
    <col min="3083" max="3083" width="10.44140625" style="1" customWidth="1"/>
    <col min="3084" max="3084" width="12.6640625" style="1" bestFit="1" customWidth="1"/>
    <col min="3085" max="3085" width="10.6640625" style="1" bestFit="1" customWidth="1"/>
    <col min="3086" max="3086" width="14.109375" style="1" bestFit="1" customWidth="1"/>
    <col min="3087" max="3087" width="13.88671875" style="1" customWidth="1"/>
    <col min="3088" max="3088" width="14.88671875" style="1" customWidth="1"/>
    <col min="3089" max="3089" width="15" style="1" customWidth="1"/>
    <col min="3090" max="3090" width="11" style="1" customWidth="1"/>
    <col min="3091" max="3091" width="8.6640625" style="1" customWidth="1"/>
    <col min="3092" max="3092" width="12.33203125" style="1" customWidth="1"/>
    <col min="3093" max="3093" width="11.5546875" style="1" bestFit="1" customWidth="1"/>
    <col min="3094" max="3094" width="8.6640625" style="1" customWidth="1"/>
    <col min="3095" max="3097" width="9.109375" style="1"/>
    <col min="3098" max="3098" width="11.5546875" style="1" bestFit="1" customWidth="1"/>
    <col min="3099" max="3328" width="9.109375" style="1"/>
    <col min="3329" max="3329" width="10.88671875" style="1" customWidth="1"/>
    <col min="3330" max="3330" width="0.109375" style="1" customWidth="1"/>
    <col min="3331" max="3331" width="0" style="1" hidden="1" customWidth="1"/>
    <col min="3332" max="3332" width="13.5546875" style="1" customWidth="1"/>
    <col min="3333" max="3333" width="10" style="1" customWidth="1"/>
    <col min="3334" max="3334" width="9.6640625" style="1" customWidth="1"/>
    <col min="3335" max="3335" width="0" style="1" hidden="1" customWidth="1"/>
    <col min="3336" max="3336" width="11.33203125" style="1" customWidth="1"/>
    <col min="3337" max="3337" width="11.6640625" style="1" customWidth="1"/>
    <col min="3338" max="3338" width="12" style="1" customWidth="1"/>
    <col min="3339" max="3339" width="10.44140625" style="1" customWidth="1"/>
    <col min="3340" max="3340" width="12.6640625" style="1" bestFit="1" customWidth="1"/>
    <col min="3341" max="3341" width="10.6640625" style="1" bestFit="1" customWidth="1"/>
    <col min="3342" max="3342" width="14.109375" style="1" bestFit="1" customWidth="1"/>
    <col min="3343" max="3343" width="13.88671875" style="1" customWidth="1"/>
    <col min="3344" max="3344" width="14.88671875" style="1" customWidth="1"/>
    <col min="3345" max="3345" width="15" style="1" customWidth="1"/>
    <col min="3346" max="3346" width="11" style="1" customWidth="1"/>
    <col min="3347" max="3347" width="8.6640625" style="1" customWidth="1"/>
    <col min="3348" max="3348" width="12.33203125" style="1" customWidth="1"/>
    <col min="3349" max="3349" width="11.5546875" style="1" bestFit="1" customWidth="1"/>
    <col min="3350" max="3350" width="8.6640625" style="1" customWidth="1"/>
    <col min="3351" max="3353" width="9.109375" style="1"/>
    <col min="3354" max="3354" width="11.5546875" style="1" bestFit="1" customWidth="1"/>
    <col min="3355" max="3584" width="9.109375" style="1"/>
    <col min="3585" max="3585" width="10.88671875" style="1" customWidth="1"/>
    <col min="3586" max="3586" width="0.109375" style="1" customWidth="1"/>
    <col min="3587" max="3587" width="0" style="1" hidden="1" customWidth="1"/>
    <col min="3588" max="3588" width="13.5546875" style="1" customWidth="1"/>
    <col min="3589" max="3589" width="10" style="1" customWidth="1"/>
    <col min="3590" max="3590" width="9.6640625" style="1" customWidth="1"/>
    <col min="3591" max="3591" width="0" style="1" hidden="1" customWidth="1"/>
    <col min="3592" max="3592" width="11.33203125" style="1" customWidth="1"/>
    <col min="3593" max="3593" width="11.6640625" style="1" customWidth="1"/>
    <col min="3594" max="3594" width="12" style="1" customWidth="1"/>
    <col min="3595" max="3595" width="10.44140625" style="1" customWidth="1"/>
    <col min="3596" max="3596" width="12.6640625" style="1" bestFit="1" customWidth="1"/>
    <col min="3597" max="3597" width="10.6640625" style="1" bestFit="1" customWidth="1"/>
    <col min="3598" max="3598" width="14.109375" style="1" bestFit="1" customWidth="1"/>
    <col min="3599" max="3599" width="13.88671875" style="1" customWidth="1"/>
    <col min="3600" max="3600" width="14.88671875" style="1" customWidth="1"/>
    <col min="3601" max="3601" width="15" style="1" customWidth="1"/>
    <col min="3602" max="3602" width="11" style="1" customWidth="1"/>
    <col min="3603" max="3603" width="8.6640625" style="1" customWidth="1"/>
    <col min="3604" max="3604" width="12.33203125" style="1" customWidth="1"/>
    <col min="3605" max="3605" width="11.5546875" style="1" bestFit="1" customWidth="1"/>
    <col min="3606" max="3606" width="8.6640625" style="1" customWidth="1"/>
    <col min="3607" max="3609" width="9.109375" style="1"/>
    <col min="3610" max="3610" width="11.5546875" style="1" bestFit="1" customWidth="1"/>
    <col min="3611" max="3840" width="9.109375" style="1"/>
    <col min="3841" max="3841" width="10.88671875" style="1" customWidth="1"/>
    <col min="3842" max="3842" width="0.109375" style="1" customWidth="1"/>
    <col min="3843" max="3843" width="0" style="1" hidden="1" customWidth="1"/>
    <col min="3844" max="3844" width="13.5546875" style="1" customWidth="1"/>
    <col min="3845" max="3845" width="10" style="1" customWidth="1"/>
    <col min="3846" max="3846" width="9.6640625" style="1" customWidth="1"/>
    <col min="3847" max="3847" width="0" style="1" hidden="1" customWidth="1"/>
    <col min="3848" max="3848" width="11.33203125" style="1" customWidth="1"/>
    <col min="3849" max="3849" width="11.6640625" style="1" customWidth="1"/>
    <col min="3850" max="3850" width="12" style="1" customWidth="1"/>
    <col min="3851" max="3851" width="10.44140625" style="1" customWidth="1"/>
    <col min="3852" max="3852" width="12.6640625" style="1" bestFit="1" customWidth="1"/>
    <col min="3853" max="3853" width="10.6640625" style="1" bestFit="1" customWidth="1"/>
    <col min="3854" max="3854" width="14.109375" style="1" bestFit="1" customWidth="1"/>
    <col min="3855" max="3855" width="13.88671875" style="1" customWidth="1"/>
    <col min="3856" max="3856" width="14.88671875" style="1" customWidth="1"/>
    <col min="3857" max="3857" width="15" style="1" customWidth="1"/>
    <col min="3858" max="3858" width="11" style="1" customWidth="1"/>
    <col min="3859" max="3859" width="8.6640625" style="1" customWidth="1"/>
    <col min="3860" max="3860" width="12.33203125" style="1" customWidth="1"/>
    <col min="3861" max="3861" width="11.5546875" style="1" bestFit="1" customWidth="1"/>
    <col min="3862" max="3862" width="8.6640625" style="1" customWidth="1"/>
    <col min="3863" max="3865" width="9.109375" style="1"/>
    <col min="3866" max="3866" width="11.5546875" style="1" bestFit="1" customWidth="1"/>
    <col min="3867" max="4096" width="9.109375" style="1"/>
    <col min="4097" max="4097" width="10.88671875" style="1" customWidth="1"/>
    <col min="4098" max="4098" width="0.109375" style="1" customWidth="1"/>
    <col min="4099" max="4099" width="0" style="1" hidden="1" customWidth="1"/>
    <col min="4100" max="4100" width="13.5546875" style="1" customWidth="1"/>
    <col min="4101" max="4101" width="10" style="1" customWidth="1"/>
    <col min="4102" max="4102" width="9.6640625" style="1" customWidth="1"/>
    <col min="4103" max="4103" width="0" style="1" hidden="1" customWidth="1"/>
    <col min="4104" max="4104" width="11.33203125" style="1" customWidth="1"/>
    <col min="4105" max="4105" width="11.6640625" style="1" customWidth="1"/>
    <col min="4106" max="4106" width="12" style="1" customWidth="1"/>
    <col min="4107" max="4107" width="10.44140625" style="1" customWidth="1"/>
    <col min="4108" max="4108" width="12.6640625" style="1" bestFit="1" customWidth="1"/>
    <col min="4109" max="4109" width="10.6640625" style="1" bestFit="1" customWidth="1"/>
    <col min="4110" max="4110" width="14.109375" style="1" bestFit="1" customWidth="1"/>
    <col min="4111" max="4111" width="13.88671875" style="1" customWidth="1"/>
    <col min="4112" max="4112" width="14.88671875" style="1" customWidth="1"/>
    <col min="4113" max="4113" width="15" style="1" customWidth="1"/>
    <col min="4114" max="4114" width="11" style="1" customWidth="1"/>
    <col min="4115" max="4115" width="8.6640625" style="1" customWidth="1"/>
    <col min="4116" max="4116" width="12.33203125" style="1" customWidth="1"/>
    <col min="4117" max="4117" width="11.5546875" style="1" bestFit="1" customWidth="1"/>
    <col min="4118" max="4118" width="8.6640625" style="1" customWidth="1"/>
    <col min="4119" max="4121" width="9.109375" style="1"/>
    <col min="4122" max="4122" width="11.5546875" style="1" bestFit="1" customWidth="1"/>
    <col min="4123" max="4352" width="9.109375" style="1"/>
    <col min="4353" max="4353" width="10.88671875" style="1" customWidth="1"/>
    <col min="4354" max="4354" width="0.109375" style="1" customWidth="1"/>
    <col min="4355" max="4355" width="0" style="1" hidden="1" customWidth="1"/>
    <col min="4356" max="4356" width="13.5546875" style="1" customWidth="1"/>
    <col min="4357" max="4357" width="10" style="1" customWidth="1"/>
    <col min="4358" max="4358" width="9.6640625" style="1" customWidth="1"/>
    <col min="4359" max="4359" width="0" style="1" hidden="1" customWidth="1"/>
    <col min="4360" max="4360" width="11.33203125" style="1" customWidth="1"/>
    <col min="4361" max="4361" width="11.6640625" style="1" customWidth="1"/>
    <col min="4362" max="4362" width="12" style="1" customWidth="1"/>
    <col min="4363" max="4363" width="10.44140625" style="1" customWidth="1"/>
    <col min="4364" max="4364" width="12.6640625" style="1" bestFit="1" customWidth="1"/>
    <col min="4365" max="4365" width="10.6640625" style="1" bestFit="1" customWidth="1"/>
    <col min="4366" max="4366" width="14.109375" style="1" bestFit="1" customWidth="1"/>
    <col min="4367" max="4367" width="13.88671875" style="1" customWidth="1"/>
    <col min="4368" max="4368" width="14.88671875" style="1" customWidth="1"/>
    <col min="4369" max="4369" width="15" style="1" customWidth="1"/>
    <col min="4370" max="4370" width="11" style="1" customWidth="1"/>
    <col min="4371" max="4371" width="8.6640625" style="1" customWidth="1"/>
    <col min="4372" max="4372" width="12.33203125" style="1" customWidth="1"/>
    <col min="4373" max="4373" width="11.5546875" style="1" bestFit="1" customWidth="1"/>
    <col min="4374" max="4374" width="8.6640625" style="1" customWidth="1"/>
    <col min="4375" max="4377" width="9.109375" style="1"/>
    <col min="4378" max="4378" width="11.5546875" style="1" bestFit="1" customWidth="1"/>
    <col min="4379" max="4608" width="9.109375" style="1"/>
    <col min="4609" max="4609" width="10.88671875" style="1" customWidth="1"/>
    <col min="4610" max="4610" width="0.109375" style="1" customWidth="1"/>
    <col min="4611" max="4611" width="0" style="1" hidden="1" customWidth="1"/>
    <col min="4612" max="4612" width="13.5546875" style="1" customWidth="1"/>
    <col min="4613" max="4613" width="10" style="1" customWidth="1"/>
    <col min="4614" max="4614" width="9.6640625" style="1" customWidth="1"/>
    <col min="4615" max="4615" width="0" style="1" hidden="1" customWidth="1"/>
    <col min="4616" max="4616" width="11.33203125" style="1" customWidth="1"/>
    <col min="4617" max="4617" width="11.6640625" style="1" customWidth="1"/>
    <col min="4618" max="4618" width="12" style="1" customWidth="1"/>
    <col min="4619" max="4619" width="10.44140625" style="1" customWidth="1"/>
    <col min="4620" max="4620" width="12.6640625" style="1" bestFit="1" customWidth="1"/>
    <col min="4621" max="4621" width="10.6640625" style="1" bestFit="1" customWidth="1"/>
    <col min="4622" max="4622" width="14.109375" style="1" bestFit="1" customWidth="1"/>
    <col min="4623" max="4623" width="13.88671875" style="1" customWidth="1"/>
    <col min="4624" max="4624" width="14.88671875" style="1" customWidth="1"/>
    <col min="4625" max="4625" width="15" style="1" customWidth="1"/>
    <col min="4626" max="4626" width="11" style="1" customWidth="1"/>
    <col min="4627" max="4627" width="8.6640625" style="1" customWidth="1"/>
    <col min="4628" max="4628" width="12.33203125" style="1" customWidth="1"/>
    <col min="4629" max="4629" width="11.5546875" style="1" bestFit="1" customWidth="1"/>
    <col min="4630" max="4630" width="8.6640625" style="1" customWidth="1"/>
    <col min="4631" max="4633" width="9.109375" style="1"/>
    <col min="4634" max="4634" width="11.5546875" style="1" bestFit="1" customWidth="1"/>
    <col min="4635" max="4864" width="9.109375" style="1"/>
    <col min="4865" max="4865" width="10.88671875" style="1" customWidth="1"/>
    <col min="4866" max="4866" width="0.109375" style="1" customWidth="1"/>
    <col min="4867" max="4867" width="0" style="1" hidden="1" customWidth="1"/>
    <col min="4868" max="4868" width="13.5546875" style="1" customWidth="1"/>
    <col min="4869" max="4869" width="10" style="1" customWidth="1"/>
    <col min="4870" max="4870" width="9.6640625" style="1" customWidth="1"/>
    <col min="4871" max="4871" width="0" style="1" hidden="1" customWidth="1"/>
    <col min="4872" max="4872" width="11.33203125" style="1" customWidth="1"/>
    <col min="4873" max="4873" width="11.6640625" style="1" customWidth="1"/>
    <col min="4874" max="4874" width="12" style="1" customWidth="1"/>
    <col min="4875" max="4875" width="10.44140625" style="1" customWidth="1"/>
    <col min="4876" max="4876" width="12.6640625" style="1" bestFit="1" customWidth="1"/>
    <col min="4877" max="4877" width="10.6640625" style="1" bestFit="1" customWidth="1"/>
    <col min="4878" max="4878" width="14.109375" style="1" bestFit="1" customWidth="1"/>
    <col min="4879" max="4879" width="13.88671875" style="1" customWidth="1"/>
    <col min="4880" max="4880" width="14.88671875" style="1" customWidth="1"/>
    <col min="4881" max="4881" width="15" style="1" customWidth="1"/>
    <col min="4882" max="4882" width="11" style="1" customWidth="1"/>
    <col min="4883" max="4883" width="8.6640625" style="1" customWidth="1"/>
    <col min="4884" max="4884" width="12.33203125" style="1" customWidth="1"/>
    <col min="4885" max="4885" width="11.5546875" style="1" bestFit="1" customWidth="1"/>
    <col min="4886" max="4886" width="8.6640625" style="1" customWidth="1"/>
    <col min="4887" max="4889" width="9.109375" style="1"/>
    <col min="4890" max="4890" width="11.5546875" style="1" bestFit="1" customWidth="1"/>
    <col min="4891" max="5120" width="9.109375" style="1"/>
    <col min="5121" max="5121" width="10.88671875" style="1" customWidth="1"/>
    <col min="5122" max="5122" width="0.109375" style="1" customWidth="1"/>
    <col min="5123" max="5123" width="0" style="1" hidden="1" customWidth="1"/>
    <col min="5124" max="5124" width="13.5546875" style="1" customWidth="1"/>
    <col min="5125" max="5125" width="10" style="1" customWidth="1"/>
    <col min="5126" max="5126" width="9.6640625" style="1" customWidth="1"/>
    <col min="5127" max="5127" width="0" style="1" hidden="1" customWidth="1"/>
    <col min="5128" max="5128" width="11.33203125" style="1" customWidth="1"/>
    <col min="5129" max="5129" width="11.6640625" style="1" customWidth="1"/>
    <col min="5130" max="5130" width="12" style="1" customWidth="1"/>
    <col min="5131" max="5131" width="10.44140625" style="1" customWidth="1"/>
    <col min="5132" max="5132" width="12.6640625" style="1" bestFit="1" customWidth="1"/>
    <col min="5133" max="5133" width="10.6640625" style="1" bestFit="1" customWidth="1"/>
    <col min="5134" max="5134" width="14.109375" style="1" bestFit="1" customWidth="1"/>
    <col min="5135" max="5135" width="13.88671875" style="1" customWidth="1"/>
    <col min="5136" max="5136" width="14.88671875" style="1" customWidth="1"/>
    <col min="5137" max="5137" width="15" style="1" customWidth="1"/>
    <col min="5138" max="5138" width="11" style="1" customWidth="1"/>
    <col min="5139" max="5139" width="8.6640625" style="1" customWidth="1"/>
    <col min="5140" max="5140" width="12.33203125" style="1" customWidth="1"/>
    <col min="5141" max="5141" width="11.5546875" style="1" bestFit="1" customWidth="1"/>
    <col min="5142" max="5142" width="8.6640625" style="1" customWidth="1"/>
    <col min="5143" max="5145" width="9.109375" style="1"/>
    <col min="5146" max="5146" width="11.5546875" style="1" bestFit="1" customWidth="1"/>
    <col min="5147" max="5376" width="9.109375" style="1"/>
    <col min="5377" max="5377" width="10.88671875" style="1" customWidth="1"/>
    <col min="5378" max="5378" width="0.109375" style="1" customWidth="1"/>
    <col min="5379" max="5379" width="0" style="1" hidden="1" customWidth="1"/>
    <col min="5380" max="5380" width="13.5546875" style="1" customWidth="1"/>
    <col min="5381" max="5381" width="10" style="1" customWidth="1"/>
    <col min="5382" max="5382" width="9.6640625" style="1" customWidth="1"/>
    <col min="5383" max="5383" width="0" style="1" hidden="1" customWidth="1"/>
    <col min="5384" max="5384" width="11.33203125" style="1" customWidth="1"/>
    <col min="5385" max="5385" width="11.6640625" style="1" customWidth="1"/>
    <col min="5386" max="5386" width="12" style="1" customWidth="1"/>
    <col min="5387" max="5387" width="10.44140625" style="1" customWidth="1"/>
    <col min="5388" max="5388" width="12.6640625" style="1" bestFit="1" customWidth="1"/>
    <col min="5389" max="5389" width="10.6640625" style="1" bestFit="1" customWidth="1"/>
    <col min="5390" max="5390" width="14.109375" style="1" bestFit="1" customWidth="1"/>
    <col min="5391" max="5391" width="13.88671875" style="1" customWidth="1"/>
    <col min="5392" max="5392" width="14.88671875" style="1" customWidth="1"/>
    <col min="5393" max="5393" width="15" style="1" customWidth="1"/>
    <col min="5394" max="5394" width="11" style="1" customWidth="1"/>
    <col min="5395" max="5395" width="8.6640625" style="1" customWidth="1"/>
    <col min="5396" max="5396" width="12.33203125" style="1" customWidth="1"/>
    <col min="5397" max="5397" width="11.5546875" style="1" bestFit="1" customWidth="1"/>
    <col min="5398" max="5398" width="8.6640625" style="1" customWidth="1"/>
    <col min="5399" max="5401" width="9.109375" style="1"/>
    <col min="5402" max="5402" width="11.5546875" style="1" bestFit="1" customWidth="1"/>
    <col min="5403" max="5632" width="9.109375" style="1"/>
    <col min="5633" max="5633" width="10.88671875" style="1" customWidth="1"/>
    <col min="5634" max="5634" width="0.109375" style="1" customWidth="1"/>
    <col min="5635" max="5635" width="0" style="1" hidden="1" customWidth="1"/>
    <col min="5636" max="5636" width="13.5546875" style="1" customWidth="1"/>
    <col min="5637" max="5637" width="10" style="1" customWidth="1"/>
    <col min="5638" max="5638" width="9.6640625" style="1" customWidth="1"/>
    <col min="5639" max="5639" width="0" style="1" hidden="1" customWidth="1"/>
    <col min="5640" max="5640" width="11.33203125" style="1" customWidth="1"/>
    <col min="5641" max="5641" width="11.6640625" style="1" customWidth="1"/>
    <col min="5642" max="5642" width="12" style="1" customWidth="1"/>
    <col min="5643" max="5643" width="10.44140625" style="1" customWidth="1"/>
    <col min="5644" max="5644" width="12.6640625" style="1" bestFit="1" customWidth="1"/>
    <col min="5645" max="5645" width="10.6640625" style="1" bestFit="1" customWidth="1"/>
    <col min="5646" max="5646" width="14.109375" style="1" bestFit="1" customWidth="1"/>
    <col min="5647" max="5647" width="13.88671875" style="1" customWidth="1"/>
    <col min="5648" max="5648" width="14.88671875" style="1" customWidth="1"/>
    <col min="5649" max="5649" width="15" style="1" customWidth="1"/>
    <col min="5650" max="5650" width="11" style="1" customWidth="1"/>
    <col min="5651" max="5651" width="8.6640625" style="1" customWidth="1"/>
    <col min="5652" max="5652" width="12.33203125" style="1" customWidth="1"/>
    <col min="5653" max="5653" width="11.5546875" style="1" bestFit="1" customWidth="1"/>
    <col min="5654" max="5654" width="8.6640625" style="1" customWidth="1"/>
    <col min="5655" max="5657" width="9.109375" style="1"/>
    <col min="5658" max="5658" width="11.5546875" style="1" bestFit="1" customWidth="1"/>
    <col min="5659" max="5888" width="9.109375" style="1"/>
    <col min="5889" max="5889" width="10.88671875" style="1" customWidth="1"/>
    <col min="5890" max="5890" width="0.109375" style="1" customWidth="1"/>
    <col min="5891" max="5891" width="0" style="1" hidden="1" customWidth="1"/>
    <col min="5892" max="5892" width="13.5546875" style="1" customWidth="1"/>
    <col min="5893" max="5893" width="10" style="1" customWidth="1"/>
    <col min="5894" max="5894" width="9.6640625" style="1" customWidth="1"/>
    <col min="5895" max="5895" width="0" style="1" hidden="1" customWidth="1"/>
    <col min="5896" max="5896" width="11.33203125" style="1" customWidth="1"/>
    <col min="5897" max="5897" width="11.6640625" style="1" customWidth="1"/>
    <col min="5898" max="5898" width="12" style="1" customWidth="1"/>
    <col min="5899" max="5899" width="10.44140625" style="1" customWidth="1"/>
    <col min="5900" max="5900" width="12.6640625" style="1" bestFit="1" customWidth="1"/>
    <col min="5901" max="5901" width="10.6640625" style="1" bestFit="1" customWidth="1"/>
    <col min="5902" max="5902" width="14.109375" style="1" bestFit="1" customWidth="1"/>
    <col min="5903" max="5903" width="13.88671875" style="1" customWidth="1"/>
    <col min="5904" max="5904" width="14.88671875" style="1" customWidth="1"/>
    <col min="5905" max="5905" width="15" style="1" customWidth="1"/>
    <col min="5906" max="5906" width="11" style="1" customWidth="1"/>
    <col min="5907" max="5907" width="8.6640625" style="1" customWidth="1"/>
    <col min="5908" max="5908" width="12.33203125" style="1" customWidth="1"/>
    <col min="5909" max="5909" width="11.5546875" style="1" bestFit="1" customWidth="1"/>
    <col min="5910" max="5910" width="8.6640625" style="1" customWidth="1"/>
    <col min="5911" max="5913" width="9.109375" style="1"/>
    <col min="5914" max="5914" width="11.5546875" style="1" bestFit="1" customWidth="1"/>
    <col min="5915" max="6144" width="9.109375" style="1"/>
    <col min="6145" max="6145" width="10.88671875" style="1" customWidth="1"/>
    <col min="6146" max="6146" width="0.109375" style="1" customWidth="1"/>
    <col min="6147" max="6147" width="0" style="1" hidden="1" customWidth="1"/>
    <col min="6148" max="6148" width="13.5546875" style="1" customWidth="1"/>
    <col min="6149" max="6149" width="10" style="1" customWidth="1"/>
    <col min="6150" max="6150" width="9.6640625" style="1" customWidth="1"/>
    <col min="6151" max="6151" width="0" style="1" hidden="1" customWidth="1"/>
    <col min="6152" max="6152" width="11.33203125" style="1" customWidth="1"/>
    <col min="6153" max="6153" width="11.6640625" style="1" customWidth="1"/>
    <col min="6154" max="6154" width="12" style="1" customWidth="1"/>
    <col min="6155" max="6155" width="10.44140625" style="1" customWidth="1"/>
    <col min="6156" max="6156" width="12.6640625" style="1" bestFit="1" customWidth="1"/>
    <col min="6157" max="6157" width="10.6640625" style="1" bestFit="1" customWidth="1"/>
    <col min="6158" max="6158" width="14.109375" style="1" bestFit="1" customWidth="1"/>
    <col min="6159" max="6159" width="13.88671875" style="1" customWidth="1"/>
    <col min="6160" max="6160" width="14.88671875" style="1" customWidth="1"/>
    <col min="6161" max="6161" width="15" style="1" customWidth="1"/>
    <col min="6162" max="6162" width="11" style="1" customWidth="1"/>
    <col min="6163" max="6163" width="8.6640625" style="1" customWidth="1"/>
    <col min="6164" max="6164" width="12.33203125" style="1" customWidth="1"/>
    <col min="6165" max="6165" width="11.5546875" style="1" bestFit="1" customWidth="1"/>
    <col min="6166" max="6166" width="8.6640625" style="1" customWidth="1"/>
    <col min="6167" max="6169" width="9.109375" style="1"/>
    <col min="6170" max="6170" width="11.5546875" style="1" bestFit="1" customWidth="1"/>
    <col min="6171" max="6400" width="9.109375" style="1"/>
    <col min="6401" max="6401" width="10.88671875" style="1" customWidth="1"/>
    <col min="6402" max="6402" width="0.109375" style="1" customWidth="1"/>
    <col min="6403" max="6403" width="0" style="1" hidden="1" customWidth="1"/>
    <col min="6404" max="6404" width="13.5546875" style="1" customWidth="1"/>
    <col min="6405" max="6405" width="10" style="1" customWidth="1"/>
    <col min="6406" max="6406" width="9.6640625" style="1" customWidth="1"/>
    <col min="6407" max="6407" width="0" style="1" hidden="1" customWidth="1"/>
    <col min="6408" max="6408" width="11.33203125" style="1" customWidth="1"/>
    <col min="6409" max="6409" width="11.6640625" style="1" customWidth="1"/>
    <col min="6410" max="6410" width="12" style="1" customWidth="1"/>
    <col min="6411" max="6411" width="10.44140625" style="1" customWidth="1"/>
    <col min="6412" max="6412" width="12.6640625" style="1" bestFit="1" customWidth="1"/>
    <col min="6413" max="6413" width="10.6640625" style="1" bestFit="1" customWidth="1"/>
    <col min="6414" max="6414" width="14.109375" style="1" bestFit="1" customWidth="1"/>
    <col min="6415" max="6415" width="13.88671875" style="1" customWidth="1"/>
    <col min="6416" max="6416" width="14.88671875" style="1" customWidth="1"/>
    <col min="6417" max="6417" width="15" style="1" customWidth="1"/>
    <col min="6418" max="6418" width="11" style="1" customWidth="1"/>
    <col min="6419" max="6419" width="8.6640625" style="1" customWidth="1"/>
    <col min="6420" max="6420" width="12.33203125" style="1" customWidth="1"/>
    <col min="6421" max="6421" width="11.5546875" style="1" bestFit="1" customWidth="1"/>
    <col min="6422" max="6422" width="8.6640625" style="1" customWidth="1"/>
    <col min="6423" max="6425" width="9.109375" style="1"/>
    <col min="6426" max="6426" width="11.5546875" style="1" bestFit="1" customWidth="1"/>
    <col min="6427" max="6656" width="9.109375" style="1"/>
    <col min="6657" max="6657" width="10.88671875" style="1" customWidth="1"/>
    <col min="6658" max="6658" width="0.109375" style="1" customWidth="1"/>
    <col min="6659" max="6659" width="0" style="1" hidden="1" customWidth="1"/>
    <col min="6660" max="6660" width="13.5546875" style="1" customWidth="1"/>
    <col min="6661" max="6661" width="10" style="1" customWidth="1"/>
    <col min="6662" max="6662" width="9.6640625" style="1" customWidth="1"/>
    <col min="6663" max="6663" width="0" style="1" hidden="1" customWidth="1"/>
    <col min="6664" max="6664" width="11.33203125" style="1" customWidth="1"/>
    <col min="6665" max="6665" width="11.6640625" style="1" customWidth="1"/>
    <col min="6666" max="6666" width="12" style="1" customWidth="1"/>
    <col min="6667" max="6667" width="10.44140625" style="1" customWidth="1"/>
    <col min="6668" max="6668" width="12.6640625" style="1" bestFit="1" customWidth="1"/>
    <col min="6669" max="6669" width="10.6640625" style="1" bestFit="1" customWidth="1"/>
    <col min="6670" max="6670" width="14.109375" style="1" bestFit="1" customWidth="1"/>
    <col min="6671" max="6671" width="13.88671875" style="1" customWidth="1"/>
    <col min="6672" max="6672" width="14.88671875" style="1" customWidth="1"/>
    <col min="6673" max="6673" width="15" style="1" customWidth="1"/>
    <col min="6674" max="6674" width="11" style="1" customWidth="1"/>
    <col min="6675" max="6675" width="8.6640625" style="1" customWidth="1"/>
    <col min="6676" max="6676" width="12.33203125" style="1" customWidth="1"/>
    <col min="6677" max="6677" width="11.5546875" style="1" bestFit="1" customWidth="1"/>
    <col min="6678" max="6678" width="8.6640625" style="1" customWidth="1"/>
    <col min="6679" max="6681" width="9.109375" style="1"/>
    <col min="6682" max="6682" width="11.5546875" style="1" bestFit="1" customWidth="1"/>
    <col min="6683" max="6912" width="9.109375" style="1"/>
    <col min="6913" max="6913" width="10.88671875" style="1" customWidth="1"/>
    <col min="6914" max="6914" width="0.109375" style="1" customWidth="1"/>
    <col min="6915" max="6915" width="0" style="1" hidden="1" customWidth="1"/>
    <col min="6916" max="6916" width="13.5546875" style="1" customWidth="1"/>
    <col min="6917" max="6917" width="10" style="1" customWidth="1"/>
    <col min="6918" max="6918" width="9.6640625" style="1" customWidth="1"/>
    <col min="6919" max="6919" width="0" style="1" hidden="1" customWidth="1"/>
    <col min="6920" max="6920" width="11.33203125" style="1" customWidth="1"/>
    <col min="6921" max="6921" width="11.6640625" style="1" customWidth="1"/>
    <col min="6922" max="6922" width="12" style="1" customWidth="1"/>
    <col min="6923" max="6923" width="10.44140625" style="1" customWidth="1"/>
    <col min="6924" max="6924" width="12.6640625" style="1" bestFit="1" customWidth="1"/>
    <col min="6925" max="6925" width="10.6640625" style="1" bestFit="1" customWidth="1"/>
    <col min="6926" max="6926" width="14.109375" style="1" bestFit="1" customWidth="1"/>
    <col min="6927" max="6927" width="13.88671875" style="1" customWidth="1"/>
    <col min="6928" max="6928" width="14.88671875" style="1" customWidth="1"/>
    <col min="6929" max="6929" width="15" style="1" customWidth="1"/>
    <col min="6930" max="6930" width="11" style="1" customWidth="1"/>
    <col min="6931" max="6931" width="8.6640625" style="1" customWidth="1"/>
    <col min="6932" max="6932" width="12.33203125" style="1" customWidth="1"/>
    <col min="6933" max="6933" width="11.5546875" style="1" bestFit="1" customWidth="1"/>
    <col min="6934" max="6934" width="8.6640625" style="1" customWidth="1"/>
    <col min="6935" max="6937" width="9.109375" style="1"/>
    <col min="6938" max="6938" width="11.5546875" style="1" bestFit="1" customWidth="1"/>
    <col min="6939" max="7168" width="9.109375" style="1"/>
    <col min="7169" max="7169" width="10.88671875" style="1" customWidth="1"/>
    <col min="7170" max="7170" width="0.109375" style="1" customWidth="1"/>
    <col min="7171" max="7171" width="0" style="1" hidden="1" customWidth="1"/>
    <col min="7172" max="7172" width="13.5546875" style="1" customWidth="1"/>
    <col min="7173" max="7173" width="10" style="1" customWidth="1"/>
    <col min="7174" max="7174" width="9.6640625" style="1" customWidth="1"/>
    <col min="7175" max="7175" width="0" style="1" hidden="1" customWidth="1"/>
    <col min="7176" max="7176" width="11.33203125" style="1" customWidth="1"/>
    <col min="7177" max="7177" width="11.6640625" style="1" customWidth="1"/>
    <col min="7178" max="7178" width="12" style="1" customWidth="1"/>
    <col min="7179" max="7179" width="10.44140625" style="1" customWidth="1"/>
    <col min="7180" max="7180" width="12.6640625" style="1" bestFit="1" customWidth="1"/>
    <col min="7181" max="7181" width="10.6640625" style="1" bestFit="1" customWidth="1"/>
    <col min="7182" max="7182" width="14.109375" style="1" bestFit="1" customWidth="1"/>
    <col min="7183" max="7183" width="13.88671875" style="1" customWidth="1"/>
    <col min="7184" max="7184" width="14.88671875" style="1" customWidth="1"/>
    <col min="7185" max="7185" width="15" style="1" customWidth="1"/>
    <col min="7186" max="7186" width="11" style="1" customWidth="1"/>
    <col min="7187" max="7187" width="8.6640625" style="1" customWidth="1"/>
    <col min="7188" max="7188" width="12.33203125" style="1" customWidth="1"/>
    <col min="7189" max="7189" width="11.5546875" style="1" bestFit="1" customWidth="1"/>
    <col min="7190" max="7190" width="8.6640625" style="1" customWidth="1"/>
    <col min="7191" max="7193" width="9.109375" style="1"/>
    <col min="7194" max="7194" width="11.5546875" style="1" bestFit="1" customWidth="1"/>
    <col min="7195" max="7424" width="9.109375" style="1"/>
    <col min="7425" max="7425" width="10.88671875" style="1" customWidth="1"/>
    <col min="7426" max="7426" width="0.109375" style="1" customWidth="1"/>
    <col min="7427" max="7427" width="0" style="1" hidden="1" customWidth="1"/>
    <col min="7428" max="7428" width="13.5546875" style="1" customWidth="1"/>
    <col min="7429" max="7429" width="10" style="1" customWidth="1"/>
    <col min="7430" max="7430" width="9.6640625" style="1" customWidth="1"/>
    <col min="7431" max="7431" width="0" style="1" hidden="1" customWidth="1"/>
    <col min="7432" max="7432" width="11.33203125" style="1" customWidth="1"/>
    <col min="7433" max="7433" width="11.6640625" style="1" customWidth="1"/>
    <col min="7434" max="7434" width="12" style="1" customWidth="1"/>
    <col min="7435" max="7435" width="10.44140625" style="1" customWidth="1"/>
    <col min="7436" max="7436" width="12.6640625" style="1" bestFit="1" customWidth="1"/>
    <col min="7437" max="7437" width="10.6640625" style="1" bestFit="1" customWidth="1"/>
    <col min="7438" max="7438" width="14.109375" style="1" bestFit="1" customWidth="1"/>
    <col min="7439" max="7439" width="13.88671875" style="1" customWidth="1"/>
    <col min="7440" max="7440" width="14.88671875" style="1" customWidth="1"/>
    <col min="7441" max="7441" width="15" style="1" customWidth="1"/>
    <col min="7442" max="7442" width="11" style="1" customWidth="1"/>
    <col min="7443" max="7443" width="8.6640625" style="1" customWidth="1"/>
    <col min="7444" max="7444" width="12.33203125" style="1" customWidth="1"/>
    <col min="7445" max="7445" width="11.5546875" style="1" bestFit="1" customWidth="1"/>
    <col min="7446" max="7446" width="8.6640625" style="1" customWidth="1"/>
    <col min="7447" max="7449" width="9.109375" style="1"/>
    <col min="7450" max="7450" width="11.5546875" style="1" bestFit="1" customWidth="1"/>
    <col min="7451" max="7680" width="9.109375" style="1"/>
    <col min="7681" max="7681" width="10.88671875" style="1" customWidth="1"/>
    <col min="7682" max="7682" width="0.109375" style="1" customWidth="1"/>
    <col min="7683" max="7683" width="0" style="1" hidden="1" customWidth="1"/>
    <col min="7684" max="7684" width="13.5546875" style="1" customWidth="1"/>
    <col min="7685" max="7685" width="10" style="1" customWidth="1"/>
    <col min="7686" max="7686" width="9.6640625" style="1" customWidth="1"/>
    <col min="7687" max="7687" width="0" style="1" hidden="1" customWidth="1"/>
    <col min="7688" max="7688" width="11.33203125" style="1" customWidth="1"/>
    <col min="7689" max="7689" width="11.6640625" style="1" customWidth="1"/>
    <col min="7690" max="7690" width="12" style="1" customWidth="1"/>
    <col min="7691" max="7691" width="10.44140625" style="1" customWidth="1"/>
    <col min="7692" max="7692" width="12.6640625" style="1" bestFit="1" customWidth="1"/>
    <col min="7693" max="7693" width="10.6640625" style="1" bestFit="1" customWidth="1"/>
    <col min="7694" max="7694" width="14.109375" style="1" bestFit="1" customWidth="1"/>
    <col min="7695" max="7695" width="13.88671875" style="1" customWidth="1"/>
    <col min="7696" max="7696" width="14.88671875" style="1" customWidth="1"/>
    <col min="7697" max="7697" width="15" style="1" customWidth="1"/>
    <col min="7698" max="7698" width="11" style="1" customWidth="1"/>
    <col min="7699" max="7699" width="8.6640625" style="1" customWidth="1"/>
    <col min="7700" max="7700" width="12.33203125" style="1" customWidth="1"/>
    <col min="7701" max="7701" width="11.5546875" style="1" bestFit="1" customWidth="1"/>
    <col min="7702" max="7702" width="8.6640625" style="1" customWidth="1"/>
    <col min="7703" max="7705" width="9.109375" style="1"/>
    <col min="7706" max="7706" width="11.5546875" style="1" bestFit="1" customWidth="1"/>
    <col min="7707" max="7936" width="9.109375" style="1"/>
    <col min="7937" max="7937" width="10.88671875" style="1" customWidth="1"/>
    <col min="7938" max="7938" width="0.109375" style="1" customWidth="1"/>
    <col min="7939" max="7939" width="0" style="1" hidden="1" customWidth="1"/>
    <col min="7940" max="7940" width="13.5546875" style="1" customWidth="1"/>
    <col min="7941" max="7941" width="10" style="1" customWidth="1"/>
    <col min="7942" max="7942" width="9.6640625" style="1" customWidth="1"/>
    <col min="7943" max="7943" width="0" style="1" hidden="1" customWidth="1"/>
    <col min="7944" max="7944" width="11.33203125" style="1" customWidth="1"/>
    <col min="7945" max="7945" width="11.6640625" style="1" customWidth="1"/>
    <col min="7946" max="7946" width="12" style="1" customWidth="1"/>
    <col min="7947" max="7947" width="10.44140625" style="1" customWidth="1"/>
    <col min="7948" max="7948" width="12.6640625" style="1" bestFit="1" customWidth="1"/>
    <col min="7949" max="7949" width="10.6640625" style="1" bestFit="1" customWidth="1"/>
    <col min="7950" max="7950" width="14.109375" style="1" bestFit="1" customWidth="1"/>
    <col min="7951" max="7951" width="13.88671875" style="1" customWidth="1"/>
    <col min="7952" max="7952" width="14.88671875" style="1" customWidth="1"/>
    <col min="7953" max="7953" width="15" style="1" customWidth="1"/>
    <col min="7954" max="7954" width="11" style="1" customWidth="1"/>
    <col min="7955" max="7955" width="8.6640625" style="1" customWidth="1"/>
    <col min="7956" max="7956" width="12.33203125" style="1" customWidth="1"/>
    <col min="7957" max="7957" width="11.5546875" style="1" bestFit="1" customWidth="1"/>
    <col min="7958" max="7958" width="8.6640625" style="1" customWidth="1"/>
    <col min="7959" max="7961" width="9.109375" style="1"/>
    <col min="7962" max="7962" width="11.5546875" style="1" bestFit="1" customWidth="1"/>
    <col min="7963" max="8192" width="9.109375" style="1"/>
    <col min="8193" max="8193" width="10.88671875" style="1" customWidth="1"/>
    <col min="8194" max="8194" width="0.109375" style="1" customWidth="1"/>
    <col min="8195" max="8195" width="0" style="1" hidden="1" customWidth="1"/>
    <col min="8196" max="8196" width="13.5546875" style="1" customWidth="1"/>
    <col min="8197" max="8197" width="10" style="1" customWidth="1"/>
    <col min="8198" max="8198" width="9.6640625" style="1" customWidth="1"/>
    <col min="8199" max="8199" width="0" style="1" hidden="1" customWidth="1"/>
    <col min="8200" max="8200" width="11.33203125" style="1" customWidth="1"/>
    <col min="8201" max="8201" width="11.6640625" style="1" customWidth="1"/>
    <col min="8202" max="8202" width="12" style="1" customWidth="1"/>
    <col min="8203" max="8203" width="10.44140625" style="1" customWidth="1"/>
    <col min="8204" max="8204" width="12.6640625" style="1" bestFit="1" customWidth="1"/>
    <col min="8205" max="8205" width="10.6640625" style="1" bestFit="1" customWidth="1"/>
    <col min="8206" max="8206" width="14.109375" style="1" bestFit="1" customWidth="1"/>
    <col min="8207" max="8207" width="13.88671875" style="1" customWidth="1"/>
    <col min="8208" max="8208" width="14.88671875" style="1" customWidth="1"/>
    <col min="8209" max="8209" width="15" style="1" customWidth="1"/>
    <col min="8210" max="8210" width="11" style="1" customWidth="1"/>
    <col min="8211" max="8211" width="8.6640625" style="1" customWidth="1"/>
    <col min="8212" max="8212" width="12.33203125" style="1" customWidth="1"/>
    <col min="8213" max="8213" width="11.5546875" style="1" bestFit="1" customWidth="1"/>
    <col min="8214" max="8214" width="8.6640625" style="1" customWidth="1"/>
    <col min="8215" max="8217" width="9.109375" style="1"/>
    <col min="8218" max="8218" width="11.5546875" style="1" bestFit="1" customWidth="1"/>
    <col min="8219" max="8448" width="9.109375" style="1"/>
    <col min="8449" max="8449" width="10.88671875" style="1" customWidth="1"/>
    <col min="8450" max="8450" width="0.109375" style="1" customWidth="1"/>
    <col min="8451" max="8451" width="0" style="1" hidden="1" customWidth="1"/>
    <col min="8452" max="8452" width="13.5546875" style="1" customWidth="1"/>
    <col min="8453" max="8453" width="10" style="1" customWidth="1"/>
    <col min="8454" max="8454" width="9.6640625" style="1" customWidth="1"/>
    <col min="8455" max="8455" width="0" style="1" hidden="1" customWidth="1"/>
    <col min="8456" max="8456" width="11.33203125" style="1" customWidth="1"/>
    <col min="8457" max="8457" width="11.6640625" style="1" customWidth="1"/>
    <col min="8458" max="8458" width="12" style="1" customWidth="1"/>
    <col min="8459" max="8459" width="10.44140625" style="1" customWidth="1"/>
    <col min="8460" max="8460" width="12.6640625" style="1" bestFit="1" customWidth="1"/>
    <col min="8461" max="8461" width="10.6640625" style="1" bestFit="1" customWidth="1"/>
    <col min="8462" max="8462" width="14.109375" style="1" bestFit="1" customWidth="1"/>
    <col min="8463" max="8463" width="13.88671875" style="1" customWidth="1"/>
    <col min="8464" max="8464" width="14.88671875" style="1" customWidth="1"/>
    <col min="8465" max="8465" width="15" style="1" customWidth="1"/>
    <col min="8466" max="8466" width="11" style="1" customWidth="1"/>
    <col min="8467" max="8467" width="8.6640625" style="1" customWidth="1"/>
    <col min="8468" max="8468" width="12.33203125" style="1" customWidth="1"/>
    <col min="8469" max="8469" width="11.5546875" style="1" bestFit="1" customWidth="1"/>
    <col min="8470" max="8470" width="8.6640625" style="1" customWidth="1"/>
    <col min="8471" max="8473" width="9.109375" style="1"/>
    <col min="8474" max="8474" width="11.5546875" style="1" bestFit="1" customWidth="1"/>
    <col min="8475" max="8704" width="9.109375" style="1"/>
    <col min="8705" max="8705" width="10.88671875" style="1" customWidth="1"/>
    <col min="8706" max="8706" width="0.109375" style="1" customWidth="1"/>
    <col min="8707" max="8707" width="0" style="1" hidden="1" customWidth="1"/>
    <col min="8708" max="8708" width="13.5546875" style="1" customWidth="1"/>
    <col min="8709" max="8709" width="10" style="1" customWidth="1"/>
    <col min="8710" max="8710" width="9.6640625" style="1" customWidth="1"/>
    <col min="8711" max="8711" width="0" style="1" hidden="1" customWidth="1"/>
    <col min="8712" max="8712" width="11.33203125" style="1" customWidth="1"/>
    <col min="8713" max="8713" width="11.6640625" style="1" customWidth="1"/>
    <col min="8714" max="8714" width="12" style="1" customWidth="1"/>
    <col min="8715" max="8715" width="10.44140625" style="1" customWidth="1"/>
    <col min="8716" max="8716" width="12.6640625" style="1" bestFit="1" customWidth="1"/>
    <col min="8717" max="8717" width="10.6640625" style="1" bestFit="1" customWidth="1"/>
    <col min="8718" max="8718" width="14.109375" style="1" bestFit="1" customWidth="1"/>
    <col min="8719" max="8719" width="13.88671875" style="1" customWidth="1"/>
    <col min="8720" max="8720" width="14.88671875" style="1" customWidth="1"/>
    <col min="8721" max="8721" width="15" style="1" customWidth="1"/>
    <col min="8722" max="8722" width="11" style="1" customWidth="1"/>
    <col min="8723" max="8723" width="8.6640625" style="1" customWidth="1"/>
    <col min="8724" max="8724" width="12.33203125" style="1" customWidth="1"/>
    <col min="8725" max="8725" width="11.5546875" style="1" bestFit="1" customWidth="1"/>
    <col min="8726" max="8726" width="8.6640625" style="1" customWidth="1"/>
    <col min="8727" max="8729" width="9.109375" style="1"/>
    <col min="8730" max="8730" width="11.5546875" style="1" bestFit="1" customWidth="1"/>
    <col min="8731" max="8960" width="9.109375" style="1"/>
    <col min="8961" max="8961" width="10.88671875" style="1" customWidth="1"/>
    <col min="8962" max="8962" width="0.109375" style="1" customWidth="1"/>
    <col min="8963" max="8963" width="0" style="1" hidden="1" customWidth="1"/>
    <col min="8964" max="8964" width="13.5546875" style="1" customWidth="1"/>
    <col min="8965" max="8965" width="10" style="1" customWidth="1"/>
    <col min="8966" max="8966" width="9.6640625" style="1" customWidth="1"/>
    <col min="8967" max="8967" width="0" style="1" hidden="1" customWidth="1"/>
    <col min="8968" max="8968" width="11.33203125" style="1" customWidth="1"/>
    <col min="8969" max="8969" width="11.6640625" style="1" customWidth="1"/>
    <col min="8970" max="8970" width="12" style="1" customWidth="1"/>
    <col min="8971" max="8971" width="10.44140625" style="1" customWidth="1"/>
    <col min="8972" max="8972" width="12.6640625" style="1" bestFit="1" customWidth="1"/>
    <col min="8973" max="8973" width="10.6640625" style="1" bestFit="1" customWidth="1"/>
    <col min="8974" max="8974" width="14.109375" style="1" bestFit="1" customWidth="1"/>
    <col min="8975" max="8975" width="13.88671875" style="1" customWidth="1"/>
    <col min="8976" max="8976" width="14.88671875" style="1" customWidth="1"/>
    <col min="8977" max="8977" width="15" style="1" customWidth="1"/>
    <col min="8978" max="8978" width="11" style="1" customWidth="1"/>
    <col min="8979" max="8979" width="8.6640625" style="1" customWidth="1"/>
    <col min="8980" max="8980" width="12.33203125" style="1" customWidth="1"/>
    <col min="8981" max="8981" width="11.5546875" style="1" bestFit="1" customWidth="1"/>
    <col min="8982" max="8982" width="8.6640625" style="1" customWidth="1"/>
    <col min="8983" max="8985" width="9.109375" style="1"/>
    <col min="8986" max="8986" width="11.5546875" style="1" bestFit="1" customWidth="1"/>
    <col min="8987" max="9216" width="9.109375" style="1"/>
    <col min="9217" max="9217" width="10.88671875" style="1" customWidth="1"/>
    <col min="9218" max="9218" width="0.109375" style="1" customWidth="1"/>
    <col min="9219" max="9219" width="0" style="1" hidden="1" customWidth="1"/>
    <col min="9220" max="9220" width="13.5546875" style="1" customWidth="1"/>
    <col min="9221" max="9221" width="10" style="1" customWidth="1"/>
    <col min="9222" max="9222" width="9.6640625" style="1" customWidth="1"/>
    <col min="9223" max="9223" width="0" style="1" hidden="1" customWidth="1"/>
    <col min="9224" max="9224" width="11.33203125" style="1" customWidth="1"/>
    <col min="9225" max="9225" width="11.6640625" style="1" customWidth="1"/>
    <col min="9226" max="9226" width="12" style="1" customWidth="1"/>
    <col min="9227" max="9227" width="10.44140625" style="1" customWidth="1"/>
    <col min="9228" max="9228" width="12.6640625" style="1" bestFit="1" customWidth="1"/>
    <col min="9229" max="9229" width="10.6640625" style="1" bestFit="1" customWidth="1"/>
    <col min="9230" max="9230" width="14.109375" style="1" bestFit="1" customWidth="1"/>
    <col min="9231" max="9231" width="13.88671875" style="1" customWidth="1"/>
    <col min="9232" max="9232" width="14.88671875" style="1" customWidth="1"/>
    <col min="9233" max="9233" width="15" style="1" customWidth="1"/>
    <col min="9234" max="9234" width="11" style="1" customWidth="1"/>
    <col min="9235" max="9235" width="8.6640625" style="1" customWidth="1"/>
    <col min="9236" max="9236" width="12.33203125" style="1" customWidth="1"/>
    <col min="9237" max="9237" width="11.5546875" style="1" bestFit="1" customWidth="1"/>
    <col min="9238" max="9238" width="8.6640625" style="1" customWidth="1"/>
    <col min="9239" max="9241" width="9.109375" style="1"/>
    <col min="9242" max="9242" width="11.5546875" style="1" bestFit="1" customWidth="1"/>
    <col min="9243" max="9472" width="9.109375" style="1"/>
    <col min="9473" max="9473" width="10.88671875" style="1" customWidth="1"/>
    <col min="9474" max="9474" width="0.109375" style="1" customWidth="1"/>
    <col min="9475" max="9475" width="0" style="1" hidden="1" customWidth="1"/>
    <col min="9476" max="9476" width="13.5546875" style="1" customWidth="1"/>
    <col min="9477" max="9477" width="10" style="1" customWidth="1"/>
    <col min="9478" max="9478" width="9.6640625" style="1" customWidth="1"/>
    <col min="9479" max="9479" width="0" style="1" hidden="1" customWidth="1"/>
    <col min="9480" max="9480" width="11.33203125" style="1" customWidth="1"/>
    <col min="9481" max="9481" width="11.6640625" style="1" customWidth="1"/>
    <col min="9482" max="9482" width="12" style="1" customWidth="1"/>
    <col min="9483" max="9483" width="10.44140625" style="1" customWidth="1"/>
    <col min="9484" max="9484" width="12.6640625" style="1" bestFit="1" customWidth="1"/>
    <col min="9485" max="9485" width="10.6640625" style="1" bestFit="1" customWidth="1"/>
    <col min="9486" max="9486" width="14.109375" style="1" bestFit="1" customWidth="1"/>
    <col min="9487" max="9487" width="13.88671875" style="1" customWidth="1"/>
    <col min="9488" max="9488" width="14.88671875" style="1" customWidth="1"/>
    <col min="9489" max="9489" width="15" style="1" customWidth="1"/>
    <col min="9490" max="9490" width="11" style="1" customWidth="1"/>
    <col min="9491" max="9491" width="8.6640625" style="1" customWidth="1"/>
    <col min="9492" max="9492" width="12.33203125" style="1" customWidth="1"/>
    <col min="9493" max="9493" width="11.5546875" style="1" bestFit="1" customWidth="1"/>
    <col min="9494" max="9494" width="8.6640625" style="1" customWidth="1"/>
    <col min="9495" max="9497" width="9.109375" style="1"/>
    <col min="9498" max="9498" width="11.5546875" style="1" bestFit="1" customWidth="1"/>
    <col min="9499" max="9728" width="9.109375" style="1"/>
    <col min="9729" max="9729" width="10.88671875" style="1" customWidth="1"/>
    <col min="9730" max="9730" width="0.109375" style="1" customWidth="1"/>
    <col min="9731" max="9731" width="0" style="1" hidden="1" customWidth="1"/>
    <col min="9732" max="9732" width="13.5546875" style="1" customWidth="1"/>
    <col min="9733" max="9733" width="10" style="1" customWidth="1"/>
    <col min="9734" max="9734" width="9.6640625" style="1" customWidth="1"/>
    <col min="9735" max="9735" width="0" style="1" hidden="1" customWidth="1"/>
    <col min="9736" max="9736" width="11.33203125" style="1" customWidth="1"/>
    <col min="9737" max="9737" width="11.6640625" style="1" customWidth="1"/>
    <col min="9738" max="9738" width="12" style="1" customWidth="1"/>
    <col min="9739" max="9739" width="10.44140625" style="1" customWidth="1"/>
    <col min="9740" max="9740" width="12.6640625" style="1" bestFit="1" customWidth="1"/>
    <col min="9741" max="9741" width="10.6640625" style="1" bestFit="1" customWidth="1"/>
    <col min="9742" max="9742" width="14.109375" style="1" bestFit="1" customWidth="1"/>
    <col min="9743" max="9743" width="13.88671875" style="1" customWidth="1"/>
    <col min="9744" max="9744" width="14.88671875" style="1" customWidth="1"/>
    <col min="9745" max="9745" width="15" style="1" customWidth="1"/>
    <col min="9746" max="9746" width="11" style="1" customWidth="1"/>
    <col min="9747" max="9747" width="8.6640625" style="1" customWidth="1"/>
    <col min="9748" max="9748" width="12.33203125" style="1" customWidth="1"/>
    <col min="9749" max="9749" width="11.5546875" style="1" bestFit="1" customWidth="1"/>
    <col min="9750" max="9750" width="8.6640625" style="1" customWidth="1"/>
    <col min="9751" max="9753" width="9.109375" style="1"/>
    <col min="9754" max="9754" width="11.5546875" style="1" bestFit="1" customWidth="1"/>
    <col min="9755" max="9984" width="9.109375" style="1"/>
    <col min="9985" max="9985" width="10.88671875" style="1" customWidth="1"/>
    <col min="9986" max="9986" width="0.109375" style="1" customWidth="1"/>
    <col min="9987" max="9987" width="0" style="1" hidden="1" customWidth="1"/>
    <col min="9988" max="9988" width="13.5546875" style="1" customWidth="1"/>
    <col min="9989" max="9989" width="10" style="1" customWidth="1"/>
    <col min="9990" max="9990" width="9.6640625" style="1" customWidth="1"/>
    <col min="9991" max="9991" width="0" style="1" hidden="1" customWidth="1"/>
    <col min="9992" max="9992" width="11.33203125" style="1" customWidth="1"/>
    <col min="9993" max="9993" width="11.6640625" style="1" customWidth="1"/>
    <col min="9994" max="9994" width="12" style="1" customWidth="1"/>
    <col min="9995" max="9995" width="10.44140625" style="1" customWidth="1"/>
    <col min="9996" max="9996" width="12.6640625" style="1" bestFit="1" customWidth="1"/>
    <col min="9997" max="9997" width="10.6640625" style="1" bestFit="1" customWidth="1"/>
    <col min="9998" max="9998" width="14.109375" style="1" bestFit="1" customWidth="1"/>
    <col min="9999" max="9999" width="13.88671875" style="1" customWidth="1"/>
    <col min="10000" max="10000" width="14.88671875" style="1" customWidth="1"/>
    <col min="10001" max="10001" width="15" style="1" customWidth="1"/>
    <col min="10002" max="10002" width="11" style="1" customWidth="1"/>
    <col min="10003" max="10003" width="8.6640625" style="1" customWidth="1"/>
    <col min="10004" max="10004" width="12.33203125" style="1" customWidth="1"/>
    <col min="10005" max="10005" width="11.5546875" style="1" bestFit="1" customWidth="1"/>
    <col min="10006" max="10006" width="8.6640625" style="1" customWidth="1"/>
    <col min="10007" max="10009" width="9.109375" style="1"/>
    <col min="10010" max="10010" width="11.5546875" style="1" bestFit="1" customWidth="1"/>
    <col min="10011" max="10240" width="9.109375" style="1"/>
    <col min="10241" max="10241" width="10.88671875" style="1" customWidth="1"/>
    <col min="10242" max="10242" width="0.109375" style="1" customWidth="1"/>
    <col min="10243" max="10243" width="0" style="1" hidden="1" customWidth="1"/>
    <col min="10244" max="10244" width="13.5546875" style="1" customWidth="1"/>
    <col min="10245" max="10245" width="10" style="1" customWidth="1"/>
    <col min="10246" max="10246" width="9.6640625" style="1" customWidth="1"/>
    <col min="10247" max="10247" width="0" style="1" hidden="1" customWidth="1"/>
    <col min="10248" max="10248" width="11.33203125" style="1" customWidth="1"/>
    <col min="10249" max="10249" width="11.6640625" style="1" customWidth="1"/>
    <col min="10250" max="10250" width="12" style="1" customWidth="1"/>
    <col min="10251" max="10251" width="10.44140625" style="1" customWidth="1"/>
    <col min="10252" max="10252" width="12.6640625" style="1" bestFit="1" customWidth="1"/>
    <col min="10253" max="10253" width="10.6640625" style="1" bestFit="1" customWidth="1"/>
    <col min="10254" max="10254" width="14.109375" style="1" bestFit="1" customWidth="1"/>
    <col min="10255" max="10255" width="13.88671875" style="1" customWidth="1"/>
    <col min="10256" max="10256" width="14.88671875" style="1" customWidth="1"/>
    <col min="10257" max="10257" width="15" style="1" customWidth="1"/>
    <col min="10258" max="10258" width="11" style="1" customWidth="1"/>
    <col min="10259" max="10259" width="8.6640625" style="1" customWidth="1"/>
    <col min="10260" max="10260" width="12.33203125" style="1" customWidth="1"/>
    <col min="10261" max="10261" width="11.5546875" style="1" bestFit="1" customWidth="1"/>
    <col min="10262" max="10262" width="8.6640625" style="1" customWidth="1"/>
    <col min="10263" max="10265" width="9.109375" style="1"/>
    <col min="10266" max="10266" width="11.5546875" style="1" bestFit="1" customWidth="1"/>
    <col min="10267" max="10496" width="9.109375" style="1"/>
    <col min="10497" max="10497" width="10.88671875" style="1" customWidth="1"/>
    <col min="10498" max="10498" width="0.109375" style="1" customWidth="1"/>
    <col min="10499" max="10499" width="0" style="1" hidden="1" customWidth="1"/>
    <col min="10500" max="10500" width="13.5546875" style="1" customWidth="1"/>
    <col min="10501" max="10501" width="10" style="1" customWidth="1"/>
    <col min="10502" max="10502" width="9.6640625" style="1" customWidth="1"/>
    <col min="10503" max="10503" width="0" style="1" hidden="1" customWidth="1"/>
    <col min="10504" max="10504" width="11.33203125" style="1" customWidth="1"/>
    <col min="10505" max="10505" width="11.6640625" style="1" customWidth="1"/>
    <col min="10506" max="10506" width="12" style="1" customWidth="1"/>
    <col min="10507" max="10507" width="10.44140625" style="1" customWidth="1"/>
    <col min="10508" max="10508" width="12.6640625" style="1" bestFit="1" customWidth="1"/>
    <col min="10509" max="10509" width="10.6640625" style="1" bestFit="1" customWidth="1"/>
    <col min="10510" max="10510" width="14.109375" style="1" bestFit="1" customWidth="1"/>
    <col min="10511" max="10511" width="13.88671875" style="1" customWidth="1"/>
    <col min="10512" max="10512" width="14.88671875" style="1" customWidth="1"/>
    <col min="10513" max="10513" width="15" style="1" customWidth="1"/>
    <col min="10514" max="10514" width="11" style="1" customWidth="1"/>
    <col min="10515" max="10515" width="8.6640625" style="1" customWidth="1"/>
    <col min="10516" max="10516" width="12.33203125" style="1" customWidth="1"/>
    <col min="10517" max="10517" width="11.5546875" style="1" bestFit="1" customWidth="1"/>
    <col min="10518" max="10518" width="8.6640625" style="1" customWidth="1"/>
    <col min="10519" max="10521" width="9.109375" style="1"/>
    <col min="10522" max="10522" width="11.5546875" style="1" bestFit="1" customWidth="1"/>
    <col min="10523" max="10752" width="9.109375" style="1"/>
    <col min="10753" max="10753" width="10.88671875" style="1" customWidth="1"/>
    <col min="10754" max="10754" width="0.109375" style="1" customWidth="1"/>
    <col min="10755" max="10755" width="0" style="1" hidden="1" customWidth="1"/>
    <col min="10756" max="10756" width="13.5546875" style="1" customWidth="1"/>
    <col min="10757" max="10757" width="10" style="1" customWidth="1"/>
    <col min="10758" max="10758" width="9.6640625" style="1" customWidth="1"/>
    <col min="10759" max="10759" width="0" style="1" hidden="1" customWidth="1"/>
    <col min="10760" max="10760" width="11.33203125" style="1" customWidth="1"/>
    <col min="10761" max="10761" width="11.6640625" style="1" customWidth="1"/>
    <col min="10762" max="10762" width="12" style="1" customWidth="1"/>
    <col min="10763" max="10763" width="10.44140625" style="1" customWidth="1"/>
    <col min="10764" max="10764" width="12.6640625" style="1" bestFit="1" customWidth="1"/>
    <col min="10765" max="10765" width="10.6640625" style="1" bestFit="1" customWidth="1"/>
    <col min="10766" max="10766" width="14.109375" style="1" bestFit="1" customWidth="1"/>
    <col min="10767" max="10767" width="13.88671875" style="1" customWidth="1"/>
    <col min="10768" max="10768" width="14.88671875" style="1" customWidth="1"/>
    <col min="10769" max="10769" width="15" style="1" customWidth="1"/>
    <col min="10770" max="10770" width="11" style="1" customWidth="1"/>
    <col min="10771" max="10771" width="8.6640625" style="1" customWidth="1"/>
    <col min="10772" max="10772" width="12.33203125" style="1" customWidth="1"/>
    <col min="10773" max="10773" width="11.5546875" style="1" bestFit="1" customWidth="1"/>
    <col min="10774" max="10774" width="8.6640625" style="1" customWidth="1"/>
    <col min="10775" max="10777" width="9.109375" style="1"/>
    <col min="10778" max="10778" width="11.5546875" style="1" bestFit="1" customWidth="1"/>
    <col min="10779" max="11008" width="9.109375" style="1"/>
    <col min="11009" max="11009" width="10.88671875" style="1" customWidth="1"/>
    <col min="11010" max="11010" width="0.109375" style="1" customWidth="1"/>
    <col min="11011" max="11011" width="0" style="1" hidden="1" customWidth="1"/>
    <col min="11012" max="11012" width="13.5546875" style="1" customWidth="1"/>
    <col min="11013" max="11013" width="10" style="1" customWidth="1"/>
    <col min="11014" max="11014" width="9.6640625" style="1" customWidth="1"/>
    <col min="11015" max="11015" width="0" style="1" hidden="1" customWidth="1"/>
    <col min="11016" max="11016" width="11.33203125" style="1" customWidth="1"/>
    <col min="11017" max="11017" width="11.6640625" style="1" customWidth="1"/>
    <col min="11018" max="11018" width="12" style="1" customWidth="1"/>
    <col min="11019" max="11019" width="10.44140625" style="1" customWidth="1"/>
    <col min="11020" max="11020" width="12.6640625" style="1" bestFit="1" customWidth="1"/>
    <col min="11021" max="11021" width="10.6640625" style="1" bestFit="1" customWidth="1"/>
    <col min="11022" max="11022" width="14.109375" style="1" bestFit="1" customWidth="1"/>
    <col min="11023" max="11023" width="13.88671875" style="1" customWidth="1"/>
    <col min="11024" max="11024" width="14.88671875" style="1" customWidth="1"/>
    <col min="11025" max="11025" width="15" style="1" customWidth="1"/>
    <col min="11026" max="11026" width="11" style="1" customWidth="1"/>
    <col min="11027" max="11027" width="8.6640625" style="1" customWidth="1"/>
    <col min="11028" max="11028" width="12.33203125" style="1" customWidth="1"/>
    <col min="11029" max="11029" width="11.5546875" style="1" bestFit="1" customWidth="1"/>
    <col min="11030" max="11030" width="8.6640625" style="1" customWidth="1"/>
    <col min="11031" max="11033" width="9.109375" style="1"/>
    <col min="11034" max="11034" width="11.5546875" style="1" bestFit="1" customWidth="1"/>
    <col min="11035" max="11264" width="9.109375" style="1"/>
    <col min="11265" max="11265" width="10.88671875" style="1" customWidth="1"/>
    <col min="11266" max="11266" width="0.109375" style="1" customWidth="1"/>
    <col min="11267" max="11267" width="0" style="1" hidden="1" customWidth="1"/>
    <col min="11268" max="11268" width="13.5546875" style="1" customWidth="1"/>
    <col min="11269" max="11269" width="10" style="1" customWidth="1"/>
    <col min="11270" max="11270" width="9.6640625" style="1" customWidth="1"/>
    <col min="11271" max="11271" width="0" style="1" hidden="1" customWidth="1"/>
    <col min="11272" max="11272" width="11.33203125" style="1" customWidth="1"/>
    <col min="11273" max="11273" width="11.6640625" style="1" customWidth="1"/>
    <col min="11274" max="11274" width="12" style="1" customWidth="1"/>
    <col min="11275" max="11275" width="10.44140625" style="1" customWidth="1"/>
    <col min="11276" max="11276" width="12.6640625" style="1" bestFit="1" customWidth="1"/>
    <col min="11277" max="11277" width="10.6640625" style="1" bestFit="1" customWidth="1"/>
    <col min="11278" max="11278" width="14.109375" style="1" bestFit="1" customWidth="1"/>
    <col min="11279" max="11279" width="13.88671875" style="1" customWidth="1"/>
    <col min="11280" max="11280" width="14.88671875" style="1" customWidth="1"/>
    <col min="11281" max="11281" width="15" style="1" customWidth="1"/>
    <col min="11282" max="11282" width="11" style="1" customWidth="1"/>
    <col min="11283" max="11283" width="8.6640625" style="1" customWidth="1"/>
    <col min="11284" max="11284" width="12.33203125" style="1" customWidth="1"/>
    <col min="11285" max="11285" width="11.5546875" style="1" bestFit="1" customWidth="1"/>
    <col min="11286" max="11286" width="8.6640625" style="1" customWidth="1"/>
    <col min="11287" max="11289" width="9.109375" style="1"/>
    <col min="11290" max="11290" width="11.5546875" style="1" bestFit="1" customWidth="1"/>
    <col min="11291" max="11520" width="9.109375" style="1"/>
    <col min="11521" max="11521" width="10.88671875" style="1" customWidth="1"/>
    <col min="11522" max="11522" width="0.109375" style="1" customWidth="1"/>
    <col min="11523" max="11523" width="0" style="1" hidden="1" customWidth="1"/>
    <col min="11524" max="11524" width="13.5546875" style="1" customWidth="1"/>
    <col min="11525" max="11525" width="10" style="1" customWidth="1"/>
    <col min="11526" max="11526" width="9.6640625" style="1" customWidth="1"/>
    <col min="11527" max="11527" width="0" style="1" hidden="1" customWidth="1"/>
    <col min="11528" max="11528" width="11.33203125" style="1" customWidth="1"/>
    <col min="11529" max="11529" width="11.6640625" style="1" customWidth="1"/>
    <col min="11530" max="11530" width="12" style="1" customWidth="1"/>
    <col min="11531" max="11531" width="10.44140625" style="1" customWidth="1"/>
    <col min="11532" max="11532" width="12.6640625" style="1" bestFit="1" customWidth="1"/>
    <col min="11533" max="11533" width="10.6640625" style="1" bestFit="1" customWidth="1"/>
    <col min="11534" max="11534" width="14.109375" style="1" bestFit="1" customWidth="1"/>
    <col min="11535" max="11535" width="13.88671875" style="1" customWidth="1"/>
    <col min="11536" max="11536" width="14.88671875" style="1" customWidth="1"/>
    <col min="11537" max="11537" width="15" style="1" customWidth="1"/>
    <col min="11538" max="11538" width="11" style="1" customWidth="1"/>
    <col min="11539" max="11539" width="8.6640625" style="1" customWidth="1"/>
    <col min="11540" max="11540" width="12.33203125" style="1" customWidth="1"/>
    <col min="11541" max="11541" width="11.5546875" style="1" bestFit="1" customWidth="1"/>
    <col min="11542" max="11542" width="8.6640625" style="1" customWidth="1"/>
    <col min="11543" max="11545" width="9.109375" style="1"/>
    <col min="11546" max="11546" width="11.5546875" style="1" bestFit="1" customWidth="1"/>
    <col min="11547" max="11776" width="9.109375" style="1"/>
    <col min="11777" max="11777" width="10.88671875" style="1" customWidth="1"/>
    <col min="11778" max="11778" width="0.109375" style="1" customWidth="1"/>
    <col min="11779" max="11779" width="0" style="1" hidden="1" customWidth="1"/>
    <col min="11780" max="11780" width="13.5546875" style="1" customWidth="1"/>
    <col min="11781" max="11781" width="10" style="1" customWidth="1"/>
    <col min="11782" max="11782" width="9.6640625" style="1" customWidth="1"/>
    <col min="11783" max="11783" width="0" style="1" hidden="1" customWidth="1"/>
    <col min="11784" max="11784" width="11.33203125" style="1" customWidth="1"/>
    <col min="11785" max="11785" width="11.6640625" style="1" customWidth="1"/>
    <col min="11786" max="11786" width="12" style="1" customWidth="1"/>
    <col min="11787" max="11787" width="10.44140625" style="1" customWidth="1"/>
    <col min="11788" max="11788" width="12.6640625" style="1" bestFit="1" customWidth="1"/>
    <col min="11789" max="11789" width="10.6640625" style="1" bestFit="1" customWidth="1"/>
    <col min="11790" max="11790" width="14.109375" style="1" bestFit="1" customWidth="1"/>
    <col min="11791" max="11791" width="13.88671875" style="1" customWidth="1"/>
    <col min="11792" max="11792" width="14.88671875" style="1" customWidth="1"/>
    <col min="11793" max="11793" width="15" style="1" customWidth="1"/>
    <col min="11794" max="11794" width="11" style="1" customWidth="1"/>
    <col min="11795" max="11795" width="8.6640625" style="1" customWidth="1"/>
    <col min="11796" max="11796" width="12.33203125" style="1" customWidth="1"/>
    <col min="11797" max="11797" width="11.5546875" style="1" bestFit="1" customWidth="1"/>
    <col min="11798" max="11798" width="8.6640625" style="1" customWidth="1"/>
    <col min="11799" max="11801" width="9.109375" style="1"/>
    <col min="11802" max="11802" width="11.5546875" style="1" bestFit="1" customWidth="1"/>
    <col min="11803" max="12032" width="9.109375" style="1"/>
    <col min="12033" max="12033" width="10.88671875" style="1" customWidth="1"/>
    <col min="12034" max="12034" width="0.109375" style="1" customWidth="1"/>
    <col min="12035" max="12035" width="0" style="1" hidden="1" customWidth="1"/>
    <col min="12036" max="12036" width="13.5546875" style="1" customWidth="1"/>
    <col min="12037" max="12037" width="10" style="1" customWidth="1"/>
    <col min="12038" max="12038" width="9.6640625" style="1" customWidth="1"/>
    <col min="12039" max="12039" width="0" style="1" hidden="1" customWidth="1"/>
    <col min="12040" max="12040" width="11.33203125" style="1" customWidth="1"/>
    <col min="12041" max="12041" width="11.6640625" style="1" customWidth="1"/>
    <col min="12042" max="12042" width="12" style="1" customWidth="1"/>
    <col min="12043" max="12043" width="10.44140625" style="1" customWidth="1"/>
    <col min="12044" max="12044" width="12.6640625" style="1" bestFit="1" customWidth="1"/>
    <col min="12045" max="12045" width="10.6640625" style="1" bestFit="1" customWidth="1"/>
    <col min="12046" max="12046" width="14.109375" style="1" bestFit="1" customWidth="1"/>
    <col min="12047" max="12047" width="13.88671875" style="1" customWidth="1"/>
    <col min="12048" max="12048" width="14.88671875" style="1" customWidth="1"/>
    <col min="12049" max="12049" width="15" style="1" customWidth="1"/>
    <col min="12050" max="12050" width="11" style="1" customWidth="1"/>
    <col min="12051" max="12051" width="8.6640625" style="1" customWidth="1"/>
    <col min="12052" max="12052" width="12.33203125" style="1" customWidth="1"/>
    <col min="12053" max="12053" width="11.5546875" style="1" bestFit="1" customWidth="1"/>
    <col min="12054" max="12054" width="8.6640625" style="1" customWidth="1"/>
    <col min="12055" max="12057" width="9.109375" style="1"/>
    <col min="12058" max="12058" width="11.5546875" style="1" bestFit="1" customWidth="1"/>
    <col min="12059" max="12288" width="9.109375" style="1"/>
    <col min="12289" max="12289" width="10.88671875" style="1" customWidth="1"/>
    <col min="12290" max="12290" width="0.109375" style="1" customWidth="1"/>
    <col min="12291" max="12291" width="0" style="1" hidden="1" customWidth="1"/>
    <col min="12292" max="12292" width="13.5546875" style="1" customWidth="1"/>
    <col min="12293" max="12293" width="10" style="1" customWidth="1"/>
    <col min="12294" max="12294" width="9.6640625" style="1" customWidth="1"/>
    <col min="12295" max="12295" width="0" style="1" hidden="1" customWidth="1"/>
    <col min="12296" max="12296" width="11.33203125" style="1" customWidth="1"/>
    <col min="12297" max="12297" width="11.6640625" style="1" customWidth="1"/>
    <col min="12298" max="12298" width="12" style="1" customWidth="1"/>
    <col min="12299" max="12299" width="10.44140625" style="1" customWidth="1"/>
    <col min="12300" max="12300" width="12.6640625" style="1" bestFit="1" customWidth="1"/>
    <col min="12301" max="12301" width="10.6640625" style="1" bestFit="1" customWidth="1"/>
    <col min="12302" max="12302" width="14.109375" style="1" bestFit="1" customWidth="1"/>
    <col min="12303" max="12303" width="13.88671875" style="1" customWidth="1"/>
    <col min="12304" max="12304" width="14.88671875" style="1" customWidth="1"/>
    <col min="12305" max="12305" width="15" style="1" customWidth="1"/>
    <col min="12306" max="12306" width="11" style="1" customWidth="1"/>
    <col min="12307" max="12307" width="8.6640625" style="1" customWidth="1"/>
    <col min="12308" max="12308" width="12.33203125" style="1" customWidth="1"/>
    <col min="12309" max="12309" width="11.5546875" style="1" bestFit="1" customWidth="1"/>
    <col min="12310" max="12310" width="8.6640625" style="1" customWidth="1"/>
    <col min="12311" max="12313" width="9.109375" style="1"/>
    <col min="12314" max="12314" width="11.5546875" style="1" bestFit="1" customWidth="1"/>
    <col min="12315" max="12544" width="9.109375" style="1"/>
    <col min="12545" max="12545" width="10.88671875" style="1" customWidth="1"/>
    <col min="12546" max="12546" width="0.109375" style="1" customWidth="1"/>
    <col min="12547" max="12547" width="0" style="1" hidden="1" customWidth="1"/>
    <col min="12548" max="12548" width="13.5546875" style="1" customWidth="1"/>
    <col min="12549" max="12549" width="10" style="1" customWidth="1"/>
    <col min="12550" max="12550" width="9.6640625" style="1" customWidth="1"/>
    <col min="12551" max="12551" width="0" style="1" hidden="1" customWidth="1"/>
    <col min="12552" max="12552" width="11.33203125" style="1" customWidth="1"/>
    <col min="12553" max="12553" width="11.6640625" style="1" customWidth="1"/>
    <col min="12554" max="12554" width="12" style="1" customWidth="1"/>
    <col min="12555" max="12555" width="10.44140625" style="1" customWidth="1"/>
    <col min="12556" max="12556" width="12.6640625" style="1" bestFit="1" customWidth="1"/>
    <col min="12557" max="12557" width="10.6640625" style="1" bestFit="1" customWidth="1"/>
    <col min="12558" max="12558" width="14.109375" style="1" bestFit="1" customWidth="1"/>
    <col min="12559" max="12559" width="13.88671875" style="1" customWidth="1"/>
    <col min="12560" max="12560" width="14.88671875" style="1" customWidth="1"/>
    <col min="12561" max="12561" width="15" style="1" customWidth="1"/>
    <col min="12562" max="12562" width="11" style="1" customWidth="1"/>
    <col min="12563" max="12563" width="8.6640625" style="1" customWidth="1"/>
    <col min="12564" max="12564" width="12.33203125" style="1" customWidth="1"/>
    <col min="12565" max="12565" width="11.5546875" style="1" bestFit="1" customWidth="1"/>
    <col min="12566" max="12566" width="8.6640625" style="1" customWidth="1"/>
    <col min="12567" max="12569" width="9.109375" style="1"/>
    <col min="12570" max="12570" width="11.5546875" style="1" bestFit="1" customWidth="1"/>
    <col min="12571" max="12800" width="9.109375" style="1"/>
    <col min="12801" max="12801" width="10.88671875" style="1" customWidth="1"/>
    <col min="12802" max="12802" width="0.109375" style="1" customWidth="1"/>
    <col min="12803" max="12803" width="0" style="1" hidden="1" customWidth="1"/>
    <col min="12804" max="12804" width="13.5546875" style="1" customWidth="1"/>
    <col min="12805" max="12805" width="10" style="1" customWidth="1"/>
    <col min="12806" max="12806" width="9.6640625" style="1" customWidth="1"/>
    <col min="12807" max="12807" width="0" style="1" hidden="1" customWidth="1"/>
    <col min="12808" max="12808" width="11.33203125" style="1" customWidth="1"/>
    <col min="12809" max="12809" width="11.6640625" style="1" customWidth="1"/>
    <col min="12810" max="12810" width="12" style="1" customWidth="1"/>
    <col min="12811" max="12811" width="10.44140625" style="1" customWidth="1"/>
    <col min="12812" max="12812" width="12.6640625" style="1" bestFit="1" customWidth="1"/>
    <col min="12813" max="12813" width="10.6640625" style="1" bestFit="1" customWidth="1"/>
    <col min="12814" max="12814" width="14.109375" style="1" bestFit="1" customWidth="1"/>
    <col min="12815" max="12815" width="13.88671875" style="1" customWidth="1"/>
    <col min="12816" max="12816" width="14.88671875" style="1" customWidth="1"/>
    <col min="12817" max="12817" width="15" style="1" customWidth="1"/>
    <col min="12818" max="12818" width="11" style="1" customWidth="1"/>
    <col min="12819" max="12819" width="8.6640625" style="1" customWidth="1"/>
    <col min="12820" max="12820" width="12.33203125" style="1" customWidth="1"/>
    <col min="12821" max="12821" width="11.5546875" style="1" bestFit="1" customWidth="1"/>
    <col min="12822" max="12822" width="8.6640625" style="1" customWidth="1"/>
    <col min="12823" max="12825" width="9.109375" style="1"/>
    <col min="12826" max="12826" width="11.5546875" style="1" bestFit="1" customWidth="1"/>
    <col min="12827" max="13056" width="9.109375" style="1"/>
    <col min="13057" max="13057" width="10.88671875" style="1" customWidth="1"/>
    <col min="13058" max="13058" width="0.109375" style="1" customWidth="1"/>
    <col min="13059" max="13059" width="0" style="1" hidden="1" customWidth="1"/>
    <col min="13060" max="13060" width="13.5546875" style="1" customWidth="1"/>
    <col min="13061" max="13061" width="10" style="1" customWidth="1"/>
    <col min="13062" max="13062" width="9.6640625" style="1" customWidth="1"/>
    <col min="13063" max="13063" width="0" style="1" hidden="1" customWidth="1"/>
    <col min="13064" max="13064" width="11.33203125" style="1" customWidth="1"/>
    <col min="13065" max="13065" width="11.6640625" style="1" customWidth="1"/>
    <col min="13066" max="13066" width="12" style="1" customWidth="1"/>
    <col min="13067" max="13067" width="10.44140625" style="1" customWidth="1"/>
    <col min="13068" max="13068" width="12.6640625" style="1" bestFit="1" customWidth="1"/>
    <col min="13069" max="13069" width="10.6640625" style="1" bestFit="1" customWidth="1"/>
    <col min="13070" max="13070" width="14.109375" style="1" bestFit="1" customWidth="1"/>
    <col min="13071" max="13071" width="13.88671875" style="1" customWidth="1"/>
    <col min="13072" max="13072" width="14.88671875" style="1" customWidth="1"/>
    <col min="13073" max="13073" width="15" style="1" customWidth="1"/>
    <col min="13074" max="13074" width="11" style="1" customWidth="1"/>
    <col min="13075" max="13075" width="8.6640625" style="1" customWidth="1"/>
    <col min="13076" max="13076" width="12.33203125" style="1" customWidth="1"/>
    <col min="13077" max="13077" width="11.5546875" style="1" bestFit="1" customWidth="1"/>
    <col min="13078" max="13078" width="8.6640625" style="1" customWidth="1"/>
    <col min="13079" max="13081" width="9.109375" style="1"/>
    <col min="13082" max="13082" width="11.5546875" style="1" bestFit="1" customWidth="1"/>
    <col min="13083" max="13312" width="9.109375" style="1"/>
    <col min="13313" max="13313" width="10.88671875" style="1" customWidth="1"/>
    <col min="13314" max="13314" width="0.109375" style="1" customWidth="1"/>
    <col min="13315" max="13315" width="0" style="1" hidden="1" customWidth="1"/>
    <col min="13316" max="13316" width="13.5546875" style="1" customWidth="1"/>
    <col min="13317" max="13317" width="10" style="1" customWidth="1"/>
    <col min="13318" max="13318" width="9.6640625" style="1" customWidth="1"/>
    <col min="13319" max="13319" width="0" style="1" hidden="1" customWidth="1"/>
    <col min="13320" max="13320" width="11.33203125" style="1" customWidth="1"/>
    <col min="13321" max="13321" width="11.6640625" style="1" customWidth="1"/>
    <col min="13322" max="13322" width="12" style="1" customWidth="1"/>
    <col min="13323" max="13323" width="10.44140625" style="1" customWidth="1"/>
    <col min="13324" max="13324" width="12.6640625" style="1" bestFit="1" customWidth="1"/>
    <col min="13325" max="13325" width="10.6640625" style="1" bestFit="1" customWidth="1"/>
    <col min="13326" max="13326" width="14.109375" style="1" bestFit="1" customWidth="1"/>
    <col min="13327" max="13327" width="13.88671875" style="1" customWidth="1"/>
    <col min="13328" max="13328" width="14.88671875" style="1" customWidth="1"/>
    <col min="13329" max="13329" width="15" style="1" customWidth="1"/>
    <col min="13330" max="13330" width="11" style="1" customWidth="1"/>
    <col min="13331" max="13331" width="8.6640625" style="1" customWidth="1"/>
    <col min="13332" max="13332" width="12.33203125" style="1" customWidth="1"/>
    <col min="13333" max="13333" width="11.5546875" style="1" bestFit="1" customWidth="1"/>
    <col min="13334" max="13334" width="8.6640625" style="1" customWidth="1"/>
    <col min="13335" max="13337" width="9.109375" style="1"/>
    <col min="13338" max="13338" width="11.5546875" style="1" bestFit="1" customWidth="1"/>
    <col min="13339" max="13568" width="9.109375" style="1"/>
    <col min="13569" max="13569" width="10.88671875" style="1" customWidth="1"/>
    <col min="13570" max="13570" width="0.109375" style="1" customWidth="1"/>
    <col min="13571" max="13571" width="0" style="1" hidden="1" customWidth="1"/>
    <col min="13572" max="13572" width="13.5546875" style="1" customWidth="1"/>
    <col min="13573" max="13573" width="10" style="1" customWidth="1"/>
    <col min="13574" max="13574" width="9.6640625" style="1" customWidth="1"/>
    <col min="13575" max="13575" width="0" style="1" hidden="1" customWidth="1"/>
    <col min="13576" max="13576" width="11.33203125" style="1" customWidth="1"/>
    <col min="13577" max="13577" width="11.6640625" style="1" customWidth="1"/>
    <col min="13578" max="13578" width="12" style="1" customWidth="1"/>
    <col min="13579" max="13579" width="10.44140625" style="1" customWidth="1"/>
    <col min="13580" max="13580" width="12.6640625" style="1" bestFit="1" customWidth="1"/>
    <col min="13581" max="13581" width="10.6640625" style="1" bestFit="1" customWidth="1"/>
    <col min="13582" max="13582" width="14.109375" style="1" bestFit="1" customWidth="1"/>
    <col min="13583" max="13583" width="13.88671875" style="1" customWidth="1"/>
    <col min="13584" max="13584" width="14.88671875" style="1" customWidth="1"/>
    <col min="13585" max="13585" width="15" style="1" customWidth="1"/>
    <col min="13586" max="13586" width="11" style="1" customWidth="1"/>
    <col min="13587" max="13587" width="8.6640625" style="1" customWidth="1"/>
    <col min="13588" max="13588" width="12.33203125" style="1" customWidth="1"/>
    <col min="13589" max="13589" width="11.5546875" style="1" bestFit="1" customWidth="1"/>
    <col min="13590" max="13590" width="8.6640625" style="1" customWidth="1"/>
    <col min="13591" max="13593" width="9.109375" style="1"/>
    <col min="13594" max="13594" width="11.5546875" style="1" bestFit="1" customWidth="1"/>
    <col min="13595" max="13824" width="9.109375" style="1"/>
    <col min="13825" max="13825" width="10.88671875" style="1" customWidth="1"/>
    <col min="13826" max="13826" width="0.109375" style="1" customWidth="1"/>
    <col min="13827" max="13827" width="0" style="1" hidden="1" customWidth="1"/>
    <col min="13828" max="13828" width="13.5546875" style="1" customWidth="1"/>
    <col min="13829" max="13829" width="10" style="1" customWidth="1"/>
    <col min="13830" max="13830" width="9.6640625" style="1" customWidth="1"/>
    <col min="13831" max="13831" width="0" style="1" hidden="1" customWidth="1"/>
    <col min="13832" max="13832" width="11.33203125" style="1" customWidth="1"/>
    <col min="13833" max="13833" width="11.6640625" style="1" customWidth="1"/>
    <col min="13834" max="13834" width="12" style="1" customWidth="1"/>
    <col min="13835" max="13835" width="10.44140625" style="1" customWidth="1"/>
    <col min="13836" max="13836" width="12.6640625" style="1" bestFit="1" customWidth="1"/>
    <col min="13837" max="13837" width="10.6640625" style="1" bestFit="1" customWidth="1"/>
    <col min="13838" max="13838" width="14.109375" style="1" bestFit="1" customWidth="1"/>
    <col min="13839" max="13839" width="13.88671875" style="1" customWidth="1"/>
    <col min="13840" max="13840" width="14.88671875" style="1" customWidth="1"/>
    <col min="13841" max="13841" width="15" style="1" customWidth="1"/>
    <col min="13842" max="13842" width="11" style="1" customWidth="1"/>
    <col min="13843" max="13843" width="8.6640625" style="1" customWidth="1"/>
    <col min="13844" max="13844" width="12.33203125" style="1" customWidth="1"/>
    <col min="13845" max="13845" width="11.5546875" style="1" bestFit="1" customWidth="1"/>
    <col min="13846" max="13846" width="8.6640625" style="1" customWidth="1"/>
    <col min="13847" max="13849" width="9.109375" style="1"/>
    <col min="13850" max="13850" width="11.5546875" style="1" bestFit="1" customWidth="1"/>
    <col min="13851" max="14080" width="9.109375" style="1"/>
    <col min="14081" max="14081" width="10.88671875" style="1" customWidth="1"/>
    <col min="14082" max="14082" width="0.109375" style="1" customWidth="1"/>
    <col min="14083" max="14083" width="0" style="1" hidden="1" customWidth="1"/>
    <col min="14084" max="14084" width="13.5546875" style="1" customWidth="1"/>
    <col min="14085" max="14085" width="10" style="1" customWidth="1"/>
    <col min="14086" max="14086" width="9.6640625" style="1" customWidth="1"/>
    <col min="14087" max="14087" width="0" style="1" hidden="1" customWidth="1"/>
    <col min="14088" max="14088" width="11.33203125" style="1" customWidth="1"/>
    <col min="14089" max="14089" width="11.6640625" style="1" customWidth="1"/>
    <col min="14090" max="14090" width="12" style="1" customWidth="1"/>
    <col min="14091" max="14091" width="10.44140625" style="1" customWidth="1"/>
    <col min="14092" max="14092" width="12.6640625" style="1" bestFit="1" customWidth="1"/>
    <col min="14093" max="14093" width="10.6640625" style="1" bestFit="1" customWidth="1"/>
    <col min="14094" max="14094" width="14.109375" style="1" bestFit="1" customWidth="1"/>
    <col min="14095" max="14095" width="13.88671875" style="1" customWidth="1"/>
    <col min="14096" max="14096" width="14.88671875" style="1" customWidth="1"/>
    <col min="14097" max="14097" width="15" style="1" customWidth="1"/>
    <col min="14098" max="14098" width="11" style="1" customWidth="1"/>
    <col min="14099" max="14099" width="8.6640625" style="1" customWidth="1"/>
    <col min="14100" max="14100" width="12.33203125" style="1" customWidth="1"/>
    <col min="14101" max="14101" width="11.5546875" style="1" bestFit="1" customWidth="1"/>
    <col min="14102" max="14102" width="8.6640625" style="1" customWidth="1"/>
    <col min="14103" max="14105" width="9.109375" style="1"/>
    <col min="14106" max="14106" width="11.5546875" style="1" bestFit="1" customWidth="1"/>
    <col min="14107" max="14336" width="9.109375" style="1"/>
    <col min="14337" max="14337" width="10.88671875" style="1" customWidth="1"/>
    <col min="14338" max="14338" width="0.109375" style="1" customWidth="1"/>
    <col min="14339" max="14339" width="0" style="1" hidden="1" customWidth="1"/>
    <col min="14340" max="14340" width="13.5546875" style="1" customWidth="1"/>
    <col min="14341" max="14341" width="10" style="1" customWidth="1"/>
    <col min="14342" max="14342" width="9.6640625" style="1" customWidth="1"/>
    <col min="14343" max="14343" width="0" style="1" hidden="1" customWidth="1"/>
    <col min="14344" max="14344" width="11.33203125" style="1" customWidth="1"/>
    <col min="14345" max="14345" width="11.6640625" style="1" customWidth="1"/>
    <col min="14346" max="14346" width="12" style="1" customWidth="1"/>
    <col min="14347" max="14347" width="10.44140625" style="1" customWidth="1"/>
    <col min="14348" max="14348" width="12.6640625" style="1" bestFit="1" customWidth="1"/>
    <col min="14349" max="14349" width="10.6640625" style="1" bestFit="1" customWidth="1"/>
    <col min="14350" max="14350" width="14.109375" style="1" bestFit="1" customWidth="1"/>
    <col min="14351" max="14351" width="13.88671875" style="1" customWidth="1"/>
    <col min="14352" max="14352" width="14.88671875" style="1" customWidth="1"/>
    <col min="14353" max="14353" width="15" style="1" customWidth="1"/>
    <col min="14354" max="14354" width="11" style="1" customWidth="1"/>
    <col min="14355" max="14355" width="8.6640625" style="1" customWidth="1"/>
    <col min="14356" max="14356" width="12.33203125" style="1" customWidth="1"/>
    <col min="14357" max="14357" width="11.5546875" style="1" bestFit="1" customWidth="1"/>
    <col min="14358" max="14358" width="8.6640625" style="1" customWidth="1"/>
    <col min="14359" max="14361" width="9.109375" style="1"/>
    <col min="14362" max="14362" width="11.5546875" style="1" bestFit="1" customWidth="1"/>
    <col min="14363" max="14592" width="9.109375" style="1"/>
    <col min="14593" max="14593" width="10.88671875" style="1" customWidth="1"/>
    <col min="14594" max="14594" width="0.109375" style="1" customWidth="1"/>
    <col min="14595" max="14595" width="0" style="1" hidden="1" customWidth="1"/>
    <col min="14596" max="14596" width="13.5546875" style="1" customWidth="1"/>
    <col min="14597" max="14597" width="10" style="1" customWidth="1"/>
    <col min="14598" max="14598" width="9.6640625" style="1" customWidth="1"/>
    <col min="14599" max="14599" width="0" style="1" hidden="1" customWidth="1"/>
    <col min="14600" max="14600" width="11.33203125" style="1" customWidth="1"/>
    <col min="14601" max="14601" width="11.6640625" style="1" customWidth="1"/>
    <col min="14602" max="14602" width="12" style="1" customWidth="1"/>
    <col min="14603" max="14603" width="10.44140625" style="1" customWidth="1"/>
    <col min="14604" max="14604" width="12.6640625" style="1" bestFit="1" customWidth="1"/>
    <col min="14605" max="14605" width="10.6640625" style="1" bestFit="1" customWidth="1"/>
    <col min="14606" max="14606" width="14.109375" style="1" bestFit="1" customWidth="1"/>
    <col min="14607" max="14607" width="13.88671875" style="1" customWidth="1"/>
    <col min="14608" max="14608" width="14.88671875" style="1" customWidth="1"/>
    <col min="14609" max="14609" width="15" style="1" customWidth="1"/>
    <col min="14610" max="14610" width="11" style="1" customWidth="1"/>
    <col min="14611" max="14611" width="8.6640625" style="1" customWidth="1"/>
    <col min="14612" max="14612" width="12.33203125" style="1" customWidth="1"/>
    <col min="14613" max="14613" width="11.5546875" style="1" bestFit="1" customWidth="1"/>
    <col min="14614" max="14614" width="8.6640625" style="1" customWidth="1"/>
    <col min="14615" max="14617" width="9.109375" style="1"/>
    <col min="14618" max="14618" width="11.5546875" style="1" bestFit="1" customWidth="1"/>
    <col min="14619" max="14848" width="9.109375" style="1"/>
    <col min="14849" max="14849" width="10.88671875" style="1" customWidth="1"/>
    <col min="14850" max="14850" width="0.109375" style="1" customWidth="1"/>
    <col min="14851" max="14851" width="0" style="1" hidden="1" customWidth="1"/>
    <col min="14852" max="14852" width="13.5546875" style="1" customWidth="1"/>
    <col min="14853" max="14853" width="10" style="1" customWidth="1"/>
    <col min="14854" max="14854" width="9.6640625" style="1" customWidth="1"/>
    <col min="14855" max="14855" width="0" style="1" hidden="1" customWidth="1"/>
    <col min="14856" max="14856" width="11.33203125" style="1" customWidth="1"/>
    <col min="14857" max="14857" width="11.6640625" style="1" customWidth="1"/>
    <col min="14858" max="14858" width="12" style="1" customWidth="1"/>
    <col min="14859" max="14859" width="10.44140625" style="1" customWidth="1"/>
    <col min="14860" max="14860" width="12.6640625" style="1" bestFit="1" customWidth="1"/>
    <col min="14861" max="14861" width="10.6640625" style="1" bestFit="1" customWidth="1"/>
    <col min="14862" max="14862" width="14.109375" style="1" bestFit="1" customWidth="1"/>
    <col min="14863" max="14863" width="13.88671875" style="1" customWidth="1"/>
    <col min="14864" max="14864" width="14.88671875" style="1" customWidth="1"/>
    <col min="14865" max="14865" width="15" style="1" customWidth="1"/>
    <col min="14866" max="14866" width="11" style="1" customWidth="1"/>
    <col min="14867" max="14867" width="8.6640625" style="1" customWidth="1"/>
    <col min="14868" max="14868" width="12.33203125" style="1" customWidth="1"/>
    <col min="14869" max="14869" width="11.5546875" style="1" bestFit="1" customWidth="1"/>
    <col min="14870" max="14870" width="8.6640625" style="1" customWidth="1"/>
    <col min="14871" max="14873" width="9.109375" style="1"/>
    <col min="14874" max="14874" width="11.5546875" style="1" bestFit="1" customWidth="1"/>
    <col min="14875" max="15104" width="9.109375" style="1"/>
    <col min="15105" max="15105" width="10.88671875" style="1" customWidth="1"/>
    <col min="15106" max="15106" width="0.109375" style="1" customWidth="1"/>
    <col min="15107" max="15107" width="0" style="1" hidden="1" customWidth="1"/>
    <col min="15108" max="15108" width="13.5546875" style="1" customWidth="1"/>
    <col min="15109" max="15109" width="10" style="1" customWidth="1"/>
    <col min="15110" max="15110" width="9.6640625" style="1" customWidth="1"/>
    <col min="15111" max="15111" width="0" style="1" hidden="1" customWidth="1"/>
    <col min="15112" max="15112" width="11.33203125" style="1" customWidth="1"/>
    <col min="15113" max="15113" width="11.6640625" style="1" customWidth="1"/>
    <col min="15114" max="15114" width="12" style="1" customWidth="1"/>
    <col min="15115" max="15115" width="10.44140625" style="1" customWidth="1"/>
    <col min="15116" max="15116" width="12.6640625" style="1" bestFit="1" customWidth="1"/>
    <col min="15117" max="15117" width="10.6640625" style="1" bestFit="1" customWidth="1"/>
    <col min="15118" max="15118" width="14.109375" style="1" bestFit="1" customWidth="1"/>
    <col min="15119" max="15119" width="13.88671875" style="1" customWidth="1"/>
    <col min="15120" max="15120" width="14.88671875" style="1" customWidth="1"/>
    <col min="15121" max="15121" width="15" style="1" customWidth="1"/>
    <col min="15122" max="15122" width="11" style="1" customWidth="1"/>
    <col min="15123" max="15123" width="8.6640625" style="1" customWidth="1"/>
    <col min="15124" max="15124" width="12.33203125" style="1" customWidth="1"/>
    <col min="15125" max="15125" width="11.5546875" style="1" bestFit="1" customWidth="1"/>
    <col min="15126" max="15126" width="8.6640625" style="1" customWidth="1"/>
    <col min="15127" max="15129" width="9.109375" style="1"/>
    <col min="15130" max="15130" width="11.5546875" style="1" bestFit="1" customWidth="1"/>
    <col min="15131" max="15360" width="9.109375" style="1"/>
    <col min="15361" max="15361" width="10.88671875" style="1" customWidth="1"/>
    <col min="15362" max="15362" width="0.109375" style="1" customWidth="1"/>
    <col min="15363" max="15363" width="0" style="1" hidden="1" customWidth="1"/>
    <col min="15364" max="15364" width="13.5546875" style="1" customWidth="1"/>
    <col min="15365" max="15365" width="10" style="1" customWidth="1"/>
    <col min="15366" max="15366" width="9.6640625" style="1" customWidth="1"/>
    <col min="15367" max="15367" width="0" style="1" hidden="1" customWidth="1"/>
    <col min="15368" max="15368" width="11.33203125" style="1" customWidth="1"/>
    <col min="15369" max="15369" width="11.6640625" style="1" customWidth="1"/>
    <col min="15370" max="15370" width="12" style="1" customWidth="1"/>
    <col min="15371" max="15371" width="10.44140625" style="1" customWidth="1"/>
    <col min="15372" max="15372" width="12.6640625" style="1" bestFit="1" customWidth="1"/>
    <col min="15373" max="15373" width="10.6640625" style="1" bestFit="1" customWidth="1"/>
    <col min="15374" max="15374" width="14.109375" style="1" bestFit="1" customWidth="1"/>
    <col min="15375" max="15375" width="13.88671875" style="1" customWidth="1"/>
    <col min="15376" max="15376" width="14.88671875" style="1" customWidth="1"/>
    <col min="15377" max="15377" width="15" style="1" customWidth="1"/>
    <col min="15378" max="15378" width="11" style="1" customWidth="1"/>
    <col min="15379" max="15379" width="8.6640625" style="1" customWidth="1"/>
    <col min="15380" max="15380" width="12.33203125" style="1" customWidth="1"/>
    <col min="15381" max="15381" width="11.5546875" style="1" bestFit="1" customWidth="1"/>
    <col min="15382" max="15382" width="8.6640625" style="1" customWidth="1"/>
    <col min="15383" max="15385" width="9.109375" style="1"/>
    <col min="15386" max="15386" width="11.5546875" style="1" bestFit="1" customWidth="1"/>
    <col min="15387" max="15616" width="9.109375" style="1"/>
    <col min="15617" max="15617" width="10.88671875" style="1" customWidth="1"/>
    <col min="15618" max="15618" width="0.109375" style="1" customWidth="1"/>
    <col min="15619" max="15619" width="0" style="1" hidden="1" customWidth="1"/>
    <col min="15620" max="15620" width="13.5546875" style="1" customWidth="1"/>
    <col min="15621" max="15621" width="10" style="1" customWidth="1"/>
    <col min="15622" max="15622" width="9.6640625" style="1" customWidth="1"/>
    <col min="15623" max="15623" width="0" style="1" hidden="1" customWidth="1"/>
    <col min="15624" max="15624" width="11.33203125" style="1" customWidth="1"/>
    <col min="15625" max="15625" width="11.6640625" style="1" customWidth="1"/>
    <col min="15626" max="15626" width="12" style="1" customWidth="1"/>
    <col min="15627" max="15627" width="10.44140625" style="1" customWidth="1"/>
    <col min="15628" max="15628" width="12.6640625" style="1" bestFit="1" customWidth="1"/>
    <col min="15629" max="15629" width="10.6640625" style="1" bestFit="1" customWidth="1"/>
    <col min="15630" max="15630" width="14.109375" style="1" bestFit="1" customWidth="1"/>
    <col min="15631" max="15631" width="13.88671875" style="1" customWidth="1"/>
    <col min="15632" max="15632" width="14.88671875" style="1" customWidth="1"/>
    <col min="15633" max="15633" width="15" style="1" customWidth="1"/>
    <col min="15634" max="15634" width="11" style="1" customWidth="1"/>
    <col min="15635" max="15635" width="8.6640625" style="1" customWidth="1"/>
    <col min="15636" max="15636" width="12.33203125" style="1" customWidth="1"/>
    <col min="15637" max="15637" width="11.5546875" style="1" bestFit="1" customWidth="1"/>
    <col min="15638" max="15638" width="8.6640625" style="1" customWidth="1"/>
    <col min="15639" max="15641" width="9.109375" style="1"/>
    <col min="15642" max="15642" width="11.5546875" style="1" bestFit="1" customWidth="1"/>
    <col min="15643" max="15872" width="9.109375" style="1"/>
    <col min="15873" max="15873" width="10.88671875" style="1" customWidth="1"/>
    <col min="15874" max="15874" width="0.109375" style="1" customWidth="1"/>
    <col min="15875" max="15875" width="0" style="1" hidden="1" customWidth="1"/>
    <col min="15876" max="15876" width="13.5546875" style="1" customWidth="1"/>
    <col min="15877" max="15877" width="10" style="1" customWidth="1"/>
    <col min="15878" max="15878" width="9.6640625" style="1" customWidth="1"/>
    <col min="15879" max="15879" width="0" style="1" hidden="1" customWidth="1"/>
    <col min="15880" max="15880" width="11.33203125" style="1" customWidth="1"/>
    <col min="15881" max="15881" width="11.6640625" style="1" customWidth="1"/>
    <col min="15882" max="15882" width="12" style="1" customWidth="1"/>
    <col min="15883" max="15883" width="10.44140625" style="1" customWidth="1"/>
    <col min="15884" max="15884" width="12.6640625" style="1" bestFit="1" customWidth="1"/>
    <col min="15885" max="15885" width="10.6640625" style="1" bestFit="1" customWidth="1"/>
    <col min="15886" max="15886" width="14.109375" style="1" bestFit="1" customWidth="1"/>
    <col min="15887" max="15887" width="13.88671875" style="1" customWidth="1"/>
    <col min="15888" max="15888" width="14.88671875" style="1" customWidth="1"/>
    <col min="15889" max="15889" width="15" style="1" customWidth="1"/>
    <col min="15890" max="15890" width="11" style="1" customWidth="1"/>
    <col min="15891" max="15891" width="8.6640625" style="1" customWidth="1"/>
    <col min="15892" max="15892" width="12.33203125" style="1" customWidth="1"/>
    <col min="15893" max="15893" width="11.5546875" style="1" bestFit="1" customWidth="1"/>
    <col min="15894" max="15894" width="8.6640625" style="1" customWidth="1"/>
    <col min="15895" max="15897" width="9.109375" style="1"/>
    <col min="15898" max="15898" width="11.5546875" style="1" bestFit="1" customWidth="1"/>
    <col min="15899" max="16128" width="9.109375" style="1"/>
    <col min="16129" max="16129" width="10.88671875" style="1" customWidth="1"/>
    <col min="16130" max="16130" width="0.109375" style="1" customWidth="1"/>
    <col min="16131" max="16131" width="0" style="1" hidden="1" customWidth="1"/>
    <col min="16132" max="16132" width="13.5546875" style="1" customWidth="1"/>
    <col min="16133" max="16133" width="10" style="1" customWidth="1"/>
    <col min="16134" max="16134" width="9.6640625" style="1" customWidth="1"/>
    <col min="16135" max="16135" width="0" style="1" hidden="1" customWidth="1"/>
    <col min="16136" max="16136" width="11.33203125" style="1" customWidth="1"/>
    <col min="16137" max="16137" width="11.6640625" style="1" customWidth="1"/>
    <col min="16138" max="16138" width="12" style="1" customWidth="1"/>
    <col min="16139" max="16139" width="10.44140625" style="1" customWidth="1"/>
    <col min="16140" max="16140" width="12.6640625" style="1" bestFit="1" customWidth="1"/>
    <col min="16141" max="16141" width="10.6640625" style="1" bestFit="1" customWidth="1"/>
    <col min="16142" max="16142" width="14.109375" style="1" bestFit="1" customWidth="1"/>
    <col min="16143" max="16143" width="13.88671875" style="1" customWidth="1"/>
    <col min="16144" max="16144" width="14.88671875" style="1" customWidth="1"/>
    <col min="16145" max="16145" width="15" style="1" customWidth="1"/>
    <col min="16146" max="16146" width="11" style="1" customWidth="1"/>
    <col min="16147" max="16147" width="8.6640625" style="1" customWidth="1"/>
    <col min="16148" max="16148" width="12.33203125" style="1" customWidth="1"/>
    <col min="16149" max="16149" width="11.5546875" style="1" bestFit="1" customWidth="1"/>
    <col min="16150" max="16150" width="8.6640625" style="1" customWidth="1"/>
    <col min="16151" max="16153" width="9.109375" style="1"/>
    <col min="16154" max="16154" width="11.5546875" style="1" bestFit="1" customWidth="1"/>
    <col min="16155" max="16384" width="9.109375" style="1"/>
  </cols>
  <sheetData>
    <row r="1" spans="1:41" ht="35.25" customHeight="1" thickBot="1" x14ac:dyDescent="0.35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44"/>
    </row>
    <row r="2" spans="1:41" x14ac:dyDescent="0.3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 x14ac:dyDescent="0.3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 x14ac:dyDescent="0.3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 x14ac:dyDescent="0.3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 x14ac:dyDescent="0.3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 x14ac:dyDescent="0.3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 x14ac:dyDescent="0.3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 x14ac:dyDescent="0.3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 x14ac:dyDescent="0.3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 x14ac:dyDescent="0.3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 x14ac:dyDescent="0.3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 x14ac:dyDescent="0.3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 x14ac:dyDescent="0.3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 x14ac:dyDescent="0.3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 x14ac:dyDescent="0.3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 x14ac:dyDescent="0.3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 x14ac:dyDescent="0.3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 x14ac:dyDescent="0.3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" thickBot="1" x14ac:dyDescent="0.35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" thickBot="1" x14ac:dyDescent="0.35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1" t="s">
        <v>28</v>
      </c>
      <c r="Q21" s="182"/>
      <c r="R21" s="19">
        <f t="shared" si="7"/>
        <v>1</v>
      </c>
      <c r="S21" s="19">
        <f t="shared" si="8"/>
        <v>0</v>
      </c>
      <c r="T21" s="145"/>
    </row>
    <row r="22" spans="1:21" ht="15" thickBot="1" x14ac:dyDescent="0.35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3"/>
      <c r="Q22" s="184"/>
      <c r="R22" s="19">
        <f t="shared" si="7"/>
        <v>1</v>
      </c>
      <c r="S22" s="19">
        <f t="shared" si="8"/>
        <v>0</v>
      </c>
      <c r="T22" s="145"/>
    </row>
    <row r="23" spans="1:21" ht="15" thickBot="1" x14ac:dyDescent="0.35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29</v>
      </c>
      <c r="Q23" s="62" t="s">
        <v>30</v>
      </c>
      <c r="R23" s="19">
        <f>IF(N23="",0,1)</f>
        <v>1</v>
      </c>
      <c r="S23" s="19">
        <f t="shared" si="8"/>
        <v>0</v>
      </c>
      <c r="T23" s="144"/>
    </row>
    <row r="24" spans="1:21" ht="15" thickBot="1" x14ac:dyDescent="0.35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" thickBot="1" x14ac:dyDescent="0.35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" thickBot="1" x14ac:dyDescent="0.35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31</v>
      </c>
      <c r="Q26" s="66" t="s">
        <v>32</v>
      </c>
      <c r="R26" s="19">
        <f t="shared" si="7"/>
        <v>1</v>
      </c>
      <c r="S26" s="19">
        <f t="shared" si="8"/>
        <v>0</v>
      </c>
      <c r="T26" s="145"/>
    </row>
    <row r="27" spans="1:21" ht="15" thickBot="1" x14ac:dyDescent="0.35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" thickBot="1" x14ac:dyDescent="0.35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33</v>
      </c>
      <c r="Q28" s="70" t="s">
        <v>34</v>
      </c>
      <c r="R28" s="19">
        <f t="shared" si="7"/>
        <v>1</v>
      </c>
      <c r="S28" s="19">
        <f t="shared" si="8"/>
        <v>0</v>
      </c>
      <c r="T28" s="144"/>
    </row>
    <row r="29" spans="1:21" ht="15" thickBot="1" x14ac:dyDescent="0.35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" thickBot="1" x14ac:dyDescent="0.35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35</v>
      </c>
      <c r="Q30" s="147" t="s">
        <v>36</v>
      </c>
      <c r="R30" s="19">
        <f t="shared" si="7"/>
        <v>1</v>
      </c>
      <c r="S30" s="19">
        <f t="shared" si="8"/>
        <v>0</v>
      </c>
      <c r="T30" s="145"/>
    </row>
    <row r="31" spans="1:21" ht="15" thickBot="1" x14ac:dyDescent="0.35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 x14ac:dyDescent="0.35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37</v>
      </c>
      <c r="Q32" s="149" t="s">
        <v>38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" thickBot="1" x14ac:dyDescent="0.35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" thickBot="1" x14ac:dyDescent="0.35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39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" thickBot="1" x14ac:dyDescent="0.35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" thickBot="1" x14ac:dyDescent="0.35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" thickBot="1" x14ac:dyDescent="0.35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" thickBot="1" x14ac:dyDescent="0.35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" thickBot="1" x14ac:dyDescent="0.35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" thickBot="1" x14ac:dyDescent="0.35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" thickBot="1" x14ac:dyDescent="0.35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" thickBot="1" x14ac:dyDescent="0.35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" thickBot="1" x14ac:dyDescent="0.35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" thickBot="1" x14ac:dyDescent="0.35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" thickBot="1" x14ac:dyDescent="0.35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" thickBot="1" x14ac:dyDescent="0.35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" thickBot="1" x14ac:dyDescent="0.35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" thickBot="1" x14ac:dyDescent="0.35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" thickBot="1" x14ac:dyDescent="0.35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1" t="s">
        <v>40</v>
      </c>
      <c r="Q49" s="182"/>
      <c r="R49" s="19">
        <f t="shared" si="7"/>
        <v>1</v>
      </c>
      <c r="S49" s="19">
        <f t="shared" si="8"/>
        <v>0</v>
      </c>
      <c r="T49" s="144"/>
    </row>
    <row r="50" spans="1:20" ht="15" thickBot="1" x14ac:dyDescent="0.35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3"/>
      <c r="Q50" s="184"/>
      <c r="R50" s="19">
        <f t="shared" si="7"/>
        <v>1</v>
      </c>
      <c r="S50" s="19">
        <f t="shared" si="8"/>
        <v>0</v>
      </c>
      <c r="T50" s="144"/>
    </row>
    <row r="51" spans="1:20" ht="15" thickBot="1" x14ac:dyDescent="0.35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29</v>
      </c>
      <c r="Q51" s="62" t="s">
        <v>30</v>
      </c>
      <c r="R51" s="19">
        <f t="shared" si="7"/>
        <v>1</v>
      </c>
      <c r="S51" s="19">
        <f t="shared" si="8"/>
        <v>0</v>
      </c>
      <c r="T51" s="145"/>
    </row>
    <row r="52" spans="1:20" ht="15" thickBot="1" x14ac:dyDescent="0.35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" thickBot="1" x14ac:dyDescent="0.35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" thickBot="1" x14ac:dyDescent="0.35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31</v>
      </c>
      <c r="Q54" s="66" t="s">
        <v>32</v>
      </c>
      <c r="R54" s="19">
        <f t="shared" si="7"/>
        <v>1</v>
      </c>
      <c r="S54" s="19">
        <f t="shared" si="8"/>
        <v>0</v>
      </c>
      <c r="T54" s="144"/>
    </row>
    <row r="55" spans="1:20" ht="15" thickBot="1" x14ac:dyDescent="0.35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" thickBot="1" x14ac:dyDescent="0.35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33</v>
      </c>
      <c r="Q56" s="70" t="s">
        <v>41</v>
      </c>
      <c r="R56" s="19">
        <f t="shared" si="7"/>
        <v>1</v>
      </c>
      <c r="S56" s="19">
        <f t="shared" si="8"/>
        <v>0</v>
      </c>
      <c r="T56" s="145"/>
    </row>
    <row r="57" spans="1:20" ht="15" thickBot="1" x14ac:dyDescent="0.35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" thickBot="1" x14ac:dyDescent="0.35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35</v>
      </c>
      <c r="Q58" s="147" t="s">
        <v>42</v>
      </c>
      <c r="R58" s="19">
        <f t="shared" si="7"/>
        <v>1</v>
      </c>
      <c r="S58" s="19">
        <f t="shared" si="8"/>
        <v>0</v>
      </c>
      <c r="T58" s="145"/>
    </row>
    <row r="59" spans="1:20" ht="15" thickBot="1" x14ac:dyDescent="0.35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" thickBot="1" x14ac:dyDescent="0.35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37</v>
      </c>
      <c r="Q60" s="149" t="s">
        <v>38</v>
      </c>
      <c r="R60" s="19">
        <f t="shared" si="7"/>
        <v>1</v>
      </c>
      <c r="S60" s="19">
        <f t="shared" si="8"/>
        <v>0</v>
      </c>
      <c r="T60" s="144"/>
    </row>
    <row r="61" spans="1:20" ht="15" thickBot="1" x14ac:dyDescent="0.35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" thickBot="1" x14ac:dyDescent="0.35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" thickBot="1" x14ac:dyDescent="0.35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39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" thickBot="1" x14ac:dyDescent="0.35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" thickBot="1" x14ac:dyDescent="0.35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" thickBot="1" x14ac:dyDescent="0.35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" thickBot="1" x14ac:dyDescent="0.35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" thickBot="1" x14ac:dyDescent="0.35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" thickBot="1" x14ac:dyDescent="0.35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" thickBot="1" x14ac:dyDescent="0.35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" thickBot="1" x14ac:dyDescent="0.35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" thickBot="1" x14ac:dyDescent="0.35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" thickBot="1" x14ac:dyDescent="0.35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" thickBot="1" x14ac:dyDescent="0.35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" thickBot="1" x14ac:dyDescent="0.35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" thickBot="1" x14ac:dyDescent="0.35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" thickBot="1" x14ac:dyDescent="0.35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" thickBot="1" x14ac:dyDescent="0.35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" thickBot="1" x14ac:dyDescent="0.35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" thickBot="1" x14ac:dyDescent="0.35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" thickBot="1" x14ac:dyDescent="0.35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1" t="s">
        <v>43</v>
      </c>
      <c r="Q81" s="182"/>
      <c r="R81" s="19">
        <f t="shared" si="39"/>
        <v>1</v>
      </c>
      <c r="S81" s="19">
        <f t="shared" si="40"/>
        <v>0</v>
      </c>
      <c r="T81" s="145"/>
    </row>
    <row r="82" spans="1:20" ht="15" thickBot="1" x14ac:dyDescent="0.35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3"/>
      <c r="Q82" s="184"/>
      <c r="R82" s="19">
        <f t="shared" si="39"/>
        <v>1</v>
      </c>
      <c r="S82" s="19">
        <f t="shared" si="40"/>
        <v>0</v>
      </c>
      <c r="T82" s="144"/>
    </row>
    <row r="83" spans="1:20" ht="15" thickBot="1" x14ac:dyDescent="0.35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29</v>
      </c>
      <c r="Q83" s="62" t="s">
        <v>30</v>
      </c>
      <c r="R83" s="19">
        <f t="shared" si="39"/>
        <v>1</v>
      </c>
      <c r="S83" s="19">
        <f t="shared" si="40"/>
        <v>0</v>
      </c>
      <c r="T83" s="144"/>
    </row>
    <row r="84" spans="1:20" ht="15" thickBot="1" x14ac:dyDescent="0.35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" thickBot="1" x14ac:dyDescent="0.35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" thickBot="1" x14ac:dyDescent="0.35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31</v>
      </c>
      <c r="Q86" s="66" t="s">
        <v>32</v>
      </c>
      <c r="R86" s="19">
        <f t="shared" si="39"/>
        <v>1</v>
      </c>
      <c r="S86" s="19">
        <f t="shared" si="40"/>
        <v>0</v>
      </c>
      <c r="T86" s="145"/>
    </row>
    <row r="87" spans="1:20" ht="15" thickBot="1" x14ac:dyDescent="0.35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" thickBot="1" x14ac:dyDescent="0.35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33</v>
      </c>
      <c r="Q88" s="70" t="s">
        <v>41</v>
      </c>
      <c r="R88" s="19">
        <f t="shared" si="39"/>
        <v>1</v>
      </c>
      <c r="S88" s="19">
        <f t="shared" si="40"/>
        <v>0</v>
      </c>
      <c r="T88" s="144"/>
    </row>
    <row r="89" spans="1:20" ht="15" thickBot="1" x14ac:dyDescent="0.35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" thickBot="1" x14ac:dyDescent="0.35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35</v>
      </c>
      <c r="Q90" s="147" t="s">
        <v>42</v>
      </c>
      <c r="R90" s="19">
        <f t="shared" si="39"/>
        <v>1</v>
      </c>
      <c r="S90" s="19">
        <f t="shared" si="40"/>
        <v>0</v>
      </c>
      <c r="T90" s="145"/>
    </row>
    <row r="91" spans="1:20" ht="15" thickBot="1" x14ac:dyDescent="0.35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" thickBot="1" x14ac:dyDescent="0.35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37</v>
      </c>
      <c r="Q92" s="149" t="s">
        <v>38</v>
      </c>
      <c r="R92" s="19">
        <f t="shared" si="39"/>
        <v>1</v>
      </c>
      <c r="S92" s="19">
        <f t="shared" si="40"/>
        <v>0</v>
      </c>
      <c r="T92" s="145"/>
    </row>
    <row r="93" spans="1:20" ht="15" thickBot="1" x14ac:dyDescent="0.35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" thickBot="1" x14ac:dyDescent="0.35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39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" thickBot="1" x14ac:dyDescent="0.35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" thickBot="1" x14ac:dyDescent="0.35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" thickBot="1" x14ac:dyDescent="0.35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" thickBot="1" x14ac:dyDescent="0.35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" thickBot="1" x14ac:dyDescent="0.35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" thickBot="1" x14ac:dyDescent="0.35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" thickBot="1" x14ac:dyDescent="0.35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" thickBot="1" x14ac:dyDescent="0.35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" thickBot="1" x14ac:dyDescent="0.35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" thickBot="1" x14ac:dyDescent="0.35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" thickBot="1" x14ac:dyDescent="0.35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" thickBot="1" x14ac:dyDescent="0.35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" thickBot="1" x14ac:dyDescent="0.35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" thickBot="1" x14ac:dyDescent="0.35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" thickBot="1" x14ac:dyDescent="0.35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" thickBot="1" x14ac:dyDescent="0.35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" thickBot="1" x14ac:dyDescent="0.35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1" t="s">
        <v>44</v>
      </c>
      <c r="Q111" s="182"/>
      <c r="R111" s="19">
        <f t="shared" si="61"/>
        <v>1</v>
      </c>
      <c r="S111" s="19">
        <f t="shared" si="40"/>
        <v>0</v>
      </c>
      <c r="T111" s="145"/>
    </row>
    <row r="112" spans="1:20" ht="15" thickBot="1" x14ac:dyDescent="0.35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3"/>
      <c r="Q112" s="184"/>
      <c r="R112" s="19">
        <f t="shared" si="61"/>
        <v>1</v>
      </c>
      <c r="S112" s="19">
        <f t="shared" si="40"/>
        <v>0</v>
      </c>
      <c r="T112" s="145"/>
    </row>
    <row r="113" spans="1:20" ht="15" thickBot="1" x14ac:dyDescent="0.35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29</v>
      </c>
      <c r="Q113" s="62" t="s">
        <v>30</v>
      </c>
      <c r="R113" s="19">
        <f t="shared" si="61"/>
        <v>1</v>
      </c>
      <c r="S113" s="19">
        <f t="shared" si="40"/>
        <v>0</v>
      </c>
      <c r="T113" s="144"/>
    </row>
    <row r="114" spans="1:20" ht="15" thickBot="1" x14ac:dyDescent="0.35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" thickBot="1" x14ac:dyDescent="0.35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" thickBot="1" x14ac:dyDescent="0.35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31</v>
      </c>
      <c r="Q116" s="66" t="s">
        <v>32</v>
      </c>
      <c r="R116" s="19">
        <f t="shared" si="61"/>
        <v>1</v>
      </c>
      <c r="S116" s="19">
        <f t="shared" si="40"/>
        <v>0</v>
      </c>
      <c r="T116" s="145"/>
    </row>
    <row r="117" spans="1:20" ht="15" thickBot="1" x14ac:dyDescent="0.35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" thickBot="1" x14ac:dyDescent="0.35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33</v>
      </c>
      <c r="Q118" s="70" t="s">
        <v>41</v>
      </c>
      <c r="R118" s="19">
        <f t="shared" si="61"/>
        <v>1</v>
      </c>
      <c r="S118" s="19">
        <f t="shared" si="40"/>
        <v>0</v>
      </c>
      <c r="T118" s="145"/>
    </row>
    <row r="119" spans="1:20" ht="15" thickBot="1" x14ac:dyDescent="0.35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" thickBot="1" x14ac:dyDescent="0.35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35</v>
      </c>
      <c r="Q120" s="147" t="s">
        <v>42</v>
      </c>
      <c r="R120" s="19">
        <f t="shared" si="61"/>
        <v>1</v>
      </c>
      <c r="S120" s="19">
        <f t="shared" si="40"/>
        <v>0</v>
      </c>
      <c r="T120" s="144"/>
    </row>
    <row r="121" spans="1:20" ht="15" thickBot="1" x14ac:dyDescent="0.35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" thickBot="1" x14ac:dyDescent="0.35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37</v>
      </c>
      <c r="Q122" s="149" t="s">
        <v>38</v>
      </c>
      <c r="R122" s="19">
        <f t="shared" si="61"/>
        <v>1</v>
      </c>
      <c r="S122" s="19">
        <f t="shared" si="40"/>
        <v>0</v>
      </c>
      <c r="T122" s="145"/>
    </row>
    <row r="123" spans="1:20" x14ac:dyDescent="0.3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" thickBot="1" x14ac:dyDescent="0.35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39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" thickBot="1" x14ac:dyDescent="0.35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" thickBot="1" x14ac:dyDescent="0.35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" thickBot="1" x14ac:dyDescent="0.35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" thickBot="1" x14ac:dyDescent="0.35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" thickBot="1" x14ac:dyDescent="0.35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" thickBot="1" x14ac:dyDescent="0.35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" thickBot="1" x14ac:dyDescent="0.35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" thickBot="1" x14ac:dyDescent="0.35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" thickBot="1" x14ac:dyDescent="0.35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" thickBot="1" x14ac:dyDescent="0.35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" thickBot="1" x14ac:dyDescent="0.35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" thickBot="1" x14ac:dyDescent="0.35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" thickBot="1" x14ac:dyDescent="0.35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" thickBot="1" x14ac:dyDescent="0.35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" thickBot="1" x14ac:dyDescent="0.35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" thickBot="1" x14ac:dyDescent="0.35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" thickBot="1" x14ac:dyDescent="0.35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" thickBot="1" x14ac:dyDescent="0.35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1" t="s">
        <v>45</v>
      </c>
      <c r="Q142" s="182"/>
      <c r="R142" s="19">
        <f t="shared" si="61"/>
        <v>1</v>
      </c>
      <c r="S142" s="19">
        <f t="shared" si="71"/>
        <v>0</v>
      </c>
      <c r="T142" s="145"/>
    </row>
    <row r="143" spans="1:20" ht="15" thickBot="1" x14ac:dyDescent="0.35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3"/>
      <c r="Q143" s="184"/>
      <c r="R143" s="19">
        <f t="shared" si="61"/>
        <v>1</v>
      </c>
      <c r="S143" s="19">
        <f t="shared" si="71"/>
        <v>0</v>
      </c>
      <c r="T143" s="144"/>
    </row>
    <row r="144" spans="1:20" ht="15" thickBot="1" x14ac:dyDescent="0.35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29</v>
      </c>
      <c r="Q144" s="62" t="s">
        <v>30</v>
      </c>
      <c r="R144" s="19">
        <f t="shared" si="61"/>
        <v>1</v>
      </c>
      <c r="S144" s="19">
        <f t="shared" si="71"/>
        <v>0</v>
      </c>
      <c r="T144" s="144"/>
    </row>
    <row r="145" spans="1:20" ht="15" thickBot="1" x14ac:dyDescent="0.35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" thickBot="1" x14ac:dyDescent="0.35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" thickBot="1" x14ac:dyDescent="0.35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31</v>
      </c>
      <c r="Q147" s="66" t="s">
        <v>32</v>
      </c>
      <c r="R147" s="19">
        <f t="shared" si="61"/>
        <v>1</v>
      </c>
      <c r="S147" s="19">
        <f t="shared" si="71"/>
        <v>0</v>
      </c>
      <c r="T147" s="145"/>
    </row>
    <row r="148" spans="1:20" ht="15" thickBot="1" x14ac:dyDescent="0.35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" thickBot="1" x14ac:dyDescent="0.35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33</v>
      </c>
      <c r="Q149" s="70" t="s">
        <v>41</v>
      </c>
      <c r="R149" s="19">
        <f t="shared" si="61"/>
        <v>1</v>
      </c>
      <c r="S149" s="19">
        <f t="shared" si="71"/>
        <v>0</v>
      </c>
      <c r="T149" s="144"/>
    </row>
    <row r="150" spans="1:20" ht="15" thickBot="1" x14ac:dyDescent="0.35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" thickBot="1" x14ac:dyDescent="0.35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35</v>
      </c>
      <c r="Q151" s="147" t="s">
        <v>42</v>
      </c>
      <c r="R151" s="19">
        <f t="shared" si="61"/>
        <v>1</v>
      </c>
      <c r="S151" s="19">
        <f t="shared" si="71"/>
        <v>0</v>
      </c>
      <c r="T151" s="144"/>
    </row>
    <row r="152" spans="1:20" ht="15" thickBot="1" x14ac:dyDescent="0.35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" thickBot="1" x14ac:dyDescent="0.35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37</v>
      </c>
      <c r="Q153" s="149" t="s">
        <v>38</v>
      </c>
      <c r="R153" s="19">
        <f t="shared" si="61"/>
        <v>1</v>
      </c>
      <c r="S153" s="19">
        <f t="shared" si="71"/>
        <v>0</v>
      </c>
      <c r="T153" s="144"/>
    </row>
    <row r="154" spans="1:20" ht="15" thickBot="1" x14ac:dyDescent="0.35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" thickBot="1" x14ac:dyDescent="0.35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39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" thickBot="1" x14ac:dyDescent="0.35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" thickBot="1" x14ac:dyDescent="0.35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" thickBot="1" x14ac:dyDescent="0.35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" thickBot="1" x14ac:dyDescent="0.35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" thickBot="1" x14ac:dyDescent="0.35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" thickBot="1" x14ac:dyDescent="0.35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" thickBot="1" x14ac:dyDescent="0.35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" thickBot="1" x14ac:dyDescent="0.35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" thickBot="1" x14ac:dyDescent="0.35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" thickBot="1" x14ac:dyDescent="0.35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" thickBot="1" x14ac:dyDescent="0.35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" thickBot="1" x14ac:dyDescent="0.35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" thickBot="1" x14ac:dyDescent="0.35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" thickBot="1" x14ac:dyDescent="0.35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" thickBot="1" x14ac:dyDescent="0.35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" thickBot="1" x14ac:dyDescent="0.35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" thickBot="1" x14ac:dyDescent="0.35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1" t="s">
        <v>46</v>
      </c>
      <c r="Q172" s="182"/>
      <c r="R172" s="19">
        <f t="shared" si="78"/>
        <v>1</v>
      </c>
      <c r="S172" s="19">
        <f t="shared" si="71"/>
        <v>0</v>
      </c>
      <c r="T172" s="145"/>
    </row>
    <row r="173" spans="1:20" ht="15" thickBot="1" x14ac:dyDescent="0.35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3"/>
      <c r="Q173" s="184"/>
      <c r="R173" s="19">
        <f t="shared" si="78"/>
        <v>1</v>
      </c>
      <c r="S173" s="19">
        <f t="shared" si="71"/>
        <v>0</v>
      </c>
      <c r="T173" s="145"/>
    </row>
    <row r="174" spans="1:20" ht="15" thickBot="1" x14ac:dyDescent="0.35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29</v>
      </c>
      <c r="Q174" s="62" t="s">
        <v>30</v>
      </c>
      <c r="R174" s="19">
        <f t="shared" si="78"/>
        <v>1</v>
      </c>
      <c r="S174" s="19">
        <f t="shared" si="71"/>
        <v>0</v>
      </c>
      <c r="T174" s="144"/>
    </row>
    <row r="175" spans="1:20" ht="15" thickBot="1" x14ac:dyDescent="0.35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" thickBot="1" x14ac:dyDescent="0.35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" thickBot="1" x14ac:dyDescent="0.35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31</v>
      </c>
      <c r="Q177" s="66" t="s">
        <v>32</v>
      </c>
      <c r="R177" s="19">
        <f t="shared" si="78"/>
        <v>1</v>
      </c>
      <c r="S177" s="19">
        <f t="shared" si="71"/>
        <v>0</v>
      </c>
      <c r="T177" s="145"/>
    </row>
    <row r="178" spans="1:20" x14ac:dyDescent="0.3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 x14ac:dyDescent="0.3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33</v>
      </c>
      <c r="Q179" s="70" t="s">
        <v>41</v>
      </c>
      <c r="R179" s="19">
        <f t="shared" si="78"/>
        <v>1</v>
      </c>
      <c r="S179" s="19">
        <f t="shared" si="71"/>
        <v>0</v>
      </c>
      <c r="T179" s="145"/>
    </row>
    <row r="180" spans="1:20" x14ac:dyDescent="0.3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 x14ac:dyDescent="0.3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35</v>
      </c>
      <c r="Q181" s="147" t="s">
        <v>42</v>
      </c>
      <c r="R181" s="19">
        <f t="shared" si="78"/>
        <v>1</v>
      </c>
      <c r="S181" s="19">
        <f t="shared" si="71"/>
        <v>0</v>
      </c>
      <c r="T181" s="144"/>
    </row>
    <row r="182" spans="1:20" x14ac:dyDescent="0.3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 x14ac:dyDescent="0.3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37</v>
      </c>
      <c r="Q183" s="149" t="s">
        <v>38</v>
      </c>
      <c r="R183" s="19">
        <f t="shared" si="78"/>
        <v>1</v>
      </c>
      <c r="S183" s="19">
        <f t="shared" si="71"/>
        <v>0</v>
      </c>
      <c r="T183" s="144"/>
    </row>
    <row r="184" spans="1:20" x14ac:dyDescent="0.3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 x14ac:dyDescent="0.3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39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 x14ac:dyDescent="0.3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 x14ac:dyDescent="0.3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 x14ac:dyDescent="0.3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 x14ac:dyDescent="0.3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 x14ac:dyDescent="0.3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 x14ac:dyDescent="0.3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 x14ac:dyDescent="0.3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 x14ac:dyDescent="0.3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 x14ac:dyDescent="0.3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 x14ac:dyDescent="0.3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 x14ac:dyDescent="0.3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 x14ac:dyDescent="0.3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 x14ac:dyDescent="0.3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 x14ac:dyDescent="0.3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 x14ac:dyDescent="0.3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 x14ac:dyDescent="0.3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 x14ac:dyDescent="0.3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 x14ac:dyDescent="0.3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5" t="s">
        <v>47</v>
      </c>
      <c r="Q203" s="186"/>
      <c r="R203" s="19">
        <f t="shared" si="78"/>
        <v>1</v>
      </c>
      <c r="S203" s="19">
        <f t="shared" si="80"/>
        <v>0</v>
      </c>
      <c r="T203" s="145"/>
    </row>
    <row r="204" spans="1:20" x14ac:dyDescent="0.3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3"/>
      <c r="Q204" s="184"/>
      <c r="R204" s="19">
        <f t="shared" si="78"/>
        <v>1</v>
      </c>
      <c r="S204" s="19">
        <f t="shared" si="80"/>
        <v>0</v>
      </c>
      <c r="T204" s="144"/>
    </row>
    <row r="205" spans="1:20" x14ac:dyDescent="0.3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29</v>
      </c>
      <c r="Q205" s="62" t="s">
        <v>30</v>
      </c>
      <c r="R205" s="19">
        <f t="shared" si="78"/>
        <v>1</v>
      </c>
      <c r="S205" s="19">
        <f t="shared" si="80"/>
        <v>0</v>
      </c>
      <c r="T205" s="144"/>
    </row>
    <row r="206" spans="1:20" x14ac:dyDescent="0.3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 x14ac:dyDescent="0.3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 x14ac:dyDescent="0.3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31</v>
      </c>
      <c r="Q208" s="66" t="s">
        <v>32</v>
      </c>
      <c r="R208" s="19">
        <f t="shared" si="78"/>
        <v>1</v>
      </c>
      <c r="S208" s="19">
        <f t="shared" si="80"/>
        <v>0</v>
      </c>
      <c r="T208" s="145"/>
    </row>
    <row r="209" spans="1:20" x14ac:dyDescent="0.3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 x14ac:dyDescent="0.3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33</v>
      </c>
      <c r="Q210" s="70" t="s">
        <v>41</v>
      </c>
      <c r="R210" s="19">
        <f t="shared" si="78"/>
        <v>1</v>
      </c>
      <c r="S210" s="19">
        <f t="shared" si="80"/>
        <v>0</v>
      </c>
      <c r="T210" s="144"/>
    </row>
    <row r="211" spans="1:20" x14ac:dyDescent="0.3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 x14ac:dyDescent="0.3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35</v>
      </c>
      <c r="Q212" s="147" t="s">
        <v>42</v>
      </c>
      <c r="R212" s="19">
        <f t="shared" si="78"/>
        <v>1</v>
      </c>
      <c r="S212" s="19">
        <f t="shared" si="80"/>
        <v>0</v>
      </c>
      <c r="T212" s="144"/>
    </row>
    <row r="213" spans="1:20" x14ac:dyDescent="0.3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 x14ac:dyDescent="0.3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37</v>
      </c>
      <c r="Q214" s="149" t="s">
        <v>38</v>
      </c>
      <c r="R214" s="19">
        <f t="shared" si="78"/>
        <v>1</v>
      </c>
      <c r="S214" s="19">
        <f t="shared" si="80"/>
        <v>0</v>
      </c>
      <c r="T214" s="144"/>
    </row>
    <row r="215" spans="1:20" x14ac:dyDescent="0.3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 x14ac:dyDescent="0.3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39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 x14ac:dyDescent="0.3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 x14ac:dyDescent="0.3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 x14ac:dyDescent="0.3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 x14ac:dyDescent="0.3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 x14ac:dyDescent="0.3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 x14ac:dyDescent="0.3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 x14ac:dyDescent="0.3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 x14ac:dyDescent="0.3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 x14ac:dyDescent="0.3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 x14ac:dyDescent="0.3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 x14ac:dyDescent="0.3">
      <c r="A227" s="50">
        <v>44785</v>
      </c>
      <c r="D227" s="128" t="s">
        <v>48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 x14ac:dyDescent="0.3">
      <c r="A228" s="50">
        <v>44786</v>
      </c>
      <c r="D228" s="128" t="s">
        <v>48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 x14ac:dyDescent="0.3">
      <c r="A229" s="50">
        <v>44787</v>
      </c>
      <c r="D229" s="128" t="s">
        <v>48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 x14ac:dyDescent="0.3">
      <c r="A230" s="50">
        <v>44788</v>
      </c>
      <c r="D230" s="128" t="s">
        <v>48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 x14ac:dyDescent="0.3">
      <c r="A231" s="50">
        <v>44789</v>
      </c>
      <c r="D231" s="128" t="s">
        <v>48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 x14ac:dyDescent="0.3">
      <c r="A232" s="50">
        <v>44790</v>
      </c>
      <c r="D232" s="128" t="s">
        <v>48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 x14ac:dyDescent="0.3">
      <c r="A233" s="50">
        <v>44791</v>
      </c>
      <c r="D233" s="128" t="s">
        <v>48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 x14ac:dyDescent="0.3">
      <c r="A234" s="50">
        <v>44792</v>
      </c>
      <c r="D234" s="128" t="s">
        <v>48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5" t="s">
        <v>49</v>
      </c>
      <c r="Q234" s="186"/>
      <c r="R234" s="19">
        <f t="shared" si="85"/>
        <v>1</v>
      </c>
      <c r="S234" s="19">
        <f t="shared" si="80"/>
        <v>0</v>
      </c>
      <c r="T234" s="145"/>
    </row>
    <row r="235" spans="1:20" x14ac:dyDescent="0.3">
      <c r="A235" s="50">
        <v>44793</v>
      </c>
      <c r="D235" s="128" t="s">
        <v>48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3"/>
      <c r="Q235" s="184"/>
      <c r="R235" s="19">
        <f t="shared" si="85"/>
        <v>1</v>
      </c>
      <c r="S235" s="19">
        <f t="shared" si="80"/>
        <v>0</v>
      </c>
      <c r="T235" s="144"/>
    </row>
    <row r="236" spans="1:20" x14ac:dyDescent="0.3">
      <c r="A236" s="50">
        <v>44794</v>
      </c>
      <c r="D236" s="128" t="s">
        <v>48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29</v>
      </c>
      <c r="Q236" s="62" t="s">
        <v>30</v>
      </c>
      <c r="R236" s="19">
        <f t="shared" si="85"/>
        <v>1</v>
      </c>
      <c r="S236" s="19">
        <f t="shared" si="80"/>
        <v>0</v>
      </c>
      <c r="T236" s="144"/>
    </row>
    <row r="237" spans="1:20" x14ac:dyDescent="0.3">
      <c r="A237" s="50">
        <v>44795</v>
      </c>
      <c r="D237" s="128" t="s">
        <v>48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 x14ac:dyDescent="0.3">
      <c r="A238" s="50">
        <v>44796</v>
      </c>
      <c r="D238" s="128" t="s">
        <v>48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 x14ac:dyDescent="0.3">
      <c r="A239" s="50">
        <v>44797</v>
      </c>
      <c r="D239" s="128" t="s">
        <v>48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31</v>
      </c>
      <c r="Q239" s="66" t="s">
        <v>32</v>
      </c>
      <c r="R239" s="19">
        <f t="shared" si="85"/>
        <v>1</v>
      </c>
      <c r="S239" s="19">
        <f t="shared" si="80"/>
        <v>0</v>
      </c>
      <c r="T239" s="145"/>
    </row>
    <row r="240" spans="1:20" x14ac:dyDescent="0.3">
      <c r="A240" s="50">
        <v>44798</v>
      </c>
      <c r="D240" s="128" t="s">
        <v>48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 x14ac:dyDescent="0.3">
      <c r="A241" s="50">
        <v>44799</v>
      </c>
      <c r="D241" s="128" t="s">
        <v>48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33</v>
      </c>
      <c r="Q241" s="70" t="s">
        <v>41</v>
      </c>
      <c r="R241" s="19">
        <f t="shared" si="85"/>
        <v>1</v>
      </c>
      <c r="S241" s="19">
        <f t="shared" si="80"/>
        <v>0</v>
      </c>
      <c r="T241" s="144"/>
    </row>
    <row r="242" spans="1:20" x14ac:dyDescent="0.3">
      <c r="A242" s="50">
        <v>44800</v>
      </c>
      <c r="D242" s="128" t="s">
        <v>48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 x14ac:dyDescent="0.3">
      <c r="A243" s="50">
        <v>44801</v>
      </c>
      <c r="D243" s="128" t="s">
        <v>48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35</v>
      </c>
      <c r="Q243" s="147" t="s">
        <v>42</v>
      </c>
      <c r="R243" s="19">
        <f t="shared" si="85"/>
        <v>1</v>
      </c>
      <c r="S243" s="19">
        <f t="shared" si="80"/>
        <v>0</v>
      </c>
      <c r="T243" s="144"/>
    </row>
    <row r="244" spans="1:20" x14ac:dyDescent="0.3">
      <c r="A244" s="50">
        <v>44802</v>
      </c>
      <c r="D244" s="128" t="s">
        <v>48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 x14ac:dyDescent="0.3">
      <c r="A245" s="50">
        <v>44803</v>
      </c>
      <c r="D245" s="128" t="s">
        <v>48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37</v>
      </c>
      <c r="Q245" s="149" t="s">
        <v>38</v>
      </c>
      <c r="R245" s="19">
        <f t="shared" si="85"/>
        <v>1</v>
      </c>
      <c r="S245" s="19">
        <f t="shared" si="80"/>
        <v>0</v>
      </c>
      <c r="T245" s="144"/>
    </row>
    <row r="246" spans="1:20" x14ac:dyDescent="0.3">
      <c r="A246" s="50">
        <v>44804</v>
      </c>
      <c r="D246" s="153" t="s">
        <v>48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 x14ac:dyDescent="0.3">
      <c r="A247" s="50">
        <v>44805</v>
      </c>
      <c r="D247" s="128" t="s">
        <v>48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39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 x14ac:dyDescent="0.3">
      <c r="A248" s="50">
        <v>44806</v>
      </c>
      <c r="D248" s="128" t="s">
        <v>48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 x14ac:dyDescent="0.3">
      <c r="A249" s="50">
        <v>44807</v>
      </c>
      <c r="D249" s="128" t="s">
        <v>48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 x14ac:dyDescent="0.3">
      <c r="A250" s="50">
        <v>44808</v>
      </c>
      <c r="D250" s="128" t="s">
        <v>48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 x14ac:dyDescent="0.3">
      <c r="A251" s="50">
        <v>44809</v>
      </c>
      <c r="D251" s="128" t="s">
        <v>48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 x14ac:dyDescent="0.3">
      <c r="A252" s="50">
        <v>44810</v>
      </c>
      <c r="D252" s="128" t="s">
        <v>48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 x14ac:dyDescent="0.3">
      <c r="A253" s="50">
        <v>44811</v>
      </c>
      <c r="D253" s="128" t="s">
        <v>48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 x14ac:dyDescent="0.3">
      <c r="A254" s="50">
        <v>44812</v>
      </c>
      <c r="D254" s="128" t="s">
        <v>48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 x14ac:dyDescent="0.3">
      <c r="A255" s="50">
        <v>44813</v>
      </c>
      <c r="D255" s="128" t="s">
        <v>48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 x14ac:dyDescent="0.3">
      <c r="A256" s="50">
        <v>44814</v>
      </c>
      <c r="D256" s="128" t="s">
        <v>48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 x14ac:dyDescent="0.3">
      <c r="A257" s="50">
        <v>44815</v>
      </c>
      <c r="D257" s="128" t="s">
        <v>48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 x14ac:dyDescent="0.3">
      <c r="A258" s="50">
        <v>44816</v>
      </c>
      <c r="D258" s="128" t="s">
        <v>48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 x14ac:dyDescent="0.3">
      <c r="A259" s="50">
        <v>44817</v>
      </c>
      <c r="D259" s="128" t="s">
        <v>48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 x14ac:dyDescent="0.3">
      <c r="A260" s="50">
        <v>44818</v>
      </c>
      <c r="D260" s="128" t="s">
        <v>48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 x14ac:dyDescent="0.3">
      <c r="A261" s="50">
        <v>44819</v>
      </c>
      <c r="D261" s="128" t="s">
        <v>48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 x14ac:dyDescent="0.3">
      <c r="A262" s="50">
        <v>44820</v>
      </c>
      <c r="D262" s="128" t="s">
        <v>48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 x14ac:dyDescent="0.3">
      <c r="A263" s="50">
        <v>44821</v>
      </c>
      <c r="D263" s="128" t="s">
        <v>48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 x14ac:dyDescent="0.3">
      <c r="A264" s="50">
        <v>44822</v>
      </c>
      <c r="D264" s="128" t="s">
        <v>48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1" t="s">
        <v>50</v>
      </c>
      <c r="Q264" s="182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 x14ac:dyDescent="0.3">
      <c r="A265" s="50">
        <v>44823</v>
      </c>
      <c r="D265" s="128" t="s">
        <v>48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3"/>
      <c r="Q265" s="184"/>
      <c r="R265" s="19">
        <f t="shared" si="88"/>
        <v>1</v>
      </c>
      <c r="S265" s="19">
        <f t="shared" si="91"/>
        <v>0</v>
      </c>
      <c r="T265" s="145"/>
    </row>
    <row r="266" spans="1:20" ht="12.75" customHeight="1" x14ac:dyDescent="0.3">
      <c r="A266" s="50">
        <v>44824</v>
      </c>
      <c r="D266" s="128" t="s">
        <v>48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29</v>
      </c>
      <c r="Q266" s="62" t="s">
        <v>30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 x14ac:dyDescent="0.3">
      <c r="A267" s="50">
        <v>44825</v>
      </c>
      <c r="D267" s="128" t="s">
        <v>48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5.0481461668244063E-2</v>
      </c>
      <c r="Q267" s="63">
        <f>IF(L247="",0,+SUM(L247:L276)/SUM(I247:I276))</f>
        <v>5.0481461668244063E-2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 x14ac:dyDescent="0.3">
      <c r="A268" s="50">
        <v>44826</v>
      </c>
      <c r="D268" s="128" t="s">
        <v>48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 x14ac:dyDescent="0.3">
      <c r="A269" s="50">
        <v>44827</v>
      </c>
      <c r="D269" s="128" t="s">
        <v>48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M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31</v>
      </c>
      <c r="Q269" s="66" t="s">
        <v>32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 x14ac:dyDescent="0.3">
      <c r="A270" s="50">
        <v>44828</v>
      </c>
      <c r="D270" s="128" t="s">
        <v>48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8831.9666666666672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 x14ac:dyDescent="0.3">
      <c r="A271" s="50">
        <v>44829</v>
      </c>
      <c r="D271" s="128" t="s">
        <v>48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33</v>
      </c>
      <c r="Q271" s="70" t="s">
        <v>41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 x14ac:dyDescent="0.3">
      <c r="A272" s="50">
        <v>44830</v>
      </c>
      <c r="D272" s="128" t="s">
        <v>48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 x14ac:dyDescent="0.3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35</v>
      </c>
      <c r="Q273" s="147" t="s">
        <v>42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 x14ac:dyDescent="0.3">
      <c r="A274" s="50">
        <v>44832</v>
      </c>
      <c r="D274" s="128">
        <v>0.14199999999999999</v>
      </c>
      <c r="E274" s="129">
        <v>3654.6309999999999</v>
      </c>
      <c r="F274" s="130">
        <v>118.996</v>
      </c>
      <c r="G274" s="53"/>
      <c r="H274" s="53">
        <v>4140</v>
      </c>
      <c r="I274" s="53">
        <f t="shared" si="86"/>
        <v>35641.259999999682</v>
      </c>
      <c r="J274" s="53">
        <f t="shared" si="87"/>
        <v>1842.2999999999718</v>
      </c>
      <c r="K274" s="54">
        <f t="shared" si="92"/>
        <v>5.169009176443224E-2</v>
      </c>
      <c r="L274" s="53">
        <f t="shared" si="89"/>
        <v>1842.2999999999718</v>
      </c>
      <c r="M274" s="54">
        <f t="shared" si="93"/>
        <v>5.169009176443224E-2</v>
      </c>
      <c r="N274" s="55">
        <v>66743316</v>
      </c>
      <c r="O274" s="55">
        <f t="shared" si="90"/>
        <v>0</v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1</v>
      </c>
      <c r="S274" s="19">
        <f t="shared" si="91"/>
        <v>0</v>
      </c>
      <c r="T274" s="144"/>
    </row>
    <row r="275" spans="1:23" ht="12.75" customHeight="1" x14ac:dyDescent="0.3">
      <c r="A275" s="50">
        <v>44833</v>
      </c>
      <c r="D275" s="128" t="s">
        <v>48</v>
      </c>
      <c r="E275" s="129">
        <v>3664.1790000000001</v>
      </c>
      <c r="F275" s="130">
        <v>119.506</v>
      </c>
      <c r="G275" s="53"/>
      <c r="H275" s="53">
        <v>4140</v>
      </c>
      <c r="I275" s="53">
        <f t="shared" si="86"/>
        <v>39528.720000000947</v>
      </c>
      <c r="J275" s="53">
        <f t="shared" si="87"/>
        <v>2111.400000000021</v>
      </c>
      <c r="K275" s="54">
        <f t="shared" si="92"/>
        <v>5.3414327607875248E-2</v>
      </c>
      <c r="L275" s="53">
        <f t="shared" si="89"/>
        <v>2111.400000000021</v>
      </c>
      <c r="M275" s="54">
        <f t="shared" si="93"/>
        <v>5.3414327607875248E-2</v>
      </c>
      <c r="N275" s="55">
        <v>66743316</v>
      </c>
      <c r="O275" s="55">
        <f t="shared" si="90"/>
        <v>0</v>
      </c>
      <c r="P275" s="148" t="s">
        <v>37</v>
      </c>
      <c r="Q275" s="149" t="s">
        <v>38</v>
      </c>
      <c r="R275" s="19">
        <f t="shared" si="88"/>
        <v>1</v>
      </c>
      <c r="S275" s="19">
        <f t="shared" si="91"/>
        <v>0</v>
      </c>
      <c r="T275" s="144"/>
    </row>
    <row r="276" spans="1:23" ht="12.75" customHeight="1" x14ac:dyDescent="0.3">
      <c r="A276" s="50">
        <v>44834</v>
      </c>
      <c r="D276" s="153" t="s">
        <v>48</v>
      </c>
      <c r="E276" s="153">
        <v>3672.05</v>
      </c>
      <c r="F276" s="153">
        <v>119.9</v>
      </c>
      <c r="G276" s="154"/>
      <c r="H276" s="155">
        <v>4140</v>
      </c>
      <c r="I276" s="155">
        <f t="shared" si="86"/>
        <v>32585.940000000392</v>
      </c>
      <c r="J276" s="155">
        <f t="shared" si="87"/>
        <v>1631.1600000000226</v>
      </c>
      <c r="K276" s="156">
        <f t="shared" si="92"/>
        <v>5.0057171896836582E-2</v>
      </c>
      <c r="L276" s="155">
        <f t="shared" si="89"/>
        <v>1631.1600000000226</v>
      </c>
      <c r="M276" s="156">
        <f t="shared" si="93"/>
        <v>5.0057171896836582E-2</v>
      </c>
      <c r="N276" s="157">
        <v>66743316</v>
      </c>
      <c r="O276" s="161">
        <f t="shared" si="90"/>
        <v>0</v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1</v>
      </c>
      <c r="S276" s="19">
        <f t="shared" si="91"/>
        <v>0</v>
      </c>
      <c r="T276" s="144"/>
    </row>
    <row r="277" spans="1:23" x14ac:dyDescent="0.3">
      <c r="A277" s="50">
        <v>44835</v>
      </c>
      <c r="D277" s="128" t="s">
        <v>48</v>
      </c>
      <c r="E277" s="129">
        <v>3679.6469999999999</v>
      </c>
      <c r="F277" s="130">
        <v>120.25700000000001</v>
      </c>
      <c r="G277" s="53"/>
      <c r="H277" s="53">
        <v>4140</v>
      </c>
      <c r="I277" s="53">
        <f t="shared" si="86"/>
        <v>31451.579999998976</v>
      </c>
      <c r="J277" s="53">
        <f t="shared" si="87"/>
        <v>1477.9799999999973</v>
      </c>
      <c r="K277" s="54">
        <f t="shared" si="92"/>
        <v>4.6992233776492164E-2</v>
      </c>
      <c r="L277" s="53">
        <f t="shared" si="89"/>
        <v>1477.9799999999973</v>
      </c>
      <c r="M277" s="54">
        <f t="shared" si="93"/>
        <v>4.6992233776492164E-2</v>
      </c>
      <c r="N277" s="55">
        <v>66743316</v>
      </c>
      <c r="O277" s="55">
        <f t="shared" si="90"/>
        <v>0</v>
      </c>
      <c r="P277" s="80" t="s">
        <v>39</v>
      </c>
      <c r="Q277" s="81">
        <v>0.56999999999999995</v>
      </c>
      <c r="R277" s="19">
        <f t="shared" si="88"/>
        <v>1</v>
      </c>
      <c r="S277" s="19">
        <f t="shared" si="91"/>
        <v>0</v>
      </c>
      <c r="T277" s="144"/>
    </row>
    <row r="278" spans="1:23" x14ac:dyDescent="0.3">
      <c r="A278" s="50">
        <v>44836</v>
      </c>
      <c r="D278" s="128">
        <v>0.14199999999999999</v>
      </c>
      <c r="E278" s="129">
        <v>3687.65</v>
      </c>
      <c r="F278" s="130">
        <v>120.64700000000001</v>
      </c>
      <c r="G278" s="53"/>
      <c r="H278" s="53">
        <v>4140</v>
      </c>
      <c r="I278" s="53">
        <f t="shared" si="86"/>
        <v>33132.420000000646</v>
      </c>
      <c r="J278" s="53">
        <f t="shared" si="87"/>
        <v>1614.6000000000024</v>
      </c>
      <c r="K278" s="54">
        <f t="shared" si="92"/>
        <v>4.8731725602898034E-2</v>
      </c>
      <c r="L278" s="53">
        <f t="shared" si="89"/>
        <v>1614.6000000000024</v>
      </c>
      <c r="M278" s="54">
        <f t="shared" si="93"/>
        <v>4.8731725602898034E-2</v>
      </c>
      <c r="N278" s="55">
        <v>66743316</v>
      </c>
      <c r="O278" s="55">
        <f t="shared" si="90"/>
        <v>0</v>
      </c>
      <c r="P278" s="56"/>
      <c r="Q278" s="88"/>
      <c r="R278" s="19">
        <f t="shared" si="88"/>
        <v>1</v>
      </c>
      <c r="S278" s="19">
        <f t="shared" si="91"/>
        <v>0</v>
      </c>
      <c r="T278" s="144"/>
      <c r="W278" s="1" t="s">
        <v>51</v>
      </c>
    </row>
    <row r="279" spans="1:23" x14ac:dyDescent="0.3">
      <c r="A279" s="50">
        <v>44837</v>
      </c>
      <c r="D279" s="128" t="s">
        <v>48</v>
      </c>
      <c r="E279" s="129">
        <v>3694.9749999999999</v>
      </c>
      <c r="F279" s="130">
        <v>120.938</v>
      </c>
      <c r="G279" s="53"/>
      <c r="H279" s="53">
        <v>4140</v>
      </c>
      <c r="I279" s="53">
        <f t="shared" si="86"/>
        <v>30325.499999999247</v>
      </c>
      <c r="J279" s="53">
        <f t="shared" si="87"/>
        <v>1204.7399999999868</v>
      </c>
      <c r="K279" s="54">
        <f t="shared" si="92"/>
        <v>3.9726962457338436E-2</v>
      </c>
      <c r="L279" s="53">
        <f t="shared" si="89"/>
        <v>1204.7399999999868</v>
      </c>
      <c r="M279" s="54">
        <f t="shared" si="93"/>
        <v>3.9726962457338436E-2</v>
      </c>
      <c r="N279" s="55">
        <v>66743316</v>
      </c>
      <c r="O279" s="55">
        <f t="shared" si="90"/>
        <v>0</v>
      </c>
      <c r="P279" s="84"/>
      <c r="Q279" s="85"/>
      <c r="R279" s="19">
        <f t="shared" si="88"/>
        <v>1</v>
      </c>
      <c r="S279" s="19">
        <f t="shared" si="91"/>
        <v>0</v>
      </c>
      <c r="T279" s="145"/>
    </row>
    <row r="280" spans="1:23" x14ac:dyDescent="0.3">
      <c r="A280" s="50">
        <v>44838</v>
      </c>
      <c r="D280" s="128">
        <v>0.14199999999999999</v>
      </c>
      <c r="E280" s="129">
        <v>3702.5349999999999</v>
      </c>
      <c r="F280" s="130">
        <v>121.236</v>
      </c>
      <c r="G280" s="53"/>
      <c r="H280" s="53">
        <v>4140</v>
      </c>
      <c r="I280" s="53">
        <f t="shared" si="86"/>
        <v>31298.399999999776</v>
      </c>
      <c r="J280" s="53">
        <f t="shared" si="87"/>
        <v>1233.7200000000075</v>
      </c>
      <c r="K280" s="54">
        <f t="shared" si="92"/>
        <v>3.9417989417989942E-2</v>
      </c>
      <c r="L280" s="53">
        <f t="shared" si="89"/>
        <v>1233.7200000000075</v>
      </c>
      <c r="M280" s="54">
        <f t="shared" si="93"/>
        <v>3.9417989417989942E-2</v>
      </c>
      <c r="N280" s="55">
        <v>66743408</v>
      </c>
      <c r="O280" s="55">
        <f t="shared" si="90"/>
        <v>92</v>
      </c>
      <c r="P280" s="86"/>
      <c r="Q280" s="87"/>
      <c r="R280" s="19">
        <f t="shared" si="88"/>
        <v>1</v>
      </c>
      <c r="S280" s="19">
        <f t="shared" si="91"/>
        <v>0</v>
      </c>
      <c r="T280" s="145"/>
    </row>
    <row r="281" spans="1:23" x14ac:dyDescent="0.3">
      <c r="A281" s="50">
        <v>44839</v>
      </c>
      <c r="D281" s="128">
        <v>0.14199999999999999</v>
      </c>
      <c r="E281" s="129">
        <v>3709.654</v>
      </c>
      <c r="F281" s="130">
        <v>121.51</v>
      </c>
      <c r="G281" s="53"/>
      <c r="H281" s="53">
        <v>4140</v>
      </c>
      <c r="I281" s="53">
        <f t="shared" si="86"/>
        <v>29472.660000000586</v>
      </c>
      <c r="J281" s="53">
        <f t="shared" si="87"/>
        <v>1134.3600000000038</v>
      </c>
      <c r="K281" s="54">
        <f t="shared" si="92"/>
        <v>3.8488551762887409E-2</v>
      </c>
      <c r="L281" s="53">
        <f t="shared" si="89"/>
        <v>1134.3600000000038</v>
      </c>
      <c r="M281" s="54">
        <f t="shared" si="93"/>
        <v>3.8488551762887409E-2</v>
      </c>
      <c r="N281" s="55">
        <v>66743408</v>
      </c>
      <c r="O281" s="55">
        <f t="shared" si="90"/>
        <v>0</v>
      </c>
      <c r="P281" s="86"/>
      <c r="Q281" s="85"/>
      <c r="R281" s="19">
        <f t="shared" si="88"/>
        <v>1</v>
      </c>
      <c r="S281" s="19">
        <f t="shared" si="91"/>
        <v>0</v>
      </c>
      <c r="T281" s="144"/>
    </row>
    <row r="282" spans="1:23" x14ac:dyDescent="0.3">
      <c r="A282" s="50">
        <v>44840</v>
      </c>
      <c r="D282" s="128">
        <v>0.14199999999999999</v>
      </c>
      <c r="E282" s="129">
        <v>3716.616</v>
      </c>
      <c r="F282" s="130">
        <v>121.79900000000001</v>
      </c>
      <c r="G282" s="53"/>
      <c r="H282" s="53">
        <v>4140</v>
      </c>
      <c r="I282" s="53">
        <f t="shared" si="86"/>
        <v>28822.679999999957</v>
      </c>
      <c r="J282" s="53">
        <f t="shared" si="87"/>
        <v>1196.4600000000062</v>
      </c>
      <c r="K282" s="54">
        <f t="shared" si="92"/>
        <v>4.1511060040218602E-2</v>
      </c>
      <c r="L282" s="53">
        <f t="shared" si="89"/>
        <v>1196.4600000000062</v>
      </c>
      <c r="M282" s="54">
        <f t="shared" si="93"/>
        <v>4.1511060040218602E-2</v>
      </c>
      <c r="N282" s="55">
        <v>66743408</v>
      </c>
      <c r="O282" s="55">
        <f t="shared" si="90"/>
        <v>0</v>
      </c>
      <c r="P282" s="56"/>
      <c r="Q282" s="57"/>
      <c r="R282" s="19">
        <f t="shared" si="88"/>
        <v>1</v>
      </c>
      <c r="S282" s="19">
        <f t="shared" si="91"/>
        <v>0</v>
      </c>
      <c r="T282" s="144"/>
    </row>
    <row r="283" spans="1:23" x14ac:dyDescent="0.3">
      <c r="A283" s="50">
        <v>44841</v>
      </c>
      <c r="D283" s="128">
        <v>0.14199999999999999</v>
      </c>
      <c r="E283" s="129">
        <v>3723.79</v>
      </c>
      <c r="F283" s="130">
        <v>122.09</v>
      </c>
      <c r="G283" s="53"/>
      <c r="H283" s="53">
        <v>4140</v>
      </c>
      <c r="I283" s="53">
        <f t="shared" si="86"/>
        <v>29700.35999999991</v>
      </c>
      <c r="J283" s="53">
        <f t="shared" si="87"/>
        <v>1204.7399999999868</v>
      </c>
      <c r="K283" s="54">
        <f t="shared" si="92"/>
        <v>4.0563144689154965E-2</v>
      </c>
      <c r="L283" s="53">
        <f t="shared" si="89"/>
        <v>1204.7399999999868</v>
      </c>
      <c r="M283" s="54">
        <f t="shared" si="93"/>
        <v>4.0563144689154965E-2</v>
      </c>
      <c r="N283" s="55">
        <v>66743408</v>
      </c>
      <c r="O283" s="55">
        <f t="shared" si="90"/>
        <v>0</v>
      </c>
      <c r="P283" s="56"/>
      <c r="Q283" s="58"/>
      <c r="R283" s="19">
        <f t="shared" si="88"/>
        <v>1</v>
      </c>
      <c r="S283" s="19">
        <f t="shared" si="91"/>
        <v>0</v>
      </c>
      <c r="T283" s="144"/>
    </row>
    <row r="284" spans="1:23" x14ac:dyDescent="0.3">
      <c r="A284" s="50">
        <v>44842</v>
      </c>
      <c r="D284" s="128" t="s">
        <v>48</v>
      </c>
      <c r="E284" s="129">
        <v>3730.42</v>
      </c>
      <c r="F284" s="130">
        <v>122.35</v>
      </c>
      <c r="G284" s="53"/>
      <c r="H284" s="53">
        <v>4140</v>
      </c>
      <c r="I284" s="53">
        <f t="shared" si="86"/>
        <v>27448.200000000452</v>
      </c>
      <c r="J284" s="53">
        <f t="shared" si="87"/>
        <v>1076.3999999999623</v>
      </c>
      <c r="K284" s="54">
        <f t="shared" si="92"/>
        <v>3.9215686274507784E-2</v>
      </c>
      <c r="L284" s="53">
        <f t="shared" si="89"/>
        <v>1076.3999999999623</v>
      </c>
      <c r="M284" s="54">
        <f t="shared" si="93"/>
        <v>3.9215686274507784E-2</v>
      </c>
      <c r="N284" s="55">
        <v>66743408</v>
      </c>
      <c r="O284" s="55">
        <f t="shared" si="90"/>
        <v>0</v>
      </c>
      <c r="P284" s="56"/>
      <c r="Q284" s="58"/>
      <c r="R284" s="19">
        <f t="shared" si="88"/>
        <v>1</v>
      </c>
      <c r="S284" s="19">
        <f t="shared" si="91"/>
        <v>0</v>
      </c>
      <c r="T284" s="145"/>
    </row>
    <row r="285" spans="1:23" x14ac:dyDescent="0.3">
      <c r="A285" s="50">
        <v>44843</v>
      </c>
      <c r="D285" s="128" t="s">
        <v>48</v>
      </c>
      <c r="E285" s="129">
        <v>3736.902</v>
      </c>
      <c r="F285" s="130">
        <v>122.631</v>
      </c>
      <c r="G285" s="53"/>
      <c r="H285" s="53">
        <v>4140</v>
      </c>
      <c r="I285" s="53">
        <f t="shared" si="86"/>
        <v>26835.47999999988</v>
      </c>
      <c r="J285" s="53">
        <f t="shared" si="87"/>
        <v>1163.3400000000245</v>
      </c>
      <c r="K285" s="54">
        <f t="shared" si="92"/>
        <v>4.3350817648874912E-2</v>
      </c>
      <c r="L285" s="53">
        <f t="shared" si="89"/>
        <v>1163.3400000000245</v>
      </c>
      <c r="M285" s="54">
        <f t="shared" si="93"/>
        <v>4.3350817648874912E-2</v>
      </c>
      <c r="N285" s="55">
        <v>66743408</v>
      </c>
      <c r="O285" s="55">
        <f t="shared" si="90"/>
        <v>0</v>
      </c>
      <c r="P285" s="56"/>
      <c r="Q285" s="58"/>
      <c r="R285" s="19">
        <f t="shared" si="88"/>
        <v>1</v>
      </c>
      <c r="S285" s="19">
        <f t="shared" si="91"/>
        <v>0</v>
      </c>
      <c r="T285" s="145"/>
    </row>
    <row r="286" spans="1:23" x14ac:dyDescent="0.3">
      <c r="A286" s="50">
        <v>44844</v>
      </c>
      <c r="D286" s="128" t="s">
        <v>48</v>
      </c>
      <c r="E286" s="129">
        <v>3743.7750000000001</v>
      </c>
      <c r="F286" s="130">
        <v>122.94199999999999</v>
      </c>
      <c r="G286" s="53"/>
      <c r="H286" s="53">
        <v>4140</v>
      </c>
      <c r="I286" s="53">
        <f t="shared" si="86"/>
        <v>28454.220000000198</v>
      </c>
      <c r="J286" s="53">
        <f t="shared" si="87"/>
        <v>1287.5399999999704</v>
      </c>
      <c r="K286" s="54">
        <f t="shared" si="92"/>
        <v>4.5249527135165238E-2</v>
      </c>
      <c r="L286" s="53">
        <f t="shared" si="89"/>
        <v>1287.5399999999704</v>
      </c>
      <c r="M286" s="54">
        <f t="shared" si="93"/>
        <v>4.5249527135165238E-2</v>
      </c>
      <c r="N286" s="55">
        <v>66743408</v>
      </c>
      <c r="O286" s="55">
        <f t="shared" si="90"/>
        <v>0</v>
      </c>
      <c r="P286" s="56"/>
      <c r="Q286" s="57"/>
      <c r="R286" s="19">
        <f t="shared" si="88"/>
        <v>1</v>
      </c>
      <c r="S286" s="19">
        <f t="shared" si="91"/>
        <v>0</v>
      </c>
      <c r="T286" s="144"/>
    </row>
    <row r="287" spans="1:23" x14ac:dyDescent="0.3">
      <c r="A287" s="50">
        <v>44845</v>
      </c>
      <c r="D287" s="128"/>
      <c r="E287" s="129"/>
      <c r="F287" s="130"/>
      <c r="G287" s="53"/>
      <c r="H287" s="53">
        <v>4140</v>
      </c>
      <c r="I287" s="53" t="str">
        <f t="shared" si="86"/>
        <v/>
      </c>
      <c r="J287" s="53" t="str">
        <f t="shared" si="87"/>
        <v/>
      </c>
      <c r="K287" s="54" t="str">
        <f t="shared" si="92"/>
        <v/>
      </c>
      <c r="L287" s="53" t="str">
        <f t="shared" si="89"/>
        <v/>
      </c>
      <c r="M287" s="54" t="str">
        <f t="shared" si="93"/>
        <v/>
      </c>
      <c r="N287" s="55"/>
      <c r="O287" s="55" t="str">
        <f t="shared" si="90"/>
        <v/>
      </c>
      <c r="P287" s="56"/>
      <c r="Q287" s="57"/>
      <c r="R287" s="19">
        <f t="shared" si="88"/>
        <v>0</v>
      </c>
      <c r="S287" s="19">
        <f t="shared" si="91"/>
        <v>1</v>
      </c>
      <c r="T287" s="144"/>
    </row>
    <row r="288" spans="1:23" x14ac:dyDescent="0.3">
      <c r="A288" s="50">
        <v>44846</v>
      </c>
      <c r="D288" s="128"/>
      <c r="E288" s="129"/>
      <c r="F288" s="130"/>
      <c r="G288" s="53"/>
      <c r="H288" s="53">
        <v>4140</v>
      </c>
      <c r="I288" s="53" t="str">
        <f t="shared" si="86"/>
        <v/>
      </c>
      <c r="J288" s="53" t="str">
        <f t="shared" si="87"/>
        <v/>
      </c>
      <c r="K288" s="54" t="str">
        <f t="shared" si="92"/>
        <v/>
      </c>
      <c r="L288" s="53" t="str">
        <f t="shared" si="89"/>
        <v/>
      </c>
      <c r="M288" s="54" t="str">
        <f t="shared" si="93"/>
        <v/>
      </c>
      <c r="N288" s="55"/>
      <c r="O288" s="55" t="str">
        <f t="shared" si="90"/>
        <v/>
      </c>
      <c r="P288" s="56"/>
      <c r="Q288" s="58"/>
      <c r="R288" s="19">
        <f t="shared" si="88"/>
        <v>0</v>
      </c>
      <c r="S288" s="19">
        <f t="shared" si="91"/>
        <v>1</v>
      </c>
      <c r="T288" s="144"/>
    </row>
    <row r="289" spans="1:20" x14ac:dyDescent="0.3">
      <c r="A289" s="50">
        <v>44847</v>
      </c>
      <c r="D289" s="128"/>
      <c r="E289" s="129"/>
      <c r="F289" s="130"/>
      <c r="G289" s="53"/>
      <c r="H289" s="53">
        <v>4140</v>
      </c>
      <c r="I289" s="53" t="str">
        <f t="shared" si="86"/>
        <v/>
      </c>
      <c r="J289" s="53" t="str">
        <f t="shared" si="87"/>
        <v/>
      </c>
      <c r="K289" s="54" t="str">
        <f t="shared" si="92"/>
        <v/>
      </c>
      <c r="L289" s="53" t="str">
        <f t="shared" si="89"/>
        <v/>
      </c>
      <c r="M289" s="54" t="str">
        <f t="shared" si="93"/>
        <v/>
      </c>
      <c r="N289" s="55"/>
      <c r="O289" s="55" t="str">
        <f t="shared" si="90"/>
        <v/>
      </c>
      <c r="P289" s="56"/>
      <c r="Q289" s="58"/>
      <c r="R289" s="19">
        <f t="shared" si="88"/>
        <v>0</v>
      </c>
      <c r="S289" s="19">
        <f t="shared" si="91"/>
        <v>1</v>
      </c>
      <c r="T289" s="145"/>
    </row>
    <row r="290" spans="1:20" x14ac:dyDescent="0.3">
      <c r="A290" s="50">
        <v>44848</v>
      </c>
      <c r="D290" s="128"/>
      <c r="E290" s="129"/>
      <c r="F290" s="130"/>
      <c r="G290" s="53"/>
      <c r="H290" s="53">
        <v>4140</v>
      </c>
      <c r="I290" s="53" t="str">
        <f t="shared" si="86"/>
        <v/>
      </c>
      <c r="J290" s="53" t="str">
        <f t="shared" si="87"/>
        <v/>
      </c>
      <c r="K290" s="54" t="str">
        <f t="shared" si="92"/>
        <v/>
      </c>
      <c r="L290" s="53" t="str">
        <f t="shared" si="89"/>
        <v/>
      </c>
      <c r="M290" s="54" t="str">
        <f t="shared" si="93"/>
        <v/>
      </c>
      <c r="N290" s="55"/>
      <c r="O290" s="55" t="str">
        <f t="shared" si="90"/>
        <v/>
      </c>
      <c r="P290" s="56"/>
      <c r="Q290" s="57"/>
      <c r="R290" s="19">
        <f t="shared" si="88"/>
        <v>0</v>
      </c>
      <c r="S290" s="19">
        <f t="shared" si="91"/>
        <v>1</v>
      </c>
      <c r="T290" s="145"/>
    </row>
    <row r="291" spans="1:20" x14ac:dyDescent="0.3">
      <c r="A291" s="50">
        <v>44849</v>
      </c>
      <c r="D291" s="128"/>
      <c r="E291" s="129"/>
      <c r="F291" s="130"/>
      <c r="G291" s="53"/>
      <c r="H291" s="53">
        <v>4140</v>
      </c>
      <c r="I291" s="53" t="str">
        <f t="shared" si="86"/>
        <v/>
      </c>
      <c r="J291" s="53" t="str">
        <f t="shared" si="87"/>
        <v/>
      </c>
      <c r="K291" s="54" t="str">
        <f t="shared" si="92"/>
        <v/>
      </c>
      <c r="L291" s="53" t="str">
        <f t="shared" si="89"/>
        <v/>
      </c>
      <c r="M291" s="54" t="str">
        <f t="shared" si="93"/>
        <v/>
      </c>
      <c r="N291" s="55"/>
      <c r="O291" s="55" t="str">
        <f t="shared" si="90"/>
        <v/>
      </c>
      <c r="P291" s="56"/>
      <c r="Q291" s="57"/>
      <c r="R291" s="19">
        <f t="shared" si="88"/>
        <v>0</v>
      </c>
      <c r="S291" s="19">
        <f t="shared" si="91"/>
        <v>1</v>
      </c>
      <c r="T291" s="144"/>
    </row>
    <row r="292" spans="1:20" x14ac:dyDescent="0.3">
      <c r="A292" s="50">
        <v>44850</v>
      </c>
      <c r="D292" s="128"/>
      <c r="E292" s="129"/>
      <c r="F292" s="130"/>
      <c r="G292" s="53"/>
      <c r="H292" s="53">
        <v>4140</v>
      </c>
      <c r="I292" s="53" t="str">
        <f t="shared" si="86"/>
        <v/>
      </c>
      <c r="J292" s="53" t="str">
        <f t="shared" si="87"/>
        <v/>
      </c>
      <c r="K292" s="54" t="str">
        <f t="shared" si="92"/>
        <v/>
      </c>
      <c r="L292" s="53" t="str">
        <f t="shared" si="89"/>
        <v/>
      </c>
      <c r="M292" s="54" t="str">
        <f t="shared" si="93"/>
        <v/>
      </c>
      <c r="N292" s="55"/>
      <c r="O292" s="55" t="str">
        <f t="shared" si="90"/>
        <v/>
      </c>
      <c r="P292" s="56"/>
      <c r="Q292" s="57"/>
      <c r="R292" s="19">
        <f t="shared" si="88"/>
        <v>0</v>
      </c>
      <c r="S292" s="19">
        <f t="shared" si="91"/>
        <v>1</v>
      </c>
      <c r="T292" s="144"/>
    </row>
    <row r="293" spans="1:20" x14ac:dyDescent="0.3">
      <c r="A293" s="50">
        <v>44851</v>
      </c>
      <c r="D293" s="128"/>
      <c r="E293" s="129"/>
      <c r="F293" s="130"/>
      <c r="G293" s="53"/>
      <c r="H293" s="53">
        <v>4140</v>
      </c>
      <c r="I293" s="53" t="str">
        <f t="shared" si="86"/>
        <v/>
      </c>
      <c r="J293" s="53" t="str">
        <f t="shared" si="87"/>
        <v/>
      </c>
      <c r="K293" s="54" t="str">
        <f t="shared" si="92"/>
        <v/>
      </c>
      <c r="L293" s="53" t="str">
        <f t="shared" si="89"/>
        <v/>
      </c>
      <c r="M293" s="54" t="str">
        <f t="shared" si="93"/>
        <v/>
      </c>
      <c r="N293" s="55"/>
      <c r="O293" s="55" t="str">
        <f>IF(N293="","",N293-N292)</f>
        <v/>
      </c>
      <c r="P293" s="56"/>
      <c r="Q293" s="88"/>
      <c r="R293" s="19">
        <f t="shared" si="88"/>
        <v>0</v>
      </c>
      <c r="S293" s="19">
        <f t="shared" si="91"/>
        <v>1</v>
      </c>
      <c r="T293" s="144"/>
    </row>
    <row r="294" spans="1:20" x14ac:dyDescent="0.3">
      <c r="A294" s="50">
        <v>44852</v>
      </c>
      <c r="D294" s="128"/>
      <c r="E294" s="129"/>
      <c r="F294" s="130"/>
      <c r="G294" s="53"/>
      <c r="H294" s="53">
        <v>4140</v>
      </c>
      <c r="I294" s="53" t="str">
        <f t="shared" si="86"/>
        <v/>
      </c>
      <c r="J294" s="53" t="str">
        <f t="shared" si="87"/>
        <v/>
      </c>
      <c r="K294" s="54" t="str">
        <f t="shared" si="92"/>
        <v/>
      </c>
      <c r="L294" s="53" t="str">
        <f t="shared" si="89"/>
        <v/>
      </c>
      <c r="M294" s="54" t="str">
        <f t="shared" si="93"/>
        <v/>
      </c>
      <c r="N294" s="55"/>
      <c r="O294" s="55" t="str">
        <f>IF(N294="","",N294-N293)</f>
        <v/>
      </c>
      <c r="P294" s="56"/>
      <c r="Q294" s="88"/>
      <c r="R294" s="19">
        <f t="shared" si="88"/>
        <v>0</v>
      </c>
      <c r="S294" s="19">
        <f t="shared" si="91"/>
        <v>1</v>
      </c>
      <c r="T294" s="145"/>
    </row>
    <row r="295" spans="1:20" x14ac:dyDescent="0.3">
      <c r="A295" s="50">
        <v>44853</v>
      </c>
      <c r="D295" s="128"/>
      <c r="E295" s="129"/>
      <c r="F295" s="130"/>
      <c r="G295" s="53"/>
      <c r="H295" s="53">
        <v>4140</v>
      </c>
      <c r="I295" s="53" t="str">
        <f t="shared" si="86"/>
        <v/>
      </c>
      <c r="J295" s="53" t="str">
        <f t="shared" si="87"/>
        <v/>
      </c>
      <c r="K295" s="54" t="str">
        <f t="shared" si="92"/>
        <v/>
      </c>
      <c r="L295" s="53" t="str">
        <f t="shared" si="89"/>
        <v/>
      </c>
      <c r="M295" s="54" t="str">
        <f t="shared" si="93"/>
        <v/>
      </c>
      <c r="N295" s="55"/>
      <c r="O295" s="55" t="str">
        <f t="shared" si="90"/>
        <v/>
      </c>
      <c r="P295" s="181" t="s">
        <v>52</v>
      </c>
      <c r="Q295" s="182"/>
      <c r="R295" s="19">
        <f t="shared" si="88"/>
        <v>0</v>
      </c>
      <c r="S295" s="19">
        <f t="shared" si="91"/>
        <v>1</v>
      </c>
      <c r="T295" s="145"/>
    </row>
    <row r="296" spans="1:20" x14ac:dyDescent="0.3">
      <c r="A296" s="50">
        <v>44854</v>
      </c>
      <c r="D296" s="128"/>
      <c r="E296" s="129"/>
      <c r="F296" s="130"/>
      <c r="G296" s="53"/>
      <c r="H296" s="53">
        <v>4140</v>
      </c>
      <c r="I296" s="53" t="str">
        <f t="shared" si="86"/>
        <v/>
      </c>
      <c r="J296" s="53" t="str">
        <f t="shared" si="87"/>
        <v/>
      </c>
      <c r="K296" s="54" t="str">
        <f t="shared" si="92"/>
        <v/>
      </c>
      <c r="L296" s="53" t="str">
        <f t="shared" si="89"/>
        <v/>
      </c>
      <c r="M296" s="54" t="str">
        <f t="shared" si="93"/>
        <v/>
      </c>
      <c r="N296" s="55"/>
      <c r="O296" s="55" t="str">
        <f t="shared" si="90"/>
        <v/>
      </c>
      <c r="P296" s="183"/>
      <c r="Q296" s="184"/>
      <c r="R296" s="19">
        <f t="shared" si="88"/>
        <v>0</v>
      </c>
      <c r="S296" s="19">
        <f t="shared" si="91"/>
        <v>1</v>
      </c>
      <c r="T296" s="144"/>
    </row>
    <row r="297" spans="1:20" x14ac:dyDescent="0.3">
      <c r="A297" s="50">
        <v>44855</v>
      </c>
      <c r="D297" s="128"/>
      <c r="E297" s="129"/>
      <c r="F297" s="130"/>
      <c r="G297" s="53"/>
      <c r="H297" s="53">
        <v>4140</v>
      </c>
      <c r="I297" s="53" t="str">
        <f t="shared" si="86"/>
        <v/>
      </c>
      <c r="J297" s="53" t="str">
        <f t="shared" si="87"/>
        <v/>
      </c>
      <c r="K297" s="54" t="str">
        <f t="shared" si="92"/>
        <v/>
      </c>
      <c r="L297" s="53" t="str">
        <f t="shared" si="89"/>
        <v/>
      </c>
      <c r="M297" s="54" t="str">
        <f t="shared" si="93"/>
        <v/>
      </c>
      <c r="N297" s="55"/>
      <c r="O297" s="55" t="str">
        <f t="shared" si="90"/>
        <v/>
      </c>
      <c r="P297" s="62" t="s">
        <v>29</v>
      </c>
      <c r="Q297" s="62" t="s">
        <v>30</v>
      </c>
      <c r="R297" s="19">
        <f t="shared" si="88"/>
        <v>0</v>
      </c>
      <c r="S297" s="19">
        <f t="shared" si="91"/>
        <v>1</v>
      </c>
      <c r="T297" s="144"/>
    </row>
    <row r="298" spans="1:20" x14ac:dyDescent="0.3">
      <c r="A298" s="50">
        <v>44856</v>
      </c>
      <c r="D298" s="128"/>
      <c r="E298" s="129"/>
      <c r="F298" s="130"/>
      <c r="G298" s="53"/>
      <c r="H298" s="53">
        <v>4140</v>
      </c>
      <c r="I298" s="53" t="str">
        <f t="shared" si="86"/>
        <v/>
      </c>
      <c r="J298" s="53" t="str">
        <f t="shared" si="87"/>
        <v/>
      </c>
      <c r="K298" s="54" t="str">
        <f t="shared" si="92"/>
        <v/>
      </c>
      <c r="L298" s="53" t="str">
        <f t="shared" si="89"/>
        <v/>
      </c>
      <c r="M298" s="54" t="str">
        <f t="shared" si="93"/>
        <v/>
      </c>
      <c r="N298" s="55"/>
      <c r="O298" s="55" t="str">
        <f t="shared" si="90"/>
        <v/>
      </c>
      <c r="P298" s="63">
        <f>IF(J277="",0,+SUM(J277:J307)/SUM(I277:I307))</f>
        <v>4.2411990240501789E-2</v>
      </c>
      <c r="Q298" s="63">
        <f>IF(L277="",0,+SUM(L277:L307)/SUM(I277:I307))</f>
        <v>4.2411990240501789E-2</v>
      </c>
      <c r="R298" s="19">
        <f t="shared" si="88"/>
        <v>0</v>
      </c>
      <c r="S298" s="19">
        <f t="shared" si="91"/>
        <v>1</v>
      </c>
      <c r="T298" s="145"/>
    </row>
    <row r="299" spans="1:20" x14ac:dyDescent="0.3">
      <c r="A299" s="50">
        <v>44857</v>
      </c>
      <c r="D299" s="128"/>
      <c r="E299" s="129"/>
      <c r="F299" s="130"/>
      <c r="G299" s="53"/>
      <c r="H299" s="53">
        <v>4140</v>
      </c>
      <c r="I299" s="53" t="str">
        <f t="shared" si="86"/>
        <v/>
      </c>
      <c r="J299" s="53" t="str">
        <f t="shared" si="87"/>
        <v/>
      </c>
      <c r="K299" s="54" t="str">
        <f t="shared" si="92"/>
        <v/>
      </c>
      <c r="L299" s="53" t="str">
        <f t="shared" si="89"/>
        <v/>
      </c>
      <c r="M299" s="54" t="str">
        <f t="shared" si="93"/>
        <v/>
      </c>
      <c r="N299" s="55"/>
      <c r="O299" s="55" t="str">
        <f t="shared" si="90"/>
        <v/>
      </c>
      <c r="P299" s="64" t="e">
        <f>IF(J277="",0,+(+(LOOKUP(9.99999999999999E+307,E277:E307)-E276))/(+(LOOKUP(9.99999999999999E+307,D277:D307)-D276)))</f>
        <v>#VALUE!</v>
      </c>
      <c r="Q299" s="64" t="e">
        <f>IF(L277="",0,+(+(LOOKUP(9.99999999999999E+307,F277:F307)-F276))/(+(LOOKUP(9.99999999999999E+307,D277:D307)-D276)))</f>
        <v>#VALUE!</v>
      </c>
      <c r="R299" s="19">
        <f t="shared" si="88"/>
        <v>0</v>
      </c>
      <c r="S299" s="19">
        <f t="shared" si="91"/>
        <v>1</v>
      </c>
      <c r="T299" s="145"/>
    </row>
    <row r="300" spans="1:20" x14ac:dyDescent="0.3">
      <c r="A300" s="50">
        <v>44858</v>
      </c>
      <c r="D300" s="128"/>
      <c r="E300" s="129"/>
      <c r="F300" s="130"/>
      <c r="G300" s="53"/>
      <c r="H300" s="53">
        <v>4140</v>
      </c>
      <c r="I300" s="53" t="str">
        <f t="shared" ref="I300:J315" si="94">IF(D300="","",+(E300-E299)*4140)</f>
        <v/>
      </c>
      <c r="J300" s="53" t="str">
        <f t="shared" si="94"/>
        <v/>
      </c>
      <c r="K300" s="54" t="str">
        <f t="shared" si="92"/>
        <v/>
      </c>
      <c r="L300" s="53" t="str">
        <f t="shared" si="89"/>
        <v/>
      </c>
      <c r="M300" s="54" t="str">
        <f t="shared" si="93"/>
        <v/>
      </c>
      <c r="N300" s="55"/>
      <c r="O300" s="55" t="str">
        <f t="shared" si="90"/>
        <v/>
      </c>
      <c r="P300" s="65" t="s">
        <v>31</v>
      </c>
      <c r="Q300" s="66" t="s">
        <v>32</v>
      </c>
      <c r="R300" s="19">
        <f t="shared" si="88"/>
        <v>0</v>
      </c>
      <c r="S300" s="19">
        <f t="shared" si="91"/>
        <v>1</v>
      </c>
      <c r="T300" s="145"/>
    </row>
    <row r="301" spans="1:20" x14ac:dyDescent="0.3">
      <c r="A301" s="50">
        <v>44859</v>
      </c>
      <c r="D301" s="128"/>
      <c r="E301" s="129"/>
      <c r="F301" s="130"/>
      <c r="G301" s="53"/>
      <c r="H301" s="53">
        <v>4140</v>
      </c>
      <c r="I301" s="53" t="str">
        <f t="shared" si="94"/>
        <v/>
      </c>
      <c r="J301" s="53" t="str">
        <f t="shared" si="94"/>
        <v/>
      </c>
      <c r="K301" s="54" t="str">
        <f t="shared" si="92"/>
        <v/>
      </c>
      <c r="L301" s="53" t="str">
        <f t="shared" si="89"/>
        <v/>
      </c>
      <c r="M301" s="54" t="str">
        <f t="shared" si="93"/>
        <v/>
      </c>
      <c r="N301" s="55"/>
      <c r="O301" s="55" t="str">
        <f t="shared" si="90"/>
        <v/>
      </c>
      <c r="P301" s="67">
        <f>IF(N276="",0,+(LOOKUP(9.99999999999999E+307,N276:N307)-N276))</f>
        <v>92</v>
      </c>
      <c r="Q301" s="68">
        <f>IF(P301="",0,+P301/SUM(R277:R307))</f>
        <v>9.1999999999999993</v>
      </c>
      <c r="R301" s="19">
        <f t="shared" si="88"/>
        <v>0</v>
      </c>
      <c r="S301" s="19">
        <f t="shared" si="91"/>
        <v>1</v>
      </c>
      <c r="T301" s="145"/>
    </row>
    <row r="302" spans="1:20" x14ac:dyDescent="0.3">
      <c r="A302" s="50">
        <v>44860</v>
      </c>
      <c r="D302" s="128"/>
      <c r="E302" s="129"/>
      <c r="F302" s="130"/>
      <c r="G302" s="53"/>
      <c r="H302" s="53">
        <v>4140</v>
      </c>
      <c r="I302" s="53" t="str">
        <f t="shared" si="94"/>
        <v/>
      </c>
      <c r="J302" s="53" t="str">
        <f t="shared" si="94"/>
        <v/>
      </c>
      <c r="K302" s="54" t="str">
        <f t="shared" si="92"/>
        <v/>
      </c>
      <c r="L302" s="53" t="str">
        <f t="shared" si="89"/>
        <v/>
      </c>
      <c r="M302" s="54" t="str">
        <f t="shared" si="93"/>
        <v/>
      </c>
      <c r="N302" s="55"/>
      <c r="O302" s="55" t="str">
        <f t="shared" si="90"/>
        <v/>
      </c>
      <c r="P302" s="69" t="s">
        <v>33</v>
      </c>
      <c r="Q302" s="70" t="s">
        <v>41</v>
      </c>
      <c r="R302" s="19">
        <f t="shared" si="88"/>
        <v>0</v>
      </c>
      <c r="S302" s="19">
        <f t="shared" si="91"/>
        <v>1</v>
      </c>
      <c r="T302" s="144"/>
    </row>
    <row r="303" spans="1:20" x14ac:dyDescent="0.3">
      <c r="A303" s="50">
        <v>44861</v>
      </c>
      <c r="D303" s="128"/>
      <c r="E303" s="129"/>
      <c r="F303" s="130"/>
      <c r="G303" s="53"/>
      <c r="H303" s="53">
        <v>4140</v>
      </c>
      <c r="I303" s="53" t="str">
        <f t="shared" si="94"/>
        <v/>
      </c>
      <c r="J303" s="53" t="str">
        <f t="shared" si="94"/>
        <v/>
      </c>
      <c r="K303" s="54" t="str">
        <f t="shared" si="92"/>
        <v/>
      </c>
      <c r="L303" s="53" t="str">
        <f t="shared" si="89"/>
        <v/>
      </c>
      <c r="M303" s="54" t="str">
        <f t="shared" si="93"/>
        <v/>
      </c>
      <c r="N303" s="55"/>
      <c r="O303" s="55" t="str">
        <f t="shared" si="90"/>
        <v/>
      </c>
      <c r="P303" s="71" t="e">
        <f>IF(D276="",0,+(LOOKUP(9.99999999999999E+307,D276:D307)-D276))*4140</f>
        <v>#VALUE!</v>
      </c>
      <c r="Q303" s="72" t="e">
        <f>IF(P303="",0,+P303/SUM(R277:R307))</f>
        <v>#VALUE!</v>
      </c>
      <c r="R303" s="19">
        <f t="shared" si="88"/>
        <v>0</v>
      </c>
      <c r="S303" s="19">
        <f t="shared" si="91"/>
        <v>1</v>
      </c>
      <c r="T303" s="144"/>
    </row>
    <row r="304" spans="1:20" x14ac:dyDescent="0.3">
      <c r="A304" s="50">
        <v>44862</v>
      </c>
      <c r="D304" s="128"/>
      <c r="E304" s="129"/>
      <c r="F304" s="130"/>
      <c r="G304" s="53"/>
      <c r="H304" s="53">
        <v>4140</v>
      </c>
      <c r="I304" s="53" t="str">
        <f t="shared" si="94"/>
        <v/>
      </c>
      <c r="J304" s="53" t="str">
        <f t="shared" si="94"/>
        <v/>
      </c>
      <c r="K304" s="54" t="str">
        <f t="shared" si="92"/>
        <v/>
      </c>
      <c r="L304" s="53" t="str">
        <f t="shared" si="89"/>
        <v/>
      </c>
      <c r="M304" s="54" t="str">
        <f t="shared" si="93"/>
        <v/>
      </c>
      <c r="N304" s="55"/>
      <c r="O304" s="55" t="str">
        <f t="shared" si="90"/>
        <v/>
      </c>
      <c r="P304" s="146" t="s">
        <v>35</v>
      </c>
      <c r="Q304" s="147" t="s">
        <v>42</v>
      </c>
      <c r="R304" s="19">
        <f t="shared" si="88"/>
        <v>0</v>
      </c>
      <c r="S304" s="19">
        <f t="shared" si="91"/>
        <v>1</v>
      </c>
      <c r="T304" s="144"/>
    </row>
    <row r="305" spans="1:20" x14ac:dyDescent="0.3">
      <c r="A305" s="50">
        <v>44863</v>
      </c>
      <c r="D305" s="128"/>
      <c r="E305" s="129"/>
      <c r="F305" s="130"/>
      <c r="G305" s="53"/>
      <c r="H305" s="53">
        <v>4140</v>
      </c>
      <c r="I305" s="53" t="str">
        <f t="shared" si="94"/>
        <v/>
      </c>
      <c r="J305" s="53" t="str">
        <f t="shared" si="94"/>
        <v/>
      </c>
      <c r="K305" s="54" t="str">
        <f t="shared" si="92"/>
        <v/>
      </c>
      <c r="L305" s="53" t="str">
        <f t="shared" si="89"/>
        <v/>
      </c>
      <c r="M305" s="54" t="str">
        <f t="shared" si="93"/>
        <v/>
      </c>
      <c r="N305" s="55"/>
      <c r="O305" s="55" t="str">
        <f t="shared" si="90"/>
        <v/>
      </c>
      <c r="P305" s="73" t="e">
        <f>P303*Q308</f>
        <v>#VALUE!</v>
      </c>
      <c r="Q305" s="74">
        <f>IF(Q34="",0,(SUM('[1]Günlük Tüketim'!H277:H307)*1.62)/SUM(O277:O307))</f>
        <v>0</v>
      </c>
      <c r="R305" s="19">
        <f t="shared" si="88"/>
        <v>0</v>
      </c>
      <c r="S305" s="19">
        <f t="shared" si="91"/>
        <v>1</v>
      </c>
      <c r="T305" s="144"/>
    </row>
    <row r="306" spans="1:20" x14ac:dyDescent="0.3">
      <c r="A306" s="50">
        <v>44864</v>
      </c>
      <c r="D306" s="163"/>
      <c r="E306" s="164"/>
      <c r="F306" s="165"/>
      <c r="G306" s="53"/>
      <c r="H306" s="53">
        <v>4140</v>
      </c>
      <c r="I306" s="53" t="str">
        <f t="shared" si="94"/>
        <v/>
      </c>
      <c r="J306" s="53" t="str">
        <f t="shared" si="94"/>
        <v/>
      </c>
      <c r="K306" s="54" t="str">
        <f t="shared" si="92"/>
        <v/>
      </c>
      <c r="L306" s="53" t="str">
        <f t="shared" si="89"/>
        <v/>
      </c>
      <c r="M306" s="54" t="str">
        <f t="shared" si="93"/>
        <v/>
      </c>
      <c r="N306" s="55"/>
      <c r="O306" s="55" t="str">
        <f t="shared" si="90"/>
        <v/>
      </c>
      <c r="P306" s="148" t="s">
        <v>37</v>
      </c>
      <c r="Q306" s="149" t="s">
        <v>38</v>
      </c>
      <c r="R306" s="19">
        <f t="shared" si="88"/>
        <v>0</v>
      </c>
      <c r="S306" s="19">
        <f t="shared" si="91"/>
        <v>1</v>
      </c>
      <c r="T306" s="144"/>
    </row>
    <row r="307" spans="1:20" x14ac:dyDescent="0.3">
      <c r="A307" s="50">
        <v>44865</v>
      </c>
      <c r="D307" s="166"/>
      <c r="E307" s="166"/>
      <c r="F307" s="166"/>
      <c r="G307" s="167"/>
      <c r="H307" s="167">
        <v>4140</v>
      </c>
      <c r="I307" s="167" t="str">
        <f t="shared" si="94"/>
        <v/>
      </c>
      <c r="J307" s="167" t="str">
        <f t="shared" si="94"/>
        <v/>
      </c>
      <c r="K307" s="168" t="str">
        <f t="shared" si="92"/>
        <v/>
      </c>
      <c r="L307" s="167" t="str">
        <f t="shared" si="89"/>
        <v/>
      </c>
      <c r="M307" s="168" t="str">
        <f t="shared" si="93"/>
        <v/>
      </c>
      <c r="N307" s="169"/>
      <c r="O307" s="170" t="str">
        <f t="shared" si="90"/>
        <v/>
      </c>
      <c r="P307" s="162" t="e">
        <f>(P305+Q303*SUM(S277:S307)*Q308)</f>
        <v>#VALUE!</v>
      </c>
      <c r="Q307" s="112" t="e">
        <f>Q303*31</f>
        <v>#VALUE!</v>
      </c>
      <c r="R307" s="19">
        <f t="shared" si="88"/>
        <v>0</v>
      </c>
      <c r="S307" s="19">
        <f t="shared" si="91"/>
        <v>1</v>
      </c>
      <c r="T307" s="144"/>
    </row>
    <row r="308" spans="1:20" x14ac:dyDescent="0.3">
      <c r="A308" s="50">
        <v>44866</v>
      </c>
      <c r="D308" s="128"/>
      <c r="E308" s="129"/>
      <c r="F308" s="130"/>
      <c r="G308" s="53"/>
      <c r="H308" s="53">
        <v>4140</v>
      </c>
      <c r="I308" s="53" t="str">
        <f t="shared" si="94"/>
        <v/>
      </c>
      <c r="J308" s="53" t="str">
        <f t="shared" si="94"/>
        <v/>
      </c>
      <c r="K308" s="54" t="str">
        <f t="shared" si="92"/>
        <v/>
      </c>
      <c r="L308" s="53" t="str">
        <f t="shared" si="89"/>
        <v/>
      </c>
      <c r="M308" s="54" t="str">
        <f t="shared" si="93"/>
        <v/>
      </c>
      <c r="N308" s="55"/>
      <c r="O308" s="55" t="str">
        <f t="shared" si="90"/>
        <v/>
      </c>
      <c r="P308" s="95" t="s">
        <v>39</v>
      </c>
      <c r="Q308" s="96">
        <v>0.56999999999999995</v>
      </c>
      <c r="R308" s="19">
        <f t="shared" si="88"/>
        <v>0</v>
      </c>
      <c r="S308" s="19">
        <f t="shared" si="91"/>
        <v>1</v>
      </c>
      <c r="T308" s="144"/>
    </row>
    <row r="309" spans="1:20" x14ac:dyDescent="0.3">
      <c r="A309" s="50">
        <v>44867</v>
      </c>
      <c r="D309" s="128"/>
      <c r="E309" s="129"/>
      <c r="F309" s="130"/>
      <c r="G309" s="53"/>
      <c r="H309" s="53">
        <v>4140</v>
      </c>
      <c r="I309" s="53" t="str">
        <f t="shared" si="94"/>
        <v/>
      </c>
      <c r="J309" s="53" t="str">
        <f t="shared" si="94"/>
        <v/>
      </c>
      <c r="K309" s="54" t="str">
        <f t="shared" si="92"/>
        <v/>
      </c>
      <c r="L309" s="53" t="str">
        <f t="shared" si="89"/>
        <v/>
      </c>
      <c r="M309" s="54" t="str">
        <f t="shared" si="93"/>
        <v/>
      </c>
      <c r="N309" s="55"/>
      <c r="O309" s="55" t="str">
        <f t="shared" si="90"/>
        <v/>
      </c>
      <c r="P309" s="113"/>
      <c r="Q309" s="113"/>
      <c r="R309" s="19">
        <f t="shared" si="88"/>
        <v>0</v>
      </c>
      <c r="S309" s="19">
        <f t="shared" si="91"/>
        <v>1</v>
      </c>
      <c r="T309" s="144"/>
    </row>
    <row r="310" spans="1:20" x14ac:dyDescent="0.3">
      <c r="A310" s="50">
        <v>44868</v>
      </c>
      <c r="D310" s="128"/>
      <c r="E310" s="129"/>
      <c r="F310" s="130"/>
      <c r="G310" s="53"/>
      <c r="H310" s="53">
        <v>4140</v>
      </c>
      <c r="I310" s="53" t="str">
        <f t="shared" si="94"/>
        <v/>
      </c>
      <c r="J310" s="53" t="str">
        <f t="shared" si="94"/>
        <v/>
      </c>
      <c r="K310" s="54" t="str">
        <f t="shared" si="92"/>
        <v/>
      </c>
      <c r="L310" s="53" t="str">
        <f t="shared" si="89"/>
        <v/>
      </c>
      <c r="M310" s="54" t="str">
        <f t="shared" si="93"/>
        <v/>
      </c>
      <c r="N310" s="55"/>
      <c r="O310" s="55" t="str">
        <f t="shared" si="90"/>
        <v/>
      </c>
      <c r="P310" s="84"/>
      <c r="Q310" s="85"/>
      <c r="R310" s="19">
        <f>IF(N310="",0,1)</f>
        <v>0</v>
      </c>
      <c r="S310" s="19">
        <f t="shared" si="91"/>
        <v>1</v>
      </c>
      <c r="T310" s="145"/>
    </row>
    <row r="311" spans="1:20" x14ac:dyDescent="0.3">
      <c r="A311" s="50">
        <v>44869</v>
      </c>
      <c r="D311" s="128"/>
      <c r="E311" s="129"/>
      <c r="F311" s="130"/>
      <c r="G311" s="53"/>
      <c r="H311" s="53">
        <v>4140</v>
      </c>
      <c r="I311" s="53" t="str">
        <f t="shared" si="94"/>
        <v/>
      </c>
      <c r="J311" s="53" t="str">
        <f t="shared" si="94"/>
        <v/>
      </c>
      <c r="K311" s="54" t="str">
        <f t="shared" si="92"/>
        <v/>
      </c>
      <c r="L311" s="53" t="str">
        <f t="shared" si="89"/>
        <v/>
      </c>
      <c r="M311" s="54" t="str">
        <f t="shared" si="93"/>
        <v/>
      </c>
      <c r="N311" s="55"/>
      <c r="O311" s="55" t="str">
        <f t="shared" si="90"/>
        <v/>
      </c>
      <c r="P311" s="86"/>
      <c r="Q311" s="87"/>
      <c r="R311" s="19">
        <f>IF(N311="",0,1)</f>
        <v>0</v>
      </c>
      <c r="S311" s="19">
        <f>IF(N312="",1,0)</f>
        <v>1</v>
      </c>
      <c r="T311" s="145"/>
    </row>
    <row r="312" spans="1:20" x14ac:dyDescent="0.3">
      <c r="A312" s="50">
        <v>44870</v>
      </c>
      <c r="D312" s="128"/>
      <c r="E312" s="129"/>
      <c r="F312" s="130"/>
      <c r="G312" s="53"/>
      <c r="H312" s="53">
        <v>4140</v>
      </c>
      <c r="I312" s="53" t="str">
        <f t="shared" si="94"/>
        <v/>
      </c>
      <c r="J312" s="53" t="str">
        <f t="shared" si="94"/>
        <v/>
      </c>
      <c r="K312" s="54" t="str">
        <f t="shared" si="92"/>
        <v/>
      </c>
      <c r="L312" s="53" t="str">
        <f t="shared" si="89"/>
        <v/>
      </c>
      <c r="M312" s="54" t="str">
        <f t="shared" si="93"/>
        <v/>
      </c>
      <c r="N312" s="55"/>
      <c r="O312" s="55" t="str">
        <f t="shared" si="90"/>
        <v/>
      </c>
      <c r="P312" s="86"/>
      <c r="Q312" s="85"/>
      <c r="R312" s="19">
        <f>IF(N312="",0,1)</f>
        <v>0</v>
      </c>
      <c r="S312" s="19">
        <f>IF(N313="",1,0)</f>
        <v>1</v>
      </c>
      <c r="T312" s="144"/>
    </row>
    <row r="313" spans="1:20" x14ac:dyDescent="0.3">
      <c r="A313" s="50">
        <v>44871</v>
      </c>
      <c r="D313" s="128"/>
      <c r="E313" s="129"/>
      <c r="F313" s="130"/>
      <c r="G313" s="53"/>
      <c r="H313" s="53">
        <v>4140</v>
      </c>
      <c r="I313" s="53" t="str">
        <f t="shared" si="94"/>
        <v/>
      </c>
      <c r="J313" s="53" t="str">
        <f t="shared" si="94"/>
        <v/>
      </c>
      <c r="K313" s="54" t="str">
        <f t="shared" si="92"/>
        <v/>
      </c>
      <c r="L313" s="53" t="str">
        <f t="shared" si="89"/>
        <v/>
      </c>
      <c r="M313" s="54" t="str">
        <f t="shared" si="93"/>
        <v/>
      </c>
      <c r="N313" s="55"/>
      <c r="O313" s="55" t="str">
        <f t="shared" si="90"/>
        <v/>
      </c>
      <c r="P313" s="56"/>
      <c r="Q313" s="58"/>
      <c r="R313" s="19">
        <f t="shared" si="88"/>
        <v>0</v>
      </c>
      <c r="S313" s="19">
        <f t="shared" si="91"/>
        <v>1</v>
      </c>
      <c r="T313" s="144"/>
    </row>
    <row r="314" spans="1:20" x14ac:dyDescent="0.3">
      <c r="A314" s="50">
        <v>44872</v>
      </c>
      <c r="D314" s="128"/>
      <c r="E314" s="129"/>
      <c r="F314" s="130"/>
      <c r="G314" s="53"/>
      <c r="H314" s="53">
        <v>4140</v>
      </c>
      <c r="I314" s="53" t="str">
        <f t="shared" si="94"/>
        <v/>
      </c>
      <c r="J314" s="53" t="str">
        <f t="shared" si="94"/>
        <v/>
      </c>
      <c r="K314" s="54" t="str">
        <f t="shared" si="92"/>
        <v/>
      </c>
      <c r="L314" s="53" t="str">
        <f t="shared" si="89"/>
        <v/>
      </c>
      <c r="M314" s="54" t="str">
        <f t="shared" si="93"/>
        <v/>
      </c>
      <c r="N314" s="55"/>
      <c r="O314" s="55" t="str">
        <f t="shared" si="90"/>
        <v/>
      </c>
      <c r="P314" s="56"/>
      <c r="Q314" s="58"/>
      <c r="R314" s="19">
        <f t="shared" si="88"/>
        <v>0</v>
      </c>
      <c r="S314" s="19">
        <f t="shared" si="91"/>
        <v>1</v>
      </c>
      <c r="T314" s="144"/>
    </row>
    <row r="315" spans="1:20" x14ac:dyDescent="0.3">
      <c r="A315" s="50">
        <v>44873</v>
      </c>
      <c r="D315" s="128"/>
      <c r="E315" s="129"/>
      <c r="F315" s="130"/>
      <c r="G315" s="53"/>
      <c r="H315" s="53">
        <v>4140</v>
      </c>
      <c r="I315" s="53" t="str">
        <f t="shared" si="94"/>
        <v/>
      </c>
      <c r="J315" s="53" t="str">
        <f t="shared" si="94"/>
        <v/>
      </c>
      <c r="K315" s="54" t="str">
        <f t="shared" si="92"/>
        <v/>
      </c>
      <c r="L315" s="53" t="str">
        <f t="shared" si="89"/>
        <v/>
      </c>
      <c r="M315" s="54" t="str">
        <f t="shared" si="93"/>
        <v/>
      </c>
      <c r="N315" s="55"/>
      <c r="O315" s="55" t="str">
        <f>IF(N315="","",N315-N314)</f>
        <v/>
      </c>
      <c r="P315" s="56"/>
      <c r="Q315" s="58"/>
      <c r="R315" s="19">
        <f t="shared" si="88"/>
        <v>0</v>
      </c>
      <c r="S315" s="19">
        <f t="shared" si="91"/>
        <v>1</v>
      </c>
      <c r="T315" s="145"/>
    </row>
    <row r="316" spans="1:20" x14ac:dyDescent="0.3">
      <c r="A316" s="50">
        <v>44874</v>
      </c>
      <c r="D316" s="128"/>
      <c r="E316" s="129"/>
      <c r="F316" s="130"/>
      <c r="G316" s="53"/>
      <c r="H316" s="53">
        <v>4140</v>
      </c>
      <c r="I316" s="53" t="str">
        <f t="shared" ref="I316:I369" si="95">IF(D316="","",+(E316-E315)*4140)</f>
        <v/>
      </c>
      <c r="J316" s="53" t="str">
        <f t="shared" ref="J316:J367" si="96">IF(E316="","",+(F316-F315)*4140)</f>
        <v/>
      </c>
      <c r="K316" s="54" t="str">
        <f t="shared" si="92"/>
        <v/>
      </c>
      <c r="L316" s="53" t="str">
        <f t="shared" si="89"/>
        <v/>
      </c>
      <c r="M316" s="54" t="str">
        <f t="shared" si="93"/>
        <v/>
      </c>
      <c r="N316" s="55"/>
      <c r="O316" s="55" t="str">
        <f t="shared" ref="O316:O369" si="97">IF(N316="","",N316-N315)</f>
        <v/>
      </c>
      <c r="P316" s="56"/>
      <c r="Q316" s="57"/>
      <c r="R316" s="19">
        <f t="shared" si="88"/>
        <v>0</v>
      </c>
      <c r="S316" s="19">
        <f t="shared" si="91"/>
        <v>1</v>
      </c>
      <c r="T316" s="145"/>
    </row>
    <row r="317" spans="1:20" x14ac:dyDescent="0.3">
      <c r="A317" s="50">
        <v>44875</v>
      </c>
      <c r="D317" s="128"/>
      <c r="E317" s="129"/>
      <c r="F317" s="130"/>
      <c r="G317" s="53"/>
      <c r="H317" s="53">
        <v>4140</v>
      </c>
      <c r="I317" s="53" t="str">
        <f t="shared" si="95"/>
        <v/>
      </c>
      <c r="J317" s="53" t="str">
        <f t="shared" si="96"/>
        <v/>
      </c>
      <c r="K317" s="54" t="str">
        <f t="shared" si="92"/>
        <v/>
      </c>
      <c r="L317" s="53" t="str">
        <f t="shared" si="89"/>
        <v/>
      </c>
      <c r="M317" s="54" t="str">
        <f t="shared" si="93"/>
        <v/>
      </c>
      <c r="N317" s="55"/>
      <c r="O317" s="55" t="str">
        <f t="shared" si="97"/>
        <v/>
      </c>
      <c r="P317" s="56"/>
      <c r="Q317" s="57"/>
      <c r="R317" s="19">
        <f t="shared" ref="R317:R368" si="98">IF(N317="",0,1)</f>
        <v>0</v>
      </c>
      <c r="S317" s="19">
        <f t="shared" si="91"/>
        <v>1</v>
      </c>
      <c r="T317" s="144"/>
    </row>
    <row r="318" spans="1:20" x14ac:dyDescent="0.3">
      <c r="A318" s="50">
        <v>44876</v>
      </c>
      <c r="D318" s="128"/>
      <c r="E318" s="129"/>
      <c r="F318" s="130"/>
      <c r="G318" s="53"/>
      <c r="H318" s="53">
        <v>4140</v>
      </c>
      <c r="I318" s="53" t="str">
        <f t="shared" si="95"/>
        <v/>
      </c>
      <c r="J318" s="53" t="str">
        <f t="shared" si="96"/>
        <v/>
      </c>
      <c r="K318" s="54" t="str">
        <f t="shared" si="92"/>
        <v/>
      </c>
      <c r="L318" s="53" t="str">
        <f t="shared" si="89"/>
        <v/>
      </c>
      <c r="M318" s="54" t="str">
        <f t="shared" si="93"/>
        <v/>
      </c>
      <c r="N318" s="55"/>
      <c r="O318" s="55" t="str">
        <f t="shared" si="97"/>
        <v/>
      </c>
      <c r="P318" s="56"/>
      <c r="Q318" s="58"/>
      <c r="R318" s="19">
        <f t="shared" si="98"/>
        <v>0</v>
      </c>
      <c r="S318" s="19">
        <f t="shared" si="91"/>
        <v>1</v>
      </c>
      <c r="T318" s="144"/>
    </row>
    <row r="319" spans="1:20" x14ac:dyDescent="0.3">
      <c r="A319" s="50">
        <v>44877</v>
      </c>
      <c r="D319" s="128"/>
      <c r="E319" s="129"/>
      <c r="F319" s="130"/>
      <c r="G319" s="53"/>
      <c r="H319" s="53">
        <v>4140</v>
      </c>
      <c r="I319" s="53" t="str">
        <f t="shared" si="95"/>
        <v/>
      </c>
      <c r="J319" s="53" t="str">
        <f t="shared" si="96"/>
        <v/>
      </c>
      <c r="K319" s="54" t="str">
        <f t="shared" si="92"/>
        <v/>
      </c>
      <c r="L319" s="53" t="str">
        <f t="shared" si="89"/>
        <v/>
      </c>
      <c r="M319" s="54" t="str">
        <f t="shared" si="93"/>
        <v/>
      </c>
      <c r="N319" s="55"/>
      <c r="O319" s="55" t="str">
        <f>IF(N319="","",N319-N318)</f>
        <v/>
      </c>
      <c r="P319" s="56"/>
      <c r="Q319" s="58"/>
      <c r="R319" s="19">
        <f t="shared" si="98"/>
        <v>0</v>
      </c>
      <c r="S319" s="19">
        <f t="shared" si="91"/>
        <v>1</v>
      </c>
      <c r="T319" s="144"/>
    </row>
    <row r="320" spans="1:20" x14ac:dyDescent="0.3">
      <c r="A320" s="50">
        <v>44878</v>
      </c>
      <c r="D320" s="128"/>
      <c r="E320" s="129"/>
      <c r="F320" s="130"/>
      <c r="G320" s="53"/>
      <c r="H320" s="53">
        <v>4140</v>
      </c>
      <c r="I320" s="53" t="str">
        <f t="shared" si="95"/>
        <v/>
      </c>
      <c r="J320" s="53" t="str">
        <f t="shared" si="96"/>
        <v/>
      </c>
      <c r="K320" s="54" t="str">
        <f t="shared" si="92"/>
        <v/>
      </c>
      <c r="L320" s="53" t="str">
        <f t="shared" si="89"/>
        <v/>
      </c>
      <c r="M320" s="54" t="str">
        <f t="shared" si="93"/>
        <v/>
      </c>
      <c r="N320" s="55"/>
      <c r="O320" s="55" t="str">
        <f t="shared" si="97"/>
        <v/>
      </c>
      <c r="P320" s="56"/>
      <c r="Q320" s="57"/>
      <c r="R320" s="19">
        <f t="shared" si="98"/>
        <v>0</v>
      </c>
      <c r="S320" s="19">
        <f t="shared" si="91"/>
        <v>1</v>
      </c>
      <c r="T320" s="145"/>
    </row>
    <row r="321" spans="1:20" x14ac:dyDescent="0.3">
      <c r="A321" s="50">
        <v>44879</v>
      </c>
      <c r="D321" s="128"/>
      <c r="E321" s="129"/>
      <c r="F321" s="130"/>
      <c r="G321" s="53"/>
      <c r="H321" s="53">
        <v>4140</v>
      </c>
      <c r="I321" s="53" t="str">
        <f t="shared" si="95"/>
        <v/>
      </c>
      <c r="J321" s="53" t="str">
        <f t="shared" si="96"/>
        <v/>
      </c>
      <c r="K321" s="54" t="str">
        <f t="shared" si="92"/>
        <v/>
      </c>
      <c r="L321" s="53" t="str">
        <f t="shared" si="89"/>
        <v/>
      </c>
      <c r="M321" s="54" t="str">
        <f t="shared" si="93"/>
        <v/>
      </c>
      <c r="N321" s="55"/>
      <c r="O321" s="55" t="str">
        <f t="shared" si="97"/>
        <v/>
      </c>
      <c r="P321" s="56"/>
      <c r="Q321" s="114"/>
      <c r="R321" s="19">
        <f t="shared" si="98"/>
        <v>0</v>
      </c>
      <c r="S321" s="19">
        <f t="shared" si="91"/>
        <v>1</v>
      </c>
      <c r="T321" s="145"/>
    </row>
    <row r="322" spans="1:20" x14ac:dyDescent="0.3">
      <c r="A322" s="50">
        <v>44880</v>
      </c>
      <c r="D322" s="128"/>
      <c r="E322" s="129"/>
      <c r="F322" s="130"/>
      <c r="G322" s="53"/>
      <c r="H322" s="53">
        <v>4140</v>
      </c>
      <c r="I322" s="53" t="str">
        <f t="shared" si="95"/>
        <v/>
      </c>
      <c r="J322" s="53" t="str">
        <f t="shared" si="96"/>
        <v/>
      </c>
      <c r="K322" s="54" t="str">
        <f t="shared" si="92"/>
        <v/>
      </c>
      <c r="L322" s="53" t="str">
        <f t="shared" si="89"/>
        <v/>
      </c>
      <c r="M322" s="54" t="str">
        <f t="shared" si="93"/>
        <v/>
      </c>
      <c r="N322" s="55"/>
      <c r="O322" s="55" t="str">
        <f t="shared" si="97"/>
        <v/>
      </c>
      <c r="P322" s="56"/>
      <c r="Q322" s="57"/>
      <c r="R322" s="19">
        <f t="shared" si="98"/>
        <v>0</v>
      </c>
      <c r="S322" s="19">
        <f t="shared" si="91"/>
        <v>1</v>
      </c>
      <c r="T322" s="144"/>
    </row>
    <row r="323" spans="1:20" x14ac:dyDescent="0.3">
      <c r="A323" s="50">
        <v>44881</v>
      </c>
      <c r="D323" s="128"/>
      <c r="E323" s="129"/>
      <c r="F323" s="130"/>
      <c r="G323" s="53"/>
      <c r="H323" s="53">
        <v>4140</v>
      </c>
      <c r="I323" s="53" t="str">
        <f t="shared" si="95"/>
        <v/>
      </c>
      <c r="J323" s="53" t="str">
        <f t="shared" si="96"/>
        <v/>
      </c>
      <c r="K323" s="54" t="str">
        <f t="shared" si="92"/>
        <v/>
      </c>
      <c r="L323" s="53" t="str">
        <f t="shared" si="89"/>
        <v/>
      </c>
      <c r="M323" s="54" t="str">
        <f t="shared" si="93"/>
        <v/>
      </c>
      <c r="N323" s="55"/>
      <c r="O323" s="55" t="str">
        <f t="shared" si="97"/>
        <v/>
      </c>
      <c r="P323" s="56"/>
      <c r="Q323" s="88"/>
      <c r="R323" s="19">
        <f t="shared" si="98"/>
        <v>0</v>
      </c>
      <c r="S323" s="19">
        <f t="shared" si="91"/>
        <v>1</v>
      </c>
      <c r="T323" s="144"/>
    </row>
    <row r="324" spans="1:20" x14ac:dyDescent="0.3">
      <c r="A324" s="50">
        <v>44882</v>
      </c>
      <c r="D324" s="128"/>
      <c r="E324" s="129"/>
      <c r="F324" s="130"/>
      <c r="G324" s="53"/>
      <c r="H324" s="53">
        <v>4140</v>
      </c>
      <c r="I324" s="53" t="str">
        <f t="shared" si="95"/>
        <v/>
      </c>
      <c r="J324" s="53" t="str">
        <f t="shared" si="96"/>
        <v/>
      </c>
      <c r="K324" s="54" t="str">
        <f t="shared" si="92"/>
        <v/>
      </c>
      <c r="L324" s="53" t="str">
        <f t="shared" si="89"/>
        <v/>
      </c>
      <c r="M324" s="54" t="str">
        <f t="shared" si="93"/>
        <v/>
      </c>
      <c r="N324" s="55"/>
      <c r="O324" s="55" t="str">
        <f t="shared" si="97"/>
        <v/>
      </c>
      <c r="P324" s="56"/>
      <c r="Q324" s="88"/>
      <c r="R324" s="19">
        <f t="shared" si="98"/>
        <v>0</v>
      </c>
      <c r="S324" s="19">
        <f t="shared" si="91"/>
        <v>1</v>
      </c>
      <c r="T324" s="144"/>
    </row>
    <row r="325" spans="1:20" x14ac:dyDescent="0.3">
      <c r="A325" s="50">
        <v>44883</v>
      </c>
      <c r="D325" s="128"/>
      <c r="E325" s="129"/>
      <c r="F325" s="130"/>
      <c r="G325" s="53"/>
      <c r="H325" s="53">
        <v>4140</v>
      </c>
      <c r="I325" s="53" t="str">
        <f t="shared" si="95"/>
        <v/>
      </c>
      <c r="J325" s="53" t="str">
        <f t="shared" si="96"/>
        <v/>
      </c>
      <c r="K325" s="54" t="str">
        <f t="shared" si="92"/>
        <v/>
      </c>
      <c r="L325" s="53" t="str">
        <f t="shared" ref="L325:L367" si="99">IF(F325="","",+(F325-F324)*4140)</f>
        <v/>
      </c>
      <c r="M325" s="54" t="str">
        <f t="shared" si="93"/>
        <v/>
      </c>
      <c r="N325" s="55"/>
      <c r="O325" s="55" t="str">
        <f t="shared" si="97"/>
        <v/>
      </c>
      <c r="P325" s="181" t="s">
        <v>53</v>
      </c>
      <c r="Q325" s="182"/>
      <c r="R325" s="19">
        <f t="shared" si="98"/>
        <v>0</v>
      </c>
      <c r="S325" s="19">
        <f t="shared" si="91"/>
        <v>1</v>
      </c>
      <c r="T325" s="145"/>
    </row>
    <row r="326" spans="1:20" x14ac:dyDescent="0.3">
      <c r="A326" s="50">
        <v>44884</v>
      </c>
      <c r="D326" s="128"/>
      <c r="E326" s="129"/>
      <c r="F326" s="130"/>
      <c r="G326" s="53"/>
      <c r="H326" s="53">
        <v>4140</v>
      </c>
      <c r="I326" s="53" t="str">
        <f t="shared" ref="I326:J328" si="100">IF(D326="","",+(E326-E325)*4140)</f>
        <v/>
      </c>
      <c r="J326" s="53" t="str">
        <f t="shared" si="100"/>
        <v/>
      </c>
      <c r="K326" s="54" t="str">
        <f t="shared" si="92"/>
        <v/>
      </c>
      <c r="L326" s="53" t="str">
        <f>IF(F326="","",+(F326-F325)*4140)</f>
        <v/>
      </c>
      <c r="M326" s="54" t="str">
        <f t="shared" si="93"/>
        <v/>
      </c>
      <c r="N326" s="55"/>
      <c r="O326" s="55" t="str">
        <f t="shared" si="97"/>
        <v/>
      </c>
      <c r="P326" s="183"/>
      <c r="Q326" s="184"/>
      <c r="R326" s="19">
        <f t="shared" si="98"/>
        <v>0</v>
      </c>
      <c r="S326" s="19">
        <f t="shared" si="91"/>
        <v>1</v>
      </c>
      <c r="T326" s="145"/>
    </row>
    <row r="327" spans="1:20" x14ac:dyDescent="0.3">
      <c r="A327" s="50">
        <v>44885</v>
      </c>
      <c r="D327" s="128"/>
      <c r="E327" s="129"/>
      <c r="F327" s="130"/>
      <c r="G327" s="53"/>
      <c r="H327" s="53">
        <v>4140</v>
      </c>
      <c r="I327" s="53" t="str">
        <f t="shared" si="100"/>
        <v/>
      </c>
      <c r="J327" s="53" t="str">
        <f t="shared" si="100"/>
        <v/>
      </c>
      <c r="K327" s="54" t="str">
        <f t="shared" si="92"/>
        <v/>
      </c>
      <c r="L327" s="53" t="str">
        <f>IF(F327="","",+(F327-F326)*4140)</f>
        <v/>
      </c>
      <c r="M327" s="54" t="str">
        <f t="shared" si="93"/>
        <v/>
      </c>
      <c r="N327" s="55"/>
      <c r="O327" s="55" t="str">
        <f t="shared" si="97"/>
        <v/>
      </c>
      <c r="P327" s="62" t="s">
        <v>29</v>
      </c>
      <c r="Q327" s="62" t="s">
        <v>30</v>
      </c>
      <c r="R327" s="19">
        <f t="shared" si="98"/>
        <v>0</v>
      </c>
      <c r="S327" s="19">
        <f t="shared" si="91"/>
        <v>1</v>
      </c>
      <c r="T327" s="144"/>
    </row>
    <row r="328" spans="1:20" x14ac:dyDescent="0.3">
      <c r="A328" s="50">
        <v>44886</v>
      </c>
      <c r="D328" s="128"/>
      <c r="E328" s="129"/>
      <c r="F328" s="130"/>
      <c r="G328" s="53"/>
      <c r="H328" s="53">
        <v>4140</v>
      </c>
      <c r="I328" s="53" t="str">
        <f t="shared" si="100"/>
        <v/>
      </c>
      <c r="J328" s="53" t="str">
        <f t="shared" si="100"/>
        <v/>
      </c>
      <c r="K328" s="54" t="str">
        <f t="shared" si="92"/>
        <v/>
      </c>
      <c r="L328" s="53" t="str">
        <f>IF(F328="","",+(F328-F327)*4140)</f>
        <v/>
      </c>
      <c r="M328" s="54" t="str">
        <f t="shared" si="93"/>
        <v/>
      </c>
      <c r="N328" s="55"/>
      <c r="O328" s="55" t="str">
        <f>IF(N328="","",N328-N327)</f>
        <v/>
      </c>
      <c r="P328" s="63">
        <f>IF(J308="",0,+SUM(J308:J337)/SUM(I308:I337))</f>
        <v>0</v>
      </c>
      <c r="Q328" s="63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44"/>
    </row>
    <row r="329" spans="1:20" x14ac:dyDescent="0.3">
      <c r="A329" s="50">
        <v>44887</v>
      </c>
      <c r="D329" s="128"/>
      <c r="E329" s="129"/>
      <c r="F329" s="130"/>
      <c r="G329" s="53"/>
      <c r="H329" s="53">
        <v>4140</v>
      </c>
      <c r="I329" s="53" t="str">
        <f t="shared" si="95"/>
        <v/>
      </c>
      <c r="J329" s="53" t="str">
        <f t="shared" si="96"/>
        <v/>
      </c>
      <c r="K329" s="54" t="str">
        <f t="shared" si="92"/>
        <v/>
      </c>
      <c r="L329" s="53" t="str">
        <f t="shared" si="99"/>
        <v/>
      </c>
      <c r="M329" s="54" t="str">
        <f t="shared" si="93"/>
        <v/>
      </c>
      <c r="N329" s="55"/>
      <c r="O329" s="55" t="str">
        <f t="shared" si="97"/>
        <v/>
      </c>
      <c r="P329" s="64">
        <f>IF(J308="",0,+(+(LOOKUP(9.99999999999999E+307,E308:E337)-E307))/(+(LOOKUP(9.99999999999999E+307,D308:D337)-D307)))</f>
        <v>0</v>
      </c>
      <c r="Q329" s="64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45"/>
    </row>
    <row r="330" spans="1:20" x14ac:dyDescent="0.3">
      <c r="A330" s="50">
        <v>44888</v>
      </c>
      <c r="D330" s="128"/>
      <c r="E330" s="129"/>
      <c r="F330" s="130"/>
      <c r="G330" s="53"/>
      <c r="H330" s="53">
        <v>4140</v>
      </c>
      <c r="I330" s="53" t="str">
        <f t="shared" si="95"/>
        <v/>
      </c>
      <c r="J330" s="53" t="str">
        <f t="shared" si="96"/>
        <v/>
      </c>
      <c r="K330" s="54" t="str">
        <f t="shared" si="92"/>
        <v/>
      </c>
      <c r="L330" s="53" t="str">
        <f t="shared" si="99"/>
        <v/>
      </c>
      <c r="M330" s="54" t="str">
        <f t="shared" si="93"/>
        <v/>
      </c>
      <c r="N330" s="55"/>
      <c r="O330" s="55" t="str">
        <f t="shared" si="97"/>
        <v/>
      </c>
      <c r="P330" s="65" t="s">
        <v>31</v>
      </c>
      <c r="Q330" s="66" t="s">
        <v>32</v>
      </c>
      <c r="R330" s="19">
        <f t="shared" si="98"/>
        <v>0</v>
      </c>
      <c r="S330" s="19">
        <f t="shared" si="101"/>
        <v>1</v>
      </c>
      <c r="T330" s="145"/>
    </row>
    <row r="331" spans="1:20" x14ac:dyDescent="0.3">
      <c r="A331" s="50">
        <v>44889</v>
      </c>
      <c r="D331" s="128"/>
      <c r="E331" s="129"/>
      <c r="F331" s="130"/>
      <c r="G331" s="53"/>
      <c r="H331" s="53">
        <v>4140</v>
      </c>
      <c r="I331" s="53" t="str">
        <f t="shared" si="95"/>
        <v/>
      </c>
      <c r="J331" s="53" t="str">
        <f t="shared" si="96"/>
        <v/>
      </c>
      <c r="K331" s="54" t="str">
        <f t="shared" si="92"/>
        <v/>
      </c>
      <c r="L331" s="53" t="str">
        <f t="shared" si="99"/>
        <v/>
      </c>
      <c r="M331" s="54" t="str">
        <f t="shared" si="93"/>
        <v/>
      </c>
      <c r="N331" s="55"/>
      <c r="O331" s="55" t="str">
        <f t="shared" si="97"/>
        <v/>
      </c>
      <c r="P331" s="67">
        <f>IF(N307="",0,+(LOOKUP(9.99999999999999E+307,N307:N337)-N307))</f>
        <v>0</v>
      </c>
      <c r="Q331" s="68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45"/>
    </row>
    <row r="332" spans="1:20" x14ac:dyDescent="0.3">
      <c r="A332" s="50">
        <v>44890</v>
      </c>
      <c r="D332" s="128"/>
      <c r="E332" s="129"/>
      <c r="F332" s="130"/>
      <c r="G332" s="53"/>
      <c r="H332" s="53">
        <v>4140</v>
      </c>
      <c r="I332" s="53" t="str">
        <f t="shared" si="95"/>
        <v/>
      </c>
      <c r="J332" s="53" t="str">
        <f t="shared" si="96"/>
        <v/>
      </c>
      <c r="K332" s="54" t="str">
        <f t="shared" si="92"/>
        <v/>
      </c>
      <c r="L332" s="53" t="str">
        <f t="shared" si="99"/>
        <v/>
      </c>
      <c r="M332" s="54" t="str">
        <f t="shared" si="93"/>
        <v/>
      </c>
      <c r="N332" s="55"/>
      <c r="O332" s="55" t="str">
        <f t="shared" si="97"/>
        <v/>
      </c>
      <c r="P332" s="69" t="s">
        <v>33</v>
      </c>
      <c r="Q332" s="70" t="s">
        <v>41</v>
      </c>
      <c r="R332" s="19">
        <f t="shared" si="98"/>
        <v>0</v>
      </c>
      <c r="S332" s="19">
        <f t="shared" si="101"/>
        <v>1</v>
      </c>
      <c r="T332" s="145"/>
    </row>
    <row r="333" spans="1:20" x14ac:dyDescent="0.3">
      <c r="A333" s="50">
        <v>44891</v>
      </c>
      <c r="D333" s="128"/>
      <c r="E333" s="129"/>
      <c r="F333" s="130"/>
      <c r="G333" s="53"/>
      <c r="H333" s="53">
        <v>4140</v>
      </c>
      <c r="I333" s="53" t="str">
        <f t="shared" si="95"/>
        <v/>
      </c>
      <c r="J333" s="53" t="str">
        <f t="shared" si="96"/>
        <v/>
      </c>
      <c r="K333" s="54" t="str">
        <f t="shared" ref="K333:K337" si="102">IF(J333="","",+(J333/I333))</f>
        <v/>
      </c>
      <c r="L333" s="53" t="str">
        <f t="shared" si="99"/>
        <v/>
      </c>
      <c r="M333" s="54" t="str">
        <f t="shared" ref="M333:M362" si="103">IF(L333="","",(L333/I333))</f>
        <v/>
      </c>
      <c r="N333" s="55"/>
      <c r="O333" s="55" t="str">
        <f t="shared" si="97"/>
        <v/>
      </c>
      <c r="P333" s="71">
        <f>IF(D307="",0,+(LOOKUP(9.99999999999999E+307,D307:D337)-D307))*4140</f>
        <v>0</v>
      </c>
      <c r="Q333" s="72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44"/>
    </row>
    <row r="334" spans="1:20" x14ac:dyDescent="0.3">
      <c r="A334" s="50">
        <v>44892</v>
      </c>
      <c r="D334" s="128"/>
      <c r="E334" s="129"/>
      <c r="F334" s="130"/>
      <c r="G334" s="53"/>
      <c r="H334" s="53">
        <v>4140</v>
      </c>
      <c r="I334" s="53" t="str">
        <f t="shared" si="95"/>
        <v/>
      </c>
      <c r="J334" s="53" t="str">
        <f t="shared" si="96"/>
        <v/>
      </c>
      <c r="K334" s="54" t="str">
        <f t="shared" si="102"/>
        <v/>
      </c>
      <c r="L334" s="53" t="str">
        <f t="shared" si="99"/>
        <v/>
      </c>
      <c r="M334" s="54" t="str">
        <f t="shared" si="103"/>
        <v/>
      </c>
      <c r="N334" s="55"/>
      <c r="O334" s="55" t="str">
        <f t="shared" si="97"/>
        <v/>
      </c>
      <c r="P334" s="146" t="s">
        <v>35</v>
      </c>
      <c r="Q334" s="147" t="s">
        <v>42</v>
      </c>
      <c r="R334" s="19">
        <f t="shared" si="98"/>
        <v>0</v>
      </c>
      <c r="S334" s="19">
        <f t="shared" si="101"/>
        <v>1</v>
      </c>
      <c r="T334" s="144"/>
    </row>
    <row r="335" spans="1:20" x14ac:dyDescent="0.3">
      <c r="A335" s="50">
        <v>44893</v>
      </c>
      <c r="D335" s="128"/>
      <c r="E335" s="129"/>
      <c r="F335" s="130"/>
      <c r="G335" s="53"/>
      <c r="H335" s="53">
        <v>4140</v>
      </c>
      <c r="I335" s="53" t="str">
        <f t="shared" si="95"/>
        <v/>
      </c>
      <c r="J335" s="53" t="str">
        <f t="shared" si="96"/>
        <v/>
      </c>
      <c r="K335" s="54" t="str">
        <f t="shared" si="102"/>
        <v/>
      </c>
      <c r="L335" s="53" t="str">
        <f t="shared" si="99"/>
        <v/>
      </c>
      <c r="M335" s="54" t="str">
        <f t="shared" si="103"/>
        <v/>
      </c>
      <c r="N335" s="55"/>
      <c r="O335" s="55" t="str">
        <f t="shared" si="97"/>
        <v/>
      </c>
      <c r="P335" s="115">
        <f>P333*Q338</f>
        <v>0</v>
      </c>
      <c r="Q335" s="116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44"/>
    </row>
    <row r="336" spans="1:20" x14ac:dyDescent="0.3">
      <c r="A336" s="50">
        <v>44894</v>
      </c>
      <c r="D336" s="128"/>
      <c r="E336" s="129"/>
      <c r="F336" s="130"/>
      <c r="G336" s="53"/>
      <c r="H336" s="53">
        <v>4140</v>
      </c>
      <c r="I336" s="53" t="str">
        <f t="shared" si="95"/>
        <v/>
      </c>
      <c r="J336" s="53" t="str">
        <f t="shared" si="96"/>
        <v/>
      </c>
      <c r="K336" s="54" t="str">
        <f t="shared" si="102"/>
        <v/>
      </c>
      <c r="L336" s="53" t="str">
        <f t="shared" si="99"/>
        <v/>
      </c>
      <c r="M336" s="54" t="str">
        <f t="shared" si="103"/>
        <v/>
      </c>
      <c r="N336" s="55"/>
      <c r="O336" s="55" t="str">
        <f t="shared" si="97"/>
        <v/>
      </c>
      <c r="P336" s="150" t="s">
        <v>37</v>
      </c>
      <c r="Q336" s="150" t="s">
        <v>38</v>
      </c>
      <c r="R336" s="19">
        <f t="shared" si="98"/>
        <v>0</v>
      </c>
      <c r="S336" s="19">
        <f t="shared" si="101"/>
        <v>1</v>
      </c>
      <c r="T336" s="144"/>
    </row>
    <row r="337" spans="1:20" x14ac:dyDescent="0.3">
      <c r="A337" s="50">
        <v>44895</v>
      </c>
      <c r="D337" s="153"/>
      <c r="E337" s="153"/>
      <c r="F337" s="153"/>
      <c r="G337" s="154"/>
      <c r="H337" s="155">
        <v>4140</v>
      </c>
      <c r="I337" s="155" t="str">
        <f t="shared" si="95"/>
        <v/>
      </c>
      <c r="J337" s="155" t="str">
        <f t="shared" si="96"/>
        <v/>
      </c>
      <c r="K337" s="156" t="str">
        <f t="shared" si="102"/>
        <v/>
      </c>
      <c r="L337" s="155" t="str">
        <f t="shared" si="99"/>
        <v/>
      </c>
      <c r="M337" s="156" t="str">
        <f t="shared" si="103"/>
        <v/>
      </c>
      <c r="N337" s="157"/>
      <c r="O337" s="171" t="str">
        <f t="shared" si="97"/>
        <v/>
      </c>
      <c r="P337" s="117" t="e">
        <f>(P335+Q333*SUM(S308:S337)*Q338)</f>
        <v>#DIV/0!</v>
      </c>
      <c r="Q337" s="118" t="e">
        <f>Q333*30</f>
        <v>#DIV/0!</v>
      </c>
      <c r="R337" s="19">
        <f t="shared" si="98"/>
        <v>0</v>
      </c>
      <c r="S337" s="19">
        <f t="shared" si="101"/>
        <v>1</v>
      </c>
      <c r="T337" s="144"/>
    </row>
    <row r="338" spans="1:20" x14ac:dyDescent="0.3">
      <c r="A338" s="50">
        <v>44896</v>
      </c>
      <c r="D338" s="128"/>
      <c r="E338" s="129"/>
      <c r="F338" s="130"/>
      <c r="G338" s="53"/>
      <c r="H338" s="53">
        <v>4140</v>
      </c>
      <c r="I338" s="53" t="str">
        <f t="shared" si="95"/>
        <v/>
      </c>
      <c r="J338" s="53" t="str">
        <f t="shared" si="96"/>
        <v/>
      </c>
      <c r="K338" s="54" t="str">
        <f t="shared" ref="K338:K367" si="104">IF(J338="","",+(J338/I338))</f>
        <v/>
      </c>
      <c r="L338" s="53" t="str">
        <f t="shared" si="99"/>
        <v/>
      </c>
      <c r="M338" s="54" t="str">
        <f t="shared" si="103"/>
        <v/>
      </c>
      <c r="N338" s="55"/>
      <c r="O338" s="55" t="str">
        <f t="shared" si="97"/>
        <v/>
      </c>
      <c r="P338" s="119" t="s">
        <v>39</v>
      </c>
      <c r="Q338" s="120">
        <v>0.56999999999999995</v>
      </c>
      <c r="R338" s="19">
        <f t="shared" si="98"/>
        <v>0</v>
      </c>
      <c r="S338" s="19">
        <f t="shared" si="101"/>
        <v>1</v>
      </c>
      <c r="T338" s="144"/>
    </row>
    <row r="339" spans="1:20" x14ac:dyDescent="0.3">
      <c r="A339" s="50">
        <v>44897</v>
      </c>
      <c r="D339" s="128"/>
      <c r="E339" s="129"/>
      <c r="F339" s="130"/>
      <c r="G339" s="53"/>
      <c r="H339" s="53">
        <v>4140</v>
      </c>
      <c r="I339" s="53" t="str">
        <f t="shared" si="95"/>
        <v/>
      </c>
      <c r="J339" s="53" t="str">
        <f t="shared" si="96"/>
        <v/>
      </c>
      <c r="K339" s="54" t="str">
        <f t="shared" si="104"/>
        <v/>
      </c>
      <c r="L339" s="53" t="str">
        <f t="shared" si="99"/>
        <v/>
      </c>
      <c r="M339" s="54" t="str">
        <f t="shared" si="103"/>
        <v/>
      </c>
      <c r="N339" s="55"/>
      <c r="O339" s="55" t="str">
        <f t="shared" si="97"/>
        <v/>
      </c>
      <c r="P339" s="113"/>
      <c r="Q339" s="113"/>
      <c r="R339" s="19">
        <f t="shared" si="98"/>
        <v>0</v>
      </c>
      <c r="S339" s="19">
        <f t="shared" si="101"/>
        <v>1</v>
      </c>
      <c r="T339" s="144"/>
    </row>
    <row r="340" spans="1:20" x14ac:dyDescent="0.3">
      <c r="A340" s="50">
        <v>44898</v>
      </c>
      <c r="D340" s="128"/>
      <c r="E340" s="129"/>
      <c r="F340" s="130"/>
      <c r="G340" s="53"/>
      <c r="H340" s="53">
        <v>4140</v>
      </c>
      <c r="I340" s="53" t="str">
        <f t="shared" si="95"/>
        <v/>
      </c>
      <c r="J340" s="53" t="str">
        <f t="shared" si="96"/>
        <v/>
      </c>
      <c r="K340" s="54" t="str">
        <f t="shared" si="104"/>
        <v/>
      </c>
      <c r="L340" s="53" t="str">
        <f t="shared" si="99"/>
        <v/>
      </c>
      <c r="M340" s="54" t="str">
        <f t="shared" si="103"/>
        <v/>
      </c>
      <c r="N340" s="55"/>
      <c r="O340" s="55" t="str">
        <f t="shared" si="97"/>
        <v/>
      </c>
      <c r="P340" s="84"/>
      <c r="Q340" s="85"/>
      <c r="R340" s="19">
        <f t="shared" si="98"/>
        <v>0</v>
      </c>
      <c r="S340" s="19">
        <f t="shared" si="101"/>
        <v>1</v>
      </c>
      <c r="T340" s="145"/>
    </row>
    <row r="341" spans="1:20" x14ac:dyDescent="0.3">
      <c r="A341" s="50">
        <v>44899</v>
      </c>
      <c r="D341" s="128"/>
      <c r="E341" s="129"/>
      <c r="F341" s="130"/>
      <c r="G341" s="53"/>
      <c r="H341" s="53">
        <v>4140</v>
      </c>
      <c r="I341" s="53" t="str">
        <f t="shared" si="95"/>
        <v/>
      </c>
      <c r="J341" s="53" t="str">
        <f t="shared" si="96"/>
        <v/>
      </c>
      <c r="K341" s="54" t="str">
        <f t="shared" si="104"/>
        <v/>
      </c>
      <c r="L341" s="53" t="str">
        <f t="shared" si="99"/>
        <v/>
      </c>
      <c r="M341" s="54" t="str">
        <f t="shared" si="103"/>
        <v/>
      </c>
      <c r="N341" s="55"/>
      <c r="O341" s="55" t="str">
        <f t="shared" si="97"/>
        <v/>
      </c>
      <c r="P341" s="86"/>
      <c r="Q341" s="87"/>
      <c r="R341" s="19">
        <f t="shared" si="98"/>
        <v>0</v>
      </c>
      <c r="S341" s="19">
        <f t="shared" si="101"/>
        <v>1</v>
      </c>
      <c r="T341" s="145"/>
    </row>
    <row r="342" spans="1:20" x14ac:dyDescent="0.3">
      <c r="A342" s="50">
        <v>44900</v>
      </c>
      <c r="D342" s="128"/>
      <c r="E342" s="129"/>
      <c r="F342" s="130"/>
      <c r="G342" s="53"/>
      <c r="H342" s="53">
        <v>4140</v>
      </c>
      <c r="I342" s="53" t="str">
        <f t="shared" si="95"/>
        <v/>
      </c>
      <c r="J342" s="53" t="str">
        <f t="shared" si="96"/>
        <v/>
      </c>
      <c r="K342" s="54" t="str">
        <f t="shared" si="104"/>
        <v/>
      </c>
      <c r="L342" s="53" t="str">
        <f t="shared" si="99"/>
        <v/>
      </c>
      <c r="M342" s="54" t="str">
        <f t="shared" si="103"/>
        <v/>
      </c>
      <c r="N342" s="55"/>
      <c r="O342" s="55" t="str">
        <f t="shared" si="97"/>
        <v/>
      </c>
      <c r="P342" s="86"/>
      <c r="Q342" s="85"/>
      <c r="R342" s="19">
        <f t="shared" si="98"/>
        <v>0</v>
      </c>
      <c r="S342" s="19">
        <f t="shared" si="101"/>
        <v>1</v>
      </c>
      <c r="T342" s="144"/>
    </row>
    <row r="343" spans="1:20" x14ac:dyDescent="0.3">
      <c r="A343" s="50">
        <v>44901</v>
      </c>
      <c r="D343" s="128"/>
      <c r="E343" s="129"/>
      <c r="F343" s="130"/>
      <c r="G343" s="53"/>
      <c r="H343" s="53">
        <v>4140</v>
      </c>
      <c r="I343" s="53" t="str">
        <f t="shared" si="95"/>
        <v/>
      </c>
      <c r="J343" s="53" t="str">
        <f t="shared" si="96"/>
        <v/>
      </c>
      <c r="K343" s="54" t="str">
        <f t="shared" si="104"/>
        <v/>
      </c>
      <c r="L343" s="53" t="str">
        <f t="shared" si="99"/>
        <v/>
      </c>
      <c r="M343" s="54" t="str">
        <f t="shared" si="103"/>
        <v/>
      </c>
      <c r="N343" s="55"/>
      <c r="O343" s="55" t="str">
        <f t="shared" si="97"/>
        <v/>
      </c>
      <c r="P343" s="56"/>
      <c r="Q343" s="57"/>
      <c r="R343" s="19">
        <f t="shared" si="98"/>
        <v>0</v>
      </c>
      <c r="S343" s="19">
        <f t="shared" si="101"/>
        <v>1</v>
      </c>
      <c r="T343" s="144"/>
    </row>
    <row r="344" spans="1:20" x14ac:dyDescent="0.3">
      <c r="A344" s="50">
        <v>44902</v>
      </c>
      <c r="D344" s="128"/>
      <c r="E344" s="129"/>
      <c r="F344" s="130"/>
      <c r="G344" s="53"/>
      <c r="H344" s="53">
        <v>4140</v>
      </c>
      <c r="I344" s="53" t="str">
        <f t="shared" si="95"/>
        <v/>
      </c>
      <c r="J344" s="53" t="str">
        <f t="shared" si="96"/>
        <v/>
      </c>
      <c r="K344" s="54" t="str">
        <f t="shared" si="104"/>
        <v/>
      </c>
      <c r="L344" s="53" t="str">
        <f t="shared" si="99"/>
        <v/>
      </c>
      <c r="M344" s="54" t="str">
        <f t="shared" si="103"/>
        <v/>
      </c>
      <c r="N344" s="55"/>
      <c r="O344" s="55" t="str">
        <f>IF(N344="","",N344-N343)</f>
        <v/>
      </c>
      <c r="P344" s="56"/>
      <c r="Q344" s="58"/>
      <c r="R344" s="19">
        <f t="shared" si="98"/>
        <v>0</v>
      </c>
      <c r="S344" s="19">
        <f t="shared" si="101"/>
        <v>1</v>
      </c>
      <c r="T344" s="144"/>
    </row>
    <row r="345" spans="1:20" x14ac:dyDescent="0.3">
      <c r="A345" s="50">
        <v>44903</v>
      </c>
      <c r="D345" s="128"/>
      <c r="E345" s="129"/>
      <c r="F345" s="130"/>
      <c r="G345" s="53"/>
      <c r="H345" s="53">
        <v>4140</v>
      </c>
      <c r="I345" s="53" t="str">
        <f t="shared" si="95"/>
        <v/>
      </c>
      <c r="J345" s="53" t="str">
        <f t="shared" si="96"/>
        <v/>
      </c>
      <c r="K345" s="54" t="str">
        <f t="shared" si="104"/>
        <v/>
      </c>
      <c r="L345" s="53" t="str">
        <f t="shared" si="99"/>
        <v/>
      </c>
      <c r="M345" s="54" t="str">
        <f t="shared" si="103"/>
        <v/>
      </c>
      <c r="N345" s="55"/>
      <c r="O345" s="55" t="str">
        <f t="shared" si="97"/>
        <v/>
      </c>
      <c r="P345" s="56"/>
      <c r="Q345" s="58"/>
      <c r="R345" s="19">
        <f t="shared" si="98"/>
        <v>0</v>
      </c>
      <c r="S345" s="19">
        <f t="shared" si="101"/>
        <v>1</v>
      </c>
      <c r="T345" s="145"/>
    </row>
    <row r="346" spans="1:20" x14ac:dyDescent="0.3">
      <c r="A346" s="50">
        <v>44904</v>
      </c>
      <c r="D346" s="128"/>
      <c r="E346" s="129"/>
      <c r="F346" s="130"/>
      <c r="G346" s="53"/>
      <c r="H346" s="53">
        <v>4140</v>
      </c>
      <c r="I346" s="53" t="str">
        <f t="shared" si="95"/>
        <v/>
      </c>
      <c r="J346" s="53" t="str">
        <f t="shared" si="96"/>
        <v/>
      </c>
      <c r="K346" s="54" t="str">
        <f t="shared" si="104"/>
        <v/>
      </c>
      <c r="L346" s="53" t="str">
        <f t="shared" si="99"/>
        <v/>
      </c>
      <c r="M346" s="54" t="str">
        <f t="shared" si="103"/>
        <v/>
      </c>
      <c r="N346" s="55"/>
      <c r="O346" s="55" t="str">
        <f t="shared" si="97"/>
        <v/>
      </c>
      <c r="P346" s="56"/>
      <c r="Q346" s="58"/>
      <c r="R346" s="19">
        <f t="shared" si="98"/>
        <v>0</v>
      </c>
      <c r="S346" s="19">
        <f t="shared" si="101"/>
        <v>1</v>
      </c>
      <c r="T346" s="145"/>
    </row>
    <row r="347" spans="1:20" x14ac:dyDescent="0.3">
      <c r="A347" s="50">
        <v>44905</v>
      </c>
      <c r="D347" s="128"/>
      <c r="E347" s="129"/>
      <c r="F347" s="130"/>
      <c r="G347" s="53"/>
      <c r="H347" s="53">
        <v>4140</v>
      </c>
      <c r="I347" s="53" t="str">
        <f t="shared" si="95"/>
        <v/>
      </c>
      <c r="J347" s="53" t="str">
        <f t="shared" si="96"/>
        <v/>
      </c>
      <c r="K347" s="54" t="str">
        <f t="shared" si="104"/>
        <v/>
      </c>
      <c r="L347" s="53" t="str">
        <f t="shared" si="99"/>
        <v/>
      </c>
      <c r="M347" s="54" t="str">
        <f t="shared" si="103"/>
        <v/>
      </c>
      <c r="N347" s="55"/>
      <c r="O347" s="55" t="str">
        <f t="shared" si="97"/>
        <v/>
      </c>
      <c r="P347" s="56"/>
      <c r="Q347" s="57"/>
      <c r="R347" s="19">
        <f t="shared" si="98"/>
        <v>0</v>
      </c>
      <c r="S347" s="19">
        <f t="shared" si="101"/>
        <v>1</v>
      </c>
      <c r="T347" s="144"/>
    </row>
    <row r="348" spans="1:20" x14ac:dyDescent="0.3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 x14ac:dyDescent="0.3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 x14ac:dyDescent="0.3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 x14ac:dyDescent="0.3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 x14ac:dyDescent="0.3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 x14ac:dyDescent="0.3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 x14ac:dyDescent="0.3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 x14ac:dyDescent="0.3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 x14ac:dyDescent="0.3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1" t="s">
        <v>54</v>
      </c>
      <c r="Q356" s="182"/>
      <c r="R356" s="19">
        <f t="shared" si="98"/>
        <v>0</v>
      </c>
      <c r="S356" s="19">
        <f t="shared" si="101"/>
        <v>1</v>
      </c>
      <c r="T356" s="145"/>
    </row>
    <row r="357" spans="1:20" x14ac:dyDescent="0.3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3"/>
      <c r="Q357" s="184"/>
      <c r="R357" s="19">
        <f t="shared" si="98"/>
        <v>0</v>
      </c>
      <c r="S357" s="19">
        <f t="shared" si="101"/>
        <v>1</v>
      </c>
      <c r="T357" s="144"/>
    </row>
    <row r="358" spans="1:20" x14ac:dyDescent="0.3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29</v>
      </c>
      <c r="Q358" s="62" t="s">
        <v>30</v>
      </c>
      <c r="R358" s="19">
        <f t="shared" si="98"/>
        <v>0</v>
      </c>
      <c r="S358" s="19">
        <f t="shared" si="101"/>
        <v>1</v>
      </c>
      <c r="T358" s="144"/>
    </row>
    <row r="359" spans="1:20" x14ac:dyDescent="0.3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45"/>
    </row>
    <row r="360" spans="1:20" x14ac:dyDescent="0.3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45"/>
    </row>
    <row r="361" spans="1:20" x14ac:dyDescent="0.3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31</v>
      </c>
      <c r="Q361" s="66" t="s">
        <v>32</v>
      </c>
      <c r="R361" s="19">
        <f t="shared" si="98"/>
        <v>0</v>
      </c>
      <c r="S361" s="19">
        <f t="shared" si="101"/>
        <v>1</v>
      </c>
      <c r="T361" s="145"/>
    </row>
    <row r="362" spans="1:20" x14ac:dyDescent="0.3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45"/>
    </row>
    <row r="363" spans="1:20" x14ac:dyDescent="0.3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5">IF(L363="","",(L363/I363))</f>
        <v/>
      </c>
      <c r="N363" s="55"/>
      <c r="O363" s="55" t="str">
        <f t="shared" si="97"/>
        <v/>
      </c>
      <c r="P363" s="69" t="s">
        <v>33</v>
      </c>
      <c r="Q363" s="70" t="s">
        <v>41</v>
      </c>
      <c r="R363" s="19">
        <f t="shared" si="98"/>
        <v>0</v>
      </c>
      <c r="S363" s="19">
        <f t="shared" si="101"/>
        <v>1</v>
      </c>
      <c r="T363" s="144"/>
    </row>
    <row r="364" spans="1:20" x14ac:dyDescent="0.3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5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44"/>
    </row>
    <row r="365" spans="1:20" x14ac:dyDescent="0.3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5"/>
        <v/>
      </c>
      <c r="N365" s="55"/>
      <c r="O365" s="55" t="str">
        <f t="shared" si="97"/>
        <v/>
      </c>
      <c r="P365" s="146" t="s">
        <v>35</v>
      </c>
      <c r="Q365" s="147" t="s">
        <v>42</v>
      </c>
      <c r="R365" s="19">
        <f t="shared" si="98"/>
        <v>0</v>
      </c>
      <c r="S365" s="19">
        <f t="shared" si="101"/>
        <v>1</v>
      </c>
      <c r="T365" s="144"/>
    </row>
    <row r="366" spans="1:20" x14ac:dyDescent="0.3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5"/>
        <v/>
      </c>
      <c r="N366" s="55"/>
      <c r="O366" s="55" t="str">
        <f t="shared" si="97"/>
        <v/>
      </c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44"/>
    </row>
    <row r="367" spans="1:20" x14ac:dyDescent="0.3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5"/>
        <v/>
      </c>
      <c r="N367" s="55"/>
      <c r="O367" s="55" t="str">
        <f t="shared" si="97"/>
        <v/>
      </c>
      <c r="P367" s="148" t="s">
        <v>37</v>
      </c>
      <c r="Q367" s="149" t="s">
        <v>38</v>
      </c>
      <c r="R367" s="19">
        <f t="shared" si="98"/>
        <v>0</v>
      </c>
      <c r="S367" s="19">
        <f t="shared" si="101"/>
        <v>1</v>
      </c>
      <c r="T367" s="144"/>
    </row>
    <row r="368" spans="1:20" x14ac:dyDescent="0.3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6">IF(E368="","",+(F368-F367)*4140)</f>
        <v/>
      </c>
      <c r="K368" s="156" t="str">
        <f t="shared" ref="K368:K369" si="107">IF(J368="","",+(J368/I368))</f>
        <v/>
      </c>
      <c r="L368" s="155" t="str">
        <f t="shared" ref="L368:L369" si="108">IF(F368="","",+(F368-F367)*4140)</f>
        <v/>
      </c>
      <c r="M368" s="156" t="str">
        <f t="shared" ref="M368:M369" si="109">IF(L368="","",(L368/I368))</f>
        <v/>
      </c>
      <c r="N368" s="157"/>
      <c r="O368" s="55" t="str">
        <f t="shared" si="97"/>
        <v/>
      </c>
      <c r="P368" s="78" t="e">
        <f>(P366+Q364*SUM(S338:S368)*Q369)</f>
        <v>#DIV/0!</v>
      </c>
      <c r="Q368" s="79" t="e">
        <f>Q364*31</f>
        <v>#DIV/0!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 x14ac:dyDescent="0.3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6"/>
        <v/>
      </c>
      <c r="K369" s="54" t="str">
        <f t="shared" si="107"/>
        <v/>
      </c>
      <c r="L369" s="53" t="str">
        <f t="shared" si="108"/>
        <v/>
      </c>
      <c r="M369" s="54" t="str">
        <f t="shared" si="109"/>
        <v/>
      </c>
      <c r="N369" s="55"/>
      <c r="O369" s="55" t="str">
        <f t="shared" si="97"/>
        <v/>
      </c>
      <c r="P369" s="80" t="s">
        <v>39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274" workbookViewId="0">
      <selection activeCell="G288" sqref="G288"/>
    </sheetView>
  </sheetViews>
  <sheetFormatPr defaultColWidth="9.109375" defaultRowHeight="13.2" x14ac:dyDescent="0.3"/>
  <cols>
    <col min="1" max="1" width="2.5546875" style="8" customWidth="1"/>
    <col min="2" max="2" width="10.6640625" style="8" customWidth="1"/>
    <col min="3" max="3" width="11.109375" style="8" customWidth="1"/>
    <col min="4" max="4" width="11.33203125" style="8" customWidth="1"/>
    <col min="5" max="6" width="12.88671875" style="8" customWidth="1"/>
    <col min="7" max="8" width="11" style="8" customWidth="1"/>
    <col min="9" max="9" width="11.33203125" style="8" customWidth="1"/>
    <col min="10" max="10" width="15.88671875" style="8" customWidth="1"/>
    <col min="11" max="11" width="12.109375" style="8" customWidth="1"/>
    <col min="12" max="12" width="11.33203125" style="8" customWidth="1"/>
    <col min="13" max="13" width="11.44140625" style="8" customWidth="1"/>
    <col min="14" max="14" width="13.33203125" style="8" customWidth="1"/>
    <col min="15" max="15" width="14.5546875" style="8" customWidth="1"/>
    <col min="16" max="17" width="9.109375" style="8"/>
    <col min="18" max="18" width="10.109375" style="8" bestFit="1" customWidth="1"/>
    <col min="19" max="256" width="9.109375" style="8"/>
    <col min="257" max="257" width="2.5546875" style="8" customWidth="1"/>
    <col min="258" max="258" width="10.6640625" style="8" customWidth="1"/>
    <col min="259" max="259" width="11.109375" style="8" customWidth="1"/>
    <col min="260" max="260" width="11.33203125" style="8" customWidth="1"/>
    <col min="261" max="262" width="12.88671875" style="8" customWidth="1"/>
    <col min="263" max="264" width="11" style="8" customWidth="1"/>
    <col min="265" max="265" width="11.33203125" style="8" customWidth="1"/>
    <col min="266" max="266" width="15.88671875" style="8" customWidth="1"/>
    <col min="267" max="267" width="12.109375" style="8" customWidth="1"/>
    <col min="268" max="268" width="11.33203125" style="8" customWidth="1"/>
    <col min="269" max="269" width="11.44140625" style="8" customWidth="1"/>
    <col min="270" max="270" width="13.33203125" style="8" customWidth="1"/>
    <col min="271" max="271" width="14.5546875" style="8" customWidth="1"/>
    <col min="272" max="273" width="9.109375" style="8"/>
    <col min="274" max="274" width="10.109375" style="8" bestFit="1" customWidth="1"/>
    <col min="275" max="512" width="9.109375" style="8"/>
    <col min="513" max="513" width="2.5546875" style="8" customWidth="1"/>
    <col min="514" max="514" width="10.6640625" style="8" customWidth="1"/>
    <col min="515" max="515" width="11.109375" style="8" customWidth="1"/>
    <col min="516" max="516" width="11.33203125" style="8" customWidth="1"/>
    <col min="517" max="518" width="12.88671875" style="8" customWidth="1"/>
    <col min="519" max="520" width="11" style="8" customWidth="1"/>
    <col min="521" max="521" width="11.33203125" style="8" customWidth="1"/>
    <col min="522" max="522" width="15.88671875" style="8" customWidth="1"/>
    <col min="523" max="523" width="12.109375" style="8" customWidth="1"/>
    <col min="524" max="524" width="11.33203125" style="8" customWidth="1"/>
    <col min="525" max="525" width="11.44140625" style="8" customWidth="1"/>
    <col min="526" max="526" width="13.33203125" style="8" customWidth="1"/>
    <col min="527" max="527" width="14.5546875" style="8" customWidth="1"/>
    <col min="528" max="529" width="9.109375" style="8"/>
    <col min="530" max="530" width="10.109375" style="8" bestFit="1" customWidth="1"/>
    <col min="531" max="768" width="9.109375" style="8"/>
    <col min="769" max="769" width="2.5546875" style="8" customWidth="1"/>
    <col min="770" max="770" width="10.6640625" style="8" customWidth="1"/>
    <col min="771" max="771" width="11.109375" style="8" customWidth="1"/>
    <col min="772" max="772" width="11.33203125" style="8" customWidth="1"/>
    <col min="773" max="774" width="12.88671875" style="8" customWidth="1"/>
    <col min="775" max="776" width="11" style="8" customWidth="1"/>
    <col min="777" max="777" width="11.33203125" style="8" customWidth="1"/>
    <col min="778" max="778" width="15.88671875" style="8" customWidth="1"/>
    <col min="779" max="779" width="12.109375" style="8" customWidth="1"/>
    <col min="780" max="780" width="11.33203125" style="8" customWidth="1"/>
    <col min="781" max="781" width="11.44140625" style="8" customWidth="1"/>
    <col min="782" max="782" width="13.33203125" style="8" customWidth="1"/>
    <col min="783" max="783" width="14.5546875" style="8" customWidth="1"/>
    <col min="784" max="785" width="9.109375" style="8"/>
    <col min="786" max="786" width="10.109375" style="8" bestFit="1" customWidth="1"/>
    <col min="787" max="1024" width="9.109375" style="8"/>
    <col min="1025" max="1025" width="2.5546875" style="8" customWidth="1"/>
    <col min="1026" max="1026" width="10.6640625" style="8" customWidth="1"/>
    <col min="1027" max="1027" width="11.109375" style="8" customWidth="1"/>
    <col min="1028" max="1028" width="11.33203125" style="8" customWidth="1"/>
    <col min="1029" max="1030" width="12.88671875" style="8" customWidth="1"/>
    <col min="1031" max="1032" width="11" style="8" customWidth="1"/>
    <col min="1033" max="1033" width="11.33203125" style="8" customWidth="1"/>
    <col min="1034" max="1034" width="15.88671875" style="8" customWidth="1"/>
    <col min="1035" max="1035" width="12.109375" style="8" customWidth="1"/>
    <col min="1036" max="1036" width="11.33203125" style="8" customWidth="1"/>
    <col min="1037" max="1037" width="11.44140625" style="8" customWidth="1"/>
    <col min="1038" max="1038" width="13.33203125" style="8" customWidth="1"/>
    <col min="1039" max="1039" width="14.5546875" style="8" customWidth="1"/>
    <col min="1040" max="1041" width="9.109375" style="8"/>
    <col min="1042" max="1042" width="10.109375" style="8" bestFit="1" customWidth="1"/>
    <col min="1043" max="1280" width="9.109375" style="8"/>
    <col min="1281" max="1281" width="2.5546875" style="8" customWidth="1"/>
    <col min="1282" max="1282" width="10.6640625" style="8" customWidth="1"/>
    <col min="1283" max="1283" width="11.109375" style="8" customWidth="1"/>
    <col min="1284" max="1284" width="11.33203125" style="8" customWidth="1"/>
    <col min="1285" max="1286" width="12.88671875" style="8" customWidth="1"/>
    <col min="1287" max="1288" width="11" style="8" customWidth="1"/>
    <col min="1289" max="1289" width="11.33203125" style="8" customWidth="1"/>
    <col min="1290" max="1290" width="15.88671875" style="8" customWidth="1"/>
    <col min="1291" max="1291" width="12.109375" style="8" customWidth="1"/>
    <col min="1292" max="1292" width="11.33203125" style="8" customWidth="1"/>
    <col min="1293" max="1293" width="11.44140625" style="8" customWidth="1"/>
    <col min="1294" max="1294" width="13.33203125" style="8" customWidth="1"/>
    <col min="1295" max="1295" width="14.5546875" style="8" customWidth="1"/>
    <col min="1296" max="1297" width="9.109375" style="8"/>
    <col min="1298" max="1298" width="10.109375" style="8" bestFit="1" customWidth="1"/>
    <col min="1299" max="1536" width="9.109375" style="8"/>
    <col min="1537" max="1537" width="2.5546875" style="8" customWidth="1"/>
    <col min="1538" max="1538" width="10.6640625" style="8" customWidth="1"/>
    <col min="1539" max="1539" width="11.109375" style="8" customWidth="1"/>
    <col min="1540" max="1540" width="11.33203125" style="8" customWidth="1"/>
    <col min="1541" max="1542" width="12.88671875" style="8" customWidth="1"/>
    <col min="1543" max="1544" width="11" style="8" customWidth="1"/>
    <col min="1545" max="1545" width="11.33203125" style="8" customWidth="1"/>
    <col min="1546" max="1546" width="15.88671875" style="8" customWidth="1"/>
    <col min="1547" max="1547" width="12.109375" style="8" customWidth="1"/>
    <col min="1548" max="1548" width="11.33203125" style="8" customWidth="1"/>
    <col min="1549" max="1549" width="11.44140625" style="8" customWidth="1"/>
    <col min="1550" max="1550" width="13.33203125" style="8" customWidth="1"/>
    <col min="1551" max="1551" width="14.5546875" style="8" customWidth="1"/>
    <col min="1552" max="1553" width="9.109375" style="8"/>
    <col min="1554" max="1554" width="10.109375" style="8" bestFit="1" customWidth="1"/>
    <col min="1555" max="1792" width="9.109375" style="8"/>
    <col min="1793" max="1793" width="2.5546875" style="8" customWidth="1"/>
    <col min="1794" max="1794" width="10.6640625" style="8" customWidth="1"/>
    <col min="1795" max="1795" width="11.109375" style="8" customWidth="1"/>
    <col min="1796" max="1796" width="11.33203125" style="8" customWidth="1"/>
    <col min="1797" max="1798" width="12.88671875" style="8" customWidth="1"/>
    <col min="1799" max="1800" width="11" style="8" customWidth="1"/>
    <col min="1801" max="1801" width="11.33203125" style="8" customWidth="1"/>
    <col min="1802" max="1802" width="15.88671875" style="8" customWidth="1"/>
    <col min="1803" max="1803" width="12.109375" style="8" customWidth="1"/>
    <col min="1804" max="1804" width="11.33203125" style="8" customWidth="1"/>
    <col min="1805" max="1805" width="11.44140625" style="8" customWidth="1"/>
    <col min="1806" max="1806" width="13.33203125" style="8" customWidth="1"/>
    <col min="1807" max="1807" width="14.5546875" style="8" customWidth="1"/>
    <col min="1808" max="1809" width="9.109375" style="8"/>
    <col min="1810" max="1810" width="10.109375" style="8" bestFit="1" customWidth="1"/>
    <col min="1811" max="2048" width="9.109375" style="8"/>
    <col min="2049" max="2049" width="2.5546875" style="8" customWidth="1"/>
    <col min="2050" max="2050" width="10.6640625" style="8" customWidth="1"/>
    <col min="2051" max="2051" width="11.109375" style="8" customWidth="1"/>
    <col min="2052" max="2052" width="11.33203125" style="8" customWidth="1"/>
    <col min="2053" max="2054" width="12.88671875" style="8" customWidth="1"/>
    <col min="2055" max="2056" width="11" style="8" customWidth="1"/>
    <col min="2057" max="2057" width="11.33203125" style="8" customWidth="1"/>
    <col min="2058" max="2058" width="15.88671875" style="8" customWidth="1"/>
    <col min="2059" max="2059" width="12.109375" style="8" customWidth="1"/>
    <col min="2060" max="2060" width="11.33203125" style="8" customWidth="1"/>
    <col min="2061" max="2061" width="11.44140625" style="8" customWidth="1"/>
    <col min="2062" max="2062" width="13.33203125" style="8" customWidth="1"/>
    <col min="2063" max="2063" width="14.5546875" style="8" customWidth="1"/>
    <col min="2064" max="2065" width="9.109375" style="8"/>
    <col min="2066" max="2066" width="10.109375" style="8" bestFit="1" customWidth="1"/>
    <col min="2067" max="2304" width="9.109375" style="8"/>
    <col min="2305" max="2305" width="2.5546875" style="8" customWidth="1"/>
    <col min="2306" max="2306" width="10.6640625" style="8" customWidth="1"/>
    <col min="2307" max="2307" width="11.109375" style="8" customWidth="1"/>
    <col min="2308" max="2308" width="11.33203125" style="8" customWidth="1"/>
    <col min="2309" max="2310" width="12.88671875" style="8" customWidth="1"/>
    <col min="2311" max="2312" width="11" style="8" customWidth="1"/>
    <col min="2313" max="2313" width="11.33203125" style="8" customWidth="1"/>
    <col min="2314" max="2314" width="15.88671875" style="8" customWidth="1"/>
    <col min="2315" max="2315" width="12.109375" style="8" customWidth="1"/>
    <col min="2316" max="2316" width="11.33203125" style="8" customWidth="1"/>
    <col min="2317" max="2317" width="11.44140625" style="8" customWidth="1"/>
    <col min="2318" max="2318" width="13.33203125" style="8" customWidth="1"/>
    <col min="2319" max="2319" width="14.5546875" style="8" customWidth="1"/>
    <col min="2320" max="2321" width="9.109375" style="8"/>
    <col min="2322" max="2322" width="10.109375" style="8" bestFit="1" customWidth="1"/>
    <col min="2323" max="2560" width="9.109375" style="8"/>
    <col min="2561" max="2561" width="2.5546875" style="8" customWidth="1"/>
    <col min="2562" max="2562" width="10.6640625" style="8" customWidth="1"/>
    <col min="2563" max="2563" width="11.109375" style="8" customWidth="1"/>
    <col min="2564" max="2564" width="11.33203125" style="8" customWidth="1"/>
    <col min="2565" max="2566" width="12.88671875" style="8" customWidth="1"/>
    <col min="2567" max="2568" width="11" style="8" customWidth="1"/>
    <col min="2569" max="2569" width="11.33203125" style="8" customWidth="1"/>
    <col min="2570" max="2570" width="15.88671875" style="8" customWidth="1"/>
    <col min="2571" max="2571" width="12.109375" style="8" customWidth="1"/>
    <col min="2572" max="2572" width="11.33203125" style="8" customWidth="1"/>
    <col min="2573" max="2573" width="11.44140625" style="8" customWidth="1"/>
    <col min="2574" max="2574" width="13.33203125" style="8" customWidth="1"/>
    <col min="2575" max="2575" width="14.5546875" style="8" customWidth="1"/>
    <col min="2576" max="2577" width="9.109375" style="8"/>
    <col min="2578" max="2578" width="10.109375" style="8" bestFit="1" customWidth="1"/>
    <col min="2579" max="2816" width="9.109375" style="8"/>
    <col min="2817" max="2817" width="2.5546875" style="8" customWidth="1"/>
    <col min="2818" max="2818" width="10.6640625" style="8" customWidth="1"/>
    <col min="2819" max="2819" width="11.109375" style="8" customWidth="1"/>
    <col min="2820" max="2820" width="11.33203125" style="8" customWidth="1"/>
    <col min="2821" max="2822" width="12.88671875" style="8" customWidth="1"/>
    <col min="2823" max="2824" width="11" style="8" customWidth="1"/>
    <col min="2825" max="2825" width="11.33203125" style="8" customWidth="1"/>
    <col min="2826" max="2826" width="15.88671875" style="8" customWidth="1"/>
    <col min="2827" max="2827" width="12.109375" style="8" customWidth="1"/>
    <col min="2828" max="2828" width="11.33203125" style="8" customWidth="1"/>
    <col min="2829" max="2829" width="11.44140625" style="8" customWidth="1"/>
    <col min="2830" max="2830" width="13.33203125" style="8" customWidth="1"/>
    <col min="2831" max="2831" width="14.5546875" style="8" customWidth="1"/>
    <col min="2832" max="2833" width="9.109375" style="8"/>
    <col min="2834" max="2834" width="10.109375" style="8" bestFit="1" customWidth="1"/>
    <col min="2835" max="3072" width="9.109375" style="8"/>
    <col min="3073" max="3073" width="2.5546875" style="8" customWidth="1"/>
    <col min="3074" max="3074" width="10.6640625" style="8" customWidth="1"/>
    <col min="3075" max="3075" width="11.109375" style="8" customWidth="1"/>
    <col min="3076" max="3076" width="11.33203125" style="8" customWidth="1"/>
    <col min="3077" max="3078" width="12.88671875" style="8" customWidth="1"/>
    <col min="3079" max="3080" width="11" style="8" customWidth="1"/>
    <col min="3081" max="3081" width="11.33203125" style="8" customWidth="1"/>
    <col min="3082" max="3082" width="15.88671875" style="8" customWidth="1"/>
    <col min="3083" max="3083" width="12.109375" style="8" customWidth="1"/>
    <col min="3084" max="3084" width="11.33203125" style="8" customWidth="1"/>
    <col min="3085" max="3085" width="11.44140625" style="8" customWidth="1"/>
    <col min="3086" max="3086" width="13.33203125" style="8" customWidth="1"/>
    <col min="3087" max="3087" width="14.5546875" style="8" customWidth="1"/>
    <col min="3088" max="3089" width="9.109375" style="8"/>
    <col min="3090" max="3090" width="10.109375" style="8" bestFit="1" customWidth="1"/>
    <col min="3091" max="3328" width="9.109375" style="8"/>
    <col min="3329" max="3329" width="2.5546875" style="8" customWidth="1"/>
    <col min="3330" max="3330" width="10.6640625" style="8" customWidth="1"/>
    <col min="3331" max="3331" width="11.109375" style="8" customWidth="1"/>
    <col min="3332" max="3332" width="11.33203125" style="8" customWidth="1"/>
    <col min="3333" max="3334" width="12.88671875" style="8" customWidth="1"/>
    <col min="3335" max="3336" width="11" style="8" customWidth="1"/>
    <col min="3337" max="3337" width="11.33203125" style="8" customWidth="1"/>
    <col min="3338" max="3338" width="15.88671875" style="8" customWidth="1"/>
    <col min="3339" max="3339" width="12.109375" style="8" customWidth="1"/>
    <col min="3340" max="3340" width="11.33203125" style="8" customWidth="1"/>
    <col min="3341" max="3341" width="11.44140625" style="8" customWidth="1"/>
    <col min="3342" max="3342" width="13.33203125" style="8" customWidth="1"/>
    <col min="3343" max="3343" width="14.5546875" style="8" customWidth="1"/>
    <col min="3344" max="3345" width="9.109375" style="8"/>
    <col min="3346" max="3346" width="10.109375" style="8" bestFit="1" customWidth="1"/>
    <col min="3347" max="3584" width="9.109375" style="8"/>
    <col min="3585" max="3585" width="2.5546875" style="8" customWidth="1"/>
    <col min="3586" max="3586" width="10.6640625" style="8" customWidth="1"/>
    <col min="3587" max="3587" width="11.109375" style="8" customWidth="1"/>
    <col min="3588" max="3588" width="11.33203125" style="8" customWidth="1"/>
    <col min="3589" max="3590" width="12.88671875" style="8" customWidth="1"/>
    <col min="3591" max="3592" width="11" style="8" customWidth="1"/>
    <col min="3593" max="3593" width="11.33203125" style="8" customWidth="1"/>
    <col min="3594" max="3594" width="15.88671875" style="8" customWidth="1"/>
    <col min="3595" max="3595" width="12.109375" style="8" customWidth="1"/>
    <col min="3596" max="3596" width="11.33203125" style="8" customWidth="1"/>
    <col min="3597" max="3597" width="11.44140625" style="8" customWidth="1"/>
    <col min="3598" max="3598" width="13.33203125" style="8" customWidth="1"/>
    <col min="3599" max="3599" width="14.5546875" style="8" customWidth="1"/>
    <col min="3600" max="3601" width="9.109375" style="8"/>
    <col min="3602" max="3602" width="10.109375" style="8" bestFit="1" customWidth="1"/>
    <col min="3603" max="3840" width="9.109375" style="8"/>
    <col min="3841" max="3841" width="2.5546875" style="8" customWidth="1"/>
    <col min="3842" max="3842" width="10.6640625" style="8" customWidth="1"/>
    <col min="3843" max="3843" width="11.109375" style="8" customWidth="1"/>
    <col min="3844" max="3844" width="11.33203125" style="8" customWidth="1"/>
    <col min="3845" max="3846" width="12.88671875" style="8" customWidth="1"/>
    <col min="3847" max="3848" width="11" style="8" customWidth="1"/>
    <col min="3849" max="3849" width="11.33203125" style="8" customWidth="1"/>
    <col min="3850" max="3850" width="15.88671875" style="8" customWidth="1"/>
    <col min="3851" max="3851" width="12.109375" style="8" customWidth="1"/>
    <col min="3852" max="3852" width="11.33203125" style="8" customWidth="1"/>
    <col min="3853" max="3853" width="11.44140625" style="8" customWidth="1"/>
    <col min="3854" max="3854" width="13.33203125" style="8" customWidth="1"/>
    <col min="3855" max="3855" width="14.5546875" style="8" customWidth="1"/>
    <col min="3856" max="3857" width="9.109375" style="8"/>
    <col min="3858" max="3858" width="10.109375" style="8" bestFit="1" customWidth="1"/>
    <col min="3859" max="4096" width="9.109375" style="8"/>
    <col min="4097" max="4097" width="2.5546875" style="8" customWidth="1"/>
    <col min="4098" max="4098" width="10.6640625" style="8" customWidth="1"/>
    <col min="4099" max="4099" width="11.109375" style="8" customWidth="1"/>
    <col min="4100" max="4100" width="11.33203125" style="8" customWidth="1"/>
    <col min="4101" max="4102" width="12.88671875" style="8" customWidth="1"/>
    <col min="4103" max="4104" width="11" style="8" customWidth="1"/>
    <col min="4105" max="4105" width="11.33203125" style="8" customWidth="1"/>
    <col min="4106" max="4106" width="15.88671875" style="8" customWidth="1"/>
    <col min="4107" max="4107" width="12.109375" style="8" customWidth="1"/>
    <col min="4108" max="4108" width="11.33203125" style="8" customWidth="1"/>
    <col min="4109" max="4109" width="11.44140625" style="8" customWidth="1"/>
    <col min="4110" max="4110" width="13.33203125" style="8" customWidth="1"/>
    <col min="4111" max="4111" width="14.5546875" style="8" customWidth="1"/>
    <col min="4112" max="4113" width="9.109375" style="8"/>
    <col min="4114" max="4114" width="10.109375" style="8" bestFit="1" customWidth="1"/>
    <col min="4115" max="4352" width="9.109375" style="8"/>
    <col min="4353" max="4353" width="2.5546875" style="8" customWidth="1"/>
    <col min="4354" max="4354" width="10.6640625" style="8" customWidth="1"/>
    <col min="4355" max="4355" width="11.109375" style="8" customWidth="1"/>
    <col min="4356" max="4356" width="11.33203125" style="8" customWidth="1"/>
    <col min="4357" max="4358" width="12.88671875" style="8" customWidth="1"/>
    <col min="4359" max="4360" width="11" style="8" customWidth="1"/>
    <col min="4361" max="4361" width="11.33203125" style="8" customWidth="1"/>
    <col min="4362" max="4362" width="15.88671875" style="8" customWidth="1"/>
    <col min="4363" max="4363" width="12.109375" style="8" customWidth="1"/>
    <col min="4364" max="4364" width="11.33203125" style="8" customWidth="1"/>
    <col min="4365" max="4365" width="11.44140625" style="8" customWidth="1"/>
    <col min="4366" max="4366" width="13.33203125" style="8" customWidth="1"/>
    <col min="4367" max="4367" width="14.5546875" style="8" customWidth="1"/>
    <col min="4368" max="4369" width="9.109375" style="8"/>
    <col min="4370" max="4370" width="10.109375" style="8" bestFit="1" customWidth="1"/>
    <col min="4371" max="4608" width="9.109375" style="8"/>
    <col min="4609" max="4609" width="2.5546875" style="8" customWidth="1"/>
    <col min="4610" max="4610" width="10.6640625" style="8" customWidth="1"/>
    <col min="4611" max="4611" width="11.109375" style="8" customWidth="1"/>
    <col min="4612" max="4612" width="11.33203125" style="8" customWidth="1"/>
    <col min="4613" max="4614" width="12.88671875" style="8" customWidth="1"/>
    <col min="4615" max="4616" width="11" style="8" customWidth="1"/>
    <col min="4617" max="4617" width="11.33203125" style="8" customWidth="1"/>
    <col min="4618" max="4618" width="15.88671875" style="8" customWidth="1"/>
    <col min="4619" max="4619" width="12.109375" style="8" customWidth="1"/>
    <col min="4620" max="4620" width="11.33203125" style="8" customWidth="1"/>
    <col min="4621" max="4621" width="11.44140625" style="8" customWidth="1"/>
    <col min="4622" max="4622" width="13.33203125" style="8" customWidth="1"/>
    <col min="4623" max="4623" width="14.5546875" style="8" customWidth="1"/>
    <col min="4624" max="4625" width="9.109375" style="8"/>
    <col min="4626" max="4626" width="10.109375" style="8" bestFit="1" customWidth="1"/>
    <col min="4627" max="4864" width="9.109375" style="8"/>
    <col min="4865" max="4865" width="2.5546875" style="8" customWidth="1"/>
    <col min="4866" max="4866" width="10.6640625" style="8" customWidth="1"/>
    <col min="4867" max="4867" width="11.109375" style="8" customWidth="1"/>
    <col min="4868" max="4868" width="11.33203125" style="8" customWidth="1"/>
    <col min="4869" max="4870" width="12.88671875" style="8" customWidth="1"/>
    <col min="4871" max="4872" width="11" style="8" customWidth="1"/>
    <col min="4873" max="4873" width="11.33203125" style="8" customWidth="1"/>
    <col min="4874" max="4874" width="15.88671875" style="8" customWidth="1"/>
    <col min="4875" max="4875" width="12.109375" style="8" customWidth="1"/>
    <col min="4876" max="4876" width="11.33203125" style="8" customWidth="1"/>
    <col min="4877" max="4877" width="11.44140625" style="8" customWidth="1"/>
    <col min="4878" max="4878" width="13.33203125" style="8" customWidth="1"/>
    <col min="4879" max="4879" width="14.5546875" style="8" customWidth="1"/>
    <col min="4880" max="4881" width="9.109375" style="8"/>
    <col min="4882" max="4882" width="10.109375" style="8" bestFit="1" customWidth="1"/>
    <col min="4883" max="5120" width="9.109375" style="8"/>
    <col min="5121" max="5121" width="2.5546875" style="8" customWidth="1"/>
    <col min="5122" max="5122" width="10.6640625" style="8" customWidth="1"/>
    <col min="5123" max="5123" width="11.109375" style="8" customWidth="1"/>
    <col min="5124" max="5124" width="11.33203125" style="8" customWidth="1"/>
    <col min="5125" max="5126" width="12.88671875" style="8" customWidth="1"/>
    <col min="5127" max="5128" width="11" style="8" customWidth="1"/>
    <col min="5129" max="5129" width="11.33203125" style="8" customWidth="1"/>
    <col min="5130" max="5130" width="15.88671875" style="8" customWidth="1"/>
    <col min="5131" max="5131" width="12.109375" style="8" customWidth="1"/>
    <col min="5132" max="5132" width="11.33203125" style="8" customWidth="1"/>
    <col min="5133" max="5133" width="11.44140625" style="8" customWidth="1"/>
    <col min="5134" max="5134" width="13.33203125" style="8" customWidth="1"/>
    <col min="5135" max="5135" width="14.5546875" style="8" customWidth="1"/>
    <col min="5136" max="5137" width="9.109375" style="8"/>
    <col min="5138" max="5138" width="10.109375" style="8" bestFit="1" customWidth="1"/>
    <col min="5139" max="5376" width="9.109375" style="8"/>
    <col min="5377" max="5377" width="2.5546875" style="8" customWidth="1"/>
    <col min="5378" max="5378" width="10.6640625" style="8" customWidth="1"/>
    <col min="5379" max="5379" width="11.109375" style="8" customWidth="1"/>
    <col min="5380" max="5380" width="11.33203125" style="8" customWidth="1"/>
    <col min="5381" max="5382" width="12.88671875" style="8" customWidth="1"/>
    <col min="5383" max="5384" width="11" style="8" customWidth="1"/>
    <col min="5385" max="5385" width="11.33203125" style="8" customWidth="1"/>
    <col min="5386" max="5386" width="15.88671875" style="8" customWidth="1"/>
    <col min="5387" max="5387" width="12.109375" style="8" customWidth="1"/>
    <col min="5388" max="5388" width="11.33203125" style="8" customWidth="1"/>
    <col min="5389" max="5389" width="11.44140625" style="8" customWidth="1"/>
    <col min="5390" max="5390" width="13.33203125" style="8" customWidth="1"/>
    <col min="5391" max="5391" width="14.5546875" style="8" customWidth="1"/>
    <col min="5392" max="5393" width="9.109375" style="8"/>
    <col min="5394" max="5394" width="10.109375" style="8" bestFit="1" customWidth="1"/>
    <col min="5395" max="5632" width="9.109375" style="8"/>
    <col min="5633" max="5633" width="2.5546875" style="8" customWidth="1"/>
    <col min="5634" max="5634" width="10.6640625" style="8" customWidth="1"/>
    <col min="5635" max="5635" width="11.109375" style="8" customWidth="1"/>
    <col min="5636" max="5636" width="11.33203125" style="8" customWidth="1"/>
    <col min="5637" max="5638" width="12.88671875" style="8" customWidth="1"/>
    <col min="5639" max="5640" width="11" style="8" customWidth="1"/>
    <col min="5641" max="5641" width="11.33203125" style="8" customWidth="1"/>
    <col min="5642" max="5642" width="15.88671875" style="8" customWidth="1"/>
    <col min="5643" max="5643" width="12.109375" style="8" customWidth="1"/>
    <col min="5644" max="5644" width="11.33203125" style="8" customWidth="1"/>
    <col min="5645" max="5645" width="11.44140625" style="8" customWidth="1"/>
    <col min="5646" max="5646" width="13.33203125" style="8" customWidth="1"/>
    <col min="5647" max="5647" width="14.5546875" style="8" customWidth="1"/>
    <col min="5648" max="5649" width="9.109375" style="8"/>
    <col min="5650" max="5650" width="10.109375" style="8" bestFit="1" customWidth="1"/>
    <col min="5651" max="5888" width="9.109375" style="8"/>
    <col min="5889" max="5889" width="2.5546875" style="8" customWidth="1"/>
    <col min="5890" max="5890" width="10.6640625" style="8" customWidth="1"/>
    <col min="5891" max="5891" width="11.109375" style="8" customWidth="1"/>
    <col min="5892" max="5892" width="11.33203125" style="8" customWidth="1"/>
    <col min="5893" max="5894" width="12.88671875" style="8" customWidth="1"/>
    <col min="5895" max="5896" width="11" style="8" customWidth="1"/>
    <col min="5897" max="5897" width="11.33203125" style="8" customWidth="1"/>
    <col min="5898" max="5898" width="15.88671875" style="8" customWidth="1"/>
    <col min="5899" max="5899" width="12.109375" style="8" customWidth="1"/>
    <col min="5900" max="5900" width="11.33203125" style="8" customWidth="1"/>
    <col min="5901" max="5901" width="11.44140625" style="8" customWidth="1"/>
    <col min="5902" max="5902" width="13.33203125" style="8" customWidth="1"/>
    <col min="5903" max="5903" width="14.5546875" style="8" customWidth="1"/>
    <col min="5904" max="5905" width="9.109375" style="8"/>
    <col min="5906" max="5906" width="10.109375" style="8" bestFit="1" customWidth="1"/>
    <col min="5907" max="6144" width="9.109375" style="8"/>
    <col min="6145" max="6145" width="2.5546875" style="8" customWidth="1"/>
    <col min="6146" max="6146" width="10.6640625" style="8" customWidth="1"/>
    <col min="6147" max="6147" width="11.109375" style="8" customWidth="1"/>
    <col min="6148" max="6148" width="11.33203125" style="8" customWidth="1"/>
    <col min="6149" max="6150" width="12.88671875" style="8" customWidth="1"/>
    <col min="6151" max="6152" width="11" style="8" customWidth="1"/>
    <col min="6153" max="6153" width="11.33203125" style="8" customWidth="1"/>
    <col min="6154" max="6154" width="15.88671875" style="8" customWidth="1"/>
    <col min="6155" max="6155" width="12.109375" style="8" customWidth="1"/>
    <col min="6156" max="6156" width="11.33203125" style="8" customWidth="1"/>
    <col min="6157" max="6157" width="11.44140625" style="8" customWidth="1"/>
    <col min="6158" max="6158" width="13.33203125" style="8" customWidth="1"/>
    <col min="6159" max="6159" width="14.5546875" style="8" customWidth="1"/>
    <col min="6160" max="6161" width="9.109375" style="8"/>
    <col min="6162" max="6162" width="10.109375" style="8" bestFit="1" customWidth="1"/>
    <col min="6163" max="6400" width="9.109375" style="8"/>
    <col min="6401" max="6401" width="2.5546875" style="8" customWidth="1"/>
    <col min="6402" max="6402" width="10.6640625" style="8" customWidth="1"/>
    <col min="6403" max="6403" width="11.109375" style="8" customWidth="1"/>
    <col min="6404" max="6404" width="11.33203125" style="8" customWidth="1"/>
    <col min="6405" max="6406" width="12.88671875" style="8" customWidth="1"/>
    <col min="6407" max="6408" width="11" style="8" customWidth="1"/>
    <col min="6409" max="6409" width="11.33203125" style="8" customWidth="1"/>
    <col min="6410" max="6410" width="15.88671875" style="8" customWidth="1"/>
    <col min="6411" max="6411" width="12.109375" style="8" customWidth="1"/>
    <col min="6412" max="6412" width="11.33203125" style="8" customWidth="1"/>
    <col min="6413" max="6413" width="11.44140625" style="8" customWidth="1"/>
    <col min="6414" max="6414" width="13.33203125" style="8" customWidth="1"/>
    <col min="6415" max="6415" width="14.5546875" style="8" customWidth="1"/>
    <col min="6416" max="6417" width="9.109375" style="8"/>
    <col min="6418" max="6418" width="10.109375" style="8" bestFit="1" customWidth="1"/>
    <col min="6419" max="6656" width="9.109375" style="8"/>
    <col min="6657" max="6657" width="2.5546875" style="8" customWidth="1"/>
    <col min="6658" max="6658" width="10.6640625" style="8" customWidth="1"/>
    <col min="6659" max="6659" width="11.109375" style="8" customWidth="1"/>
    <col min="6660" max="6660" width="11.33203125" style="8" customWidth="1"/>
    <col min="6661" max="6662" width="12.88671875" style="8" customWidth="1"/>
    <col min="6663" max="6664" width="11" style="8" customWidth="1"/>
    <col min="6665" max="6665" width="11.33203125" style="8" customWidth="1"/>
    <col min="6666" max="6666" width="15.88671875" style="8" customWidth="1"/>
    <col min="6667" max="6667" width="12.109375" style="8" customWidth="1"/>
    <col min="6668" max="6668" width="11.33203125" style="8" customWidth="1"/>
    <col min="6669" max="6669" width="11.44140625" style="8" customWidth="1"/>
    <col min="6670" max="6670" width="13.33203125" style="8" customWidth="1"/>
    <col min="6671" max="6671" width="14.5546875" style="8" customWidth="1"/>
    <col min="6672" max="6673" width="9.109375" style="8"/>
    <col min="6674" max="6674" width="10.109375" style="8" bestFit="1" customWidth="1"/>
    <col min="6675" max="6912" width="9.109375" style="8"/>
    <col min="6913" max="6913" width="2.5546875" style="8" customWidth="1"/>
    <col min="6914" max="6914" width="10.6640625" style="8" customWidth="1"/>
    <col min="6915" max="6915" width="11.109375" style="8" customWidth="1"/>
    <col min="6916" max="6916" width="11.33203125" style="8" customWidth="1"/>
    <col min="6917" max="6918" width="12.88671875" style="8" customWidth="1"/>
    <col min="6919" max="6920" width="11" style="8" customWidth="1"/>
    <col min="6921" max="6921" width="11.33203125" style="8" customWidth="1"/>
    <col min="6922" max="6922" width="15.88671875" style="8" customWidth="1"/>
    <col min="6923" max="6923" width="12.109375" style="8" customWidth="1"/>
    <col min="6924" max="6924" width="11.33203125" style="8" customWidth="1"/>
    <col min="6925" max="6925" width="11.44140625" style="8" customWidth="1"/>
    <col min="6926" max="6926" width="13.33203125" style="8" customWidth="1"/>
    <col min="6927" max="6927" width="14.5546875" style="8" customWidth="1"/>
    <col min="6928" max="6929" width="9.109375" style="8"/>
    <col min="6930" max="6930" width="10.109375" style="8" bestFit="1" customWidth="1"/>
    <col min="6931" max="7168" width="9.109375" style="8"/>
    <col min="7169" max="7169" width="2.5546875" style="8" customWidth="1"/>
    <col min="7170" max="7170" width="10.6640625" style="8" customWidth="1"/>
    <col min="7171" max="7171" width="11.109375" style="8" customWidth="1"/>
    <col min="7172" max="7172" width="11.33203125" style="8" customWidth="1"/>
    <col min="7173" max="7174" width="12.88671875" style="8" customWidth="1"/>
    <col min="7175" max="7176" width="11" style="8" customWidth="1"/>
    <col min="7177" max="7177" width="11.33203125" style="8" customWidth="1"/>
    <col min="7178" max="7178" width="15.88671875" style="8" customWidth="1"/>
    <col min="7179" max="7179" width="12.109375" style="8" customWidth="1"/>
    <col min="7180" max="7180" width="11.33203125" style="8" customWidth="1"/>
    <col min="7181" max="7181" width="11.44140625" style="8" customWidth="1"/>
    <col min="7182" max="7182" width="13.33203125" style="8" customWidth="1"/>
    <col min="7183" max="7183" width="14.5546875" style="8" customWidth="1"/>
    <col min="7184" max="7185" width="9.109375" style="8"/>
    <col min="7186" max="7186" width="10.109375" style="8" bestFit="1" customWidth="1"/>
    <col min="7187" max="7424" width="9.109375" style="8"/>
    <col min="7425" max="7425" width="2.5546875" style="8" customWidth="1"/>
    <col min="7426" max="7426" width="10.6640625" style="8" customWidth="1"/>
    <col min="7427" max="7427" width="11.109375" style="8" customWidth="1"/>
    <col min="7428" max="7428" width="11.33203125" style="8" customWidth="1"/>
    <col min="7429" max="7430" width="12.88671875" style="8" customWidth="1"/>
    <col min="7431" max="7432" width="11" style="8" customWidth="1"/>
    <col min="7433" max="7433" width="11.33203125" style="8" customWidth="1"/>
    <col min="7434" max="7434" width="15.88671875" style="8" customWidth="1"/>
    <col min="7435" max="7435" width="12.109375" style="8" customWidth="1"/>
    <col min="7436" max="7436" width="11.33203125" style="8" customWidth="1"/>
    <col min="7437" max="7437" width="11.44140625" style="8" customWidth="1"/>
    <col min="7438" max="7438" width="13.33203125" style="8" customWidth="1"/>
    <col min="7439" max="7439" width="14.5546875" style="8" customWidth="1"/>
    <col min="7440" max="7441" width="9.109375" style="8"/>
    <col min="7442" max="7442" width="10.109375" style="8" bestFit="1" customWidth="1"/>
    <col min="7443" max="7680" width="9.109375" style="8"/>
    <col min="7681" max="7681" width="2.5546875" style="8" customWidth="1"/>
    <col min="7682" max="7682" width="10.6640625" style="8" customWidth="1"/>
    <col min="7683" max="7683" width="11.109375" style="8" customWidth="1"/>
    <col min="7684" max="7684" width="11.33203125" style="8" customWidth="1"/>
    <col min="7685" max="7686" width="12.88671875" style="8" customWidth="1"/>
    <col min="7687" max="7688" width="11" style="8" customWidth="1"/>
    <col min="7689" max="7689" width="11.33203125" style="8" customWidth="1"/>
    <col min="7690" max="7690" width="15.88671875" style="8" customWidth="1"/>
    <col min="7691" max="7691" width="12.109375" style="8" customWidth="1"/>
    <col min="7692" max="7692" width="11.33203125" style="8" customWidth="1"/>
    <col min="7693" max="7693" width="11.44140625" style="8" customWidth="1"/>
    <col min="7694" max="7694" width="13.33203125" style="8" customWidth="1"/>
    <col min="7695" max="7695" width="14.5546875" style="8" customWidth="1"/>
    <col min="7696" max="7697" width="9.109375" style="8"/>
    <col min="7698" max="7698" width="10.109375" style="8" bestFit="1" customWidth="1"/>
    <col min="7699" max="7936" width="9.109375" style="8"/>
    <col min="7937" max="7937" width="2.5546875" style="8" customWidth="1"/>
    <col min="7938" max="7938" width="10.6640625" style="8" customWidth="1"/>
    <col min="7939" max="7939" width="11.109375" style="8" customWidth="1"/>
    <col min="7940" max="7940" width="11.33203125" style="8" customWidth="1"/>
    <col min="7941" max="7942" width="12.88671875" style="8" customWidth="1"/>
    <col min="7943" max="7944" width="11" style="8" customWidth="1"/>
    <col min="7945" max="7945" width="11.33203125" style="8" customWidth="1"/>
    <col min="7946" max="7946" width="15.88671875" style="8" customWidth="1"/>
    <col min="7947" max="7947" width="12.109375" style="8" customWidth="1"/>
    <col min="7948" max="7948" width="11.33203125" style="8" customWidth="1"/>
    <col min="7949" max="7949" width="11.44140625" style="8" customWidth="1"/>
    <col min="7950" max="7950" width="13.33203125" style="8" customWidth="1"/>
    <col min="7951" max="7951" width="14.5546875" style="8" customWidth="1"/>
    <col min="7952" max="7953" width="9.109375" style="8"/>
    <col min="7954" max="7954" width="10.109375" style="8" bestFit="1" customWidth="1"/>
    <col min="7955" max="8192" width="9.109375" style="8"/>
    <col min="8193" max="8193" width="2.5546875" style="8" customWidth="1"/>
    <col min="8194" max="8194" width="10.6640625" style="8" customWidth="1"/>
    <col min="8195" max="8195" width="11.109375" style="8" customWidth="1"/>
    <col min="8196" max="8196" width="11.33203125" style="8" customWidth="1"/>
    <col min="8197" max="8198" width="12.88671875" style="8" customWidth="1"/>
    <col min="8199" max="8200" width="11" style="8" customWidth="1"/>
    <col min="8201" max="8201" width="11.33203125" style="8" customWidth="1"/>
    <col min="8202" max="8202" width="15.88671875" style="8" customWidth="1"/>
    <col min="8203" max="8203" width="12.109375" style="8" customWidth="1"/>
    <col min="8204" max="8204" width="11.33203125" style="8" customWidth="1"/>
    <col min="8205" max="8205" width="11.44140625" style="8" customWidth="1"/>
    <col min="8206" max="8206" width="13.33203125" style="8" customWidth="1"/>
    <col min="8207" max="8207" width="14.5546875" style="8" customWidth="1"/>
    <col min="8208" max="8209" width="9.109375" style="8"/>
    <col min="8210" max="8210" width="10.109375" style="8" bestFit="1" customWidth="1"/>
    <col min="8211" max="8448" width="9.109375" style="8"/>
    <col min="8449" max="8449" width="2.5546875" style="8" customWidth="1"/>
    <col min="8450" max="8450" width="10.6640625" style="8" customWidth="1"/>
    <col min="8451" max="8451" width="11.109375" style="8" customWidth="1"/>
    <col min="8452" max="8452" width="11.33203125" style="8" customWidth="1"/>
    <col min="8453" max="8454" width="12.88671875" style="8" customWidth="1"/>
    <col min="8455" max="8456" width="11" style="8" customWidth="1"/>
    <col min="8457" max="8457" width="11.33203125" style="8" customWidth="1"/>
    <col min="8458" max="8458" width="15.88671875" style="8" customWidth="1"/>
    <col min="8459" max="8459" width="12.109375" style="8" customWidth="1"/>
    <col min="8460" max="8460" width="11.33203125" style="8" customWidth="1"/>
    <col min="8461" max="8461" width="11.44140625" style="8" customWidth="1"/>
    <col min="8462" max="8462" width="13.33203125" style="8" customWidth="1"/>
    <col min="8463" max="8463" width="14.5546875" style="8" customWidth="1"/>
    <col min="8464" max="8465" width="9.109375" style="8"/>
    <col min="8466" max="8466" width="10.109375" style="8" bestFit="1" customWidth="1"/>
    <col min="8467" max="8704" width="9.109375" style="8"/>
    <col min="8705" max="8705" width="2.5546875" style="8" customWidth="1"/>
    <col min="8706" max="8706" width="10.6640625" style="8" customWidth="1"/>
    <col min="8707" max="8707" width="11.109375" style="8" customWidth="1"/>
    <col min="8708" max="8708" width="11.33203125" style="8" customWidth="1"/>
    <col min="8709" max="8710" width="12.88671875" style="8" customWidth="1"/>
    <col min="8711" max="8712" width="11" style="8" customWidth="1"/>
    <col min="8713" max="8713" width="11.33203125" style="8" customWidth="1"/>
    <col min="8714" max="8714" width="15.88671875" style="8" customWidth="1"/>
    <col min="8715" max="8715" width="12.109375" style="8" customWidth="1"/>
    <col min="8716" max="8716" width="11.33203125" style="8" customWidth="1"/>
    <col min="8717" max="8717" width="11.44140625" style="8" customWidth="1"/>
    <col min="8718" max="8718" width="13.33203125" style="8" customWidth="1"/>
    <col min="8719" max="8719" width="14.5546875" style="8" customWidth="1"/>
    <col min="8720" max="8721" width="9.109375" style="8"/>
    <col min="8722" max="8722" width="10.109375" style="8" bestFit="1" customWidth="1"/>
    <col min="8723" max="8960" width="9.109375" style="8"/>
    <col min="8961" max="8961" width="2.5546875" style="8" customWidth="1"/>
    <col min="8962" max="8962" width="10.6640625" style="8" customWidth="1"/>
    <col min="8963" max="8963" width="11.109375" style="8" customWidth="1"/>
    <col min="8964" max="8964" width="11.33203125" style="8" customWidth="1"/>
    <col min="8965" max="8966" width="12.88671875" style="8" customWidth="1"/>
    <col min="8967" max="8968" width="11" style="8" customWidth="1"/>
    <col min="8969" max="8969" width="11.33203125" style="8" customWidth="1"/>
    <col min="8970" max="8970" width="15.88671875" style="8" customWidth="1"/>
    <col min="8971" max="8971" width="12.109375" style="8" customWidth="1"/>
    <col min="8972" max="8972" width="11.33203125" style="8" customWidth="1"/>
    <col min="8973" max="8973" width="11.44140625" style="8" customWidth="1"/>
    <col min="8974" max="8974" width="13.33203125" style="8" customWidth="1"/>
    <col min="8975" max="8975" width="14.5546875" style="8" customWidth="1"/>
    <col min="8976" max="8977" width="9.109375" style="8"/>
    <col min="8978" max="8978" width="10.109375" style="8" bestFit="1" customWidth="1"/>
    <col min="8979" max="9216" width="9.109375" style="8"/>
    <col min="9217" max="9217" width="2.5546875" style="8" customWidth="1"/>
    <col min="9218" max="9218" width="10.6640625" style="8" customWidth="1"/>
    <col min="9219" max="9219" width="11.109375" style="8" customWidth="1"/>
    <col min="9220" max="9220" width="11.33203125" style="8" customWidth="1"/>
    <col min="9221" max="9222" width="12.88671875" style="8" customWidth="1"/>
    <col min="9223" max="9224" width="11" style="8" customWidth="1"/>
    <col min="9225" max="9225" width="11.33203125" style="8" customWidth="1"/>
    <col min="9226" max="9226" width="15.88671875" style="8" customWidth="1"/>
    <col min="9227" max="9227" width="12.109375" style="8" customWidth="1"/>
    <col min="9228" max="9228" width="11.33203125" style="8" customWidth="1"/>
    <col min="9229" max="9229" width="11.44140625" style="8" customWidth="1"/>
    <col min="9230" max="9230" width="13.33203125" style="8" customWidth="1"/>
    <col min="9231" max="9231" width="14.5546875" style="8" customWidth="1"/>
    <col min="9232" max="9233" width="9.109375" style="8"/>
    <col min="9234" max="9234" width="10.109375" style="8" bestFit="1" customWidth="1"/>
    <col min="9235" max="9472" width="9.109375" style="8"/>
    <col min="9473" max="9473" width="2.5546875" style="8" customWidth="1"/>
    <col min="9474" max="9474" width="10.6640625" style="8" customWidth="1"/>
    <col min="9475" max="9475" width="11.109375" style="8" customWidth="1"/>
    <col min="9476" max="9476" width="11.33203125" style="8" customWidth="1"/>
    <col min="9477" max="9478" width="12.88671875" style="8" customWidth="1"/>
    <col min="9479" max="9480" width="11" style="8" customWidth="1"/>
    <col min="9481" max="9481" width="11.33203125" style="8" customWidth="1"/>
    <col min="9482" max="9482" width="15.88671875" style="8" customWidth="1"/>
    <col min="9483" max="9483" width="12.109375" style="8" customWidth="1"/>
    <col min="9484" max="9484" width="11.33203125" style="8" customWidth="1"/>
    <col min="9485" max="9485" width="11.44140625" style="8" customWidth="1"/>
    <col min="9486" max="9486" width="13.33203125" style="8" customWidth="1"/>
    <col min="9487" max="9487" width="14.5546875" style="8" customWidth="1"/>
    <col min="9488" max="9489" width="9.109375" style="8"/>
    <col min="9490" max="9490" width="10.109375" style="8" bestFit="1" customWidth="1"/>
    <col min="9491" max="9728" width="9.109375" style="8"/>
    <col min="9729" max="9729" width="2.5546875" style="8" customWidth="1"/>
    <col min="9730" max="9730" width="10.6640625" style="8" customWidth="1"/>
    <col min="9731" max="9731" width="11.109375" style="8" customWidth="1"/>
    <col min="9732" max="9732" width="11.33203125" style="8" customWidth="1"/>
    <col min="9733" max="9734" width="12.88671875" style="8" customWidth="1"/>
    <col min="9735" max="9736" width="11" style="8" customWidth="1"/>
    <col min="9737" max="9737" width="11.33203125" style="8" customWidth="1"/>
    <col min="9738" max="9738" width="15.88671875" style="8" customWidth="1"/>
    <col min="9739" max="9739" width="12.109375" style="8" customWidth="1"/>
    <col min="9740" max="9740" width="11.33203125" style="8" customWidth="1"/>
    <col min="9741" max="9741" width="11.44140625" style="8" customWidth="1"/>
    <col min="9742" max="9742" width="13.33203125" style="8" customWidth="1"/>
    <col min="9743" max="9743" width="14.5546875" style="8" customWidth="1"/>
    <col min="9744" max="9745" width="9.109375" style="8"/>
    <col min="9746" max="9746" width="10.109375" style="8" bestFit="1" customWidth="1"/>
    <col min="9747" max="9984" width="9.109375" style="8"/>
    <col min="9985" max="9985" width="2.5546875" style="8" customWidth="1"/>
    <col min="9986" max="9986" width="10.6640625" style="8" customWidth="1"/>
    <col min="9987" max="9987" width="11.109375" style="8" customWidth="1"/>
    <col min="9988" max="9988" width="11.33203125" style="8" customWidth="1"/>
    <col min="9989" max="9990" width="12.88671875" style="8" customWidth="1"/>
    <col min="9991" max="9992" width="11" style="8" customWidth="1"/>
    <col min="9993" max="9993" width="11.33203125" style="8" customWidth="1"/>
    <col min="9994" max="9994" width="15.88671875" style="8" customWidth="1"/>
    <col min="9995" max="9995" width="12.109375" style="8" customWidth="1"/>
    <col min="9996" max="9996" width="11.33203125" style="8" customWidth="1"/>
    <col min="9997" max="9997" width="11.44140625" style="8" customWidth="1"/>
    <col min="9998" max="9998" width="13.33203125" style="8" customWidth="1"/>
    <col min="9999" max="9999" width="14.5546875" style="8" customWidth="1"/>
    <col min="10000" max="10001" width="9.109375" style="8"/>
    <col min="10002" max="10002" width="10.109375" style="8" bestFit="1" customWidth="1"/>
    <col min="10003" max="10240" width="9.109375" style="8"/>
    <col min="10241" max="10241" width="2.5546875" style="8" customWidth="1"/>
    <col min="10242" max="10242" width="10.6640625" style="8" customWidth="1"/>
    <col min="10243" max="10243" width="11.109375" style="8" customWidth="1"/>
    <col min="10244" max="10244" width="11.33203125" style="8" customWidth="1"/>
    <col min="10245" max="10246" width="12.88671875" style="8" customWidth="1"/>
    <col min="10247" max="10248" width="11" style="8" customWidth="1"/>
    <col min="10249" max="10249" width="11.33203125" style="8" customWidth="1"/>
    <col min="10250" max="10250" width="15.88671875" style="8" customWidth="1"/>
    <col min="10251" max="10251" width="12.109375" style="8" customWidth="1"/>
    <col min="10252" max="10252" width="11.33203125" style="8" customWidth="1"/>
    <col min="10253" max="10253" width="11.44140625" style="8" customWidth="1"/>
    <col min="10254" max="10254" width="13.33203125" style="8" customWidth="1"/>
    <col min="10255" max="10255" width="14.5546875" style="8" customWidth="1"/>
    <col min="10256" max="10257" width="9.109375" style="8"/>
    <col min="10258" max="10258" width="10.109375" style="8" bestFit="1" customWidth="1"/>
    <col min="10259" max="10496" width="9.109375" style="8"/>
    <col min="10497" max="10497" width="2.5546875" style="8" customWidth="1"/>
    <col min="10498" max="10498" width="10.6640625" style="8" customWidth="1"/>
    <col min="10499" max="10499" width="11.109375" style="8" customWidth="1"/>
    <col min="10500" max="10500" width="11.33203125" style="8" customWidth="1"/>
    <col min="10501" max="10502" width="12.88671875" style="8" customWidth="1"/>
    <col min="10503" max="10504" width="11" style="8" customWidth="1"/>
    <col min="10505" max="10505" width="11.33203125" style="8" customWidth="1"/>
    <col min="10506" max="10506" width="15.88671875" style="8" customWidth="1"/>
    <col min="10507" max="10507" width="12.109375" style="8" customWidth="1"/>
    <col min="10508" max="10508" width="11.33203125" style="8" customWidth="1"/>
    <col min="10509" max="10509" width="11.44140625" style="8" customWidth="1"/>
    <col min="10510" max="10510" width="13.33203125" style="8" customWidth="1"/>
    <col min="10511" max="10511" width="14.5546875" style="8" customWidth="1"/>
    <col min="10512" max="10513" width="9.109375" style="8"/>
    <col min="10514" max="10514" width="10.109375" style="8" bestFit="1" customWidth="1"/>
    <col min="10515" max="10752" width="9.109375" style="8"/>
    <col min="10753" max="10753" width="2.5546875" style="8" customWidth="1"/>
    <col min="10754" max="10754" width="10.6640625" style="8" customWidth="1"/>
    <col min="10755" max="10755" width="11.109375" style="8" customWidth="1"/>
    <col min="10756" max="10756" width="11.33203125" style="8" customWidth="1"/>
    <col min="10757" max="10758" width="12.88671875" style="8" customWidth="1"/>
    <col min="10759" max="10760" width="11" style="8" customWidth="1"/>
    <col min="10761" max="10761" width="11.33203125" style="8" customWidth="1"/>
    <col min="10762" max="10762" width="15.88671875" style="8" customWidth="1"/>
    <col min="10763" max="10763" width="12.109375" style="8" customWidth="1"/>
    <col min="10764" max="10764" width="11.33203125" style="8" customWidth="1"/>
    <col min="10765" max="10765" width="11.44140625" style="8" customWidth="1"/>
    <col min="10766" max="10766" width="13.33203125" style="8" customWidth="1"/>
    <col min="10767" max="10767" width="14.5546875" style="8" customWidth="1"/>
    <col min="10768" max="10769" width="9.109375" style="8"/>
    <col min="10770" max="10770" width="10.109375" style="8" bestFit="1" customWidth="1"/>
    <col min="10771" max="11008" width="9.109375" style="8"/>
    <col min="11009" max="11009" width="2.5546875" style="8" customWidth="1"/>
    <col min="11010" max="11010" width="10.6640625" style="8" customWidth="1"/>
    <col min="11011" max="11011" width="11.109375" style="8" customWidth="1"/>
    <col min="11012" max="11012" width="11.33203125" style="8" customWidth="1"/>
    <col min="11013" max="11014" width="12.88671875" style="8" customWidth="1"/>
    <col min="11015" max="11016" width="11" style="8" customWidth="1"/>
    <col min="11017" max="11017" width="11.33203125" style="8" customWidth="1"/>
    <col min="11018" max="11018" width="15.88671875" style="8" customWidth="1"/>
    <col min="11019" max="11019" width="12.109375" style="8" customWidth="1"/>
    <col min="11020" max="11020" width="11.33203125" style="8" customWidth="1"/>
    <col min="11021" max="11021" width="11.44140625" style="8" customWidth="1"/>
    <col min="11022" max="11022" width="13.33203125" style="8" customWidth="1"/>
    <col min="11023" max="11023" width="14.5546875" style="8" customWidth="1"/>
    <col min="11024" max="11025" width="9.109375" style="8"/>
    <col min="11026" max="11026" width="10.109375" style="8" bestFit="1" customWidth="1"/>
    <col min="11027" max="11264" width="9.109375" style="8"/>
    <col min="11265" max="11265" width="2.5546875" style="8" customWidth="1"/>
    <col min="11266" max="11266" width="10.6640625" style="8" customWidth="1"/>
    <col min="11267" max="11267" width="11.109375" style="8" customWidth="1"/>
    <col min="11268" max="11268" width="11.33203125" style="8" customWidth="1"/>
    <col min="11269" max="11270" width="12.88671875" style="8" customWidth="1"/>
    <col min="11271" max="11272" width="11" style="8" customWidth="1"/>
    <col min="11273" max="11273" width="11.33203125" style="8" customWidth="1"/>
    <col min="11274" max="11274" width="15.88671875" style="8" customWidth="1"/>
    <col min="11275" max="11275" width="12.109375" style="8" customWidth="1"/>
    <col min="11276" max="11276" width="11.33203125" style="8" customWidth="1"/>
    <col min="11277" max="11277" width="11.44140625" style="8" customWidth="1"/>
    <col min="11278" max="11278" width="13.33203125" style="8" customWidth="1"/>
    <col min="11279" max="11279" width="14.5546875" style="8" customWidth="1"/>
    <col min="11280" max="11281" width="9.109375" style="8"/>
    <col min="11282" max="11282" width="10.109375" style="8" bestFit="1" customWidth="1"/>
    <col min="11283" max="11520" width="9.109375" style="8"/>
    <col min="11521" max="11521" width="2.5546875" style="8" customWidth="1"/>
    <col min="11522" max="11522" width="10.6640625" style="8" customWidth="1"/>
    <col min="11523" max="11523" width="11.109375" style="8" customWidth="1"/>
    <col min="11524" max="11524" width="11.33203125" style="8" customWidth="1"/>
    <col min="11525" max="11526" width="12.88671875" style="8" customWidth="1"/>
    <col min="11527" max="11528" width="11" style="8" customWidth="1"/>
    <col min="11529" max="11529" width="11.33203125" style="8" customWidth="1"/>
    <col min="11530" max="11530" width="15.88671875" style="8" customWidth="1"/>
    <col min="11531" max="11531" width="12.109375" style="8" customWidth="1"/>
    <col min="11532" max="11532" width="11.33203125" style="8" customWidth="1"/>
    <col min="11533" max="11533" width="11.44140625" style="8" customWidth="1"/>
    <col min="11534" max="11534" width="13.33203125" style="8" customWidth="1"/>
    <col min="11535" max="11535" width="14.5546875" style="8" customWidth="1"/>
    <col min="11536" max="11537" width="9.109375" style="8"/>
    <col min="11538" max="11538" width="10.109375" style="8" bestFit="1" customWidth="1"/>
    <col min="11539" max="11776" width="9.109375" style="8"/>
    <col min="11777" max="11777" width="2.5546875" style="8" customWidth="1"/>
    <col min="11778" max="11778" width="10.6640625" style="8" customWidth="1"/>
    <col min="11779" max="11779" width="11.109375" style="8" customWidth="1"/>
    <col min="11780" max="11780" width="11.33203125" style="8" customWidth="1"/>
    <col min="11781" max="11782" width="12.88671875" style="8" customWidth="1"/>
    <col min="11783" max="11784" width="11" style="8" customWidth="1"/>
    <col min="11785" max="11785" width="11.33203125" style="8" customWidth="1"/>
    <col min="11786" max="11786" width="15.88671875" style="8" customWidth="1"/>
    <col min="11787" max="11787" width="12.109375" style="8" customWidth="1"/>
    <col min="11788" max="11788" width="11.33203125" style="8" customWidth="1"/>
    <col min="11789" max="11789" width="11.44140625" style="8" customWidth="1"/>
    <col min="11790" max="11790" width="13.33203125" style="8" customWidth="1"/>
    <col min="11791" max="11791" width="14.5546875" style="8" customWidth="1"/>
    <col min="11792" max="11793" width="9.109375" style="8"/>
    <col min="11794" max="11794" width="10.109375" style="8" bestFit="1" customWidth="1"/>
    <col min="11795" max="12032" width="9.109375" style="8"/>
    <col min="12033" max="12033" width="2.5546875" style="8" customWidth="1"/>
    <col min="12034" max="12034" width="10.6640625" style="8" customWidth="1"/>
    <col min="12035" max="12035" width="11.109375" style="8" customWidth="1"/>
    <col min="12036" max="12036" width="11.33203125" style="8" customWidth="1"/>
    <col min="12037" max="12038" width="12.88671875" style="8" customWidth="1"/>
    <col min="12039" max="12040" width="11" style="8" customWidth="1"/>
    <col min="12041" max="12041" width="11.33203125" style="8" customWidth="1"/>
    <col min="12042" max="12042" width="15.88671875" style="8" customWidth="1"/>
    <col min="12043" max="12043" width="12.109375" style="8" customWidth="1"/>
    <col min="12044" max="12044" width="11.33203125" style="8" customWidth="1"/>
    <col min="12045" max="12045" width="11.44140625" style="8" customWidth="1"/>
    <col min="12046" max="12046" width="13.33203125" style="8" customWidth="1"/>
    <col min="12047" max="12047" width="14.5546875" style="8" customWidth="1"/>
    <col min="12048" max="12049" width="9.109375" style="8"/>
    <col min="12050" max="12050" width="10.109375" style="8" bestFit="1" customWidth="1"/>
    <col min="12051" max="12288" width="9.109375" style="8"/>
    <col min="12289" max="12289" width="2.5546875" style="8" customWidth="1"/>
    <col min="12290" max="12290" width="10.6640625" style="8" customWidth="1"/>
    <col min="12291" max="12291" width="11.109375" style="8" customWidth="1"/>
    <col min="12292" max="12292" width="11.33203125" style="8" customWidth="1"/>
    <col min="12293" max="12294" width="12.88671875" style="8" customWidth="1"/>
    <col min="12295" max="12296" width="11" style="8" customWidth="1"/>
    <col min="12297" max="12297" width="11.33203125" style="8" customWidth="1"/>
    <col min="12298" max="12298" width="15.88671875" style="8" customWidth="1"/>
    <col min="12299" max="12299" width="12.109375" style="8" customWidth="1"/>
    <col min="12300" max="12300" width="11.33203125" style="8" customWidth="1"/>
    <col min="12301" max="12301" width="11.44140625" style="8" customWidth="1"/>
    <col min="12302" max="12302" width="13.33203125" style="8" customWidth="1"/>
    <col min="12303" max="12303" width="14.5546875" style="8" customWidth="1"/>
    <col min="12304" max="12305" width="9.109375" style="8"/>
    <col min="12306" max="12306" width="10.109375" style="8" bestFit="1" customWidth="1"/>
    <col min="12307" max="12544" width="9.109375" style="8"/>
    <col min="12545" max="12545" width="2.5546875" style="8" customWidth="1"/>
    <col min="12546" max="12546" width="10.6640625" style="8" customWidth="1"/>
    <col min="12547" max="12547" width="11.109375" style="8" customWidth="1"/>
    <col min="12548" max="12548" width="11.33203125" style="8" customWidth="1"/>
    <col min="12549" max="12550" width="12.88671875" style="8" customWidth="1"/>
    <col min="12551" max="12552" width="11" style="8" customWidth="1"/>
    <col min="12553" max="12553" width="11.33203125" style="8" customWidth="1"/>
    <col min="12554" max="12554" width="15.88671875" style="8" customWidth="1"/>
    <col min="12555" max="12555" width="12.109375" style="8" customWidth="1"/>
    <col min="12556" max="12556" width="11.33203125" style="8" customWidth="1"/>
    <col min="12557" max="12557" width="11.44140625" style="8" customWidth="1"/>
    <col min="12558" max="12558" width="13.33203125" style="8" customWidth="1"/>
    <col min="12559" max="12559" width="14.5546875" style="8" customWidth="1"/>
    <col min="12560" max="12561" width="9.109375" style="8"/>
    <col min="12562" max="12562" width="10.109375" style="8" bestFit="1" customWidth="1"/>
    <col min="12563" max="12800" width="9.109375" style="8"/>
    <col min="12801" max="12801" width="2.5546875" style="8" customWidth="1"/>
    <col min="12802" max="12802" width="10.6640625" style="8" customWidth="1"/>
    <col min="12803" max="12803" width="11.109375" style="8" customWidth="1"/>
    <col min="12804" max="12804" width="11.33203125" style="8" customWidth="1"/>
    <col min="12805" max="12806" width="12.88671875" style="8" customWidth="1"/>
    <col min="12807" max="12808" width="11" style="8" customWidth="1"/>
    <col min="12809" max="12809" width="11.33203125" style="8" customWidth="1"/>
    <col min="12810" max="12810" width="15.88671875" style="8" customWidth="1"/>
    <col min="12811" max="12811" width="12.109375" style="8" customWidth="1"/>
    <col min="12812" max="12812" width="11.33203125" style="8" customWidth="1"/>
    <col min="12813" max="12813" width="11.44140625" style="8" customWidth="1"/>
    <col min="12814" max="12814" width="13.33203125" style="8" customWidth="1"/>
    <col min="12815" max="12815" width="14.5546875" style="8" customWidth="1"/>
    <col min="12816" max="12817" width="9.109375" style="8"/>
    <col min="12818" max="12818" width="10.109375" style="8" bestFit="1" customWidth="1"/>
    <col min="12819" max="13056" width="9.109375" style="8"/>
    <col min="13057" max="13057" width="2.5546875" style="8" customWidth="1"/>
    <col min="13058" max="13058" width="10.6640625" style="8" customWidth="1"/>
    <col min="13059" max="13059" width="11.109375" style="8" customWidth="1"/>
    <col min="13060" max="13060" width="11.33203125" style="8" customWidth="1"/>
    <col min="13061" max="13062" width="12.88671875" style="8" customWidth="1"/>
    <col min="13063" max="13064" width="11" style="8" customWidth="1"/>
    <col min="13065" max="13065" width="11.33203125" style="8" customWidth="1"/>
    <col min="13066" max="13066" width="15.88671875" style="8" customWidth="1"/>
    <col min="13067" max="13067" width="12.109375" style="8" customWidth="1"/>
    <col min="13068" max="13068" width="11.33203125" style="8" customWidth="1"/>
    <col min="13069" max="13069" width="11.44140625" style="8" customWidth="1"/>
    <col min="13070" max="13070" width="13.33203125" style="8" customWidth="1"/>
    <col min="13071" max="13071" width="14.5546875" style="8" customWidth="1"/>
    <col min="13072" max="13073" width="9.109375" style="8"/>
    <col min="13074" max="13074" width="10.109375" style="8" bestFit="1" customWidth="1"/>
    <col min="13075" max="13312" width="9.109375" style="8"/>
    <col min="13313" max="13313" width="2.5546875" style="8" customWidth="1"/>
    <col min="13314" max="13314" width="10.6640625" style="8" customWidth="1"/>
    <col min="13315" max="13315" width="11.109375" style="8" customWidth="1"/>
    <col min="13316" max="13316" width="11.33203125" style="8" customWidth="1"/>
    <col min="13317" max="13318" width="12.88671875" style="8" customWidth="1"/>
    <col min="13319" max="13320" width="11" style="8" customWidth="1"/>
    <col min="13321" max="13321" width="11.33203125" style="8" customWidth="1"/>
    <col min="13322" max="13322" width="15.88671875" style="8" customWidth="1"/>
    <col min="13323" max="13323" width="12.109375" style="8" customWidth="1"/>
    <col min="13324" max="13324" width="11.33203125" style="8" customWidth="1"/>
    <col min="13325" max="13325" width="11.44140625" style="8" customWidth="1"/>
    <col min="13326" max="13326" width="13.33203125" style="8" customWidth="1"/>
    <col min="13327" max="13327" width="14.5546875" style="8" customWidth="1"/>
    <col min="13328" max="13329" width="9.109375" style="8"/>
    <col min="13330" max="13330" width="10.109375" style="8" bestFit="1" customWidth="1"/>
    <col min="13331" max="13568" width="9.109375" style="8"/>
    <col min="13569" max="13569" width="2.5546875" style="8" customWidth="1"/>
    <col min="13570" max="13570" width="10.6640625" style="8" customWidth="1"/>
    <col min="13571" max="13571" width="11.109375" style="8" customWidth="1"/>
    <col min="13572" max="13572" width="11.33203125" style="8" customWidth="1"/>
    <col min="13573" max="13574" width="12.88671875" style="8" customWidth="1"/>
    <col min="13575" max="13576" width="11" style="8" customWidth="1"/>
    <col min="13577" max="13577" width="11.33203125" style="8" customWidth="1"/>
    <col min="13578" max="13578" width="15.88671875" style="8" customWidth="1"/>
    <col min="13579" max="13579" width="12.109375" style="8" customWidth="1"/>
    <col min="13580" max="13580" width="11.33203125" style="8" customWidth="1"/>
    <col min="13581" max="13581" width="11.44140625" style="8" customWidth="1"/>
    <col min="13582" max="13582" width="13.33203125" style="8" customWidth="1"/>
    <col min="13583" max="13583" width="14.5546875" style="8" customWidth="1"/>
    <col min="13584" max="13585" width="9.109375" style="8"/>
    <col min="13586" max="13586" width="10.109375" style="8" bestFit="1" customWidth="1"/>
    <col min="13587" max="13824" width="9.109375" style="8"/>
    <col min="13825" max="13825" width="2.5546875" style="8" customWidth="1"/>
    <col min="13826" max="13826" width="10.6640625" style="8" customWidth="1"/>
    <col min="13827" max="13827" width="11.109375" style="8" customWidth="1"/>
    <col min="13828" max="13828" width="11.33203125" style="8" customWidth="1"/>
    <col min="13829" max="13830" width="12.88671875" style="8" customWidth="1"/>
    <col min="13831" max="13832" width="11" style="8" customWidth="1"/>
    <col min="13833" max="13833" width="11.33203125" style="8" customWidth="1"/>
    <col min="13834" max="13834" width="15.88671875" style="8" customWidth="1"/>
    <col min="13835" max="13835" width="12.109375" style="8" customWidth="1"/>
    <col min="13836" max="13836" width="11.33203125" style="8" customWidth="1"/>
    <col min="13837" max="13837" width="11.44140625" style="8" customWidth="1"/>
    <col min="13838" max="13838" width="13.33203125" style="8" customWidth="1"/>
    <col min="13839" max="13839" width="14.5546875" style="8" customWidth="1"/>
    <col min="13840" max="13841" width="9.109375" style="8"/>
    <col min="13842" max="13842" width="10.109375" style="8" bestFit="1" customWidth="1"/>
    <col min="13843" max="14080" width="9.109375" style="8"/>
    <col min="14081" max="14081" width="2.5546875" style="8" customWidth="1"/>
    <col min="14082" max="14082" width="10.6640625" style="8" customWidth="1"/>
    <col min="14083" max="14083" width="11.109375" style="8" customWidth="1"/>
    <col min="14084" max="14084" width="11.33203125" style="8" customWidth="1"/>
    <col min="14085" max="14086" width="12.88671875" style="8" customWidth="1"/>
    <col min="14087" max="14088" width="11" style="8" customWidth="1"/>
    <col min="14089" max="14089" width="11.33203125" style="8" customWidth="1"/>
    <col min="14090" max="14090" width="15.88671875" style="8" customWidth="1"/>
    <col min="14091" max="14091" width="12.109375" style="8" customWidth="1"/>
    <col min="14092" max="14092" width="11.33203125" style="8" customWidth="1"/>
    <col min="14093" max="14093" width="11.44140625" style="8" customWidth="1"/>
    <col min="14094" max="14094" width="13.33203125" style="8" customWidth="1"/>
    <col min="14095" max="14095" width="14.5546875" style="8" customWidth="1"/>
    <col min="14096" max="14097" width="9.109375" style="8"/>
    <col min="14098" max="14098" width="10.109375" style="8" bestFit="1" customWidth="1"/>
    <col min="14099" max="14336" width="9.109375" style="8"/>
    <col min="14337" max="14337" width="2.5546875" style="8" customWidth="1"/>
    <col min="14338" max="14338" width="10.6640625" style="8" customWidth="1"/>
    <col min="14339" max="14339" width="11.109375" style="8" customWidth="1"/>
    <col min="14340" max="14340" width="11.33203125" style="8" customWidth="1"/>
    <col min="14341" max="14342" width="12.88671875" style="8" customWidth="1"/>
    <col min="14343" max="14344" width="11" style="8" customWidth="1"/>
    <col min="14345" max="14345" width="11.33203125" style="8" customWidth="1"/>
    <col min="14346" max="14346" width="15.88671875" style="8" customWidth="1"/>
    <col min="14347" max="14347" width="12.109375" style="8" customWidth="1"/>
    <col min="14348" max="14348" width="11.33203125" style="8" customWidth="1"/>
    <col min="14349" max="14349" width="11.44140625" style="8" customWidth="1"/>
    <col min="14350" max="14350" width="13.33203125" style="8" customWidth="1"/>
    <col min="14351" max="14351" width="14.5546875" style="8" customWidth="1"/>
    <col min="14352" max="14353" width="9.109375" style="8"/>
    <col min="14354" max="14354" width="10.109375" style="8" bestFit="1" customWidth="1"/>
    <col min="14355" max="14592" width="9.109375" style="8"/>
    <col min="14593" max="14593" width="2.5546875" style="8" customWidth="1"/>
    <col min="14594" max="14594" width="10.6640625" style="8" customWidth="1"/>
    <col min="14595" max="14595" width="11.109375" style="8" customWidth="1"/>
    <col min="14596" max="14596" width="11.33203125" style="8" customWidth="1"/>
    <col min="14597" max="14598" width="12.88671875" style="8" customWidth="1"/>
    <col min="14599" max="14600" width="11" style="8" customWidth="1"/>
    <col min="14601" max="14601" width="11.33203125" style="8" customWidth="1"/>
    <col min="14602" max="14602" width="15.88671875" style="8" customWidth="1"/>
    <col min="14603" max="14603" width="12.109375" style="8" customWidth="1"/>
    <col min="14604" max="14604" width="11.33203125" style="8" customWidth="1"/>
    <col min="14605" max="14605" width="11.44140625" style="8" customWidth="1"/>
    <col min="14606" max="14606" width="13.33203125" style="8" customWidth="1"/>
    <col min="14607" max="14607" width="14.5546875" style="8" customWidth="1"/>
    <col min="14608" max="14609" width="9.109375" style="8"/>
    <col min="14610" max="14610" width="10.109375" style="8" bestFit="1" customWidth="1"/>
    <col min="14611" max="14848" width="9.109375" style="8"/>
    <col min="14849" max="14849" width="2.5546875" style="8" customWidth="1"/>
    <col min="14850" max="14850" width="10.6640625" style="8" customWidth="1"/>
    <col min="14851" max="14851" width="11.109375" style="8" customWidth="1"/>
    <col min="14852" max="14852" width="11.33203125" style="8" customWidth="1"/>
    <col min="14853" max="14854" width="12.88671875" style="8" customWidth="1"/>
    <col min="14855" max="14856" width="11" style="8" customWidth="1"/>
    <col min="14857" max="14857" width="11.33203125" style="8" customWidth="1"/>
    <col min="14858" max="14858" width="15.88671875" style="8" customWidth="1"/>
    <col min="14859" max="14859" width="12.109375" style="8" customWidth="1"/>
    <col min="14860" max="14860" width="11.33203125" style="8" customWidth="1"/>
    <col min="14861" max="14861" width="11.44140625" style="8" customWidth="1"/>
    <col min="14862" max="14862" width="13.33203125" style="8" customWidth="1"/>
    <col min="14863" max="14863" width="14.5546875" style="8" customWidth="1"/>
    <col min="14864" max="14865" width="9.109375" style="8"/>
    <col min="14866" max="14866" width="10.109375" style="8" bestFit="1" customWidth="1"/>
    <col min="14867" max="15104" width="9.109375" style="8"/>
    <col min="15105" max="15105" width="2.5546875" style="8" customWidth="1"/>
    <col min="15106" max="15106" width="10.6640625" style="8" customWidth="1"/>
    <col min="15107" max="15107" width="11.109375" style="8" customWidth="1"/>
    <col min="15108" max="15108" width="11.33203125" style="8" customWidth="1"/>
    <col min="15109" max="15110" width="12.88671875" style="8" customWidth="1"/>
    <col min="15111" max="15112" width="11" style="8" customWidth="1"/>
    <col min="15113" max="15113" width="11.33203125" style="8" customWidth="1"/>
    <col min="15114" max="15114" width="15.88671875" style="8" customWidth="1"/>
    <col min="15115" max="15115" width="12.109375" style="8" customWidth="1"/>
    <col min="15116" max="15116" width="11.33203125" style="8" customWidth="1"/>
    <col min="15117" max="15117" width="11.44140625" style="8" customWidth="1"/>
    <col min="15118" max="15118" width="13.33203125" style="8" customWidth="1"/>
    <col min="15119" max="15119" width="14.5546875" style="8" customWidth="1"/>
    <col min="15120" max="15121" width="9.109375" style="8"/>
    <col min="15122" max="15122" width="10.109375" style="8" bestFit="1" customWidth="1"/>
    <col min="15123" max="15360" width="9.109375" style="8"/>
    <col min="15361" max="15361" width="2.5546875" style="8" customWidth="1"/>
    <col min="15362" max="15362" width="10.6640625" style="8" customWidth="1"/>
    <col min="15363" max="15363" width="11.109375" style="8" customWidth="1"/>
    <col min="15364" max="15364" width="11.33203125" style="8" customWidth="1"/>
    <col min="15365" max="15366" width="12.88671875" style="8" customWidth="1"/>
    <col min="15367" max="15368" width="11" style="8" customWidth="1"/>
    <col min="15369" max="15369" width="11.33203125" style="8" customWidth="1"/>
    <col min="15370" max="15370" width="15.88671875" style="8" customWidth="1"/>
    <col min="15371" max="15371" width="12.109375" style="8" customWidth="1"/>
    <col min="15372" max="15372" width="11.33203125" style="8" customWidth="1"/>
    <col min="15373" max="15373" width="11.44140625" style="8" customWidth="1"/>
    <col min="15374" max="15374" width="13.33203125" style="8" customWidth="1"/>
    <col min="15375" max="15375" width="14.5546875" style="8" customWidth="1"/>
    <col min="15376" max="15377" width="9.109375" style="8"/>
    <col min="15378" max="15378" width="10.109375" style="8" bestFit="1" customWidth="1"/>
    <col min="15379" max="15616" width="9.109375" style="8"/>
    <col min="15617" max="15617" width="2.5546875" style="8" customWidth="1"/>
    <col min="15618" max="15618" width="10.6640625" style="8" customWidth="1"/>
    <col min="15619" max="15619" width="11.109375" style="8" customWidth="1"/>
    <col min="15620" max="15620" width="11.33203125" style="8" customWidth="1"/>
    <col min="15621" max="15622" width="12.88671875" style="8" customWidth="1"/>
    <col min="15623" max="15624" width="11" style="8" customWidth="1"/>
    <col min="15625" max="15625" width="11.33203125" style="8" customWidth="1"/>
    <col min="15626" max="15626" width="15.88671875" style="8" customWidth="1"/>
    <col min="15627" max="15627" width="12.109375" style="8" customWidth="1"/>
    <col min="15628" max="15628" width="11.33203125" style="8" customWidth="1"/>
    <col min="15629" max="15629" width="11.44140625" style="8" customWidth="1"/>
    <col min="15630" max="15630" width="13.33203125" style="8" customWidth="1"/>
    <col min="15631" max="15631" width="14.5546875" style="8" customWidth="1"/>
    <col min="15632" max="15633" width="9.109375" style="8"/>
    <col min="15634" max="15634" width="10.109375" style="8" bestFit="1" customWidth="1"/>
    <col min="15635" max="15872" width="9.109375" style="8"/>
    <col min="15873" max="15873" width="2.5546875" style="8" customWidth="1"/>
    <col min="15874" max="15874" width="10.6640625" style="8" customWidth="1"/>
    <col min="15875" max="15875" width="11.109375" style="8" customWidth="1"/>
    <col min="15876" max="15876" width="11.33203125" style="8" customWidth="1"/>
    <col min="15877" max="15878" width="12.88671875" style="8" customWidth="1"/>
    <col min="15879" max="15880" width="11" style="8" customWidth="1"/>
    <col min="15881" max="15881" width="11.33203125" style="8" customWidth="1"/>
    <col min="15882" max="15882" width="15.88671875" style="8" customWidth="1"/>
    <col min="15883" max="15883" width="12.109375" style="8" customWidth="1"/>
    <col min="15884" max="15884" width="11.33203125" style="8" customWidth="1"/>
    <col min="15885" max="15885" width="11.44140625" style="8" customWidth="1"/>
    <col min="15886" max="15886" width="13.33203125" style="8" customWidth="1"/>
    <col min="15887" max="15887" width="14.5546875" style="8" customWidth="1"/>
    <col min="15888" max="15889" width="9.109375" style="8"/>
    <col min="15890" max="15890" width="10.109375" style="8" bestFit="1" customWidth="1"/>
    <col min="15891" max="16128" width="9.109375" style="8"/>
    <col min="16129" max="16129" width="2.5546875" style="8" customWidth="1"/>
    <col min="16130" max="16130" width="10.6640625" style="8" customWidth="1"/>
    <col min="16131" max="16131" width="11.109375" style="8" customWidth="1"/>
    <col min="16132" max="16132" width="11.33203125" style="8" customWidth="1"/>
    <col min="16133" max="16134" width="12.88671875" style="8" customWidth="1"/>
    <col min="16135" max="16136" width="11" style="8" customWidth="1"/>
    <col min="16137" max="16137" width="11.33203125" style="8" customWidth="1"/>
    <col min="16138" max="16138" width="15.88671875" style="8" customWidth="1"/>
    <col min="16139" max="16139" width="12.109375" style="8" customWidth="1"/>
    <col min="16140" max="16140" width="11.33203125" style="8" customWidth="1"/>
    <col min="16141" max="16141" width="11.44140625" style="8" customWidth="1"/>
    <col min="16142" max="16142" width="13.33203125" style="8" customWidth="1"/>
    <col min="16143" max="16143" width="14.5546875" style="8" customWidth="1"/>
    <col min="16144" max="16145" width="9.109375" style="8"/>
    <col min="16146" max="16146" width="10.109375" style="8" bestFit="1" customWidth="1"/>
    <col min="16147" max="16384" width="9.109375" style="8"/>
  </cols>
  <sheetData>
    <row r="1" spans="1:23" ht="13.8" thickBot="1" x14ac:dyDescent="0.35">
      <c r="B1" s="190"/>
      <c r="C1" s="190"/>
      <c r="D1" s="190"/>
      <c r="E1" s="190"/>
      <c r="F1" s="190"/>
    </row>
    <row r="2" spans="1:23" s="9" customFormat="1" ht="39.9" customHeight="1" thickBot="1" x14ac:dyDescent="0.35">
      <c r="B2" s="10" t="s">
        <v>13</v>
      </c>
      <c r="C2" s="11" t="s">
        <v>55</v>
      </c>
      <c r="D2" s="11" t="s">
        <v>56</v>
      </c>
      <c r="E2" s="11" t="s">
        <v>57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62</v>
      </c>
      <c r="K2" s="11" t="s">
        <v>63</v>
      </c>
      <c r="L2" s="11" t="s">
        <v>64</v>
      </c>
      <c r="M2" s="12" t="s">
        <v>65</v>
      </c>
    </row>
    <row r="3" spans="1:23" s="1" customFormat="1" ht="15" thickBot="1" x14ac:dyDescent="0.35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" customHeight="1" x14ac:dyDescent="0.25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" customHeight="1" x14ac:dyDescent="0.25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" customHeight="1" x14ac:dyDescent="0.25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" customHeight="1" x14ac:dyDescent="0.25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" customHeight="1" x14ac:dyDescent="0.25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" customHeight="1" x14ac:dyDescent="0.25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" customHeight="1" x14ac:dyDescent="0.25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" customHeight="1" x14ac:dyDescent="0.25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" customHeight="1" x14ac:dyDescent="0.25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" customHeight="1" x14ac:dyDescent="0.25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" customHeight="1" x14ac:dyDescent="0.25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" customHeight="1" x14ac:dyDescent="0.25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" customHeight="1" x14ac:dyDescent="0.25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" customHeight="1" x14ac:dyDescent="0.25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" customHeight="1" x14ac:dyDescent="0.25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" customHeight="1" x14ac:dyDescent="0.25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" customHeight="1" x14ac:dyDescent="0.25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" customHeight="1" x14ac:dyDescent="0.25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" customHeight="1" x14ac:dyDescent="0.25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" customHeight="1" x14ac:dyDescent="0.25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" customHeight="1" thickBot="1" x14ac:dyDescent="0.3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" customHeight="1" x14ac:dyDescent="0.25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7" t="s">
        <v>66</v>
      </c>
      <c r="O25" s="187" t="s">
        <v>67</v>
      </c>
      <c r="Q25" s="19">
        <f t="shared" si="5"/>
        <v>0</v>
      </c>
    </row>
    <row r="26" spans="2:17" s="9" customFormat="1" ht="12.9" customHeight="1" x14ac:dyDescent="0.25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8"/>
      <c r="O26" s="188"/>
      <c r="Q26" s="19">
        <f t="shared" si="5"/>
        <v>0</v>
      </c>
    </row>
    <row r="27" spans="2:17" s="9" customFormat="1" ht="12.9" customHeight="1" thickBot="1" x14ac:dyDescent="0.3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89"/>
      <c r="O27" s="189"/>
      <c r="Q27" s="19">
        <f t="shared" si="5"/>
        <v>0</v>
      </c>
    </row>
    <row r="28" spans="2:17" s="9" customFormat="1" ht="12.9" customHeight="1" thickBot="1" x14ac:dyDescent="0.3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" customHeight="1" x14ac:dyDescent="0.25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7" t="s">
        <v>68</v>
      </c>
      <c r="O29" s="187" t="s">
        <v>69</v>
      </c>
      <c r="Q29" s="19">
        <f t="shared" si="5"/>
        <v>0</v>
      </c>
    </row>
    <row r="30" spans="2:17" s="9" customFormat="1" ht="12.9" customHeight="1" thickBot="1" x14ac:dyDescent="0.3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89"/>
      <c r="O30" s="189"/>
      <c r="Q30" s="19">
        <f t="shared" si="5"/>
        <v>0</v>
      </c>
    </row>
    <row r="31" spans="2:17" s="9" customFormat="1" ht="12.9" customHeight="1" thickBot="1" x14ac:dyDescent="0.3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" customHeight="1" x14ac:dyDescent="0.25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" customHeight="1" x14ac:dyDescent="0.25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" customHeight="1" x14ac:dyDescent="0.25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" customHeight="1" x14ac:dyDescent="0.25">
      <c r="B35" s="178">
        <v>44227</v>
      </c>
      <c r="C35" s="173">
        <v>16228335</v>
      </c>
      <c r="D35" s="173">
        <v>5191070</v>
      </c>
      <c r="E35" s="173">
        <v>248709</v>
      </c>
      <c r="F35" s="173">
        <v>644320</v>
      </c>
      <c r="G35" s="173">
        <v>298833</v>
      </c>
      <c r="H35" s="174">
        <f t="shared" si="1"/>
        <v>0</v>
      </c>
      <c r="I35" s="174">
        <f t="shared" si="6"/>
        <v>3066</v>
      </c>
      <c r="J35" s="174">
        <f t="shared" si="2"/>
        <v>150</v>
      </c>
      <c r="K35" s="174">
        <f t="shared" si="7"/>
        <v>143</v>
      </c>
      <c r="L35" s="175">
        <f t="shared" si="4"/>
        <v>124</v>
      </c>
      <c r="M35" s="176">
        <f t="shared" si="0"/>
        <v>3359</v>
      </c>
      <c r="N35" s="8"/>
      <c r="O35" s="8"/>
      <c r="Q35" s="19"/>
    </row>
    <row r="36" spans="2:17" ht="12.9" customHeight="1" x14ac:dyDescent="0.25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" customHeight="1" x14ac:dyDescent="0.25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" customHeight="1" x14ac:dyDescent="0.25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" customHeight="1" x14ac:dyDescent="0.25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" customHeight="1" x14ac:dyDescent="0.25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" customHeight="1" x14ac:dyDescent="0.25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" customHeight="1" x14ac:dyDescent="0.25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" customHeight="1" x14ac:dyDescent="0.25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" customHeight="1" x14ac:dyDescent="0.25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" customHeight="1" x14ac:dyDescent="0.25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" customHeight="1" x14ac:dyDescent="0.25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" customHeight="1" x14ac:dyDescent="0.25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" customHeight="1" x14ac:dyDescent="0.25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" customHeight="1" x14ac:dyDescent="0.25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" customHeight="1" x14ac:dyDescent="0.25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" customHeight="1" x14ac:dyDescent="0.25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" customHeight="1" thickBot="1" x14ac:dyDescent="0.3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" customHeight="1" x14ac:dyDescent="0.25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7" t="s">
        <v>66</v>
      </c>
      <c r="O53" s="187" t="s">
        <v>67</v>
      </c>
      <c r="Q53" s="19">
        <f t="shared" si="5"/>
        <v>0</v>
      </c>
    </row>
    <row r="54" spans="2:17" ht="12.9" customHeight="1" x14ac:dyDescent="0.25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8"/>
      <c r="O54" s="188"/>
      <c r="Q54" s="19">
        <f t="shared" si="5"/>
        <v>0</v>
      </c>
    </row>
    <row r="55" spans="2:17" ht="12.9" customHeight="1" thickBot="1" x14ac:dyDescent="0.3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89"/>
      <c r="O55" s="189"/>
      <c r="Q55" s="19">
        <f t="shared" si="5"/>
        <v>0</v>
      </c>
    </row>
    <row r="56" spans="2:17" ht="12.9" customHeight="1" thickBot="1" x14ac:dyDescent="0.3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" customHeight="1" x14ac:dyDescent="0.25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7" t="s">
        <v>68</v>
      </c>
      <c r="O57" s="187" t="s">
        <v>69</v>
      </c>
      <c r="Q57" s="19">
        <f t="shared" si="5"/>
        <v>0</v>
      </c>
    </row>
    <row r="58" spans="2:17" ht="12.9" customHeight="1" thickBot="1" x14ac:dyDescent="0.3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89"/>
      <c r="O58" s="189"/>
      <c r="Q58" s="19">
        <f t="shared" si="5"/>
        <v>0</v>
      </c>
    </row>
    <row r="59" spans="2:17" ht="12.9" customHeight="1" thickBot="1" x14ac:dyDescent="0.3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" customHeight="1" x14ac:dyDescent="0.25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7" t="s">
        <v>70</v>
      </c>
      <c r="O60" s="187" t="s">
        <v>71</v>
      </c>
      <c r="Q60" s="19">
        <f t="shared" si="5"/>
        <v>0</v>
      </c>
    </row>
    <row r="61" spans="2:17" ht="12.9" customHeight="1" thickBot="1" x14ac:dyDescent="0.3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89"/>
      <c r="O61" s="189"/>
      <c r="Q61" s="19">
        <f t="shared" si="5"/>
        <v>0</v>
      </c>
    </row>
    <row r="62" spans="2:17" ht="12.9" customHeight="1" thickBot="1" x14ac:dyDescent="0.3">
      <c r="B62" s="21">
        <v>44254</v>
      </c>
      <c r="C62" s="173">
        <v>16228335</v>
      </c>
      <c r="D62" s="177">
        <v>5270544</v>
      </c>
      <c r="E62" s="177">
        <v>253486</v>
      </c>
      <c r="F62" s="177">
        <v>649063</v>
      </c>
      <c r="G62" s="177">
        <v>303745</v>
      </c>
      <c r="H62" s="174">
        <f t="shared" ref="H62" si="21">IF(C62="","",+(C62-C61))</f>
        <v>0</v>
      </c>
      <c r="I62" s="174">
        <f t="shared" si="18"/>
        <v>2667</v>
      </c>
      <c r="J62" s="174">
        <f t="shared" si="18"/>
        <v>202</v>
      </c>
      <c r="K62" s="174">
        <f t="shared" si="18"/>
        <v>192</v>
      </c>
      <c r="L62" s="175">
        <f t="shared" si="18"/>
        <v>207</v>
      </c>
      <c r="M62" s="176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" customHeight="1" x14ac:dyDescent="0.25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" customHeight="1" x14ac:dyDescent="0.25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" customHeight="1" x14ac:dyDescent="0.25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" customHeight="1" x14ac:dyDescent="0.25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" customHeight="1" x14ac:dyDescent="0.25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" customHeight="1" x14ac:dyDescent="0.25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" customHeight="1" x14ac:dyDescent="0.25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" customHeight="1" x14ac:dyDescent="0.25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" customHeight="1" x14ac:dyDescent="0.25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72</v>
      </c>
      <c r="Q71" s="19">
        <f t="shared" si="35"/>
        <v>0</v>
      </c>
    </row>
    <row r="72" spans="2:17" ht="12.9" customHeight="1" x14ac:dyDescent="0.25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" customHeight="1" x14ac:dyDescent="0.25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" customHeight="1" x14ac:dyDescent="0.25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" customHeight="1" x14ac:dyDescent="0.25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" customHeight="1" x14ac:dyDescent="0.25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" customHeight="1" x14ac:dyDescent="0.25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" customHeight="1" x14ac:dyDescent="0.25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" customHeight="1" x14ac:dyDescent="0.25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" customHeight="1" x14ac:dyDescent="0.25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" customHeight="1" x14ac:dyDescent="0.25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" customHeight="1" x14ac:dyDescent="0.25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3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" customHeight="1" x14ac:dyDescent="0.25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7" t="s">
        <v>66</v>
      </c>
      <c r="O84" s="187" t="s">
        <v>67</v>
      </c>
      <c r="Q84" s="19">
        <f t="shared" si="35"/>
        <v>0</v>
      </c>
    </row>
    <row r="85" spans="2:18" ht="12.9" customHeight="1" x14ac:dyDescent="0.25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8"/>
      <c r="O85" s="188"/>
      <c r="Q85" s="19">
        <f t="shared" si="35"/>
        <v>0</v>
      </c>
    </row>
    <row r="86" spans="2:18" ht="12.9" customHeight="1" thickBot="1" x14ac:dyDescent="0.3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89"/>
      <c r="O86" s="189"/>
      <c r="Q86" s="19">
        <f t="shared" si="35"/>
        <v>0</v>
      </c>
    </row>
    <row r="87" spans="2:18" ht="12.9" customHeight="1" thickBot="1" x14ac:dyDescent="0.3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" customHeight="1" x14ac:dyDescent="0.25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7" t="s">
        <v>68</v>
      </c>
      <c r="O88" s="187" t="s">
        <v>69</v>
      </c>
      <c r="Q88" s="19">
        <f t="shared" si="35"/>
        <v>0</v>
      </c>
    </row>
    <row r="89" spans="2:18" ht="12.9" customHeight="1" thickBot="1" x14ac:dyDescent="0.3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89"/>
      <c r="O89" s="189"/>
      <c r="Q89" s="19">
        <f t="shared" si="35"/>
        <v>0</v>
      </c>
    </row>
    <row r="90" spans="2:18" ht="12.9" customHeight="1" thickBot="1" x14ac:dyDescent="0.3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" customHeight="1" x14ac:dyDescent="0.25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7" t="s">
        <v>70</v>
      </c>
      <c r="O91" s="187" t="s">
        <v>71</v>
      </c>
      <c r="Q91" s="19">
        <f t="shared" si="35"/>
        <v>0</v>
      </c>
    </row>
    <row r="92" spans="2:18" ht="12.9" customHeight="1" thickBot="1" x14ac:dyDescent="0.3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89"/>
      <c r="O92" s="189"/>
      <c r="Q92" s="19">
        <f t="shared" si="35"/>
        <v>0</v>
      </c>
    </row>
    <row r="93" spans="2:18" ht="12.9" customHeight="1" thickBot="1" x14ac:dyDescent="0.3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" customHeight="1" x14ac:dyDescent="0.25">
      <c r="B94" s="21">
        <v>44286</v>
      </c>
      <c r="C94" s="173">
        <v>16228335</v>
      </c>
      <c r="D94" s="179">
        <v>5371841</v>
      </c>
      <c r="E94" s="179">
        <v>259360</v>
      </c>
      <c r="F94" s="179">
        <v>655111</v>
      </c>
      <c r="G94" s="179">
        <v>310452</v>
      </c>
      <c r="H94" s="174">
        <f t="shared" ref="H94" si="72">IF(C94="","",+(C94-C93))</f>
        <v>0</v>
      </c>
      <c r="I94" s="174">
        <f t="shared" si="71"/>
        <v>1868</v>
      </c>
      <c r="J94" s="174">
        <f t="shared" si="71"/>
        <v>206</v>
      </c>
      <c r="K94" s="174">
        <f t="shared" si="71"/>
        <v>205</v>
      </c>
      <c r="L94" s="175">
        <f t="shared" si="71"/>
        <v>255</v>
      </c>
      <c r="M94" s="176">
        <f t="shared" si="68"/>
        <v>2279</v>
      </c>
      <c r="Q94" s="19">
        <f t="shared" si="35"/>
        <v>0</v>
      </c>
    </row>
    <row r="95" spans="2:18" ht="12.9" customHeight="1" x14ac:dyDescent="0.25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" customHeight="1" x14ac:dyDescent="0.25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" customHeight="1" x14ac:dyDescent="0.25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" customHeight="1" x14ac:dyDescent="0.25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" customHeight="1" x14ac:dyDescent="0.25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" customHeight="1" x14ac:dyDescent="0.25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" customHeight="1" x14ac:dyDescent="0.25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" customHeight="1" x14ac:dyDescent="0.25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" customHeight="1" x14ac:dyDescent="0.25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" customHeight="1" x14ac:dyDescent="0.25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" customHeight="1" x14ac:dyDescent="0.25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" customHeight="1" x14ac:dyDescent="0.25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" customHeight="1" x14ac:dyDescent="0.25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" customHeight="1" x14ac:dyDescent="0.25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" customHeight="1" x14ac:dyDescent="0.25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" customHeight="1" x14ac:dyDescent="0.25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" customHeight="1" x14ac:dyDescent="0.25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" customHeight="1" x14ac:dyDescent="0.25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" customHeight="1" thickBot="1" x14ac:dyDescent="0.3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" customHeight="1" x14ac:dyDescent="0.25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7" t="s">
        <v>66</v>
      </c>
      <c r="O114" s="187" t="s">
        <v>67</v>
      </c>
      <c r="Q114" s="19">
        <f t="shared" si="35"/>
        <v>0</v>
      </c>
    </row>
    <row r="115" spans="2:17" ht="13.8" x14ac:dyDescent="0.25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8"/>
      <c r="O115" s="188"/>
      <c r="Q115" s="19">
        <f t="shared" si="35"/>
        <v>0</v>
      </c>
    </row>
    <row r="116" spans="2:17" ht="12.9" customHeight="1" thickBot="1" x14ac:dyDescent="0.3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89"/>
      <c r="O116" s="189"/>
      <c r="Q116" s="19">
        <f t="shared" si="35"/>
        <v>0</v>
      </c>
    </row>
    <row r="117" spans="2:17" ht="12.9" customHeight="1" thickBot="1" x14ac:dyDescent="0.3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" customHeight="1" x14ac:dyDescent="0.25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7" t="s">
        <v>68</v>
      </c>
      <c r="O118" s="187" t="s">
        <v>69</v>
      </c>
      <c r="Q118" s="19">
        <f t="shared" si="35"/>
        <v>0</v>
      </c>
    </row>
    <row r="119" spans="2:17" ht="12.9" customHeight="1" thickBot="1" x14ac:dyDescent="0.3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89"/>
      <c r="O119" s="189"/>
      <c r="Q119" s="19">
        <f t="shared" si="35"/>
        <v>0</v>
      </c>
    </row>
    <row r="120" spans="2:17" ht="12.9" customHeight="1" thickBot="1" x14ac:dyDescent="0.3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" customHeight="1" x14ac:dyDescent="0.25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" customHeight="1" x14ac:dyDescent="0.25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" customHeight="1" x14ac:dyDescent="0.25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" customHeight="1" x14ac:dyDescent="0.25">
      <c r="B124" s="21">
        <v>44316</v>
      </c>
      <c r="C124" s="173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5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" customHeight="1" x14ac:dyDescent="0.25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" customHeight="1" x14ac:dyDescent="0.25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" customHeight="1" x14ac:dyDescent="0.25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" customHeight="1" x14ac:dyDescent="0.25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" customHeight="1" x14ac:dyDescent="0.25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" customHeight="1" x14ac:dyDescent="0.25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" customHeight="1" x14ac:dyDescent="0.25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" customHeight="1" x14ac:dyDescent="0.25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" customHeight="1" x14ac:dyDescent="0.25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" customHeight="1" x14ac:dyDescent="0.25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" customHeight="1" x14ac:dyDescent="0.25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" customHeight="1" x14ac:dyDescent="0.25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" customHeight="1" x14ac:dyDescent="0.25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" customHeight="1" x14ac:dyDescent="0.25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" customHeight="1" x14ac:dyDescent="0.25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" customHeight="1" x14ac:dyDescent="0.25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" customHeight="1" x14ac:dyDescent="0.25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" customHeight="1" x14ac:dyDescent="0.25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" customHeight="1" x14ac:dyDescent="0.25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73</v>
      </c>
      <c r="Q143" s="19">
        <f t="shared" si="90"/>
        <v>0</v>
      </c>
    </row>
    <row r="144" spans="2:17" ht="12.9" customHeight="1" thickBot="1" x14ac:dyDescent="0.3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" customHeight="1" x14ac:dyDescent="0.25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7" t="s">
        <v>66</v>
      </c>
      <c r="O145" s="187" t="s">
        <v>67</v>
      </c>
      <c r="Q145" s="19">
        <f t="shared" si="90"/>
        <v>0</v>
      </c>
    </row>
    <row r="146" spans="2:18" ht="12.9" customHeight="1" x14ac:dyDescent="0.25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8"/>
      <c r="O146" s="188"/>
      <c r="Q146" s="19">
        <f t="shared" si="90"/>
        <v>0</v>
      </c>
    </row>
    <row r="147" spans="2:18" ht="12.9" customHeight="1" thickBot="1" x14ac:dyDescent="0.3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89"/>
      <c r="O147" s="189"/>
      <c r="Q147" s="19">
        <f>IF(L147="",1,0)</f>
        <v>0</v>
      </c>
    </row>
    <row r="148" spans="2:18" ht="12.9" customHeight="1" thickBot="1" x14ac:dyDescent="0.3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" customHeight="1" x14ac:dyDescent="0.25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7" t="s">
        <v>68</v>
      </c>
      <c r="O149" s="187" t="s">
        <v>69</v>
      </c>
      <c r="Q149" s="19">
        <f>IF(L149="",1,0)</f>
        <v>0</v>
      </c>
    </row>
    <row r="150" spans="2:18" ht="12.9" customHeight="1" thickBot="1" x14ac:dyDescent="0.3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89"/>
      <c r="O150" s="189"/>
      <c r="Q150" s="19">
        <f>IF(L150="",1,0)</f>
        <v>0</v>
      </c>
    </row>
    <row r="151" spans="2:18" ht="12.9" customHeight="1" thickBot="1" x14ac:dyDescent="0.3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" customHeight="1" x14ac:dyDescent="0.25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" customHeight="1" x14ac:dyDescent="0.25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" customHeight="1" x14ac:dyDescent="0.25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" customHeight="1" x14ac:dyDescent="0.25">
      <c r="B155" s="21">
        <v>44347</v>
      </c>
      <c r="C155" s="173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" customHeight="1" x14ac:dyDescent="0.25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" customHeight="1" x14ac:dyDescent="0.25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" customHeight="1" x14ac:dyDescent="0.25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" customHeight="1" x14ac:dyDescent="0.25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" customHeight="1" x14ac:dyDescent="0.25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" customHeight="1" x14ac:dyDescent="0.25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" customHeight="1" x14ac:dyDescent="0.25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" customHeight="1" x14ac:dyDescent="0.25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" customHeight="1" x14ac:dyDescent="0.25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" customHeight="1" x14ac:dyDescent="0.25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" customHeight="1" x14ac:dyDescent="0.25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" customHeight="1" x14ac:dyDescent="0.25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" customHeight="1" x14ac:dyDescent="0.25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" customHeight="1" x14ac:dyDescent="0.25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" customHeight="1" x14ac:dyDescent="0.25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" customHeight="1" x14ac:dyDescent="0.25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" customHeight="1" x14ac:dyDescent="0.25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" customHeight="1" x14ac:dyDescent="0.25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" customHeight="1" thickBot="1" x14ac:dyDescent="0.3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" customHeight="1" x14ac:dyDescent="0.25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7" t="s">
        <v>66</v>
      </c>
      <c r="O175" s="187" t="s">
        <v>67</v>
      </c>
      <c r="Q175" s="19">
        <f t="shared" si="90"/>
        <v>0</v>
      </c>
    </row>
    <row r="176" spans="2:20" ht="12.9" customHeight="1" x14ac:dyDescent="0.25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8"/>
      <c r="O176" s="188"/>
      <c r="Q176" s="19">
        <f t="shared" si="90"/>
        <v>0</v>
      </c>
    </row>
    <row r="177" spans="2:17" ht="12.9" customHeight="1" thickBot="1" x14ac:dyDescent="0.3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89"/>
      <c r="O177" s="189"/>
      <c r="Q177" s="19">
        <f t="shared" si="90"/>
        <v>0</v>
      </c>
    </row>
    <row r="178" spans="2:17" ht="12.9" customHeight="1" thickBot="1" x14ac:dyDescent="0.3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" customHeight="1" x14ac:dyDescent="0.25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7" t="s">
        <v>68</v>
      </c>
      <c r="O179" s="187" t="s">
        <v>69</v>
      </c>
      <c r="Q179" s="19">
        <f t="shared" si="90"/>
        <v>0</v>
      </c>
    </row>
    <row r="180" spans="2:17" ht="14.4" thickBot="1" x14ac:dyDescent="0.3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89"/>
      <c r="O180" s="189"/>
      <c r="Q180" s="19">
        <f t="shared" si="90"/>
        <v>0</v>
      </c>
    </row>
    <row r="181" spans="2:17" ht="12.9" customHeight="1" thickBot="1" x14ac:dyDescent="0.3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" customHeight="1" x14ac:dyDescent="0.25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" customHeight="1" x14ac:dyDescent="0.25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" customHeight="1" x14ac:dyDescent="0.25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" customHeight="1" x14ac:dyDescent="0.25">
      <c r="B185" s="21">
        <v>44377</v>
      </c>
      <c r="C185" s="172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80">
        <f t="shared" si="88"/>
        <v>265</v>
      </c>
      <c r="L185" s="175">
        <f t="shared" si="92"/>
        <v>281</v>
      </c>
      <c r="M185" s="180">
        <f t="shared" si="89"/>
        <v>1749</v>
      </c>
      <c r="Q185" s="19">
        <f t="shared" si="90"/>
        <v>0</v>
      </c>
    </row>
    <row r="186" spans="2:17" ht="12.9" customHeight="1" x14ac:dyDescent="0.25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" customHeight="1" x14ac:dyDescent="0.25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" customHeight="1" x14ac:dyDescent="0.25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" customHeight="1" x14ac:dyDescent="0.25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" customHeight="1" x14ac:dyDescent="0.25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" customHeight="1" x14ac:dyDescent="0.25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" customHeight="1" x14ac:dyDescent="0.25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" customHeight="1" x14ac:dyDescent="0.25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" customHeight="1" x14ac:dyDescent="0.25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" customHeight="1" x14ac:dyDescent="0.25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" customHeight="1" x14ac:dyDescent="0.25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" customHeight="1" x14ac:dyDescent="0.25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" customHeight="1" x14ac:dyDescent="0.25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" customHeight="1" x14ac:dyDescent="0.25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" customHeight="1" x14ac:dyDescent="0.25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" customHeight="1" x14ac:dyDescent="0.25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" customHeight="1" x14ac:dyDescent="0.25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" customHeight="1" x14ac:dyDescent="0.25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" customHeight="1" x14ac:dyDescent="0.25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" customHeight="1" thickBot="1" x14ac:dyDescent="0.3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" customHeight="1" x14ac:dyDescent="0.25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7" t="s">
        <v>66</v>
      </c>
      <c r="O206" s="187" t="s">
        <v>67</v>
      </c>
      <c r="Q206" s="19">
        <f t="shared" si="96"/>
        <v>0</v>
      </c>
    </row>
    <row r="207" spans="2:17" ht="12.9" customHeight="1" x14ac:dyDescent="0.25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8"/>
      <c r="O207" s="188"/>
      <c r="Q207" s="19">
        <f t="shared" si="96"/>
        <v>0</v>
      </c>
    </row>
    <row r="208" spans="2:17" ht="12.9" customHeight="1" thickBot="1" x14ac:dyDescent="0.3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89"/>
      <c r="O208" s="189"/>
      <c r="Q208" s="19">
        <f t="shared" si="96"/>
        <v>0</v>
      </c>
    </row>
    <row r="209" spans="2:17" ht="12.9" customHeight="1" thickBot="1" x14ac:dyDescent="0.3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" customHeight="1" x14ac:dyDescent="0.25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7" t="s">
        <v>68</v>
      </c>
      <c r="O210" s="187" t="s">
        <v>69</v>
      </c>
      <c r="Q210" s="19">
        <f t="shared" si="96"/>
        <v>0</v>
      </c>
    </row>
    <row r="211" spans="2:17" ht="12.9" customHeight="1" thickBot="1" x14ac:dyDescent="0.3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89"/>
      <c r="O211" s="189"/>
      <c r="Q211" s="19">
        <f t="shared" si="96"/>
        <v>0</v>
      </c>
    </row>
    <row r="212" spans="2:17" ht="12.9" customHeight="1" thickBot="1" x14ac:dyDescent="0.3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" customHeight="1" x14ac:dyDescent="0.25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" customHeight="1" x14ac:dyDescent="0.25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" customHeight="1" x14ac:dyDescent="0.25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" customHeight="1" x14ac:dyDescent="0.25">
      <c r="B216" s="21">
        <v>44408</v>
      </c>
      <c r="C216" s="172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" customHeight="1" x14ac:dyDescent="0.25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" customHeight="1" x14ac:dyDescent="0.25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" customHeight="1" x14ac:dyDescent="0.25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" customHeight="1" x14ac:dyDescent="0.25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" customHeight="1" x14ac:dyDescent="0.25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" customHeight="1" x14ac:dyDescent="0.25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" customHeight="1" x14ac:dyDescent="0.25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" customHeight="1" x14ac:dyDescent="0.25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" customHeight="1" x14ac:dyDescent="0.25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" customHeight="1" x14ac:dyDescent="0.25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" customHeight="1" x14ac:dyDescent="0.25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" customHeight="1" x14ac:dyDescent="0.25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" customHeight="1" x14ac:dyDescent="0.25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" customHeight="1" x14ac:dyDescent="0.25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" customHeight="1" x14ac:dyDescent="0.25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" customHeight="1" x14ac:dyDescent="0.25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" customHeight="1" x14ac:dyDescent="0.25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" customHeight="1" x14ac:dyDescent="0.25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" customHeight="1" x14ac:dyDescent="0.25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" customHeight="1" thickBot="1" x14ac:dyDescent="0.3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" customHeight="1" x14ac:dyDescent="0.25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7" t="s">
        <v>66</v>
      </c>
      <c r="O237" s="187" t="s">
        <v>67</v>
      </c>
      <c r="Q237" s="19">
        <f t="shared" si="98"/>
        <v>0</v>
      </c>
    </row>
    <row r="238" spans="2:17" ht="12.9" customHeight="1" x14ac:dyDescent="0.25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8"/>
      <c r="O238" s="188"/>
      <c r="Q238" s="19">
        <f t="shared" si="98"/>
        <v>0</v>
      </c>
    </row>
    <row r="239" spans="2:17" ht="12.9" customHeight="1" thickBot="1" x14ac:dyDescent="0.3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89"/>
      <c r="O239" s="189"/>
      <c r="Q239" s="19">
        <f t="shared" si="98"/>
        <v>0</v>
      </c>
    </row>
    <row r="240" spans="2:17" ht="12.9" customHeight="1" thickBot="1" x14ac:dyDescent="0.3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" customHeight="1" x14ac:dyDescent="0.25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7" t="s">
        <v>68</v>
      </c>
      <c r="O241" s="187" t="s">
        <v>69</v>
      </c>
      <c r="Q241" s="19">
        <f t="shared" si="98"/>
        <v>0</v>
      </c>
    </row>
    <row r="242" spans="2:17" ht="12.9" customHeight="1" thickBot="1" x14ac:dyDescent="0.3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89"/>
      <c r="O242" s="189"/>
      <c r="Q242" s="19">
        <f t="shared" si="98"/>
        <v>0</v>
      </c>
    </row>
    <row r="243" spans="2:17" ht="12.9" customHeight="1" thickBot="1" x14ac:dyDescent="0.3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" customHeight="1" x14ac:dyDescent="0.25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" customHeight="1" x14ac:dyDescent="0.25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" customHeight="1" x14ac:dyDescent="0.25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" customHeight="1" x14ac:dyDescent="0.25">
      <c r="B247" s="21">
        <v>44439</v>
      </c>
      <c r="C247" s="172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" customHeight="1" x14ac:dyDescent="0.25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" customHeight="1" x14ac:dyDescent="0.25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" customHeight="1" x14ac:dyDescent="0.25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" customHeight="1" x14ac:dyDescent="0.25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" customHeight="1" x14ac:dyDescent="0.25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" customHeight="1" x14ac:dyDescent="0.25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" customHeight="1" x14ac:dyDescent="0.25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" customHeight="1" x14ac:dyDescent="0.25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" customHeight="1" x14ac:dyDescent="0.25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" customHeight="1" x14ac:dyDescent="0.25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" customHeight="1" x14ac:dyDescent="0.25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" customHeight="1" x14ac:dyDescent="0.25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" customHeight="1" x14ac:dyDescent="0.25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" customHeight="1" x14ac:dyDescent="0.25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" customHeight="1" x14ac:dyDescent="0.25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" customHeight="1" x14ac:dyDescent="0.25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" customHeight="1" x14ac:dyDescent="0.25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" customHeight="1" x14ac:dyDescent="0.25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" customHeight="1" thickBot="1" x14ac:dyDescent="0.3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" customHeight="1" x14ac:dyDescent="0.25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7" t="s">
        <v>66</v>
      </c>
      <c r="O267" s="187" t="s">
        <v>67</v>
      </c>
      <c r="Q267" s="19">
        <f t="shared" si="98"/>
        <v>0</v>
      </c>
    </row>
    <row r="268" spans="2:17" ht="12.9" customHeight="1" x14ac:dyDescent="0.25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8"/>
      <c r="O268" s="188"/>
      <c r="Q268" s="19">
        <f t="shared" si="98"/>
        <v>0</v>
      </c>
    </row>
    <row r="269" spans="2:17" ht="12.9" customHeight="1" thickBot="1" x14ac:dyDescent="0.3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89"/>
      <c r="O269" s="189"/>
      <c r="Q269" s="19">
        <f t="shared" si="98"/>
        <v>0</v>
      </c>
    </row>
    <row r="270" spans="2:17" ht="12.9" customHeight="1" thickBot="1" x14ac:dyDescent="0.3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9098</v>
      </c>
      <c r="O270" s="30">
        <f>SUM(M248:M277)</f>
        <v>121370</v>
      </c>
      <c r="Q270" s="19">
        <f t="shared" si="98"/>
        <v>0</v>
      </c>
    </row>
    <row r="271" spans="2:17" ht="12.9" customHeight="1" x14ac:dyDescent="0.25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7" t="s">
        <v>68</v>
      </c>
      <c r="O271" s="187" t="s">
        <v>69</v>
      </c>
      <c r="Q271" s="19">
        <f t="shared" si="98"/>
        <v>0</v>
      </c>
    </row>
    <row r="272" spans="2:17" ht="12.9" customHeight="1" thickBot="1" x14ac:dyDescent="0.3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89"/>
      <c r="O272" s="189"/>
      <c r="Q272" s="19">
        <f t="shared" si="98"/>
        <v>0</v>
      </c>
    </row>
    <row r="273" spans="2:17" ht="12.9" customHeight="1" thickBot="1" x14ac:dyDescent="0.3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303.26666666666665</v>
      </c>
      <c r="O273" s="30">
        <f>AVERAGE(M248:M277)</f>
        <v>4045.6666666666665</v>
      </c>
      <c r="Q273" s="19">
        <f t="shared" si="98"/>
        <v>0</v>
      </c>
    </row>
    <row r="274" spans="2:17" ht="12.9" customHeight="1" x14ac:dyDescent="0.25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" customHeight="1" x14ac:dyDescent="0.25">
      <c r="B275" s="21">
        <v>44467</v>
      </c>
      <c r="C275" s="39">
        <v>16415695</v>
      </c>
      <c r="D275" s="22">
        <v>5616809</v>
      </c>
      <c r="E275" s="23">
        <v>296294</v>
      </c>
      <c r="F275" s="24">
        <v>28990</v>
      </c>
      <c r="G275" s="25">
        <v>365123</v>
      </c>
      <c r="H275" s="26">
        <f t="shared" si="101"/>
        <v>0</v>
      </c>
      <c r="I275" s="26">
        <f t="shared" si="101"/>
        <v>1615</v>
      </c>
      <c r="J275" s="26">
        <f t="shared" si="101"/>
        <v>235</v>
      </c>
      <c r="K275" s="26">
        <f t="shared" si="101"/>
        <v>262</v>
      </c>
      <c r="L275" s="27">
        <f t="shared" si="101"/>
        <v>273</v>
      </c>
      <c r="M275" s="28">
        <f t="shared" si="102"/>
        <v>2112</v>
      </c>
      <c r="O275" s="19">
        <f>IF(L275="",1,0)</f>
        <v>0</v>
      </c>
    </row>
    <row r="276" spans="2:17" ht="12.9" customHeight="1" x14ac:dyDescent="0.25">
      <c r="B276" s="21">
        <v>44468</v>
      </c>
      <c r="C276" s="39">
        <v>16415695</v>
      </c>
      <c r="D276" s="22">
        <v>5618340</v>
      </c>
      <c r="E276" s="23">
        <v>296523</v>
      </c>
      <c r="F276" s="24">
        <v>29234</v>
      </c>
      <c r="G276" s="25">
        <v>365433</v>
      </c>
      <c r="H276" s="26">
        <f t="shared" si="101"/>
        <v>0</v>
      </c>
      <c r="I276" s="26">
        <f t="shared" si="101"/>
        <v>1531</v>
      </c>
      <c r="J276" s="26">
        <f t="shared" si="101"/>
        <v>229</v>
      </c>
      <c r="K276" s="26">
        <f t="shared" si="101"/>
        <v>244</v>
      </c>
      <c r="L276" s="27">
        <f t="shared" si="101"/>
        <v>310</v>
      </c>
      <c r="M276" s="28">
        <f t="shared" si="102"/>
        <v>2004</v>
      </c>
      <c r="O276" s="19">
        <f>IF(L276="",1,0)</f>
        <v>0</v>
      </c>
    </row>
    <row r="277" spans="2:17" ht="12.9" customHeight="1" x14ac:dyDescent="0.25">
      <c r="B277" s="21">
        <v>44469</v>
      </c>
      <c r="C277" s="172">
        <v>16415695</v>
      </c>
      <c r="D277" s="32">
        <v>5619762</v>
      </c>
      <c r="E277" s="32">
        <v>296715</v>
      </c>
      <c r="F277" s="32">
        <v>29496</v>
      </c>
      <c r="G277" s="32">
        <v>365764</v>
      </c>
      <c r="H277" s="33">
        <f t="shared" si="101"/>
        <v>0</v>
      </c>
      <c r="I277" s="37">
        <f t="shared" si="101"/>
        <v>1422</v>
      </c>
      <c r="J277" s="33">
        <f t="shared" si="101"/>
        <v>192</v>
      </c>
      <c r="K277" s="33">
        <f t="shared" si="101"/>
        <v>262</v>
      </c>
      <c r="L277" s="34">
        <f t="shared" si="101"/>
        <v>331</v>
      </c>
      <c r="M277" s="33">
        <f t="shared" si="102"/>
        <v>1876</v>
      </c>
      <c r="Q277" s="19">
        <f t="shared" si="98"/>
        <v>0</v>
      </c>
    </row>
    <row r="278" spans="2:17" ht="12.9" customHeight="1" x14ac:dyDescent="0.25">
      <c r="B278" s="21">
        <v>44470</v>
      </c>
      <c r="C278" s="39">
        <v>16415695</v>
      </c>
      <c r="D278" s="22">
        <v>5621116</v>
      </c>
      <c r="E278" s="23">
        <v>296922</v>
      </c>
      <c r="F278" s="24">
        <v>29764</v>
      </c>
      <c r="G278" s="25">
        <v>366047</v>
      </c>
      <c r="H278" s="26">
        <f>IF(C278="","",+(C278-C277))</f>
        <v>0</v>
      </c>
      <c r="I278" s="26">
        <f t="shared" si="101"/>
        <v>1354</v>
      </c>
      <c r="J278" s="26">
        <f t="shared" si="101"/>
        <v>207</v>
      </c>
      <c r="K278" s="26">
        <f t="shared" si="101"/>
        <v>268</v>
      </c>
      <c r="L278" s="27">
        <f t="shared" si="101"/>
        <v>283</v>
      </c>
      <c r="M278" s="28">
        <f t="shared" si="102"/>
        <v>1829</v>
      </c>
      <c r="Q278" s="19">
        <f t="shared" si="98"/>
        <v>0</v>
      </c>
    </row>
    <row r="279" spans="2:17" ht="12.9" customHeight="1" x14ac:dyDescent="0.25">
      <c r="B279" s="21">
        <v>44471</v>
      </c>
      <c r="C279" s="39">
        <v>16415695</v>
      </c>
      <c r="D279" s="22">
        <v>5622902</v>
      </c>
      <c r="E279" s="23">
        <v>297187</v>
      </c>
      <c r="F279" s="24">
        <v>30033</v>
      </c>
      <c r="G279" s="25">
        <v>366382</v>
      </c>
      <c r="H279" s="26">
        <f t="shared" si="101"/>
        <v>0</v>
      </c>
      <c r="I279" s="26">
        <f t="shared" si="101"/>
        <v>1786</v>
      </c>
      <c r="J279" s="26">
        <f t="shared" si="101"/>
        <v>265</v>
      </c>
      <c r="K279" s="26">
        <f t="shared" si="101"/>
        <v>269</v>
      </c>
      <c r="L279" s="27">
        <f t="shared" si="101"/>
        <v>335</v>
      </c>
      <c r="M279" s="28">
        <f t="shared" si="102"/>
        <v>2320</v>
      </c>
      <c r="Q279" s="19">
        <f t="shared" si="98"/>
        <v>0</v>
      </c>
    </row>
    <row r="280" spans="2:17" ht="12.9" customHeight="1" x14ac:dyDescent="0.25">
      <c r="B280" s="21">
        <v>44472</v>
      </c>
      <c r="C280" s="39">
        <v>16415695</v>
      </c>
      <c r="D280" s="22">
        <v>5624643</v>
      </c>
      <c r="E280" s="23">
        <v>297381</v>
      </c>
      <c r="F280" s="24">
        <v>30287</v>
      </c>
      <c r="G280" s="25">
        <v>366633</v>
      </c>
      <c r="H280" s="26">
        <f t="shared" si="101"/>
        <v>0</v>
      </c>
      <c r="I280" s="26">
        <f t="shared" si="101"/>
        <v>1741</v>
      </c>
      <c r="J280" s="26">
        <f t="shared" si="101"/>
        <v>194</v>
      </c>
      <c r="K280" s="26">
        <f t="shared" si="101"/>
        <v>254</v>
      </c>
      <c r="L280" s="27">
        <f t="shared" si="101"/>
        <v>251</v>
      </c>
      <c r="M280" s="28">
        <f t="shared" si="102"/>
        <v>2189</v>
      </c>
      <c r="Q280" s="19">
        <f t="shared" ref="Q280:Q343" si="104">IF(L280="",1,0)</f>
        <v>0</v>
      </c>
    </row>
    <row r="281" spans="2:17" ht="12.9" customHeight="1" x14ac:dyDescent="0.25">
      <c r="B281" s="21">
        <v>44473</v>
      </c>
      <c r="C281" s="39">
        <v>16415727</v>
      </c>
      <c r="D281" s="22">
        <v>5626591</v>
      </c>
      <c r="E281" s="23">
        <v>297594</v>
      </c>
      <c r="F281" s="24">
        <v>30555</v>
      </c>
      <c r="G281" s="25">
        <v>366910</v>
      </c>
      <c r="H281" s="26">
        <f t="shared" si="101"/>
        <v>32</v>
      </c>
      <c r="I281" s="26">
        <f t="shared" si="101"/>
        <v>1948</v>
      </c>
      <c r="J281" s="26">
        <f t="shared" si="101"/>
        <v>213</v>
      </c>
      <c r="K281" s="26">
        <f t="shared" si="101"/>
        <v>268</v>
      </c>
      <c r="L281" s="27">
        <f t="shared" si="101"/>
        <v>277</v>
      </c>
      <c r="M281" s="28">
        <f t="shared" si="102"/>
        <v>2461</v>
      </c>
      <c r="Q281" s="19">
        <f t="shared" si="104"/>
        <v>0</v>
      </c>
    </row>
    <row r="282" spans="2:17" ht="12.9" customHeight="1" x14ac:dyDescent="0.25">
      <c r="B282" s="21">
        <v>44474</v>
      </c>
      <c r="C282" s="39">
        <v>16415727</v>
      </c>
      <c r="D282" s="22">
        <v>5628993</v>
      </c>
      <c r="E282" s="23">
        <v>297791</v>
      </c>
      <c r="F282" s="24">
        <v>30805</v>
      </c>
      <c r="G282" s="25">
        <v>367153</v>
      </c>
      <c r="H282" s="26">
        <f t="shared" si="101"/>
        <v>0</v>
      </c>
      <c r="I282" s="26">
        <f t="shared" si="101"/>
        <v>2402</v>
      </c>
      <c r="J282" s="26">
        <f t="shared" si="101"/>
        <v>197</v>
      </c>
      <c r="K282" s="26">
        <f t="shared" si="101"/>
        <v>250</v>
      </c>
      <c r="L282" s="27">
        <f t="shared" si="101"/>
        <v>243</v>
      </c>
      <c r="M282" s="28">
        <f t="shared" si="102"/>
        <v>2849</v>
      </c>
      <c r="Q282" s="19">
        <f t="shared" si="104"/>
        <v>0</v>
      </c>
    </row>
    <row r="283" spans="2:17" ht="12.9" customHeight="1" x14ac:dyDescent="0.25">
      <c r="B283" s="21">
        <v>44475</v>
      </c>
      <c r="C283" s="39">
        <v>16415727</v>
      </c>
      <c r="D283" s="22">
        <v>5630097</v>
      </c>
      <c r="E283" s="23">
        <v>297991</v>
      </c>
      <c r="F283" s="24">
        <v>31075</v>
      </c>
      <c r="G283" s="25">
        <v>367443</v>
      </c>
      <c r="H283" s="26">
        <f>IF(C283="","",+(C283-C282))</f>
        <v>0</v>
      </c>
      <c r="I283" s="26">
        <f t="shared" si="101"/>
        <v>1104</v>
      </c>
      <c r="J283" s="26">
        <f t="shared" si="101"/>
        <v>200</v>
      </c>
      <c r="K283" s="26">
        <f t="shared" si="101"/>
        <v>270</v>
      </c>
      <c r="L283" s="27">
        <f t="shared" si="101"/>
        <v>290</v>
      </c>
      <c r="M283" s="28">
        <f t="shared" si="102"/>
        <v>1574</v>
      </c>
      <c r="Q283" s="19">
        <f t="shared" si="104"/>
        <v>0</v>
      </c>
    </row>
    <row r="284" spans="2:17" ht="12.9" customHeight="1" x14ac:dyDescent="0.25">
      <c r="B284" s="21">
        <v>44476</v>
      </c>
      <c r="C284" s="39">
        <v>16415727</v>
      </c>
      <c r="D284" s="22">
        <v>5631950</v>
      </c>
      <c r="E284" s="23">
        <v>298231</v>
      </c>
      <c r="F284" s="24">
        <v>31338</v>
      </c>
      <c r="G284" s="25">
        <v>367728</v>
      </c>
      <c r="H284" s="26">
        <f t="shared" si="101"/>
        <v>0</v>
      </c>
      <c r="I284" s="26">
        <f t="shared" si="101"/>
        <v>1853</v>
      </c>
      <c r="J284" s="26">
        <f t="shared" si="101"/>
        <v>240</v>
      </c>
      <c r="K284" s="26">
        <f t="shared" si="101"/>
        <v>263</v>
      </c>
      <c r="L284" s="27">
        <f t="shared" si="101"/>
        <v>285</v>
      </c>
      <c r="M284" s="28">
        <f t="shared" si="102"/>
        <v>2356</v>
      </c>
      <c r="Q284" s="19">
        <f t="shared" si="104"/>
        <v>0</v>
      </c>
    </row>
    <row r="285" spans="2:17" ht="12.9" customHeight="1" x14ac:dyDescent="0.25">
      <c r="B285" s="21">
        <v>44477</v>
      </c>
      <c r="C285" s="39">
        <v>16415727</v>
      </c>
      <c r="D285" s="22">
        <v>5633711</v>
      </c>
      <c r="E285" s="23">
        <v>298426</v>
      </c>
      <c r="F285" s="24">
        <v>31603</v>
      </c>
      <c r="G285" s="25">
        <v>367980</v>
      </c>
      <c r="H285" s="26">
        <f t="shared" si="101"/>
        <v>0</v>
      </c>
      <c r="I285" s="26">
        <f t="shared" si="101"/>
        <v>1761</v>
      </c>
      <c r="J285" s="26">
        <f t="shared" si="101"/>
        <v>195</v>
      </c>
      <c r="K285" s="26">
        <f t="shared" si="101"/>
        <v>265</v>
      </c>
      <c r="L285" s="27">
        <f t="shared" si="101"/>
        <v>252</v>
      </c>
      <c r="M285" s="28">
        <f t="shared" si="102"/>
        <v>2221</v>
      </c>
      <c r="Q285" s="19">
        <f t="shared" si="104"/>
        <v>0</v>
      </c>
    </row>
    <row r="286" spans="2:17" ht="12.9" customHeight="1" x14ac:dyDescent="0.25">
      <c r="B286" s="21">
        <v>44478</v>
      </c>
      <c r="C286" s="39">
        <v>16415727</v>
      </c>
      <c r="D286" s="22">
        <v>5635431</v>
      </c>
      <c r="E286" s="23">
        <v>298640</v>
      </c>
      <c r="F286" s="24">
        <v>31850</v>
      </c>
      <c r="G286" s="25">
        <v>368234</v>
      </c>
      <c r="H286" s="26">
        <f t="shared" si="101"/>
        <v>0</v>
      </c>
      <c r="I286" s="26">
        <f t="shared" si="101"/>
        <v>1720</v>
      </c>
      <c r="J286" s="26">
        <f t="shared" si="101"/>
        <v>214</v>
      </c>
      <c r="K286" s="26">
        <f t="shared" si="101"/>
        <v>247</v>
      </c>
      <c r="L286" s="27">
        <f t="shared" si="101"/>
        <v>254</v>
      </c>
      <c r="M286" s="28">
        <f t="shared" si="102"/>
        <v>2181</v>
      </c>
      <c r="Q286" s="19">
        <f t="shared" si="104"/>
        <v>0</v>
      </c>
    </row>
    <row r="287" spans="2:17" ht="12.9" customHeight="1" x14ac:dyDescent="0.25">
      <c r="B287" s="21">
        <v>44479</v>
      </c>
      <c r="C287" s="39">
        <v>16415727</v>
      </c>
      <c r="D287" s="22">
        <v>5636991</v>
      </c>
      <c r="E287" s="23">
        <v>298828</v>
      </c>
      <c r="F287" s="24">
        <v>32097</v>
      </c>
      <c r="G287" s="25">
        <v>368525</v>
      </c>
      <c r="H287" s="26">
        <f t="shared" si="101"/>
        <v>0</v>
      </c>
      <c r="I287" s="26">
        <f t="shared" si="101"/>
        <v>1560</v>
      </c>
      <c r="J287" s="26">
        <f t="shared" si="101"/>
        <v>188</v>
      </c>
      <c r="K287" s="26">
        <f t="shared" si="101"/>
        <v>247</v>
      </c>
      <c r="L287" s="27">
        <f t="shared" si="101"/>
        <v>291</v>
      </c>
      <c r="M287" s="28">
        <f t="shared" si="102"/>
        <v>1995</v>
      </c>
      <c r="Q287" s="19">
        <f t="shared" si="104"/>
        <v>0</v>
      </c>
    </row>
    <row r="288" spans="2:17" ht="12.9" customHeight="1" x14ac:dyDescent="0.25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4"/>
        <v>1</v>
      </c>
    </row>
    <row r="289" spans="2:17" ht="12.9" customHeight="1" x14ac:dyDescent="0.25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4"/>
        <v>1</v>
      </c>
    </row>
    <row r="290" spans="2:17" ht="12.9" customHeight="1" x14ac:dyDescent="0.25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4"/>
        <v>1</v>
      </c>
    </row>
    <row r="291" spans="2:17" ht="12.9" customHeight="1" x14ac:dyDescent="0.25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4"/>
        <v>1</v>
      </c>
    </row>
    <row r="292" spans="2:17" ht="12.9" customHeight="1" x14ac:dyDescent="0.25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4"/>
        <v>1</v>
      </c>
    </row>
    <row r="293" spans="2:17" ht="12.9" customHeight="1" x14ac:dyDescent="0.25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4"/>
        <v>1</v>
      </c>
    </row>
    <row r="294" spans="2:17" ht="12.9" customHeight="1" x14ac:dyDescent="0.25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4"/>
        <v>1</v>
      </c>
    </row>
    <row r="295" spans="2:17" ht="12.9" customHeight="1" x14ac:dyDescent="0.25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4"/>
        <v>1</v>
      </c>
    </row>
    <row r="296" spans="2:17" ht="12.9" customHeight="1" x14ac:dyDescent="0.25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4"/>
        <v>1</v>
      </c>
    </row>
    <row r="297" spans="2:17" ht="12.9" customHeight="1" thickBot="1" x14ac:dyDescent="0.3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4"/>
        <v>1</v>
      </c>
    </row>
    <row r="298" spans="2:17" ht="12.9" customHeight="1" x14ac:dyDescent="0.25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7" t="s">
        <v>66</v>
      </c>
      <c r="O298" s="187" t="s">
        <v>67</v>
      </c>
      <c r="Q298" s="19">
        <f t="shared" si="104"/>
        <v>1</v>
      </c>
    </row>
    <row r="299" spans="2:17" ht="12.9" customHeight="1" x14ac:dyDescent="0.25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8"/>
      <c r="O299" s="188"/>
      <c r="Q299" s="19">
        <f t="shared" si="104"/>
        <v>1</v>
      </c>
    </row>
    <row r="300" spans="2:17" ht="12.9" customHeight="1" thickBot="1" x14ac:dyDescent="0.3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9"/>
      <c r="O300" s="189"/>
      <c r="Q300" s="19">
        <f t="shared" si="104"/>
        <v>1</v>
      </c>
    </row>
    <row r="301" spans="2:17" ht="12.9" customHeight="1" thickBot="1" x14ac:dyDescent="0.3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2761</v>
      </c>
      <c r="O301" s="30">
        <f>SUM(M278:M308)</f>
        <v>21975</v>
      </c>
      <c r="Q301" s="19">
        <f t="shared" si="104"/>
        <v>1</v>
      </c>
    </row>
    <row r="302" spans="2:17" ht="12.9" customHeight="1" x14ac:dyDescent="0.25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7" t="s">
        <v>68</v>
      </c>
      <c r="O302" s="187" t="s">
        <v>69</v>
      </c>
      <c r="Q302" s="19">
        <f t="shared" si="104"/>
        <v>1</v>
      </c>
    </row>
    <row r="303" spans="2:17" ht="12.9" customHeight="1" thickBot="1" x14ac:dyDescent="0.3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9"/>
      <c r="O303" s="189"/>
      <c r="Q303" s="19">
        <f t="shared" si="104"/>
        <v>1</v>
      </c>
    </row>
    <row r="304" spans="2:17" ht="12.9" customHeight="1" thickBot="1" x14ac:dyDescent="0.3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>
        <f>AVERAGE(L278:L308)</f>
        <v>276.10000000000002</v>
      </c>
      <c r="O304" s="30">
        <f>AVERAGE(M278:M308)</f>
        <v>2197.5</v>
      </c>
      <c r="Q304" s="19">
        <f t="shared" si="104"/>
        <v>1</v>
      </c>
    </row>
    <row r="305" spans="1:17" ht="12.9" customHeight="1" x14ac:dyDescent="0.25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" customHeight="1" x14ac:dyDescent="0.25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" customHeight="1" x14ac:dyDescent="0.25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" customHeight="1" x14ac:dyDescent="0.25">
      <c r="B308" s="21">
        <v>44500</v>
      </c>
      <c r="C308" s="32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" customHeight="1" x14ac:dyDescent="0.25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" customHeight="1" x14ac:dyDescent="0.25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" customHeight="1" x14ac:dyDescent="0.25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" customHeight="1" x14ac:dyDescent="0.25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" customHeight="1" x14ac:dyDescent="0.25">
      <c r="A313" s="8" t="s">
        <v>74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" customHeight="1" x14ac:dyDescent="0.25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" customHeight="1" x14ac:dyDescent="0.25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" customHeight="1" x14ac:dyDescent="0.25">
      <c r="B316" s="21">
        <v>44508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" customHeight="1" x14ac:dyDescent="0.25">
      <c r="B317" s="21">
        <v>44509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" customHeight="1" x14ac:dyDescent="0.25">
      <c r="B318" s="21">
        <v>44510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" customHeight="1" x14ac:dyDescent="0.25">
      <c r="B319" s="21">
        <v>44511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" customHeight="1" x14ac:dyDescent="0.25">
      <c r="B320" s="21">
        <v>44512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" customHeight="1" x14ac:dyDescent="0.25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" customHeight="1" x14ac:dyDescent="0.25">
      <c r="B322" s="21">
        <v>44514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" customHeight="1" x14ac:dyDescent="0.25">
      <c r="B323" s="21">
        <v>44515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" customHeight="1" x14ac:dyDescent="0.25">
      <c r="A324" s="8" t="s">
        <v>75</v>
      </c>
      <c r="B324" s="21">
        <v>44516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" customHeight="1" x14ac:dyDescent="0.25">
      <c r="B325" s="21">
        <v>44517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" customHeight="1" x14ac:dyDescent="0.25">
      <c r="B326" s="21">
        <v>44518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8" si="106">IF(H326="","",+(H326+I326+J326+K326))</f>
        <v/>
      </c>
      <c r="Q326" s="19">
        <f t="shared" si="104"/>
        <v>1</v>
      </c>
    </row>
    <row r="327" spans="1:17" ht="12.9" customHeight="1" thickBot="1" x14ac:dyDescent="0.3">
      <c r="B327" s="21">
        <v>44519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" customHeight="1" x14ac:dyDescent="0.25">
      <c r="B328" s="21">
        <v>44520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7" t="s">
        <v>66</v>
      </c>
      <c r="O328" s="187" t="s">
        <v>67</v>
      </c>
      <c r="Q328" s="19">
        <f t="shared" si="104"/>
        <v>1</v>
      </c>
    </row>
    <row r="329" spans="1:17" ht="12.9" customHeight="1" x14ac:dyDescent="0.25">
      <c r="B329" s="21">
        <v>44521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8"/>
      <c r="O329" s="188"/>
      <c r="Q329" s="19">
        <f t="shared" si="104"/>
        <v>1</v>
      </c>
    </row>
    <row r="330" spans="1:17" ht="12.9" customHeight="1" thickBot="1" x14ac:dyDescent="0.3">
      <c r="B330" s="21">
        <v>44522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9"/>
      <c r="O330" s="189"/>
      <c r="Q330" s="19">
        <f t="shared" si="104"/>
        <v>1</v>
      </c>
    </row>
    <row r="331" spans="1:17" ht="12.9" customHeight="1" thickBot="1" x14ac:dyDescent="0.3">
      <c r="B331" s="21">
        <v>44523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" customHeight="1" x14ac:dyDescent="0.25">
      <c r="B332" s="21">
        <v>44524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7" t="s">
        <v>68</v>
      </c>
      <c r="O332" s="187" t="s">
        <v>69</v>
      </c>
      <c r="Q332" s="19">
        <f t="shared" si="104"/>
        <v>1</v>
      </c>
    </row>
    <row r="333" spans="1:17" ht="12.9" customHeight="1" thickBot="1" x14ac:dyDescent="0.3">
      <c r="B333" s="21">
        <v>44525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9"/>
      <c r="O333" s="189"/>
      <c r="Q333" s="19">
        <f t="shared" si="104"/>
        <v>1</v>
      </c>
    </row>
    <row r="334" spans="1:17" ht="12.9" customHeight="1" thickBot="1" x14ac:dyDescent="0.3">
      <c r="B334" s="21">
        <v>44526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" customHeight="1" x14ac:dyDescent="0.25">
      <c r="B335" s="21">
        <v>44527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" customHeight="1" x14ac:dyDescent="0.25">
      <c r="B336" s="21">
        <v>44528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7" ht="12.9" customHeight="1" x14ac:dyDescent="0.25">
      <c r="B337" s="21">
        <v>44529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7" ht="12.9" customHeight="1" x14ac:dyDescent="0.25">
      <c r="B338" s="21">
        <v>44530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7" ht="12.9" customHeight="1" x14ac:dyDescent="0.25">
      <c r="B339" s="21">
        <v>44531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7" ht="12.9" customHeight="1" x14ac:dyDescent="0.25">
      <c r="B340" s="21">
        <v>44532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7" ht="12.9" customHeight="1" x14ac:dyDescent="0.25">
      <c r="B341" s="21">
        <v>44533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7" ht="12.9" customHeight="1" x14ac:dyDescent="0.25">
      <c r="B342" s="21">
        <v>44534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7" ht="12.9" customHeight="1" x14ac:dyDescent="0.25">
      <c r="B343" s="21">
        <v>44535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7" ht="12.9" customHeight="1" x14ac:dyDescent="0.25">
      <c r="B344" s="21">
        <v>44536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7" ht="12.9" customHeight="1" x14ac:dyDescent="0.25">
      <c r="B345" s="21">
        <v>44537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7" ht="12.9" customHeight="1" x14ac:dyDescent="0.25">
      <c r="B346" s="21">
        <v>44538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7" ht="12.9" customHeight="1" x14ac:dyDescent="0.25">
      <c r="B347" s="21">
        <v>44539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7" ht="12.9" customHeight="1" x14ac:dyDescent="0.25">
      <c r="B348" s="21">
        <v>44540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7" ht="12.9" customHeight="1" x14ac:dyDescent="0.25">
      <c r="B349" s="21">
        <v>44541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</row>
    <row r="350" spans="2:17" ht="12.9" customHeight="1" x14ac:dyDescent="0.25">
      <c r="B350" s="21">
        <v>44542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7" ht="12.9" customHeight="1" x14ac:dyDescent="0.25">
      <c r="B351" s="21">
        <v>44543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7" ht="12.9" customHeight="1" x14ac:dyDescent="0.25">
      <c r="B352" s="21">
        <v>44544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" customHeight="1" x14ac:dyDescent="0.25">
      <c r="B353" s="21">
        <v>44545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" customHeight="1" x14ac:dyDescent="0.25">
      <c r="B354" s="21">
        <v>44546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" customHeight="1" x14ac:dyDescent="0.25">
      <c r="B355" s="21">
        <v>44547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" customHeight="1" x14ac:dyDescent="0.25">
      <c r="B356" s="21">
        <v>44548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" customHeight="1" x14ac:dyDescent="0.25">
      <c r="B357" s="21">
        <v>44549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" customHeight="1" thickBot="1" x14ac:dyDescent="0.3">
      <c r="B358" s="21">
        <v>44550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" customHeight="1" x14ac:dyDescent="0.25">
      <c r="B359" s="21">
        <v>44551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7" t="s">
        <v>66</v>
      </c>
      <c r="O359" s="187" t="s">
        <v>67</v>
      </c>
      <c r="Q359" s="19">
        <f t="shared" si="108"/>
        <v>1</v>
      </c>
    </row>
    <row r="360" spans="2:17" ht="12.9" customHeight="1" x14ac:dyDescent="0.25">
      <c r="B360" s="21">
        <v>44552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8"/>
      <c r="O360" s="188"/>
      <c r="Q360" s="19">
        <f t="shared" si="108"/>
        <v>1</v>
      </c>
    </row>
    <row r="361" spans="2:17" ht="12.9" customHeight="1" thickBot="1" x14ac:dyDescent="0.3">
      <c r="B361" s="21">
        <v>44553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9"/>
      <c r="O361" s="189"/>
      <c r="Q361" s="19">
        <f t="shared" si="108"/>
        <v>1</v>
      </c>
    </row>
    <row r="362" spans="2:17" ht="12.9" customHeight="1" thickBot="1" x14ac:dyDescent="0.3">
      <c r="B362" s="21">
        <v>44554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" customHeight="1" x14ac:dyDescent="0.25">
      <c r="B363" s="21">
        <v>44555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7" t="s">
        <v>68</v>
      </c>
      <c r="O363" s="187" t="s">
        <v>69</v>
      </c>
      <c r="Q363" s="19">
        <f t="shared" si="108"/>
        <v>1</v>
      </c>
    </row>
    <row r="364" spans="2:17" ht="12.9" customHeight="1" thickBot="1" x14ac:dyDescent="0.3">
      <c r="B364" s="21">
        <v>44556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9"/>
      <c r="O364" s="189"/>
      <c r="Q364" s="19">
        <f t="shared" si="108"/>
        <v>1</v>
      </c>
    </row>
    <row r="365" spans="2:17" ht="12.9" customHeight="1" thickBot="1" x14ac:dyDescent="0.3">
      <c r="B365" s="21">
        <v>44557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" customHeight="1" x14ac:dyDescent="0.25">
      <c r="B366" s="21">
        <v>44558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" customHeight="1" x14ac:dyDescent="0.25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" customHeight="1" x14ac:dyDescent="0.25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" customHeight="1" x14ac:dyDescent="0.25">
      <c r="B369" s="21">
        <v>44561</v>
      </c>
      <c r="C369" s="172"/>
      <c r="D369" s="179"/>
      <c r="E369" s="179"/>
      <c r="F369" s="179"/>
      <c r="G369" s="179"/>
      <c r="H369" s="174"/>
      <c r="I369" s="174"/>
      <c r="J369" s="174"/>
      <c r="K369" s="174"/>
      <c r="L369" s="175"/>
      <c r="M369" s="176"/>
      <c r="Q369" s="19">
        <f t="shared" si="108"/>
        <v>1</v>
      </c>
    </row>
    <row r="391" ht="12.75" customHeight="1" x14ac:dyDescent="0.3"/>
    <row r="395" ht="12.75" customHeight="1" x14ac:dyDescent="0.3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6A291-D7F4-414F-BBBF-0EF57D90586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Joe Khoury</cp:lastModifiedBy>
  <cp:revision/>
  <dcterms:created xsi:type="dcterms:W3CDTF">2021-02-26T04:38:42Z</dcterms:created>
  <dcterms:modified xsi:type="dcterms:W3CDTF">2022-10-11T08:53:44Z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