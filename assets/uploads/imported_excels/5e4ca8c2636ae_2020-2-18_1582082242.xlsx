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230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<sst xmlns="http://schemas.openxmlformats.org/spreadsheetml/2006/main" count="296" uniqueCount="138">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</sst>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 t="e">
        <f>Submetering!E20+Submetering!F20+Submetering!G20+Submetering!H20-Submetering!AV20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 t="str">
        <f>'FS Desroches Daily'!D22</f>
        <v>0</v>
      </c>
      <c r="F20" s="36" t="str">
        <f>'FS Desroches Daily'!F22</f>
        <v>0</v>
      </c>
      <c r="G20" s="35" t="str">
        <f>'FS Desroches Daily'!H22</f>
        <v>0</v>
      </c>
      <c r="H20" s="36" t="str">
        <f>'FS Desroches Daily'!J22</f>
        <v>0</v>
      </c>
      <c r="I20" s="35" t="str">
        <f>'FS Desroches Daily'!L22</f>
        <v>0</v>
      </c>
      <c r="J20" s="36" t="str">
        <f>'FS Desroches Daily'!N22</f>
        <v/>
      </c>
      <c r="K20" s="13" t="str">
        <f>'FS Desroches Daily'!P22</f>
        <v/>
      </c>
      <c r="L20" s="35" t="str">
        <f>'FS Desroches Daily'!R22</f>
        <v/>
      </c>
      <c r="M20" s="35" t="str">
        <f>'FS Desroches Daily'!T22</f>
        <v/>
      </c>
      <c r="N20" s="35" t="str">
        <f>'FS Desroches Daily'!V22</f>
        <v/>
      </c>
      <c r="O20" s="35" t="str">
        <f>'FS Desroches Daily'!X22</f>
        <v/>
      </c>
      <c r="P20" s="35" t="str">
        <f>'FS Desroches Daily'!Z22</f>
        <v/>
      </c>
      <c r="Q20" s="35" t="str">
        <f>'FS Desroches Daily'!AB22</f>
        <v/>
      </c>
      <c r="R20" s="35" t="str">
        <f>'FS Desroches Daily'!AD22</f>
        <v/>
      </c>
      <c r="S20" s="35" t="str">
        <f>'FS Desroches Daily'!AF22</f>
        <v/>
      </c>
      <c r="T20" s="35" t="str">
        <f>'FS Desroches Daily'!AH22</f>
        <v/>
      </c>
      <c r="U20" s="39" t="str">
        <f>'FS Desroches Daily'!AJ22</f>
        <v/>
      </c>
      <c r="V20" s="39" t="str">
        <f>'FS Desroches Daily'!AL22</f>
        <v/>
      </c>
      <c r="W20" s="39" t="str">
        <f>'FS Desroches Daily'!AN22</f>
        <v/>
      </c>
      <c r="X20" s="39" t="str">
        <f>'FS Desroches Daily'!AP22</f>
        <v/>
      </c>
      <c r="Y20" s="39" t="str">
        <f>'FS Desroches Daily'!AR22</f>
        <v/>
      </c>
      <c r="Z20" s="39" t="str">
        <f>'FS Desroches Daily'!AT22</f>
        <v/>
      </c>
      <c r="AA20" s="39" t="str">
        <f>'FS Desroches Daily'!AT22</f>
        <v/>
      </c>
      <c r="AB20" s="39" t="str">
        <f>'FS Desroches Daily'!AV22</f>
        <v/>
      </c>
      <c r="AC20" s="39" t="str">
        <f>'FS Desroches Daily'!AZ22</f>
        <v/>
      </c>
      <c r="AD20" s="39" t="str">
        <f>'FS Desroches Daily'!BB22</f>
        <v/>
      </c>
      <c r="AE20" s="39" t="str">
        <f>'FS Desroches Daily'!BD22</f>
        <v/>
      </c>
      <c r="AF20" s="35" t="str">
        <f>'FS Desroches Daily'!BF22</f>
        <v/>
      </c>
      <c r="AG20" s="36" t="str">
        <f>'FS Desroches Daily'!BH22</f>
        <v/>
      </c>
      <c r="AH20" s="36" t="str">
        <f>'FS Desroches Daily'!BJ22</f>
        <v/>
      </c>
      <c r="AI20" s="36" t="str">
        <f>'FS Desroches Daily'!BL22</f>
        <v/>
      </c>
      <c r="AJ20" s="36" t="str">
        <f>'FS Desroches Daily'!BN22</f>
        <v/>
      </c>
      <c r="AK20" s="36" t="str">
        <f>'FS Desroches Daily'!BP22</f>
        <v/>
      </c>
      <c r="AL20" s="36" t="str">
        <f>'FS Desroches Daily'!BR22</f>
        <v/>
      </c>
      <c r="AM20" s="36" t="str">
        <f>'FS Desroches Daily'!BT22</f>
        <v/>
      </c>
      <c r="AN20" s="36" t="str">
        <f>'FS Desroches Daily'!BV22</f>
        <v/>
      </c>
      <c r="AO20" s="36" t="str">
        <f>'FS Desroches Daily'!BX22</f>
        <v/>
      </c>
      <c r="AP20" s="36" t="str">
        <f>'FS Desroches Daily'!BZ22</f>
        <v/>
      </c>
      <c r="AQ20" s="35" t="str">
        <f>'FS Desroches Daily'!CB22</f>
        <v/>
      </c>
      <c r="AR20" s="35" t="str">
        <f>'FS Desroches Daily'!CD22</f>
        <v/>
      </c>
      <c r="AS20" s="35" t="str">
        <f>'FS Desroches Daily'!CF22</f>
        <v/>
      </c>
      <c r="AT20" s="35" t="str">
        <f>'FS Desroches Daily'!CH22</f>
        <v/>
      </c>
      <c r="AU20" s="35" t="str">
        <f>'FS Desroches Daily'!CJ22</f>
        <v/>
      </c>
      <c r="AV20" s="35" t="str">
        <f>'FS Desroches Daily'!CL22</f>
        <v/>
      </c>
      <c r="AW20" s="35">
        <f>'FS Desroches Daily'!CM22</f>
        <v>0</v>
      </c>
      <c r="AX20" s="35" t="str">
        <f>IF(LPG!F27-LPG!F26&lt;0,"0",(LPG!F27-LPG!F26)*1.8315)</f>
        <v>0</v>
      </c>
      <c r="AY20" s="35" t="str">
        <f>IF(LPG!H27-LPG!H26&lt;0,"0",(LPG!H27-LPG!H26)*1.8315)</f>
        <v>0</v>
      </c>
      <c r="AZ20" s="35" t="str">
        <f>IF(LPG!J27-LPG!J26&lt;0,"0",(LPG!J27-LPG!J26)*1.8315)</f>
        <v>0</v>
      </c>
      <c r="BA20" s="35" t="str">
        <f>IF(LPG!M27-LPG!M26&lt;0,"0",(LPG!M27-LPG!M26)*1.8315)</f>
        <v>0</v>
      </c>
      <c r="BB20" s="35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47300.000000000116</v>
      </c>
      <c r="F33" s="17">
        <f t="shared" ref="F33:BC33" si="1">SUM(F2:F32)</f>
        <v>67400.000000000131</v>
      </c>
      <c r="G33" s="17">
        <f t="shared" si="1"/>
        <v>57799.999999999862</v>
      </c>
      <c r="H33" s="17">
        <f t="shared" si="1"/>
        <v>28299.999999999996</v>
      </c>
      <c r="I33" s="17">
        <f t="shared" si="1"/>
        <v>39700.000000000073</v>
      </c>
      <c r="J33" s="17">
        <f t="shared" si="1"/>
        <v>34900.000000000153</v>
      </c>
      <c r="K33" s="17">
        <f t="shared" si="1"/>
        <v>336</v>
      </c>
      <c r="L33" s="17">
        <f t="shared" si="1"/>
        <v>148</v>
      </c>
      <c r="M33" s="17">
        <f t="shared" si="1"/>
        <v>22119</v>
      </c>
      <c r="N33" s="17">
        <f t="shared" si="1"/>
        <v>8490</v>
      </c>
      <c r="O33" s="17">
        <f t="shared" si="1"/>
        <v>7850.0000000000255</v>
      </c>
      <c r="P33" s="17">
        <f t="shared" si="1"/>
        <v>60099.99999999984</v>
      </c>
      <c r="Q33" s="17">
        <f t="shared" si="1"/>
        <v>9000</v>
      </c>
      <c r="R33" s="17">
        <f t="shared" si="1"/>
        <v>7979.9999999999618</v>
      </c>
      <c r="S33" s="17">
        <f t="shared" si="1"/>
        <v>15909.999999999967</v>
      </c>
      <c r="T33" s="17">
        <f t="shared" si="1"/>
        <v>33.600000000000136</v>
      </c>
      <c r="U33" s="39">
        <f t="shared" si="1"/>
        <v>8699.9999999999891</v>
      </c>
      <c r="V33" s="39">
        <f t="shared" si="1"/>
        <v>4.519999999999996</v>
      </c>
      <c r="W33" s="39">
        <f t="shared" si="1"/>
        <v>4.0099999999999909</v>
      </c>
      <c r="X33" s="39">
        <f t="shared" si="1"/>
        <v>3.5100000000000051</v>
      </c>
      <c r="Y33" s="39">
        <f t="shared" si="1"/>
        <v>3319.9999999999927</v>
      </c>
      <c r="Z33" s="39">
        <f t="shared" si="1"/>
        <v>4392.5800000000436</v>
      </c>
      <c r="AA33" s="39">
        <f t="shared" si="1"/>
        <v>4392.5800000000436</v>
      </c>
      <c r="AB33" s="39">
        <f t="shared" si="1"/>
        <v>3719.9999999999982</v>
      </c>
      <c r="AC33" s="39">
        <f t="shared" si="1"/>
        <v>2930.0000000000068</v>
      </c>
      <c r="AD33" s="39">
        <f t="shared" si="1"/>
        <v>2629.9999999999955</v>
      </c>
      <c r="AE33" s="39">
        <f t="shared" si="1"/>
        <v>199.99999999998863</v>
      </c>
      <c r="AF33" s="17">
        <f t="shared" si="1"/>
        <v>1147</v>
      </c>
      <c r="AG33" s="36">
        <f t="shared" si="1"/>
        <v>570.0000000000216</v>
      </c>
      <c r="AH33" s="36">
        <f t="shared" si="1"/>
        <v>699.99999999998863</v>
      </c>
      <c r="AI33" s="36">
        <f t="shared" si="1"/>
        <v>789.99999999999204</v>
      </c>
      <c r="AJ33" s="36">
        <f t="shared" si="1"/>
        <v>700.00000000001705</v>
      </c>
      <c r="AK33" s="36">
        <f t="shared" si="1"/>
        <v>719.99999999997044</v>
      </c>
      <c r="AL33" s="36">
        <f t="shared" si="1"/>
        <v>692</v>
      </c>
      <c r="AM33" s="36">
        <f t="shared" si="1"/>
        <v>750</v>
      </c>
      <c r="AN33" s="36">
        <f t="shared" si="1"/>
        <v>705</v>
      </c>
      <c r="AO33" s="36">
        <f t="shared" si="1"/>
        <v>699.99999999998863</v>
      </c>
      <c r="AP33" s="36">
        <f t="shared" si="1"/>
        <v>1058</v>
      </c>
      <c r="AQ33" s="17">
        <f t="shared" si="1"/>
        <v>672.5</v>
      </c>
      <c r="AR33" s="17">
        <f t="shared" si="1"/>
        <v>199.60000000000036</v>
      </c>
      <c r="AS33" s="17">
        <f t="shared" si="1"/>
        <v>171.5</v>
      </c>
      <c r="AT33" s="17">
        <f t="shared" si="1"/>
        <v>1423.7000000000044</v>
      </c>
      <c r="AU33" s="17">
        <f t="shared" si="1"/>
        <v>5317</v>
      </c>
      <c r="AV33" s="17">
        <f t="shared" si="1"/>
        <v>10230.000000000018</v>
      </c>
      <c r="AW33" s="17">
        <f t="shared" si="1"/>
        <v>1588.2</v>
      </c>
      <c r="AX33" s="17">
        <f t="shared" si="1"/>
        <v>261.90449999999998</v>
      </c>
      <c r="AY33" s="17">
        <f t="shared" si="1"/>
        <v>64.102499999999978</v>
      </c>
      <c r="AZ33" s="17">
        <f t="shared" si="1"/>
        <v>9.1574999999999989</v>
      </c>
      <c r="BA33" s="17">
        <f t="shared" si="1"/>
        <v>76.922999999999988</v>
      </c>
      <c r="BB33" s="17">
        <f t="shared" si="1"/>
        <v>82.417499999999976</v>
      </c>
      <c r="BC33" s="17">
        <f t="shared" si="1"/>
        <v>873</v>
      </c>
    </row>
    <row r="35" spans="5:55" x14ac:dyDescent="0.25">
      <c r="E35" s="42">
        <f>E33/E37</f>
        <v>0.20851885486558716</v>
      </c>
      <c r="G35" s="33">
        <f>G33-M36</f>
        <v>27190.999999999862</v>
      </c>
      <c r="AE35" s="39">
        <f>SUM(U33:AE33)</f>
        <v>30297.200000000063</v>
      </c>
      <c r="AG35" s="36">
        <f>SUM(AG33:AP33)</f>
        <v>7384.9999999999782</v>
      </c>
    </row>
    <row r="36" spans="5:55" x14ac:dyDescent="0.25">
      <c r="G36" s="33">
        <f>G35-633*14</f>
        <v>18328.999999999862</v>
      </c>
      <c r="M36" s="33">
        <f>M33+N33</f>
        <v>30609</v>
      </c>
    </row>
    <row r="37" spans="5:55" x14ac:dyDescent="0.25">
      <c r="E37" s="17">
        <f>E33+F33+G33+H33+J33-633*14</f>
        <v>226838.00000000026</v>
      </c>
      <c r="G37" s="41">
        <f>M36/E37</f>
        <v>0.13493770884948714</v>
      </c>
      <c r="M37" s="39">
        <f>AE35</f>
        <v>30297.200000000063</v>
      </c>
    </row>
    <row r="38" spans="5:55" x14ac:dyDescent="0.25">
      <c r="L38" s="31">
        <f>M38/E37</f>
        <v>3.2556273640218875E-2</v>
      </c>
      <c r="M38" s="33">
        <f>AG35</f>
        <v>7384.9999999999782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zoomScale="70" zoomScaleNormal="70" workbookViewId="0">
      <pane ySplit="1" topLeftCell="A12" activePane="bottomLeft" state="frozen"/>
      <selection pane="bottomLeft" activeCell="CO21" sqref="CO21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/>
      <c r="D22" s="71" t="str">
        <f t="shared" si="3"/>
        <v>0</v>
      </c>
      <c r="E22" s="64"/>
      <c r="F22" s="71" t="str">
        <f t="shared" si="4"/>
        <v>0</v>
      </c>
      <c r="G22" s="64"/>
      <c r="H22" s="71" t="str">
        <f t="shared" si="5"/>
        <v>0</v>
      </c>
      <c r="I22" s="64"/>
      <c r="J22" s="71" t="str">
        <f t="shared" si="43"/>
        <v>0</v>
      </c>
      <c r="K22" s="64"/>
      <c r="L22" s="71" t="str">
        <f t="shared" si="0"/>
        <v>0</v>
      </c>
      <c r="M22" s="64"/>
      <c r="N22" s="71" t="str">
        <f t="shared" si="6"/>
        <v/>
      </c>
      <c r="O22" s="64"/>
      <c r="P22" s="72" t="str">
        <f t="shared" si="7"/>
        <v/>
      </c>
      <c r="Q22" s="64"/>
      <c r="R22" s="72" t="str">
        <f t="shared" si="8"/>
        <v/>
      </c>
      <c r="S22" s="64"/>
      <c r="T22" s="72" t="str">
        <f t="shared" si="44"/>
        <v/>
      </c>
      <c r="U22" s="64"/>
      <c r="V22" s="72" t="str">
        <f t="shared" si="10"/>
        <v/>
      </c>
      <c r="W22" s="64"/>
      <c r="X22" s="72" t="str">
        <f t="shared" si="23"/>
        <v/>
      </c>
      <c r="Y22" s="64"/>
      <c r="Z22" s="72" t="str">
        <f t="shared" si="24"/>
        <v/>
      </c>
      <c r="AA22" s="64"/>
      <c r="AB22" s="72" t="str">
        <f t="shared" si="25"/>
        <v/>
      </c>
      <c r="AC22" s="64"/>
      <c r="AD22" s="72" t="str">
        <f t="shared" si="26"/>
        <v/>
      </c>
      <c r="AE22" s="64"/>
      <c r="AF22" s="72" t="str">
        <f t="shared" si="27"/>
        <v/>
      </c>
      <c r="AG22" s="64"/>
      <c r="AH22" s="72" t="str">
        <f t="shared" si="11"/>
        <v/>
      </c>
      <c r="AI22" s="64"/>
      <c r="AJ22" s="72" t="str">
        <f t="shared" si="28"/>
        <v/>
      </c>
      <c r="AK22" s="64"/>
      <c r="AL22" s="72" t="str">
        <f t="shared" si="12"/>
        <v/>
      </c>
      <c r="AM22" s="64"/>
      <c r="AN22" s="72" t="str">
        <f t="shared" si="13"/>
        <v/>
      </c>
      <c r="AO22" s="64"/>
      <c r="AP22" s="72" t="str">
        <f t="shared" si="14"/>
        <v/>
      </c>
      <c r="AQ22" s="64"/>
      <c r="AR22" s="72" t="str">
        <f t="shared" si="29"/>
        <v/>
      </c>
      <c r="AS22" s="64"/>
      <c r="AT22" s="72" t="str">
        <f t="shared" si="30"/>
        <v/>
      </c>
      <c r="AU22" s="64"/>
      <c r="AV22" s="72" t="str">
        <f t="shared" si="31"/>
        <v/>
      </c>
      <c r="AW22" s="64"/>
      <c r="AX22" s="72" t="str">
        <f t="shared" si="32"/>
        <v/>
      </c>
      <c r="AY22" s="64"/>
      <c r="AZ22" s="72" t="str">
        <f t="shared" si="33"/>
        <v/>
      </c>
      <c r="BA22" s="64"/>
      <c r="BB22" s="72" t="str">
        <f t="shared" si="34"/>
        <v/>
      </c>
      <c r="BC22" s="64"/>
      <c r="BD22" s="72" t="str">
        <f t="shared" si="35"/>
        <v/>
      </c>
      <c r="BE22" s="66"/>
      <c r="BF22" s="72" t="str">
        <f t="shared" si="15"/>
        <v/>
      </c>
      <c r="BG22" s="67"/>
      <c r="BH22" s="72" t="str">
        <f t="shared" si="36"/>
        <v/>
      </c>
      <c r="BI22" s="67"/>
      <c r="BJ22" s="72" t="str">
        <f t="shared" si="37"/>
        <v/>
      </c>
      <c r="BK22" s="67"/>
      <c r="BL22" s="72" t="str">
        <f t="shared" si="38"/>
        <v/>
      </c>
      <c r="BM22" s="67"/>
      <c r="BN22" s="72" t="str">
        <f t="shared" si="39"/>
        <v/>
      </c>
      <c r="BO22" s="67"/>
      <c r="BP22" s="72" t="str">
        <f t="shared" si="40"/>
        <v/>
      </c>
      <c r="BQ22" s="67"/>
      <c r="BR22" s="72" t="str">
        <f t="shared" si="16"/>
        <v/>
      </c>
      <c r="BS22" s="67"/>
      <c r="BT22" s="72" t="str">
        <f t="shared" si="41"/>
        <v/>
      </c>
      <c r="BU22" s="67"/>
      <c r="BV22" s="72" t="str">
        <f t="shared" si="1"/>
        <v/>
      </c>
      <c r="BW22" s="67"/>
      <c r="BX22" s="72" t="str">
        <f t="shared" si="42"/>
        <v/>
      </c>
      <c r="BY22" s="67"/>
      <c r="BZ22" s="72" t="str">
        <f t="shared" si="17"/>
        <v/>
      </c>
      <c r="CA22" s="67"/>
      <c r="CB22" s="72" t="str">
        <f t="shared" si="18"/>
        <v/>
      </c>
      <c r="CC22" s="67"/>
      <c r="CD22" s="72" t="str">
        <f t="shared" si="19"/>
        <v/>
      </c>
      <c r="CE22" s="67"/>
      <c r="CF22" s="72" t="str">
        <f t="shared" si="20"/>
        <v/>
      </c>
      <c r="CG22" s="67"/>
      <c r="CH22" s="72" t="str">
        <f t="shared" si="21"/>
        <v/>
      </c>
      <c r="CI22" s="67"/>
      <c r="CJ22" s="72" t="str">
        <f t="shared" si="2"/>
        <v/>
      </c>
      <c r="CK22" s="67"/>
      <c r="CL22" s="71" t="str">
        <f t="shared" si="22"/>
        <v/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336</v>
      </c>
      <c r="R35" s="76">
        <f>SUM(R4:R33)</f>
        <v>148</v>
      </c>
      <c r="AX35" s="72">
        <f t="shared" si="32"/>
        <v>0</v>
      </c>
      <c r="BF35" s="76">
        <f>SUM(BF4:BF33)</f>
        <v>1147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C13" zoomScaleNormal="100" workbookViewId="0">
      <selection activeCell="Q26" sqref="Q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2020-02-18T23:28:06Z</dcterms:modified>
</cp:coreProperties>
</file>