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Park Lane\"/>
    </mc:Choice>
  </mc:AlternateContent>
  <bookViews>
    <workbookView xWindow="0" yWindow="0" windowWidth="28800" windowHeight="12435" tabRatio="193"/>
  </bookViews>
  <sheets>
    <sheet name="Monthly" sheetId="1" r:id="rId1"/>
    <sheet name="CHP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2" i="1"/>
  <c r="P3" i="1"/>
  <c r="P4" i="1"/>
  <c r="P5" i="1"/>
  <c r="P6" i="1"/>
  <c r="P7" i="1"/>
  <c r="P8" i="1"/>
  <c r="P9" i="1"/>
  <c r="P10" i="1"/>
  <c r="P11" i="1"/>
  <c r="P12" i="1"/>
  <c r="P13" i="1"/>
  <c r="P2" i="1"/>
  <c r="N3" i="1"/>
  <c r="N4" i="1"/>
  <c r="N5" i="1"/>
  <c r="N6" i="1"/>
  <c r="N7" i="1"/>
  <c r="N8" i="1"/>
  <c r="N9" i="1"/>
  <c r="N10" i="1"/>
  <c r="N11" i="1"/>
  <c r="N12" i="1"/>
  <c r="N13" i="1"/>
  <c r="N2" i="1"/>
  <c r="E20" i="2" l="1"/>
  <c r="F10" i="2"/>
  <c r="G10" i="2"/>
  <c r="H10" i="2"/>
  <c r="I10" i="2"/>
  <c r="J10" i="2"/>
  <c r="K10" i="2"/>
  <c r="L10" i="2"/>
  <c r="M10" i="2"/>
  <c r="N10" i="2"/>
  <c r="O10" i="2"/>
  <c r="P10" i="2"/>
  <c r="F8" i="2"/>
  <c r="E8" i="2"/>
  <c r="E14" i="2"/>
  <c r="E10" i="2"/>
  <c r="J7" i="2"/>
  <c r="H7" i="2"/>
  <c r="F7" i="2"/>
  <c r="Q7" i="2"/>
  <c r="K5" i="2"/>
  <c r="K7" i="2"/>
  <c r="J5" i="2"/>
  <c r="I5" i="2"/>
  <c r="I7" i="2"/>
  <c r="H5" i="2"/>
  <c r="G5" i="2"/>
  <c r="G7" i="2"/>
  <c r="F5" i="2"/>
  <c r="E5" i="2"/>
  <c r="E7" i="2"/>
  <c r="Q4" i="2"/>
  <c r="L5" i="2"/>
  <c r="L7" i="2"/>
  <c r="M5" i="2"/>
  <c r="M7" i="2"/>
  <c r="N5" i="2"/>
  <c r="N7" i="2"/>
  <c r="O5" i="2"/>
  <c r="O7" i="2"/>
  <c r="P5" i="2"/>
  <c r="P7" i="2"/>
  <c r="Q5" i="2"/>
</calcChain>
</file>

<file path=xl/sharedStrings.xml><?xml version="1.0" encoding="utf-8"?>
<sst xmlns="http://schemas.openxmlformats.org/spreadsheetml/2006/main" count="41" uniqueCount="30">
  <si>
    <t>Site Name</t>
  </si>
  <si>
    <t>Month</t>
  </si>
  <si>
    <t>Year</t>
  </si>
  <si>
    <t>Purchased Electricity Kwh</t>
  </si>
  <si>
    <t>Natural Gas Hot-Water Boilers (m3) m3</t>
  </si>
  <si>
    <t>Water Utility Supply (m3) m3</t>
  </si>
  <si>
    <t xml:space="preserve">Room Nights </t>
  </si>
  <si>
    <t>Forex</t>
  </si>
  <si>
    <t>London at Park Lane</t>
  </si>
  <si>
    <t>Onsite Generators Kwh</t>
  </si>
  <si>
    <t>Onsite Generators Cost ($)</t>
  </si>
  <si>
    <t>Purchased Electricity Tariff ($/Kwh)</t>
  </si>
  <si>
    <t>Natural Gas Hot-Water Boilers (m3) $/m3</t>
  </si>
  <si>
    <t>Water Utility Supply (m3) $/m3</t>
  </si>
  <si>
    <t xml:space="preserve"> </t>
  </si>
  <si>
    <t>Ener-G</t>
  </si>
  <si>
    <t>Total</t>
  </si>
  <si>
    <t>Consumption (kWh)</t>
  </si>
  <si>
    <t>Fixed Charges</t>
  </si>
  <si>
    <t>Unit rate</t>
  </si>
  <si>
    <t>Total bill</t>
  </si>
  <si>
    <t>CHP Gas m3</t>
  </si>
  <si>
    <t>Gas Cost</t>
  </si>
  <si>
    <t xml:space="preserve">TOTAL CHP COST </t>
  </si>
  <si>
    <t xml:space="preserve">Electricity Total Budgeted </t>
  </si>
  <si>
    <t xml:space="preserve">Natural Gas Total Budgeted </t>
  </si>
  <si>
    <t>Water Total Budgeted</t>
  </si>
  <si>
    <r>
      <t>Electricity Total Budgeted Cost ($</t>
    </r>
    <r>
      <rPr>
        <b/>
        <sz val="10"/>
        <color indexed="30"/>
        <rFont val="Arial"/>
        <family val="2"/>
      </rPr>
      <t xml:space="preserve">) </t>
    </r>
  </si>
  <si>
    <r>
      <t>Natural Gas Total Budgeted Cost ($</t>
    </r>
    <r>
      <rPr>
        <b/>
        <sz val="10"/>
        <color indexed="30"/>
        <rFont val="Arial"/>
        <family val="2"/>
      </rPr>
      <t xml:space="preserve">) </t>
    </r>
  </si>
  <si>
    <r>
      <t>Water Total Budgeted Cost ($</t>
    </r>
    <r>
      <rPr>
        <b/>
        <sz val="10"/>
        <color indexed="3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</si>
</sst>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0.000"/>
    <numFmt numFmtId="166" formatCode="_-* #,##0_-;\-* #,##0_-;_-* &quot;-&quot;??_-;_-@_-"/>
    <numFmt numFmtId="167" formatCode="0_);\(0\)"/>
    <numFmt numFmtId="168" formatCode="_-* #,##0.0000_-;\-* #,##0.0000_-;_-* &quot;-&quot;??_-;_-@_-"/>
    <numFmt numFmtId="169" formatCode="_-&quot;£&quot;* #,##0.0000_-;\-&quot;£&quot;* #,##0.0000_-;_-&quot;£&quot;* &quot;-&quot;??_-;_-@_-"/>
    <numFmt numFmtId="170" formatCode="_(* #,##0.000_);_(* \(#,##0.000\);_(* &quot;-&quot;???_);_(@_)"/>
  </numFmts>
  <fonts count="11" x14ac:knownFonts="1"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0"/>
      <color indexed="3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b/>
      <sz val="11"/>
      <name val="Calibri"/>
      <family val="2"/>
      <scheme val="minor"/>
    </font>
    <font>
      <b/>
      <sz val="10"/>
      <color rgb="FF0070C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ill="0" applyBorder="0" applyAlignment="0" applyProtection="0"/>
  </cellStyleXfs>
  <cellXfs count="34">
    <xf numFmtId="0" fontId="0" fillId="0" borderId="0" xfId="0"/>
    <xf numFmtId="0" fontId="5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1" fontId="5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166" fontId="4" fillId="2" borderId="0" xfId="0" applyNumberFormat="1" applyFont="1" applyFill="1"/>
    <xf numFmtId="43" fontId="0" fillId="0" borderId="0" xfId="1" applyFont="1"/>
    <xf numFmtId="166" fontId="4" fillId="2" borderId="0" xfId="1" applyNumberFormat="1" applyFont="1" applyFill="1"/>
    <xf numFmtId="168" fontId="0" fillId="0" borderId="0" xfId="1" applyNumberFormat="1" applyFont="1"/>
    <xf numFmtId="169" fontId="4" fillId="2" borderId="0" xfId="0" applyNumberFormat="1" applyFont="1" applyFill="1"/>
    <xf numFmtId="0" fontId="4" fillId="0" borderId="0" xfId="0" applyFont="1"/>
    <xf numFmtId="0" fontId="4" fillId="2" borderId="0" xfId="0" applyFont="1" applyFill="1"/>
    <xf numFmtId="164" fontId="4" fillId="2" borderId="0" xfId="1" applyNumberFormat="1" applyFont="1" applyFill="1"/>
    <xf numFmtId="167" fontId="4" fillId="3" borderId="0" xfId="1" applyNumberFormat="1" applyFont="1" applyFill="1"/>
    <xf numFmtId="0" fontId="4" fillId="4" borderId="0" xfId="0" applyFont="1" applyFill="1"/>
    <xf numFmtId="0" fontId="8" fillId="0" borderId="0" xfId="0" applyFont="1"/>
    <xf numFmtId="0" fontId="8" fillId="5" borderId="0" xfId="0" applyFont="1" applyFill="1"/>
    <xf numFmtId="170" fontId="8" fillId="5" borderId="0" xfId="0" applyNumberFormat="1" applyFont="1" applyFill="1"/>
    <xf numFmtId="0" fontId="9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/>
    <xf numFmtId="167" fontId="1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2"/>
  <sheetViews>
    <sheetView tabSelected="1" topLeftCell="B1" zoomScale="115" zoomScaleNormal="115" workbookViewId="0">
      <selection activeCell="R3" sqref="R3"/>
    </sheetView>
  </sheetViews>
  <sheetFormatPr defaultColWidth="11.5703125" defaultRowHeight="12.75" x14ac:dyDescent="0.2"/>
  <cols>
    <col min="1" max="1" width="29.42578125" style="10" customWidth="1"/>
    <col min="2" max="2" width="6.42578125" style="10" bestFit="1" customWidth="1"/>
    <col min="3" max="3" width="13.42578125" style="10" customWidth="1"/>
    <col min="4" max="5" width="12.5703125" style="6" customWidth="1"/>
    <col min="6" max="13" width="11.5703125" style="6"/>
    <col min="14" max="19" width="11.5703125" style="30"/>
  </cols>
  <sheetData>
    <row r="1" spans="1:26" s="2" customFormat="1" ht="51" x14ac:dyDescent="0.2">
      <c r="A1" s="11" t="s">
        <v>0</v>
      </c>
      <c r="B1" s="11" t="s">
        <v>1</v>
      </c>
      <c r="C1" s="11" t="s">
        <v>2</v>
      </c>
      <c r="D1" s="3" t="s">
        <v>3</v>
      </c>
      <c r="E1" s="3" t="s">
        <v>11</v>
      </c>
      <c r="F1" s="3" t="s">
        <v>9</v>
      </c>
      <c r="G1" s="3" t="s">
        <v>10</v>
      </c>
      <c r="H1" s="3" t="s">
        <v>4</v>
      </c>
      <c r="I1" s="3" t="s">
        <v>12</v>
      </c>
      <c r="J1" s="3" t="s">
        <v>5</v>
      </c>
      <c r="K1" s="3" t="s">
        <v>13</v>
      </c>
      <c r="L1" s="3" t="s">
        <v>6</v>
      </c>
      <c r="M1" s="3" t="s">
        <v>7</v>
      </c>
      <c r="N1" s="29" t="s">
        <v>24</v>
      </c>
      <c r="O1" s="29" t="s">
        <v>27</v>
      </c>
      <c r="P1" s="29" t="s">
        <v>25</v>
      </c>
      <c r="Q1" s="29" t="s">
        <v>28</v>
      </c>
      <c r="R1" s="29" t="s">
        <v>26</v>
      </c>
      <c r="S1" s="29" t="s">
        <v>29</v>
      </c>
    </row>
    <row r="2" spans="1:26" x14ac:dyDescent="0.2">
      <c r="A2" s="10" t="s">
        <v>8</v>
      </c>
      <c r="B2" s="5">
        <v>1</v>
      </c>
      <c r="C2" s="5">
        <v>2020</v>
      </c>
      <c r="D2" s="7"/>
      <c r="E2" s="8"/>
      <c r="F2" s="7"/>
      <c r="G2" s="7"/>
      <c r="H2" s="7"/>
      <c r="I2" s="8"/>
      <c r="J2" s="7"/>
      <c r="K2" s="9"/>
      <c r="L2" s="7"/>
      <c r="M2" s="4"/>
      <c r="N2" s="15">
        <f>O2/0.11365</f>
        <v>545534.53585569735</v>
      </c>
      <c r="O2" s="15">
        <v>62000</v>
      </c>
      <c r="P2" s="32">
        <f>Q2/0.256238016666667</f>
        <v>92492.130201080494</v>
      </c>
      <c r="Q2" s="32">
        <v>23700</v>
      </c>
      <c r="R2" s="33">
        <f>S2/2.32013621630843</f>
        <v>4008.3853416146553</v>
      </c>
      <c r="S2" s="7">
        <v>9300</v>
      </c>
    </row>
    <row r="3" spans="1:26" x14ac:dyDescent="0.2">
      <c r="A3" s="10" t="s">
        <v>8</v>
      </c>
      <c r="B3" s="5">
        <v>2</v>
      </c>
      <c r="C3" s="5">
        <v>2020</v>
      </c>
      <c r="D3" s="7"/>
      <c r="E3" s="8"/>
      <c r="F3" s="7"/>
      <c r="G3" s="7"/>
      <c r="H3" s="7"/>
      <c r="I3" s="8"/>
      <c r="J3" s="7"/>
      <c r="K3" s="9"/>
      <c r="N3" s="15">
        <f t="shared" ref="N3:N13" si="0">O3/0.11365</f>
        <v>487461.50461944565</v>
      </c>
      <c r="O3" s="15">
        <v>55400</v>
      </c>
      <c r="P3" s="32">
        <f t="shared" ref="P3:P13" si="1">Q3/0.256238016666667</f>
        <v>90931.081590091795</v>
      </c>
      <c r="Q3" s="32">
        <v>23300</v>
      </c>
      <c r="R3" s="33">
        <f t="shared" ref="R3:R13" si="2">S3/2.32013621630843</f>
        <v>3577.3761650969504</v>
      </c>
      <c r="S3" s="15">
        <v>8300</v>
      </c>
    </row>
    <row r="4" spans="1:26" x14ac:dyDescent="0.2">
      <c r="A4" s="10" t="s">
        <v>8</v>
      </c>
      <c r="B4" s="5">
        <v>3</v>
      </c>
      <c r="C4" s="5">
        <v>2020</v>
      </c>
      <c r="D4" s="7"/>
      <c r="E4" s="8"/>
      <c r="F4" s="7"/>
      <c r="G4" s="7"/>
      <c r="H4" s="7"/>
      <c r="I4" s="8"/>
      <c r="J4" s="7"/>
      <c r="K4" s="4"/>
      <c r="L4" s="7"/>
      <c r="N4" s="15">
        <f t="shared" si="0"/>
        <v>542894.85261768592</v>
      </c>
      <c r="O4" s="15">
        <v>61700</v>
      </c>
      <c r="P4" s="32">
        <f t="shared" si="1"/>
        <v>88589.508673608754</v>
      </c>
      <c r="Q4" s="32">
        <v>22700</v>
      </c>
      <c r="R4" s="33">
        <f t="shared" si="2"/>
        <v>4180.7890122217368</v>
      </c>
      <c r="S4" s="15">
        <v>9700</v>
      </c>
    </row>
    <row r="5" spans="1:26" x14ac:dyDescent="0.2">
      <c r="A5" s="10" t="s">
        <v>8</v>
      </c>
      <c r="B5" s="5">
        <v>4</v>
      </c>
      <c r="C5" s="5">
        <v>2020</v>
      </c>
      <c r="D5" s="7"/>
      <c r="E5" s="8"/>
      <c r="F5" s="7"/>
      <c r="G5" s="7"/>
      <c r="H5" s="7"/>
      <c r="I5" s="8"/>
      <c r="J5" s="7"/>
      <c r="K5" s="4"/>
      <c r="L5" s="7"/>
      <c r="N5" s="15">
        <f t="shared" si="0"/>
        <v>545534.53585569735</v>
      </c>
      <c r="O5" s="15">
        <v>62000</v>
      </c>
      <c r="P5" s="32">
        <f t="shared" si="1"/>
        <v>74930.333327457614</v>
      </c>
      <c r="Q5" s="32">
        <v>19200</v>
      </c>
      <c r="R5" s="33">
        <f t="shared" si="2"/>
        <v>4223.8899298735078</v>
      </c>
      <c r="S5" s="7">
        <v>9800</v>
      </c>
    </row>
    <row r="6" spans="1:26" s="1" customFormat="1" x14ac:dyDescent="0.2">
      <c r="A6" s="10" t="s">
        <v>8</v>
      </c>
      <c r="B6" s="5">
        <v>5</v>
      </c>
      <c r="C6" s="5">
        <v>2020</v>
      </c>
      <c r="D6" s="7"/>
      <c r="E6" s="8"/>
      <c r="F6" s="7"/>
      <c r="G6" s="7"/>
      <c r="H6" s="7"/>
      <c r="I6" s="8"/>
      <c r="J6" s="7"/>
      <c r="K6" s="4"/>
      <c r="L6" s="7"/>
      <c r="M6" s="6"/>
      <c r="N6" s="15">
        <f t="shared" si="0"/>
        <v>575450.94588649366</v>
      </c>
      <c r="O6" s="15">
        <v>65400</v>
      </c>
      <c r="P6" s="32">
        <f t="shared" si="1"/>
        <v>64783.517356031065</v>
      </c>
      <c r="Q6" s="32">
        <v>16600</v>
      </c>
      <c r="R6" s="33">
        <f t="shared" si="2"/>
        <v>3749.7798357040324</v>
      </c>
      <c r="S6" s="7">
        <v>8700</v>
      </c>
    </row>
    <row r="7" spans="1:26" x14ac:dyDescent="0.2">
      <c r="A7" s="10" t="s">
        <v>8</v>
      </c>
      <c r="B7" s="5">
        <v>6</v>
      </c>
      <c r="C7" s="5">
        <v>2020</v>
      </c>
      <c r="D7" s="7"/>
      <c r="E7" s="8"/>
      <c r="F7" s="7"/>
      <c r="G7" s="7"/>
      <c r="H7" s="7"/>
      <c r="I7" s="8"/>
      <c r="J7" s="7"/>
      <c r="K7" s="4"/>
      <c r="N7" s="15">
        <f t="shared" si="0"/>
        <v>592168.93972723268</v>
      </c>
      <c r="O7" s="7">
        <v>67300</v>
      </c>
      <c r="P7" s="32">
        <f t="shared" si="1"/>
        <v>60490.63367581214</v>
      </c>
      <c r="Q7" s="32">
        <v>15500</v>
      </c>
      <c r="R7" s="33">
        <f t="shared" si="2"/>
        <v>3879.0825886593439</v>
      </c>
      <c r="S7" s="7">
        <v>9000</v>
      </c>
    </row>
    <row r="8" spans="1:26" x14ac:dyDescent="0.2">
      <c r="A8" s="10" t="s">
        <v>8</v>
      </c>
      <c r="B8" s="5">
        <v>7</v>
      </c>
      <c r="C8" s="5">
        <v>2020</v>
      </c>
      <c r="D8" s="7"/>
      <c r="E8" s="8"/>
      <c r="F8" s="7"/>
      <c r="G8" s="7"/>
      <c r="H8" s="7"/>
      <c r="I8" s="8"/>
      <c r="J8" s="7"/>
      <c r="K8" s="4"/>
      <c r="N8" s="15">
        <f t="shared" si="0"/>
        <v>678398.59216893977</v>
      </c>
      <c r="O8" s="31">
        <v>77100</v>
      </c>
      <c r="P8" s="32">
        <f t="shared" si="1"/>
        <v>58149.060759329092</v>
      </c>
      <c r="Q8" s="32">
        <v>14900</v>
      </c>
      <c r="R8" s="33">
        <f t="shared" si="2"/>
        <v>4698.0000240429827</v>
      </c>
      <c r="S8" s="7">
        <v>10900</v>
      </c>
    </row>
    <row r="9" spans="1:26" x14ac:dyDescent="0.2">
      <c r="A9" s="10" t="s">
        <v>8</v>
      </c>
      <c r="B9" s="5">
        <v>8</v>
      </c>
      <c r="C9" s="5">
        <v>2020</v>
      </c>
      <c r="D9" s="7"/>
      <c r="E9" s="8"/>
      <c r="F9" s="7"/>
      <c r="G9" s="7"/>
      <c r="H9" s="7"/>
      <c r="I9" s="8"/>
      <c r="J9" s="7"/>
      <c r="K9" s="4"/>
      <c r="N9" s="15">
        <f t="shared" si="0"/>
        <v>637923.44918609771</v>
      </c>
      <c r="O9" s="31">
        <v>72500</v>
      </c>
      <c r="P9" s="32">
        <f t="shared" si="1"/>
        <v>59710.10937031779</v>
      </c>
      <c r="Q9" s="32">
        <v>15300</v>
      </c>
      <c r="R9" s="33">
        <f t="shared" si="2"/>
        <v>4827.3027769982946</v>
      </c>
      <c r="S9" s="7">
        <v>11200</v>
      </c>
    </row>
    <row r="10" spans="1:26" x14ac:dyDescent="0.2">
      <c r="A10" s="10" t="s">
        <v>8</v>
      </c>
      <c r="B10" s="5">
        <v>9</v>
      </c>
      <c r="C10" s="5">
        <v>2020</v>
      </c>
      <c r="D10" s="7"/>
      <c r="E10" s="8"/>
      <c r="F10" s="7"/>
      <c r="G10" s="7"/>
      <c r="H10" s="7"/>
      <c r="I10" s="8"/>
      <c r="J10" s="7"/>
      <c r="K10" s="4"/>
      <c r="N10" s="15">
        <f t="shared" si="0"/>
        <v>575450.94588649366</v>
      </c>
      <c r="O10" s="31">
        <v>65400</v>
      </c>
      <c r="P10" s="32">
        <f t="shared" si="1"/>
        <v>62051.682286800838</v>
      </c>
      <c r="Q10" s="32">
        <v>15900</v>
      </c>
      <c r="R10" s="33">
        <f t="shared" si="2"/>
        <v>4482.4954357841307</v>
      </c>
      <c r="S10" s="7">
        <v>10400</v>
      </c>
    </row>
    <row r="11" spans="1:26" x14ac:dyDescent="0.2">
      <c r="A11" s="10" t="s">
        <v>8</v>
      </c>
      <c r="B11" s="5">
        <v>10</v>
      </c>
      <c r="C11" s="5">
        <v>2020</v>
      </c>
      <c r="D11" s="7"/>
      <c r="E11" s="8"/>
      <c r="F11" s="7"/>
      <c r="G11" s="7"/>
      <c r="H11" s="7"/>
      <c r="I11" s="8"/>
      <c r="J11" s="7"/>
      <c r="K11" s="4"/>
      <c r="N11" s="15">
        <f t="shared" si="0"/>
        <v>608886.93356797181</v>
      </c>
      <c r="O11" s="31">
        <v>69200</v>
      </c>
      <c r="P11" s="32">
        <f t="shared" si="1"/>
        <v>67905.614578008463</v>
      </c>
      <c r="Q11" s="32">
        <v>17400</v>
      </c>
      <c r="R11" s="33">
        <f t="shared" si="2"/>
        <v>4956.6055299536056</v>
      </c>
      <c r="S11" s="7">
        <v>11500</v>
      </c>
    </row>
    <row r="12" spans="1:26" x14ac:dyDescent="0.2">
      <c r="A12" s="10" t="s">
        <v>8</v>
      </c>
      <c r="B12" s="5">
        <v>11</v>
      </c>
      <c r="C12" s="5">
        <v>2020</v>
      </c>
      <c r="D12" s="7"/>
      <c r="E12" s="8"/>
      <c r="F12" s="7"/>
      <c r="G12" s="7"/>
      <c r="H12" s="7"/>
      <c r="I12" s="8"/>
      <c r="J12" s="7"/>
      <c r="K12" s="4"/>
      <c r="N12" s="15">
        <f t="shared" si="0"/>
        <v>533216.01407831057</v>
      </c>
      <c r="O12" s="31">
        <v>60600</v>
      </c>
      <c r="P12" s="32">
        <f t="shared" si="1"/>
        <v>78832.954854929369</v>
      </c>
      <c r="Q12" s="32">
        <v>20200</v>
      </c>
      <c r="R12" s="33">
        <f t="shared" si="2"/>
        <v>4525.5963534359007</v>
      </c>
      <c r="S12" s="7">
        <v>10500</v>
      </c>
    </row>
    <row r="13" spans="1:26" x14ac:dyDescent="0.2">
      <c r="A13" s="10" t="s">
        <v>8</v>
      </c>
      <c r="B13" s="5">
        <v>12</v>
      </c>
      <c r="C13" s="5">
        <v>2020</v>
      </c>
      <c r="D13" s="7"/>
      <c r="E13" s="8"/>
      <c r="F13" s="7"/>
      <c r="G13" s="7"/>
      <c r="H13" s="7"/>
      <c r="I13" s="8"/>
      <c r="J13" s="7"/>
      <c r="K13" s="4"/>
      <c r="N13" s="15">
        <f t="shared" si="0"/>
        <v>567531.89617245935</v>
      </c>
      <c r="O13" s="31">
        <v>64500</v>
      </c>
      <c r="P13" s="32">
        <f t="shared" si="1"/>
        <v>83906.362840642643</v>
      </c>
      <c r="Q13" s="32">
        <v>21500</v>
      </c>
      <c r="R13" s="33">
        <f t="shared" si="2"/>
        <v>4870.4036946500646</v>
      </c>
      <c r="S13" s="31">
        <v>11300</v>
      </c>
    </row>
    <row r="14" spans="1:26" x14ac:dyDescent="0.2">
      <c r="B14" s="5"/>
      <c r="C14" s="5"/>
      <c r="E14" s="8"/>
      <c r="F14" s="7"/>
      <c r="G14" s="7"/>
      <c r="H14" s="7"/>
      <c r="I14" s="7"/>
      <c r="J14" s="7"/>
      <c r="K14" s="7"/>
      <c r="N14" s="15"/>
      <c r="O14" s="15"/>
      <c r="P14" s="15"/>
      <c r="Q14" s="15"/>
      <c r="R14" s="15"/>
    </row>
    <row r="15" spans="1:26" x14ac:dyDescent="0.2">
      <c r="B15" s="5"/>
      <c r="C15" s="5"/>
      <c r="D15" s="7"/>
      <c r="E15" s="7"/>
      <c r="F15" s="7"/>
      <c r="G15" s="7"/>
      <c r="H15" s="7"/>
      <c r="I15" s="7"/>
      <c r="J15" s="7"/>
      <c r="K15" s="7"/>
      <c r="M15" s="15"/>
      <c r="N15" s="15"/>
      <c r="O15" s="15"/>
      <c r="R15" s="15"/>
      <c r="S15" s="15"/>
      <c r="U15" s="15"/>
      <c r="V15" s="15"/>
      <c r="W15" s="15"/>
      <c r="X15" s="15"/>
      <c r="Y15" s="15"/>
      <c r="Z15" s="15"/>
    </row>
    <row r="16" spans="1:26" x14ac:dyDescent="0.2">
      <c r="B16" s="5"/>
      <c r="C16" s="5"/>
      <c r="D16" s="7"/>
      <c r="E16" s="7"/>
      <c r="F16" s="7"/>
      <c r="G16" s="7"/>
      <c r="H16" s="7"/>
      <c r="I16" s="7"/>
      <c r="J16" s="7"/>
      <c r="K16" s="7"/>
      <c r="N16" s="6"/>
      <c r="O16" s="6"/>
      <c r="R16" s="6"/>
      <c r="S16" s="6"/>
      <c r="U16" s="6"/>
      <c r="V16" s="6"/>
      <c r="W16" s="6"/>
      <c r="X16" s="6"/>
      <c r="Y16" s="6"/>
    </row>
    <row r="17" spans="2:18" x14ac:dyDescent="0.2">
      <c r="B17" s="5"/>
      <c r="C17" s="5"/>
      <c r="D17" s="7"/>
      <c r="E17" s="7"/>
      <c r="F17" s="7"/>
      <c r="G17" s="7"/>
      <c r="H17" s="7"/>
      <c r="I17" s="7"/>
      <c r="J17" s="7"/>
      <c r="K17" s="7"/>
      <c r="N17" s="15"/>
      <c r="O17" s="15"/>
      <c r="R17" s="15"/>
    </row>
    <row r="18" spans="2:18" x14ac:dyDescent="0.2">
      <c r="B18" s="5"/>
      <c r="C18" s="5"/>
      <c r="D18" s="7"/>
      <c r="E18" s="7"/>
      <c r="F18" s="7"/>
      <c r="G18" s="7"/>
      <c r="H18" s="7"/>
      <c r="I18" s="7"/>
      <c r="J18" s="7"/>
      <c r="K18" s="7"/>
      <c r="N18" s="15"/>
      <c r="O18" s="15"/>
      <c r="R18" s="15"/>
    </row>
    <row r="19" spans="2:18" x14ac:dyDescent="0.2">
      <c r="B19" s="5"/>
      <c r="C19" s="5"/>
      <c r="D19" s="7" t="s">
        <v>14</v>
      </c>
      <c r="E19" s="7"/>
      <c r="F19" s="7"/>
      <c r="G19" s="7"/>
      <c r="H19" s="7"/>
      <c r="I19" s="7"/>
      <c r="J19" s="7"/>
      <c r="K19" s="7"/>
      <c r="N19" s="15"/>
      <c r="O19" s="15"/>
      <c r="R19" s="15"/>
    </row>
    <row r="20" spans="2:18" x14ac:dyDescent="0.2">
      <c r="B20" s="5"/>
      <c r="C20" s="5"/>
      <c r="D20" s="7"/>
      <c r="E20" s="7"/>
      <c r="F20" s="7"/>
      <c r="G20" s="7"/>
      <c r="H20" s="7"/>
      <c r="I20" s="7"/>
      <c r="J20" s="7"/>
      <c r="K20" s="7"/>
      <c r="N20" s="15"/>
      <c r="O20" s="15"/>
      <c r="R20" s="15"/>
    </row>
    <row r="21" spans="2:18" x14ac:dyDescent="0.2">
      <c r="B21" s="5"/>
      <c r="C21" s="5"/>
      <c r="D21" s="7"/>
      <c r="E21" s="7"/>
      <c r="F21" s="7"/>
      <c r="G21" s="7"/>
      <c r="H21" s="7"/>
      <c r="I21" s="7"/>
      <c r="J21" s="7"/>
      <c r="K21" s="7"/>
      <c r="N21" s="15"/>
      <c r="O21" s="15"/>
      <c r="R21" s="15"/>
    </row>
    <row r="22" spans="2:18" x14ac:dyDescent="0.2">
      <c r="B22" s="5"/>
      <c r="C22" s="5"/>
      <c r="D22" s="7"/>
      <c r="E22" s="7"/>
      <c r="F22" s="7"/>
      <c r="G22" s="7"/>
      <c r="H22" s="7"/>
      <c r="I22" s="7"/>
      <c r="J22" s="7"/>
      <c r="K22" s="7"/>
      <c r="N22" s="15"/>
      <c r="O22" s="15"/>
      <c r="R22" s="15"/>
    </row>
    <row r="23" spans="2:18" x14ac:dyDescent="0.2">
      <c r="B23" s="5"/>
      <c r="C23" s="5"/>
      <c r="D23" s="7"/>
      <c r="E23" s="7"/>
      <c r="F23" s="7"/>
      <c r="G23" s="7"/>
      <c r="H23" s="7"/>
      <c r="I23" s="7"/>
      <c r="J23" s="7"/>
      <c r="K23" s="7"/>
      <c r="N23" s="15"/>
      <c r="O23" s="15"/>
      <c r="R23" s="15"/>
    </row>
    <row r="24" spans="2:18" x14ac:dyDescent="0.2">
      <c r="B24" s="5"/>
      <c r="C24" s="5"/>
      <c r="D24" s="7"/>
      <c r="E24" s="7"/>
      <c r="F24" s="7"/>
      <c r="G24" s="7"/>
      <c r="H24" s="7"/>
      <c r="I24" s="7"/>
      <c r="J24" s="7"/>
      <c r="K24" s="7"/>
      <c r="N24" s="15"/>
      <c r="O24" s="15"/>
      <c r="R24" s="15"/>
    </row>
    <row r="25" spans="2:18" x14ac:dyDescent="0.2">
      <c r="B25" s="5"/>
      <c r="C25" s="5"/>
      <c r="D25" s="7"/>
      <c r="E25" s="7"/>
      <c r="F25" s="7"/>
      <c r="G25" s="7"/>
      <c r="H25" s="7"/>
      <c r="I25" s="7"/>
      <c r="J25" s="7"/>
      <c r="K25" s="7"/>
      <c r="N25" s="15"/>
      <c r="O25" s="15"/>
      <c r="R25" s="15"/>
    </row>
    <row r="26" spans="2:18" x14ac:dyDescent="0.2">
      <c r="B26" s="5"/>
      <c r="C26" s="5"/>
      <c r="D26" s="7"/>
      <c r="E26" s="7"/>
      <c r="F26" s="7"/>
      <c r="G26" s="7"/>
      <c r="H26" s="7"/>
      <c r="I26" s="7"/>
      <c r="J26" s="7"/>
      <c r="K26" s="7"/>
      <c r="N26" s="15"/>
      <c r="O26" s="15"/>
      <c r="P26" s="15"/>
      <c r="Q26" s="15"/>
      <c r="R26" s="15"/>
    </row>
    <row r="27" spans="2:18" x14ac:dyDescent="0.2">
      <c r="B27" s="5"/>
      <c r="C27" s="5"/>
      <c r="D27" s="7"/>
      <c r="E27" s="7"/>
      <c r="F27" s="7"/>
      <c r="G27" s="7"/>
      <c r="H27" s="7"/>
      <c r="I27" s="7"/>
      <c r="J27" s="7"/>
      <c r="K27" s="7"/>
      <c r="N27" s="15"/>
      <c r="O27" s="15"/>
      <c r="P27" s="15"/>
      <c r="Q27" s="15"/>
      <c r="R27" s="15"/>
    </row>
    <row r="28" spans="2:18" x14ac:dyDescent="0.2">
      <c r="B28" s="5"/>
      <c r="C28" s="5"/>
      <c r="D28" s="7"/>
      <c r="E28" s="7"/>
      <c r="F28" s="7"/>
      <c r="G28" s="7"/>
      <c r="H28" s="7"/>
      <c r="I28" s="7"/>
      <c r="J28" s="7"/>
      <c r="K28" s="7"/>
      <c r="N28" s="15"/>
      <c r="O28" s="15"/>
      <c r="P28" s="15"/>
      <c r="Q28" s="15"/>
      <c r="R28" s="15"/>
    </row>
    <row r="29" spans="2:18" x14ac:dyDescent="0.2">
      <c r="B29" s="5"/>
      <c r="C29" s="5"/>
      <c r="D29" s="7"/>
      <c r="E29" s="7"/>
      <c r="F29" s="7"/>
      <c r="G29" s="7"/>
      <c r="H29" s="7"/>
      <c r="I29" s="7"/>
      <c r="J29" s="7"/>
      <c r="K29" s="7"/>
      <c r="N29" s="15"/>
      <c r="O29" s="15"/>
      <c r="P29" s="15"/>
      <c r="Q29" s="15"/>
      <c r="R29" s="15"/>
    </row>
    <row r="30" spans="2:18" x14ac:dyDescent="0.2">
      <c r="B30" s="5"/>
      <c r="C30" s="5"/>
      <c r="D30" s="7"/>
      <c r="E30" s="7"/>
      <c r="F30" s="7"/>
      <c r="G30" s="7"/>
      <c r="H30" s="7"/>
      <c r="I30" s="7"/>
      <c r="J30" s="7"/>
      <c r="K30" s="7"/>
      <c r="N30" s="15"/>
      <c r="O30" s="15"/>
      <c r="P30" s="15"/>
      <c r="Q30" s="15"/>
      <c r="R30" s="15"/>
    </row>
    <row r="31" spans="2:18" x14ac:dyDescent="0.2">
      <c r="B31" s="5"/>
      <c r="C31" s="5"/>
      <c r="D31" s="7"/>
      <c r="E31" s="7"/>
      <c r="F31" s="7"/>
      <c r="G31" s="7"/>
      <c r="H31" s="7"/>
      <c r="I31" s="7"/>
      <c r="J31" s="7"/>
      <c r="K31" s="7"/>
      <c r="N31" s="15"/>
      <c r="O31" s="15"/>
      <c r="P31" s="15"/>
      <c r="Q31" s="15"/>
      <c r="R31" s="15"/>
    </row>
    <row r="32" spans="2:18" x14ac:dyDescent="0.2">
      <c r="B32" s="5"/>
      <c r="C32" s="5"/>
      <c r="D32" s="7"/>
      <c r="E32" s="7"/>
      <c r="F32" s="7"/>
      <c r="G32" s="7"/>
      <c r="H32" s="7"/>
      <c r="I32" s="7"/>
      <c r="J32" s="7"/>
      <c r="K32" s="7"/>
      <c r="N32" s="15"/>
      <c r="O32" s="15"/>
      <c r="P32" s="15"/>
      <c r="Q32" s="15"/>
      <c r="R32" s="15"/>
    </row>
    <row r="33" spans="2:18" x14ac:dyDescent="0.2">
      <c r="B33" s="5"/>
      <c r="C33" s="5"/>
      <c r="D33" s="7"/>
      <c r="E33" s="7"/>
      <c r="F33" s="7"/>
      <c r="G33" s="7"/>
      <c r="H33" s="7"/>
      <c r="I33" s="7"/>
      <c r="J33" s="7"/>
      <c r="K33" s="7"/>
      <c r="N33" s="15"/>
      <c r="O33" s="15"/>
      <c r="P33" s="15"/>
      <c r="Q33" s="15"/>
      <c r="R33" s="15"/>
    </row>
    <row r="34" spans="2:18" x14ac:dyDescent="0.2">
      <c r="B34" s="5"/>
      <c r="C34" s="5"/>
      <c r="D34" s="7"/>
      <c r="E34" s="7"/>
      <c r="F34" s="7"/>
      <c r="G34" s="7"/>
      <c r="H34" s="7"/>
      <c r="I34" s="7"/>
      <c r="J34" s="7"/>
      <c r="K34" s="7"/>
      <c r="N34" s="15"/>
      <c r="O34" s="15"/>
      <c r="P34" s="15"/>
      <c r="Q34" s="15"/>
      <c r="R34" s="15"/>
    </row>
    <row r="35" spans="2:18" x14ac:dyDescent="0.2">
      <c r="B35" s="5"/>
      <c r="C35" s="5"/>
      <c r="D35" s="7"/>
      <c r="E35" s="7"/>
      <c r="F35" s="7"/>
      <c r="G35" s="7"/>
      <c r="H35" s="7"/>
      <c r="I35" s="7"/>
      <c r="J35" s="7"/>
      <c r="K35" s="7"/>
      <c r="N35" s="15"/>
      <c r="O35" s="15"/>
      <c r="P35" s="15"/>
      <c r="Q35" s="15"/>
      <c r="R35" s="15"/>
    </row>
    <row r="36" spans="2:18" x14ac:dyDescent="0.2">
      <c r="B36" s="5"/>
      <c r="C36" s="5"/>
      <c r="D36" s="7"/>
      <c r="E36" s="7"/>
      <c r="F36" s="7"/>
      <c r="G36" s="7"/>
      <c r="H36" s="7"/>
      <c r="I36" s="7"/>
      <c r="J36" s="7"/>
      <c r="K36" s="7"/>
      <c r="N36" s="15"/>
      <c r="O36" s="15"/>
      <c r="P36" s="15"/>
      <c r="Q36" s="15"/>
      <c r="R36" s="15"/>
    </row>
    <row r="37" spans="2:18" x14ac:dyDescent="0.2">
      <c r="B37" s="5"/>
      <c r="C37" s="5"/>
      <c r="D37" s="7"/>
      <c r="E37" s="7"/>
      <c r="F37" s="7"/>
      <c r="G37" s="7"/>
      <c r="H37" s="7"/>
      <c r="I37" s="7"/>
      <c r="J37" s="7"/>
      <c r="K37" s="7"/>
      <c r="N37" s="15"/>
      <c r="O37" s="15"/>
      <c r="P37" s="15"/>
      <c r="Q37" s="15"/>
      <c r="R37" s="15"/>
    </row>
    <row r="38" spans="2:18" x14ac:dyDescent="0.2">
      <c r="B38" s="5"/>
      <c r="C38" s="5"/>
      <c r="D38" s="7"/>
      <c r="E38" s="7"/>
      <c r="F38" s="7"/>
      <c r="G38" s="7"/>
      <c r="H38" s="7"/>
      <c r="I38" s="7"/>
      <c r="J38" s="7"/>
      <c r="K38" s="7"/>
      <c r="N38" s="15"/>
      <c r="O38" s="15"/>
      <c r="P38" s="15"/>
      <c r="Q38" s="15"/>
      <c r="R38" s="15"/>
    </row>
    <row r="39" spans="2:18" x14ac:dyDescent="0.2">
      <c r="B39" s="5"/>
      <c r="C39" s="5"/>
      <c r="D39" s="7"/>
      <c r="E39" s="7"/>
      <c r="F39" s="7"/>
      <c r="G39" s="7"/>
      <c r="H39" s="7"/>
      <c r="I39" s="7"/>
      <c r="J39" s="7"/>
      <c r="K39" s="7"/>
      <c r="N39" s="15"/>
      <c r="O39" s="15"/>
      <c r="P39" s="15"/>
      <c r="Q39" s="15"/>
      <c r="R39" s="15"/>
    </row>
    <row r="40" spans="2:18" x14ac:dyDescent="0.2">
      <c r="B40" s="5"/>
      <c r="C40" s="5"/>
      <c r="D40" s="7"/>
      <c r="E40" s="7"/>
      <c r="F40" s="7"/>
      <c r="G40" s="7"/>
      <c r="H40" s="7"/>
      <c r="I40" s="7"/>
      <c r="J40" s="7"/>
      <c r="K40" s="7"/>
      <c r="N40" s="15"/>
      <c r="O40" s="15"/>
      <c r="P40" s="15"/>
      <c r="Q40" s="15"/>
      <c r="R40" s="15"/>
    </row>
    <row r="41" spans="2:18" x14ac:dyDescent="0.2">
      <c r="B41" s="5"/>
      <c r="C41" s="5"/>
      <c r="D41" s="7"/>
      <c r="E41" s="7"/>
      <c r="F41" s="7"/>
      <c r="G41" s="7"/>
      <c r="H41" s="7"/>
      <c r="I41" s="7"/>
      <c r="J41" s="7"/>
      <c r="K41" s="7"/>
      <c r="N41" s="15"/>
      <c r="O41" s="15"/>
      <c r="P41" s="15"/>
      <c r="Q41" s="15"/>
      <c r="R41" s="15"/>
    </row>
    <row r="42" spans="2:18" x14ac:dyDescent="0.2">
      <c r="B42" s="5"/>
      <c r="C42" s="5"/>
      <c r="D42" s="7"/>
      <c r="E42" s="7"/>
      <c r="F42" s="7"/>
      <c r="G42" s="7"/>
      <c r="H42" s="7"/>
      <c r="I42" s="7"/>
      <c r="J42" s="7"/>
      <c r="K42" s="7"/>
      <c r="N42" s="15"/>
      <c r="O42" s="15"/>
      <c r="P42" s="15"/>
      <c r="Q42" s="15"/>
      <c r="R42" s="15"/>
    </row>
    <row r="43" spans="2:18" x14ac:dyDescent="0.2">
      <c r="B43" s="5"/>
      <c r="C43" s="5"/>
      <c r="D43" s="7"/>
      <c r="E43" s="7"/>
      <c r="F43" s="7"/>
      <c r="G43" s="7"/>
      <c r="H43" s="7"/>
      <c r="I43" s="7"/>
      <c r="J43" s="7"/>
      <c r="K43" s="7"/>
      <c r="N43" s="15"/>
      <c r="O43" s="15"/>
      <c r="P43" s="15"/>
      <c r="Q43" s="15"/>
      <c r="R43" s="15"/>
    </row>
    <row r="44" spans="2:18" x14ac:dyDescent="0.2">
      <c r="B44" s="5"/>
      <c r="C44" s="5"/>
      <c r="D44" s="7"/>
      <c r="E44" s="7"/>
      <c r="F44" s="7"/>
      <c r="G44" s="7"/>
      <c r="H44" s="7"/>
      <c r="I44" s="7"/>
      <c r="J44" s="7"/>
      <c r="K44" s="7"/>
      <c r="N44" s="15"/>
      <c r="O44" s="15"/>
      <c r="P44" s="15"/>
      <c r="Q44" s="15"/>
      <c r="R44" s="15"/>
    </row>
    <row r="45" spans="2:18" x14ac:dyDescent="0.2">
      <c r="B45" s="5"/>
      <c r="C45" s="5"/>
      <c r="D45" s="7"/>
      <c r="E45" s="7"/>
      <c r="F45" s="7"/>
      <c r="G45" s="7"/>
      <c r="H45" s="7"/>
      <c r="I45" s="7"/>
      <c r="J45" s="7"/>
      <c r="K45" s="7"/>
      <c r="N45" s="15"/>
      <c r="O45" s="15"/>
      <c r="P45" s="15"/>
      <c r="Q45" s="15"/>
      <c r="R45" s="15"/>
    </row>
    <row r="46" spans="2:18" x14ac:dyDescent="0.2">
      <c r="B46" s="5"/>
      <c r="C46" s="5"/>
      <c r="D46" s="7"/>
      <c r="E46" s="7"/>
      <c r="F46" s="7"/>
      <c r="G46" s="7"/>
      <c r="H46" s="7"/>
      <c r="I46" s="7"/>
      <c r="J46" s="7"/>
      <c r="K46" s="7"/>
      <c r="N46" s="15"/>
      <c r="O46" s="15"/>
      <c r="P46" s="15"/>
      <c r="Q46" s="15"/>
      <c r="R46" s="15"/>
    </row>
    <row r="47" spans="2:18" x14ac:dyDescent="0.2">
      <c r="B47" s="5"/>
      <c r="C47" s="5"/>
      <c r="D47" s="7"/>
      <c r="E47" s="7"/>
      <c r="F47" s="7"/>
      <c r="G47" s="7"/>
      <c r="H47" s="7"/>
      <c r="I47" s="7"/>
      <c r="J47" s="7"/>
      <c r="K47" s="7"/>
      <c r="N47" s="15"/>
      <c r="O47" s="15"/>
      <c r="P47" s="15"/>
      <c r="Q47" s="15"/>
      <c r="R47" s="15"/>
    </row>
    <row r="48" spans="2:18" x14ac:dyDescent="0.2">
      <c r="B48" s="5"/>
      <c r="C48" s="5"/>
      <c r="D48" s="7"/>
      <c r="E48" s="7"/>
      <c r="F48" s="7"/>
      <c r="G48" s="7"/>
      <c r="H48" s="7"/>
      <c r="I48" s="7"/>
      <c r="J48" s="7"/>
      <c r="K48" s="7"/>
      <c r="N48" s="15"/>
      <c r="O48" s="15"/>
      <c r="P48" s="15"/>
      <c r="Q48" s="15"/>
      <c r="R48" s="15"/>
    </row>
    <row r="49" spans="2:18" x14ac:dyDescent="0.2">
      <c r="B49" s="5"/>
      <c r="C49" s="5"/>
      <c r="D49" s="7"/>
      <c r="E49" s="7"/>
      <c r="F49" s="7"/>
      <c r="G49" s="7"/>
      <c r="H49" s="7"/>
      <c r="I49" s="7"/>
      <c r="J49" s="7"/>
      <c r="K49" s="7"/>
      <c r="N49" s="15"/>
      <c r="O49" s="15"/>
      <c r="P49" s="15"/>
      <c r="Q49" s="15"/>
      <c r="R49" s="15"/>
    </row>
    <row r="50" spans="2:18" x14ac:dyDescent="0.2">
      <c r="B50" s="5"/>
      <c r="C50" s="5"/>
      <c r="D50" s="7"/>
      <c r="E50" s="7"/>
      <c r="F50" s="7"/>
      <c r="G50" s="7"/>
      <c r="H50" s="7"/>
      <c r="I50" s="7"/>
      <c r="J50" s="7"/>
      <c r="K50" s="7"/>
      <c r="N50" s="15"/>
      <c r="O50" s="15"/>
      <c r="P50" s="15"/>
      <c r="Q50" s="15"/>
      <c r="R50" s="15"/>
    </row>
    <row r="51" spans="2:18" x14ac:dyDescent="0.2">
      <c r="B51" s="5"/>
      <c r="C51" s="5"/>
      <c r="D51" s="7"/>
      <c r="E51" s="7"/>
      <c r="F51" s="7"/>
      <c r="G51" s="7"/>
      <c r="H51" s="7"/>
      <c r="I51" s="7"/>
      <c r="J51" s="7"/>
      <c r="K51" s="7"/>
      <c r="N51" s="15"/>
      <c r="O51" s="15"/>
      <c r="P51" s="15"/>
      <c r="Q51" s="15"/>
      <c r="R51" s="15"/>
    </row>
    <row r="52" spans="2:18" x14ac:dyDescent="0.2">
      <c r="B52" s="5"/>
      <c r="C52" s="5"/>
      <c r="D52" s="7"/>
      <c r="E52" s="7"/>
      <c r="F52" s="7"/>
      <c r="G52" s="7"/>
      <c r="H52" s="7"/>
      <c r="I52" s="7"/>
      <c r="J52" s="7"/>
      <c r="K52" s="7"/>
      <c r="N52" s="15"/>
      <c r="O52" s="15"/>
      <c r="P52" s="15"/>
      <c r="Q52" s="15"/>
      <c r="R52" s="15"/>
    </row>
    <row r="53" spans="2:18" x14ac:dyDescent="0.2">
      <c r="B53" s="5"/>
      <c r="C53" s="5"/>
      <c r="D53" s="7"/>
      <c r="E53" s="7"/>
      <c r="F53" s="7"/>
      <c r="G53" s="7"/>
      <c r="H53" s="7"/>
      <c r="I53" s="7"/>
      <c r="J53" s="7"/>
      <c r="K53" s="7"/>
      <c r="N53" s="15"/>
      <c r="O53" s="15"/>
      <c r="P53" s="15"/>
      <c r="Q53" s="15"/>
      <c r="R53" s="15"/>
    </row>
    <row r="54" spans="2:18" x14ac:dyDescent="0.2">
      <c r="B54" s="5"/>
      <c r="C54" s="5"/>
      <c r="D54" s="7"/>
      <c r="E54" s="7"/>
      <c r="F54" s="7"/>
      <c r="G54" s="7"/>
      <c r="H54" s="7"/>
      <c r="I54" s="7"/>
      <c r="J54" s="7"/>
      <c r="K54" s="7"/>
      <c r="N54" s="15"/>
      <c r="O54" s="15"/>
      <c r="P54" s="15"/>
      <c r="Q54" s="15"/>
      <c r="R54" s="15"/>
    </row>
    <row r="55" spans="2:18" x14ac:dyDescent="0.2">
      <c r="B55" s="5"/>
      <c r="C55" s="5"/>
      <c r="D55" s="7"/>
      <c r="E55" s="7"/>
      <c r="F55" s="7"/>
      <c r="G55" s="7"/>
      <c r="H55" s="7"/>
      <c r="I55" s="7"/>
      <c r="J55" s="7"/>
      <c r="K55" s="7"/>
      <c r="N55" s="15"/>
      <c r="O55" s="15"/>
      <c r="P55" s="15"/>
      <c r="Q55" s="15"/>
      <c r="R55" s="15"/>
    </row>
    <row r="56" spans="2:18" x14ac:dyDescent="0.2">
      <c r="B56" s="5"/>
      <c r="C56" s="5"/>
      <c r="D56" s="7"/>
      <c r="E56" s="7"/>
      <c r="F56" s="7"/>
      <c r="G56" s="7"/>
      <c r="H56" s="7"/>
      <c r="I56" s="7"/>
      <c r="J56" s="7"/>
      <c r="K56" s="7"/>
      <c r="N56" s="15"/>
      <c r="O56" s="15"/>
      <c r="P56" s="15"/>
      <c r="Q56" s="15"/>
      <c r="R56" s="15"/>
    </row>
    <row r="57" spans="2:18" x14ac:dyDescent="0.2">
      <c r="B57" s="5"/>
      <c r="C57" s="5"/>
      <c r="D57" s="7"/>
      <c r="E57" s="7"/>
      <c r="F57" s="7"/>
      <c r="G57" s="7"/>
      <c r="H57" s="7"/>
      <c r="I57" s="7"/>
      <c r="J57" s="7"/>
      <c r="K57" s="7"/>
      <c r="N57" s="15"/>
      <c r="O57" s="15"/>
      <c r="P57" s="15"/>
      <c r="Q57" s="15"/>
      <c r="R57" s="15"/>
    </row>
    <row r="58" spans="2:18" x14ac:dyDescent="0.2">
      <c r="B58" s="5"/>
      <c r="C58" s="5"/>
      <c r="D58" s="7"/>
      <c r="E58" s="7"/>
      <c r="F58" s="7"/>
      <c r="G58" s="7"/>
      <c r="H58" s="7"/>
      <c r="I58" s="7"/>
      <c r="J58" s="7"/>
      <c r="K58" s="7"/>
      <c r="N58" s="15"/>
      <c r="O58" s="15"/>
      <c r="P58" s="15"/>
      <c r="Q58" s="15"/>
      <c r="R58" s="15"/>
    </row>
    <row r="59" spans="2:18" x14ac:dyDescent="0.2">
      <c r="B59" s="5"/>
      <c r="C59" s="5"/>
      <c r="D59" s="7"/>
      <c r="E59" s="7"/>
      <c r="F59" s="7"/>
      <c r="G59" s="7"/>
      <c r="H59" s="7"/>
      <c r="I59" s="7"/>
      <c r="J59" s="7"/>
      <c r="K59" s="7"/>
      <c r="N59" s="15"/>
      <c r="O59" s="15"/>
      <c r="P59" s="15"/>
      <c r="Q59" s="15"/>
      <c r="R59" s="15"/>
    </row>
    <row r="60" spans="2:18" x14ac:dyDescent="0.2">
      <c r="B60" s="5"/>
      <c r="C60" s="5"/>
      <c r="D60" s="7"/>
      <c r="E60" s="7"/>
      <c r="F60" s="7"/>
      <c r="G60" s="7"/>
      <c r="H60" s="7"/>
      <c r="I60" s="7"/>
      <c r="J60" s="7"/>
      <c r="K60" s="7"/>
      <c r="N60" s="15"/>
      <c r="O60" s="15"/>
      <c r="P60" s="15"/>
      <c r="Q60" s="15"/>
      <c r="R60" s="15"/>
    </row>
    <row r="61" spans="2:18" x14ac:dyDescent="0.2">
      <c r="B61" s="5"/>
      <c r="C61" s="5"/>
      <c r="D61" s="7"/>
      <c r="E61" s="7"/>
      <c r="F61" s="7"/>
      <c r="G61" s="7"/>
      <c r="H61" s="7"/>
      <c r="I61" s="7"/>
      <c r="J61" s="7"/>
      <c r="K61" s="7"/>
      <c r="N61" s="15"/>
      <c r="O61" s="15"/>
      <c r="P61" s="15"/>
      <c r="Q61" s="15"/>
      <c r="R61" s="15"/>
    </row>
    <row r="62" spans="2:18" x14ac:dyDescent="0.2">
      <c r="B62" s="5"/>
      <c r="C62" s="5"/>
      <c r="D62" s="7"/>
      <c r="E62" s="7"/>
      <c r="F62" s="7"/>
      <c r="G62" s="7"/>
      <c r="H62" s="7"/>
      <c r="I62" s="7"/>
      <c r="J62" s="7"/>
      <c r="K62" s="7"/>
      <c r="N62" s="15"/>
      <c r="O62" s="15"/>
      <c r="P62" s="15"/>
      <c r="Q62" s="15"/>
      <c r="R62" s="15"/>
    </row>
    <row r="63" spans="2:18" x14ac:dyDescent="0.2">
      <c r="B63" s="5"/>
      <c r="C63" s="5"/>
      <c r="D63" s="7"/>
      <c r="E63" s="7"/>
      <c r="F63" s="7"/>
      <c r="G63" s="7"/>
      <c r="H63" s="7"/>
      <c r="I63" s="7"/>
      <c r="J63" s="7"/>
      <c r="K63" s="7"/>
      <c r="N63" s="15"/>
      <c r="O63" s="15"/>
      <c r="P63" s="15"/>
      <c r="Q63" s="15"/>
      <c r="R63" s="15"/>
    </row>
    <row r="64" spans="2:18" x14ac:dyDescent="0.2">
      <c r="B64" s="5"/>
      <c r="C64" s="5"/>
      <c r="D64" s="7"/>
      <c r="E64" s="7"/>
      <c r="F64" s="7"/>
      <c r="G64" s="7"/>
      <c r="H64" s="7"/>
      <c r="I64" s="7"/>
      <c r="J64" s="7"/>
      <c r="K64" s="7"/>
      <c r="N64" s="15"/>
      <c r="O64" s="15"/>
      <c r="P64" s="15"/>
      <c r="Q64" s="15"/>
      <c r="R64" s="15"/>
    </row>
    <row r="65" spans="2:18" x14ac:dyDescent="0.2">
      <c r="B65" s="5"/>
      <c r="C65" s="5"/>
      <c r="D65" s="7"/>
      <c r="E65" s="7"/>
      <c r="F65" s="7"/>
      <c r="G65" s="7"/>
      <c r="H65" s="7"/>
      <c r="I65" s="7"/>
      <c r="J65" s="7"/>
      <c r="K65" s="7"/>
      <c r="N65" s="15"/>
      <c r="O65" s="15"/>
      <c r="P65" s="15"/>
      <c r="Q65" s="15"/>
      <c r="R65" s="15"/>
    </row>
    <row r="66" spans="2:18" x14ac:dyDescent="0.2">
      <c r="B66" s="5"/>
      <c r="C66" s="5"/>
      <c r="D66" s="7"/>
      <c r="E66" s="7"/>
      <c r="F66" s="7"/>
      <c r="G66" s="7"/>
      <c r="H66" s="7"/>
      <c r="I66" s="7"/>
      <c r="J66" s="7"/>
      <c r="K66" s="7"/>
      <c r="N66" s="15"/>
      <c r="O66" s="15"/>
      <c r="P66" s="15"/>
      <c r="Q66" s="15"/>
      <c r="R66" s="15"/>
    </row>
    <row r="67" spans="2:18" x14ac:dyDescent="0.2">
      <c r="B67" s="5"/>
      <c r="C67" s="5"/>
      <c r="D67" s="7"/>
      <c r="E67" s="7"/>
      <c r="F67" s="7"/>
      <c r="G67" s="7"/>
      <c r="H67" s="7"/>
      <c r="I67" s="7"/>
      <c r="J67" s="7"/>
      <c r="K67" s="7"/>
      <c r="N67" s="15"/>
      <c r="O67" s="15"/>
      <c r="P67" s="15"/>
      <c r="Q67" s="15"/>
      <c r="R67" s="15"/>
    </row>
    <row r="68" spans="2:18" x14ac:dyDescent="0.2">
      <c r="B68" s="5"/>
      <c r="C68" s="5"/>
      <c r="D68" s="7"/>
      <c r="E68" s="7"/>
      <c r="F68" s="7"/>
      <c r="G68" s="7"/>
      <c r="H68" s="7"/>
      <c r="I68" s="7"/>
      <c r="J68" s="7"/>
      <c r="K68" s="7"/>
      <c r="N68" s="15"/>
      <c r="O68" s="15"/>
      <c r="P68" s="15"/>
      <c r="Q68" s="15"/>
      <c r="R68" s="15"/>
    </row>
    <row r="69" spans="2:18" x14ac:dyDescent="0.2">
      <c r="B69" s="5"/>
      <c r="C69" s="5"/>
      <c r="D69" s="7"/>
      <c r="E69" s="7"/>
      <c r="F69" s="7"/>
      <c r="G69" s="7"/>
      <c r="H69" s="7"/>
      <c r="I69" s="7"/>
      <c r="J69" s="7"/>
      <c r="K69" s="7"/>
      <c r="N69" s="15"/>
      <c r="O69" s="15"/>
      <c r="P69" s="15"/>
      <c r="Q69" s="15"/>
      <c r="R69" s="15"/>
    </row>
    <row r="70" spans="2:18" x14ac:dyDescent="0.2">
      <c r="B70" s="5"/>
      <c r="C70" s="5"/>
      <c r="D70" s="7"/>
      <c r="E70" s="7"/>
      <c r="F70" s="7"/>
      <c r="G70" s="7"/>
      <c r="H70" s="7"/>
      <c r="I70" s="7"/>
      <c r="J70" s="7"/>
      <c r="K70" s="7"/>
      <c r="N70" s="15"/>
      <c r="O70" s="15"/>
      <c r="P70" s="15"/>
      <c r="Q70" s="15"/>
      <c r="R70" s="15"/>
    </row>
    <row r="71" spans="2:18" x14ac:dyDescent="0.2">
      <c r="B71" s="5"/>
      <c r="C71" s="5"/>
      <c r="D71" s="7"/>
      <c r="E71" s="7"/>
      <c r="F71" s="7"/>
      <c r="G71" s="7"/>
      <c r="H71" s="7"/>
      <c r="I71" s="7"/>
      <c r="J71" s="7"/>
      <c r="K71" s="7"/>
      <c r="N71" s="15"/>
      <c r="O71" s="15"/>
      <c r="P71" s="15"/>
      <c r="Q71" s="15"/>
      <c r="R71" s="15"/>
    </row>
    <row r="72" spans="2:18" x14ac:dyDescent="0.2">
      <c r="B72" s="5"/>
      <c r="C72" s="5"/>
      <c r="D72" s="7"/>
      <c r="E72" s="7"/>
      <c r="F72" s="7"/>
      <c r="G72" s="7"/>
      <c r="H72" s="7"/>
      <c r="I72" s="7"/>
      <c r="J72" s="7"/>
      <c r="K72" s="7"/>
      <c r="N72" s="15"/>
      <c r="O72" s="15"/>
      <c r="P72" s="15"/>
      <c r="Q72" s="15"/>
      <c r="R72" s="15"/>
    </row>
    <row r="73" spans="2:18" x14ac:dyDescent="0.2">
      <c r="B73" s="5"/>
      <c r="C73" s="5"/>
      <c r="D73" s="7"/>
      <c r="E73" s="7"/>
      <c r="F73" s="7"/>
      <c r="G73" s="7"/>
      <c r="H73" s="7"/>
      <c r="I73" s="7"/>
      <c r="J73" s="7"/>
      <c r="K73" s="7"/>
      <c r="N73" s="15"/>
      <c r="O73" s="15"/>
      <c r="P73" s="15"/>
      <c r="Q73" s="15"/>
      <c r="R73" s="15"/>
    </row>
    <row r="74" spans="2:18" x14ac:dyDescent="0.2">
      <c r="B74" s="5"/>
      <c r="C74" s="5"/>
      <c r="D74" s="7"/>
      <c r="E74" s="7"/>
      <c r="F74" s="7"/>
      <c r="G74" s="7"/>
      <c r="H74" s="7"/>
      <c r="I74" s="7"/>
      <c r="J74" s="7"/>
      <c r="K74" s="7"/>
      <c r="N74" s="15"/>
      <c r="O74" s="15"/>
      <c r="P74" s="15"/>
      <c r="Q74" s="15"/>
      <c r="R74" s="15"/>
    </row>
    <row r="75" spans="2:18" x14ac:dyDescent="0.2">
      <c r="B75" s="5"/>
      <c r="C75" s="5"/>
      <c r="D75" s="7"/>
      <c r="E75" s="7"/>
      <c r="F75" s="7"/>
      <c r="G75" s="7"/>
      <c r="H75" s="7"/>
      <c r="I75" s="7"/>
      <c r="J75" s="7"/>
      <c r="K75" s="7"/>
      <c r="N75" s="15"/>
      <c r="O75" s="15"/>
      <c r="P75" s="15"/>
      <c r="Q75" s="15"/>
      <c r="R75" s="15"/>
    </row>
    <row r="76" spans="2:18" x14ac:dyDescent="0.2">
      <c r="B76" s="5"/>
      <c r="C76" s="5"/>
      <c r="D76" s="7"/>
      <c r="E76" s="7"/>
      <c r="F76" s="7"/>
      <c r="G76" s="7"/>
      <c r="H76" s="7"/>
      <c r="I76" s="7"/>
      <c r="J76" s="7"/>
      <c r="K76" s="7"/>
      <c r="N76" s="15"/>
      <c r="O76" s="15"/>
      <c r="P76" s="15"/>
      <c r="Q76" s="15"/>
      <c r="R76" s="15"/>
    </row>
    <row r="77" spans="2:18" x14ac:dyDescent="0.2">
      <c r="B77" s="5"/>
      <c r="C77" s="5"/>
      <c r="D77" s="7"/>
      <c r="E77" s="7"/>
      <c r="F77" s="7"/>
      <c r="G77" s="7"/>
      <c r="H77" s="7"/>
      <c r="I77" s="7"/>
      <c r="J77" s="7"/>
      <c r="K77" s="7"/>
      <c r="N77" s="15"/>
      <c r="O77" s="15"/>
      <c r="P77" s="15"/>
      <c r="Q77" s="15"/>
      <c r="R77" s="15"/>
    </row>
    <row r="78" spans="2:18" x14ac:dyDescent="0.2">
      <c r="B78" s="5"/>
      <c r="C78" s="5"/>
      <c r="D78" s="7"/>
      <c r="E78" s="7"/>
      <c r="F78" s="7"/>
      <c r="G78" s="7"/>
      <c r="H78" s="7"/>
      <c r="I78" s="7"/>
      <c r="J78" s="7"/>
      <c r="K78" s="7"/>
      <c r="N78" s="15"/>
      <c r="O78" s="15"/>
      <c r="P78" s="15"/>
      <c r="Q78" s="15"/>
      <c r="R78" s="15"/>
    </row>
    <row r="79" spans="2:18" x14ac:dyDescent="0.2">
      <c r="B79" s="5"/>
      <c r="C79" s="5"/>
      <c r="D79" s="7"/>
      <c r="E79" s="7"/>
      <c r="F79" s="7"/>
      <c r="G79" s="7"/>
      <c r="H79" s="7"/>
      <c r="I79" s="7"/>
      <c r="J79" s="7"/>
      <c r="K79" s="7"/>
      <c r="N79" s="15"/>
      <c r="O79" s="15"/>
      <c r="P79" s="15"/>
      <c r="Q79" s="15"/>
      <c r="R79" s="15"/>
    </row>
    <row r="80" spans="2:18" x14ac:dyDescent="0.2">
      <c r="B80" s="5"/>
      <c r="C80" s="5"/>
      <c r="D80" s="7"/>
      <c r="E80" s="7"/>
      <c r="F80" s="7"/>
      <c r="G80" s="7"/>
      <c r="H80" s="7"/>
      <c r="I80" s="7"/>
      <c r="J80" s="7"/>
      <c r="K80" s="7"/>
      <c r="N80" s="15"/>
      <c r="O80" s="15"/>
      <c r="P80" s="15"/>
      <c r="Q80" s="15"/>
      <c r="R80" s="15"/>
    </row>
    <row r="81" spans="2:18" x14ac:dyDescent="0.2">
      <c r="B81" s="5"/>
      <c r="C81" s="5"/>
      <c r="D81" s="7"/>
      <c r="E81" s="7"/>
      <c r="F81" s="7"/>
      <c r="G81" s="7"/>
      <c r="H81" s="7"/>
      <c r="I81" s="7"/>
      <c r="J81" s="7"/>
      <c r="K81" s="7"/>
      <c r="N81" s="15"/>
      <c r="O81" s="15"/>
      <c r="P81" s="15"/>
      <c r="Q81" s="15"/>
      <c r="R81" s="15"/>
    </row>
    <row r="82" spans="2:18" x14ac:dyDescent="0.2">
      <c r="B82" s="5"/>
      <c r="C82" s="5"/>
      <c r="D82" s="7"/>
      <c r="E82" s="7"/>
      <c r="F82" s="7"/>
      <c r="G82" s="7"/>
      <c r="H82" s="7"/>
      <c r="I82" s="7"/>
      <c r="J82" s="7"/>
      <c r="K82" s="7"/>
      <c r="N82" s="15"/>
      <c r="O82" s="15"/>
      <c r="P82" s="15"/>
      <c r="Q82" s="15"/>
      <c r="R82" s="15"/>
    </row>
    <row r="83" spans="2:18" x14ac:dyDescent="0.2">
      <c r="B83" s="5"/>
      <c r="C83" s="5"/>
      <c r="D83" s="7"/>
      <c r="E83" s="7"/>
      <c r="F83" s="7"/>
      <c r="G83" s="7"/>
      <c r="H83" s="7"/>
      <c r="I83" s="7"/>
      <c r="J83" s="7"/>
      <c r="K83" s="7"/>
      <c r="N83" s="15"/>
      <c r="O83" s="15"/>
      <c r="P83" s="15"/>
      <c r="Q83" s="15"/>
      <c r="R83" s="15"/>
    </row>
    <row r="84" spans="2:18" x14ac:dyDescent="0.2">
      <c r="B84" s="5"/>
      <c r="C84" s="5"/>
      <c r="D84" s="7"/>
      <c r="E84" s="7"/>
      <c r="F84" s="7"/>
      <c r="G84" s="7"/>
      <c r="H84" s="7"/>
      <c r="I84" s="7"/>
      <c r="J84" s="7"/>
      <c r="K84" s="7"/>
      <c r="N84" s="15"/>
      <c r="O84" s="15"/>
      <c r="P84" s="15"/>
      <c r="Q84" s="15"/>
      <c r="R84" s="15"/>
    </row>
    <row r="85" spans="2:18" x14ac:dyDescent="0.2">
      <c r="B85" s="5"/>
      <c r="C85" s="5"/>
      <c r="D85" s="7"/>
      <c r="E85" s="7"/>
      <c r="F85" s="7"/>
      <c r="G85" s="7"/>
      <c r="H85" s="7"/>
      <c r="I85" s="7"/>
      <c r="J85" s="7"/>
      <c r="K85" s="7"/>
      <c r="N85" s="15"/>
      <c r="O85" s="15"/>
      <c r="P85" s="15"/>
      <c r="Q85" s="15"/>
      <c r="R85" s="15"/>
    </row>
    <row r="86" spans="2:18" x14ac:dyDescent="0.2">
      <c r="B86" s="5"/>
      <c r="C86" s="5"/>
      <c r="D86" s="7"/>
      <c r="E86" s="7"/>
      <c r="F86" s="7"/>
      <c r="G86" s="7"/>
      <c r="H86" s="7"/>
      <c r="I86" s="7"/>
      <c r="J86" s="7"/>
      <c r="K86" s="7"/>
      <c r="N86" s="15"/>
      <c r="O86" s="15"/>
      <c r="P86" s="15"/>
      <c r="Q86" s="15"/>
      <c r="R86" s="15"/>
    </row>
    <row r="87" spans="2:18" x14ac:dyDescent="0.2">
      <c r="B87" s="5"/>
      <c r="C87" s="5"/>
      <c r="D87" s="7"/>
      <c r="E87" s="7"/>
      <c r="F87" s="7"/>
      <c r="G87" s="7"/>
      <c r="H87" s="7"/>
      <c r="I87" s="7"/>
      <c r="J87" s="7"/>
      <c r="K87" s="7"/>
      <c r="N87" s="15"/>
      <c r="O87" s="15"/>
      <c r="P87" s="15"/>
      <c r="Q87" s="15"/>
      <c r="R87" s="15"/>
    </row>
    <row r="88" spans="2:18" x14ac:dyDescent="0.2">
      <c r="B88" s="5"/>
      <c r="C88" s="5"/>
      <c r="D88" s="7"/>
      <c r="E88" s="7"/>
      <c r="F88" s="7"/>
      <c r="G88" s="7"/>
      <c r="H88" s="7"/>
      <c r="I88" s="7"/>
      <c r="J88" s="7"/>
      <c r="K88" s="7"/>
      <c r="N88" s="15"/>
      <c r="O88" s="15"/>
      <c r="P88" s="15"/>
      <c r="Q88" s="15"/>
      <c r="R88" s="15"/>
    </row>
    <row r="89" spans="2:18" x14ac:dyDescent="0.2">
      <c r="B89" s="5"/>
      <c r="C89" s="5"/>
      <c r="D89" s="7"/>
      <c r="E89" s="7"/>
      <c r="F89" s="7"/>
      <c r="G89" s="7"/>
      <c r="H89" s="7"/>
      <c r="I89" s="7"/>
      <c r="J89" s="7"/>
      <c r="K89" s="7"/>
      <c r="N89" s="15"/>
      <c r="O89" s="15"/>
      <c r="P89" s="15"/>
      <c r="Q89" s="15"/>
      <c r="R89" s="15"/>
    </row>
    <row r="90" spans="2:18" x14ac:dyDescent="0.2">
      <c r="B90" s="5"/>
      <c r="C90" s="5"/>
      <c r="D90" s="7"/>
      <c r="E90" s="7"/>
      <c r="F90" s="7"/>
      <c r="G90" s="7"/>
      <c r="H90" s="7"/>
      <c r="I90" s="7"/>
      <c r="J90" s="7"/>
      <c r="K90" s="7"/>
      <c r="N90" s="15"/>
      <c r="O90" s="15"/>
      <c r="P90" s="15"/>
      <c r="Q90" s="15"/>
      <c r="R90" s="15"/>
    </row>
    <row r="91" spans="2:18" x14ac:dyDescent="0.2">
      <c r="B91" s="5"/>
      <c r="C91" s="5"/>
      <c r="D91" s="7"/>
      <c r="E91" s="7"/>
      <c r="F91" s="7"/>
      <c r="G91" s="7"/>
      <c r="H91" s="7"/>
      <c r="I91" s="7"/>
      <c r="J91" s="7"/>
      <c r="K91" s="7"/>
      <c r="N91" s="15"/>
      <c r="O91" s="15"/>
      <c r="P91" s="15"/>
      <c r="Q91" s="15"/>
      <c r="R91" s="15"/>
    </row>
    <row r="92" spans="2:18" x14ac:dyDescent="0.2">
      <c r="B92" s="5"/>
      <c r="C92" s="5"/>
      <c r="D92" s="7"/>
      <c r="E92" s="7"/>
      <c r="F92" s="7"/>
      <c r="G92" s="7"/>
      <c r="H92" s="7"/>
      <c r="I92" s="7"/>
      <c r="J92" s="7"/>
      <c r="K92" s="7"/>
      <c r="N92" s="15"/>
      <c r="O92" s="15"/>
      <c r="P92" s="15"/>
      <c r="Q92" s="15"/>
      <c r="R92" s="15"/>
    </row>
    <row r="93" spans="2:18" x14ac:dyDescent="0.2">
      <c r="B93" s="5"/>
      <c r="C93" s="5"/>
      <c r="D93" s="7"/>
      <c r="E93" s="7"/>
      <c r="F93" s="7"/>
      <c r="G93" s="7"/>
      <c r="H93" s="7"/>
      <c r="I93" s="7"/>
      <c r="J93" s="7"/>
      <c r="K93" s="7"/>
      <c r="N93" s="15"/>
      <c r="O93" s="15"/>
      <c r="P93" s="15"/>
      <c r="Q93" s="15"/>
      <c r="R93" s="15"/>
    </row>
    <row r="94" spans="2:18" x14ac:dyDescent="0.2">
      <c r="B94" s="5"/>
      <c r="C94" s="5"/>
      <c r="D94" s="7"/>
      <c r="E94" s="7"/>
      <c r="F94" s="7"/>
      <c r="G94" s="7"/>
      <c r="H94" s="7"/>
      <c r="I94" s="7"/>
      <c r="J94" s="7"/>
      <c r="K94" s="7"/>
      <c r="N94" s="15"/>
      <c r="O94" s="15"/>
      <c r="P94" s="15"/>
      <c r="Q94" s="15"/>
      <c r="R94" s="15"/>
    </row>
    <row r="95" spans="2:18" x14ac:dyDescent="0.2">
      <c r="B95" s="5"/>
      <c r="C95" s="5"/>
      <c r="D95" s="7"/>
      <c r="E95" s="7"/>
      <c r="F95" s="7"/>
      <c r="G95" s="7"/>
      <c r="H95" s="7"/>
      <c r="I95" s="7"/>
      <c r="J95" s="7"/>
      <c r="K95" s="7"/>
      <c r="N95" s="15"/>
      <c r="O95" s="15"/>
      <c r="P95" s="15"/>
      <c r="Q95" s="15"/>
      <c r="R95" s="15"/>
    </row>
    <row r="96" spans="2:18" x14ac:dyDescent="0.2">
      <c r="B96" s="5"/>
      <c r="C96" s="5"/>
      <c r="D96" s="7"/>
      <c r="E96" s="7"/>
      <c r="F96" s="7"/>
      <c r="G96" s="7"/>
      <c r="H96" s="7"/>
      <c r="I96" s="7"/>
      <c r="J96" s="7"/>
      <c r="K96" s="7"/>
      <c r="N96" s="15"/>
      <c r="O96" s="15"/>
      <c r="P96" s="15"/>
      <c r="Q96" s="15"/>
      <c r="R96" s="15"/>
    </row>
    <row r="97" spans="2:18" x14ac:dyDescent="0.2">
      <c r="B97" s="5"/>
      <c r="C97" s="5"/>
      <c r="D97" s="7"/>
      <c r="E97" s="7"/>
      <c r="F97" s="7"/>
      <c r="G97" s="7"/>
      <c r="H97" s="7"/>
      <c r="I97" s="7"/>
      <c r="J97" s="7"/>
      <c r="K97" s="7"/>
      <c r="N97" s="15"/>
      <c r="O97" s="15"/>
      <c r="P97" s="15"/>
      <c r="Q97" s="15"/>
      <c r="R97" s="15"/>
    </row>
    <row r="98" spans="2:18" x14ac:dyDescent="0.2">
      <c r="B98" s="5"/>
      <c r="C98" s="5"/>
      <c r="D98" s="7"/>
      <c r="E98" s="7"/>
      <c r="F98" s="7"/>
      <c r="G98" s="7"/>
      <c r="H98" s="7"/>
      <c r="I98" s="7"/>
      <c r="J98" s="7"/>
      <c r="K98" s="7"/>
      <c r="N98" s="15"/>
      <c r="O98" s="15"/>
      <c r="P98" s="15"/>
      <c r="Q98" s="15"/>
      <c r="R98" s="15"/>
    </row>
    <row r="99" spans="2:18" x14ac:dyDescent="0.2">
      <c r="B99" s="5"/>
      <c r="C99" s="5"/>
      <c r="D99" s="7"/>
      <c r="E99" s="7"/>
      <c r="F99" s="7"/>
      <c r="G99" s="7"/>
      <c r="H99" s="7"/>
      <c r="I99" s="7"/>
      <c r="J99" s="7"/>
      <c r="K99" s="7"/>
      <c r="N99" s="15"/>
      <c r="O99" s="15"/>
      <c r="P99" s="15"/>
      <c r="Q99" s="15"/>
      <c r="R99" s="15"/>
    </row>
    <row r="100" spans="2:18" x14ac:dyDescent="0.2">
      <c r="B100" s="5"/>
      <c r="C100" s="5"/>
      <c r="D100" s="7"/>
      <c r="E100" s="7"/>
      <c r="F100" s="7"/>
      <c r="G100" s="7"/>
      <c r="H100" s="7"/>
      <c r="I100" s="7"/>
      <c r="J100" s="7"/>
      <c r="K100" s="7"/>
      <c r="N100" s="15"/>
      <c r="O100" s="15"/>
      <c r="P100" s="15"/>
      <c r="Q100" s="15"/>
      <c r="R100" s="15"/>
    </row>
    <row r="101" spans="2:18" x14ac:dyDescent="0.2">
      <c r="B101" s="5"/>
      <c r="C101" s="5"/>
      <c r="D101" s="7"/>
      <c r="E101" s="7"/>
      <c r="F101" s="7"/>
      <c r="G101" s="7"/>
      <c r="H101" s="7"/>
      <c r="I101" s="7"/>
      <c r="J101" s="7"/>
      <c r="K101" s="7"/>
      <c r="N101" s="15"/>
      <c r="O101" s="15"/>
      <c r="P101" s="15"/>
      <c r="Q101" s="15"/>
      <c r="R101" s="15"/>
    </row>
    <row r="102" spans="2:18" x14ac:dyDescent="0.2">
      <c r="B102" s="5"/>
      <c r="C102" s="5"/>
      <c r="D102" s="7"/>
      <c r="E102" s="7"/>
      <c r="F102" s="7"/>
      <c r="G102" s="7"/>
      <c r="H102" s="7"/>
      <c r="I102" s="7"/>
      <c r="J102" s="7"/>
      <c r="K102" s="7"/>
      <c r="N102" s="15"/>
      <c r="O102" s="15"/>
      <c r="P102" s="15"/>
      <c r="Q102" s="15"/>
      <c r="R102" s="15"/>
    </row>
    <row r="103" spans="2:18" x14ac:dyDescent="0.2">
      <c r="B103" s="5"/>
      <c r="C103" s="5"/>
      <c r="D103" s="7"/>
      <c r="E103" s="7"/>
      <c r="F103" s="7"/>
      <c r="G103" s="7"/>
      <c r="H103" s="7"/>
      <c r="I103" s="7"/>
      <c r="J103" s="7"/>
      <c r="K103" s="7"/>
      <c r="N103" s="15"/>
      <c r="O103" s="15"/>
      <c r="P103" s="15"/>
      <c r="Q103" s="15"/>
      <c r="R103" s="15"/>
    </row>
    <row r="104" spans="2:18" x14ac:dyDescent="0.2">
      <c r="B104" s="5"/>
      <c r="C104" s="5"/>
      <c r="D104" s="7"/>
      <c r="E104" s="7"/>
      <c r="F104" s="7"/>
      <c r="G104" s="7"/>
      <c r="H104" s="7"/>
      <c r="I104" s="7"/>
      <c r="J104" s="7"/>
      <c r="K104" s="7"/>
      <c r="N104" s="15"/>
      <c r="O104" s="15"/>
      <c r="P104" s="15"/>
      <c r="Q104" s="15"/>
      <c r="R104" s="15"/>
    </row>
    <row r="105" spans="2:18" x14ac:dyDescent="0.2">
      <c r="B105" s="5"/>
      <c r="C105" s="5"/>
      <c r="D105" s="7"/>
      <c r="E105" s="7"/>
      <c r="F105" s="7"/>
      <c r="G105" s="7"/>
      <c r="H105" s="7"/>
      <c r="I105" s="7"/>
      <c r="J105" s="7"/>
      <c r="K105" s="7"/>
      <c r="N105" s="15"/>
      <c r="O105" s="15"/>
      <c r="P105" s="15"/>
      <c r="Q105" s="15"/>
      <c r="R105" s="15"/>
    </row>
    <row r="106" spans="2:18" x14ac:dyDescent="0.2">
      <c r="B106" s="5"/>
      <c r="C106" s="5"/>
      <c r="D106" s="7"/>
      <c r="E106" s="7"/>
      <c r="F106" s="7"/>
      <c r="G106" s="7"/>
      <c r="H106" s="7"/>
      <c r="I106" s="7"/>
      <c r="J106" s="7"/>
      <c r="K106" s="7"/>
      <c r="N106" s="15"/>
      <c r="O106" s="15"/>
      <c r="P106" s="15"/>
      <c r="Q106" s="15"/>
      <c r="R106" s="15"/>
    </row>
    <row r="107" spans="2:18" x14ac:dyDescent="0.2">
      <c r="B107" s="5"/>
      <c r="C107" s="5"/>
      <c r="D107" s="7"/>
      <c r="E107" s="7"/>
      <c r="F107" s="7"/>
      <c r="G107" s="7"/>
      <c r="H107" s="7"/>
      <c r="I107" s="7"/>
      <c r="J107" s="7"/>
      <c r="K107" s="7"/>
      <c r="N107" s="15"/>
      <c r="O107" s="15"/>
      <c r="P107" s="15"/>
      <c r="Q107" s="15"/>
      <c r="R107" s="15"/>
    </row>
    <row r="108" spans="2:18" x14ac:dyDescent="0.2">
      <c r="B108" s="5"/>
      <c r="C108" s="5"/>
      <c r="D108" s="7"/>
      <c r="E108" s="7"/>
      <c r="F108" s="7"/>
      <c r="G108" s="7"/>
      <c r="H108" s="7"/>
      <c r="I108" s="7"/>
      <c r="J108" s="7"/>
      <c r="K108" s="7"/>
      <c r="N108" s="15"/>
      <c r="O108" s="15"/>
      <c r="P108" s="15"/>
      <c r="Q108" s="15"/>
      <c r="R108" s="15"/>
    </row>
    <row r="109" spans="2:18" x14ac:dyDescent="0.2">
      <c r="B109" s="5"/>
      <c r="C109" s="5"/>
      <c r="D109" s="7"/>
      <c r="E109" s="7"/>
      <c r="F109" s="7"/>
      <c r="G109" s="7"/>
      <c r="H109" s="7"/>
      <c r="I109" s="7"/>
      <c r="J109" s="7"/>
      <c r="K109" s="7"/>
      <c r="N109" s="15"/>
      <c r="O109" s="15"/>
      <c r="P109" s="15"/>
      <c r="Q109" s="15"/>
      <c r="R109" s="15"/>
    </row>
    <row r="110" spans="2:18" x14ac:dyDescent="0.2">
      <c r="B110" s="5"/>
      <c r="C110" s="5"/>
      <c r="D110" s="7"/>
      <c r="E110" s="7"/>
      <c r="F110" s="7"/>
      <c r="G110" s="7"/>
      <c r="H110" s="7"/>
      <c r="I110" s="7"/>
      <c r="J110" s="7"/>
      <c r="K110" s="7"/>
      <c r="N110" s="15"/>
      <c r="O110" s="15"/>
      <c r="P110" s="15"/>
      <c r="Q110" s="15"/>
      <c r="R110" s="15"/>
    </row>
    <row r="111" spans="2:18" x14ac:dyDescent="0.2">
      <c r="B111" s="5"/>
      <c r="C111" s="5"/>
      <c r="D111" s="7"/>
      <c r="E111" s="7"/>
      <c r="F111" s="7"/>
      <c r="G111" s="7"/>
      <c r="H111" s="7"/>
      <c r="I111" s="7"/>
      <c r="J111" s="7"/>
      <c r="K111" s="7"/>
    </row>
    <row r="112" spans="2:18" x14ac:dyDescent="0.2">
      <c r="B112" s="5"/>
      <c r="C112" s="5"/>
      <c r="D112" s="7"/>
      <c r="E112" s="7"/>
      <c r="F112" s="7"/>
      <c r="G112" s="7"/>
      <c r="H112" s="7"/>
      <c r="I112" s="7"/>
      <c r="J112" s="7"/>
      <c r="K112" s="7"/>
    </row>
    <row r="113" spans="2:11" x14ac:dyDescent="0.2">
      <c r="B113" s="5"/>
      <c r="C113" s="5"/>
      <c r="D113" s="7"/>
      <c r="E113" s="7"/>
      <c r="F113" s="7"/>
      <c r="G113" s="7"/>
      <c r="H113" s="7"/>
      <c r="I113" s="7"/>
      <c r="J113" s="7"/>
      <c r="K113" s="7"/>
    </row>
    <row r="114" spans="2:11" x14ac:dyDescent="0.2">
      <c r="B114" s="5"/>
      <c r="C114" s="5"/>
      <c r="D114" s="7"/>
      <c r="E114" s="7"/>
      <c r="F114" s="7"/>
      <c r="G114" s="7"/>
      <c r="H114" s="7"/>
      <c r="I114" s="7"/>
      <c r="J114" s="7"/>
      <c r="K114" s="7"/>
    </row>
    <row r="115" spans="2:11" x14ac:dyDescent="0.2">
      <c r="B115" s="5"/>
      <c r="C115" s="5"/>
      <c r="D115" s="7"/>
      <c r="E115" s="7"/>
      <c r="F115" s="7"/>
      <c r="G115" s="7"/>
      <c r="H115" s="7"/>
      <c r="I115" s="7"/>
      <c r="J115" s="7"/>
      <c r="K115" s="7"/>
    </row>
    <row r="116" spans="2:11" x14ac:dyDescent="0.2">
      <c r="B116" s="5"/>
      <c r="C116" s="5"/>
      <c r="D116" s="7"/>
      <c r="E116" s="7"/>
      <c r="F116" s="7"/>
      <c r="G116" s="7"/>
      <c r="H116" s="7"/>
      <c r="I116" s="7"/>
      <c r="J116" s="7"/>
      <c r="K116" s="7"/>
    </row>
    <row r="117" spans="2:11" x14ac:dyDescent="0.2">
      <c r="B117" s="5"/>
      <c r="C117" s="5"/>
      <c r="D117" s="7"/>
      <c r="E117" s="7"/>
      <c r="F117" s="7"/>
      <c r="G117" s="7"/>
      <c r="H117" s="7"/>
      <c r="I117" s="7"/>
      <c r="J117" s="7"/>
      <c r="K117" s="7"/>
    </row>
    <row r="118" spans="2:11" x14ac:dyDescent="0.2">
      <c r="B118" s="5"/>
      <c r="C118" s="5"/>
      <c r="D118" s="7"/>
      <c r="E118" s="7"/>
      <c r="F118" s="7"/>
      <c r="G118" s="7"/>
      <c r="H118" s="7"/>
      <c r="I118" s="7"/>
      <c r="J118" s="7"/>
      <c r="K118" s="7"/>
    </row>
    <row r="119" spans="2:11" x14ac:dyDescent="0.2">
      <c r="B119" s="5"/>
      <c r="C119" s="5"/>
      <c r="D119" s="7"/>
      <c r="E119" s="7"/>
      <c r="F119" s="7"/>
      <c r="G119" s="7"/>
      <c r="H119" s="7"/>
      <c r="I119" s="7"/>
      <c r="J119" s="7"/>
      <c r="K119" s="7"/>
    </row>
    <row r="120" spans="2:11" x14ac:dyDescent="0.2">
      <c r="B120" s="5"/>
      <c r="C120" s="5"/>
      <c r="D120" s="7"/>
      <c r="E120" s="7"/>
      <c r="F120" s="7"/>
      <c r="G120" s="7"/>
      <c r="H120" s="7"/>
      <c r="I120" s="7"/>
      <c r="J120" s="7"/>
      <c r="K120" s="7"/>
    </row>
    <row r="121" spans="2:11" x14ac:dyDescent="0.2">
      <c r="B121" s="5"/>
      <c r="C121" s="5"/>
      <c r="D121" s="7"/>
      <c r="E121" s="7"/>
      <c r="F121" s="7"/>
      <c r="G121" s="7"/>
      <c r="H121" s="7"/>
      <c r="I121" s="7"/>
      <c r="J121" s="7"/>
      <c r="K121" s="7"/>
    </row>
    <row r="122" spans="2:11" x14ac:dyDescent="0.2">
      <c r="B122" s="5"/>
      <c r="C122" s="5"/>
      <c r="D122" s="7"/>
      <c r="E122" s="7"/>
      <c r="F122" s="7"/>
      <c r="G122" s="7"/>
      <c r="H122" s="7"/>
      <c r="I122" s="7"/>
      <c r="J122" s="7"/>
      <c r="K122" s="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20"/>
  <sheetViews>
    <sheetView topLeftCell="D1" workbookViewId="0">
      <selection activeCell="I20" sqref="I20"/>
    </sheetView>
  </sheetViews>
  <sheetFormatPr defaultColWidth="11.5703125" defaultRowHeight="12.75" x14ac:dyDescent="0.2"/>
  <cols>
    <col min="4" max="4" width="16.5703125" bestFit="1" customWidth="1"/>
  </cols>
  <sheetData>
    <row r="3" spans="2:17" ht="15" x14ac:dyDescent="0.2">
      <c r="D3" s="12" t="s">
        <v>15</v>
      </c>
      <c r="E3" s="13">
        <v>43466</v>
      </c>
      <c r="F3" s="13">
        <v>43497</v>
      </c>
      <c r="G3" s="13">
        <v>43525</v>
      </c>
      <c r="H3" s="13">
        <v>43556</v>
      </c>
      <c r="I3" s="13">
        <v>43586</v>
      </c>
      <c r="J3" s="13">
        <v>43617</v>
      </c>
      <c r="K3" s="13">
        <v>43647</v>
      </c>
      <c r="L3" s="13">
        <v>43678</v>
      </c>
      <c r="M3" s="13">
        <v>43709</v>
      </c>
      <c r="N3" s="13">
        <v>43739</v>
      </c>
      <c r="O3" s="13">
        <v>43770</v>
      </c>
      <c r="P3" s="13">
        <v>43800</v>
      </c>
      <c r="Q3" s="14" t="s">
        <v>16</v>
      </c>
    </row>
    <row r="4" spans="2:17" ht="15" x14ac:dyDescent="0.25">
      <c r="D4" t="s">
        <v>17</v>
      </c>
      <c r="E4" s="7">
        <v>116061</v>
      </c>
      <c r="F4" s="15">
        <v>105833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6">
        <f>SUM(E4:P4)</f>
        <v>221894</v>
      </c>
    </row>
    <row r="5" spans="2:17" ht="15" x14ac:dyDescent="0.25">
      <c r="D5" t="s">
        <v>18</v>
      </c>
      <c r="E5" s="17">
        <f t="shared" ref="E5:K5" si="0">21+25</f>
        <v>46</v>
      </c>
      <c r="F5" s="17">
        <f t="shared" si="0"/>
        <v>46</v>
      </c>
      <c r="G5" s="17">
        <f t="shared" si="0"/>
        <v>46</v>
      </c>
      <c r="H5" s="17">
        <f t="shared" si="0"/>
        <v>46</v>
      </c>
      <c r="I5" s="17">
        <f t="shared" si="0"/>
        <v>46</v>
      </c>
      <c r="J5" s="17">
        <f t="shared" si="0"/>
        <v>46</v>
      </c>
      <c r="K5" s="17">
        <f t="shared" si="0"/>
        <v>46</v>
      </c>
      <c r="L5" s="17">
        <f>K5</f>
        <v>46</v>
      </c>
      <c r="M5" s="17">
        <f>L5</f>
        <v>46</v>
      </c>
      <c r="N5" s="17">
        <f>M5</f>
        <v>46</v>
      </c>
      <c r="O5" s="17">
        <f>N5</f>
        <v>46</v>
      </c>
      <c r="P5" s="17">
        <f>O5</f>
        <v>46</v>
      </c>
      <c r="Q5" s="18">
        <f>SUM(E5:P5)</f>
        <v>552</v>
      </c>
    </row>
    <row r="6" spans="2:17" ht="15" x14ac:dyDescent="0.25">
      <c r="D6" t="s">
        <v>19</v>
      </c>
      <c r="E6" s="19">
        <v>3.0200000000000001E-2</v>
      </c>
      <c r="F6" s="19">
        <v>3.0200000000000001E-2</v>
      </c>
      <c r="G6" s="19">
        <v>3.0200000000000001E-2</v>
      </c>
      <c r="H6" s="19">
        <v>3.0200000000000001E-2</v>
      </c>
      <c r="I6" s="19">
        <v>3.0200000000000001E-2</v>
      </c>
      <c r="J6" s="19">
        <v>3.0200000000000001E-2</v>
      </c>
      <c r="K6" s="19">
        <v>3.0200000000000001E-2</v>
      </c>
      <c r="L6" s="19">
        <v>3.0200000000000001E-2</v>
      </c>
      <c r="M6" s="19">
        <v>3.0200000000000001E-2</v>
      </c>
      <c r="N6" s="19">
        <v>3.0200000000000001E-2</v>
      </c>
      <c r="O6" s="19">
        <v>3.0200000000000001E-2</v>
      </c>
      <c r="P6" s="19">
        <v>3.0200000000000001E-2</v>
      </c>
      <c r="Q6" s="20">
        <v>3.0200000000000001E-2</v>
      </c>
    </row>
    <row r="7" spans="2:17" s="21" customFormat="1" ht="15" x14ac:dyDescent="0.25">
      <c r="B7"/>
      <c r="D7" s="22" t="s">
        <v>20</v>
      </c>
      <c r="E7" s="23">
        <f t="shared" ref="E7:J7" si="1">E6*E4+E5</f>
        <v>3551.0422000000003</v>
      </c>
      <c r="F7" s="23">
        <f t="shared" si="1"/>
        <v>3242.1566000000003</v>
      </c>
      <c r="G7" s="23">
        <f t="shared" si="1"/>
        <v>46</v>
      </c>
      <c r="H7" s="23">
        <f t="shared" si="1"/>
        <v>46</v>
      </c>
      <c r="I7" s="23">
        <f t="shared" si="1"/>
        <v>46</v>
      </c>
      <c r="J7" s="23">
        <f t="shared" si="1"/>
        <v>46</v>
      </c>
      <c r="K7" s="23">
        <f t="shared" ref="K7:P7" si="2">K6*K4+K5</f>
        <v>46</v>
      </c>
      <c r="L7" s="23">
        <f t="shared" si="2"/>
        <v>46</v>
      </c>
      <c r="M7" s="23">
        <f t="shared" si="2"/>
        <v>46</v>
      </c>
      <c r="N7" s="23">
        <f t="shared" si="2"/>
        <v>46</v>
      </c>
      <c r="O7" s="23">
        <f t="shared" si="2"/>
        <v>46</v>
      </c>
      <c r="P7" s="23">
        <f t="shared" si="2"/>
        <v>46</v>
      </c>
      <c r="Q7" s="23">
        <f>SUM(E7:P7)</f>
        <v>7253.1988000000001</v>
      </c>
    </row>
    <row r="8" spans="2:17" s="21" customFormat="1" ht="15" x14ac:dyDescent="0.25">
      <c r="B8"/>
      <c r="D8" s="25" t="s">
        <v>21</v>
      </c>
      <c r="E8" s="24">
        <f>E4*0.28</f>
        <v>32497.08</v>
      </c>
      <c r="F8" s="24">
        <f>F4*0.28</f>
        <v>29633.24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2:17" ht="15" x14ac:dyDescent="0.25">
      <c r="D9" t="s">
        <v>22</v>
      </c>
      <c r="E9">
        <v>0.255</v>
      </c>
      <c r="F9">
        <v>0.255</v>
      </c>
      <c r="G9">
        <v>0.255</v>
      </c>
      <c r="H9">
        <v>0.255</v>
      </c>
      <c r="I9">
        <v>0.255</v>
      </c>
      <c r="J9">
        <v>0.255</v>
      </c>
      <c r="K9">
        <v>0.255</v>
      </c>
      <c r="L9">
        <v>0.255</v>
      </c>
      <c r="M9">
        <v>0.255</v>
      </c>
      <c r="N9">
        <v>0.255</v>
      </c>
      <c r="O9">
        <v>0.255</v>
      </c>
      <c r="P9">
        <v>0.255</v>
      </c>
      <c r="Q9" s="21"/>
    </row>
    <row r="10" spans="2:17" s="26" customFormat="1" ht="15" x14ac:dyDescent="0.25">
      <c r="D10" s="27" t="s">
        <v>23</v>
      </c>
      <c r="E10" s="28">
        <f>E8*E9+E7</f>
        <v>11837.7976</v>
      </c>
      <c r="F10" s="28">
        <f t="shared" ref="F10:P10" si="3">F8*F9+F7</f>
        <v>10798.632800000001</v>
      </c>
      <c r="G10" s="28">
        <f t="shared" si="3"/>
        <v>46</v>
      </c>
      <c r="H10" s="28">
        <f t="shared" si="3"/>
        <v>46</v>
      </c>
      <c r="I10" s="28">
        <f t="shared" si="3"/>
        <v>46</v>
      </c>
      <c r="J10" s="28">
        <f t="shared" si="3"/>
        <v>46</v>
      </c>
      <c r="K10" s="28">
        <f t="shared" si="3"/>
        <v>46</v>
      </c>
      <c r="L10" s="28">
        <f t="shared" si="3"/>
        <v>46</v>
      </c>
      <c r="M10" s="28">
        <f t="shared" si="3"/>
        <v>46</v>
      </c>
      <c r="N10" s="28">
        <f t="shared" si="3"/>
        <v>46</v>
      </c>
      <c r="O10" s="28">
        <f t="shared" si="3"/>
        <v>46</v>
      </c>
      <c r="P10" s="28">
        <f t="shared" si="3"/>
        <v>46</v>
      </c>
    </row>
    <row r="14" spans="2:17" x14ac:dyDescent="0.2">
      <c r="E14">
        <f>E4*0.28</f>
        <v>32497.08</v>
      </c>
    </row>
    <row r="20" spans="5:5" x14ac:dyDescent="0.2">
      <c r="E20" s="32">
        <f>65234-E8</f>
        <v>32736.92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CHP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Joe El Khoury</cp:lastModifiedBy>
  <dcterms:created xsi:type="dcterms:W3CDTF">2016-09-19T10:41:46Z</dcterms:created>
  <dcterms:modified xsi:type="dcterms:W3CDTF">2020-01-15T09:41:18Z</dcterms:modified>
</cp:coreProperties>
</file>